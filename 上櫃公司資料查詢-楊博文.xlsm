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105" windowWidth="14805" windowHeight="8010" activeTab="1"/>
  </bookViews>
  <sheets>
    <sheet name="上櫃股票資訊" sheetId="4" r:id="rId1"/>
    <sheet name="設定" sheetId="1" r:id="rId2"/>
    <sheet name="最新上櫃公司收盤價" sheetId="2" r:id="rId3"/>
    <sheet name="指定月份每日交易數量" sheetId="3" r:id="rId4"/>
    <sheet name="工作表1" sheetId="6" r:id="rId5"/>
    <sheet name="單筆股票歷史資料" sheetId="5" r:id="rId6"/>
  </sheets>
  <functionGroups builtInGroupCount="17"/>
  <definedNames>
    <definedName name="_1_stkno_1258_s_0_1" localSheetId="4">工作表1!$A$1:$I$24</definedName>
    <definedName name="_1_stkno_1258_s_0_1" localSheetId="3">指定月份每日交易數量!$A$1:$I$24</definedName>
    <definedName name="_54199_出自《經理人》" localSheetId="2">最新上櫃公司收盤價!$A$1:$Q$5207</definedName>
  </definedNames>
  <calcPr calcId="145621" calcMode="manual"/>
</workbook>
</file>

<file path=xl/calcChain.xml><?xml version="1.0" encoding="utf-8"?>
<calcChain xmlns="http://schemas.openxmlformats.org/spreadsheetml/2006/main">
  <c r="A5" i="1" l="1"/>
  <c r="F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0" i="4"/>
  <c r="F451" i="4"/>
  <c r="F452" i="4"/>
  <c r="F453" i="4"/>
  <c r="F454" i="4"/>
  <c r="F455" i="4"/>
  <c r="F456" i="4"/>
  <c r="F457" i="4"/>
  <c r="F458" i="4"/>
  <c r="F459" i="4"/>
  <c r="F460" i="4"/>
  <c r="F461" i="4"/>
  <c r="F462" i="4"/>
  <c r="F463" i="4"/>
  <c r="F464" i="4"/>
  <c r="F465" i="4"/>
  <c r="F466" i="4"/>
  <c r="F467" i="4"/>
  <c r="F468" i="4"/>
  <c r="F469" i="4"/>
  <c r="F470" i="4"/>
  <c r="F471" i="4"/>
  <c r="F472" i="4"/>
  <c r="F473" i="4"/>
  <c r="F474" i="4"/>
  <c r="F475" i="4"/>
  <c r="F476" i="4"/>
  <c r="F477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F523" i="4"/>
  <c r="F524" i="4"/>
  <c r="F525" i="4"/>
  <c r="F526" i="4"/>
  <c r="F527" i="4"/>
  <c r="F528" i="4"/>
  <c r="F529" i="4"/>
  <c r="F530" i="4"/>
  <c r="F531" i="4"/>
  <c r="F532" i="4"/>
  <c r="F533" i="4"/>
  <c r="F534" i="4"/>
  <c r="F535" i="4"/>
  <c r="F536" i="4"/>
  <c r="F537" i="4"/>
  <c r="F538" i="4"/>
  <c r="F539" i="4"/>
  <c r="F540" i="4"/>
  <c r="F541" i="4"/>
  <c r="F542" i="4"/>
  <c r="F543" i="4"/>
  <c r="F544" i="4"/>
  <c r="F545" i="4"/>
  <c r="F546" i="4"/>
  <c r="F547" i="4"/>
  <c r="F548" i="4"/>
  <c r="F549" i="4"/>
  <c r="F550" i="4"/>
  <c r="F551" i="4"/>
  <c r="F552" i="4"/>
  <c r="F553" i="4"/>
  <c r="F554" i="4"/>
  <c r="F555" i="4"/>
  <c r="F556" i="4"/>
  <c r="F557" i="4"/>
  <c r="F558" i="4"/>
  <c r="F559" i="4"/>
  <c r="F560" i="4"/>
  <c r="F561" i="4"/>
  <c r="F562" i="4"/>
  <c r="F563" i="4"/>
  <c r="F564" i="4"/>
  <c r="F565" i="4"/>
  <c r="F566" i="4"/>
  <c r="F567" i="4"/>
  <c r="F568" i="4"/>
  <c r="F569" i="4"/>
  <c r="F570" i="4"/>
  <c r="F571" i="4"/>
  <c r="F572" i="4"/>
  <c r="F573" i="4"/>
  <c r="F574" i="4"/>
  <c r="F575" i="4"/>
  <c r="F576" i="4"/>
  <c r="F577" i="4"/>
  <c r="F578" i="4"/>
  <c r="F579" i="4"/>
  <c r="F580" i="4"/>
  <c r="F581" i="4"/>
  <c r="F582" i="4"/>
  <c r="F583" i="4"/>
  <c r="F584" i="4"/>
  <c r="F585" i="4"/>
  <c r="F586" i="4"/>
  <c r="F587" i="4"/>
  <c r="F588" i="4"/>
  <c r="F589" i="4"/>
  <c r="F590" i="4"/>
  <c r="F591" i="4"/>
  <c r="F592" i="4"/>
  <c r="F593" i="4"/>
  <c r="F594" i="4"/>
  <c r="F595" i="4"/>
  <c r="F596" i="4"/>
  <c r="F597" i="4"/>
  <c r="F598" i="4"/>
  <c r="F599" i="4"/>
  <c r="F600" i="4"/>
  <c r="F601" i="4"/>
  <c r="F602" i="4"/>
  <c r="F603" i="4"/>
  <c r="F604" i="4"/>
  <c r="F605" i="4"/>
  <c r="F606" i="4"/>
  <c r="F607" i="4"/>
  <c r="F608" i="4"/>
  <c r="F609" i="4"/>
  <c r="F610" i="4"/>
  <c r="F611" i="4"/>
  <c r="F612" i="4"/>
  <c r="F613" i="4"/>
  <c r="F614" i="4"/>
  <c r="F615" i="4"/>
  <c r="F616" i="4"/>
  <c r="F617" i="4"/>
  <c r="F618" i="4"/>
  <c r="F619" i="4"/>
  <c r="F620" i="4"/>
  <c r="F621" i="4"/>
  <c r="F622" i="4"/>
  <c r="F623" i="4"/>
  <c r="F624" i="4"/>
  <c r="F625" i="4"/>
  <c r="F626" i="4"/>
  <c r="F627" i="4"/>
  <c r="F628" i="4"/>
  <c r="F629" i="4"/>
  <c r="F630" i="4"/>
  <c r="F631" i="4"/>
  <c r="F632" i="4"/>
  <c r="F633" i="4"/>
  <c r="F634" i="4"/>
  <c r="F635" i="4"/>
  <c r="F636" i="4"/>
  <c r="F637" i="4"/>
  <c r="F638" i="4"/>
  <c r="F639" i="4"/>
  <c r="F640" i="4"/>
  <c r="F641" i="4"/>
  <c r="F642" i="4"/>
  <c r="F643" i="4"/>
  <c r="F644" i="4"/>
  <c r="F645" i="4"/>
  <c r="F646" i="4"/>
  <c r="F647" i="4"/>
  <c r="F648" i="4"/>
  <c r="F649" i="4"/>
  <c r="F650" i="4"/>
  <c r="F651" i="4"/>
  <c r="F652" i="4"/>
  <c r="F653" i="4"/>
  <c r="F654" i="4"/>
  <c r="F655" i="4"/>
  <c r="F656" i="4"/>
  <c r="F657" i="4"/>
  <c r="F658" i="4"/>
  <c r="F659" i="4"/>
  <c r="F660" i="4"/>
  <c r="F661" i="4"/>
  <c r="F662" i="4"/>
  <c r="F663" i="4"/>
  <c r="F664" i="4"/>
  <c r="F665" i="4"/>
  <c r="F666" i="4"/>
  <c r="F667" i="4"/>
  <c r="F668" i="4"/>
  <c r="F669" i="4"/>
  <c r="F670" i="4"/>
  <c r="F671" i="4"/>
  <c r="F672" i="4"/>
  <c r="F673" i="4"/>
  <c r="F674" i="4"/>
  <c r="F675" i="4"/>
  <c r="F676" i="4"/>
  <c r="F677" i="4"/>
  <c r="F678" i="4"/>
  <c r="F679" i="4"/>
  <c r="F680" i="4"/>
  <c r="F681" i="4"/>
  <c r="F682" i="4"/>
  <c r="F683" i="4"/>
  <c r="F684" i="4"/>
  <c r="F685" i="4"/>
  <c r="F686" i="4"/>
  <c r="F687" i="4"/>
  <c r="F688" i="4"/>
  <c r="F689" i="4"/>
  <c r="F690" i="4"/>
  <c r="F691" i="4"/>
  <c r="F692" i="4"/>
  <c r="F693" i="4"/>
  <c r="F694" i="4"/>
  <c r="F695" i="4"/>
  <c r="F696" i="4"/>
  <c r="F697" i="4"/>
  <c r="F698" i="4"/>
  <c r="F699" i="4"/>
  <c r="F700" i="4"/>
  <c r="F701" i="4"/>
  <c r="F702" i="4"/>
  <c r="F703" i="4"/>
  <c r="F704" i="4"/>
  <c r="F705" i="4"/>
  <c r="F706" i="4"/>
  <c r="F707" i="4"/>
  <c r="F708" i="4"/>
  <c r="F709" i="4"/>
  <c r="F710" i="4"/>
  <c r="F711" i="4"/>
  <c r="F712" i="4"/>
  <c r="F713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27" i="4"/>
  <c r="F728" i="4"/>
  <c r="F729" i="4"/>
  <c r="F730" i="4"/>
  <c r="F731" i="4"/>
  <c r="F732" i="4"/>
  <c r="F733" i="4"/>
  <c r="F734" i="4"/>
  <c r="F735" i="4"/>
  <c r="F736" i="4"/>
  <c r="F737" i="4"/>
  <c r="F738" i="4"/>
  <c r="F739" i="4"/>
  <c r="F740" i="4"/>
  <c r="F741" i="4"/>
  <c r="F742" i="4"/>
  <c r="F743" i="4"/>
  <c r="F744" i="4"/>
  <c r="F745" i="4"/>
  <c r="F746" i="4"/>
  <c r="F747" i="4"/>
  <c r="F748" i="4"/>
  <c r="F1" i="4"/>
  <c r="B4" i="1"/>
  <c r="I1" i="1" l="1"/>
  <c r="B6" i="1" l="1"/>
  <c r="B3" i="1"/>
  <c r="B2" i="1"/>
</calcChain>
</file>

<file path=xl/connections.xml><?xml version="1.0" encoding="utf-8"?>
<connections xmlns="http://schemas.openxmlformats.org/spreadsheetml/2006/main">
  <connection id="1" name="連線" type="4" refreshedVersion="4" background="1" saveData="1">
    <webPr sourceData="1" parsePre="1" consecutive="1" xl2000="1" url="http://www.tpex.org.tw/web/stock/aftertrading/daily_close_quotes/stk_quote_print.php?l=zh-tw&amp;d=106/12/29"/>
  </connection>
  <connection id="2" name="連線1" type="4" refreshedVersion="4" background="1" saveData="1">
    <webPr sourceData="1" parsePre="1" consecutive="1" xl2000="1" url="http://www.tpex.org.tw/web/stock/aftertrading/daily_trading_info/st43_print.php?l=zh-tw&amp;d=106/12&amp;stkno=1785&amp; s=0"/>
  </connection>
  <connection id="3" name="連線11" type="4" refreshedVersion="4" background="1" saveData="1">
    <webPr sourceData="1" parsePre="1" consecutive="1" xl2000="1" url="http://www.tpex.org.tw/web/stock/aftertrading/daily_trading_info/st43_print.php?l=zh-tw&amp;d=106/12&amp;stkno=1785&amp; s=0"/>
  </connection>
</connections>
</file>

<file path=xl/sharedStrings.xml><?xml version="1.0" encoding="utf-8"?>
<sst xmlns="http://schemas.openxmlformats.org/spreadsheetml/2006/main" count="20605" uniqueCount="7652">
  <si>
    <t>代號</t>
  </si>
  <si>
    <t>名稱</t>
  </si>
  <si>
    <t>收盤</t>
  </si>
  <si>
    <t>漲跌</t>
  </si>
  <si>
    <t>開盤</t>
  </si>
  <si>
    <t>最高</t>
  </si>
  <si>
    <t>最低</t>
  </si>
  <si>
    <t>均價</t>
  </si>
  <si>
    <t>成交股數</t>
  </si>
  <si>
    <t>成交金額(元)</t>
  </si>
  <si>
    <t>成交筆數</t>
  </si>
  <si>
    <t>最後買價</t>
  </si>
  <si>
    <t>最後賣價</t>
  </si>
  <si>
    <t>發行股數</t>
  </si>
  <si>
    <t>次日</t>
  </si>
  <si>
    <t>參考價</t>
  </si>
  <si>
    <t>漲停價</t>
  </si>
  <si>
    <t>跌停價</t>
  </si>
  <si>
    <t>管理股票</t>
  </si>
  <si>
    <t>註：認購(售)權證標的物若當日遇除權息時，該權證行使比例之異動資料尚未更新，故次日參考價資料係以異動前之行使比例計算僅供參考, 請直接於次一營業日查詢 本中心網站--&gt;衍生性商品 --&gt;認購(售)權證--&gt;收盤行情下之參考價資料</t>
  </si>
  <si>
    <t>註：--- : 個股當日無交易時，以此符號表示開市價、最高價、最低價、收盤價、漲跌價</t>
  </si>
  <si>
    <t>股票代號:</t>
    <phoneticPr fontId="1" type="noConversion"/>
  </si>
  <si>
    <t>名稱:</t>
    <phoneticPr fontId="1" type="noConversion"/>
  </si>
  <si>
    <t>日 期</t>
  </si>
  <si>
    <t>成交仟股</t>
  </si>
  <si>
    <t>成交仟元</t>
  </si>
  <si>
    <t>筆數</t>
  </si>
  <si>
    <t>月份資料列數</t>
    <phoneticPr fontId="1" type="noConversion"/>
  </si>
  <si>
    <t>元大富櫃50</t>
  </si>
  <si>
    <t>00679B</t>
  </si>
  <si>
    <t>元大美債20年</t>
  </si>
  <si>
    <t>00687B</t>
  </si>
  <si>
    <t>國泰20年美債</t>
  </si>
  <si>
    <t>00694B</t>
  </si>
  <si>
    <t>00695B</t>
  </si>
  <si>
    <t>00696B</t>
  </si>
  <si>
    <t>富邦美債20年</t>
  </si>
  <si>
    <t>00697B</t>
  </si>
  <si>
    <t>元大美債7-10</t>
  </si>
  <si>
    <t>其祥-KY</t>
  </si>
  <si>
    <t>安心</t>
  </si>
  <si>
    <t>德麥</t>
  </si>
  <si>
    <t>恩得利</t>
  </si>
  <si>
    <t>台翰</t>
  </si>
  <si>
    <t>精華</t>
  </si>
  <si>
    <t>捷邦</t>
  </si>
  <si>
    <t>濱川</t>
  </si>
  <si>
    <t>力肯</t>
  </si>
  <si>
    <t>新麥</t>
  </si>
  <si>
    <t>精剛</t>
  </si>
  <si>
    <t>和勤</t>
  </si>
  <si>
    <t>駿吉-KY</t>
  </si>
  <si>
    <t>祺驊</t>
  </si>
  <si>
    <t>川寶</t>
  </si>
  <si>
    <t>直得</t>
  </si>
  <si>
    <t>宏佳騰</t>
  </si>
  <si>
    <t>台蠟</t>
  </si>
  <si>
    <t>南光</t>
  </si>
  <si>
    <t>生泰</t>
  </si>
  <si>
    <t>合世</t>
  </si>
  <si>
    <t>訊聯</t>
  </si>
  <si>
    <t>福盈科</t>
  </si>
  <si>
    <t>杏昌</t>
  </si>
  <si>
    <t>美時</t>
  </si>
  <si>
    <t>易威</t>
  </si>
  <si>
    <t>寶利徠</t>
  </si>
  <si>
    <t>富喬</t>
  </si>
  <si>
    <t>唐榮</t>
  </si>
  <si>
    <t>風青</t>
  </si>
  <si>
    <t>世鎧</t>
  </si>
  <si>
    <t>晉椿</t>
  </si>
  <si>
    <t>世豐</t>
  </si>
  <si>
    <t>世德</t>
  </si>
  <si>
    <t>嘉鋼</t>
  </si>
  <si>
    <t>大甲</t>
  </si>
  <si>
    <t>泰茂</t>
  </si>
  <si>
    <t>宇隆</t>
  </si>
  <si>
    <t>謚源</t>
  </si>
  <si>
    <t>---</t>
  </si>
  <si>
    <t>綠意</t>
  </si>
  <si>
    <t>大車隊</t>
  </si>
  <si>
    <t>正德</t>
  </si>
  <si>
    <t>捷迅</t>
  </si>
  <si>
    <t>晶悅</t>
  </si>
  <si>
    <t>燦星旅</t>
  </si>
  <si>
    <t>雅茗-KY</t>
  </si>
  <si>
    <t>瓦城</t>
  </si>
  <si>
    <t>六角</t>
  </si>
  <si>
    <t>易飛網</t>
  </si>
  <si>
    <t>高野</t>
  </si>
  <si>
    <t>天蔥</t>
  </si>
  <si>
    <t>滿心</t>
  </si>
  <si>
    <t>東凌-KY</t>
  </si>
  <si>
    <t>誠品生活</t>
  </si>
  <si>
    <t>紅馬-KY</t>
  </si>
  <si>
    <t>集雅社</t>
  </si>
  <si>
    <t>泰偉</t>
  </si>
  <si>
    <t>李洲</t>
  </si>
  <si>
    <t>全域</t>
  </si>
  <si>
    <t>美磊</t>
  </si>
  <si>
    <t>協禧</t>
  </si>
  <si>
    <t>普格</t>
  </si>
  <si>
    <t>僑威</t>
  </si>
  <si>
    <t>聯亞</t>
  </si>
  <si>
    <t>網龍</t>
  </si>
  <si>
    <t>新零售</t>
  </si>
  <si>
    <t>華義</t>
  </si>
  <si>
    <t>艾訊</t>
  </si>
  <si>
    <t>遠昇</t>
  </si>
  <si>
    <t>鴻碩</t>
  </si>
  <si>
    <t>港建</t>
  </si>
  <si>
    <t>及成</t>
  </si>
  <si>
    <t>穩懋</t>
  </si>
  <si>
    <t>好德</t>
  </si>
  <si>
    <t>寶島極</t>
  </si>
  <si>
    <t>進階</t>
  </si>
  <si>
    <t>笙泉</t>
  </si>
  <si>
    <t>昇銳</t>
  </si>
  <si>
    <t>弘塑</t>
  </si>
  <si>
    <t>晶宏</t>
  </si>
  <si>
    <t>新揚科</t>
  </si>
  <si>
    <t>璟德</t>
  </si>
  <si>
    <t>精確</t>
  </si>
  <si>
    <t>波若威</t>
  </si>
  <si>
    <t>亞信</t>
  </si>
  <si>
    <t>新洲</t>
  </si>
  <si>
    <t>基亞</t>
  </si>
  <si>
    <t>鑫龍騰</t>
  </si>
  <si>
    <t>和進</t>
  </si>
  <si>
    <t>樺晟</t>
  </si>
  <si>
    <t>佰研</t>
  </si>
  <si>
    <t>志豐</t>
  </si>
  <si>
    <t>耀勝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</si>
  <si>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</si>
  <si>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</si>
  <si>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</si>
  <si>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</si>
  <si>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</si>
  <si>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</si>
  <si>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</si>
  <si>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</si>
  <si>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</si>
  <si>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錦明</t>
  </si>
  <si>
    <t>昱捷</t>
  </si>
  <si>
    <t>光環</t>
  </si>
  <si>
    <t>千如</t>
  </si>
  <si>
    <t>海灣</t>
  </si>
  <si>
    <t>鑫創</t>
  </si>
  <si>
    <t>威剛</t>
  </si>
  <si>
    <t>欣銓</t>
  </si>
  <si>
    <t>台星科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</si>
  <si>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</si>
  <si>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</si>
  <si>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</si>
  <si>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</si>
  <si>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</si>
  <si>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</si>
  <si>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</si>
  <si>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</si>
  <si>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</si>
  <si>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</si>
  <si>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</si>
  <si>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杭特</t>
  </si>
  <si>
    <t>帛漢</t>
  </si>
  <si>
    <t>岱稜</t>
  </si>
  <si>
    <t>鼎天</t>
  </si>
  <si>
    <t>佳穎</t>
  </si>
  <si>
    <t>斐成</t>
  </si>
  <si>
    <t>尼克森</t>
  </si>
  <si>
    <t>建舜電</t>
  </si>
  <si>
    <t>加百裕</t>
  </si>
  <si>
    <t>雙鴻</t>
  </si>
  <si>
    <t>旭品</t>
  </si>
  <si>
    <t>幸康</t>
  </si>
  <si>
    <t>泰谷</t>
  </si>
  <si>
    <t>律勝</t>
  </si>
  <si>
    <t>尚立</t>
  </si>
  <si>
    <t>先進光</t>
  </si>
  <si>
    <t>上詮</t>
  </si>
  <si>
    <t>典範</t>
  </si>
  <si>
    <t>熱映</t>
  </si>
  <si>
    <t>精材</t>
  </si>
  <si>
    <t>彬台</t>
  </si>
  <si>
    <t>崇越電</t>
  </si>
  <si>
    <t>旭軟</t>
  </si>
  <si>
    <t>漢科</t>
  </si>
  <si>
    <t>台興</t>
  </si>
  <si>
    <t>光燿科</t>
  </si>
  <si>
    <t>長天</t>
  </si>
  <si>
    <t>哲固</t>
  </si>
  <si>
    <t>類比科</t>
  </si>
  <si>
    <t>聯一光</t>
  </si>
  <si>
    <t>利機</t>
  </si>
  <si>
    <t>益通</t>
  </si>
  <si>
    <t>由田</t>
  </si>
  <si>
    <t>祥業</t>
  </si>
  <si>
    <t>致振</t>
  </si>
  <si>
    <t>安勤</t>
  </si>
  <si>
    <t>力致</t>
  </si>
  <si>
    <t>崧騰</t>
  </si>
  <si>
    <t>森寶</t>
  </si>
  <si>
    <t>單井</t>
  </si>
  <si>
    <t>昇達科</t>
  </si>
  <si>
    <t>長盛</t>
  </si>
  <si>
    <t>陽程</t>
  </si>
  <si>
    <t>環天科</t>
  </si>
  <si>
    <t>位速</t>
  </si>
  <si>
    <t>矽瑪</t>
  </si>
  <si>
    <t>能緹</t>
  </si>
  <si>
    <t>亞帝歐</t>
  </si>
  <si>
    <t>振維</t>
  </si>
  <si>
    <t>鴻翊</t>
  </si>
  <si>
    <t>宏森</t>
  </si>
  <si>
    <t>迎輝</t>
  </si>
  <si>
    <t>凡甲</t>
  </si>
  <si>
    <t>聚積</t>
  </si>
  <si>
    <t>力旺</t>
  </si>
  <si>
    <t>先益</t>
  </si>
  <si>
    <t>堡達</t>
  </si>
  <si>
    <t>曜越</t>
  </si>
  <si>
    <t>西柏</t>
  </si>
  <si>
    <t>宇峻</t>
  </si>
  <si>
    <t>兆利</t>
  </si>
  <si>
    <t>世禾</t>
  </si>
  <si>
    <t>同致</t>
  </si>
  <si>
    <t>力積</t>
  </si>
  <si>
    <t>重鳥鵬</t>
  </si>
  <si>
    <t>禾瑞亞</t>
  </si>
  <si>
    <t>神準</t>
  </si>
  <si>
    <t>頂晶科</t>
  </si>
  <si>
    <t>牧德</t>
  </si>
  <si>
    <t>其陽</t>
  </si>
  <si>
    <t>逸昌</t>
  </si>
  <si>
    <t>大塚</t>
  </si>
  <si>
    <t>泓格</t>
  </si>
  <si>
    <t>友威科</t>
  </si>
  <si>
    <t>博磊</t>
  </si>
  <si>
    <t>閎康</t>
  </si>
  <si>
    <t>磐儀</t>
  </si>
  <si>
    <t>東林</t>
  </si>
  <si>
    <t>鼎翰</t>
  </si>
  <si>
    <t>安可</t>
  </si>
  <si>
    <t>富晶通</t>
  </si>
  <si>
    <t>光頡</t>
  </si>
  <si>
    <t>西勝</t>
  </si>
  <si>
    <t>盈正</t>
  </si>
  <si>
    <t>群富通</t>
  </si>
  <si>
    <t>新鉅科</t>
  </si>
  <si>
    <t>晟楠</t>
  </si>
  <si>
    <t>研勤</t>
  </si>
  <si>
    <t>駿熠電</t>
  </si>
  <si>
    <t>艾恩特</t>
  </si>
  <si>
    <t>精聯</t>
  </si>
  <si>
    <t>鑫科</t>
  </si>
  <si>
    <t>安瑞-KY</t>
  </si>
  <si>
    <t>光耀</t>
  </si>
  <si>
    <t>康聯訊</t>
  </si>
  <si>
    <t>德微</t>
  </si>
  <si>
    <t>家登</t>
  </si>
  <si>
    <t>榮昌</t>
  </si>
  <si>
    <t>元創精密</t>
  </si>
  <si>
    <t>歐買尬</t>
  </si>
  <si>
    <t>湧德</t>
  </si>
  <si>
    <t>碩禾</t>
  </si>
  <si>
    <t>營邦</t>
  </si>
  <si>
    <t>漢磊</t>
  </si>
  <si>
    <t>永日</t>
  </si>
  <si>
    <t>百略</t>
  </si>
  <si>
    <t>東洋</t>
  </si>
  <si>
    <t>邦特</t>
  </si>
  <si>
    <t>穆拉德加捷</t>
  </si>
  <si>
    <t>濟生</t>
  </si>
  <si>
    <t>聯上</t>
  </si>
  <si>
    <t>健喬</t>
  </si>
  <si>
    <t>明基醫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</si>
  <si>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</si>
  <si>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</si>
  <si>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</si>
  <si>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</si>
  <si>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</si>
  <si>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</si>
  <si>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</si>
  <si>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</si>
  <si>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</si>
  <si>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曜亞</t>
  </si>
  <si>
    <t>馬光-KY</t>
  </si>
  <si>
    <t>中裕</t>
  </si>
  <si>
    <t>台微體</t>
  </si>
  <si>
    <t>鈺緯</t>
  </si>
  <si>
    <t>康樂-KY</t>
  </si>
  <si>
    <t>太景*-KY</t>
  </si>
  <si>
    <t>創源</t>
  </si>
  <si>
    <t>聿新科</t>
  </si>
  <si>
    <t>智擎</t>
  </si>
  <si>
    <t>鐿鈦</t>
  </si>
  <si>
    <t>展旺</t>
  </si>
  <si>
    <t>醣聯</t>
  </si>
  <si>
    <t>瑞基</t>
  </si>
  <si>
    <t>久裕</t>
  </si>
  <si>
    <t>浩鼎</t>
  </si>
  <si>
    <t>杏一</t>
  </si>
  <si>
    <t>安成藥</t>
  </si>
  <si>
    <t>福永生技</t>
  </si>
  <si>
    <t>安克</t>
  </si>
  <si>
    <t>杏國</t>
  </si>
  <si>
    <t>環瑞醫</t>
  </si>
  <si>
    <t>中華食</t>
  </si>
  <si>
    <t>環泰</t>
  </si>
  <si>
    <t>信立</t>
  </si>
  <si>
    <t>勝昱</t>
  </si>
  <si>
    <t>世坤</t>
  </si>
  <si>
    <t>東隆興</t>
  </si>
  <si>
    <t>福大</t>
  </si>
  <si>
    <t>新昕纖</t>
  </si>
  <si>
    <t>飛寶企業</t>
  </si>
  <si>
    <t>三圓</t>
  </si>
  <si>
    <t>金洲</t>
  </si>
  <si>
    <t>光明</t>
  </si>
  <si>
    <t>聚紡</t>
  </si>
  <si>
    <t>耀億</t>
  </si>
  <si>
    <t>銘旺實</t>
  </si>
  <si>
    <t>興采</t>
  </si>
  <si>
    <t>健信</t>
  </si>
  <si>
    <t>金雨</t>
  </si>
  <si>
    <t>崇友</t>
  </si>
  <si>
    <t>高鋒</t>
  </si>
  <si>
    <t>福裕</t>
  </si>
  <si>
    <t>永彰</t>
  </si>
  <si>
    <t>方土霖</t>
  </si>
  <si>
    <t>江興鍛</t>
  </si>
  <si>
    <t>宏易</t>
  </si>
  <si>
    <t>協易機</t>
  </si>
  <si>
    <t>慶騰</t>
  </si>
  <si>
    <t>至興</t>
  </si>
  <si>
    <t>晟田</t>
  </si>
  <si>
    <t>科嶠</t>
  </si>
  <si>
    <t>萬在</t>
  </si>
  <si>
    <t>桓達</t>
  </si>
  <si>
    <t>長佳</t>
  </si>
  <si>
    <t>橙的</t>
  </si>
  <si>
    <t>旭然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</si>
  <si>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</si>
  <si>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</si>
  <si>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</si>
  <si>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</si>
  <si>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</si>
  <si>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</si>
  <si>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</si>
  <si>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</si>
  <si>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美琪瑪</t>
  </si>
  <si>
    <t>永昕</t>
  </si>
  <si>
    <t>雙美</t>
  </si>
  <si>
    <t>熒茂</t>
  </si>
  <si>
    <t>豪展</t>
  </si>
  <si>
    <t>泰博</t>
  </si>
  <si>
    <t>合一</t>
  </si>
  <si>
    <t>合富-KY</t>
  </si>
  <si>
    <t>強生</t>
  </si>
  <si>
    <t>國碳科</t>
  </si>
  <si>
    <t>VHQ-KY</t>
  </si>
  <si>
    <t>大略-KY</t>
  </si>
  <si>
    <t>昇華</t>
  </si>
  <si>
    <t>聯光通</t>
  </si>
  <si>
    <t>台聯電</t>
  </si>
  <si>
    <t>富宇</t>
  </si>
  <si>
    <t>前鼎</t>
  </si>
  <si>
    <t>新復興</t>
  </si>
  <si>
    <t>德英</t>
  </si>
  <si>
    <t>欣厚-KY</t>
  </si>
  <si>
    <t>友輝</t>
  </si>
  <si>
    <t>亞電</t>
  </si>
  <si>
    <t>兆遠</t>
  </si>
  <si>
    <t>辣椒</t>
  </si>
  <si>
    <t>昂寶-KY</t>
  </si>
  <si>
    <t>牧東</t>
  </si>
  <si>
    <t>緯軟</t>
  </si>
  <si>
    <t>商店街</t>
  </si>
  <si>
    <t>譜瑞-KY</t>
  </si>
  <si>
    <t>IET-KY</t>
  </si>
  <si>
    <t>湯石照明</t>
  </si>
  <si>
    <t>廣穎</t>
  </si>
  <si>
    <t>亞泰</t>
  </si>
  <si>
    <t>華星光</t>
  </si>
  <si>
    <t>科誠</t>
  </si>
  <si>
    <t>環宇-KY</t>
  </si>
  <si>
    <t>晶達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</si>
  <si>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</si>
  <si>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</si>
  <si>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</si>
  <si>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</si>
  <si>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</si>
  <si>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</si>
  <si>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</si>
  <si>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</si>
  <si>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</si>
  <si>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漢康</t>
  </si>
  <si>
    <t>坤悅</t>
  </si>
  <si>
    <t>新鼎</t>
  </si>
  <si>
    <t>寶碩</t>
  </si>
  <si>
    <t>蒙恬</t>
  </si>
  <si>
    <t>凌網</t>
  </si>
  <si>
    <t>亞昕</t>
  </si>
  <si>
    <t>立凱-KY</t>
  </si>
  <si>
    <t>雷笛克光學</t>
  </si>
  <si>
    <t>智晶</t>
  </si>
  <si>
    <t>天鉞電</t>
  </si>
  <si>
    <t>美桀</t>
  </si>
  <si>
    <t>智崴</t>
  </si>
  <si>
    <t>笙科</t>
  </si>
  <si>
    <t>信驊</t>
  </si>
  <si>
    <t>達輝-KY</t>
  </si>
  <si>
    <t>尚凡</t>
  </si>
  <si>
    <t>大峽谷-KY</t>
  </si>
  <si>
    <t>數字</t>
  </si>
  <si>
    <t>宜鼎</t>
  </si>
  <si>
    <t>邑昇</t>
  </si>
  <si>
    <t>寶得利</t>
  </si>
  <si>
    <t>太欣</t>
  </si>
  <si>
    <t>鼎創達</t>
  </si>
  <si>
    <t>桂盟</t>
  </si>
  <si>
    <t>系統電</t>
  </si>
  <si>
    <t>天剛</t>
  </si>
  <si>
    <t>寶島科</t>
  </si>
  <si>
    <t>世紀</t>
  </si>
  <si>
    <t>光聯</t>
  </si>
  <si>
    <t>凱美</t>
  </si>
  <si>
    <t>友銓</t>
  </si>
  <si>
    <t>士開</t>
  </si>
  <si>
    <t>華容</t>
  </si>
  <si>
    <t>建榮</t>
  </si>
  <si>
    <t>立衛</t>
  </si>
  <si>
    <t>天揚</t>
  </si>
  <si>
    <t>世界</t>
  </si>
  <si>
    <t>系通</t>
  </si>
  <si>
    <t>先豐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</si>
  <si>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</si>
  <si>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</si>
  <si>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</si>
  <si>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</si>
  <si>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</si>
  <si>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</si>
  <si>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</si>
  <si>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</si>
  <si>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</si>
  <si>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應華</t>
  </si>
  <si>
    <t>中菲</t>
  </si>
  <si>
    <t>國眾</t>
  </si>
  <si>
    <t>台半</t>
  </si>
  <si>
    <t>振發</t>
  </si>
  <si>
    <t>達威</t>
  </si>
  <si>
    <t>東友</t>
  </si>
  <si>
    <t>高技</t>
  </si>
  <si>
    <t>均豪</t>
  </si>
  <si>
    <t>寶聯通</t>
  </si>
  <si>
    <t>佶優</t>
  </si>
  <si>
    <t>訊利電</t>
  </si>
  <si>
    <t>宣德</t>
  </si>
  <si>
    <t>同協</t>
  </si>
  <si>
    <t>霖宏</t>
  </si>
  <si>
    <t>富驊</t>
  </si>
  <si>
    <t>凱鈺</t>
  </si>
  <si>
    <t>聰泰</t>
  </si>
  <si>
    <t>德宏</t>
  </si>
  <si>
    <t>智冠</t>
  </si>
  <si>
    <t>統盟</t>
  </si>
  <si>
    <t>華韡</t>
  </si>
  <si>
    <t>中美晶</t>
  </si>
  <si>
    <t>通泰</t>
  </si>
  <si>
    <t>松普</t>
  </si>
  <si>
    <t>彩富</t>
  </si>
  <si>
    <t>同亨</t>
  </si>
  <si>
    <t>連展</t>
  </si>
  <si>
    <t>三聯</t>
  </si>
  <si>
    <t>凱崴</t>
  </si>
  <si>
    <t>永信建</t>
  </si>
  <si>
    <t>德昌</t>
  </si>
  <si>
    <t>力麒</t>
  </si>
  <si>
    <t>三豐</t>
  </si>
  <si>
    <t>雙喜</t>
  </si>
  <si>
    <t>力泰</t>
  </si>
  <si>
    <t>豐謙</t>
  </si>
  <si>
    <t>志嘉</t>
  </si>
  <si>
    <t>龍巖</t>
  </si>
  <si>
    <t>聖暉</t>
  </si>
  <si>
    <t>崇佑-KY</t>
  </si>
  <si>
    <t>台聯櫃</t>
  </si>
  <si>
    <t>陸海</t>
  </si>
  <si>
    <t>中連貨</t>
  </si>
  <si>
    <t>中菲行</t>
  </si>
  <si>
    <t>劍湖山</t>
  </si>
  <si>
    <t>亞都</t>
  </si>
  <si>
    <t>老爺知</t>
  </si>
  <si>
    <t>日盛金</t>
  </si>
  <si>
    <t>台名</t>
  </si>
  <si>
    <t>德記</t>
  </si>
  <si>
    <t>全家</t>
  </si>
  <si>
    <t>寶雅</t>
  </si>
  <si>
    <t>南仁湖</t>
  </si>
  <si>
    <t>宏遠證</t>
  </si>
  <si>
    <t>康和證</t>
  </si>
  <si>
    <t>大展證</t>
  </si>
  <si>
    <t>大慶證</t>
  </si>
  <si>
    <t>元大期</t>
  </si>
  <si>
    <t>群益期</t>
  </si>
  <si>
    <t>福邦證</t>
  </si>
  <si>
    <t>弘捷</t>
  </si>
  <si>
    <t>合邦</t>
  </si>
  <si>
    <t>創惟</t>
  </si>
  <si>
    <t>瑞傳</t>
  </si>
  <si>
    <t>華美</t>
  </si>
  <si>
    <t>亞元</t>
  </si>
  <si>
    <t>大宇資</t>
  </si>
  <si>
    <t>亞矽</t>
  </si>
  <si>
    <t>久威</t>
  </si>
  <si>
    <t>建達</t>
  </si>
  <si>
    <t>擎邦</t>
  </si>
  <si>
    <t>上奇</t>
  </si>
  <si>
    <t>業強</t>
  </si>
  <si>
    <t>廣運</t>
  </si>
  <si>
    <t>信音</t>
  </si>
  <si>
    <t>九豪</t>
  </si>
  <si>
    <t>普誠</t>
  </si>
  <si>
    <t>星寶國際</t>
  </si>
  <si>
    <t>萬旭</t>
  </si>
  <si>
    <t>茂達</t>
  </si>
  <si>
    <t>訊達</t>
  </si>
  <si>
    <t>振曜</t>
  </si>
  <si>
    <t>得利影</t>
  </si>
  <si>
    <t>耕興</t>
  </si>
  <si>
    <t>頎邦</t>
  </si>
  <si>
    <t>驊宏資</t>
  </si>
  <si>
    <t>撼訊</t>
  </si>
  <si>
    <t>晉倫</t>
  </si>
  <si>
    <t>順發</t>
  </si>
  <si>
    <t>松上</t>
  </si>
  <si>
    <t>禾昌</t>
  </si>
  <si>
    <t>欣技</t>
  </si>
  <si>
    <t>捷波</t>
  </si>
  <si>
    <t>華電網</t>
  </si>
  <si>
    <t>久正</t>
  </si>
  <si>
    <t>昱泉</t>
  </si>
  <si>
    <t>統振</t>
  </si>
  <si>
    <t>亞銳士</t>
  </si>
  <si>
    <t>安碁</t>
  </si>
  <si>
    <t>立敦</t>
  </si>
  <si>
    <t>亞通</t>
  </si>
  <si>
    <t>橘子</t>
  </si>
  <si>
    <t>合晶</t>
  </si>
  <si>
    <t>幃翔</t>
  </si>
  <si>
    <t>新潤</t>
  </si>
  <si>
    <t>萬潤</t>
  </si>
  <si>
    <t>廣明</t>
  </si>
  <si>
    <t>萬泰科</t>
  </si>
  <si>
    <t>育富</t>
  </si>
  <si>
    <t>詩肯</t>
  </si>
  <si>
    <t>凌泰</t>
  </si>
  <si>
    <t>天品</t>
  </si>
  <si>
    <t>海韻電</t>
  </si>
  <si>
    <t>艾華</t>
  </si>
  <si>
    <t>雷科</t>
  </si>
  <si>
    <t>日揚</t>
  </si>
  <si>
    <t>慶生</t>
  </si>
  <si>
    <t>理銘</t>
  </si>
  <si>
    <t>中探針</t>
  </si>
  <si>
    <t>豪勉</t>
  </si>
  <si>
    <t>富旺</t>
  </si>
  <si>
    <t>岳豐</t>
  </si>
  <si>
    <t>晉泰</t>
  </si>
  <si>
    <t>上揚</t>
  </si>
  <si>
    <t>旺矽</t>
  </si>
  <si>
    <t>茂綸</t>
  </si>
  <si>
    <t>全譜</t>
  </si>
  <si>
    <t>研通</t>
  </si>
  <si>
    <t>系微</t>
  </si>
  <si>
    <t>旺玖</t>
  </si>
  <si>
    <t>高僑</t>
  </si>
  <si>
    <t>康呈</t>
  </si>
  <si>
    <t>驊訊</t>
  </si>
  <si>
    <t>勝麗</t>
  </si>
  <si>
    <t>松崗</t>
  </si>
  <si>
    <t>易通展</t>
  </si>
  <si>
    <t>立康</t>
  </si>
  <si>
    <t>茂迪</t>
  </si>
  <si>
    <t>立端</t>
  </si>
  <si>
    <t>臺龍</t>
  </si>
  <si>
    <t>淇譽電</t>
  </si>
  <si>
    <t>沛波</t>
  </si>
  <si>
    <t>百徽</t>
  </si>
  <si>
    <t>久元</t>
  </si>
  <si>
    <t>普萊德</t>
  </si>
  <si>
    <t>富裔</t>
  </si>
  <si>
    <t>方土昶</t>
  </si>
  <si>
    <t>泰詠</t>
  </si>
  <si>
    <t>倍微</t>
  </si>
  <si>
    <t>台燿</t>
  </si>
  <si>
    <t>元山</t>
  </si>
  <si>
    <t>安鈦克</t>
  </si>
  <si>
    <t>胡連</t>
  </si>
  <si>
    <t>佳邦</t>
  </si>
  <si>
    <t>元隆</t>
  </si>
  <si>
    <t>良維</t>
  </si>
  <si>
    <t>沛亨</t>
  </si>
  <si>
    <t>迅德</t>
  </si>
  <si>
    <t>智基</t>
  </si>
  <si>
    <t>崴強</t>
  </si>
  <si>
    <t>通訊-KY</t>
  </si>
  <si>
    <t>晶焱</t>
  </si>
  <si>
    <t>韋僑</t>
  </si>
  <si>
    <t>京晨科</t>
  </si>
  <si>
    <t>統新</t>
  </si>
  <si>
    <t>今展科</t>
  </si>
  <si>
    <t>大中</t>
  </si>
  <si>
    <t>迅得</t>
  </si>
  <si>
    <t>藥華藥</t>
  </si>
  <si>
    <t>紘康</t>
  </si>
  <si>
    <t>神盾</t>
  </si>
  <si>
    <t>威潤</t>
  </si>
  <si>
    <t>大樹</t>
  </si>
  <si>
    <t>宇智</t>
  </si>
  <si>
    <t>保瑞</t>
  </si>
  <si>
    <t>弘煜科</t>
  </si>
  <si>
    <t>點序</t>
  </si>
  <si>
    <t>互動</t>
  </si>
  <si>
    <t>環球晶</t>
  </si>
  <si>
    <t>生華科</t>
  </si>
  <si>
    <t>九齊</t>
  </si>
  <si>
    <t>科懋</t>
  </si>
  <si>
    <t>亞獅康-KY</t>
  </si>
  <si>
    <t>益安</t>
  </si>
  <si>
    <t>雙邦</t>
  </si>
  <si>
    <t>惠光</t>
  </si>
  <si>
    <t>聚和</t>
  </si>
  <si>
    <t>精測</t>
  </si>
  <si>
    <t>啟發電</t>
  </si>
  <si>
    <t>芮特-KY</t>
  </si>
  <si>
    <t>達爾膚</t>
  </si>
  <si>
    <t>瑞耘</t>
  </si>
  <si>
    <t>順藥</t>
  </si>
  <si>
    <t>倉和</t>
  </si>
  <si>
    <t>隆中</t>
  </si>
  <si>
    <t>長華科</t>
  </si>
  <si>
    <t>中美冠科-KY</t>
  </si>
  <si>
    <t>欣普羅</t>
  </si>
  <si>
    <t>宏觀</t>
  </si>
  <si>
    <t>醫揚</t>
  </si>
  <si>
    <t>勁豐</t>
  </si>
  <si>
    <t>展匯科</t>
  </si>
  <si>
    <t>富強鑫</t>
  </si>
  <si>
    <t>瀧澤科</t>
  </si>
  <si>
    <t>崑鼎</t>
  </si>
  <si>
    <t>70001X</t>
  </si>
  <si>
    <t>臺銀金元大63展01</t>
  </si>
  <si>
    <t>70001Y</t>
  </si>
  <si>
    <t>一銀金元大63展01</t>
  </si>
  <si>
    <t>70002X</t>
  </si>
  <si>
    <t>世界元大63展02</t>
  </si>
  <si>
    <t>70004X</t>
  </si>
  <si>
    <t>頎邦元大63展03</t>
  </si>
  <si>
    <t>70005X</t>
  </si>
  <si>
    <t>精華元大66展02</t>
  </si>
  <si>
    <t>VHQ第一71購01</t>
  </si>
  <si>
    <t>朋程第一71購01</t>
  </si>
  <si>
    <t>金可第一71購01</t>
  </si>
  <si>
    <t>新漢第一71購01</t>
  </si>
  <si>
    <t>合一第一71購01</t>
  </si>
  <si>
    <t>閎康第一71購01</t>
  </si>
  <si>
    <t>雙鴻日盛71購01</t>
  </si>
  <si>
    <t>新麥第一71購01</t>
  </si>
  <si>
    <t>佰研第一72購01</t>
  </si>
  <si>
    <t>中美晶第一72購01</t>
  </si>
  <si>
    <t>華研第一72購01</t>
  </si>
  <si>
    <t>萬潤第一72購01</t>
  </si>
  <si>
    <t>欣銓第一72購01</t>
  </si>
  <si>
    <t>長華科國泰72購01</t>
  </si>
  <si>
    <t>廣積第一72購01</t>
  </si>
  <si>
    <t>伍豐富邦73購01</t>
  </si>
  <si>
    <t>環球晶富邦73購01</t>
  </si>
  <si>
    <t>金山電第一73購01</t>
  </si>
  <si>
    <t>聯亞第一73購01</t>
  </si>
  <si>
    <t>璟德富邦73購01</t>
  </si>
  <si>
    <t>同致第一73購01</t>
  </si>
  <si>
    <t>廣明第一73購01</t>
  </si>
  <si>
    <t>岳豐第一73購01</t>
  </si>
  <si>
    <t>同致富邦71購01</t>
  </si>
  <si>
    <t>伍豐第一73購01</t>
  </si>
  <si>
    <t>光燿科日盛71購01</t>
  </si>
  <si>
    <t>富喬日盛71購01</t>
  </si>
  <si>
    <t>元太第一74購01</t>
  </si>
  <si>
    <t>兆利元大71購01</t>
  </si>
  <si>
    <t>濱川元大71購01</t>
  </si>
  <si>
    <t>環宇元大71購01</t>
  </si>
  <si>
    <t>醫揚元大71購01</t>
  </si>
  <si>
    <t>濱川國泰72購01</t>
  </si>
  <si>
    <t>濱川國泰72購02</t>
  </si>
  <si>
    <t>合一元富71購01</t>
  </si>
  <si>
    <t>東隆興元富71購01</t>
  </si>
  <si>
    <t>伍豐元大71購01</t>
  </si>
  <si>
    <t>良維元大71購01</t>
  </si>
  <si>
    <t>紅馬元大71購01</t>
  </si>
  <si>
    <t>康普元大71購01</t>
  </si>
  <si>
    <t>霹靂元大71購01</t>
  </si>
  <si>
    <t>73806P</t>
  </si>
  <si>
    <t>環球晶國泰71售01</t>
  </si>
  <si>
    <t>73807P</t>
  </si>
  <si>
    <t>中美晶中信72售01</t>
  </si>
  <si>
    <t>邑錡</t>
  </si>
  <si>
    <t>佑華</t>
  </si>
  <si>
    <t>鈦昇</t>
  </si>
  <si>
    <t>光菱</t>
  </si>
  <si>
    <t>榮群</t>
  </si>
  <si>
    <t>長園科</t>
  </si>
  <si>
    <t>九暘</t>
  </si>
  <si>
    <t>金山電</t>
  </si>
  <si>
    <t>蜜望實</t>
  </si>
  <si>
    <t>網家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</si>
  <si>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</si>
  <si>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</si>
  <si>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</si>
  <si>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</si>
  <si>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</si>
  <si>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</si>
  <si>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</si>
  <si>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</si>
  <si>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</si>
  <si>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</si>
  <si>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</si>
  <si>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能率豐</t>
  </si>
  <si>
    <t>鉅橡</t>
  </si>
  <si>
    <t>伍豐</t>
  </si>
  <si>
    <t>洛碁</t>
  </si>
  <si>
    <t>奧斯特</t>
  </si>
  <si>
    <t>瑞穎</t>
  </si>
  <si>
    <t>巨虹</t>
  </si>
  <si>
    <t>福華</t>
  </si>
  <si>
    <t>宏捷科</t>
  </si>
  <si>
    <t>華鎂鑫</t>
  </si>
  <si>
    <t>品安</t>
  </si>
  <si>
    <t>翔名</t>
  </si>
  <si>
    <t>建暐</t>
  </si>
  <si>
    <t>保銳</t>
  </si>
  <si>
    <t>擎亞</t>
  </si>
  <si>
    <t>常珵</t>
  </si>
  <si>
    <t>大世科</t>
  </si>
  <si>
    <t>大億科</t>
  </si>
  <si>
    <t>博大</t>
  </si>
  <si>
    <t>立碁</t>
  </si>
  <si>
    <t>越峰</t>
  </si>
  <si>
    <t>正淩</t>
  </si>
  <si>
    <t>博智</t>
  </si>
  <si>
    <t>天宇</t>
  </si>
  <si>
    <t>智捷</t>
  </si>
  <si>
    <t>加高</t>
  </si>
  <si>
    <t>精星</t>
  </si>
  <si>
    <t>新漢</t>
  </si>
  <si>
    <t>華宏</t>
  </si>
  <si>
    <t>朋程</t>
  </si>
  <si>
    <t>商丞</t>
  </si>
  <si>
    <t>生展</t>
  </si>
  <si>
    <t>英格爾</t>
  </si>
  <si>
    <t>泰藝</t>
  </si>
  <si>
    <t>尚茂</t>
  </si>
  <si>
    <t>群聯</t>
  </si>
  <si>
    <t>恒耀</t>
  </si>
  <si>
    <t>冠好</t>
  </si>
  <si>
    <t>金居</t>
  </si>
  <si>
    <t>千附</t>
  </si>
  <si>
    <t>金益鼎</t>
  </si>
  <si>
    <t>白紗科</t>
  </si>
  <si>
    <t>盛弘</t>
  </si>
  <si>
    <t>金可-KY</t>
  </si>
  <si>
    <t>商之器</t>
  </si>
  <si>
    <t>森田</t>
  </si>
  <si>
    <t>大國鋼</t>
  </si>
  <si>
    <t>實威</t>
  </si>
  <si>
    <t>捷必勝-KY</t>
  </si>
  <si>
    <t>明揚</t>
  </si>
  <si>
    <t>旭源</t>
  </si>
  <si>
    <t>保綠-KY</t>
  </si>
  <si>
    <t>惠普</t>
  </si>
  <si>
    <t>紅木-KY</t>
  </si>
  <si>
    <t>匯鑽科</t>
  </si>
  <si>
    <t>東生華</t>
  </si>
  <si>
    <t>弘帆</t>
  </si>
  <si>
    <t>鉅邁</t>
  </si>
  <si>
    <t>大江</t>
  </si>
  <si>
    <t>大地-KY</t>
  </si>
  <si>
    <t>綠河-KY</t>
  </si>
  <si>
    <t>華研</t>
  </si>
  <si>
    <t>霹靂</t>
  </si>
  <si>
    <t>大拓-KY</t>
  </si>
  <si>
    <t>柏文</t>
  </si>
  <si>
    <t>夠麻吉</t>
  </si>
  <si>
    <t>台境</t>
  </si>
  <si>
    <t>創業家</t>
  </si>
  <si>
    <t>三貝德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</si>
  <si>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</si>
  <si>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</si>
  <si>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</si>
  <si>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</si>
  <si>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</si>
  <si>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</si>
  <si>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</si>
  <si>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</si>
  <si>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北基</t>
  </si>
  <si>
    <t>鉅明</t>
  </si>
  <si>
    <t>富堡</t>
  </si>
  <si>
    <t>青鋼</t>
  </si>
  <si>
    <t>大汽電</t>
  </si>
  <si>
    <t>宏大</t>
  </si>
  <si>
    <t>愛地雅</t>
  </si>
  <si>
    <t>衡平</t>
  </si>
  <si>
    <t>邦泰</t>
  </si>
  <si>
    <t>國統</t>
  </si>
  <si>
    <t>合騏</t>
  </si>
  <si>
    <t>明安</t>
  </si>
  <si>
    <t>關中</t>
  </si>
  <si>
    <t>森鉅</t>
  </si>
  <si>
    <t>琉園</t>
  </si>
  <si>
    <t>萬國通</t>
  </si>
  <si>
    <t>皇田</t>
  </si>
  <si>
    <t>邁達康</t>
  </si>
  <si>
    <t>有益</t>
  </si>
  <si>
    <t>搜尋日期</t>
    <phoneticPr fontId="1" type="noConversion"/>
  </si>
  <si>
    <t>ex.106/09/15</t>
    <phoneticPr fontId="1" type="noConversion"/>
  </si>
  <si>
    <t>今天日期</t>
    <phoneticPr fontId="1" type="noConversion"/>
  </si>
  <si>
    <t>當日股價:</t>
    <phoneticPr fontId="1" type="noConversion"/>
  </si>
  <si>
    <t>搜尋月份(民國)</t>
    <phoneticPr fontId="1" type="noConversion"/>
  </si>
  <si>
    <t>光洋科</t>
  </si>
  <si>
    <t>昶洧</t>
  </si>
  <si>
    <t>康普</t>
  </si>
  <si>
    <t>捷元</t>
  </si>
  <si>
    <t>力瑋</t>
  </si>
  <si>
    <t>大眾證</t>
  </si>
  <si>
    <t>新普</t>
  </si>
  <si>
    <t>信昌電</t>
  </si>
  <si>
    <t>70003X</t>
  </si>
  <si>
    <t>新普元大63展02</t>
  </si>
  <si>
    <t>新普第一74購01</t>
  </si>
  <si>
    <t>全銓</t>
  </si>
  <si>
    <t>106/04/07</t>
  </si>
  <si>
    <t>106/04/05</t>
  </si>
  <si>
    <t>106/04/06</t>
  </si>
  <si>
    <t>106/04/10</t>
  </si>
  <si>
    <t>106/04/11</t>
  </si>
  <si>
    <t>106/04/12</t>
  </si>
  <si>
    <t>106/04/13</t>
  </si>
  <si>
    <t>106/04/14</t>
  </si>
  <si>
    <t>106/04/17</t>
  </si>
  <si>
    <t>106/04/18</t>
  </si>
  <si>
    <t>106/04/19</t>
  </si>
  <si>
    <t>106/04/20</t>
  </si>
  <si>
    <t>106/04/21</t>
  </si>
  <si>
    <t>106/04/24</t>
  </si>
  <si>
    <t>106/04/25</t>
  </si>
  <si>
    <t>106/04/26</t>
  </si>
  <si>
    <t>106/04/27</t>
  </si>
  <si>
    <t>106/04/28</t>
  </si>
  <si>
    <t>共18筆</t>
  </si>
  <si>
    <t>富驛-KY</t>
  </si>
  <si>
    <t>倚強</t>
  </si>
  <si>
    <t>台原藥</t>
  </si>
  <si>
    <t>上櫃</t>
  </si>
  <si>
    <t>食品工業</t>
  </si>
  <si>
    <t>觀光事業</t>
  </si>
  <si>
    <t>電子零組件業</t>
  </si>
  <si>
    <t>生技醫療業</t>
  </si>
  <si>
    <t>電機機械</t>
  </si>
  <si>
    <t>電腦及週邊設備業</t>
  </si>
  <si>
    <t>其他業</t>
  </si>
  <si>
    <t>化學工業</t>
  </si>
  <si>
    <t>其他電子業</t>
  </si>
  <si>
    <t>鋼鐵工業</t>
  </si>
  <si>
    <t>電器電纜</t>
  </si>
  <si>
    <t>建材營造業</t>
  </si>
  <si>
    <t>航運業</t>
  </si>
  <si>
    <t>貿易百貨業</t>
  </si>
  <si>
    <t>誠品生</t>
  </si>
  <si>
    <t>光電業</t>
  </si>
  <si>
    <t>通信網路業</t>
  </si>
  <si>
    <t>半導體業</t>
  </si>
  <si>
    <t>資訊服務業</t>
  </si>
  <si>
    <t>文化創意業</t>
  </si>
  <si>
    <t>電子通路業</t>
  </si>
  <si>
    <t>海灣科</t>
  </si>
  <si>
    <t>樂陞</t>
  </si>
  <si>
    <t>元創</t>
  </si>
  <si>
    <t>穆拉德</t>
  </si>
  <si>
    <t>濟生醫藥</t>
  </si>
  <si>
    <t>塑膠工業</t>
  </si>
  <si>
    <t>紡織纖維</t>
  </si>
  <si>
    <t>飛寶</t>
  </si>
  <si>
    <t>元勝國際</t>
  </si>
  <si>
    <t>中美聯</t>
  </si>
  <si>
    <t>湯石</t>
  </si>
  <si>
    <t>橡膠工業</t>
  </si>
  <si>
    <t>系統</t>
  </si>
  <si>
    <t>寶聯</t>
  </si>
  <si>
    <t>金融保險業</t>
  </si>
  <si>
    <t>萬泰</t>
  </si>
  <si>
    <t>海韻</t>
  </si>
  <si>
    <t>啟發</t>
  </si>
  <si>
    <t>油電燃氣業</t>
  </si>
  <si>
    <t>006201</t>
  </si>
  <si>
    <t>ETF</t>
  </si>
  <si>
    <t>富邦美債1-3年</t>
  </si>
  <si>
    <t>富邦美債7-10年</t>
  </si>
  <si>
    <t>上櫃日期</t>
    <phoneticPr fontId="1" type="noConversion"/>
  </si>
  <si>
    <t>106/05/02</t>
  </si>
  <si>
    <t>106/05/03</t>
  </si>
  <si>
    <t>106/05/04</t>
  </si>
  <si>
    <t>106/05/05</t>
  </si>
  <si>
    <t>106/05/08</t>
  </si>
  <si>
    <t>106/05/09</t>
  </si>
  <si>
    <t>106/05/10</t>
  </si>
  <si>
    <t>106/05/11</t>
  </si>
  <si>
    <t>106/05/12</t>
  </si>
  <si>
    <t>106/05/15</t>
  </si>
  <si>
    <t>106/05/16</t>
  </si>
  <si>
    <t>106/05/17</t>
  </si>
  <si>
    <t>106/05/18</t>
  </si>
  <si>
    <t>106/05/19</t>
  </si>
  <si>
    <t>106/05/22</t>
  </si>
  <si>
    <t>106/05/23</t>
  </si>
  <si>
    <t>106/05/24</t>
  </si>
  <si>
    <t>106/05/25</t>
  </si>
  <si>
    <t>106/05/26</t>
  </si>
  <si>
    <t>106/05/31</t>
  </si>
  <si>
    <t>共20筆</t>
  </si>
  <si>
    <t>106/06/01</t>
  </si>
  <si>
    <t>106/06/02</t>
  </si>
  <si>
    <t>106/06/03</t>
  </si>
  <si>
    <t>106/06/05</t>
  </si>
  <si>
    <t>106/06/06</t>
  </si>
  <si>
    <t>106/06/07</t>
  </si>
  <si>
    <t>106/06/08</t>
  </si>
  <si>
    <t>106/06/09</t>
  </si>
  <si>
    <t>106/06/12</t>
  </si>
  <si>
    <t>106/06/13</t>
  </si>
  <si>
    <t>106/06/14</t>
  </si>
  <si>
    <t>106/06/15</t>
  </si>
  <si>
    <t>106/06/16</t>
  </si>
  <si>
    <t>106/06/19</t>
  </si>
  <si>
    <t>106/06/20</t>
  </si>
  <si>
    <t>106/06/21</t>
  </si>
  <si>
    <t>106/06/22</t>
  </si>
  <si>
    <t>106/06/23</t>
  </si>
  <si>
    <t>106/06/26</t>
  </si>
  <si>
    <t>106/06/27</t>
  </si>
  <si>
    <t>106/06/28</t>
  </si>
  <si>
    <t>106/06/29</t>
  </si>
  <si>
    <t>106/06/30</t>
  </si>
  <si>
    <t>共23筆</t>
  </si>
  <si>
    <t>105/01/04</t>
  </si>
  <si>
    <t>105/01/05</t>
  </si>
  <si>
    <t>105/01/06</t>
  </si>
  <si>
    <t>105/01/07</t>
  </si>
  <si>
    <t>105/01/08</t>
  </si>
  <si>
    <t>105/01/11</t>
  </si>
  <si>
    <t>105/01/12</t>
  </si>
  <si>
    <t>105/01/13</t>
  </si>
  <si>
    <t>105/01/14</t>
  </si>
  <si>
    <t>105/01/15</t>
  </si>
  <si>
    <t>105/01/18</t>
  </si>
  <si>
    <t>105/01/19</t>
  </si>
  <si>
    <t>105/01/20</t>
  </si>
  <si>
    <t>105/01/21</t>
  </si>
  <si>
    <t>105/01/22</t>
  </si>
  <si>
    <t>105/01/25</t>
  </si>
  <si>
    <t>105/01/26</t>
  </si>
  <si>
    <t>105/01/27</t>
  </si>
  <si>
    <t>105/01/28</t>
  </si>
  <si>
    <t>105/01/29</t>
  </si>
  <si>
    <t>105/01/30</t>
  </si>
  <si>
    <t>共21筆</t>
  </si>
  <si>
    <t>105/02/01</t>
  </si>
  <si>
    <t>105/02/02</t>
  </si>
  <si>
    <t>105/02/03</t>
  </si>
  <si>
    <t>105/02/15</t>
  </si>
  <si>
    <t>105/02/16</t>
  </si>
  <si>
    <t>105/02/17</t>
  </si>
  <si>
    <t>105/02/18</t>
  </si>
  <si>
    <t>105/02/19</t>
  </si>
  <si>
    <t>105/02/22</t>
  </si>
  <si>
    <t>105/02/23</t>
  </si>
  <si>
    <t>105/02/24</t>
  </si>
  <si>
    <t>105/02/25</t>
  </si>
  <si>
    <t>105/02/26</t>
  </si>
  <si>
    <t>共13筆</t>
  </si>
  <si>
    <t>105/03/01</t>
  </si>
  <si>
    <t>105/03/02</t>
  </si>
  <si>
    <t>105/03/03</t>
  </si>
  <si>
    <t>105/03/04</t>
  </si>
  <si>
    <t>105/03/07</t>
  </si>
  <si>
    <t>105/03/08</t>
  </si>
  <si>
    <t>105/03/09</t>
  </si>
  <si>
    <t>105/03/10</t>
  </si>
  <si>
    <t>105/03/11</t>
  </si>
  <si>
    <t>105/03/14</t>
  </si>
  <si>
    <t>105/03/15</t>
  </si>
  <si>
    <t>105/03/16</t>
  </si>
  <si>
    <t>105/03/17</t>
  </si>
  <si>
    <t>105/03/18</t>
  </si>
  <si>
    <t>105/03/21</t>
  </si>
  <si>
    <t>105/03/22</t>
  </si>
  <si>
    <t>105/03/23</t>
  </si>
  <si>
    <t>105/03/24</t>
  </si>
  <si>
    <t>105/03/25</t>
  </si>
  <si>
    <t>105/03/28</t>
  </si>
  <si>
    <t>105/03/29</t>
  </si>
  <si>
    <t>105/03/30</t>
  </si>
  <si>
    <t>105/03/31</t>
  </si>
  <si>
    <t>105/04/01</t>
  </si>
  <si>
    <t>105/04/06</t>
  </si>
  <si>
    <t>105/04/07</t>
  </si>
  <si>
    <t>105/04/08</t>
  </si>
  <si>
    <t>105/04/11</t>
  </si>
  <si>
    <t>105/04/12</t>
  </si>
  <si>
    <t>105/04/13</t>
  </si>
  <si>
    <t>105/04/14</t>
  </si>
  <si>
    <t>105/04/15</t>
  </si>
  <si>
    <t>105/04/18</t>
  </si>
  <si>
    <t>105/04/19</t>
  </si>
  <si>
    <t>105/04/20</t>
  </si>
  <si>
    <t>105/04/21</t>
  </si>
  <si>
    <t>105/04/22</t>
  </si>
  <si>
    <t>105/04/25</t>
  </si>
  <si>
    <t>105/04/26</t>
  </si>
  <si>
    <t>105/04/27</t>
  </si>
  <si>
    <t>105/04/28</t>
  </si>
  <si>
    <t>105/04/29</t>
  </si>
  <si>
    <t>共19筆</t>
  </si>
  <si>
    <t>105/05/03</t>
  </si>
  <si>
    <t>105/05/04</t>
  </si>
  <si>
    <t>105/05/05</t>
  </si>
  <si>
    <t>105/05/06</t>
  </si>
  <si>
    <t>105/05/09</t>
  </si>
  <si>
    <t>105/05/10</t>
  </si>
  <si>
    <t>105/05/11</t>
  </si>
  <si>
    <t>105/05/12</t>
  </si>
  <si>
    <t>105/05/13</t>
  </si>
  <si>
    <t>105/05/16</t>
  </si>
  <si>
    <t>105/05/17</t>
  </si>
  <si>
    <t>105/05/18</t>
  </si>
  <si>
    <t>105/05/19</t>
  </si>
  <si>
    <t>105/05/20</t>
  </si>
  <si>
    <t>105/05/23</t>
  </si>
  <si>
    <t>105/05/24</t>
  </si>
  <si>
    <t>105/05/25</t>
  </si>
  <si>
    <t>105/05/26</t>
  </si>
  <si>
    <t>105/05/27</t>
  </si>
  <si>
    <t>105/05/30</t>
  </si>
  <si>
    <t>105/05/31</t>
  </si>
  <si>
    <t>105/06/01</t>
  </si>
  <si>
    <t>105/06/02</t>
  </si>
  <si>
    <t>105/06/03</t>
  </si>
  <si>
    <t>105/06/04</t>
  </si>
  <si>
    <t>105/06/06</t>
  </si>
  <si>
    <t>105/06/07</t>
  </si>
  <si>
    <t>105/06/08</t>
  </si>
  <si>
    <t>105/06/13</t>
  </si>
  <si>
    <t>105/06/14</t>
  </si>
  <si>
    <t>105/06/15</t>
  </si>
  <si>
    <t>105/06/16</t>
  </si>
  <si>
    <t>105/06/17</t>
  </si>
  <si>
    <t>105/06/20</t>
  </si>
  <si>
    <t>105/06/21</t>
  </si>
  <si>
    <t>105/06/22</t>
  </si>
  <si>
    <t>105/06/23</t>
  </si>
  <si>
    <t>105/06/24</t>
  </si>
  <si>
    <t>105/06/27</t>
  </si>
  <si>
    <t>105/06/28</t>
  </si>
  <si>
    <t>105/06/29</t>
  </si>
  <si>
    <t>105/06/30</t>
  </si>
  <si>
    <t>105/07/01</t>
  </si>
  <si>
    <t>105/07/04</t>
  </si>
  <si>
    <t>105/07/05</t>
  </si>
  <si>
    <t>105/07/06</t>
  </si>
  <si>
    <t>105/07/07</t>
  </si>
  <si>
    <t>105/07/11</t>
  </si>
  <si>
    <t>105/07/12</t>
  </si>
  <si>
    <t>105/07/13</t>
  </si>
  <si>
    <t>105/07/14</t>
  </si>
  <si>
    <t>105/07/15</t>
  </si>
  <si>
    <t>105/07/18</t>
  </si>
  <si>
    <t>105/07/19</t>
  </si>
  <si>
    <t>105/07/20</t>
  </si>
  <si>
    <t>105/07/21</t>
  </si>
  <si>
    <t>105/07/22</t>
  </si>
  <si>
    <t>105/07/25</t>
  </si>
  <si>
    <t>105/07/26</t>
  </si>
  <si>
    <t>105/07/27</t>
  </si>
  <si>
    <t>105/07/28</t>
  </si>
  <si>
    <t>105/07/29</t>
  </si>
  <si>
    <t>105/08/01</t>
  </si>
  <si>
    <t>105/08/02</t>
  </si>
  <si>
    <t>105/08/03</t>
  </si>
  <si>
    <t>105/08/04</t>
  </si>
  <si>
    <t>105/08/05</t>
  </si>
  <si>
    <t>105/08/08</t>
  </si>
  <si>
    <t>105/08/09</t>
  </si>
  <si>
    <t>105/08/10</t>
  </si>
  <si>
    <t>105/08/11</t>
  </si>
  <si>
    <t>105/08/12</t>
  </si>
  <si>
    <t>105/08/15</t>
  </si>
  <si>
    <t>105/08/16</t>
  </si>
  <si>
    <t>105/08/17</t>
  </si>
  <si>
    <t>105/08/18</t>
  </si>
  <si>
    <t>105/08/19</t>
  </si>
  <si>
    <t>105/08/22</t>
  </si>
  <si>
    <t>105/08/23</t>
  </si>
  <si>
    <t>105/08/24</t>
  </si>
  <si>
    <t>105/08/25</t>
  </si>
  <si>
    <t>105/08/26</t>
  </si>
  <si>
    <t>105/08/29</t>
  </si>
  <si>
    <t>105/08/30</t>
  </si>
  <si>
    <t>105/08/31</t>
  </si>
  <si>
    <t>105/09/01</t>
  </si>
  <si>
    <t>105/09/02</t>
  </si>
  <si>
    <t>105/09/05</t>
  </si>
  <si>
    <t>105/09/06</t>
  </si>
  <si>
    <t>105/09/07</t>
  </si>
  <si>
    <t>105/09/08</t>
  </si>
  <si>
    <t>105/09/09</t>
  </si>
  <si>
    <t>105/09/10</t>
  </si>
  <si>
    <t>105/09/12</t>
  </si>
  <si>
    <t>105/09/13</t>
  </si>
  <si>
    <t>105/09/14</t>
  </si>
  <si>
    <t>105/09/19</t>
  </si>
  <si>
    <t>105/09/20</t>
  </si>
  <si>
    <t>105/09/21</t>
  </si>
  <si>
    <t>105/09/22</t>
  </si>
  <si>
    <t>105/09/23</t>
  </si>
  <si>
    <t>105/09/26</t>
  </si>
  <si>
    <t>105/09/29</t>
  </si>
  <si>
    <t>105/09/30</t>
  </si>
  <si>
    <t>105/10/03</t>
  </si>
  <si>
    <t>105/10/04</t>
  </si>
  <si>
    <t>105/10/05</t>
  </si>
  <si>
    <t>105/10/06</t>
  </si>
  <si>
    <t>105/10/07</t>
  </si>
  <si>
    <t>105/10/11</t>
  </si>
  <si>
    <t>105/10/12</t>
  </si>
  <si>
    <t>105/10/13</t>
  </si>
  <si>
    <t>105/10/14</t>
  </si>
  <si>
    <t>105/10/17</t>
  </si>
  <si>
    <t>105/10/18</t>
  </si>
  <si>
    <t>105/10/19</t>
  </si>
  <si>
    <t>105/10/20</t>
  </si>
  <si>
    <t>105/10/21</t>
  </si>
  <si>
    <t>105/10/24</t>
  </si>
  <si>
    <t>105/10/25</t>
  </si>
  <si>
    <t>105/10/26</t>
  </si>
  <si>
    <t>105/10/27</t>
  </si>
  <si>
    <t>105/10/28</t>
  </si>
  <si>
    <t>105/10/31</t>
  </si>
  <si>
    <t>105/11/01</t>
  </si>
  <si>
    <t>105/11/02</t>
  </si>
  <si>
    <t>105/11/03</t>
  </si>
  <si>
    <t>105/11/04</t>
  </si>
  <si>
    <t>105/11/07</t>
  </si>
  <si>
    <t>105/11/08</t>
  </si>
  <si>
    <t>105/11/09</t>
  </si>
  <si>
    <t>105/11/10</t>
  </si>
  <si>
    <t>105/11/11</t>
  </si>
  <si>
    <t>105/11/14</t>
  </si>
  <si>
    <t>105/11/15</t>
  </si>
  <si>
    <t>105/11/16</t>
  </si>
  <si>
    <t>105/11/17</t>
  </si>
  <si>
    <t>105/11/18</t>
  </si>
  <si>
    <t>105/11/21</t>
  </si>
  <si>
    <t>105/11/22</t>
  </si>
  <si>
    <t>105/11/23</t>
  </si>
  <si>
    <t>105/11/24</t>
  </si>
  <si>
    <t>105/11/25</t>
  </si>
  <si>
    <t>105/11/28</t>
  </si>
  <si>
    <t>105/11/29</t>
  </si>
  <si>
    <t>105/11/30</t>
  </si>
  <si>
    <t>共22筆</t>
  </si>
  <si>
    <t>105/12/01</t>
  </si>
  <si>
    <t>105/12/02</t>
  </si>
  <si>
    <t>105/12/05</t>
  </si>
  <si>
    <t>105/12/06</t>
  </si>
  <si>
    <t>105/12/07</t>
  </si>
  <si>
    <t>105/12/08</t>
  </si>
  <si>
    <t>105/12/09</t>
  </si>
  <si>
    <t>105/12/12</t>
  </si>
  <si>
    <t>105/12/13</t>
  </si>
  <si>
    <t>105/12/14</t>
  </si>
  <si>
    <t>105/12/15</t>
  </si>
  <si>
    <t>105/12/16</t>
  </si>
  <si>
    <t>105/12/19</t>
  </si>
  <si>
    <t>105/12/20</t>
  </si>
  <si>
    <t>105/12/21</t>
  </si>
  <si>
    <t>105/12/22</t>
  </si>
  <si>
    <t>105/12/23</t>
  </si>
  <si>
    <t>105/12/26</t>
  </si>
  <si>
    <t>105/12/27</t>
  </si>
  <si>
    <t>105/12/28</t>
  </si>
  <si>
    <t>105/12/29</t>
  </si>
  <si>
    <t>105/12/30</t>
  </si>
  <si>
    <t>106/01/03</t>
  </si>
  <si>
    <t>106/01/04</t>
  </si>
  <si>
    <t>106/01/05</t>
  </si>
  <si>
    <t>106/01/06</t>
  </si>
  <si>
    <t>106/01/09</t>
  </si>
  <si>
    <t>106/01/10</t>
  </si>
  <si>
    <t>106/01/11</t>
  </si>
  <si>
    <t>106/01/12</t>
  </si>
  <si>
    <t>106/01/13</t>
  </si>
  <si>
    <t>106/01/16</t>
  </si>
  <si>
    <t>106/01/17</t>
  </si>
  <si>
    <t>106/01/18</t>
  </si>
  <si>
    <t>106/01/19</t>
  </si>
  <si>
    <t>106/01/20</t>
  </si>
  <si>
    <t>106/01/23</t>
  </si>
  <si>
    <t>106/01/24</t>
  </si>
  <si>
    <t>共16筆</t>
  </si>
  <si>
    <t>106/02/02</t>
  </si>
  <si>
    <t>106/02/03</t>
  </si>
  <si>
    <t>106/02/06</t>
  </si>
  <si>
    <t>106/02/07</t>
  </si>
  <si>
    <t>106/02/08</t>
  </si>
  <si>
    <t>106/02/09</t>
  </si>
  <si>
    <t>106/02/10</t>
  </si>
  <si>
    <t>106/02/13</t>
  </si>
  <si>
    <t>106/02/14</t>
  </si>
  <si>
    <t>106/02/15</t>
  </si>
  <si>
    <t>106/02/16</t>
  </si>
  <si>
    <t>106/02/17</t>
  </si>
  <si>
    <t>106/02/18</t>
  </si>
  <si>
    <t>106/02/20</t>
  </si>
  <si>
    <t>106/02/21</t>
  </si>
  <si>
    <t>106/02/22</t>
  </si>
  <si>
    <t>106/02/23</t>
  </si>
  <si>
    <t>106/02/24</t>
  </si>
  <si>
    <t>106/03/01</t>
  </si>
  <si>
    <t>106/03/02</t>
  </si>
  <si>
    <t>106/03/03</t>
  </si>
  <si>
    <t>106/03/06</t>
  </si>
  <si>
    <t>106/03/07</t>
  </si>
  <si>
    <t>106/03/08</t>
  </si>
  <si>
    <t>106/03/09</t>
  </si>
  <si>
    <t>106/03/10</t>
  </si>
  <si>
    <t>106/03/13</t>
  </si>
  <si>
    <t>106/03/14</t>
  </si>
  <si>
    <t>106/03/15</t>
  </si>
  <si>
    <t>106/03/16</t>
  </si>
  <si>
    <t>106/03/17</t>
  </si>
  <si>
    <t>106/03/20</t>
  </si>
  <si>
    <t>106/03/21</t>
  </si>
  <si>
    <t>106/03/22</t>
  </si>
  <si>
    <t>106/03/23</t>
  </si>
  <si>
    <t>106/03/24</t>
  </si>
  <si>
    <t>106/03/27</t>
  </si>
  <si>
    <t>106/03/28</t>
  </si>
  <si>
    <t>106/03/29</t>
  </si>
  <si>
    <t>106/03/30</t>
  </si>
  <si>
    <t>106/03/31</t>
  </si>
  <si>
    <t>106/07/03</t>
  </si>
  <si>
    <t>106/07/04</t>
  </si>
  <si>
    <t>106/07/05</t>
  </si>
  <si>
    <t>106/07/06</t>
  </si>
  <si>
    <t>106/07/07</t>
  </si>
  <si>
    <t>106/07/10</t>
  </si>
  <si>
    <t>106/07/11</t>
  </si>
  <si>
    <t>106/07/12</t>
  </si>
  <si>
    <t>106/07/13</t>
  </si>
  <si>
    <t>106/07/14</t>
  </si>
  <si>
    <t>106/07/17</t>
  </si>
  <si>
    <t>106/07/18</t>
  </si>
  <si>
    <t>106/07/19</t>
  </si>
  <si>
    <t>106/07/20</t>
  </si>
  <si>
    <t>106/07/21</t>
  </si>
  <si>
    <t>106/07/24</t>
  </si>
  <si>
    <t>106/07/25</t>
  </si>
  <si>
    <t>106/07/26</t>
  </si>
  <si>
    <t>106/07/27</t>
  </si>
  <si>
    <t>106/07/28</t>
  </si>
  <si>
    <t>106/07/31</t>
  </si>
  <si>
    <t>106/08/01</t>
  </si>
  <si>
    <t>106/08/02</t>
  </si>
  <si>
    <t>106/08/03</t>
  </si>
  <si>
    <t>106/08/04</t>
  </si>
  <si>
    <t>106/08/07</t>
  </si>
  <si>
    <t>106/08/08</t>
  </si>
  <si>
    <t>106/08/09</t>
  </si>
  <si>
    <t>106/08/10</t>
  </si>
  <si>
    <t>106/08/11</t>
  </si>
  <si>
    <t>106/08/14</t>
  </si>
  <si>
    <t>106/08/15</t>
  </si>
  <si>
    <t>106/08/16</t>
  </si>
  <si>
    <t>106/08/17</t>
  </si>
  <si>
    <t>106/08/18</t>
  </si>
  <si>
    <t>106/08/21</t>
  </si>
  <si>
    <t>106/08/22</t>
  </si>
  <si>
    <t>106/08/23</t>
  </si>
  <si>
    <t>106/08/24</t>
  </si>
  <si>
    <t>106/08/25</t>
  </si>
  <si>
    <t>106/08/28</t>
  </si>
  <si>
    <t>106/08/29</t>
  </si>
  <si>
    <t>106/08/30</t>
  </si>
  <si>
    <t>106/08/31</t>
  </si>
  <si>
    <t>106/09/01</t>
  </si>
  <si>
    <t>106/09/04</t>
  </si>
  <si>
    <t>106/09/05</t>
  </si>
  <si>
    <t>106/09/06</t>
  </si>
  <si>
    <t>106/09/07</t>
  </si>
  <si>
    <t>106/09/08</t>
  </si>
  <si>
    <t>106/09/11</t>
  </si>
  <si>
    <t>106/09/12</t>
  </si>
  <si>
    <t>106/09/13</t>
  </si>
  <si>
    <t>106/09/14</t>
  </si>
  <si>
    <t>106/09/15</t>
  </si>
  <si>
    <t>106/09/18</t>
  </si>
  <si>
    <t>106/09/19</t>
  </si>
  <si>
    <t>106/09/20</t>
  </si>
  <si>
    <t>106/09/21</t>
  </si>
  <si>
    <t>106/09/22</t>
  </si>
  <si>
    <t>106/09/25</t>
  </si>
  <si>
    <t>106/09/26</t>
  </si>
  <si>
    <t>106/09/27</t>
  </si>
  <si>
    <t>106/09/28</t>
  </si>
  <si>
    <t>106/09/29</t>
  </si>
  <si>
    <t>106/09/30</t>
  </si>
  <si>
    <t>106/10/02</t>
  </si>
  <si>
    <t>106/10/03</t>
  </si>
  <si>
    <t>106/10/05</t>
  </si>
  <si>
    <t>106/10/06</t>
  </si>
  <si>
    <t>106/10/11</t>
  </si>
  <si>
    <t>106/10/12</t>
  </si>
  <si>
    <t>106/10/13</t>
  </si>
  <si>
    <t>106/10/16</t>
  </si>
  <si>
    <t>106/10/17</t>
  </si>
  <si>
    <t>106/10/18</t>
  </si>
  <si>
    <t>106/10/19</t>
  </si>
  <si>
    <t>106/10/20</t>
  </si>
  <si>
    <t>106/10/23</t>
  </si>
  <si>
    <t>106/10/24</t>
  </si>
  <si>
    <t>106/10/25</t>
  </si>
  <si>
    <t>106/10/26</t>
  </si>
  <si>
    <t>106/10/27</t>
  </si>
  <si>
    <t>106/10/30</t>
  </si>
  <si>
    <t>106/10/31</t>
  </si>
  <si>
    <t>106/11/01</t>
  </si>
  <si>
    <t>106/11/02</t>
  </si>
  <si>
    <t>106/11/03</t>
  </si>
  <si>
    <t>106/11/06</t>
  </si>
  <si>
    <t>106/11/07</t>
  </si>
  <si>
    <t>106/11/08</t>
  </si>
  <si>
    <t>106/11/09</t>
  </si>
  <si>
    <t>106/11/10</t>
  </si>
  <si>
    <t>106/11/13</t>
  </si>
  <si>
    <t>106/11/14</t>
  </si>
  <si>
    <t>106/11/15</t>
  </si>
  <si>
    <t>106/11/16</t>
  </si>
  <si>
    <t>106/11/17</t>
  </si>
  <si>
    <t>106/11/20</t>
  </si>
  <si>
    <t>106/11/21</t>
  </si>
  <si>
    <t>106/11/22</t>
  </si>
  <si>
    <t>106/11/23</t>
  </si>
  <si>
    <t>106/11/24</t>
  </si>
  <si>
    <t>106/11/27</t>
  </si>
  <si>
    <t>106/11/28</t>
  </si>
  <si>
    <t>106/11/29</t>
  </si>
  <si>
    <t>106/11/30</t>
  </si>
  <si>
    <t>106/12/01</t>
  </si>
  <si>
    <t>106/12/04</t>
  </si>
  <si>
    <t>106/12/05</t>
  </si>
  <si>
    <t>106/12/06</t>
  </si>
  <si>
    <t>106/12/07</t>
  </si>
  <si>
    <t>106/12/08</t>
  </si>
  <si>
    <t>106/12/11</t>
  </si>
  <si>
    <t>106/12/12</t>
  </si>
  <si>
    <t>106/12/13</t>
  </si>
  <si>
    <t>106/12/14</t>
  </si>
  <si>
    <t>106/12/15</t>
  </si>
  <si>
    <t>106/12/18</t>
  </si>
  <si>
    <t>106/12/19</t>
  </si>
  <si>
    <t>106/12/20</t>
  </si>
  <si>
    <t>106/12/21</t>
  </si>
  <si>
    <t>106/12/22</t>
  </si>
  <si>
    <t>106/12/25</t>
  </si>
  <si>
    <t>106/12/26</t>
  </si>
  <si>
    <t>106/12/27</t>
  </si>
  <si>
    <t>106/12/28</t>
  </si>
  <si>
    <t>106/12/29</t>
  </si>
  <si>
    <t>106/12/29</t>
    <phoneticPr fontId="1" type="noConversion"/>
  </si>
  <si>
    <t>106/12</t>
    <phoneticPr fontId="1" type="noConversion"/>
  </si>
  <si>
    <t>上櫃股票行情(含等價、零股、盤後、鉅額交易) 資料日期:106/12/29</t>
  </si>
  <si>
    <t>富邦美債1-3</t>
  </si>
  <si>
    <t>富邦美債7-10</t>
  </si>
  <si>
    <t>00722B</t>
  </si>
  <si>
    <t>群益15年IG電信債</t>
  </si>
  <si>
    <t>00723B</t>
  </si>
  <si>
    <t>群益15年IG科技債</t>
  </si>
  <si>
    <t>00724B</t>
  </si>
  <si>
    <t>群益10年IG金融債</t>
  </si>
  <si>
    <t>漢來美食</t>
  </si>
  <si>
    <t>凱柏實業</t>
  </si>
  <si>
    <t>鑫聯大投控</t>
  </si>
  <si>
    <t>連展投控</t>
  </si>
  <si>
    <t>元勝</t>
  </si>
  <si>
    <t>淳紳</t>
  </si>
  <si>
    <t>泓瀚</t>
  </si>
  <si>
    <t>慕康生醫</t>
  </si>
  <si>
    <t>昇益</t>
  </si>
  <si>
    <t>寬魚國際</t>
  </si>
  <si>
    <t>廣錠</t>
  </si>
  <si>
    <t>勝品</t>
  </si>
  <si>
    <t>維田</t>
  </si>
  <si>
    <t>霈方</t>
  </si>
  <si>
    <t>台灣銘板</t>
  </si>
  <si>
    <t>朋億</t>
  </si>
  <si>
    <t>70001P</t>
  </si>
  <si>
    <t>美磊元大72售01</t>
  </si>
  <si>
    <t>70004P</t>
  </si>
  <si>
    <t>精材群益72售01</t>
  </si>
  <si>
    <t>70006X</t>
  </si>
  <si>
    <t>良維元大6C展02</t>
  </si>
  <si>
    <t>70009P</t>
  </si>
  <si>
    <t>國統群益71售02</t>
  </si>
  <si>
    <t>70014P</t>
  </si>
  <si>
    <t>精材元大72售02</t>
  </si>
  <si>
    <t>70020P</t>
  </si>
  <si>
    <t>譜瑞元富71售01</t>
  </si>
  <si>
    <t>70021P</t>
  </si>
  <si>
    <t>聖暉群益71售04</t>
  </si>
  <si>
    <t>70030P</t>
  </si>
  <si>
    <t>穩懋兆豐71售02</t>
  </si>
  <si>
    <t>70031P</t>
  </si>
  <si>
    <t>譜瑞台新71售03</t>
  </si>
  <si>
    <t>70048P</t>
  </si>
  <si>
    <t>聯亞群益71售02</t>
  </si>
  <si>
    <t>70051P</t>
  </si>
  <si>
    <t>美磊群益71售03</t>
  </si>
  <si>
    <t>70052P</t>
  </si>
  <si>
    <t>富喬群益71售02</t>
  </si>
  <si>
    <t>70058P</t>
  </si>
  <si>
    <t>網家兆豐71售03</t>
  </si>
  <si>
    <t>70059P</t>
  </si>
  <si>
    <t>碩禾元大73售01</t>
  </si>
  <si>
    <t>70064P</t>
  </si>
  <si>
    <t>同致凱基71售01</t>
  </si>
  <si>
    <t>70066P</t>
  </si>
  <si>
    <t>精測富邦71售02</t>
  </si>
  <si>
    <t>70083P</t>
  </si>
  <si>
    <t>威剛群益72售01</t>
  </si>
  <si>
    <t>70087P</t>
  </si>
  <si>
    <t>金居元富71售01</t>
  </si>
  <si>
    <t>70088P</t>
  </si>
  <si>
    <t>穩懋群益71售04</t>
  </si>
  <si>
    <t>70089P</t>
  </si>
  <si>
    <t>穩懋群益71售05</t>
  </si>
  <si>
    <t>70090P</t>
  </si>
  <si>
    <t>群聯統一71售02</t>
  </si>
  <si>
    <t>70091P</t>
  </si>
  <si>
    <t>群聯凱基71售02</t>
  </si>
  <si>
    <t>70092P</t>
  </si>
  <si>
    <t>環球晶兆豐72售01</t>
  </si>
  <si>
    <t>70093P</t>
  </si>
  <si>
    <t>神盾國泰71售01</t>
  </si>
  <si>
    <t>70094P</t>
  </si>
  <si>
    <t>鈊象元富72售02</t>
  </si>
  <si>
    <t>70095P</t>
  </si>
  <si>
    <t>穩懋凱基74售04</t>
  </si>
  <si>
    <t>70096P</t>
  </si>
  <si>
    <t>穩懋兆豐72售02</t>
  </si>
  <si>
    <t>70097P</t>
  </si>
  <si>
    <t>群聯國泰71售01</t>
  </si>
  <si>
    <t>70098P</t>
  </si>
  <si>
    <t>碩禾國泰73售01</t>
  </si>
  <si>
    <t>70099P</t>
  </si>
  <si>
    <t>大江群益71售05</t>
  </si>
  <si>
    <t>70100P</t>
  </si>
  <si>
    <t>碩禾元大71售01</t>
  </si>
  <si>
    <t>70101P</t>
  </si>
  <si>
    <t>聯亞元大71售02</t>
  </si>
  <si>
    <t>70102P</t>
  </si>
  <si>
    <t>神準群益71售02</t>
  </si>
  <si>
    <t>70103P</t>
  </si>
  <si>
    <t>群聯群益71售02</t>
  </si>
  <si>
    <t>70104P</t>
  </si>
  <si>
    <t>環球晶統一71售05</t>
  </si>
  <si>
    <t>70105P</t>
  </si>
  <si>
    <t>威剛元大73售01</t>
  </si>
  <si>
    <t>70106P</t>
  </si>
  <si>
    <t>碩禾元大73售02</t>
  </si>
  <si>
    <t>70107P</t>
  </si>
  <si>
    <t>雙鴻元大74售02</t>
  </si>
  <si>
    <t>70108P</t>
  </si>
  <si>
    <t>穩懋元大72售01</t>
  </si>
  <si>
    <t>70109P</t>
  </si>
  <si>
    <t>環球晶國泰71售05</t>
  </si>
  <si>
    <t>70110P</t>
  </si>
  <si>
    <t>同致元大73售03</t>
  </si>
  <si>
    <t>70111P</t>
  </si>
  <si>
    <t>金居元大72售01</t>
  </si>
  <si>
    <t>70112P</t>
  </si>
  <si>
    <t>聯亞元大72售01</t>
  </si>
  <si>
    <t>70113P</t>
  </si>
  <si>
    <t>譜瑞元富72售01</t>
  </si>
  <si>
    <t>70114P</t>
  </si>
  <si>
    <t>良維元大71售02</t>
  </si>
  <si>
    <t>70115P</t>
  </si>
  <si>
    <t>台燿統一71售01</t>
  </si>
  <si>
    <t>70116P</t>
  </si>
  <si>
    <t>網家台新71售01</t>
  </si>
  <si>
    <t>70117P</t>
  </si>
  <si>
    <t>網家群益72售02</t>
  </si>
  <si>
    <t>70118P</t>
  </si>
  <si>
    <t>聯亞元大71售03</t>
  </si>
  <si>
    <t>70119P</t>
  </si>
  <si>
    <t>穩懋富邦71售01</t>
  </si>
  <si>
    <t>70120P</t>
  </si>
  <si>
    <t>大江凱基71售02</t>
  </si>
  <si>
    <t>70121P</t>
  </si>
  <si>
    <t>群聯富邦72售01</t>
  </si>
  <si>
    <t>70122P</t>
  </si>
  <si>
    <t>穩懋統一71售02</t>
  </si>
  <si>
    <t>70123P</t>
  </si>
  <si>
    <t>群聯群益72售01</t>
  </si>
  <si>
    <t>70124P</t>
  </si>
  <si>
    <t>精測群益73售01</t>
  </si>
  <si>
    <t>70125P</t>
  </si>
  <si>
    <t>網家群益71售01</t>
  </si>
  <si>
    <t>70126P</t>
  </si>
  <si>
    <t>環球晶群益71售02</t>
  </si>
  <si>
    <t>70127P</t>
  </si>
  <si>
    <t>聖暉元大71售01</t>
  </si>
  <si>
    <t>70128P</t>
  </si>
  <si>
    <t>精材元大71售01</t>
  </si>
  <si>
    <t>70129P</t>
  </si>
  <si>
    <t>同亨康和71售01</t>
  </si>
  <si>
    <t>70130P</t>
  </si>
  <si>
    <t>美琪瑪凱基71售01</t>
  </si>
  <si>
    <t>70131P</t>
  </si>
  <si>
    <t>精材台新71售03</t>
  </si>
  <si>
    <t>70132P</t>
  </si>
  <si>
    <t>康普群益73售01</t>
  </si>
  <si>
    <t>70133P</t>
  </si>
  <si>
    <t>勝麗群益72售01</t>
  </si>
  <si>
    <t>70134P</t>
  </si>
  <si>
    <t>聖暉群益73售01</t>
  </si>
  <si>
    <t>70135P</t>
  </si>
  <si>
    <t>精測群益72售01</t>
  </si>
  <si>
    <t>70136P</t>
  </si>
  <si>
    <t>網家群益73售01</t>
  </si>
  <si>
    <t>70137P</t>
  </si>
  <si>
    <t>聯亞元富72售01</t>
  </si>
  <si>
    <t>70138P</t>
  </si>
  <si>
    <t>環球晶統一71售07</t>
  </si>
  <si>
    <t>70139P</t>
  </si>
  <si>
    <t>勝麗群益73售01</t>
  </si>
  <si>
    <t>70140P</t>
  </si>
  <si>
    <t>環球晶群益71售03</t>
  </si>
  <si>
    <t>70141P</t>
  </si>
  <si>
    <t>精測永豐71售02</t>
  </si>
  <si>
    <t>70142P</t>
  </si>
  <si>
    <t>光燿科統一71售01</t>
  </si>
  <si>
    <t>70143P</t>
  </si>
  <si>
    <t>同致元大71售02</t>
  </si>
  <si>
    <t>70144P</t>
  </si>
  <si>
    <t>信驊凱基71售02</t>
  </si>
  <si>
    <t>70145P</t>
  </si>
  <si>
    <t>群聯元大71售06</t>
  </si>
  <si>
    <t>70146P</t>
  </si>
  <si>
    <t>網家凱基71售02</t>
  </si>
  <si>
    <t>70147P</t>
  </si>
  <si>
    <t>環球晶中信71售02</t>
  </si>
  <si>
    <t>70148P</t>
  </si>
  <si>
    <t>聯亞台新72售02</t>
  </si>
  <si>
    <t>70149P</t>
  </si>
  <si>
    <t>台燿元大71售04</t>
  </si>
  <si>
    <t>70150P</t>
  </si>
  <si>
    <t>勝麗元大71售01</t>
  </si>
  <si>
    <t>70151P</t>
  </si>
  <si>
    <t>環球晶玉山72售01</t>
  </si>
  <si>
    <t>70152P</t>
  </si>
  <si>
    <t>穩懋統一71售03</t>
  </si>
  <si>
    <t>70153P</t>
  </si>
  <si>
    <t>群聯元富71售02</t>
  </si>
  <si>
    <t>70154P</t>
  </si>
  <si>
    <t>宜特元大71售02</t>
  </si>
  <si>
    <t>70155P</t>
  </si>
  <si>
    <t>穩懋凱基74售07</t>
  </si>
  <si>
    <t>70156P</t>
  </si>
  <si>
    <t>網家群益72售04</t>
  </si>
  <si>
    <t>70157P</t>
  </si>
  <si>
    <t>群聯統一71售03</t>
  </si>
  <si>
    <t>70158P</t>
  </si>
  <si>
    <t>環球晶富邦71售02</t>
  </si>
  <si>
    <t>70159P</t>
  </si>
  <si>
    <t>同致元大74售02</t>
  </si>
  <si>
    <t>70160P</t>
  </si>
  <si>
    <t>群聯元大71售09</t>
  </si>
  <si>
    <t>70161P</t>
  </si>
  <si>
    <t>鈊象國泰71售02</t>
  </si>
  <si>
    <t>70162P</t>
  </si>
  <si>
    <t>群聯永豐71售03</t>
  </si>
  <si>
    <t>70163P</t>
  </si>
  <si>
    <t>穩懋永豐71售03</t>
  </si>
  <si>
    <t>70164P</t>
  </si>
  <si>
    <t>譜瑞永豐71售03</t>
  </si>
  <si>
    <t>70165P</t>
  </si>
  <si>
    <t>威剛凱基71售03</t>
  </si>
  <si>
    <t>70166P</t>
  </si>
  <si>
    <t>穩懋中信71售02</t>
  </si>
  <si>
    <t>70167P</t>
  </si>
  <si>
    <t>譜瑞群益71售04</t>
  </si>
  <si>
    <t>70168P</t>
  </si>
  <si>
    <t>群聯群益72售04</t>
  </si>
  <si>
    <t>70169P</t>
  </si>
  <si>
    <t>精測群益72售05</t>
  </si>
  <si>
    <t>70170P</t>
  </si>
  <si>
    <t>聯亞群益73售01</t>
  </si>
  <si>
    <t>70171P</t>
  </si>
  <si>
    <t>譜瑞群益71售05</t>
  </si>
  <si>
    <t>70172P</t>
  </si>
  <si>
    <t>勝麗康和71售01</t>
  </si>
  <si>
    <t>70173P</t>
  </si>
  <si>
    <t>昂寶元大71售04</t>
  </si>
  <si>
    <t>70174P</t>
  </si>
  <si>
    <t>康普元大72售01</t>
  </si>
  <si>
    <t>70175P</t>
  </si>
  <si>
    <t>萬潤元大72售01</t>
  </si>
  <si>
    <t>70176P</t>
  </si>
  <si>
    <t>穩懋統一71售05</t>
  </si>
  <si>
    <t>70177P</t>
  </si>
  <si>
    <t>威剛元富71售01</t>
  </si>
  <si>
    <t>70178P</t>
  </si>
  <si>
    <t>精材元富71售02</t>
  </si>
  <si>
    <t>70179P</t>
  </si>
  <si>
    <t>穩懋元富71售02</t>
  </si>
  <si>
    <t>70180P</t>
  </si>
  <si>
    <t>群聯國泰71售03</t>
  </si>
  <si>
    <t>70181P</t>
  </si>
  <si>
    <t>旺矽群益71售01</t>
  </si>
  <si>
    <t>70182P</t>
  </si>
  <si>
    <t>聯亞群益73售02</t>
  </si>
  <si>
    <t>70183P</t>
  </si>
  <si>
    <t>聯亞統一72售01</t>
  </si>
  <si>
    <t>70184P</t>
  </si>
  <si>
    <t>精測兆豐71售02</t>
  </si>
  <si>
    <t>70185P</t>
  </si>
  <si>
    <t>環球晶兆豐73售01</t>
  </si>
  <si>
    <t>70186P</t>
  </si>
  <si>
    <t>穩懋兆豐73售02</t>
  </si>
  <si>
    <t>70187P</t>
  </si>
  <si>
    <t>合晶群益71售03</t>
  </si>
  <si>
    <t>70188P</t>
  </si>
  <si>
    <t>智擎群益71售04</t>
  </si>
  <si>
    <t>70189P</t>
  </si>
  <si>
    <t>環球晶群益71售05</t>
  </si>
  <si>
    <t>70190P</t>
  </si>
  <si>
    <t>穩懋群益71售07</t>
  </si>
  <si>
    <t>70191P</t>
  </si>
  <si>
    <t>環球晶統一73售02</t>
  </si>
  <si>
    <t>70192P</t>
  </si>
  <si>
    <t>台燿凱基71售02</t>
  </si>
  <si>
    <t>70193P</t>
  </si>
  <si>
    <t>昇達科群益71售01</t>
  </si>
  <si>
    <t>70194P</t>
  </si>
  <si>
    <t>環球晶永豐71售05</t>
  </si>
  <si>
    <t>70195P</t>
  </si>
  <si>
    <t>環球晶元大71售04</t>
  </si>
  <si>
    <t>70196P</t>
  </si>
  <si>
    <t>環球晶元大71售05</t>
  </si>
  <si>
    <t>70197P</t>
  </si>
  <si>
    <t>網家元富71售02</t>
  </si>
  <si>
    <t>70198P</t>
  </si>
  <si>
    <t>環球晶元富71售03</t>
  </si>
  <si>
    <t>70199P</t>
  </si>
  <si>
    <t>環球晶統一71售08</t>
  </si>
  <si>
    <t>70200P</t>
  </si>
  <si>
    <t>群聯群益73售02</t>
  </si>
  <si>
    <t>70201P</t>
  </si>
  <si>
    <t>振曜元富72售01</t>
  </si>
  <si>
    <t>70202P</t>
  </si>
  <si>
    <t>波若威元大72售03</t>
  </si>
  <si>
    <t>70203P</t>
  </si>
  <si>
    <t>神盾元大73售01</t>
  </si>
  <si>
    <t>70204P</t>
  </si>
  <si>
    <t>精測元富72售02</t>
  </si>
  <si>
    <t>70205P</t>
  </si>
  <si>
    <t>群聯群益73售03</t>
  </si>
  <si>
    <t>70206P</t>
  </si>
  <si>
    <t>頎邦群益72售02</t>
  </si>
  <si>
    <t>70207P</t>
  </si>
  <si>
    <t>大江元大72售02</t>
  </si>
  <si>
    <t>70208P</t>
  </si>
  <si>
    <t>聯亞元大72售03</t>
  </si>
  <si>
    <t>70209P</t>
  </si>
  <si>
    <t>威剛富邦72售02</t>
  </si>
  <si>
    <t>70210P</t>
  </si>
  <si>
    <t>金可凱基72售03</t>
  </si>
  <si>
    <t>70211P</t>
  </si>
  <si>
    <t>神盾凱基72售01</t>
  </si>
  <si>
    <t>70212P</t>
  </si>
  <si>
    <t>廣明元富72售02</t>
  </si>
  <si>
    <t>70213P</t>
  </si>
  <si>
    <t>頎邦元富72售01</t>
  </si>
  <si>
    <t>70214P</t>
  </si>
  <si>
    <t>碩禾永豐72售01</t>
  </si>
  <si>
    <t>70215P</t>
  </si>
  <si>
    <t>穩懋台新72售02</t>
  </si>
  <si>
    <t>70216P</t>
  </si>
  <si>
    <t>精測群益73售02</t>
  </si>
  <si>
    <t>70217P</t>
  </si>
  <si>
    <t>金可元大72售02</t>
  </si>
  <si>
    <t>70218P</t>
  </si>
  <si>
    <t>同致國泰73售01</t>
  </si>
  <si>
    <t>70219P</t>
  </si>
  <si>
    <t>西柏群益72售02</t>
  </si>
  <si>
    <t>70220P</t>
  </si>
  <si>
    <t>群聯群益73售04</t>
  </si>
  <si>
    <t>70221P</t>
  </si>
  <si>
    <t>穩懋富邦73售02</t>
  </si>
  <si>
    <t>70222P</t>
  </si>
  <si>
    <t>旺矽元大73售01</t>
  </si>
  <si>
    <t>70223P</t>
  </si>
  <si>
    <t>精華群益72售02</t>
  </si>
  <si>
    <t>70224P</t>
  </si>
  <si>
    <t>西柏康和72售01</t>
  </si>
  <si>
    <t>70225P</t>
  </si>
  <si>
    <t>精測中信74售01</t>
  </si>
  <si>
    <t>70226P</t>
  </si>
  <si>
    <t>群聯統一72售05</t>
  </si>
  <si>
    <t>70227P</t>
  </si>
  <si>
    <t>聯亞兆豐72售02</t>
  </si>
  <si>
    <t>70228P</t>
  </si>
  <si>
    <t>宜特群益72售02</t>
  </si>
  <si>
    <t>70229P</t>
  </si>
  <si>
    <t>群聯台新72售02</t>
  </si>
  <si>
    <t>70230P</t>
  </si>
  <si>
    <t>聯亞國泰72售02</t>
  </si>
  <si>
    <t>70231P</t>
  </si>
  <si>
    <t>群聯凱基72售01</t>
  </si>
  <si>
    <t>70232P</t>
  </si>
  <si>
    <t>環球晶凱基72售05</t>
  </si>
  <si>
    <t>70233P</t>
  </si>
  <si>
    <t>頎邦群益72售03</t>
  </si>
  <si>
    <t>70234P</t>
  </si>
  <si>
    <t>環球晶元富72售03</t>
  </si>
  <si>
    <t>70235P</t>
  </si>
  <si>
    <t>穩懋群益72售02</t>
  </si>
  <si>
    <t>70236P</t>
  </si>
  <si>
    <t>東洋凱基72售01</t>
  </si>
  <si>
    <t>70237P</t>
  </si>
  <si>
    <t>威剛元大72售01</t>
  </si>
  <si>
    <t>70238P</t>
  </si>
  <si>
    <t>美琪瑪元大73售01</t>
  </si>
  <si>
    <t>70239P</t>
  </si>
  <si>
    <t>群聯元大72售03</t>
  </si>
  <si>
    <t>70240P</t>
  </si>
  <si>
    <t>譜瑞國泰73售01</t>
  </si>
  <si>
    <t>70241P</t>
  </si>
  <si>
    <t>穩懋元大72售04</t>
  </si>
  <si>
    <t>70242P</t>
  </si>
  <si>
    <t>宜鼎群益73售01</t>
  </si>
  <si>
    <t>70243P</t>
  </si>
  <si>
    <t>環球晶群益72售04</t>
  </si>
  <si>
    <t>70244P</t>
  </si>
  <si>
    <t>環球晶群益72售05</t>
  </si>
  <si>
    <t>70245P</t>
  </si>
  <si>
    <t>環球晶群益73售02</t>
  </si>
  <si>
    <t>70246P</t>
  </si>
  <si>
    <t>昇達科群益73售01</t>
  </si>
  <si>
    <t>70247P</t>
  </si>
  <si>
    <t>元太群益72售02</t>
  </si>
  <si>
    <t>70248P</t>
  </si>
  <si>
    <t>威剛群益73售01</t>
  </si>
  <si>
    <t>70249P</t>
  </si>
  <si>
    <t>聯亞群益73售04</t>
  </si>
  <si>
    <t>70250P</t>
  </si>
  <si>
    <t>雙鴻群益74售01</t>
  </si>
  <si>
    <t>70251P</t>
  </si>
  <si>
    <t>元太元大72售01</t>
  </si>
  <si>
    <t>70252P</t>
  </si>
  <si>
    <t>伍豐元大72售02</t>
  </si>
  <si>
    <t>70253P</t>
  </si>
  <si>
    <t>碩禾元大73售03</t>
  </si>
  <si>
    <t>70254P</t>
  </si>
  <si>
    <t>網家元大72售03</t>
  </si>
  <si>
    <t>70255P</t>
  </si>
  <si>
    <t>廣明元大72售04</t>
  </si>
  <si>
    <t>70256P</t>
  </si>
  <si>
    <t>頎邦元大72售03</t>
  </si>
  <si>
    <t>70257P</t>
  </si>
  <si>
    <t>合晶凱基72售01</t>
  </si>
  <si>
    <t>70258P</t>
  </si>
  <si>
    <t>元太統一72售01</t>
  </si>
  <si>
    <t>70259P</t>
  </si>
  <si>
    <t>同致統一72售02</t>
  </si>
  <si>
    <t>70260P</t>
  </si>
  <si>
    <t>網家元富72售02</t>
  </si>
  <si>
    <t>70261P</t>
  </si>
  <si>
    <t>原相凱基72售02</t>
  </si>
  <si>
    <t>70262P</t>
  </si>
  <si>
    <t>碩禾群益73售01</t>
  </si>
  <si>
    <t>70263P</t>
  </si>
  <si>
    <t>原相元大72售03</t>
  </si>
  <si>
    <t>70264P</t>
  </si>
  <si>
    <t>元太群益72售05</t>
  </si>
  <si>
    <t>70265P</t>
  </si>
  <si>
    <t>群聯國泰73售02</t>
  </si>
  <si>
    <t>70266P</t>
  </si>
  <si>
    <t>岳豐元富72售03</t>
  </si>
  <si>
    <t>70267P</t>
  </si>
  <si>
    <t>環球晶元大72售06</t>
  </si>
  <si>
    <t>70268P</t>
  </si>
  <si>
    <t>同致凱基73售04</t>
  </si>
  <si>
    <t>70269P</t>
  </si>
  <si>
    <t>環球晶台新73售01</t>
  </si>
  <si>
    <t>70270P</t>
  </si>
  <si>
    <t>統新康和72售01</t>
  </si>
  <si>
    <t>70271P</t>
  </si>
  <si>
    <t>頎邦台新73售01</t>
  </si>
  <si>
    <t>70272P</t>
  </si>
  <si>
    <t>精華富邦73售02</t>
  </si>
  <si>
    <t>70273P</t>
  </si>
  <si>
    <t>鈊象永豐73售01</t>
  </si>
  <si>
    <t>70274P</t>
  </si>
  <si>
    <t>統新元大73售03</t>
  </si>
  <si>
    <t>70275P</t>
  </si>
  <si>
    <t>原相凱基73售03</t>
  </si>
  <si>
    <t>70276P</t>
  </si>
  <si>
    <t>頎邦中信73售01</t>
  </si>
  <si>
    <t>70277P</t>
  </si>
  <si>
    <t>環球晶國泰73售01</t>
  </si>
  <si>
    <t>70278P</t>
  </si>
  <si>
    <t>金可元富73售02</t>
  </si>
  <si>
    <t>70279P</t>
  </si>
  <si>
    <t>碩禾永豐73售02</t>
  </si>
  <si>
    <t>70280P</t>
  </si>
  <si>
    <t>元太群益73售02</t>
  </si>
  <si>
    <t>70281P</t>
  </si>
  <si>
    <t>原相群益73售01</t>
  </si>
  <si>
    <t>70282P</t>
  </si>
  <si>
    <t>元太台新73售02</t>
  </si>
  <si>
    <t>70283P</t>
  </si>
  <si>
    <t>昂寶凱基73售01</t>
  </si>
  <si>
    <t>70284P</t>
  </si>
  <si>
    <t>元太元大73售04</t>
  </si>
  <si>
    <t>70285P</t>
  </si>
  <si>
    <t>元太統一73售03</t>
  </si>
  <si>
    <t>70286P</t>
  </si>
  <si>
    <t>群聯兆豐74售01</t>
  </si>
  <si>
    <t>70287P</t>
  </si>
  <si>
    <t>聯亞凱基73售02</t>
  </si>
  <si>
    <t>70288P</t>
  </si>
  <si>
    <t>璟德群益73售02</t>
  </si>
  <si>
    <t>70289P</t>
  </si>
  <si>
    <t>環球晶群益73售07</t>
  </si>
  <si>
    <t>70290P</t>
  </si>
  <si>
    <t>鐿鈦群益73售01</t>
  </si>
  <si>
    <t>70291P</t>
  </si>
  <si>
    <t>精材元大73售04</t>
  </si>
  <si>
    <t>70292P</t>
  </si>
  <si>
    <t>精華元富73售01</t>
  </si>
  <si>
    <t>70293P</t>
  </si>
  <si>
    <t>環球晶中信73售02</t>
  </si>
  <si>
    <t>70294P</t>
  </si>
  <si>
    <t>群聯群益74售01</t>
  </si>
  <si>
    <t>70295P</t>
  </si>
  <si>
    <t>碩禾群益73售02</t>
  </si>
  <si>
    <t>70296P</t>
  </si>
  <si>
    <t>網家群益73售04</t>
  </si>
  <si>
    <t>70297P</t>
  </si>
  <si>
    <t>晶焱統一73售01</t>
  </si>
  <si>
    <t>70298P</t>
  </si>
  <si>
    <t>精測台新73售01</t>
  </si>
  <si>
    <t>70299P</t>
  </si>
  <si>
    <t>譜瑞元大73售02</t>
  </si>
  <si>
    <t>70300P</t>
  </si>
  <si>
    <t>元太凱基73售03</t>
  </si>
  <si>
    <t>70301P</t>
  </si>
  <si>
    <t>聯亞凱基73售05</t>
  </si>
  <si>
    <t>70302P</t>
  </si>
  <si>
    <t>原相富邦73售02</t>
  </si>
  <si>
    <t>70303P</t>
  </si>
  <si>
    <t>金居群益74售01</t>
  </si>
  <si>
    <t>70304P</t>
  </si>
  <si>
    <t>群聯統一73售02</t>
  </si>
  <si>
    <t>70305P</t>
  </si>
  <si>
    <t>穩懋國票73售01</t>
  </si>
  <si>
    <t>70306P</t>
  </si>
  <si>
    <t>精材中信77售01</t>
  </si>
  <si>
    <t>70307P</t>
  </si>
  <si>
    <t>台燿群益73售02</t>
  </si>
  <si>
    <t>70308P</t>
  </si>
  <si>
    <t>頎邦群益73售02</t>
  </si>
  <si>
    <t>70309P</t>
  </si>
  <si>
    <t>群聯國票73售02</t>
  </si>
  <si>
    <t>70310P</t>
  </si>
  <si>
    <t>勝麗群益73售02</t>
  </si>
  <si>
    <t>70311P</t>
  </si>
  <si>
    <t>穩懋群益73售04</t>
  </si>
  <si>
    <t>70312P</t>
  </si>
  <si>
    <t>大江康和73售01</t>
  </si>
  <si>
    <t>70313P</t>
  </si>
  <si>
    <t>原相元大73售03</t>
  </si>
  <si>
    <t>70314P</t>
  </si>
  <si>
    <t>恒耀康和73售04</t>
  </si>
  <si>
    <t>70315P</t>
  </si>
  <si>
    <t>精材群益73售02</t>
  </si>
  <si>
    <t>70316P</t>
  </si>
  <si>
    <t>環球晶元富73售02</t>
  </si>
  <si>
    <t>70317P</t>
  </si>
  <si>
    <t>元太群益73售05</t>
  </si>
  <si>
    <t>70318P</t>
  </si>
  <si>
    <t>金居群益73售01</t>
  </si>
  <si>
    <t>70319P</t>
  </si>
  <si>
    <t>光燿科康和73售01</t>
  </si>
  <si>
    <t>70320P</t>
  </si>
  <si>
    <t>譜瑞台新73售02</t>
  </si>
  <si>
    <t>70321P</t>
  </si>
  <si>
    <t>元太元大73售07</t>
  </si>
  <si>
    <t>70322P</t>
  </si>
  <si>
    <t>穩懋元大73售01</t>
  </si>
  <si>
    <t>70323P</t>
  </si>
  <si>
    <t>僑威康和73售01</t>
  </si>
  <si>
    <t>70324P</t>
  </si>
  <si>
    <t>勝麗群益73售03</t>
  </si>
  <si>
    <t>70325P</t>
  </si>
  <si>
    <t>環球晶統一73售05</t>
  </si>
  <si>
    <t>70326P</t>
  </si>
  <si>
    <t>網家兆豐74售01</t>
  </si>
  <si>
    <t>70327P</t>
  </si>
  <si>
    <t>環球晶國泰73售03</t>
  </si>
  <si>
    <t>70328P</t>
  </si>
  <si>
    <t>環球晶國泰73售04</t>
  </si>
  <si>
    <t>70329P</t>
  </si>
  <si>
    <t>光燿科群益74售02</t>
  </si>
  <si>
    <t>70330P</t>
  </si>
  <si>
    <t>同致群益73售02</t>
  </si>
  <si>
    <t>70331P</t>
  </si>
  <si>
    <t>威剛群益73售02</t>
  </si>
  <si>
    <t>70332P</t>
  </si>
  <si>
    <t>環球晶群益73售10</t>
  </si>
  <si>
    <t>70333P</t>
  </si>
  <si>
    <t>環球晶群益73售11</t>
  </si>
  <si>
    <t>70334P</t>
  </si>
  <si>
    <t>環球晶群益74售02</t>
  </si>
  <si>
    <t>70335P</t>
  </si>
  <si>
    <t>碩禾統一73售01</t>
  </si>
  <si>
    <t>70336P</t>
  </si>
  <si>
    <t>譜瑞統一73售03</t>
  </si>
  <si>
    <t>70337P</t>
  </si>
  <si>
    <t>環球晶中信74售02</t>
  </si>
  <si>
    <t>70338P</t>
  </si>
  <si>
    <t>環宇群益73售01</t>
  </si>
  <si>
    <t>70339P</t>
  </si>
  <si>
    <t>環球晶統一74售04</t>
  </si>
  <si>
    <t>70340P</t>
  </si>
  <si>
    <t>雙鴻群益75售01</t>
  </si>
  <si>
    <t>70341P</t>
  </si>
  <si>
    <t>環球晶元大73售05</t>
  </si>
  <si>
    <t>70342P</t>
  </si>
  <si>
    <t>穩懋元富73售03</t>
  </si>
  <si>
    <t>70343P</t>
  </si>
  <si>
    <t>同致群益73售03</t>
  </si>
  <si>
    <t>70344P</t>
  </si>
  <si>
    <t>金可元大73售02</t>
  </si>
  <si>
    <t>70345P</t>
  </si>
  <si>
    <t>精測國泰73售01</t>
  </si>
  <si>
    <t>70346P</t>
  </si>
  <si>
    <t>金居統一73售02</t>
  </si>
  <si>
    <t>70347P</t>
  </si>
  <si>
    <t>環球晶兆豐73售04</t>
  </si>
  <si>
    <t>70348P</t>
  </si>
  <si>
    <t>聯亞群益73售06</t>
  </si>
  <si>
    <t>70349P</t>
  </si>
  <si>
    <t>元太元富73售03</t>
  </si>
  <si>
    <t>70350P</t>
  </si>
  <si>
    <t>勝麗群益74售02</t>
  </si>
  <si>
    <t>70351P</t>
  </si>
  <si>
    <t>信昌電康和73售01</t>
  </si>
  <si>
    <t>70352P</t>
  </si>
  <si>
    <t>雙鴻元富73售02</t>
  </si>
  <si>
    <t>70353P</t>
  </si>
  <si>
    <t>譜瑞元大73售05</t>
  </si>
  <si>
    <t>70354P</t>
  </si>
  <si>
    <t>台燿元大73售04</t>
  </si>
  <si>
    <t>70355P</t>
  </si>
  <si>
    <t>勝麗元大73售03</t>
  </si>
  <si>
    <t>70356P</t>
  </si>
  <si>
    <t>頎邦群益73售03</t>
  </si>
  <si>
    <t>70357P</t>
  </si>
  <si>
    <t>鈊象元富74售01</t>
  </si>
  <si>
    <t>70358P</t>
  </si>
  <si>
    <t>精材永豐74售01</t>
  </si>
  <si>
    <t>70359P</t>
  </si>
  <si>
    <t>精測中信74售03</t>
  </si>
  <si>
    <t>70360P</t>
  </si>
  <si>
    <t>元太群益74售04</t>
  </si>
  <si>
    <t>70361P</t>
  </si>
  <si>
    <t>廣明群益74售01</t>
  </si>
  <si>
    <t>70362P</t>
  </si>
  <si>
    <t>穩懋群益74售01</t>
  </si>
  <si>
    <t>70363P</t>
  </si>
  <si>
    <t>同致凱基74售01</t>
  </si>
  <si>
    <t>70364P</t>
  </si>
  <si>
    <t>東洋元大74售01</t>
  </si>
  <si>
    <t>70365P</t>
  </si>
  <si>
    <t>精測元大74售01</t>
  </si>
  <si>
    <t>70366P</t>
  </si>
  <si>
    <t>昇達科群益76售01</t>
  </si>
  <si>
    <t>70367P</t>
  </si>
  <si>
    <t>精測群益74售02</t>
  </si>
  <si>
    <t>70368P</t>
  </si>
  <si>
    <t>碩禾元富74售02</t>
  </si>
  <si>
    <t>70369P</t>
  </si>
  <si>
    <t>同致元富75售01</t>
  </si>
  <si>
    <t>70370P</t>
  </si>
  <si>
    <t>環球晶元富74售02</t>
  </si>
  <si>
    <t>70371P</t>
  </si>
  <si>
    <t>穩懋元大74售01</t>
  </si>
  <si>
    <t>70372P</t>
  </si>
  <si>
    <t>中美晶中信76售01</t>
  </si>
  <si>
    <t>70373P</t>
  </si>
  <si>
    <t>濱川康和74售01</t>
  </si>
  <si>
    <t>70374P</t>
  </si>
  <si>
    <t>中美晶凱基74售03</t>
  </si>
  <si>
    <t>70375P</t>
  </si>
  <si>
    <t>譜瑞國泰74售02</t>
  </si>
  <si>
    <t>70376P</t>
  </si>
  <si>
    <t>中美晶元富74售03</t>
  </si>
  <si>
    <t>70377P</t>
  </si>
  <si>
    <t>中美晶元大74售02</t>
  </si>
  <si>
    <t>70378P</t>
  </si>
  <si>
    <t>中美晶元大74售03</t>
  </si>
  <si>
    <t>70379P</t>
  </si>
  <si>
    <t>穩懋台新74售01</t>
  </si>
  <si>
    <t>70380P</t>
  </si>
  <si>
    <t>信驊元大74售01</t>
  </si>
  <si>
    <t>70381P</t>
  </si>
  <si>
    <t>穩懋元大74售03</t>
  </si>
  <si>
    <t>70382P</t>
  </si>
  <si>
    <t>中美晶群益74售03</t>
  </si>
  <si>
    <t>70383P</t>
  </si>
  <si>
    <t>中美晶群益74售04</t>
  </si>
  <si>
    <t>70384P</t>
  </si>
  <si>
    <t>穩懋中信76售01</t>
  </si>
  <si>
    <t>70385P</t>
  </si>
  <si>
    <t>元太富邦74售01</t>
  </si>
  <si>
    <t>70386P</t>
  </si>
  <si>
    <t>穩懋富邦74售03</t>
  </si>
  <si>
    <t>70387P</t>
  </si>
  <si>
    <t>伍豐元大74售02</t>
  </si>
  <si>
    <t>70388P</t>
  </si>
  <si>
    <t>同致元大74售05</t>
  </si>
  <si>
    <t>70389P</t>
  </si>
  <si>
    <t>環球晶元大74售05</t>
  </si>
  <si>
    <t>70390P</t>
  </si>
  <si>
    <t>金居兆豐74售03</t>
  </si>
  <si>
    <t>70391P</t>
  </si>
  <si>
    <t>環球晶凱基74售04</t>
  </si>
  <si>
    <t>70392P</t>
  </si>
  <si>
    <t>環球晶凱基74售05</t>
  </si>
  <si>
    <t>70393P</t>
  </si>
  <si>
    <t>環球晶凱基74售06</t>
  </si>
  <si>
    <t>70394P</t>
  </si>
  <si>
    <t>碩禾群益74售02</t>
  </si>
  <si>
    <t>70395P</t>
  </si>
  <si>
    <t>穩懋群益74售03</t>
  </si>
  <si>
    <t>70396P</t>
  </si>
  <si>
    <t>穩懋統一74售02</t>
  </si>
  <si>
    <t>70397P</t>
  </si>
  <si>
    <t>合晶元大74售01</t>
  </si>
  <si>
    <t>70398P</t>
  </si>
  <si>
    <t>元太群益74售06</t>
  </si>
  <si>
    <t>70399P</t>
  </si>
  <si>
    <t>精測永豐74售01</t>
  </si>
  <si>
    <t>70400P</t>
  </si>
  <si>
    <t>穩懋永豐74售02</t>
  </si>
  <si>
    <t>70401P</t>
  </si>
  <si>
    <t>中美晶台新74售02</t>
  </si>
  <si>
    <t>70402P</t>
  </si>
  <si>
    <t>中美晶元富74售06</t>
  </si>
  <si>
    <t>70403P</t>
  </si>
  <si>
    <t>穩懋元富74售01</t>
  </si>
  <si>
    <t>70404P</t>
  </si>
  <si>
    <t>中美晶群益74售07</t>
  </si>
  <si>
    <t>70405P</t>
  </si>
  <si>
    <t>良維群益75售01</t>
  </si>
  <si>
    <t>70406P</t>
  </si>
  <si>
    <t>統新群益74售01</t>
  </si>
  <si>
    <t>70407P</t>
  </si>
  <si>
    <t>中美晶凱基74售04</t>
  </si>
  <si>
    <t>70408P</t>
  </si>
  <si>
    <t>中美晶凱基74售05</t>
  </si>
  <si>
    <t>70409P</t>
  </si>
  <si>
    <t>中美晶統一74售03</t>
  </si>
  <si>
    <t>70410P</t>
  </si>
  <si>
    <t>穩懋兆豐74售02</t>
  </si>
  <si>
    <t>70411P</t>
  </si>
  <si>
    <t>合晶凱基74售03</t>
  </si>
  <si>
    <t>70412P</t>
  </si>
  <si>
    <t>威剛永豐74售01</t>
  </si>
  <si>
    <t>70413P</t>
  </si>
  <si>
    <t>精測日盛74售01</t>
  </si>
  <si>
    <t>70414P</t>
  </si>
  <si>
    <t>環球晶元富74售05</t>
  </si>
  <si>
    <t>70415P</t>
  </si>
  <si>
    <t>譜瑞元富74售01</t>
  </si>
  <si>
    <t>70416P</t>
  </si>
  <si>
    <t>台半康和74售01</t>
  </si>
  <si>
    <t>70417P</t>
  </si>
  <si>
    <t>中美晶凱基74售07</t>
  </si>
  <si>
    <t>70418P</t>
  </si>
  <si>
    <t>環球晶元大74售06</t>
  </si>
  <si>
    <t>70419P</t>
  </si>
  <si>
    <t>中美晶群益75售04</t>
  </si>
  <si>
    <t>70420P</t>
  </si>
  <si>
    <t>合晶群益76售01</t>
  </si>
  <si>
    <t>70421P</t>
  </si>
  <si>
    <t>網家群益74售02</t>
  </si>
  <si>
    <t>70422P</t>
  </si>
  <si>
    <t>環球晶群益74售05</t>
  </si>
  <si>
    <t>70423P</t>
  </si>
  <si>
    <t>譜瑞群益74售01</t>
  </si>
  <si>
    <t>70424P</t>
  </si>
  <si>
    <t>碩禾群益75售01</t>
  </si>
  <si>
    <t>70425P</t>
  </si>
  <si>
    <t>恒耀群益76售01</t>
  </si>
  <si>
    <t>70426P</t>
  </si>
  <si>
    <t>雙鴻康和74售01</t>
  </si>
  <si>
    <t>70427P</t>
  </si>
  <si>
    <t>璟德群益75售01</t>
  </si>
  <si>
    <t>70428P</t>
  </si>
  <si>
    <t>穩懋群益75售01</t>
  </si>
  <si>
    <t>70429P</t>
  </si>
  <si>
    <t>原相永豐74售01</t>
  </si>
  <si>
    <t>70430P</t>
  </si>
  <si>
    <t>穩懋台新75售02</t>
  </si>
  <si>
    <t>70431P</t>
  </si>
  <si>
    <t>中美晶元大74售07</t>
  </si>
  <si>
    <t>70432P</t>
  </si>
  <si>
    <t>精測元大75售01</t>
  </si>
  <si>
    <t>70433P</t>
  </si>
  <si>
    <t>頎邦元大74售02</t>
  </si>
  <si>
    <t>70434P</t>
  </si>
  <si>
    <t>中美晶國泰74售03</t>
  </si>
  <si>
    <t>70435P</t>
  </si>
  <si>
    <t>中美晶國泰76售03</t>
  </si>
  <si>
    <t>70436P</t>
  </si>
  <si>
    <t>聯亞兆豐74售02</t>
  </si>
  <si>
    <t>70437P</t>
  </si>
  <si>
    <t>頎邦群益75售03</t>
  </si>
  <si>
    <t>70438P</t>
  </si>
  <si>
    <t>穩懋元大74售07</t>
  </si>
  <si>
    <t>70439P</t>
  </si>
  <si>
    <t>順達台新74售02</t>
  </si>
  <si>
    <t>70440P</t>
  </si>
  <si>
    <t>璟德元大74售02</t>
  </si>
  <si>
    <t>70441P</t>
  </si>
  <si>
    <t>群聯凱基74售04</t>
  </si>
  <si>
    <t>70442P</t>
  </si>
  <si>
    <t>群聯凱基74售05</t>
  </si>
  <si>
    <t>70443P</t>
  </si>
  <si>
    <t>群聯凱基74售06</t>
  </si>
  <si>
    <t>70444P</t>
  </si>
  <si>
    <t>穩懋凱基74售11</t>
  </si>
  <si>
    <t>70445P</t>
  </si>
  <si>
    <t>加百裕元富74售02</t>
  </si>
  <si>
    <t>70446P</t>
  </si>
  <si>
    <t>中美晶中信76售02</t>
  </si>
  <si>
    <t>70447P</t>
  </si>
  <si>
    <t>穩懋中信76售02</t>
  </si>
  <si>
    <t>70448P</t>
  </si>
  <si>
    <t>加百裕群益74售03</t>
  </si>
  <si>
    <t>70449P</t>
  </si>
  <si>
    <t>精材日盛74售01</t>
  </si>
  <si>
    <t>70450P</t>
  </si>
  <si>
    <t>穩懋統一74售04</t>
  </si>
  <si>
    <t>70451P</t>
  </si>
  <si>
    <t>精材兆豐74售03</t>
  </si>
  <si>
    <t>70452P</t>
  </si>
  <si>
    <t>精測兆豐74售03</t>
  </si>
  <si>
    <t>70453P</t>
  </si>
  <si>
    <t>新漢康和74售02</t>
  </si>
  <si>
    <t>70454P</t>
  </si>
  <si>
    <t>原相凱基74售01</t>
  </si>
  <si>
    <t>70455P</t>
  </si>
  <si>
    <t>大中群益75售01</t>
  </si>
  <si>
    <t>70456P</t>
  </si>
  <si>
    <t>胡連元富74售02</t>
  </si>
  <si>
    <t>70457P</t>
  </si>
  <si>
    <t>穩懋元大74售09</t>
  </si>
  <si>
    <t>70458P</t>
  </si>
  <si>
    <t>環球晶統一74售07</t>
  </si>
  <si>
    <t>70459P</t>
  </si>
  <si>
    <t>威剛元大75售02</t>
  </si>
  <si>
    <t>70460P</t>
  </si>
  <si>
    <t>環球晶兆豐75售02</t>
  </si>
  <si>
    <t>70461P</t>
  </si>
  <si>
    <t>東洋群益75售01</t>
  </si>
  <si>
    <t>70462P</t>
  </si>
  <si>
    <t>精測群益76售01</t>
  </si>
  <si>
    <t>70463P</t>
  </si>
  <si>
    <t>穩懋群益76售01</t>
  </si>
  <si>
    <t>70464P</t>
  </si>
  <si>
    <t>威剛元大75售03</t>
  </si>
  <si>
    <t>70465P</t>
  </si>
  <si>
    <t>精材元大75售06</t>
  </si>
  <si>
    <t>70466P</t>
  </si>
  <si>
    <t>中美晶統一75售01</t>
  </si>
  <si>
    <t>70467P</t>
  </si>
  <si>
    <t>勝麗群益76售01</t>
  </si>
  <si>
    <t>70468P</t>
  </si>
  <si>
    <t>光燿科康和76售01</t>
  </si>
  <si>
    <t>70469P</t>
  </si>
  <si>
    <t>同亨康和75售01</t>
  </si>
  <si>
    <t>70470P</t>
  </si>
  <si>
    <t>雙鴻凱基76售01</t>
  </si>
  <si>
    <t>70471P</t>
  </si>
  <si>
    <t>精測元富75售01</t>
  </si>
  <si>
    <t>70472P</t>
  </si>
  <si>
    <t>群聯元大75售01</t>
  </si>
  <si>
    <t>70473P</t>
  </si>
  <si>
    <t>元太群益76售01</t>
  </si>
  <si>
    <t>70474P</t>
  </si>
  <si>
    <t>環球晶群益75售02</t>
  </si>
  <si>
    <t>70475P</t>
  </si>
  <si>
    <t>穩懋群益76售02</t>
  </si>
  <si>
    <t>70476P</t>
  </si>
  <si>
    <t>中美晶國泰76售04</t>
  </si>
  <si>
    <t>70477P</t>
  </si>
  <si>
    <t>聯亞元富75售01</t>
  </si>
  <si>
    <t>70478P</t>
  </si>
  <si>
    <t>穩懋元富75售02</t>
  </si>
  <si>
    <t>70479P</t>
  </si>
  <si>
    <t>同致富邦75售01</t>
  </si>
  <si>
    <t>70480P</t>
  </si>
  <si>
    <t>中美晶日盛75售01</t>
  </si>
  <si>
    <t>70481P</t>
  </si>
  <si>
    <t>中美晶兆豐75售03</t>
  </si>
  <si>
    <t>70482P</t>
  </si>
  <si>
    <t>穩懋兆豐75售01</t>
  </si>
  <si>
    <t>70483P</t>
  </si>
  <si>
    <t>金居群益76售02</t>
  </si>
  <si>
    <t>70484P</t>
  </si>
  <si>
    <t>新普群益75售01</t>
  </si>
  <si>
    <t>70485P</t>
  </si>
  <si>
    <t>精測元大75售03</t>
  </si>
  <si>
    <t>70486P</t>
  </si>
  <si>
    <t>宇隆康和75售01</t>
  </si>
  <si>
    <t>70487P</t>
  </si>
  <si>
    <t>大江凱基75售03</t>
  </si>
  <si>
    <t>70488P</t>
  </si>
  <si>
    <t>頎邦凱基75售02</t>
  </si>
  <si>
    <t>70489P</t>
  </si>
  <si>
    <t>元太國票75售01</t>
  </si>
  <si>
    <t>70490P</t>
  </si>
  <si>
    <t>網家元大75售02</t>
  </si>
  <si>
    <t>70491P</t>
  </si>
  <si>
    <t>環球晶元大75售02</t>
  </si>
  <si>
    <t>70492P</t>
  </si>
  <si>
    <t>聯亞元大75售01</t>
  </si>
  <si>
    <t>70493P</t>
  </si>
  <si>
    <t>穩懋元大75售03</t>
  </si>
  <si>
    <t>70494P</t>
  </si>
  <si>
    <t>金居國泰75售02</t>
  </si>
  <si>
    <t>70495P</t>
  </si>
  <si>
    <t>台半群益76售01</t>
  </si>
  <si>
    <t>70496P</t>
  </si>
  <si>
    <t>中美晶元大75售06</t>
  </si>
  <si>
    <t>70497P</t>
  </si>
  <si>
    <t>譜瑞元大75售02</t>
  </si>
  <si>
    <t>70498P</t>
  </si>
  <si>
    <t>穩懋凱基75售02</t>
  </si>
  <si>
    <t>70499P</t>
  </si>
  <si>
    <t>鈊象台新75售02</t>
  </si>
  <si>
    <t>70500P</t>
  </si>
  <si>
    <t>中美晶富邦75售03</t>
  </si>
  <si>
    <t>70501P</t>
  </si>
  <si>
    <t>精測群益76售02</t>
  </si>
  <si>
    <t>70502P</t>
  </si>
  <si>
    <t>欣銓元富75售02</t>
  </si>
  <si>
    <t>70503P</t>
  </si>
  <si>
    <t>精華元富75售03</t>
  </si>
  <si>
    <t>70504P</t>
  </si>
  <si>
    <t>大江元大75售04</t>
  </si>
  <si>
    <t>70505P</t>
  </si>
  <si>
    <t>鈊象元大75售02</t>
  </si>
  <si>
    <t>70506P</t>
  </si>
  <si>
    <t>威剛凱基75售01</t>
  </si>
  <si>
    <t>70507P</t>
  </si>
  <si>
    <t>穩懋凱基75售05</t>
  </si>
  <si>
    <t>70508P</t>
  </si>
  <si>
    <t>合晶元大75售04</t>
  </si>
  <si>
    <t>70509P</t>
  </si>
  <si>
    <t>良維元大75售03</t>
  </si>
  <si>
    <t>70510P</t>
  </si>
  <si>
    <t>穩懋元大76售02</t>
  </si>
  <si>
    <t>70511P</t>
  </si>
  <si>
    <t>大中群益76售02</t>
  </si>
  <si>
    <t>70512P</t>
  </si>
  <si>
    <t>金可元富75售02</t>
  </si>
  <si>
    <t>70513P</t>
  </si>
  <si>
    <t>閎康康和75售01</t>
  </si>
  <si>
    <t>70514P</t>
  </si>
  <si>
    <t>環球晶統一75售01</t>
  </si>
  <si>
    <t>70515P</t>
  </si>
  <si>
    <t>穩懋統一75售01</t>
  </si>
  <si>
    <t>70516P</t>
  </si>
  <si>
    <t>先進光元大75售03</t>
  </si>
  <si>
    <t>70517P</t>
  </si>
  <si>
    <t>環球晶凱基75售03</t>
  </si>
  <si>
    <t>70518P</t>
  </si>
  <si>
    <t>群聯中信77售02</t>
  </si>
  <si>
    <t>70519P</t>
  </si>
  <si>
    <t>穩懋台新75售03</t>
  </si>
  <si>
    <t>70520P</t>
  </si>
  <si>
    <t>譜瑞台新75售01</t>
  </si>
  <si>
    <t>70521P</t>
  </si>
  <si>
    <t>同致凱基75售01</t>
  </si>
  <si>
    <t>70522P</t>
  </si>
  <si>
    <t>廣明元富75售02</t>
  </si>
  <si>
    <t>70523P</t>
  </si>
  <si>
    <t>環球晶群益75售04</t>
  </si>
  <si>
    <t>70524P</t>
  </si>
  <si>
    <t>精材元大75售09</t>
  </si>
  <si>
    <t>70525P</t>
  </si>
  <si>
    <t>穩懋富邦75售03</t>
  </si>
  <si>
    <t>70526P</t>
  </si>
  <si>
    <t>元太統一75售01</t>
  </si>
  <si>
    <t>70527P</t>
  </si>
  <si>
    <t>元太凱基75售02</t>
  </si>
  <si>
    <t>70528P</t>
  </si>
  <si>
    <t>岳豐元大75售02</t>
  </si>
  <si>
    <t>70529P</t>
  </si>
  <si>
    <t>晶焱元大75售02</t>
  </si>
  <si>
    <t>70530P</t>
  </si>
  <si>
    <t>群聯元大75售04</t>
  </si>
  <si>
    <t>70531P</t>
  </si>
  <si>
    <t>網家元大75售03</t>
  </si>
  <si>
    <t>70532P</t>
  </si>
  <si>
    <t>西柏康和75售01</t>
  </si>
  <si>
    <t>70533P</t>
  </si>
  <si>
    <t>環球晶永昌75售04</t>
  </si>
  <si>
    <t>70534P</t>
  </si>
  <si>
    <t>環球晶中信76售02</t>
  </si>
  <si>
    <t>70535P</t>
  </si>
  <si>
    <t>精華統一75售01</t>
  </si>
  <si>
    <t>70536P</t>
  </si>
  <si>
    <t>元太元富75售02</t>
  </si>
  <si>
    <t>70537P</t>
  </si>
  <si>
    <t>神盾凱基75售04</t>
  </si>
  <si>
    <t>70538P</t>
  </si>
  <si>
    <t>元太元大75售02</t>
  </si>
  <si>
    <t>70539P</t>
  </si>
  <si>
    <t>譜瑞元大75售05</t>
  </si>
  <si>
    <t>70540P</t>
  </si>
  <si>
    <t>元太群益75售04</t>
  </si>
  <si>
    <t>70541P</t>
  </si>
  <si>
    <t>神盾凱基75售05</t>
  </si>
  <si>
    <t>70542P</t>
  </si>
  <si>
    <t>聯亞凱基75售04</t>
  </si>
  <si>
    <t>70543P</t>
  </si>
  <si>
    <t>聯亞凱基75售05</t>
  </si>
  <si>
    <t>70544P</t>
  </si>
  <si>
    <t>精華富邦75售02</t>
  </si>
  <si>
    <t>70545P</t>
  </si>
  <si>
    <t>神盾永豐75售04</t>
  </si>
  <si>
    <t>70546P</t>
  </si>
  <si>
    <t>環球晶統一75售04</t>
  </si>
  <si>
    <t>70547P</t>
  </si>
  <si>
    <t>穩懋統一75售02</t>
  </si>
  <si>
    <t>70548P</t>
  </si>
  <si>
    <t>譜瑞統一75售01</t>
  </si>
  <si>
    <t>70549P</t>
  </si>
  <si>
    <t>環球晶元大75售06</t>
  </si>
  <si>
    <t>70550P</t>
  </si>
  <si>
    <t>穩懋元大75售05</t>
  </si>
  <si>
    <t>70551P</t>
  </si>
  <si>
    <t>群聯國泰75售01</t>
  </si>
  <si>
    <t>70552P</t>
  </si>
  <si>
    <t>神盾群益75售03</t>
  </si>
  <si>
    <t>70553P</t>
  </si>
  <si>
    <t>環球晶日盛75售01</t>
  </si>
  <si>
    <t>70554P</t>
  </si>
  <si>
    <t>穩懋日盛75售01</t>
  </si>
  <si>
    <t>70555P</t>
  </si>
  <si>
    <t>神盾元大75售04</t>
  </si>
  <si>
    <t>70556P</t>
  </si>
  <si>
    <t>環球晶康和75售01</t>
  </si>
  <si>
    <t>70557P</t>
  </si>
  <si>
    <t>環球晶凱基75售06</t>
  </si>
  <si>
    <t>70558P</t>
  </si>
  <si>
    <t>環球晶統一75售05</t>
  </si>
  <si>
    <t>70559P</t>
  </si>
  <si>
    <t>聯亞兆豐76售02</t>
  </si>
  <si>
    <t>70560P</t>
  </si>
  <si>
    <t>台半元大75售04</t>
  </si>
  <si>
    <t>70561P</t>
  </si>
  <si>
    <t>原相元大76售02</t>
  </si>
  <si>
    <t>70562P</t>
  </si>
  <si>
    <t>神盾元大75售05</t>
  </si>
  <si>
    <t>70563P</t>
  </si>
  <si>
    <t>聯亞元大75售03</t>
  </si>
  <si>
    <t>70564P</t>
  </si>
  <si>
    <t>環球晶群益75售06</t>
  </si>
  <si>
    <t>70565P</t>
  </si>
  <si>
    <t>環球晶兆豐75售04</t>
  </si>
  <si>
    <t>70566P</t>
  </si>
  <si>
    <t>先進光康和75售01</t>
  </si>
  <si>
    <t>70567P</t>
  </si>
  <si>
    <t>元太元大75售05</t>
  </si>
  <si>
    <t>70568P</t>
  </si>
  <si>
    <t>光燿科元大75售01</t>
  </si>
  <si>
    <t>70569P</t>
  </si>
  <si>
    <t>聯亞元大75售05</t>
  </si>
  <si>
    <t>70570P</t>
  </si>
  <si>
    <t>精材永豐75售04</t>
  </si>
  <si>
    <t>70571P</t>
  </si>
  <si>
    <t>環球晶國泰75售03</t>
  </si>
  <si>
    <t>70572P</t>
  </si>
  <si>
    <t>合晶兆豐76售01</t>
  </si>
  <si>
    <t>70573P</t>
  </si>
  <si>
    <t>穩懋兆豐76售02</t>
  </si>
  <si>
    <t>70574P</t>
  </si>
  <si>
    <t>昂寶康和75售01</t>
  </si>
  <si>
    <t>70575P</t>
  </si>
  <si>
    <t>精測國泰76售02</t>
  </si>
  <si>
    <t>70576P</t>
  </si>
  <si>
    <t>精材元富76售02</t>
  </si>
  <si>
    <t>70577P</t>
  </si>
  <si>
    <t>凡甲康和76售01</t>
  </si>
  <si>
    <t>70578P</t>
  </si>
  <si>
    <t>碩禾康和76售01</t>
  </si>
  <si>
    <t>70579P</t>
  </si>
  <si>
    <t>昂寶凱基76售02</t>
  </si>
  <si>
    <t>70580P</t>
  </si>
  <si>
    <t>環球晶元大76售01</t>
  </si>
  <si>
    <t>70581P</t>
  </si>
  <si>
    <t>穩懋統一76售01</t>
  </si>
  <si>
    <t>70582P</t>
  </si>
  <si>
    <t>群聯永豐76售02</t>
  </si>
  <si>
    <t>70583P</t>
  </si>
  <si>
    <t>大江康和76售01</t>
  </si>
  <si>
    <t>70584P</t>
  </si>
  <si>
    <t>立端康和76售02</t>
  </si>
  <si>
    <t>70585P</t>
  </si>
  <si>
    <t>頎邦康和76售01</t>
  </si>
  <si>
    <t>70586P</t>
  </si>
  <si>
    <t>群聯元大76售01</t>
  </si>
  <si>
    <t>70587P</t>
  </si>
  <si>
    <t>精材元大76售01</t>
  </si>
  <si>
    <t>70588P</t>
  </si>
  <si>
    <t>雙鴻元大76售03</t>
  </si>
  <si>
    <t>70589P</t>
  </si>
  <si>
    <t>昂寶元大76售03</t>
  </si>
  <si>
    <t>70590P</t>
  </si>
  <si>
    <t>環球晶統一77售03</t>
  </si>
  <si>
    <t>70591P</t>
  </si>
  <si>
    <t>中美晶國票76售01</t>
  </si>
  <si>
    <t>70592P</t>
  </si>
  <si>
    <t>穩懋凱基76售01</t>
  </si>
  <si>
    <t>70593P</t>
  </si>
  <si>
    <t>群聯國泰77售01</t>
  </si>
  <si>
    <t>70594P</t>
  </si>
  <si>
    <t>穩懋國票76售01</t>
  </si>
  <si>
    <t>70595P</t>
  </si>
  <si>
    <t>精測元大76售02</t>
  </si>
  <si>
    <t>70596P</t>
  </si>
  <si>
    <t>精華元大76售03</t>
  </si>
  <si>
    <t>70597P</t>
  </si>
  <si>
    <t>穩懋富邦78售01</t>
  </si>
  <si>
    <t>70598P</t>
  </si>
  <si>
    <t>碩禾元大77售02</t>
  </si>
  <si>
    <t>70599P</t>
  </si>
  <si>
    <t>群聯兆豐76售02</t>
  </si>
  <si>
    <t>70600P</t>
  </si>
  <si>
    <t>合晶元富76售01</t>
  </si>
  <si>
    <t>70601P</t>
  </si>
  <si>
    <t>精測國泰76售03</t>
  </si>
  <si>
    <t>70602P</t>
  </si>
  <si>
    <t>聯亞群益76售02</t>
  </si>
  <si>
    <t>70603P</t>
  </si>
  <si>
    <t>新普富邦76售01</t>
  </si>
  <si>
    <t>70604P</t>
  </si>
  <si>
    <t>先進光康和76售01</t>
  </si>
  <si>
    <t>70605P</t>
  </si>
  <si>
    <t>原相元大76售03</t>
  </si>
  <si>
    <t>70606P</t>
  </si>
  <si>
    <t>欣銓凱基76售01</t>
  </si>
  <si>
    <t>70607P</t>
  </si>
  <si>
    <t>合晶群益77售01</t>
  </si>
  <si>
    <t>70608P</t>
  </si>
  <si>
    <t>環球晶群益76售02</t>
  </si>
  <si>
    <t>70609P</t>
  </si>
  <si>
    <t>譜瑞群益76售01</t>
  </si>
  <si>
    <t>70610P</t>
  </si>
  <si>
    <t>先進光元大76售01</t>
  </si>
  <si>
    <t>70611P</t>
  </si>
  <si>
    <t>穩懋元大76售05</t>
  </si>
  <si>
    <t>70612P</t>
  </si>
  <si>
    <t>精材凱基76售02</t>
  </si>
  <si>
    <t>70613P</t>
  </si>
  <si>
    <t>群聯富邦76售02</t>
  </si>
  <si>
    <t>70614P</t>
  </si>
  <si>
    <t>穩懋統一76售02</t>
  </si>
  <si>
    <t>70615P</t>
  </si>
  <si>
    <t>環球晶群益76售03</t>
  </si>
  <si>
    <t>70616P</t>
  </si>
  <si>
    <t>穩懋群益76售06</t>
  </si>
  <si>
    <t>70617P</t>
  </si>
  <si>
    <t>同致群益77售01</t>
  </si>
  <si>
    <t>70618P</t>
  </si>
  <si>
    <t>群聯群益76售03</t>
  </si>
  <si>
    <t>70619P</t>
  </si>
  <si>
    <t>穩懋元大76售07</t>
  </si>
  <si>
    <t>70620P</t>
  </si>
  <si>
    <t>穩懋台新76售01</t>
  </si>
  <si>
    <t>70621P</t>
  </si>
  <si>
    <t>合晶兆豐76售02</t>
  </si>
  <si>
    <t>70622P</t>
  </si>
  <si>
    <t>元太群益76售03</t>
  </si>
  <si>
    <t>70623P</t>
  </si>
  <si>
    <t>原相群益76售03</t>
  </si>
  <si>
    <t>70624P</t>
  </si>
  <si>
    <t>穩懋凱基76售02</t>
  </si>
  <si>
    <t>70625P</t>
  </si>
  <si>
    <t>穩懋元大76售08</t>
  </si>
  <si>
    <t>70626P</t>
  </si>
  <si>
    <t>金居元大7A售01</t>
  </si>
  <si>
    <t>70627P</t>
  </si>
  <si>
    <t>穩懋元大76售09</t>
  </si>
  <si>
    <t>70628P</t>
  </si>
  <si>
    <t>頎邦群益76售01</t>
  </si>
  <si>
    <t>70629P</t>
  </si>
  <si>
    <t>精材永豐76售02</t>
  </si>
  <si>
    <t>70630P</t>
  </si>
  <si>
    <t>精材國泰76售01</t>
  </si>
  <si>
    <t>70631P</t>
  </si>
  <si>
    <t>穩懋國泰77售01</t>
  </si>
  <si>
    <t>70632P</t>
  </si>
  <si>
    <t>穩懋統一77售01</t>
  </si>
  <si>
    <t>70633P</t>
  </si>
  <si>
    <t>台燿元富76售01</t>
  </si>
  <si>
    <t>70634P</t>
  </si>
  <si>
    <t>精材元大77售02</t>
  </si>
  <si>
    <t>70635P</t>
  </si>
  <si>
    <t>穩懋元富76售01</t>
  </si>
  <si>
    <t>70636P</t>
  </si>
  <si>
    <t>威剛凱基76售05</t>
  </si>
  <si>
    <t>70637P</t>
  </si>
  <si>
    <t>頎邦富邦76售02</t>
  </si>
  <si>
    <t>70638P</t>
  </si>
  <si>
    <t>碩禾元大79售02</t>
  </si>
  <si>
    <t>70639P</t>
  </si>
  <si>
    <t>精材群益76售03</t>
  </si>
  <si>
    <t>70640P</t>
  </si>
  <si>
    <t>群聯台新78售02</t>
  </si>
  <si>
    <t>70641P</t>
  </si>
  <si>
    <t>大江凱基76售03</t>
  </si>
  <si>
    <t>70642P</t>
  </si>
  <si>
    <t>元太富邦77售01</t>
  </si>
  <si>
    <t>70643P</t>
  </si>
  <si>
    <t>精華凱基76售01</t>
  </si>
  <si>
    <t>70644P</t>
  </si>
  <si>
    <t>金可元富76售02</t>
  </si>
  <si>
    <t>70645P</t>
  </si>
  <si>
    <t>精華元富76售02</t>
  </si>
  <si>
    <t>70646P</t>
  </si>
  <si>
    <t>譜瑞元富76售02</t>
  </si>
  <si>
    <t>70647P</t>
  </si>
  <si>
    <t>美琪瑪群益76售03</t>
  </si>
  <si>
    <t>70648P</t>
  </si>
  <si>
    <t>威剛日盛76售02</t>
  </si>
  <si>
    <t>70650P</t>
  </si>
  <si>
    <t>群聯群益77售02</t>
  </si>
  <si>
    <t>70651P</t>
  </si>
  <si>
    <t>原相永豐76售02</t>
  </si>
  <si>
    <t>70652P</t>
  </si>
  <si>
    <t>元太康和76售02</t>
  </si>
  <si>
    <t>環球晶國泰71購02</t>
  </si>
  <si>
    <t>環球晶統一71購01</t>
  </si>
  <si>
    <t>上詮國泰71購01</t>
  </si>
  <si>
    <t>鴻碩國泰71購01</t>
  </si>
  <si>
    <t>岳豐國泰71購01</t>
  </si>
  <si>
    <t>萬潤國泰71購01</t>
  </si>
  <si>
    <t>鈊象元大71購01</t>
  </si>
  <si>
    <t>紅馬國泰71購01</t>
  </si>
  <si>
    <t>雙鴻元富71購01</t>
  </si>
  <si>
    <t>雙鴻國泰72購01</t>
  </si>
  <si>
    <t>精材富邦72購01</t>
  </si>
  <si>
    <t>岳豐元大71購01</t>
  </si>
  <si>
    <t>醫揚元富71購01</t>
  </si>
  <si>
    <t>晶焱富邦72購01</t>
  </si>
  <si>
    <t>同致元大71購01</t>
  </si>
  <si>
    <t>光環元大71購01</t>
  </si>
  <si>
    <t>同致國泰71購01</t>
  </si>
  <si>
    <t>碩禾國泰71購01</t>
  </si>
  <si>
    <t>台燿元大71購01</t>
  </si>
  <si>
    <t>榮剛元大71購01</t>
  </si>
  <si>
    <t>鈊象元大71購02</t>
  </si>
  <si>
    <t>富喬元大72購01</t>
  </si>
  <si>
    <t>同致元大73購01</t>
  </si>
  <si>
    <t>網家兆豐71購01</t>
  </si>
  <si>
    <t>神準群益71購01</t>
  </si>
  <si>
    <t>鈊象元大72購01</t>
  </si>
  <si>
    <t>岳豐國泰71購02</t>
  </si>
  <si>
    <t>雙鴻國泰72購02</t>
  </si>
  <si>
    <t>陽程日盛72購01</t>
  </si>
  <si>
    <t>同致元富71購02</t>
  </si>
  <si>
    <t>富喬富邦71購01</t>
  </si>
  <si>
    <t>鈊象日盛71購02</t>
  </si>
  <si>
    <t>台燿元大71購02</t>
  </si>
  <si>
    <t>穩懋玉山72購01</t>
  </si>
  <si>
    <t>大江元大71購01</t>
  </si>
  <si>
    <t>鈊象元富71購01</t>
  </si>
  <si>
    <t>威剛富邦71購01</t>
  </si>
  <si>
    <t>應華富邦73購01</t>
  </si>
  <si>
    <t>富喬日盛72購01</t>
  </si>
  <si>
    <t>光燿科元大72購01</t>
  </si>
  <si>
    <t>同致元富71購03</t>
  </si>
  <si>
    <t>雙鴻群益71購01</t>
  </si>
  <si>
    <t>國統國泰72購01</t>
  </si>
  <si>
    <t>宜特群益71購01</t>
  </si>
  <si>
    <t>旺矽元大72購01</t>
  </si>
  <si>
    <t>波若威元大72購01</t>
  </si>
  <si>
    <t>閎康元大72購01</t>
  </si>
  <si>
    <t>群聯元大71購01</t>
  </si>
  <si>
    <t>碩禾元大72購01</t>
  </si>
  <si>
    <t>精材元大72購01</t>
  </si>
  <si>
    <t>宏觀國泰72購01</t>
  </si>
  <si>
    <t>環球晶玉山71購01</t>
  </si>
  <si>
    <t>精材台新71購01</t>
  </si>
  <si>
    <t>廣明元大72購01</t>
  </si>
  <si>
    <t>醫揚元大72購01</t>
  </si>
  <si>
    <t>翔名國泰71購01</t>
  </si>
  <si>
    <t>同致凱基72購01</t>
  </si>
  <si>
    <t>伍豐富邦71購01</t>
  </si>
  <si>
    <t>鈊象群益71購01</t>
  </si>
  <si>
    <t>同致日盛72購01</t>
  </si>
  <si>
    <t>伍豐元大71購02</t>
  </si>
  <si>
    <t>精材群益71購01</t>
  </si>
  <si>
    <t>碩禾中信72購01</t>
  </si>
  <si>
    <t>同致國泰72購01</t>
  </si>
  <si>
    <t>同致元大75購01</t>
  </si>
  <si>
    <t>勝麗元大72購01</t>
  </si>
  <si>
    <t>光燿科元富71購01</t>
  </si>
  <si>
    <t>伍豐群益71購01</t>
  </si>
  <si>
    <t>同亨元大71購01</t>
  </si>
  <si>
    <t>宜鼎元大72購01</t>
  </si>
  <si>
    <t>神盾元大72購01</t>
  </si>
  <si>
    <t>光環元大72購01</t>
  </si>
  <si>
    <t>碩禾富邦71購01</t>
  </si>
  <si>
    <t>精測台新71購01</t>
  </si>
  <si>
    <t>凡甲元大71購01</t>
  </si>
  <si>
    <t>伍豐中信71購01</t>
  </si>
  <si>
    <t>聖暉玉山71購01</t>
  </si>
  <si>
    <t>智冠國泰71購01</t>
  </si>
  <si>
    <t>群聯中信72購01</t>
  </si>
  <si>
    <t>碩禾元大76購01</t>
  </si>
  <si>
    <t>朋程統一73購01</t>
  </si>
  <si>
    <t>雙鴻中信73購01</t>
  </si>
  <si>
    <t>群聯日盛71購01</t>
  </si>
  <si>
    <t>康普國泰72購01</t>
  </si>
  <si>
    <t>數字群益71購01</t>
  </si>
  <si>
    <t>穩懋群益71購01</t>
  </si>
  <si>
    <t>雙鴻永豐71購01</t>
  </si>
  <si>
    <t>東洋國票71購01</t>
  </si>
  <si>
    <t>頎邦國票71購01</t>
  </si>
  <si>
    <t>台半國票71購01</t>
  </si>
  <si>
    <t>千附群益72購01</t>
  </si>
  <si>
    <t>富喬群益71購01</t>
  </si>
  <si>
    <t>聖暉群益71購03</t>
  </si>
  <si>
    <t>環球晶兆豐71購01</t>
  </si>
  <si>
    <t>碩禾永豐71購01</t>
  </si>
  <si>
    <t>應華群益71購01</t>
  </si>
  <si>
    <t>醫揚群益71購01</t>
  </si>
  <si>
    <t>萬潤元大73購01</t>
  </si>
  <si>
    <t>同致統一72購01</t>
  </si>
  <si>
    <t>穩懋統一72購01</t>
  </si>
  <si>
    <t>安勤元富71購01</t>
  </si>
  <si>
    <t>茂達元富71購01</t>
  </si>
  <si>
    <t>胡連兆豐71購01</t>
  </si>
  <si>
    <t>群聯兆豐71購01</t>
  </si>
  <si>
    <t>穩懋兆豐71購01</t>
  </si>
  <si>
    <t>金可富邦71購01</t>
  </si>
  <si>
    <t>譜瑞台新71購02</t>
  </si>
  <si>
    <t>碩禾元大76購02</t>
  </si>
  <si>
    <t>長華科群益71購02</t>
  </si>
  <si>
    <t>美磊群益71購01</t>
  </si>
  <si>
    <t>璟德群益71購01</t>
  </si>
  <si>
    <t>應華群益71購02</t>
  </si>
  <si>
    <t>譜瑞日盛71購01</t>
  </si>
  <si>
    <t>智擎統一72購01</t>
  </si>
  <si>
    <t>碩禾統一71購01</t>
  </si>
  <si>
    <t>環球晶統一71購02</t>
  </si>
  <si>
    <t>聯亞元富71購01</t>
  </si>
  <si>
    <t>鈊象富邦73購01</t>
  </si>
  <si>
    <t>先豐中信71購01</t>
  </si>
  <si>
    <t>穩懋台新71購01</t>
  </si>
  <si>
    <t>VHQ元大73購01</t>
  </si>
  <si>
    <t>宏觀元大73購01</t>
  </si>
  <si>
    <t>陽程元大73購01</t>
  </si>
  <si>
    <t>精測元大71購01</t>
  </si>
  <si>
    <t>宜特兆豐71購01</t>
  </si>
  <si>
    <t>原相兆豐71購01</t>
  </si>
  <si>
    <t>璟德元富71購01</t>
  </si>
  <si>
    <t>穩懋玉山73購01</t>
  </si>
  <si>
    <t>昂寶元大71購01</t>
  </si>
  <si>
    <t>美磊元大71購01</t>
  </si>
  <si>
    <t>鈊象元大73購01</t>
  </si>
  <si>
    <t>群聯國泰72購01</t>
  </si>
  <si>
    <t>光燿科元富72購01</t>
  </si>
  <si>
    <t>穩懋統一71購01</t>
  </si>
  <si>
    <t>伍豐群益72購01</t>
  </si>
  <si>
    <t>振曜群益71購01</t>
  </si>
  <si>
    <t>凡甲日盛72購01</t>
  </si>
  <si>
    <t>晶焱日盛71購01</t>
  </si>
  <si>
    <t>信驊統一71購01</t>
  </si>
  <si>
    <t>信驊兆豐71購01</t>
  </si>
  <si>
    <t>台燿元大71購03</t>
  </si>
  <si>
    <t>宜特元大72購01</t>
  </si>
  <si>
    <t>榮剛元大73購01</t>
  </si>
  <si>
    <t>雙鴻國泰76購01</t>
  </si>
  <si>
    <t>光環群益71購01</t>
  </si>
  <si>
    <t>聖暉群益72購01</t>
  </si>
  <si>
    <t>同致玉山72購01</t>
  </si>
  <si>
    <t>金山電元大71購01</t>
  </si>
  <si>
    <t>譜瑞元富71購02</t>
  </si>
  <si>
    <t>伍豐日盛71購01</t>
  </si>
  <si>
    <t>群聯統一71購01</t>
  </si>
  <si>
    <t>精華兆豐71購01</t>
  </si>
  <si>
    <t>千附群益71購01</t>
  </si>
  <si>
    <t>波若威群益71購01</t>
  </si>
  <si>
    <t>美磊群益71購02</t>
  </si>
  <si>
    <t>原相群益71購01</t>
  </si>
  <si>
    <t>威剛日盛71購01</t>
  </si>
  <si>
    <t>精材日盛71購01</t>
  </si>
  <si>
    <t>網家統一71購01</t>
  </si>
  <si>
    <t>環球晶統一71購03</t>
  </si>
  <si>
    <t>富喬元大71購01</t>
  </si>
  <si>
    <t>聯亞元大71購01</t>
  </si>
  <si>
    <t>凡甲元大72購01</t>
  </si>
  <si>
    <t>帛漢元大71購01</t>
  </si>
  <si>
    <t>陽程群益71購01</t>
  </si>
  <si>
    <t>萬潤群益71購01</t>
  </si>
  <si>
    <t>榮剛群益71購01</t>
  </si>
  <si>
    <t>碩禾群益71購01</t>
  </si>
  <si>
    <t>網家群益72購01</t>
  </si>
  <si>
    <t>譜瑞元富71購03</t>
  </si>
  <si>
    <t>群聯台新71購01</t>
  </si>
  <si>
    <t>凡甲元富71購02</t>
  </si>
  <si>
    <t>來思達元富71購01</t>
  </si>
  <si>
    <t>千附群益72購02</t>
  </si>
  <si>
    <t>帛漢群益71購01</t>
  </si>
  <si>
    <t>譜瑞群益71購01</t>
  </si>
  <si>
    <t>昂寶元大71購02</t>
  </si>
  <si>
    <t>波若威元大72購02</t>
  </si>
  <si>
    <t>勝麗元大73購01</t>
  </si>
  <si>
    <t>來思達國泰71購01</t>
  </si>
  <si>
    <t>精材國泰71購01</t>
  </si>
  <si>
    <t>宜鼎群益71購01</t>
  </si>
  <si>
    <t>旺矽元富71購01</t>
  </si>
  <si>
    <t>萬潤元大71購01</t>
  </si>
  <si>
    <t>群聯統一72購01</t>
  </si>
  <si>
    <t>光燿科兆豐71購01</t>
  </si>
  <si>
    <t>良維兆豐71購01</t>
  </si>
  <si>
    <t>金可兆豐73購01</t>
  </si>
  <si>
    <t>網家兆豐71購02</t>
  </si>
  <si>
    <t>穩懋兆豐71購03</t>
  </si>
  <si>
    <t>鈊象兆豐71購02</t>
  </si>
  <si>
    <t>岳豐國泰72購01</t>
  </si>
  <si>
    <t>威剛富邦72購01</t>
  </si>
  <si>
    <t>伍豐元大72購01</t>
  </si>
  <si>
    <t>群聯元大72購01</t>
  </si>
  <si>
    <t>榮剛群益71購02</t>
  </si>
  <si>
    <t>聯亞群益71購03</t>
  </si>
  <si>
    <t>光環日盛72購01</t>
  </si>
  <si>
    <t>凡甲統一72購01</t>
  </si>
  <si>
    <t>昂寶群益71購02</t>
  </si>
  <si>
    <t>鈊象群益71購02</t>
  </si>
  <si>
    <t>原相元大71購01</t>
  </si>
  <si>
    <t>勝麗元大72購02</t>
  </si>
  <si>
    <t>環球晶元大71購01</t>
  </si>
  <si>
    <t>大江群益71購02</t>
  </si>
  <si>
    <t>廣明元大72購02</t>
  </si>
  <si>
    <t>旺矽日盛71購01</t>
  </si>
  <si>
    <t>旺矽兆豐71購01</t>
  </si>
  <si>
    <t>精材凱基73購04</t>
  </si>
  <si>
    <t>大江群益71購03</t>
  </si>
  <si>
    <t>廣積群益72購01</t>
  </si>
  <si>
    <t>閎康元大71購01</t>
  </si>
  <si>
    <t>雙鴻日盛74購01</t>
  </si>
  <si>
    <t>岳豐國泰76購01</t>
  </si>
  <si>
    <t>大江群益71購04</t>
  </si>
  <si>
    <t>均豪群益72購01</t>
  </si>
  <si>
    <t>網家統一72購01</t>
  </si>
  <si>
    <t>精測兆豐71購01</t>
  </si>
  <si>
    <t>環球晶兆豐71購02</t>
  </si>
  <si>
    <t>冠科永豐71購01</t>
  </si>
  <si>
    <t>聯合日盛71購01</t>
  </si>
  <si>
    <t>環球晶統一71購04</t>
  </si>
  <si>
    <t>凡甲國泰73購01</t>
  </si>
  <si>
    <t>東捷國泰71購01</t>
  </si>
  <si>
    <t>鈊象富邦73購02</t>
  </si>
  <si>
    <t>VHQ元大71購01</t>
  </si>
  <si>
    <t>萬潤元大73購02</t>
  </si>
  <si>
    <t>精材元大73購01</t>
  </si>
  <si>
    <t>光燿科凱基73購01</t>
  </si>
  <si>
    <t>昂寶凱基71購01</t>
  </si>
  <si>
    <t>群聯永昌71購01</t>
  </si>
  <si>
    <t>大江中信71購01</t>
  </si>
  <si>
    <t>譜瑞富邦71購01</t>
  </si>
  <si>
    <t>智崴元大71購01</t>
  </si>
  <si>
    <t>廣明元大71購01</t>
  </si>
  <si>
    <t>宜特群益71購02</t>
  </si>
  <si>
    <t>精材群益71購02</t>
  </si>
  <si>
    <t>同致日盛71購01</t>
  </si>
  <si>
    <t>精華統一73購01</t>
  </si>
  <si>
    <t>穩懋統一73購01</t>
  </si>
  <si>
    <t>太醫凱基72購01</t>
  </si>
  <si>
    <t>晟德凱基72購01</t>
  </si>
  <si>
    <t>鴻碩國泰73購01</t>
  </si>
  <si>
    <t>鈊象國泰72購01</t>
  </si>
  <si>
    <t>穩懋永昌73購01</t>
  </si>
  <si>
    <t>宜特群益72購01</t>
  </si>
  <si>
    <t>宜鼎群益72購01</t>
  </si>
  <si>
    <t>群聯統一72購02</t>
  </si>
  <si>
    <t>穩懋富邦72購01</t>
  </si>
  <si>
    <t>鈊象元富72購01</t>
  </si>
  <si>
    <t>廣積中信72購01</t>
  </si>
  <si>
    <t>良維國泰72購01</t>
  </si>
  <si>
    <t>穩懋國泰71購01</t>
  </si>
  <si>
    <t>晟德國泰71購01</t>
  </si>
  <si>
    <t>光環永豐72購01</t>
  </si>
  <si>
    <t>良維永豐71購01</t>
  </si>
  <si>
    <t>波若威永豐72購01</t>
  </si>
  <si>
    <t>茂達永豐71購01</t>
  </si>
  <si>
    <t>神盾永豐71購01</t>
  </si>
  <si>
    <t>勝麗永豐71購01</t>
  </si>
  <si>
    <t>晶焱永豐72購01</t>
  </si>
  <si>
    <t>陽程永豐71購01</t>
  </si>
  <si>
    <t>萬潤永豐71購01</t>
  </si>
  <si>
    <t>聖暉永豐71購01</t>
  </si>
  <si>
    <t>廣明永豐71購01</t>
  </si>
  <si>
    <t>精測玉山71購01</t>
  </si>
  <si>
    <t>萬潤群益72購01</t>
  </si>
  <si>
    <t>穩懋群益71購02</t>
  </si>
  <si>
    <t>穩懋群益71購03</t>
  </si>
  <si>
    <t>鈊象統一71購01</t>
  </si>
  <si>
    <t>大江富邦71購01</t>
  </si>
  <si>
    <t>網家富邦72購01</t>
  </si>
  <si>
    <t>光環元大77購01</t>
  </si>
  <si>
    <t>安勤元大71購01</t>
  </si>
  <si>
    <t>旺矽元大71購01</t>
  </si>
  <si>
    <t>美磊元大71購02</t>
  </si>
  <si>
    <t>精材元大73購02</t>
  </si>
  <si>
    <t>精華元大71購01</t>
  </si>
  <si>
    <t>聯合元大72購01</t>
  </si>
  <si>
    <t>晟德元大74購01</t>
  </si>
  <si>
    <t>大江康和71購01</t>
  </si>
  <si>
    <t>群聯凱基71購01</t>
  </si>
  <si>
    <t>台燿兆豐72購01</t>
  </si>
  <si>
    <t>昂寶兆豐72購01</t>
  </si>
  <si>
    <t>精測中信72購01</t>
  </si>
  <si>
    <t>同致國泰77購01</t>
  </si>
  <si>
    <t>建錩國泰71購01</t>
  </si>
  <si>
    <t>神盾國泰71購02</t>
  </si>
  <si>
    <t>鈊象國泰71購01</t>
  </si>
  <si>
    <t>建錩國泰72購01</t>
  </si>
  <si>
    <t>環球晶永昌75購01</t>
  </si>
  <si>
    <t>旺矽元大72購02</t>
  </si>
  <si>
    <t>建錩元大74購01</t>
  </si>
  <si>
    <t>建錩元大74購02</t>
  </si>
  <si>
    <t>建錩元大74購03</t>
  </si>
  <si>
    <t>上詮永豐72購01</t>
  </si>
  <si>
    <t>久元永豐71購01</t>
  </si>
  <si>
    <t>建錩永豐72購01</t>
  </si>
  <si>
    <t>普萊德永豐71購01</t>
  </si>
  <si>
    <t>鴻碩永豐72購01</t>
  </si>
  <si>
    <t>霹靂永豐71購01</t>
  </si>
  <si>
    <t>邦特富邦72購01</t>
  </si>
  <si>
    <t>穩懋凱基74購01</t>
  </si>
  <si>
    <t>穩懋凱基74購02</t>
  </si>
  <si>
    <t>穩懋凱基74購03</t>
  </si>
  <si>
    <t>晟德日盛71購01</t>
  </si>
  <si>
    <t>東洋兆豐71購01</t>
  </si>
  <si>
    <t>穩懋兆豐72購01</t>
  </si>
  <si>
    <t>台燿群益71購02</t>
  </si>
  <si>
    <t>閎康群益71購01</t>
  </si>
  <si>
    <t>譜瑞群益71購02</t>
  </si>
  <si>
    <t>明安元富71購01</t>
  </si>
  <si>
    <t>合晶國泰71購01</t>
  </si>
  <si>
    <t>宇峻國泰71購01</t>
  </si>
  <si>
    <t>安勤國泰71購01</t>
  </si>
  <si>
    <t>迅得國泰71購01</t>
  </si>
  <si>
    <t>亞泰國泰71購01</t>
  </si>
  <si>
    <t>直得國泰71購01</t>
  </si>
  <si>
    <t>直得國泰71購02</t>
  </si>
  <si>
    <t>群聯國泰71購02</t>
  </si>
  <si>
    <t>恒耀國泰71購01</t>
  </si>
  <si>
    <t>合晶日盛71購01</t>
  </si>
  <si>
    <t>合晶日盛73購01</t>
  </si>
  <si>
    <t>牧德日盛71購01</t>
  </si>
  <si>
    <t>翔名日盛71購01</t>
  </si>
  <si>
    <t>大江統一71購01</t>
  </si>
  <si>
    <t>牧德中信71購01</t>
  </si>
  <si>
    <t>桂盟中信71購01</t>
  </si>
  <si>
    <t>建錩永豐71購01</t>
  </si>
  <si>
    <t>中天永豐71購01</t>
  </si>
  <si>
    <t>合晶永豐71購01</t>
  </si>
  <si>
    <t>宇峻永豐71購01</t>
  </si>
  <si>
    <t>亞泰永豐71購01</t>
  </si>
  <si>
    <t>明安永豐71購01</t>
  </si>
  <si>
    <t>東隆興永豐71購01</t>
  </si>
  <si>
    <t>直得永豐71購01</t>
  </si>
  <si>
    <t>柏文永豐71購01</t>
  </si>
  <si>
    <t>雅茗永豐71購01</t>
  </si>
  <si>
    <t>萬潤永豐72購01</t>
  </si>
  <si>
    <t>龍巖永豐71購01</t>
  </si>
  <si>
    <t>濱川永豐71購01</t>
  </si>
  <si>
    <t>恒耀永豐71購01</t>
  </si>
  <si>
    <t>信昌電康和71購01</t>
  </si>
  <si>
    <t>翔名康和71購01</t>
  </si>
  <si>
    <t>恒耀康和71購01</t>
  </si>
  <si>
    <t>翔名玉山71購01</t>
  </si>
  <si>
    <t>VHQ群益71購01</t>
  </si>
  <si>
    <t>合晶群益71購01</t>
  </si>
  <si>
    <t>合晶群益71購02</t>
  </si>
  <si>
    <t>東隆興群益71購01</t>
  </si>
  <si>
    <t>牧德群益72購01</t>
  </si>
  <si>
    <t>信昌電群益71購01</t>
  </si>
  <si>
    <t>信昌電群益71購02</t>
  </si>
  <si>
    <t>晶焱群益73購01</t>
  </si>
  <si>
    <t>翔名群益71購01</t>
  </si>
  <si>
    <t>閎康群益72購01</t>
  </si>
  <si>
    <t>新普群益72購01</t>
  </si>
  <si>
    <t>達爾膚群益72購01</t>
  </si>
  <si>
    <t>龍巖群益71購01</t>
  </si>
  <si>
    <t>環宇群益74購01</t>
  </si>
  <si>
    <t>由田元大71購01</t>
  </si>
  <si>
    <t>由田元大71購02</t>
  </si>
  <si>
    <t>兆利元大71購02</t>
  </si>
  <si>
    <t>合晶元大71購01</t>
  </si>
  <si>
    <t>合晶元大71購02</t>
  </si>
  <si>
    <t>宇峻元大71購01</t>
  </si>
  <si>
    <t>迅得元大71購01</t>
  </si>
  <si>
    <t>亞泰元大71購01</t>
  </si>
  <si>
    <t>來思達元大71購01</t>
  </si>
  <si>
    <t>來思達元大72購01</t>
  </si>
  <si>
    <t>東捷元大71購01</t>
  </si>
  <si>
    <t>東捷元大71購02</t>
  </si>
  <si>
    <t>東隆興元大71購01</t>
  </si>
  <si>
    <t>牧德元大71購01</t>
  </si>
  <si>
    <t>直得元大71購01</t>
  </si>
  <si>
    <t>直得元大71購02</t>
  </si>
  <si>
    <t>信昌電元大71購01</t>
  </si>
  <si>
    <t>信昌電元大72購01</t>
  </si>
  <si>
    <t>美琪瑪元大71購01</t>
  </si>
  <si>
    <t>美琪瑪元大72購01</t>
  </si>
  <si>
    <t>翔名元大71購01</t>
  </si>
  <si>
    <t>雅茗元大71購01</t>
  </si>
  <si>
    <t>龍巖元大71購01</t>
  </si>
  <si>
    <t>濱川元大71購02</t>
  </si>
  <si>
    <t>濱川元大72購01</t>
  </si>
  <si>
    <t>雙鴻元大74購01</t>
  </si>
  <si>
    <t>恒耀元大71購01</t>
  </si>
  <si>
    <t>恒耀凱基71購01</t>
  </si>
  <si>
    <t>信昌電中信71購01</t>
  </si>
  <si>
    <t>力旺國泰71購01</t>
  </si>
  <si>
    <t>宜特國泰73購01</t>
  </si>
  <si>
    <t>宣德國泰71購01</t>
  </si>
  <si>
    <t>雙鴻國泰77購01</t>
  </si>
  <si>
    <t>環球晶元富71購01</t>
  </si>
  <si>
    <t>康普群益72購01</t>
  </si>
  <si>
    <t>迅得永豐71購01</t>
  </si>
  <si>
    <t>由田永豐71購01</t>
  </si>
  <si>
    <t>光燿科永豐71購01</t>
  </si>
  <si>
    <t>大江統一71購02</t>
  </si>
  <si>
    <t>環球晶統一71購06</t>
  </si>
  <si>
    <t>廣明兆豐72購01</t>
  </si>
  <si>
    <t>力麒康和71購01</t>
  </si>
  <si>
    <t>合晶凱基71購01</t>
  </si>
  <si>
    <t>亞泰凱基71購01</t>
  </si>
  <si>
    <t>直得凱基71購01</t>
  </si>
  <si>
    <t>雙鴻凱基71購01</t>
  </si>
  <si>
    <t>光燿科元大74購01</t>
  </si>
  <si>
    <t>同致元大73購02</t>
  </si>
  <si>
    <t>同致元大74購01</t>
  </si>
  <si>
    <t>岳豐元大73購01</t>
  </si>
  <si>
    <t>昇達科元大74購01</t>
  </si>
  <si>
    <t>朋程元大71購01</t>
  </si>
  <si>
    <t>牧德元大72購01</t>
  </si>
  <si>
    <t>金居元大73購01</t>
  </si>
  <si>
    <t>威剛元大73購02</t>
  </si>
  <si>
    <t>勝麗元大74購01</t>
  </si>
  <si>
    <t>富喬元大74購01</t>
  </si>
  <si>
    <t>翔名元大72購01</t>
  </si>
  <si>
    <t>閎康元大73購01</t>
  </si>
  <si>
    <t>群聯元大71購03</t>
  </si>
  <si>
    <t>碩禾元大74購01</t>
  </si>
  <si>
    <t>雙鴻元大74購03</t>
  </si>
  <si>
    <t>鈊象元大74購01</t>
  </si>
  <si>
    <t>原相台新72購01</t>
  </si>
  <si>
    <t>精材台新71購02</t>
  </si>
  <si>
    <t>醫揚群益73購01</t>
  </si>
  <si>
    <t>同亨永豐71購01</t>
  </si>
  <si>
    <t>旺矽永豐71購01</t>
  </si>
  <si>
    <t>胡連永豐71購01</t>
  </si>
  <si>
    <t>原相永豐71購01</t>
  </si>
  <si>
    <t>晶焱永豐71購01</t>
  </si>
  <si>
    <t>威剛國泰71購01</t>
  </si>
  <si>
    <t>威剛國泰73購01</t>
  </si>
  <si>
    <t>廣明國泰72購01</t>
  </si>
  <si>
    <t>環球晶國泰71購03</t>
  </si>
  <si>
    <t>環球晶國泰71購04</t>
  </si>
  <si>
    <t>頎邦國泰71購01</t>
  </si>
  <si>
    <t>台燿國票72購01</t>
  </si>
  <si>
    <t>網家國票72購01</t>
  </si>
  <si>
    <t>威剛凱基71購01</t>
  </si>
  <si>
    <t>威剛凱基71購02</t>
  </si>
  <si>
    <t>雅茗凱基71購01</t>
  </si>
  <si>
    <t>雅茗凱基71購02</t>
  </si>
  <si>
    <t>聯亞兆豐72購01</t>
  </si>
  <si>
    <t>東洋日盛71購01</t>
  </si>
  <si>
    <t>江興鍛元大74購01</t>
  </si>
  <si>
    <t>邦特元大71購01</t>
  </si>
  <si>
    <t>岳豐元大74購01</t>
  </si>
  <si>
    <t>金居元大74購01</t>
  </si>
  <si>
    <t>茂達元大73購01</t>
  </si>
  <si>
    <t>康普元大73購01</t>
  </si>
  <si>
    <t>陽程元大71購01</t>
  </si>
  <si>
    <t>德麥元大71購01</t>
  </si>
  <si>
    <t>鈊象元大71購03</t>
  </si>
  <si>
    <t>碩禾永豐71購02</t>
  </si>
  <si>
    <t>濱川永豐71購02</t>
  </si>
  <si>
    <t>鈊象永豐71購02</t>
  </si>
  <si>
    <t>江興鍛國泰73購01</t>
  </si>
  <si>
    <t>宏觀國泰74購01</t>
  </si>
  <si>
    <t>長華科國泰72購02</t>
  </si>
  <si>
    <t>原相國泰71購01</t>
  </si>
  <si>
    <t>晶焱國泰71購01</t>
  </si>
  <si>
    <t>台燿中信73購01</t>
  </si>
  <si>
    <t>聯亞台新71購01</t>
  </si>
  <si>
    <t>環球晶玉山73購01</t>
  </si>
  <si>
    <t>富喬群益72購01</t>
  </si>
  <si>
    <t>醫揚群益72購01</t>
  </si>
  <si>
    <t>醫揚群益72購02</t>
  </si>
  <si>
    <t>宏觀康和71購01</t>
  </si>
  <si>
    <t>西柏元大71購01</t>
  </si>
  <si>
    <t>宏觀元大72購01</t>
  </si>
  <si>
    <t>勝麗元大74購02</t>
  </si>
  <si>
    <t>群聯元大71購04</t>
  </si>
  <si>
    <t>醫揚元大71購02</t>
  </si>
  <si>
    <t>富喬日盛71購02</t>
  </si>
  <si>
    <t>由田國泰71購01</t>
  </si>
  <si>
    <t>環球晶永昌75購02</t>
  </si>
  <si>
    <t>精測兆豐72購01</t>
  </si>
  <si>
    <t>台燿永豐71購01</t>
  </si>
  <si>
    <t>僑威永豐71購01</t>
  </si>
  <si>
    <t>精測永豐71購01</t>
  </si>
  <si>
    <t>穩懋永豐71購01</t>
  </si>
  <si>
    <t>網家中信71購01</t>
  </si>
  <si>
    <t>廣明群益72購01</t>
  </si>
  <si>
    <t>大江元大72購01</t>
  </si>
  <si>
    <t>來思達元大74購01</t>
  </si>
  <si>
    <t>濱川元大71購03</t>
  </si>
  <si>
    <t>環球晶富邦71購01</t>
  </si>
  <si>
    <t>伍豐元富71購01</t>
  </si>
  <si>
    <t>頎邦元富71購01</t>
  </si>
  <si>
    <t>大江凱基71購01</t>
  </si>
  <si>
    <t>同致中信73購01</t>
  </si>
  <si>
    <t>西柏永豐71購01</t>
  </si>
  <si>
    <t>宣德永豐71購01</t>
  </si>
  <si>
    <t>昂寶國泰72購01</t>
  </si>
  <si>
    <t>濱川國泰71購01</t>
  </si>
  <si>
    <t>大江日盛71購01</t>
  </si>
  <si>
    <t>精測日盛71購01</t>
  </si>
  <si>
    <t>勝麗統一71購01</t>
  </si>
  <si>
    <t>碩禾統一74購01</t>
  </si>
  <si>
    <t>大江兆豐73購01</t>
  </si>
  <si>
    <t>環球晶台新71購01</t>
  </si>
  <si>
    <t>頎邦台新71購01</t>
  </si>
  <si>
    <t>環球晶群益71購01</t>
  </si>
  <si>
    <t>聯亞群益72購01</t>
  </si>
  <si>
    <t>穩懋群益71購06</t>
  </si>
  <si>
    <t>明安元大71購01</t>
  </si>
  <si>
    <t>冠科元大71購01</t>
  </si>
  <si>
    <t>亞泰凱基71購02</t>
  </si>
  <si>
    <t>大江元富71購01</t>
  </si>
  <si>
    <t>萬潤元富72購01</t>
  </si>
  <si>
    <t>光燿科富邦75購01</t>
  </si>
  <si>
    <t>伍豐永豐71購01</t>
  </si>
  <si>
    <t>同致永豐71購02</t>
  </si>
  <si>
    <t>昂寶永豐71購01</t>
  </si>
  <si>
    <t>牧德凱基71購01</t>
  </si>
  <si>
    <t>聯亞凱基71購01</t>
  </si>
  <si>
    <t>旺矽國泰71購01</t>
  </si>
  <si>
    <t>勝麗國泰71購01</t>
  </si>
  <si>
    <t>雅茗國泰71購01</t>
  </si>
  <si>
    <t>數字中信71購01</t>
  </si>
  <si>
    <t>宜特群益73購01</t>
  </si>
  <si>
    <t>群聯群益72購02</t>
  </si>
  <si>
    <t>鈊象群益72購01</t>
  </si>
  <si>
    <t>威剛元大74購01</t>
  </si>
  <si>
    <t>神盾元大74購01</t>
  </si>
  <si>
    <t>環球晶元大72購01</t>
  </si>
  <si>
    <t>聯亞元大71購04</t>
  </si>
  <si>
    <t>譜瑞日盛71購02</t>
  </si>
  <si>
    <t>東洋統一73購01</t>
  </si>
  <si>
    <t>環宇統一71購01</t>
  </si>
  <si>
    <t>同致凱基73購02</t>
  </si>
  <si>
    <t>直得永豐71購02</t>
  </si>
  <si>
    <t>宣德永豐71購02</t>
  </si>
  <si>
    <t>聯亞永豐71購01</t>
  </si>
  <si>
    <t>譜瑞永豐71購01</t>
  </si>
  <si>
    <t>金居國泰73購01</t>
  </si>
  <si>
    <t>宣德國泰71購02</t>
  </si>
  <si>
    <t>聯合國泰71購01</t>
  </si>
  <si>
    <t>聯亞國泰71購01</t>
  </si>
  <si>
    <t>宇峻元富72購01</t>
  </si>
  <si>
    <t>迅得元富72購01</t>
  </si>
  <si>
    <t>亞泰元富71購01</t>
  </si>
  <si>
    <t>晶焱元富71購01</t>
  </si>
  <si>
    <t>碩禾元大74購02</t>
  </si>
  <si>
    <t>鐿鈦元大71購01</t>
  </si>
  <si>
    <t>胡連日盛71購01</t>
  </si>
  <si>
    <t>金居統一71購01</t>
  </si>
  <si>
    <t>頎邦統一72購01</t>
  </si>
  <si>
    <t>聯亞兆豐71購01</t>
  </si>
  <si>
    <t>群聯群益72購03</t>
  </si>
  <si>
    <t>精測群益72購02</t>
  </si>
  <si>
    <t>環球晶群益72購01</t>
  </si>
  <si>
    <t>環球晶群益72購02</t>
  </si>
  <si>
    <t>穩懋群益72購01</t>
  </si>
  <si>
    <t>環球晶永昌73購01</t>
  </si>
  <si>
    <t>穩懋永昌71購01</t>
  </si>
  <si>
    <t>力旺中信71購01</t>
  </si>
  <si>
    <t>金居中信71購01</t>
  </si>
  <si>
    <t>碩禾元富71購02</t>
  </si>
  <si>
    <t>穩懋富邦71購02</t>
  </si>
  <si>
    <t>聯亞台新72購01</t>
  </si>
  <si>
    <t>穩懋台新72購01</t>
  </si>
  <si>
    <t>中光電永豐71購01</t>
  </si>
  <si>
    <t>江興鍛永豐71購01</t>
  </si>
  <si>
    <t>信昌電永豐71購01</t>
  </si>
  <si>
    <t>威剛永豐71購02</t>
  </si>
  <si>
    <t>精測永豐71購03</t>
  </si>
  <si>
    <t>網家永豐71購01</t>
  </si>
  <si>
    <t>聯亞永豐71購02</t>
  </si>
  <si>
    <t>穩懋永豐71購02</t>
  </si>
  <si>
    <t>譜瑞永豐71購02</t>
  </si>
  <si>
    <t>原相日盛72購01</t>
  </si>
  <si>
    <t>直得元大71購03</t>
  </si>
  <si>
    <t>宣德元大74購01</t>
  </si>
  <si>
    <t>環球晶元大72購02</t>
  </si>
  <si>
    <t>穩懋元大71購01</t>
  </si>
  <si>
    <t>譜瑞元大71購01</t>
  </si>
  <si>
    <t>龍巖凱基71購01</t>
  </si>
  <si>
    <t>同致群益72購01</t>
  </si>
  <si>
    <t>旺矽群益72購01</t>
  </si>
  <si>
    <t>晶焱群益72購01</t>
  </si>
  <si>
    <t>譜瑞元富72購02</t>
  </si>
  <si>
    <t>同致國泰77購02</t>
  </si>
  <si>
    <t>譜瑞國泰72購01</t>
  </si>
  <si>
    <t>力旺永豐71購01</t>
  </si>
  <si>
    <t>合晶永豐71購02</t>
  </si>
  <si>
    <t>群聯永豐71購02</t>
  </si>
  <si>
    <t>濱川永豐71購03</t>
  </si>
  <si>
    <t>富喬台新71購01</t>
  </si>
  <si>
    <t>精材台新72購01</t>
  </si>
  <si>
    <t>台燿群益72購01</t>
  </si>
  <si>
    <t>威剛群益72購02</t>
  </si>
  <si>
    <t>碩禾群益72購01</t>
  </si>
  <si>
    <t>精測群益72購03</t>
  </si>
  <si>
    <t>合晶凱基71購02</t>
  </si>
  <si>
    <t>岳豐凱基74購01</t>
  </si>
  <si>
    <t>岳豐凱基74購02</t>
  </si>
  <si>
    <t>威剛凱基74購01</t>
  </si>
  <si>
    <t>神準凱基71購01</t>
  </si>
  <si>
    <t>晶焱凱基71購01</t>
  </si>
  <si>
    <t>碩禾凱基73購01</t>
  </si>
  <si>
    <t>力旺日盛72購01</t>
  </si>
  <si>
    <t>光燿科日盛71購02</t>
  </si>
  <si>
    <t>宜鼎日盛71購01</t>
  </si>
  <si>
    <t>昂寶日盛72購01</t>
  </si>
  <si>
    <t>伍豐元大71購03</t>
  </si>
  <si>
    <t>金可元大71購01</t>
  </si>
  <si>
    <t>神準元大71購01</t>
  </si>
  <si>
    <t>晶焱元大74購01</t>
  </si>
  <si>
    <t>聯亞元大72購02</t>
  </si>
  <si>
    <t>群聯台新71購02</t>
  </si>
  <si>
    <t>岳豐元富72購01</t>
  </si>
  <si>
    <t>聯亞元富72購02</t>
  </si>
  <si>
    <t>力旺凱基71購01</t>
  </si>
  <si>
    <t>信驊凱基71購01</t>
  </si>
  <si>
    <t>網家凱基71購01</t>
  </si>
  <si>
    <t>岳豐永豐71購01</t>
  </si>
  <si>
    <t>牧德永豐71購01</t>
  </si>
  <si>
    <t>信驊永豐71購01</t>
  </si>
  <si>
    <t>振曜永豐71購01</t>
  </si>
  <si>
    <t>智崴永豐71購01</t>
  </si>
  <si>
    <t>應華永豐71購01</t>
  </si>
  <si>
    <t>力旺元大71購01</t>
  </si>
  <si>
    <t>禾瑞亞元大71購01</t>
  </si>
  <si>
    <t>西柏元大71購02</t>
  </si>
  <si>
    <t>宜特元大74購01</t>
  </si>
  <si>
    <t>岳豐元大71購02</t>
  </si>
  <si>
    <t>金山電元大71購02</t>
  </si>
  <si>
    <t>信昌電元大71購02</t>
  </si>
  <si>
    <t>穩懋元大71購02</t>
  </si>
  <si>
    <t>群聯統一72購03</t>
  </si>
  <si>
    <t>聯亞統一71購02</t>
  </si>
  <si>
    <t>譜瑞統一73購01</t>
  </si>
  <si>
    <t>譜瑞兆豐73購01</t>
  </si>
  <si>
    <t>帛漢凱基71購01</t>
  </si>
  <si>
    <t>波若威凱基71購01</t>
  </si>
  <si>
    <t>直得凱基71購02</t>
  </si>
  <si>
    <t>金居凱基71購01</t>
  </si>
  <si>
    <t>新普凱基71購01</t>
  </si>
  <si>
    <t>濱川凱基71購01</t>
  </si>
  <si>
    <t>濱川凱基71購02</t>
  </si>
  <si>
    <t>譜瑞凱基71購01</t>
  </si>
  <si>
    <t>譜瑞凱基71購02</t>
  </si>
  <si>
    <t>群聯富邦72購02</t>
  </si>
  <si>
    <t>台半永豐71購01</t>
  </si>
  <si>
    <t>禾瑞亞永豐71購01</t>
  </si>
  <si>
    <t>邦特永豐71購01</t>
  </si>
  <si>
    <t>柏文永豐71購02</t>
  </si>
  <si>
    <t>旺矽中信71購01</t>
  </si>
  <si>
    <t>威剛中信74購01</t>
  </si>
  <si>
    <t>環球晶中信72購01</t>
  </si>
  <si>
    <t>原相台新72購02</t>
  </si>
  <si>
    <t>力旺群益72購01</t>
  </si>
  <si>
    <t>大江群益72購01</t>
  </si>
  <si>
    <t>西柏群益71購01</t>
  </si>
  <si>
    <t>宏觀群益72購01</t>
  </si>
  <si>
    <t>胡連群益71購01</t>
  </si>
  <si>
    <t>勝麗群益71購01</t>
  </si>
  <si>
    <t>廣明群益71購01</t>
  </si>
  <si>
    <t>聯亞群益72購02</t>
  </si>
  <si>
    <t>弘帆元大71購01</t>
  </si>
  <si>
    <t>昂寶元大71購03</t>
  </si>
  <si>
    <t>柏文元大71購01</t>
  </si>
  <si>
    <t>桂盟元大71購01</t>
  </si>
  <si>
    <t>群聯元大72購02</t>
  </si>
  <si>
    <t>聖暉元大71購02</t>
  </si>
  <si>
    <t>聯亞元大71購05</t>
  </si>
  <si>
    <t>譜瑞元大72購01</t>
  </si>
  <si>
    <t>欣銓元富71購01</t>
  </si>
  <si>
    <t>信驊元富71購01</t>
  </si>
  <si>
    <t>雅茗元富71購01</t>
  </si>
  <si>
    <t>精材元富71購01</t>
  </si>
  <si>
    <t>精華元富71購01</t>
  </si>
  <si>
    <t>台半日盛71購01</t>
  </si>
  <si>
    <t>環球晶統一73購01</t>
  </si>
  <si>
    <t>頎邦統一72購02</t>
  </si>
  <si>
    <t>頎邦統一73購01</t>
  </si>
  <si>
    <t>精材兆豐71購01</t>
  </si>
  <si>
    <t>環球晶永昌73購02</t>
  </si>
  <si>
    <t>穩懋永昌71購02</t>
  </si>
  <si>
    <t>千附永豐71購01</t>
  </si>
  <si>
    <t>宇隆永豐71購01</t>
  </si>
  <si>
    <t>佰研永豐71購01</t>
  </si>
  <si>
    <t>東生華永豐71購01</t>
  </si>
  <si>
    <t>波若威永豐71購01</t>
  </si>
  <si>
    <t>美磊永豐71購01</t>
  </si>
  <si>
    <t>健亞永豐71購01</t>
  </si>
  <si>
    <t>智擎永豐71購01</t>
  </si>
  <si>
    <t>環球晶永豐71購02</t>
  </si>
  <si>
    <t>群聯台新72購01</t>
  </si>
  <si>
    <t>金居日盛73購01</t>
  </si>
  <si>
    <t>聯亞日盛71購01</t>
  </si>
  <si>
    <t>威剛統一73購01</t>
  </si>
  <si>
    <t>穩懋統一71購04</t>
  </si>
  <si>
    <t>群聯兆豐71購02</t>
  </si>
  <si>
    <t>同亨元富71購01</t>
  </si>
  <si>
    <t>胡連元富71購01</t>
  </si>
  <si>
    <t>桂盟元富71購01</t>
  </si>
  <si>
    <t>勝麗元富71購01</t>
  </si>
  <si>
    <t>群聯元富71購01</t>
  </si>
  <si>
    <t>榮剛元富71購01</t>
  </si>
  <si>
    <t>環球晶富邦72購01</t>
  </si>
  <si>
    <t>力旺元大71購02</t>
  </si>
  <si>
    <t>凡甲元大71購02</t>
  </si>
  <si>
    <t>台燿元大71購05</t>
  </si>
  <si>
    <t>合晶元大71購03</t>
  </si>
  <si>
    <t>宇隆元大71購01</t>
  </si>
  <si>
    <t>佰研元大74購01</t>
  </si>
  <si>
    <t>佰研元大74購02</t>
  </si>
  <si>
    <t>美琪瑪元大71購02</t>
  </si>
  <si>
    <t>胡連元大71購01</t>
  </si>
  <si>
    <t>神準元大71購02</t>
  </si>
  <si>
    <t>群聯元大71購07</t>
  </si>
  <si>
    <t>璟德元大71購01</t>
  </si>
  <si>
    <t>鈊象元大74購02</t>
  </si>
  <si>
    <t>宇隆群益71購01</t>
  </si>
  <si>
    <t>昂寶群益72購01</t>
  </si>
  <si>
    <t>智擎群益71購01</t>
  </si>
  <si>
    <t>網家群益72購03</t>
  </si>
  <si>
    <t>廣明群益72購02</t>
  </si>
  <si>
    <t>廣積群益71購02</t>
  </si>
  <si>
    <t>聯亞群益72購03</t>
  </si>
  <si>
    <t>譜瑞群益71購03</t>
  </si>
  <si>
    <t>頎邦群益71購01</t>
  </si>
  <si>
    <t>力旺凱基71購02</t>
  </si>
  <si>
    <t>大江凱基71購03</t>
  </si>
  <si>
    <t>茂達凱基71購01</t>
  </si>
  <si>
    <t>康普凱基71購01</t>
  </si>
  <si>
    <t>穩懋凱基74購05</t>
  </si>
  <si>
    <t>穩懋凱基74購06</t>
  </si>
  <si>
    <t>由田永豐71購02</t>
  </si>
  <si>
    <t>光燿科永豐71購02</t>
  </si>
  <si>
    <t>迅得永豐71購02</t>
  </si>
  <si>
    <t>岳豐永豐71購02</t>
  </si>
  <si>
    <t>晶焱永豐71購02</t>
  </si>
  <si>
    <t>陽程永豐71購02</t>
  </si>
  <si>
    <t>聖暉永豐71購02</t>
  </si>
  <si>
    <t>精材永豐71購01</t>
  </si>
  <si>
    <t>頎邦永豐71購02</t>
  </si>
  <si>
    <t>良維凱基71購01</t>
  </si>
  <si>
    <t>東捷凱基71購01</t>
  </si>
  <si>
    <t>閎康凱基71購01</t>
  </si>
  <si>
    <t>新漢凱基71購01</t>
  </si>
  <si>
    <t>智擎群益71購02</t>
  </si>
  <si>
    <t>精材群益72購02</t>
  </si>
  <si>
    <t>東洋中信71購01</t>
  </si>
  <si>
    <t>智崴中信71購01</t>
  </si>
  <si>
    <t>智晶中信71購01</t>
  </si>
  <si>
    <t>群聯中信72購02</t>
  </si>
  <si>
    <t>聖暉玉山73購01</t>
  </si>
  <si>
    <t>雙鴻統一71購01</t>
  </si>
  <si>
    <t>岳豐兆豐73購01</t>
  </si>
  <si>
    <t>譜瑞兆豐73購02</t>
  </si>
  <si>
    <t>大江富邦71購02</t>
  </si>
  <si>
    <t>皇田富邦71購01</t>
  </si>
  <si>
    <t>凡甲元大74購01</t>
  </si>
  <si>
    <t>迅得元大72購01</t>
  </si>
  <si>
    <t>佰研元大71購01</t>
  </si>
  <si>
    <t>牧德元大73購01</t>
  </si>
  <si>
    <t>原相元大71購02</t>
  </si>
  <si>
    <t>晶焱元大74購02</t>
  </si>
  <si>
    <t>智崴元大71購02</t>
  </si>
  <si>
    <t>聯亞元大71購06</t>
  </si>
  <si>
    <t>群聯元大71購08</t>
  </si>
  <si>
    <t>岳豐元富72購02</t>
  </si>
  <si>
    <t>威剛元富72購01</t>
  </si>
  <si>
    <t>牧德永豐71購02</t>
  </si>
  <si>
    <t>宣德永豐71購03</t>
  </si>
  <si>
    <t>雙鴻永豐71購02</t>
  </si>
  <si>
    <t>同致元大74購03</t>
  </si>
  <si>
    <t>宏觀元大73購02</t>
  </si>
  <si>
    <t>環球晶元大71購02</t>
  </si>
  <si>
    <t>穩懋中信71購01</t>
  </si>
  <si>
    <t>智擎台新71購01</t>
  </si>
  <si>
    <t>VHQ群益71購02</t>
  </si>
  <si>
    <t>旺矽群益72購02</t>
  </si>
  <si>
    <t>昂寶群益71購03</t>
  </si>
  <si>
    <t>森鉅群益71購01</t>
  </si>
  <si>
    <t>精測群益72購04</t>
  </si>
  <si>
    <t>網家群益72購05</t>
  </si>
  <si>
    <t>應華群益71購03</t>
  </si>
  <si>
    <t>聯亞群益72購04</t>
  </si>
  <si>
    <t>中光電日盛71購01</t>
  </si>
  <si>
    <t>金居兆豐73購01</t>
  </si>
  <si>
    <t>鈊象兆豐73購01</t>
  </si>
  <si>
    <t>金居合庫71購01</t>
  </si>
  <si>
    <t>同致永豐71購03</t>
  </si>
  <si>
    <t>美琪瑪永豐71購01</t>
  </si>
  <si>
    <t>群聯永豐71購04</t>
  </si>
  <si>
    <t>宇隆群益71購02</t>
  </si>
  <si>
    <t>威剛群益72購03</t>
  </si>
  <si>
    <t>智崴群益71購01</t>
  </si>
  <si>
    <t>網家群益72購06</t>
  </si>
  <si>
    <t>柏文康和71購01</t>
  </si>
  <si>
    <t>群聯凱基71購03</t>
  </si>
  <si>
    <t>大江元大71購02</t>
  </si>
  <si>
    <t>岳豐日盛71購01</t>
  </si>
  <si>
    <t>光燿科統一71購02</t>
  </si>
  <si>
    <t>群聯統一74購01</t>
  </si>
  <si>
    <t>穩懋統一72購02</t>
  </si>
  <si>
    <t>宜鼎元富71購01</t>
  </si>
  <si>
    <t>牧德元富71購01</t>
  </si>
  <si>
    <t>原相元富71購01</t>
  </si>
  <si>
    <t>穩懋元富71購01</t>
  </si>
  <si>
    <t>昂寶國泰73購01</t>
  </si>
  <si>
    <t>柏文國泰71購01</t>
  </si>
  <si>
    <t>群聯國泰71購04</t>
  </si>
  <si>
    <t>群聯國泰73購01</t>
  </si>
  <si>
    <t>聯亞富邦72購01</t>
  </si>
  <si>
    <t>宏觀永豐71購01</t>
  </si>
  <si>
    <t>金居永豐71購01</t>
  </si>
  <si>
    <t>威剛永豐71購03</t>
  </si>
  <si>
    <t>康普永豐71購01</t>
  </si>
  <si>
    <t>智晶永豐71購01</t>
  </si>
  <si>
    <t>群聯永豐71購05</t>
  </si>
  <si>
    <t>環球晶永豐71購03</t>
  </si>
  <si>
    <t>穩懋永豐71購04</t>
  </si>
  <si>
    <t>台燿元富71購01</t>
  </si>
  <si>
    <t>昂寶元富71購02</t>
  </si>
  <si>
    <t>同致富邦77購01</t>
  </si>
  <si>
    <t>群聯富邦71購02</t>
  </si>
  <si>
    <t>聯亞富邦72購02</t>
  </si>
  <si>
    <t>凡甲凱基74購01</t>
  </si>
  <si>
    <t>宇隆凱基71購01</t>
  </si>
  <si>
    <t>均豪凱基71購01</t>
  </si>
  <si>
    <t>牧德凱基71購02</t>
  </si>
  <si>
    <t>原相凱基71購01</t>
  </si>
  <si>
    <t>精材凱基74購01</t>
  </si>
  <si>
    <t>宜特中信73購01</t>
  </si>
  <si>
    <t>振曜中信71購01</t>
  </si>
  <si>
    <t>精測中信72購02</t>
  </si>
  <si>
    <t>合晶台新71購01</t>
  </si>
  <si>
    <t>昂寶台新72購01</t>
  </si>
  <si>
    <t>宜鼎玉山71購01</t>
  </si>
  <si>
    <t>台燿群益71購03</t>
  </si>
  <si>
    <t>帛漢群益73購01</t>
  </si>
  <si>
    <t>勝麗群益72購02</t>
  </si>
  <si>
    <t>群聯群益72購05</t>
  </si>
  <si>
    <t>精測群益72購06</t>
  </si>
  <si>
    <t>網家群益72購07</t>
  </si>
  <si>
    <t>鈊象群益72購02</t>
  </si>
  <si>
    <t>光燿科元大74購02</t>
  </si>
  <si>
    <t>明安元大71購02</t>
  </si>
  <si>
    <t>環球晶元大71購03</t>
  </si>
  <si>
    <t>聖暉日盛71購01</t>
  </si>
  <si>
    <t>群聯統一72購04</t>
  </si>
  <si>
    <t>廣明統一73購01</t>
  </si>
  <si>
    <t>合晶兆豐71購01</t>
  </si>
  <si>
    <t>旺矽兆豐73購01</t>
  </si>
  <si>
    <t>穩懋兆豐73購01</t>
  </si>
  <si>
    <t>合晶中信71購01</t>
  </si>
  <si>
    <t>台燿凱基71購01</t>
  </si>
  <si>
    <t>同亨凱基71購01</t>
  </si>
  <si>
    <t>智晶凱基71購01</t>
  </si>
  <si>
    <t>智擎凱基71購01</t>
  </si>
  <si>
    <t>智擎凱基71購02</t>
  </si>
  <si>
    <t>廣明凱基71購01</t>
  </si>
  <si>
    <t>同致國泰74購01</t>
  </si>
  <si>
    <t>昇達科國泰71購01</t>
  </si>
  <si>
    <t>牧德國泰73購01</t>
  </si>
  <si>
    <t>威剛國泰73購02</t>
  </si>
  <si>
    <t>智擎國泰71購01</t>
  </si>
  <si>
    <t>精材國泰71購02</t>
  </si>
  <si>
    <t>穩懋國泰73購01</t>
  </si>
  <si>
    <t>千附元大71購01</t>
  </si>
  <si>
    <t>合晶元大71購04</t>
  </si>
  <si>
    <t>宇峻元大73購01</t>
  </si>
  <si>
    <t>宏觀元大74購01</t>
  </si>
  <si>
    <t>穩懋元大71購03</t>
  </si>
  <si>
    <t>弘塑元富71購01</t>
  </si>
  <si>
    <t>西柏元富71購01</t>
  </si>
  <si>
    <t>冠科元富71購01</t>
  </si>
  <si>
    <t>聖暉元富71購01</t>
  </si>
  <si>
    <t>合晶群益73購01</t>
  </si>
  <si>
    <t>牧德群益73購01</t>
  </si>
  <si>
    <t>信驊群益71購01</t>
  </si>
  <si>
    <t>智擎群益71購03</t>
  </si>
  <si>
    <t>群聯群益73購01</t>
  </si>
  <si>
    <t>環球晶群益71購04</t>
  </si>
  <si>
    <t>環球晶群益73購01</t>
  </si>
  <si>
    <t>合晶永豐71購03</t>
  </si>
  <si>
    <t>金居永豐71購02</t>
  </si>
  <si>
    <t>宣德永豐71購04</t>
  </si>
  <si>
    <t>環球晶永豐71購04</t>
  </si>
  <si>
    <t>合晶日盛71購02</t>
  </si>
  <si>
    <t>智擎日盛71購01</t>
  </si>
  <si>
    <t>同致統一74購01</t>
  </si>
  <si>
    <t>合晶統一71購01</t>
  </si>
  <si>
    <t>合晶統一73購01</t>
  </si>
  <si>
    <t>智擎統一73購01</t>
  </si>
  <si>
    <t>精材統一71購01</t>
  </si>
  <si>
    <t>環球晶統一73購03</t>
  </si>
  <si>
    <t>昇達科兆豐72購01</t>
  </si>
  <si>
    <t>紅馬中信71購01</t>
  </si>
  <si>
    <t>智擎中信73購01</t>
  </si>
  <si>
    <t>合晶國泰71購02</t>
  </si>
  <si>
    <t>聯亞富邦73購01</t>
  </si>
  <si>
    <t>岳豐凱基74購03</t>
  </si>
  <si>
    <t>宣德凱基74購01</t>
  </si>
  <si>
    <t>紅馬凱基71購01</t>
  </si>
  <si>
    <t>萬潤台新71購01</t>
  </si>
  <si>
    <t>東捷永豐71購01</t>
  </si>
  <si>
    <t>紅馬永豐71購01</t>
  </si>
  <si>
    <t>茂達永豐71購02</t>
  </si>
  <si>
    <t>陽程永豐71購03</t>
  </si>
  <si>
    <t>聯亞永豐71購03</t>
  </si>
  <si>
    <t>友華元大71購02</t>
  </si>
  <si>
    <t>紅馬元大71購02</t>
  </si>
  <si>
    <t>紅馬元大71購03</t>
  </si>
  <si>
    <t>晶焱元大74購03</t>
  </si>
  <si>
    <t>聯亞元大73購01</t>
  </si>
  <si>
    <t>VHQ元富71購01</t>
  </si>
  <si>
    <t>神盾元富71購01</t>
  </si>
  <si>
    <t>網家元富71購01</t>
  </si>
  <si>
    <t>環球晶元富71購02</t>
  </si>
  <si>
    <t>聯合元富71購01</t>
  </si>
  <si>
    <t>振曜日盛71購01</t>
  </si>
  <si>
    <t>精測日盛71購02</t>
  </si>
  <si>
    <t>台半兆豐72購01</t>
  </si>
  <si>
    <t>智崴兆豐74購01</t>
  </si>
  <si>
    <t>璟德兆豐72購01</t>
  </si>
  <si>
    <t>頎邦兆豐72購01</t>
  </si>
  <si>
    <t>頎邦兆豐72購02</t>
  </si>
  <si>
    <t>頎邦凱基72購01</t>
  </si>
  <si>
    <t>台燿永豐72購01</t>
  </si>
  <si>
    <t>金可永豐72購01</t>
  </si>
  <si>
    <t>富喬永豐72購01</t>
  </si>
  <si>
    <t>龍巖永豐72購01</t>
  </si>
  <si>
    <t>醫揚永豐72購01</t>
  </si>
  <si>
    <t>鈊象永豐72購01</t>
  </si>
  <si>
    <t>千附群益73購01</t>
  </si>
  <si>
    <t>聯亞群益73購03</t>
  </si>
  <si>
    <t>台燿國泰72購01</t>
  </si>
  <si>
    <t>岳豐國泰74購01</t>
  </si>
  <si>
    <t>金可國泰72購01</t>
  </si>
  <si>
    <t>神盾國泰72購01</t>
  </si>
  <si>
    <t>智晶國泰72購01</t>
  </si>
  <si>
    <t>聖暉國泰73購01</t>
  </si>
  <si>
    <t>網家國泰72購01</t>
  </si>
  <si>
    <t>譜瑞富邦72購01</t>
  </si>
  <si>
    <t>迅得元富72購02</t>
  </si>
  <si>
    <t>宜特元富72購01</t>
  </si>
  <si>
    <t>弘塑日盛72購01</t>
  </si>
  <si>
    <t>邦特日盛72購01</t>
  </si>
  <si>
    <t>長華科統一72購01</t>
  </si>
  <si>
    <t>岳豐元大75購01</t>
  </si>
  <si>
    <t>長華科元大72購01</t>
  </si>
  <si>
    <t>茂達元大75購01</t>
  </si>
  <si>
    <t>振曜元大72購01</t>
  </si>
  <si>
    <t>神盾元大75購01</t>
  </si>
  <si>
    <t>頎邦元大72購01</t>
  </si>
  <si>
    <t>聯亞國泰72購01</t>
  </si>
  <si>
    <t>醫揚國泰72購01</t>
  </si>
  <si>
    <t>神盾永豐72購01</t>
  </si>
  <si>
    <t>宏觀中信72購01</t>
  </si>
  <si>
    <t>閎康中信72購01</t>
  </si>
  <si>
    <t>精材台新72購02</t>
  </si>
  <si>
    <t>智擎玉山72購01</t>
  </si>
  <si>
    <t>精測元富72購01</t>
  </si>
  <si>
    <t>聯亞元富72購03</t>
  </si>
  <si>
    <t>廣明兆豐73購01</t>
  </si>
  <si>
    <t>力旺群益72購02</t>
  </si>
  <si>
    <t>宏觀群益73購01</t>
  </si>
  <si>
    <t>金可群益73購01</t>
  </si>
  <si>
    <t>龍巖群益72購01</t>
  </si>
  <si>
    <t>穩懋群益73購01</t>
  </si>
  <si>
    <t>頎邦群益72購01</t>
  </si>
  <si>
    <t>頎邦群益73購01</t>
  </si>
  <si>
    <t>宜鼎元大72購02</t>
  </si>
  <si>
    <t>富喬元大73購01</t>
  </si>
  <si>
    <t>智晶元大72購01</t>
  </si>
  <si>
    <t>網家元大72購01</t>
  </si>
  <si>
    <t>環球晶元大72購03</t>
  </si>
  <si>
    <t>同致凱基73購01</t>
  </si>
  <si>
    <t>西柏凱基72購01</t>
  </si>
  <si>
    <t>宜特國泰75購01</t>
  </si>
  <si>
    <t>康普國泰75購01</t>
  </si>
  <si>
    <t>由田元大75購01</t>
  </si>
  <si>
    <t>迅得元大72購02</t>
  </si>
  <si>
    <t>宜特元大72購02</t>
  </si>
  <si>
    <t>金可元大72購01</t>
  </si>
  <si>
    <t>新普元大72購01</t>
  </si>
  <si>
    <t>龍巖元大72購01</t>
  </si>
  <si>
    <t>迅得永豐72購01</t>
  </si>
  <si>
    <t>茂達永豐72購01</t>
  </si>
  <si>
    <t>閎康永豐72購01</t>
  </si>
  <si>
    <t>環宇永豐72購01</t>
  </si>
  <si>
    <t>VHQ日盛72購01</t>
  </si>
  <si>
    <t>閎康日盛72購01</t>
  </si>
  <si>
    <t>應華日盛72購01</t>
  </si>
  <si>
    <t>金可統一72購01</t>
  </si>
  <si>
    <t>頎邦統一74購01</t>
  </si>
  <si>
    <t>原相富邦72購01</t>
  </si>
  <si>
    <t>千附凱基73購01</t>
  </si>
  <si>
    <t>台燿凱基73購01</t>
  </si>
  <si>
    <t>同致凱基73購03</t>
  </si>
  <si>
    <t>金可凱基72購01</t>
  </si>
  <si>
    <t>金可凱基72購02</t>
  </si>
  <si>
    <t>聯亞凱基73購01</t>
  </si>
  <si>
    <t>信昌電國票72購01</t>
  </si>
  <si>
    <t>美磊國票72購01</t>
  </si>
  <si>
    <t>胡連國票72購01</t>
  </si>
  <si>
    <t>智擎國票72購01</t>
  </si>
  <si>
    <t>聯亞國票72購01</t>
  </si>
  <si>
    <t>譜瑞國票72購01</t>
  </si>
  <si>
    <t>頎邦國票72購01</t>
  </si>
  <si>
    <t>同致元富73購01</t>
  </si>
  <si>
    <t>合晶元富72購01</t>
  </si>
  <si>
    <t>神盾元富72購01</t>
  </si>
  <si>
    <t>廣明元富72購01</t>
  </si>
  <si>
    <t>VHQ永豐72購01</t>
  </si>
  <si>
    <t>弘塑永豐72購01</t>
  </si>
  <si>
    <t>原相永豐72購01</t>
  </si>
  <si>
    <t>富喬永豐72購02</t>
  </si>
  <si>
    <t>廣明永豐72購01</t>
  </si>
  <si>
    <t>精測台新72購01</t>
  </si>
  <si>
    <t>精華群益73購01</t>
  </si>
  <si>
    <t>原相國泰72購01</t>
  </si>
  <si>
    <t>頎邦日盛72購01</t>
  </si>
  <si>
    <t>茂達元富72購01</t>
  </si>
  <si>
    <t>頎邦元富72購02</t>
  </si>
  <si>
    <t>昂寶兆豐73購01</t>
  </si>
  <si>
    <t>聖暉兆豐72購01</t>
  </si>
  <si>
    <t>台半元大72購01</t>
  </si>
  <si>
    <t>宇隆元大72購01</t>
  </si>
  <si>
    <t>宜特元大73購01</t>
  </si>
  <si>
    <t>東捷元大75購01</t>
  </si>
  <si>
    <t>精材元大73購03</t>
  </si>
  <si>
    <t>精材元大75購01</t>
  </si>
  <si>
    <t>精測元大72購01</t>
  </si>
  <si>
    <t>聯亞元大72購04</t>
  </si>
  <si>
    <t>穩懋元大72購02</t>
  </si>
  <si>
    <t>恒耀元大72購01</t>
  </si>
  <si>
    <t>茂達凱基72購01</t>
  </si>
  <si>
    <t>威剛中信73購01</t>
  </si>
  <si>
    <t>胡連中信72購01</t>
  </si>
  <si>
    <t>頎邦中信72購01</t>
  </si>
  <si>
    <t>西柏國泰74購01</t>
  </si>
  <si>
    <t>迅得國泰72購01</t>
  </si>
  <si>
    <t>台燿永豐72購02</t>
  </si>
  <si>
    <t>亞泰永豐72購01</t>
  </si>
  <si>
    <t>宜鼎永豐72購01</t>
  </si>
  <si>
    <t>金可永豐72購02</t>
  </si>
  <si>
    <t>勝麗永豐72購01</t>
  </si>
  <si>
    <t>森鉅永豐72購01</t>
  </si>
  <si>
    <t>聖暉永豐72購01</t>
  </si>
  <si>
    <t>聯亞台新73購01</t>
  </si>
  <si>
    <t>台燿元富73購01</t>
  </si>
  <si>
    <t>金居元富72購01</t>
  </si>
  <si>
    <t>宣德元富72購01</t>
  </si>
  <si>
    <t>原相元富73購01</t>
  </si>
  <si>
    <t>精華元富72購01</t>
  </si>
  <si>
    <t>濱川元富72購01</t>
  </si>
  <si>
    <t>同致群益74購01</t>
  </si>
  <si>
    <t>西柏群益72購01</t>
  </si>
  <si>
    <t>精華群益72購01</t>
  </si>
  <si>
    <t>同亨富邦72購01</t>
  </si>
  <si>
    <t>精華富邦72購01</t>
  </si>
  <si>
    <t>穩懋富邦73購01</t>
  </si>
  <si>
    <t>亞泰元大72購01</t>
  </si>
  <si>
    <t>亞泰元大74購01</t>
  </si>
  <si>
    <t>昇達科元大75購01</t>
  </si>
  <si>
    <t>原相元大73購01</t>
  </si>
  <si>
    <t>網家元大72購02</t>
  </si>
  <si>
    <t>廣明元大72購03</t>
  </si>
  <si>
    <t>廣積元大72購01</t>
  </si>
  <si>
    <t>原相凱基72購01</t>
  </si>
  <si>
    <t>晶焱凱基73購01</t>
  </si>
  <si>
    <t>聖暉凱基72購01</t>
  </si>
  <si>
    <t>金可統一74購01</t>
  </si>
  <si>
    <t>胡連統一73購01</t>
  </si>
  <si>
    <t>精測統一73購01</t>
  </si>
  <si>
    <t>譜瑞統一73購02</t>
  </si>
  <si>
    <t>金可兆豐74購01</t>
  </si>
  <si>
    <t>精測兆豐74購01</t>
  </si>
  <si>
    <t>環球晶兆豐74購01</t>
  </si>
  <si>
    <t>宜鼎國泰76購01</t>
  </si>
  <si>
    <t>勝麗國泰72購01</t>
  </si>
  <si>
    <t>美琪瑪元富72購01</t>
  </si>
  <si>
    <t>振曜元富72購02</t>
  </si>
  <si>
    <t>譜瑞台新73購01</t>
  </si>
  <si>
    <t>IET永豐72購01</t>
  </si>
  <si>
    <t>大江永豐72購01</t>
  </si>
  <si>
    <t>宜特永豐72購01</t>
  </si>
  <si>
    <t>昂寶永豐72購01</t>
  </si>
  <si>
    <t>信昌電永豐72購01</t>
  </si>
  <si>
    <t>新普永豐72購01</t>
  </si>
  <si>
    <t>胡連群益73購01</t>
  </si>
  <si>
    <t>精材群益72購03</t>
  </si>
  <si>
    <t>弘塑元大73購01</t>
  </si>
  <si>
    <t>宜鼎元大72購03</t>
  </si>
  <si>
    <t>昂寶元大73購01</t>
  </si>
  <si>
    <t>皇田元大72購01</t>
  </si>
  <si>
    <t>美琪瑪元大75購01</t>
  </si>
  <si>
    <t>茂達元大75購02</t>
  </si>
  <si>
    <t>環球晶元大73購01</t>
  </si>
  <si>
    <t>美磊日盛72購01</t>
  </si>
  <si>
    <t>同致統一74購02</t>
  </si>
  <si>
    <t>合晶統一74購01</t>
  </si>
  <si>
    <t>陽程統一73購01</t>
  </si>
  <si>
    <t>群聯統一73購01</t>
  </si>
  <si>
    <t>精測統一72購01</t>
  </si>
  <si>
    <t>譜瑞統一72購01</t>
  </si>
  <si>
    <t>新普富邦73購01</t>
  </si>
  <si>
    <t>譜瑞富邦72購02</t>
  </si>
  <si>
    <t>宜鼎中信74購01</t>
  </si>
  <si>
    <t>聯亞永昌72購01</t>
  </si>
  <si>
    <t>金居日盛72購01</t>
  </si>
  <si>
    <t>威剛日盛72購01</t>
  </si>
  <si>
    <t>鈊象日盛73購01</t>
  </si>
  <si>
    <t>穩懋富邦72購02</t>
  </si>
  <si>
    <t>明安統一73購01</t>
  </si>
  <si>
    <t>穩懋統一73購02</t>
  </si>
  <si>
    <t>原相兆豐72購01</t>
  </si>
  <si>
    <t>台燿元大73購01</t>
  </si>
  <si>
    <t>江興鍛元大72購01</t>
  </si>
  <si>
    <t>宏觀元大74購02</t>
  </si>
  <si>
    <t>良維元大74購01</t>
  </si>
  <si>
    <t>明安元大72購01</t>
  </si>
  <si>
    <t>環宇元大72購01</t>
  </si>
  <si>
    <t>宜特凱基72購01</t>
  </si>
  <si>
    <t>信昌電凱基72購01</t>
  </si>
  <si>
    <t>富喬凱基72購01</t>
  </si>
  <si>
    <t>閎康凱基72購01</t>
  </si>
  <si>
    <t>榮剛凱基72購01</t>
  </si>
  <si>
    <t>合晶群益73購02</t>
  </si>
  <si>
    <t>廣明群益73購01</t>
  </si>
  <si>
    <t>同致永豐72購01</t>
  </si>
  <si>
    <t>明安永豐72購01</t>
  </si>
  <si>
    <t>美琪瑪永豐72購01</t>
  </si>
  <si>
    <t>原相永豐72購02</t>
  </si>
  <si>
    <t>康普永豐72購01</t>
  </si>
  <si>
    <t>聯亞中信72購01</t>
  </si>
  <si>
    <t>群聯群益73購05</t>
  </si>
  <si>
    <t>環球晶群益72購03</t>
  </si>
  <si>
    <t>應華永豐72購01</t>
  </si>
  <si>
    <t>聯合永豐72購01</t>
  </si>
  <si>
    <t>宣德日盛72購01</t>
  </si>
  <si>
    <t>勝麗富邦73購01</t>
  </si>
  <si>
    <t>頎邦富邦72購01</t>
  </si>
  <si>
    <t>弘塑統一73購01</t>
  </si>
  <si>
    <t>同致統一74購03</t>
  </si>
  <si>
    <t>合晶統一72購01</t>
  </si>
  <si>
    <t>康普統一72購01</t>
  </si>
  <si>
    <t>環球晶統一72購01</t>
  </si>
  <si>
    <t>環球晶統一73購04</t>
  </si>
  <si>
    <t>環球晶統一74購01</t>
  </si>
  <si>
    <t>聯亞統一73購01</t>
  </si>
  <si>
    <t>宜特兆豐73購01</t>
  </si>
  <si>
    <t>晶焱兆豐74購01</t>
  </si>
  <si>
    <t>聖暉兆豐73購01</t>
  </si>
  <si>
    <t>欣銓元大72購01</t>
  </si>
  <si>
    <t>陽程元大75購01</t>
  </si>
  <si>
    <t>萬潤元大72購02</t>
  </si>
  <si>
    <t>環宇元大72購02</t>
  </si>
  <si>
    <t>穩懋元大72購03</t>
  </si>
  <si>
    <t>頎邦元大72購02</t>
  </si>
  <si>
    <t>朋程凱基72購01</t>
  </si>
  <si>
    <t>茂達凱基75購01</t>
  </si>
  <si>
    <t>原相凱基73購01</t>
  </si>
  <si>
    <t>勝麗凱基75購01</t>
  </si>
  <si>
    <t>勝麗凱基75購02</t>
  </si>
  <si>
    <t>廣明凱基75購01</t>
  </si>
  <si>
    <t>廣明凱基75購02</t>
  </si>
  <si>
    <t>環球晶凱基72購01</t>
  </si>
  <si>
    <t>環球晶凱基72購02</t>
  </si>
  <si>
    <t>環球晶凱基72購03</t>
  </si>
  <si>
    <t>環球晶凱基72購04</t>
  </si>
  <si>
    <t>同致台新73購01</t>
  </si>
  <si>
    <t>迅得永豐72購02</t>
  </si>
  <si>
    <t>精材永豐72購01</t>
  </si>
  <si>
    <t>先豐元大72購01</t>
  </si>
  <si>
    <t>頎邦玉山72購01</t>
  </si>
  <si>
    <t>精測群益73購03</t>
  </si>
  <si>
    <t>穩懋群益73購02</t>
  </si>
  <si>
    <t>穩懋國票72購01</t>
  </si>
  <si>
    <t>陽程國泰74購01</t>
  </si>
  <si>
    <t>群聯國泰72購02</t>
  </si>
  <si>
    <t>雙鴻國泰74購01</t>
  </si>
  <si>
    <t>昂寶富邦72購01</t>
  </si>
  <si>
    <t>環球晶永昌73購03</t>
  </si>
  <si>
    <t>牧德日盛72購01</t>
  </si>
  <si>
    <t>晶焱日盛72購01</t>
  </si>
  <si>
    <t>聯亞日盛72購01</t>
  </si>
  <si>
    <t>金居統一73購01</t>
  </si>
  <si>
    <t>力旺兆豐73購01</t>
  </si>
  <si>
    <t>環球晶兆豐73購02</t>
  </si>
  <si>
    <t>精測中信73購01</t>
  </si>
  <si>
    <t>聯亞永豐72購01</t>
  </si>
  <si>
    <t>台半元富72購01</t>
  </si>
  <si>
    <t>合晶元富72購02</t>
  </si>
  <si>
    <t>環球晶元富72購01</t>
  </si>
  <si>
    <t>環球晶元富72購02</t>
  </si>
  <si>
    <t>頎邦富邦73購01</t>
  </si>
  <si>
    <t>富喬統一74購01</t>
  </si>
  <si>
    <t>牧德兆豐73購01</t>
  </si>
  <si>
    <t>弘塑群益72購01</t>
  </si>
  <si>
    <t>群聯群益73購06</t>
  </si>
  <si>
    <t>精測群益73購04</t>
  </si>
  <si>
    <t>頎邦群益72購04</t>
  </si>
  <si>
    <t>東洋凱基72購02</t>
  </si>
  <si>
    <t>美琪瑪凱基74購01</t>
  </si>
  <si>
    <t>神準凱基72購01</t>
  </si>
  <si>
    <t>波若威元大72購04</t>
  </si>
  <si>
    <t>胡連元大72購01</t>
  </si>
  <si>
    <t>環球晶元大72購04</t>
  </si>
  <si>
    <t>美琪瑪國泰73購01</t>
  </si>
  <si>
    <t>美磊國泰73購01</t>
  </si>
  <si>
    <t>光燿科富邦76購01</t>
  </si>
  <si>
    <t>譜瑞日盛72購01</t>
  </si>
  <si>
    <t>宏觀統一73購01</t>
  </si>
  <si>
    <t>康普兆豐73購01</t>
  </si>
  <si>
    <t>美琪瑪永豐72購02</t>
  </si>
  <si>
    <t>胡連永豐72購01</t>
  </si>
  <si>
    <t>濱川永豐72購01</t>
  </si>
  <si>
    <t>同致元大78購01</t>
  </si>
  <si>
    <t>美磊元大72購02</t>
  </si>
  <si>
    <t>茂達元大75購03</t>
  </si>
  <si>
    <t>環球晶元大72購05</t>
  </si>
  <si>
    <t>力旺群益72購03</t>
  </si>
  <si>
    <t>西柏群益72購03</t>
  </si>
  <si>
    <t>金可群益73購02</t>
  </si>
  <si>
    <t>勝麗群益72購03</t>
  </si>
  <si>
    <t>醫揚元富72購01</t>
  </si>
  <si>
    <t>鈊象兆豐74購01</t>
  </si>
  <si>
    <t>均豪永豐72購01</t>
  </si>
  <si>
    <t>網家永豐72購01</t>
  </si>
  <si>
    <t>金居富邦76購01</t>
  </si>
  <si>
    <t>宣德富邦73購01</t>
  </si>
  <si>
    <t>網家群益73購02</t>
  </si>
  <si>
    <t>金居元大75購01</t>
  </si>
  <si>
    <t>宣德元大74購02</t>
  </si>
  <si>
    <t>桂盟元大72購01</t>
  </si>
  <si>
    <t>華研元大72購01</t>
  </si>
  <si>
    <t>群聯元大72購04</t>
  </si>
  <si>
    <t>群聯元大72購05</t>
  </si>
  <si>
    <t>穩懋元大72購05</t>
  </si>
  <si>
    <t>譜瑞國泰73購02</t>
  </si>
  <si>
    <t>帛漢永豐72購01</t>
  </si>
  <si>
    <t>譜瑞永豐72購01</t>
  </si>
  <si>
    <t>凡甲富邦74購01</t>
  </si>
  <si>
    <t>元太富邦72購01</t>
  </si>
  <si>
    <t>元太富邦72購02</t>
  </si>
  <si>
    <t>元太群益72購01</t>
  </si>
  <si>
    <t>元太日盛72購01</t>
  </si>
  <si>
    <t>群聯日盛72購01</t>
  </si>
  <si>
    <t>康普統一72購02</t>
  </si>
  <si>
    <t>元太兆豐73購01</t>
  </si>
  <si>
    <t>元太兆豐73購02</t>
  </si>
  <si>
    <t>神準凱基72購02</t>
  </si>
  <si>
    <t>元太元大72購02</t>
  </si>
  <si>
    <t>元太元大72購03</t>
  </si>
  <si>
    <t>元太元大73購01</t>
  </si>
  <si>
    <t>東洋元大72購01</t>
  </si>
  <si>
    <t>神準元大72購01</t>
  </si>
  <si>
    <t>華研元大72購02</t>
  </si>
  <si>
    <t>群聯元大72購06</t>
  </si>
  <si>
    <t>僑威元大72購01</t>
  </si>
  <si>
    <t>網家元大72購04</t>
  </si>
  <si>
    <t>碩禾國泰78購01</t>
  </si>
  <si>
    <t>精華國泰72購01</t>
  </si>
  <si>
    <t>先豐中信72購01</t>
  </si>
  <si>
    <t>同致中信76購01</t>
  </si>
  <si>
    <t>碩禾中信74購01</t>
  </si>
  <si>
    <t>元太群益72購03</t>
  </si>
  <si>
    <t>康普群益72購02</t>
  </si>
  <si>
    <t>聯亞群益72購05</t>
  </si>
  <si>
    <t>鈊象合庫74購01</t>
  </si>
  <si>
    <t>譜瑞元大73購01</t>
  </si>
  <si>
    <t>牧德永豐72購01</t>
  </si>
  <si>
    <t>威剛永豐72購01</t>
  </si>
  <si>
    <t>美磊永豐72購01</t>
  </si>
  <si>
    <t>雙鴻永豐72購01</t>
  </si>
  <si>
    <t>元太凱基72購01</t>
  </si>
  <si>
    <t>元太凱基72購02</t>
  </si>
  <si>
    <t>振曜凱基72購01</t>
  </si>
  <si>
    <t>元太統一73購01</t>
  </si>
  <si>
    <t>光燿科統一74購01</t>
  </si>
  <si>
    <t>岳豐統一72購01</t>
  </si>
  <si>
    <t>昂寶統一72購01</t>
  </si>
  <si>
    <t>明安統一73購02</t>
  </si>
  <si>
    <t>牧德統一72購01</t>
  </si>
  <si>
    <t>勝麗統一72購01</t>
  </si>
  <si>
    <t>晶焱統一72購01</t>
  </si>
  <si>
    <t>光燿科國泰72購01</t>
  </si>
  <si>
    <t>明安國泰72購01</t>
  </si>
  <si>
    <t>欣銓國泰72購01</t>
  </si>
  <si>
    <t>金居國泰74購01</t>
  </si>
  <si>
    <t>翔名國泰73購01</t>
  </si>
  <si>
    <t>元太統一72購02</t>
  </si>
  <si>
    <t>台燿兆豐73購01</t>
  </si>
  <si>
    <t>同致兆豐73購01</t>
  </si>
  <si>
    <t>岳豐富邦74購01</t>
  </si>
  <si>
    <t>碩禾富邦75購01</t>
  </si>
  <si>
    <t>網家元富72購01</t>
  </si>
  <si>
    <t>原相群益72購01</t>
  </si>
  <si>
    <t>聯合群益72購01</t>
  </si>
  <si>
    <t>光燿科永豐72購01</t>
  </si>
  <si>
    <t>同致永豐72購02</t>
  </si>
  <si>
    <t>西柏永豐72購01</t>
  </si>
  <si>
    <t>波若威永豐72購02</t>
  </si>
  <si>
    <t>美琪瑪永豐72購03</t>
  </si>
  <si>
    <t>原相永豐72購03</t>
  </si>
  <si>
    <t>宜特中信72購01</t>
  </si>
  <si>
    <t>廣積中信72購02</t>
  </si>
  <si>
    <t>元太台新72購01</t>
  </si>
  <si>
    <t>信驊元大72購01</t>
  </si>
  <si>
    <t>原相元大72購01</t>
  </si>
  <si>
    <t>原相元大72購02</t>
  </si>
  <si>
    <t>翔名元大73購01</t>
  </si>
  <si>
    <t>環宇元大72購03</t>
  </si>
  <si>
    <t>信昌電國泰72購01</t>
  </si>
  <si>
    <t>岳豐群益73購01</t>
  </si>
  <si>
    <t>江興鍛中信72購01</t>
  </si>
  <si>
    <t>聯亞中信72購02</t>
  </si>
  <si>
    <t>同致凱基72購02</t>
  </si>
  <si>
    <t>鈊象凱基74購01</t>
  </si>
  <si>
    <t>精測富邦72購01</t>
  </si>
  <si>
    <t>同致元大74購04</t>
  </si>
  <si>
    <t>直得元大72購01</t>
  </si>
  <si>
    <t>直得元大72購02</t>
  </si>
  <si>
    <t>信昌電元大72購02</t>
  </si>
  <si>
    <t>康普元大73購02</t>
  </si>
  <si>
    <t>群聯元大72購07</t>
  </si>
  <si>
    <t>網家日盛72購01</t>
  </si>
  <si>
    <t>信昌電兆豐73購01</t>
  </si>
  <si>
    <t>精測兆豐73購01</t>
  </si>
  <si>
    <t>友華永豐72購01</t>
  </si>
  <si>
    <t>世界永豐72購01</t>
  </si>
  <si>
    <t>宏觀永豐72購01</t>
  </si>
  <si>
    <t>東洋永豐72購01</t>
  </si>
  <si>
    <t>直得永豐72購01</t>
  </si>
  <si>
    <t>金山電永豐72購01</t>
  </si>
  <si>
    <t>金居永豐72購01</t>
  </si>
  <si>
    <t>信昌電永豐72購02</t>
  </si>
  <si>
    <t>群聯永豐72購01</t>
  </si>
  <si>
    <t>應華永豐72購02</t>
  </si>
  <si>
    <t>台半國泰72購01</t>
  </si>
  <si>
    <t>直得國泰72購01</t>
  </si>
  <si>
    <t>統新國泰72購02</t>
  </si>
  <si>
    <t>統新國泰72購01</t>
  </si>
  <si>
    <t>信昌電統一72購01</t>
  </si>
  <si>
    <t>統新統一73購01</t>
  </si>
  <si>
    <t>帛漢元大72購01</t>
  </si>
  <si>
    <t>統新元大73購01</t>
  </si>
  <si>
    <t>精測元大72購02</t>
  </si>
  <si>
    <t>網家元大72購05</t>
  </si>
  <si>
    <t>岳豐永豐72購01</t>
  </si>
  <si>
    <t>金居永豐72購02</t>
  </si>
  <si>
    <t>統新永豐72購01</t>
  </si>
  <si>
    <t>精華永豐72購01</t>
  </si>
  <si>
    <t>元太玉山73購01</t>
  </si>
  <si>
    <t>元太群益72購04</t>
  </si>
  <si>
    <t>統新凱基72購01</t>
  </si>
  <si>
    <t>VHQ國泰75購01</t>
  </si>
  <si>
    <t>康普國泰74購01</t>
  </si>
  <si>
    <t>群聯國泰74購01</t>
  </si>
  <si>
    <t>精測國泰72購01</t>
  </si>
  <si>
    <t>統新群益73購01</t>
  </si>
  <si>
    <t>統新群益73購02</t>
  </si>
  <si>
    <t>統新群益73購03</t>
  </si>
  <si>
    <t>迅得元富72購03</t>
  </si>
  <si>
    <t>統新元大72購01</t>
  </si>
  <si>
    <t>統新元大73購02</t>
  </si>
  <si>
    <t>勝麗元大75購01</t>
  </si>
  <si>
    <t>陽程元大72購01</t>
  </si>
  <si>
    <t>群聯元大73購01</t>
  </si>
  <si>
    <t>原相日盛72購02</t>
  </si>
  <si>
    <t>環球晶日盛72購01</t>
  </si>
  <si>
    <t>威剛統一72購01</t>
  </si>
  <si>
    <t>直得凱基72購01</t>
  </si>
  <si>
    <t>原相凱基73購02</t>
  </si>
  <si>
    <t>康普凱基75購01</t>
  </si>
  <si>
    <t>統新凱基72購02</t>
  </si>
  <si>
    <t>鈊象凱基74購02</t>
  </si>
  <si>
    <t>力旺永豐72購01</t>
  </si>
  <si>
    <t>凡甲永豐72購01</t>
  </si>
  <si>
    <t>泰博永豐72購01</t>
  </si>
  <si>
    <t>富喬永豐72購03</t>
  </si>
  <si>
    <t>榮剛永豐72購01</t>
  </si>
  <si>
    <t>宏觀中信73購01</t>
  </si>
  <si>
    <t>網家群益73購03</t>
  </si>
  <si>
    <t>江興鍛國泰72購01</t>
  </si>
  <si>
    <t>穩懋國泰72購01</t>
  </si>
  <si>
    <t>力旺元富72購01</t>
  </si>
  <si>
    <t>元太元富72購01</t>
  </si>
  <si>
    <t>僑威台新72購01</t>
  </si>
  <si>
    <t>頎邦台新72購01</t>
  </si>
  <si>
    <t>台燿永豐72購03</t>
  </si>
  <si>
    <t>宇隆永豐72購01</t>
  </si>
  <si>
    <t>亞泰永豐72購02</t>
  </si>
  <si>
    <t>威剛永豐72購02</t>
  </si>
  <si>
    <t>僑威永豐72購01</t>
  </si>
  <si>
    <t>精材永豐72購02</t>
  </si>
  <si>
    <t>廣明永豐72購02</t>
  </si>
  <si>
    <t>璟德永豐72購01</t>
  </si>
  <si>
    <t>精材凱基75購01</t>
  </si>
  <si>
    <t>江興鍛元大72購02</t>
  </si>
  <si>
    <t>康普元大75購01</t>
  </si>
  <si>
    <t>頎邦元大72購04</t>
  </si>
  <si>
    <t>聯亞統一73購02</t>
  </si>
  <si>
    <t>岳豐兆豐74購01</t>
  </si>
  <si>
    <t>亞泰國泰73購01</t>
  </si>
  <si>
    <t>原相國泰73購01</t>
  </si>
  <si>
    <t>環宇國泰73購01</t>
  </si>
  <si>
    <t>萬潤台新73購01</t>
  </si>
  <si>
    <t>宜鼎群益73購02</t>
  </si>
  <si>
    <t>群聯群益73購07</t>
  </si>
  <si>
    <t>聯亞群益73購05</t>
  </si>
  <si>
    <t>岳豐富邦73購01</t>
  </si>
  <si>
    <t>精華富邦73購01</t>
  </si>
  <si>
    <t>宇峻永豐73購01</t>
  </si>
  <si>
    <t>旺矽永豐73購01</t>
  </si>
  <si>
    <t>原相永豐73購01</t>
  </si>
  <si>
    <t>振曜永豐73購01</t>
  </si>
  <si>
    <t>萬潤永豐73購01</t>
  </si>
  <si>
    <t>碩禾永豐73購01</t>
  </si>
  <si>
    <t>VHQ元大73購02</t>
  </si>
  <si>
    <t>凡甲元大73購02</t>
  </si>
  <si>
    <t>原相元大73購02</t>
  </si>
  <si>
    <t>原相元大75購01</t>
  </si>
  <si>
    <t>精華元大73購01</t>
  </si>
  <si>
    <t>良維日盛73購01</t>
  </si>
  <si>
    <t>宇隆統一73購01</t>
  </si>
  <si>
    <t>原相統一73購01</t>
  </si>
  <si>
    <t>原相兆豐73購01</t>
  </si>
  <si>
    <t>富喬兆豐73購01</t>
  </si>
  <si>
    <t>精華兆豐73購01</t>
  </si>
  <si>
    <t>VHQ凱基73購01</t>
  </si>
  <si>
    <t>宇隆凱基73購01</t>
  </si>
  <si>
    <t>環宇凱基73購01</t>
  </si>
  <si>
    <t>聯合凱基73購01</t>
  </si>
  <si>
    <t>元太群益73購01</t>
  </si>
  <si>
    <t>元太富邦73購01</t>
  </si>
  <si>
    <t>光隆永豐73購01</t>
  </si>
  <si>
    <t>佰研永豐73購01</t>
  </si>
  <si>
    <t>協益永豐73購01</t>
  </si>
  <si>
    <t>宣德永豐73購01</t>
  </si>
  <si>
    <t>智擎永豐73購01</t>
  </si>
  <si>
    <t>聖暉永豐73購01</t>
  </si>
  <si>
    <t>精測永豐73購01</t>
  </si>
  <si>
    <t>廣積永豐73購01</t>
  </si>
  <si>
    <t>原相統一74購01</t>
  </si>
  <si>
    <t>網家兆豐73購01</t>
  </si>
  <si>
    <t>元太元大73購02</t>
  </si>
  <si>
    <t>合晶元大73購01</t>
  </si>
  <si>
    <t>亞泰元大73購01</t>
  </si>
  <si>
    <t>精材元大74購01</t>
  </si>
  <si>
    <t>璟德元大73購01</t>
  </si>
  <si>
    <t>邦特康和73購01</t>
  </si>
  <si>
    <t>元太國泰73購01</t>
  </si>
  <si>
    <t>元太國泰73購02</t>
  </si>
  <si>
    <t>環球晶國泰73購02</t>
  </si>
  <si>
    <t>元太統一73購02</t>
  </si>
  <si>
    <t>金可兆豐74購02</t>
  </si>
  <si>
    <t>威剛兆豐73購01</t>
  </si>
  <si>
    <t>元太元富73購01</t>
  </si>
  <si>
    <t>金可元富73購01</t>
  </si>
  <si>
    <t>僑威永豐73購01</t>
  </si>
  <si>
    <t>宜鼎群益73購03</t>
  </si>
  <si>
    <t>元太台新73購01</t>
  </si>
  <si>
    <t>精華凱基73購01</t>
  </si>
  <si>
    <t>元太元大73購03</t>
  </si>
  <si>
    <t>宇隆元大73購01</t>
  </si>
  <si>
    <t>美磊元大73購01</t>
  </si>
  <si>
    <t>群聯元大73購02</t>
  </si>
  <si>
    <t>精材元大75購02</t>
  </si>
  <si>
    <t>精華元大73購02</t>
  </si>
  <si>
    <t>數字中信73購01</t>
  </si>
  <si>
    <t>元太群益73購03</t>
  </si>
  <si>
    <t>胡連群益73購02</t>
  </si>
  <si>
    <t>元太統一73購04</t>
  </si>
  <si>
    <t>環宇統一73購01</t>
  </si>
  <si>
    <t>元太富邦73購02</t>
  </si>
  <si>
    <t>譜瑞富邦73購01</t>
  </si>
  <si>
    <t>元太元大73購05</t>
  </si>
  <si>
    <t>台燿元大73購02</t>
  </si>
  <si>
    <t>亞泰元大73購02</t>
  </si>
  <si>
    <t>頎邦元大73購01</t>
  </si>
  <si>
    <t>昂寶凱基73購02</t>
  </si>
  <si>
    <t>美磊凱基73購01</t>
  </si>
  <si>
    <t>僑威凱基73購01</t>
  </si>
  <si>
    <t>碩禾凱基73購02</t>
  </si>
  <si>
    <t>安勤永豐73購01</t>
  </si>
  <si>
    <t>新漢永豐73購01</t>
  </si>
  <si>
    <t>榮剛永豐73購01</t>
  </si>
  <si>
    <t>數字永豐73購01</t>
  </si>
  <si>
    <t>穩懋永豐73購01</t>
  </si>
  <si>
    <t>金可玉山75購01</t>
  </si>
  <si>
    <t>大江元富73購01</t>
  </si>
  <si>
    <t>環球晶永昌73購04</t>
  </si>
  <si>
    <t>由田永豐73購01</t>
  </si>
  <si>
    <t>迅得永豐73購01</t>
  </si>
  <si>
    <t>協益永豐73購02</t>
  </si>
  <si>
    <t>明安永豐73購01</t>
  </si>
  <si>
    <t>宣德永豐73購02</t>
  </si>
  <si>
    <t>恒耀永豐73購01</t>
  </si>
  <si>
    <t>環球晶富邦73購02</t>
  </si>
  <si>
    <t>譜瑞富邦74購01</t>
  </si>
  <si>
    <t>陽程兆豐74購01</t>
  </si>
  <si>
    <t>精材兆豐74購01</t>
  </si>
  <si>
    <t>恒耀康和73購01</t>
  </si>
  <si>
    <t>合晶凱基73購01</t>
  </si>
  <si>
    <t>信驊凱基73購01</t>
  </si>
  <si>
    <t>僑威凱基73購02</t>
  </si>
  <si>
    <t>頎邦凱基73購01</t>
  </si>
  <si>
    <t>台燿群益73購01</t>
  </si>
  <si>
    <t>欣銓群益73購01</t>
  </si>
  <si>
    <t>璟德群益73購01</t>
  </si>
  <si>
    <t>環球晶群益73購03</t>
  </si>
  <si>
    <t>環球晶群益73購04</t>
  </si>
  <si>
    <t>環球晶群益73購05</t>
  </si>
  <si>
    <t>環球晶群益73購06</t>
  </si>
  <si>
    <t>明安元大73購01</t>
  </si>
  <si>
    <t>僑威元大73購01</t>
  </si>
  <si>
    <t>數字元大73購01</t>
  </si>
  <si>
    <t>頎邦元大74購01</t>
  </si>
  <si>
    <t>網家國泰73購01</t>
  </si>
  <si>
    <t>精測中信74購02</t>
  </si>
  <si>
    <t>環球晶中信73購01</t>
  </si>
  <si>
    <t>穩懋中信73購01</t>
  </si>
  <si>
    <t>精材群益73購01</t>
  </si>
  <si>
    <t>譜瑞群益73購01</t>
  </si>
  <si>
    <t>力旺元大73購01</t>
  </si>
  <si>
    <t>岳豐元大76購01</t>
  </si>
  <si>
    <t>東洋元大73購01</t>
  </si>
  <si>
    <t>金可元大73購01</t>
  </si>
  <si>
    <t>台燿日盛73購01</t>
  </si>
  <si>
    <t>智擎統一74購01</t>
  </si>
  <si>
    <t>威剛富邦79購01</t>
  </si>
  <si>
    <t>原相富邦73購01</t>
  </si>
  <si>
    <t>群聯富邦73購01</t>
  </si>
  <si>
    <t>元太兆豐74購01</t>
  </si>
  <si>
    <t>元太兆豐75購01</t>
  </si>
  <si>
    <t>雙鴻凱基74購01</t>
  </si>
  <si>
    <t>VHQ永豐73購01</t>
  </si>
  <si>
    <t>台半永豐73購01</t>
  </si>
  <si>
    <t>伍豐永豐73購01</t>
  </si>
  <si>
    <t>佰研永豐73購02</t>
  </si>
  <si>
    <t>昇達科永豐73購01</t>
  </si>
  <si>
    <t>東捷永豐73購01</t>
  </si>
  <si>
    <t>神準永豐73購01</t>
  </si>
  <si>
    <t>翔名永豐73購01</t>
  </si>
  <si>
    <t>旺矽國泰73購01</t>
  </si>
  <si>
    <t>譜瑞國泰73購03</t>
  </si>
  <si>
    <t>鈊象國泰73購01</t>
  </si>
  <si>
    <t>元太中信73購01</t>
  </si>
  <si>
    <t>精材中信75購01</t>
  </si>
  <si>
    <t>東捷永豐73購02</t>
  </si>
  <si>
    <t>VHQ元大74購01</t>
  </si>
  <si>
    <t>協益元大73購01</t>
  </si>
  <si>
    <t>元太凱基73購01</t>
  </si>
  <si>
    <t>元太凱基73購02</t>
  </si>
  <si>
    <t>台半凱基73購01</t>
  </si>
  <si>
    <t>台燿凱基76購01</t>
  </si>
  <si>
    <t>胡連凱基73購01</t>
  </si>
  <si>
    <t>群聯凱基73購01</t>
  </si>
  <si>
    <t>群聯凱基73購02</t>
  </si>
  <si>
    <t>群聯凱基73購03</t>
  </si>
  <si>
    <t>聯亞凱基73購03</t>
  </si>
  <si>
    <t>聯亞凱基73購04</t>
  </si>
  <si>
    <t>譜瑞凱基73購01</t>
  </si>
  <si>
    <t>譜瑞凱基74購01</t>
  </si>
  <si>
    <t>譜瑞凱基75購01</t>
  </si>
  <si>
    <t>元太元富73購02</t>
  </si>
  <si>
    <t>同致元富73購02</t>
  </si>
  <si>
    <t>智擎元富73購01</t>
  </si>
  <si>
    <t>雙鴻國泰75購01</t>
  </si>
  <si>
    <t>直得元富73購01</t>
  </si>
  <si>
    <t>富喬元富73購01</t>
  </si>
  <si>
    <t>東洋群益73購01</t>
  </si>
  <si>
    <t>原相群益73購02</t>
  </si>
  <si>
    <t>頎邦群益74購01</t>
  </si>
  <si>
    <t>迅得永豐73購02</t>
  </si>
  <si>
    <t>宜特永豐73購01</t>
  </si>
  <si>
    <t>勝麗永豐73購01</t>
  </si>
  <si>
    <t>富喬永豐73購01</t>
  </si>
  <si>
    <t>精測永豐73購02</t>
  </si>
  <si>
    <t>恒耀永豐73購02</t>
  </si>
  <si>
    <t>群聯玉山76購01</t>
  </si>
  <si>
    <t>金居富邦77購01</t>
  </si>
  <si>
    <t>晶焱富邦74購01</t>
  </si>
  <si>
    <t>璟德富邦74購01</t>
  </si>
  <si>
    <t>金居統一74購01</t>
  </si>
  <si>
    <t>台燿元大73購03</t>
  </si>
  <si>
    <t>金居元大76購01</t>
  </si>
  <si>
    <t>譜瑞元大73購03</t>
  </si>
  <si>
    <t>恒耀元大73購01</t>
  </si>
  <si>
    <t>金居兆豐74購01</t>
  </si>
  <si>
    <t>群聯兆豐73購01</t>
  </si>
  <si>
    <t>恒耀康和73購02</t>
  </si>
  <si>
    <t>邦特凱基73購01</t>
  </si>
  <si>
    <t>昇達科凱基73購01</t>
  </si>
  <si>
    <t>智崴凱基73購01</t>
  </si>
  <si>
    <t>智晶凱基73購01</t>
  </si>
  <si>
    <t>陽程凱基76購01</t>
  </si>
  <si>
    <t>譜瑞凱基76購01</t>
  </si>
  <si>
    <t>台燿國泰73購01</t>
  </si>
  <si>
    <t>合晶國泰73購01</t>
  </si>
  <si>
    <t>恒耀國泰73購01</t>
  </si>
  <si>
    <t>同亨永豐73購01</t>
  </si>
  <si>
    <t>合晶永豐73購01</t>
  </si>
  <si>
    <t>原相永豐73購02</t>
  </si>
  <si>
    <t>萬潤永豐73購02</t>
  </si>
  <si>
    <t>譜瑞永豐73購01</t>
  </si>
  <si>
    <t>金居元富73購01</t>
  </si>
  <si>
    <t>頎邦元富73購01</t>
  </si>
  <si>
    <t>同致元大76購01</t>
  </si>
  <si>
    <t>良維元大76購01</t>
  </si>
  <si>
    <t>大江國票73購01</t>
  </si>
  <si>
    <t>世界國票73購01</t>
  </si>
  <si>
    <t>金山電國票73購01</t>
  </si>
  <si>
    <t>群聯國票73購01</t>
  </si>
  <si>
    <t>環球晶國票73購01</t>
  </si>
  <si>
    <t>桂盟群益73購01</t>
  </si>
  <si>
    <t>聖暉群益74購01</t>
  </si>
  <si>
    <t>恒耀群益73購01</t>
  </si>
  <si>
    <t>璟德凱基73購01</t>
  </si>
  <si>
    <t>譜瑞凱基77購01</t>
  </si>
  <si>
    <t>恒耀凱基73購01</t>
  </si>
  <si>
    <t>恒耀凱基73購02</t>
  </si>
  <si>
    <t>光燿科國泰73購01</t>
  </si>
  <si>
    <t>群聯永昌74購01</t>
  </si>
  <si>
    <t>恒耀中信73購01</t>
  </si>
  <si>
    <t>金居永豐73購01</t>
  </si>
  <si>
    <t>桂盟永豐73購01</t>
  </si>
  <si>
    <t>勝麗永豐73購02</t>
  </si>
  <si>
    <t>新漢永豐73購02</t>
  </si>
  <si>
    <t>網家永豐73購01</t>
  </si>
  <si>
    <t>雙鴻永豐73購01</t>
  </si>
  <si>
    <t>光燿科富邦73購01</t>
  </si>
  <si>
    <t>精材富邦73購01</t>
  </si>
  <si>
    <t>台燿元富73購02</t>
  </si>
  <si>
    <t>光燿科元富73購01</t>
  </si>
  <si>
    <t>合晶元富73購01</t>
  </si>
  <si>
    <t>合晶日盛74購01</t>
  </si>
  <si>
    <t>元太群益73購04</t>
  </si>
  <si>
    <t>冠科群益73購01</t>
  </si>
  <si>
    <t>穩懋群益73購03</t>
  </si>
  <si>
    <t>同致國票73購01</t>
  </si>
  <si>
    <t>宇隆國票73購01</t>
  </si>
  <si>
    <t>江興鍛國票73購01</t>
  </si>
  <si>
    <t>昂寶國票73購01</t>
  </si>
  <si>
    <t>智冠國票73購01</t>
  </si>
  <si>
    <t>閎康國票73購01</t>
  </si>
  <si>
    <t>僑威國票73購01</t>
  </si>
  <si>
    <t>宇峻元大73購02</t>
  </si>
  <si>
    <t>直得元大73購01</t>
  </si>
  <si>
    <t>環球晶元大73購02</t>
  </si>
  <si>
    <t>合晶國泰73購02</t>
  </si>
  <si>
    <t>良維國泰73購01</t>
  </si>
  <si>
    <t>精材國泰73購01</t>
  </si>
  <si>
    <t>光燿科兆豐74購01</t>
  </si>
  <si>
    <t>宇隆中信73購01</t>
  </si>
  <si>
    <t>明安中信73購01</t>
  </si>
  <si>
    <t>碩禾台新74購01</t>
  </si>
  <si>
    <t>同致群益74購02</t>
  </si>
  <si>
    <t>良維群益74購01</t>
  </si>
  <si>
    <t>昂寶群益73購01</t>
  </si>
  <si>
    <t>譜瑞群益73購02</t>
  </si>
  <si>
    <t>VHQ永豐73購02</t>
  </si>
  <si>
    <t>伍豐永豐73購02</t>
  </si>
  <si>
    <t>欣銓永豐73購01</t>
  </si>
  <si>
    <t>直得永豐73購01</t>
  </si>
  <si>
    <t>信驊永豐73購01</t>
  </si>
  <si>
    <t>振曜永豐73購02</t>
  </si>
  <si>
    <t>閎康永豐73購01</t>
  </si>
  <si>
    <t>群聯永豐73購01</t>
  </si>
  <si>
    <t>穩懋永豐73購02</t>
  </si>
  <si>
    <t>聯合國票73購01</t>
  </si>
  <si>
    <t>恒耀康和73購03</t>
  </si>
  <si>
    <t>凡甲凱基73購01</t>
  </si>
  <si>
    <t>由田凱基76購01</t>
  </si>
  <si>
    <t>光燿科凱基76購01</t>
  </si>
  <si>
    <t>光燿科凱基76購02</t>
  </si>
  <si>
    <t>江興鍛凱基73購01</t>
  </si>
  <si>
    <t>旺矽凱基73購01</t>
  </si>
  <si>
    <t>直得凱基73購01</t>
  </si>
  <si>
    <t>勝麗凱基75購03</t>
  </si>
  <si>
    <t>聖暉凱基73購01</t>
  </si>
  <si>
    <t>鈊象凱基73購01</t>
  </si>
  <si>
    <t>鈊象凱基74購03</t>
  </si>
  <si>
    <t>合晶元大73購02</t>
  </si>
  <si>
    <t>昇達科元大76購01</t>
  </si>
  <si>
    <t>威剛元大76購01</t>
  </si>
  <si>
    <t>柏文元大73購01</t>
  </si>
  <si>
    <t>恒耀元大73購02</t>
  </si>
  <si>
    <t>直得元富73購02</t>
  </si>
  <si>
    <t>聯亞兆豐73購01</t>
  </si>
  <si>
    <t>新漢凱基73購01</t>
  </si>
  <si>
    <t>金可永豐73購01</t>
  </si>
  <si>
    <t>神準永豐73購02</t>
  </si>
  <si>
    <t>智晶永豐73購01</t>
  </si>
  <si>
    <t>鼎翰永豐73購01</t>
  </si>
  <si>
    <t>昂寶台新73購01</t>
  </si>
  <si>
    <t>伍豐元大73購01</t>
  </si>
  <si>
    <t>邦特元大73購01</t>
  </si>
  <si>
    <t>金居元大76購02</t>
  </si>
  <si>
    <t>勝麗元大76購01</t>
  </si>
  <si>
    <t>網家元大74購01</t>
  </si>
  <si>
    <t>精華國泰74購01</t>
  </si>
  <si>
    <t>同致群益75購01</t>
  </si>
  <si>
    <t>頎邦群益74購02</t>
  </si>
  <si>
    <t>良維日盛73購02</t>
  </si>
  <si>
    <t>原相統一73購02</t>
  </si>
  <si>
    <t>勝麗統一73購01</t>
  </si>
  <si>
    <t>伍豐永豐73購03</t>
  </si>
  <si>
    <t>宇峻永豐73購02</t>
  </si>
  <si>
    <t>濱川永豐73購01</t>
  </si>
  <si>
    <t>迅得元大76購01</t>
  </si>
  <si>
    <t>岳豐元大76購02</t>
  </si>
  <si>
    <t>富喬元大76購01</t>
  </si>
  <si>
    <t>環球晶元大73購03</t>
  </si>
  <si>
    <t>鈊象元大76購01</t>
  </si>
  <si>
    <t>金居國票73購01</t>
  </si>
  <si>
    <t>VHQ凱基73購02</t>
  </si>
  <si>
    <t>力旺凱基73購01</t>
  </si>
  <si>
    <t>智擎凱基73購01</t>
  </si>
  <si>
    <t>精測凱基74購01</t>
  </si>
  <si>
    <t>聯合凱基75購01</t>
  </si>
  <si>
    <t>VHQ國泰73購01</t>
  </si>
  <si>
    <t>伍豐元富73購01</t>
  </si>
  <si>
    <t>環球晶元富73購01</t>
  </si>
  <si>
    <t>同致富邦73購01</t>
  </si>
  <si>
    <t>元太群益74購01</t>
  </si>
  <si>
    <t>威剛群益74購01</t>
  </si>
  <si>
    <t>環宇群益74購02</t>
  </si>
  <si>
    <t>元太國票73購01</t>
  </si>
  <si>
    <t>穩懋凱基74購08</t>
  </si>
  <si>
    <t>弘塑兆豐74購01</t>
  </si>
  <si>
    <t>碩禾兆豐74購01</t>
  </si>
  <si>
    <t>力旺元大73購02</t>
  </si>
  <si>
    <t>聖暉元大73購01</t>
  </si>
  <si>
    <t>雙鴻元大74購04</t>
  </si>
  <si>
    <t>同致永豐73購01</t>
  </si>
  <si>
    <t>智擎國泰73購01</t>
  </si>
  <si>
    <t>僑威國泰73購01</t>
  </si>
  <si>
    <t>邦特永豐73購01</t>
  </si>
  <si>
    <t>紅馬永豐73購01</t>
  </si>
  <si>
    <t>美磊永豐73購01</t>
  </si>
  <si>
    <t>僑威永豐73購02</t>
  </si>
  <si>
    <t>碩禾永豐73購03</t>
  </si>
  <si>
    <t>精材永豐73購01</t>
  </si>
  <si>
    <t>鈊象永豐73購02</t>
  </si>
  <si>
    <t>元太中信73購02</t>
  </si>
  <si>
    <t>元太玉山74購01</t>
  </si>
  <si>
    <t>台燿群益73購03</t>
  </si>
  <si>
    <t>伍豐群益73購01</t>
  </si>
  <si>
    <t>光燿科群益74購01</t>
  </si>
  <si>
    <t>同致群益73購01</t>
  </si>
  <si>
    <t>岳豐群益73購02</t>
  </si>
  <si>
    <t>牧德群益74購01</t>
  </si>
  <si>
    <t>聖暉群益75購01</t>
  </si>
  <si>
    <t>穩懋群益73購05</t>
  </si>
  <si>
    <t>光燿科日盛73購01</t>
  </si>
  <si>
    <t>原相日盛73購01</t>
  </si>
  <si>
    <t>智擎日盛73購01</t>
  </si>
  <si>
    <t>原相統一74購02</t>
  </si>
  <si>
    <t>凡甲元富74購01</t>
  </si>
  <si>
    <t>穩懋元富73購01</t>
  </si>
  <si>
    <t>元太富邦73購03</t>
  </si>
  <si>
    <t>元太元大73購06</t>
  </si>
  <si>
    <t>伍豐元大73購02</t>
  </si>
  <si>
    <t>良維元大73購01</t>
  </si>
  <si>
    <t>智冠元大73購01</t>
  </si>
  <si>
    <t>榮剛元大73購02</t>
  </si>
  <si>
    <t>台燿國票73購01</t>
  </si>
  <si>
    <t>原相國票73購01</t>
  </si>
  <si>
    <t>雙鴻康和73購01</t>
  </si>
  <si>
    <t>岳豐國泰74購02</t>
  </si>
  <si>
    <t>群聯國泰73購03</t>
  </si>
  <si>
    <t>碩禾日盛75購01</t>
  </si>
  <si>
    <t>穩懋台新73購01</t>
  </si>
  <si>
    <t>譜瑞台新73購03</t>
  </si>
  <si>
    <t>鈊象台新75購01</t>
  </si>
  <si>
    <t>穩懋富邦74購01</t>
  </si>
  <si>
    <t>宇隆兆豐74購01</t>
  </si>
  <si>
    <t>精華兆豐74購01</t>
  </si>
  <si>
    <t>穩懋兆豐73購03</t>
  </si>
  <si>
    <t>西柏元富73購01</t>
  </si>
  <si>
    <t>帛漢元富73購01</t>
  </si>
  <si>
    <t>東捷元富73購01</t>
  </si>
  <si>
    <t>環球晶元富73購03</t>
  </si>
  <si>
    <t>環球晶元富73購04</t>
  </si>
  <si>
    <t>鈊象元富73購01</t>
  </si>
  <si>
    <t>譜瑞永豐73購02</t>
  </si>
  <si>
    <t>同致元富74購01</t>
  </si>
  <si>
    <t>先豐群益73購01</t>
  </si>
  <si>
    <t>邦特群益73購01</t>
  </si>
  <si>
    <t>金山電群益73購01</t>
  </si>
  <si>
    <t>原相群益73購03</t>
  </si>
  <si>
    <t>精材群益73購03</t>
  </si>
  <si>
    <t>環宇群益74購03</t>
  </si>
  <si>
    <t>神準元大73購01</t>
  </si>
  <si>
    <t>僑威元大73購02</t>
  </si>
  <si>
    <t>昂寶凱基75購01</t>
  </si>
  <si>
    <t>雙鴻元富73購01</t>
  </si>
  <si>
    <t>同致中信77購01</t>
  </si>
  <si>
    <t>東洋中信73購01</t>
  </si>
  <si>
    <t>環球晶台新73購02</t>
  </si>
  <si>
    <t>伍豐群益73購02</t>
  </si>
  <si>
    <t>雙鴻群益73購01</t>
  </si>
  <si>
    <t>原相富邦74購01</t>
  </si>
  <si>
    <t>陽程富邦73購01</t>
  </si>
  <si>
    <t>台燿永豐73購01</t>
  </si>
  <si>
    <t>由田永豐73購02</t>
  </si>
  <si>
    <t>勝麗永豐73購03</t>
  </si>
  <si>
    <t>環球晶永豐73購01</t>
  </si>
  <si>
    <t>穩懋永豐73購03</t>
  </si>
  <si>
    <t>大江日盛73購01</t>
  </si>
  <si>
    <t>勝麗統一73購02</t>
  </si>
  <si>
    <t>環球晶統一74購02</t>
  </si>
  <si>
    <t>環球晶統一74購03</t>
  </si>
  <si>
    <t>譜瑞統一74購01</t>
  </si>
  <si>
    <t>大江兆豐74購01</t>
  </si>
  <si>
    <t>譜瑞兆豐74購01</t>
  </si>
  <si>
    <t>良維元大74購02</t>
  </si>
  <si>
    <t>胡連元大73購01</t>
  </si>
  <si>
    <t>勝麗元大73購02</t>
  </si>
  <si>
    <t>群聯元大73購03</t>
  </si>
  <si>
    <t>僑威康和73購02</t>
  </si>
  <si>
    <t>朋程中信75購01</t>
  </si>
  <si>
    <t>環球晶國泰73購05</t>
  </si>
  <si>
    <t>環球晶國泰73購06</t>
  </si>
  <si>
    <t>昂寶永豐73購01</t>
  </si>
  <si>
    <t>牧德永豐74購01</t>
  </si>
  <si>
    <t>威剛永豐73購01</t>
  </si>
  <si>
    <t>晶焱永豐73購01</t>
  </si>
  <si>
    <t>宜鼎元大73購01</t>
  </si>
  <si>
    <t>鼎翰元大73購01</t>
  </si>
  <si>
    <t>網家元大75購01</t>
  </si>
  <si>
    <t>環球晶元大73購04</t>
  </si>
  <si>
    <t>台半元富73購01</t>
  </si>
  <si>
    <t>邦特元富73購01</t>
  </si>
  <si>
    <t>晶焱富邦76購01</t>
  </si>
  <si>
    <t>智晶群益73購01</t>
  </si>
  <si>
    <t>環球晶群益73購08</t>
  </si>
  <si>
    <t>環球晶群益73購09</t>
  </si>
  <si>
    <t>環球晶群益74購01</t>
  </si>
  <si>
    <t>台半日盛73購01</t>
  </si>
  <si>
    <t>岳豐統一73購01</t>
  </si>
  <si>
    <t>穩懋統一73購03</t>
  </si>
  <si>
    <t>穩懋統一73購04</t>
  </si>
  <si>
    <t>環球晶中信74購01</t>
  </si>
  <si>
    <t>台半永豐73購02</t>
  </si>
  <si>
    <t>合晶永豐73購02</t>
  </si>
  <si>
    <t>良維永豐73購01</t>
  </si>
  <si>
    <t>信昌電永豐73購01</t>
  </si>
  <si>
    <t>碩禾永豐74購01</t>
  </si>
  <si>
    <t>合晶元富73購02</t>
  </si>
  <si>
    <t>陽程元富73購01</t>
  </si>
  <si>
    <t>聯亞日盛73購01</t>
  </si>
  <si>
    <t>精材兆豐74購02</t>
  </si>
  <si>
    <t>鈊象兆豐74購02</t>
  </si>
  <si>
    <t>伍豐元大73購03</t>
  </si>
  <si>
    <t>岳豐元大74購02</t>
  </si>
  <si>
    <t>森鉅元大73購01</t>
  </si>
  <si>
    <t>譜瑞元大73購04</t>
  </si>
  <si>
    <t>陽程富邦73購02</t>
  </si>
  <si>
    <t>昂寶凱基75購02</t>
  </si>
  <si>
    <t>威剛凱基76購01</t>
  </si>
  <si>
    <t>威剛凱基76購02</t>
  </si>
  <si>
    <t>信昌電國泰73購01</t>
  </si>
  <si>
    <t>凡甲群益73購01</t>
  </si>
  <si>
    <t>碩禾群益74購01</t>
  </si>
  <si>
    <t>信驊永豐73購02</t>
  </si>
  <si>
    <t>勝麗永豐73購04</t>
  </si>
  <si>
    <t>萬潤永豐73購03</t>
  </si>
  <si>
    <t>昂寶富邦73購01</t>
  </si>
  <si>
    <t>鈊象富邦75購01</t>
  </si>
  <si>
    <t>威剛日盛73購01</t>
  </si>
  <si>
    <t>環球晶日盛73購01</t>
  </si>
  <si>
    <t>良維統一73購01</t>
  </si>
  <si>
    <t>譜瑞統一73購04</t>
  </si>
  <si>
    <t>台燿兆豐73購02</t>
  </si>
  <si>
    <t>台半元大73購01</t>
  </si>
  <si>
    <t>伍豐元大73購04</t>
  </si>
  <si>
    <t>旺矽元大73購02</t>
  </si>
  <si>
    <t>信昌電元大73購01</t>
  </si>
  <si>
    <t>信昌電元大73購02</t>
  </si>
  <si>
    <t>威剛元大76購02</t>
  </si>
  <si>
    <t>世界元富73購01</t>
  </si>
  <si>
    <t>威剛元富73購01</t>
  </si>
  <si>
    <t>濱川元富73購01</t>
  </si>
  <si>
    <t>穩懋元富73購02</t>
  </si>
  <si>
    <t>應華中信73購01</t>
  </si>
  <si>
    <t>聯亞中信74購01</t>
  </si>
  <si>
    <t>雙鴻國泰79購01</t>
  </si>
  <si>
    <t>譜瑞國泰74購01</t>
  </si>
  <si>
    <t>金居富邦77購02</t>
  </si>
  <si>
    <t>元太群益74購02</t>
  </si>
  <si>
    <t>良維群益73購01</t>
  </si>
  <si>
    <t>勝麗群益74購01</t>
  </si>
  <si>
    <t>廣明群益73購02</t>
  </si>
  <si>
    <t>朋程元富73購01</t>
  </si>
  <si>
    <t>信驊元富73購01</t>
  </si>
  <si>
    <t>美磊元富73購01</t>
  </si>
  <si>
    <t>鈊象康和73購01</t>
  </si>
  <si>
    <t>弘塑凱基73購01</t>
  </si>
  <si>
    <t>振曜凱基73購01</t>
  </si>
  <si>
    <t>元太日盛73購01</t>
  </si>
  <si>
    <t>信昌電統一75購01</t>
  </si>
  <si>
    <t>頎邦兆豐73購01</t>
  </si>
  <si>
    <t>西柏元大73購01</t>
  </si>
  <si>
    <t>聖暉元大73購02</t>
  </si>
  <si>
    <t>環球晶元大74購01</t>
  </si>
  <si>
    <t>鈊象元大76購02</t>
  </si>
  <si>
    <t>西柏永豐73購01</t>
  </si>
  <si>
    <t>波若威永豐73購01</t>
  </si>
  <si>
    <t>凱美永豐73購01</t>
  </si>
  <si>
    <t>富喬永豐73購02</t>
  </si>
  <si>
    <t>森鉅永豐73購01</t>
  </si>
  <si>
    <t>鼎翰永豐73購02</t>
  </si>
  <si>
    <t>同致國泰73購02</t>
  </si>
  <si>
    <t>金居國泰76購01</t>
  </si>
  <si>
    <t>精測國泰75購01</t>
  </si>
  <si>
    <t>穩懋永昌73購02</t>
  </si>
  <si>
    <t>昇達科元富73購01</t>
  </si>
  <si>
    <t>環宇元富73購01</t>
  </si>
  <si>
    <t>恒耀元富73購01</t>
  </si>
  <si>
    <t>岳豐玉山73購01</t>
  </si>
  <si>
    <t>元太群益74購03</t>
  </si>
  <si>
    <t>金居群益73購02</t>
  </si>
  <si>
    <t>原相群益73購04</t>
  </si>
  <si>
    <t>僑威群益73購01</t>
  </si>
  <si>
    <t>網家群益74購01</t>
  </si>
  <si>
    <t>金山電凱基73購01</t>
  </si>
  <si>
    <t>信昌電凱基73購01</t>
  </si>
  <si>
    <t>宜鼎永豐73購01</t>
  </si>
  <si>
    <t>金居永豐73購02</t>
  </si>
  <si>
    <t>信昌電永豐73購02</t>
  </si>
  <si>
    <t>昂寶兆豐74購01</t>
  </si>
  <si>
    <t>金居兆豐74購02</t>
  </si>
  <si>
    <t>環球晶兆豐73購03</t>
  </si>
  <si>
    <t>恒耀兆豐73購01</t>
  </si>
  <si>
    <t>台半元大73購02</t>
  </si>
  <si>
    <t>勝麗元大76購02</t>
  </si>
  <si>
    <t>精測元大73購01</t>
  </si>
  <si>
    <t>環球晶元大73購06</t>
  </si>
  <si>
    <t>聯亞元大73購02</t>
  </si>
  <si>
    <t>昇達科群益74購01</t>
  </si>
  <si>
    <t>精測群益74購01</t>
  </si>
  <si>
    <t>頎邦玉山73購01</t>
  </si>
  <si>
    <t>良維國泰74購01</t>
  </si>
  <si>
    <t>岳豐國泰75購01</t>
  </si>
  <si>
    <t>昂寶國泰74購01</t>
  </si>
  <si>
    <t>凡甲元富74購02</t>
  </si>
  <si>
    <t>同致元富74購02</t>
  </si>
  <si>
    <t>金居元富73購02</t>
  </si>
  <si>
    <t>由田永豐73購03</t>
  </si>
  <si>
    <t>原相永豐73購03</t>
  </si>
  <si>
    <t>精材永豐73購02</t>
  </si>
  <si>
    <t>聯合日盛73購01</t>
  </si>
  <si>
    <t>環球晶統一73購06</t>
  </si>
  <si>
    <t>力旺元大73購03</t>
  </si>
  <si>
    <t>大江元大73購01</t>
  </si>
  <si>
    <t>元太元大73購08</t>
  </si>
  <si>
    <t>森鉅元大73購02</t>
  </si>
  <si>
    <t>萬潤元大76購01</t>
  </si>
  <si>
    <t>聯合元大74購01</t>
  </si>
  <si>
    <t>森鉅凱基73購01</t>
  </si>
  <si>
    <t>光燿科群益73購01</t>
  </si>
  <si>
    <t>威剛群益75購01</t>
  </si>
  <si>
    <t>大江永豐73購01</t>
  </si>
  <si>
    <t>中天永豐73購01</t>
  </si>
  <si>
    <t>宏觀永豐73購01</t>
  </si>
  <si>
    <t>振曜永豐73購03</t>
  </si>
  <si>
    <t>精測永豐73購03</t>
  </si>
  <si>
    <t>網家永豐73購02</t>
  </si>
  <si>
    <t>頎邦永豐73購01</t>
  </si>
  <si>
    <t>環球晶國票73購02</t>
  </si>
  <si>
    <t>岳豐凱基73購01</t>
  </si>
  <si>
    <t>精材凱基74購02</t>
  </si>
  <si>
    <t>精華凱基73購02</t>
  </si>
  <si>
    <t>信昌電國泰76購01</t>
  </si>
  <si>
    <t>網家國泰73購02</t>
  </si>
  <si>
    <t>凡甲富邦74購02</t>
  </si>
  <si>
    <t>鈊象元富73購02</t>
  </si>
  <si>
    <t>VHQ元大76購01</t>
  </si>
  <si>
    <t>凡甲元大74購02</t>
  </si>
  <si>
    <t>伍豐元大74購01</t>
  </si>
  <si>
    <t>均豪元大73購01</t>
  </si>
  <si>
    <t>佰研元大76購01</t>
  </si>
  <si>
    <t>陽程元大76購01</t>
  </si>
  <si>
    <t>聖暉元大76購01</t>
  </si>
  <si>
    <t>精材元大75購03</t>
  </si>
  <si>
    <t>精華元大73購03</t>
  </si>
  <si>
    <t>譜瑞元大73購06</t>
  </si>
  <si>
    <t>頎邦元大73購02</t>
  </si>
  <si>
    <t>凡甲國泰73購02</t>
  </si>
  <si>
    <t>牧德國泰73購02</t>
  </si>
  <si>
    <t>精材國泰73購02</t>
  </si>
  <si>
    <t>振曜元富73購01</t>
  </si>
  <si>
    <t>勝麗元富73購01</t>
  </si>
  <si>
    <t>閎康元富73購01</t>
  </si>
  <si>
    <t>精材元富76購01</t>
  </si>
  <si>
    <t>頎邦元富73購02</t>
  </si>
  <si>
    <t>網家富邦73購01</t>
  </si>
  <si>
    <t>環球晶富邦73購03</t>
  </si>
  <si>
    <t>威剛統一73購02</t>
  </si>
  <si>
    <t>同致兆豐74購01</t>
  </si>
  <si>
    <t>東捷元大76購01</t>
  </si>
  <si>
    <t>數字元大73購02</t>
  </si>
  <si>
    <t>環球晶元大73購07</t>
  </si>
  <si>
    <t>弘塑永豐73購01</t>
  </si>
  <si>
    <t>金居永豐73購03</t>
  </si>
  <si>
    <t>智擎永豐73購02</t>
  </si>
  <si>
    <t>環宇永豐73購01</t>
  </si>
  <si>
    <t>精測中信75購01</t>
  </si>
  <si>
    <t>台燿群益73購04</t>
  </si>
  <si>
    <t>岳豐群益73購03</t>
  </si>
  <si>
    <t>長華科群益73購01</t>
  </si>
  <si>
    <t>勝麗群益73購04</t>
  </si>
  <si>
    <t>東隆興凱基73購01</t>
  </si>
  <si>
    <t>精材凱基73購05</t>
  </si>
  <si>
    <t>精材凱基75購02</t>
  </si>
  <si>
    <t>濱川凱基73購01</t>
  </si>
  <si>
    <t>光燿科國泰74購01</t>
  </si>
  <si>
    <t>台半元富74購01</t>
  </si>
  <si>
    <t>岳豐永豐74購01</t>
  </si>
  <si>
    <t>翔名永豐74購01</t>
  </si>
  <si>
    <t>鈊象永豐74購01</t>
  </si>
  <si>
    <t>台半台新74購01</t>
  </si>
  <si>
    <t>勝麗群益75購01</t>
  </si>
  <si>
    <t>聯合群益74購01</t>
  </si>
  <si>
    <t>翔名日盛74購01</t>
  </si>
  <si>
    <t>元太元大74購01</t>
  </si>
  <si>
    <t>元太元大75購01</t>
  </si>
  <si>
    <t>昇達科元大74購02</t>
  </si>
  <si>
    <t>東隆興元大77購01</t>
  </si>
  <si>
    <t>威剛元大74購02</t>
  </si>
  <si>
    <t>新普元大74購01</t>
  </si>
  <si>
    <t>網家元大74購02</t>
  </si>
  <si>
    <t>環球晶元大74購02</t>
  </si>
  <si>
    <t>精測中信75購02</t>
  </si>
  <si>
    <t>譜瑞群益75購01</t>
  </si>
  <si>
    <t>同致國泰78購01</t>
  </si>
  <si>
    <t>精測國泰74購01</t>
  </si>
  <si>
    <t>碩禾元富74購01</t>
  </si>
  <si>
    <t>穩懋永昌74購01</t>
  </si>
  <si>
    <t>波若威元大77購01</t>
  </si>
  <si>
    <t>精測元大74購02</t>
  </si>
  <si>
    <t>穩懋元大75購01</t>
  </si>
  <si>
    <t>宜特永豐74購01</t>
  </si>
  <si>
    <t>陽程永豐74購01</t>
  </si>
  <si>
    <t>雙鴻永豐74購01</t>
  </si>
  <si>
    <t>同致富邦76購01</t>
  </si>
  <si>
    <t>新普富邦75購01</t>
  </si>
  <si>
    <t>智擎統一74購02</t>
  </si>
  <si>
    <t>台半兆豐74購01</t>
  </si>
  <si>
    <t>伍豐兆豐75購01</t>
  </si>
  <si>
    <t>新普兆豐74購01</t>
  </si>
  <si>
    <t>台半凱基74購01</t>
  </si>
  <si>
    <t>統新凱基74購01</t>
  </si>
  <si>
    <t>台燿國泰75購01</t>
  </si>
  <si>
    <t>旺矽國泰74購01</t>
  </si>
  <si>
    <t>中菲行永豐74購01</t>
  </si>
  <si>
    <t>東隆興永豐74購01</t>
  </si>
  <si>
    <t>信昌電永豐74購01</t>
  </si>
  <si>
    <t>萬潤永豐74購01</t>
  </si>
  <si>
    <t>碩禾富邦77購01</t>
  </si>
  <si>
    <t>伍豐元富74購01</t>
  </si>
  <si>
    <t>伍豐元富75購01</t>
  </si>
  <si>
    <t>同亨元富74購01</t>
  </si>
  <si>
    <t>桂盟元富74購01</t>
  </si>
  <si>
    <t>濱川元富74購01</t>
  </si>
  <si>
    <t>環球晶元富74購01</t>
  </si>
  <si>
    <t>昂寶元大74購01</t>
  </si>
  <si>
    <t>美磊元大74購01</t>
  </si>
  <si>
    <t>雅茗元大75購01</t>
  </si>
  <si>
    <t>網家元大74購03</t>
  </si>
  <si>
    <t>力旺群益74購01</t>
  </si>
  <si>
    <t>元太群益74購05</t>
  </si>
  <si>
    <t>均豪群益75購01</t>
  </si>
  <si>
    <t>帛漢群益75購01</t>
  </si>
  <si>
    <t>帛漢群益76購01</t>
  </si>
  <si>
    <t>碩禾統一74購02</t>
  </si>
  <si>
    <t>力旺兆豐75購01</t>
  </si>
  <si>
    <t>威剛兆豐75購01</t>
  </si>
  <si>
    <t>勝麗兆豐74購01</t>
  </si>
  <si>
    <t>頎邦兆豐75購01</t>
  </si>
  <si>
    <t>中美晶中信74購01</t>
  </si>
  <si>
    <t>中美晶中信74購02</t>
  </si>
  <si>
    <t>久元日盛74購01</t>
  </si>
  <si>
    <t>台半日盛74購01</t>
  </si>
  <si>
    <t>迅得日盛74購01</t>
  </si>
  <si>
    <t>直得日盛74購01</t>
  </si>
  <si>
    <t>中美晶統一74購01</t>
  </si>
  <si>
    <t>中美晶統一74購02</t>
  </si>
  <si>
    <t>直得統一75購01</t>
  </si>
  <si>
    <t>茂達統一74購01</t>
  </si>
  <si>
    <t>碩禾統一75購01</t>
  </si>
  <si>
    <t>宜鼎兆豐75購01</t>
  </si>
  <si>
    <t>牧德兆豐75購01</t>
  </si>
  <si>
    <t>威剛兆豐75購02</t>
  </si>
  <si>
    <t>台半國票74購01</t>
  </si>
  <si>
    <t>宏觀國票74購01</t>
  </si>
  <si>
    <t>穩懋國票74購01</t>
  </si>
  <si>
    <t>大田康和74購01</t>
  </si>
  <si>
    <t>直得康和74購01</t>
  </si>
  <si>
    <t>耕興康和74購01</t>
  </si>
  <si>
    <t>中美晶凱基74購01</t>
  </si>
  <si>
    <t>中美晶凱基74購02</t>
  </si>
  <si>
    <t>中美晶凱基75購01</t>
  </si>
  <si>
    <t>大中國泰74購01</t>
  </si>
  <si>
    <t>大田國泰74購01</t>
  </si>
  <si>
    <t>良維國泰76購01</t>
  </si>
  <si>
    <t>和勤國泰74購01</t>
  </si>
  <si>
    <t>勝麗國泰74購01</t>
  </si>
  <si>
    <t>萬潤國泰76購01</t>
  </si>
  <si>
    <t>碩禾國泰76購01</t>
  </si>
  <si>
    <t>大田元富74購01</t>
  </si>
  <si>
    <t>中美晶元富74購01</t>
  </si>
  <si>
    <t>中美晶元富74購02</t>
  </si>
  <si>
    <t>耕興元富74購01</t>
  </si>
  <si>
    <t>網家元富74購01</t>
  </si>
  <si>
    <t>大田元富74購02</t>
  </si>
  <si>
    <t>中美晶富邦74購01</t>
  </si>
  <si>
    <t>中美晶富邦75購01</t>
  </si>
  <si>
    <t>茂達富邦74購01</t>
  </si>
  <si>
    <t>勝麗富邦74購01</t>
  </si>
  <si>
    <t>大中群益74購01</t>
  </si>
  <si>
    <t>大中群益74購02</t>
  </si>
  <si>
    <t>中美晶群益74購01</t>
  </si>
  <si>
    <t>中美晶群益74購02</t>
  </si>
  <si>
    <t>中美晶群益75購01</t>
  </si>
  <si>
    <t>中美晶群益75購02</t>
  </si>
  <si>
    <t>來思達群益74購01</t>
  </si>
  <si>
    <t>來思達群益74購02</t>
  </si>
  <si>
    <t>直得群益74購01</t>
  </si>
  <si>
    <t>茂達群益74購01</t>
  </si>
  <si>
    <t>聚和群益74購01</t>
  </si>
  <si>
    <t>環宇群益74購04</t>
  </si>
  <si>
    <t>晟德群益74購01</t>
  </si>
  <si>
    <t>久元元大74購01</t>
  </si>
  <si>
    <t>久元元大74購02</t>
  </si>
  <si>
    <t>大中元大74購01</t>
  </si>
  <si>
    <t>大中元大75購01</t>
  </si>
  <si>
    <t>大田元大74購01</t>
  </si>
  <si>
    <t>大田元大75購01</t>
  </si>
  <si>
    <t>中美晶元大74購01</t>
  </si>
  <si>
    <t>中美晶元大74購04</t>
  </si>
  <si>
    <t>中美晶元大75購01</t>
  </si>
  <si>
    <t>東碩元大74購01</t>
  </si>
  <si>
    <t>博智元大74購01</t>
  </si>
  <si>
    <t>湧德元大74購01</t>
  </si>
  <si>
    <t>湧德元大74購02</t>
  </si>
  <si>
    <t>聚和元大74購01</t>
  </si>
  <si>
    <t>聚和元大74購02</t>
  </si>
  <si>
    <t>鴻碩元大74購01</t>
  </si>
  <si>
    <t>久元永豐74購01</t>
  </si>
  <si>
    <t>大中永豐74購01</t>
  </si>
  <si>
    <t>大田永豐74購01</t>
  </si>
  <si>
    <t>中美晶永豐74購01</t>
  </si>
  <si>
    <t>中美晶永豐74購02</t>
  </si>
  <si>
    <t>立敦永豐74購01</t>
  </si>
  <si>
    <t>良維永豐74購01</t>
  </si>
  <si>
    <t>和勤永豐74購01</t>
  </si>
  <si>
    <t>東碩永豐74購01</t>
  </si>
  <si>
    <t>博智永豐74購01</t>
  </si>
  <si>
    <t>湧德永豐74購01</t>
  </si>
  <si>
    <t>聚和永豐74購01</t>
  </si>
  <si>
    <t>鴻碩永豐74購01</t>
  </si>
  <si>
    <t>中美晶國泰74購01</t>
  </si>
  <si>
    <t>中美晶國泰76購01</t>
  </si>
  <si>
    <t>久元富邦74購01</t>
  </si>
  <si>
    <t>台半永豐74購01</t>
  </si>
  <si>
    <t>光燿科永豐74購01</t>
  </si>
  <si>
    <t>冠科永豐74購01</t>
  </si>
  <si>
    <t>穩懋永豐74購01</t>
  </si>
  <si>
    <t>中美晶國票74購01</t>
  </si>
  <si>
    <t>大中凱基74購01</t>
  </si>
  <si>
    <t>大田凱基74購01</t>
  </si>
  <si>
    <t>良維凱基74購01</t>
  </si>
  <si>
    <t>鴻碩凱基74購01</t>
  </si>
  <si>
    <t>宏觀元富74購01</t>
  </si>
  <si>
    <t>勝麗元富74購01</t>
  </si>
  <si>
    <t>台半元大74購01</t>
  </si>
  <si>
    <t>光燿科元大77購01</t>
  </si>
  <si>
    <t>良維元大75購01</t>
  </si>
  <si>
    <t>直得元大74購01</t>
  </si>
  <si>
    <t>勝麗元大77購01</t>
  </si>
  <si>
    <t>穩懋元大74購02</t>
  </si>
  <si>
    <t>IET群益74購01</t>
  </si>
  <si>
    <t>大田群益74購01</t>
  </si>
  <si>
    <t>宇峻群益74購01</t>
  </si>
  <si>
    <t>宇峻群益74購02</t>
  </si>
  <si>
    <t>和勤群益74購01</t>
  </si>
  <si>
    <t>和勤群益74購02</t>
  </si>
  <si>
    <t>胡連群益74購01</t>
  </si>
  <si>
    <t>新普群益74購01</t>
  </si>
  <si>
    <t>穩懋群益74購02</t>
  </si>
  <si>
    <t>中美晶日盛74購01</t>
  </si>
  <si>
    <t>晶焱統一76購01</t>
  </si>
  <si>
    <t>智崴兆豐74購02</t>
  </si>
  <si>
    <t>環球晶兆豐74購02</t>
  </si>
  <si>
    <t>穩懋富邦74購02</t>
  </si>
  <si>
    <t>久元元富74購01</t>
  </si>
  <si>
    <t>元太國泰74購01</t>
  </si>
  <si>
    <t>直得國泰74購01</t>
  </si>
  <si>
    <t>頎邦國泰74購01</t>
  </si>
  <si>
    <t>伍豐日盛75購01</t>
  </si>
  <si>
    <t>恒耀日盛74購01</t>
  </si>
  <si>
    <t>穩懋統一74購01</t>
  </si>
  <si>
    <t>陽程兆豐75購01</t>
  </si>
  <si>
    <t>良維群益74購02</t>
  </si>
  <si>
    <t>宜鼎群益75購01</t>
  </si>
  <si>
    <t>昇達科群益75購01</t>
  </si>
  <si>
    <t>東碩群益74購01</t>
  </si>
  <si>
    <t>威剛群益75購02</t>
  </si>
  <si>
    <t>科懋群益74購01</t>
  </si>
  <si>
    <t>湧德群益74購01</t>
  </si>
  <si>
    <t>元太元大74購02</t>
  </si>
  <si>
    <t>元太元大74購03</t>
  </si>
  <si>
    <t>元太元大74購04</t>
  </si>
  <si>
    <t>良維元大75購02</t>
  </si>
  <si>
    <t>牧德元大75購01</t>
  </si>
  <si>
    <t>原相元大77購01</t>
  </si>
  <si>
    <t>環球晶元大74購03</t>
  </si>
  <si>
    <t>環球晶元大74購04</t>
  </si>
  <si>
    <t>雙鴻元大76購01</t>
  </si>
  <si>
    <t>台半中信76購01</t>
  </si>
  <si>
    <t>同致永豐74購01</t>
  </si>
  <si>
    <t>順達永豐74購01</t>
  </si>
  <si>
    <t>新普永豐74購01</t>
  </si>
  <si>
    <t>聯亞永豐74購01</t>
  </si>
  <si>
    <t>同致台新75購01</t>
  </si>
  <si>
    <t>聯亞台新75購01</t>
  </si>
  <si>
    <t>穩懋台新74購02</t>
  </si>
  <si>
    <t>東洋國票74購01</t>
  </si>
  <si>
    <t>聯亞國票74購01</t>
  </si>
  <si>
    <t>譜瑞國票74購01</t>
  </si>
  <si>
    <t>新普康和74購01</t>
  </si>
  <si>
    <t>新普凱基74購01</t>
  </si>
  <si>
    <t>穩懋凱基74購09</t>
  </si>
  <si>
    <t>穩懋國泰74購01</t>
  </si>
  <si>
    <t>譜瑞群益75購02</t>
  </si>
  <si>
    <t>頎邦群益74購03</t>
  </si>
  <si>
    <t>大田元富74購03</t>
  </si>
  <si>
    <t>統新永豐74購01</t>
  </si>
  <si>
    <t>環球晶富邦74購01</t>
  </si>
  <si>
    <t>台燿元大74購01</t>
  </si>
  <si>
    <t>新普元大74購02</t>
  </si>
  <si>
    <t>恒耀元大74購01</t>
  </si>
  <si>
    <t>順達台新74購01</t>
  </si>
  <si>
    <t>中美晶玉山75購01</t>
  </si>
  <si>
    <t>穩懋玉山77購01</t>
  </si>
  <si>
    <t>茂達日盛74購01</t>
  </si>
  <si>
    <t>聖暉日盛74購01</t>
  </si>
  <si>
    <t>環球晶統一74購05</t>
  </si>
  <si>
    <t>元太國票74購01</t>
  </si>
  <si>
    <t>金居國票74購01</t>
  </si>
  <si>
    <t>環球晶國票74購01</t>
  </si>
  <si>
    <t>台燿凱基74購01</t>
  </si>
  <si>
    <t>台燿凱基74購02</t>
  </si>
  <si>
    <t>同致凱基74購02</t>
  </si>
  <si>
    <t>宏觀凱基74購01</t>
  </si>
  <si>
    <t>胡連凱基74購01</t>
  </si>
  <si>
    <t>環球晶凱基74購01</t>
  </si>
  <si>
    <t>環球晶凱基74購02</t>
  </si>
  <si>
    <t>環球晶凱基74購03</t>
  </si>
  <si>
    <t>同致永昌74購01</t>
  </si>
  <si>
    <t>伍豐國泰74購01</t>
  </si>
  <si>
    <t>良維凱基74購02</t>
  </si>
  <si>
    <t>精測元富74購01</t>
  </si>
  <si>
    <t>由田群益74購01</t>
  </si>
  <si>
    <t>合晶群益75購01</t>
  </si>
  <si>
    <t>神準群益74購01</t>
  </si>
  <si>
    <t>順達群益74購01</t>
  </si>
  <si>
    <t>譜瑞群益75購03</t>
  </si>
  <si>
    <t>IET永豐74購01</t>
  </si>
  <si>
    <t>凡甲永豐74購01</t>
  </si>
  <si>
    <t>合晶永豐74購01</t>
  </si>
  <si>
    <t>岳豐永豐74購02</t>
  </si>
  <si>
    <t>牧德永豐74購02</t>
  </si>
  <si>
    <t>璟德永豐74購01</t>
  </si>
  <si>
    <t>中美晶元大74購05</t>
  </si>
  <si>
    <t>合晶元大75購01</t>
  </si>
  <si>
    <t>新普元大74購03</t>
  </si>
  <si>
    <t>新普元大75購01</t>
  </si>
  <si>
    <t>雙鴻元大76購02</t>
  </si>
  <si>
    <t>原相統一74購03</t>
  </si>
  <si>
    <t>金居兆豐75購01</t>
  </si>
  <si>
    <t>精測兆豐75購01</t>
  </si>
  <si>
    <t>萬潤凱基74購01</t>
  </si>
  <si>
    <t>萬潤日盛74購01</t>
  </si>
  <si>
    <t>網家兆豐75購01</t>
  </si>
  <si>
    <t>欣銓元大74購01</t>
  </si>
  <si>
    <t>胡連元大74購01</t>
  </si>
  <si>
    <t>中美晶國泰76購02</t>
  </si>
  <si>
    <t>合晶國泰74購01</t>
  </si>
  <si>
    <t>晶焱國泰74購01</t>
  </si>
  <si>
    <t>碩禾國泰77購01</t>
  </si>
  <si>
    <t>大田群益74購02</t>
  </si>
  <si>
    <t>同致群益74購03</t>
  </si>
  <si>
    <t>威剛群益74購02</t>
  </si>
  <si>
    <t>璟德群益74購01</t>
  </si>
  <si>
    <t>穩懋群益74購04</t>
  </si>
  <si>
    <t>穩懋群益74購05</t>
  </si>
  <si>
    <t>穩懋群益74購06</t>
  </si>
  <si>
    <t>晟德群益74購02</t>
  </si>
  <si>
    <t>鈊象群益75購01</t>
  </si>
  <si>
    <t>頎邦群益75購01</t>
  </si>
  <si>
    <t>中美晶富邦75購02</t>
  </si>
  <si>
    <t>穩懋永昌74購02</t>
  </si>
  <si>
    <t>穩懋永昌75購01</t>
  </si>
  <si>
    <t>中美晶元富74購04</t>
  </si>
  <si>
    <t>中美晶元富74購05</t>
  </si>
  <si>
    <t>精測元富74購02</t>
  </si>
  <si>
    <t>中美晶永豐74購03</t>
  </si>
  <si>
    <t>合晶永豐74購02</t>
  </si>
  <si>
    <t>和勤永豐74購02</t>
  </si>
  <si>
    <t>胡連永豐74購01</t>
  </si>
  <si>
    <t>穩懋永豐74購03</t>
  </si>
  <si>
    <t>中美晶台新74購01</t>
  </si>
  <si>
    <t>威剛國泰76購01</t>
  </si>
  <si>
    <t>精測國泰76購01</t>
  </si>
  <si>
    <t>穩懋元富74購02</t>
  </si>
  <si>
    <t>台半中信76購02</t>
  </si>
  <si>
    <t>中美晶富邦76購01</t>
  </si>
  <si>
    <t>聯合富邦75購01</t>
  </si>
  <si>
    <t>中美晶元大74購06</t>
  </si>
  <si>
    <t>台半元大74購02</t>
  </si>
  <si>
    <t>金居元大75購02</t>
  </si>
  <si>
    <t>威剛元大75購01</t>
  </si>
  <si>
    <t>胡連元大74購02</t>
  </si>
  <si>
    <t>台半永豐74購02</t>
  </si>
  <si>
    <t>宜鼎永豐74購01</t>
  </si>
  <si>
    <t>昇達科永豐74購01</t>
  </si>
  <si>
    <t>朋程永豐74購01</t>
  </si>
  <si>
    <t>長華科永豐74購01</t>
  </si>
  <si>
    <t>湧德永豐74購02</t>
  </si>
  <si>
    <t>精材永豐74購02</t>
  </si>
  <si>
    <t>頎邦永豐74購01</t>
  </si>
  <si>
    <t>凡甲群益74購01</t>
  </si>
  <si>
    <t>中美晶群益74購05</t>
  </si>
  <si>
    <t>中美晶群益74購06</t>
  </si>
  <si>
    <t>智崴群益74購01</t>
  </si>
  <si>
    <t>萬潤群益74購01</t>
  </si>
  <si>
    <t>鼎翰群益74購01</t>
  </si>
  <si>
    <t>精材群益74購01</t>
  </si>
  <si>
    <t>頎邦群益75購02</t>
  </si>
  <si>
    <t>中美晶凱基75購02</t>
  </si>
  <si>
    <t>台半凱基74購02</t>
  </si>
  <si>
    <t>精測凱基74購02</t>
  </si>
  <si>
    <t>穩懋凱基74購10</t>
  </si>
  <si>
    <t>穩懋凱基75購01</t>
  </si>
  <si>
    <t>僑威日盛74購01</t>
  </si>
  <si>
    <t>碩禾日盛74購01</t>
  </si>
  <si>
    <t>精測日盛75購01</t>
  </si>
  <si>
    <t>中美晶統一74購04</t>
  </si>
  <si>
    <t>中美晶統一74購05</t>
  </si>
  <si>
    <t>環球晶統一74購06</t>
  </si>
  <si>
    <t>穩懋統一74購03</t>
  </si>
  <si>
    <t>中美晶兆豐75購01</t>
  </si>
  <si>
    <t>穩懋兆豐74購01</t>
  </si>
  <si>
    <t>合晶凱基74購01</t>
  </si>
  <si>
    <t>合晶凱基74購02</t>
  </si>
  <si>
    <t>同致元大74購06</t>
  </si>
  <si>
    <t>金居元大74購02</t>
  </si>
  <si>
    <t>威剛元大74購03</t>
  </si>
  <si>
    <t>精測元大74購03</t>
  </si>
  <si>
    <t>精測元大74購04</t>
  </si>
  <si>
    <t>同致國泰75購01</t>
  </si>
  <si>
    <t>和勤國泰75購01</t>
  </si>
  <si>
    <t>岳豐國泰77購01</t>
  </si>
  <si>
    <t>威剛國泰76購02</t>
  </si>
  <si>
    <t>鈊象國泰74購01</t>
  </si>
  <si>
    <t>富喬元富74購01</t>
  </si>
  <si>
    <t>鈊象富邦76購01</t>
  </si>
  <si>
    <t>光燿科永豐75購01</t>
  </si>
  <si>
    <t>合晶永豐74購03</t>
  </si>
  <si>
    <t>茂達永豐74購01</t>
  </si>
  <si>
    <t>精華永豐74購01</t>
  </si>
  <si>
    <t>環宇永豐74購01</t>
  </si>
  <si>
    <t>恒耀永豐74購01</t>
  </si>
  <si>
    <t>岳豐日盛74購01</t>
  </si>
  <si>
    <t>金居日盛75購01</t>
  </si>
  <si>
    <t>翔名日盛74購02</t>
  </si>
  <si>
    <t>新普日盛74購01</t>
  </si>
  <si>
    <t>久元群益74購01</t>
  </si>
  <si>
    <t>中美晶群益75購03</t>
  </si>
  <si>
    <t>和勤群益74購03</t>
  </si>
  <si>
    <t>直得群益75購01</t>
  </si>
  <si>
    <t>精測群益74購03</t>
  </si>
  <si>
    <t>同致台新74購01</t>
  </si>
  <si>
    <t>譜瑞台新74購01</t>
  </si>
  <si>
    <t>信昌電兆豐74購01</t>
  </si>
  <si>
    <t>威剛國泰76購03</t>
  </si>
  <si>
    <t>環球晶永昌74購01</t>
  </si>
  <si>
    <t>中美晶統一74購06</t>
  </si>
  <si>
    <t>中美晶中信74購03</t>
  </si>
  <si>
    <t>穩懋中信74購01</t>
  </si>
  <si>
    <t>中美晶永豐74購04</t>
  </si>
  <si>
    <t>環球晶永豐74購01</t>
  </si>
  <si>
    <t>穩懋富邦75購01</t>
  </si>
  <si>
    <t>先豐元富74購01</t>
  </si>
  <si>
    <t>環球晶元富74購03</t>
  </si>
  <si>
    <t>環球晶元富74購04</t>
  </si>
  <si>
    <t>聯亞元富74購01</t>
  </si>
  <si>
    <t>中美晶凱基74購06</t>
  </si>
  <si>
    <t>中美晶凱基76購01</t>
  </si>
  <si>
    <t>僑威凱基74購01</t>
  </si>
  <si>
    <t>碩禾凱基74購01</t>
  </si>
  <si>
    <t>中美晶元大75購02</t>
  </si>
  <si>
    <t>穩懋元大74購04</t>
  </si>
  <si>
    <t>穩懋元大74購05</t>
  </si>
  <si>
    <t>譜瑞元大74購01</t>
  </si>
  <si>
    <t>頎邦元大75購01</t>
  </si>
  <si>
    <t>中美晶群益74購08</t>
  </si>
  <si>
    <t>統新群益74購02</t>
  </si>
  <si>
    <t>晶焱群益75購01</t>
  </si>
  <si>
    <t>環球晶群益74購03</t>
  </si>
  <si>
    <t>環球晶群益74購04</t>
  </si>
  <si>
    <t>恒耀群益74購01</t>
  </si>
  <si>
    <t>精測中信75購03</t>
  </si>
  <si>
    <t>大宇資永豐74購01</t>
  </si>
  <si>
    <t>宇隆永豐74購01</t>
  </si>
  <si>
    <t>金可永豐74購01</t>
  </si>
  <si>
    <t>翔名永豐74購02</t>
  </si>
  <si>
    <t>良維國泰77購01</t>
  </si>
  <si>
    <t>精測富邦74購01</t>
  </si>
  <si>
    <t>中美晶合庫74購01</t>
  </si>
  <si>
    <t>應華元富74購01</t>
  </si>
  <si>
    <t>大宇資群益74購01</t>
  </si>
  <si>
    <t>和勤群益74購04</t>
  </si>
  <si>
    <t>牧德群益75購01</t>
  </si>
  <si>
    <t>茂達群益74購02</t>
  </si>
  <si>
    <t>振曜群益74購01</t>
  </si>
  <si>
    <t>聯亞群益74購01</t>
  </si>
  <si>
    <t>雙鴻群益75購02</t>
  </si>
  <si>
    <t>中美晶元大75購03</t>
  </si>
  <si>
    <t>同致元大75購02</t>
  </si>
  <si>
    <t>碩禾元大76購03</t>
  </si>
  <si>
    <t>璟德元大74購01</t>
  </si>
  <si>
    <t>譜瑞元大74購02</t>
  </si>
  <si>
    <t>鈊象元大75購01</t>
  </si>
  <si>
    <t>同致統一74購04</t>
  </si>
  <si>
    <t>精測統一75購01</t>
  </si>
  <si>
    <t>美磊兆豐74購01</t>
  </si>
  <si>
    <t>中美晶國票74購02</t>
  </si>
  <si>
    <t>宜鼎國票74購01</t>
  </si>
  <si>
    <t>昂寶國票74購01</t>
  </si>
  <si>
    <t>環球晶玉山77購01</t>
  </si>
  <si>
    <t>精測凱基74購03</t>
  </si>
  <si>
    <t>中美晶國泰74購02</t>
  </si>
  <si>
    <t>湧德國泰74購01</t>
  </si>
  <si>
    <t>富喬群益74購01</t>
  </si>
  <si>
    <t>精測群益74購04</t>
  </si>
  <si>
    <t>鴻碩群益74購01</t>
  </si>
  <si>
    <t>凡甲永豐74購02</t>
  </si>
  <si>
    <t>千附永豐74購01</t>
  </si>
  <si>
    <t>湧德永豐74購03</t>
  </si>
  <si>
    <t>萬潤永豐74購02</t>
  </si>
  <si>
    <t>僑威永豐74購01</t>
  </si>
  <si>
    <t>宇隆元富74購01</t>
  </si>
  <si>
    <t>恒耀元富74購01</t>
  </si>
  <si>
    <t>皇田富邦74購01</t>
  </si>
  <si>
    <t>環球晶富邦74購02</t>
  </si>
  <si>
    <t>凡甲凱基77購01</t>
  </si>
  <si>
    <t>穩懋台新75購01</t>
  </si>
  <si>
    <t>中美晶元大75購04</t>
  </si>
  <si>
    <t>弘塑元大75購01</t>
  </si>
  <si>
    <t>邦特元大74購01</t>
  </si>
  <si>
    <t>原相元大75購02</t>
  </si>
  <si>
    <t>精材元大75購04</t>
  </si>
  <si>
    <t>精材元大75購05</t>
  </si>
  <si>
    <t>穩懋元大74購06</t>
  </si>
  <si>
    <t>元太兆豐75購02</t>
  </si>
  <si>
    <t>良維兆豐74購01</t>
  </si>
  <si>
    <t>威剛兆豐75購03</t>
  </si>
  <si>
    <t>胡連兆豐74購01</t>
  </si>
  <si>
    <t>新普兆豐75購01</t>
  </si>
  <si>
    <t>環宇兆豐74購01</t>
  </si>
  <si>
    <t>聯亞兆豐74購01</t>
  </si>
  <si>
    <t>穩懋兆豐74購03</t>
  </si>
  <si>
    <t>台燿中信74購01</t>
  </si>
  <si>
    <t>勝麗中信74購01</t>
  </si>
  <si>
    <t>環球晶永昌74購02</t>
  </si>
  <si>
    <t>中美晶富邦74購02</t>
  </si>
  <si>
    <t>宜特日盛74購01</t>
  </si>
  <si>
    <t>昂寶日盛74購01</t>
  </si>
  <si>
    <t>勝麗日盛74購01</t>
  </si>
  <si>
    <t>譜瑞日盛74購01</t>
  </si>
  <si>
    <t>萬潤兆豐74購01</t>
  </si>
  <si>
    <t>環球晶兆豐75購01</t>
  </si>
  <si>
    <t>中美晶永豐74購05</t>
  </si>
  <si>
    <t>台半永豐74購03</t>
  </si>
  <si>
    <t>良維永豐74購02</t>
  </si>
  <si>
    <t>威剛永豐74購02</t>
  </si>
  <si>
    <t>原相永豐74購02</t>
  </si>
  <si>
    <t>智崴永豐74購01</t>
  </si>
  <si>
    <t>順達永豐74購02</t>
  </si>
  <si>
    <t>精測永豐74購02</t>
  </si>
  <si>
    <t>鴻碩永豐74購02</t>
  </si>
  <si>
    <t>台燿群益74購01</t>
  </si>
  <si>
    <t>迅得群益75購01</t>
  </si>
  <si>
    <t>牧德群益74購02</t>
  </si>
  <si>
    <t>直得群益75購02</t>
  </si>
  <si>
    <t>勝麗群益75購02</t>
  </si>
  <si>
    <t>翔名群益75購01</t>
  </si>
  <si>
    <t>碩禾群益74購03</t>
  </si>
  <si>
    <t>濱川群益75購01</t>
  </si>
  <si>
    <t>良維元大74購03</t>
  </si>
  <si>
    <t>茂達元大76購01</t>
  </si>
  <si>
    <t>順達元大74購01</t>
  </si>
  <si>
    <t>精華元大74購01</t>
  </si>
  <si>
    <t>環宇元大74購01</t>
  </si>
  <si>
    <t>環球晶元大74購07</t>
  </si>
  <si>
    <t>環球晶元大75購01</t>
  </si>
  <si>
    <t>恒耀元大74購02</t>
  </si>
  <si>
    <t>久元群益74購02</t>
  </si>
  <si>
    <t>中美晶群益74購09</t>
  </si>
  <si>
    <t>加百裕群益74購01</t>
  </si>
  <si>
    <t>台半群益74購01</t>
  </si>
  <si>
    <t>旺矽群益74購01</t>
  </si>
  <si>
    <t>閎康群益74購01</t>
  </si>
  <si>
    <t>順達群益74購02</t>
  </si>
  <si>
    <t>群聯群益74購02</t>
  </si>
  <si>
    <t>環宇群益75購01</t>
  </si>
  <si>
    <t>精華台新74購01</t>
  </si>
  <si>
    <t>順達國泰75購01</t>
  </si>
  <si>
    <t>加百裕國泰74購01</t>
  </si>
  <si>
    <t>加百裕元富74購01</t>
  </si>
  <si>
    <t>順達元富74購01</t>
  </si>
  <si>
    <t>群聯富邦74購01</t>
  </si>
  <si>
    <t>加百裕富邦74購01</t>
  </si>
  <si>
    <t>加百裕永豐74購01</t>
  </si>
  <si>
    <t>茂達永豐74購02</t>
  </si>
  <si>
    <t>凱美永豐74購01</t>
  </si>
  <si>
    <t>晶焱永豐74購01</t>
  </si>
  <si>
    <t>群聯永豐74購01</t>
  </si>
  <si>
    <t>精華永豐74購02</t>
  </si>
  <si>
    <t>頎邦永豐74購02</t>
  </si>
  <si>
    <t>世界元大74購01</t>
  </si>
  <si>
    <t>良維元大77購01</t>
  </si>
  <si>
    <t>群聯元大74購01</t>
  </si>
  <si>
    <t>碩禾元大77購01</t>
  </si>
  <si>
    <t>精測元大75購02</t>
  </si>
  <si>
    <t>VHQ日盛74購01</t>
  </si>
  <si>
    <t>邦特日盛74購01</t>
  </si>
  <si>
    <t>旺矽日盛74購01</t>
  </si>
  <si>
    <t>宜特兆豐75購01</t>
  </si>
  <si>
    <t>群聯兆豐74購02</t>
  </si>
  <si>
    <t>台半凱基74購03</t>
  </si>
  <si>
    <t>久元永豐74購02</t>
  </si>
  <si>
    <t>博智永豐74購02</t>
  </si>
  <si>
    <t>智擎永豐74購01</t>
  </si>
  <si>
    <t>群聯永豐74購02</t>
  </si>
  <si>
    <t>穩懋永豐74購04</t>
  </si>
  <si>
    <t>中美晶國泰74購04</t>
  </si>
  <si>
    <t>穩懋國泰74購02</t>
  </si>
  <si>
    <t>加百裕國泰76購01</t>
  </si>
  <si>
    <t>加百裕群益74購02</t>
  </si>
  <si>
    <t>由田群益74購02</t>
  </si>
  <si>
    <t>宇隆群益74購01</t>
  </si>
  <si>
    <t>東碩群益74購02</t>
  </si>
  <si>
    <t>金可群益74購01</t>
  </si>
  <si>
    <t>博智群益74購01</t>
  </si>
  <si>
    <t>新普群益74購02</t>
  </si>
  <si>
    <t>穩懋群益75購02</t>
  </si>
  <si>
    <t>恒耀群益75購01</t>
  </si>
  <si>
    <t>威剛台新75購01</t>
  </si>
  <si>
    <t>台燿元大74購02</t>
  </si>
  <si>
    <t>同致元大77購01</t>
  </si>
  <si>
    <t>威剛元大74購04</t>
  </si>
  <si>
    <t>晶焱元大75購01</t>
  </si>
  <si>
    <t>群聯元大74購02</t>
  </si>
  <si>
    <t>加百裕凱基74購01</t>
  </si>
  <si>
    <t>宇隆凱基74購01</t>
  </si>
  <si>
    <t>良維凱基74購03</t>
  </si>
  <si>
    <t>欣銓凱基74購01</t>
  </si>
  <si>
    <t>群聯凱基74購01</t>
  </si>
  <si>
    <t>群聯凱基74購02</t>
  </si>
  <si>
    <t>群聯凱基74購03</t>
  </si>
  <si>
    <t>新漢康和74購01</t>
  </si>
  <si>
    <t>中美晶元富74購07</t>
  </si>
  <si>
    <t>中美晶日盛74購02</t>
  </si>
  <si>
    <t>僑威統一75購01</t>
  </si>
  <si>
    <t>鈊象統一75購01</t>
  </si>
  <si>
    <t>VHQ兆豐74購01</t>
  </si>
  <si>
    <t>精測兆豐74購02</t>
  </si>
  <si>
    <t>中美晶中信74購04</t>
  </si>
  <si>
    <t>智擎中信75購01</t>
  </si>
  <si>
    <t>台半國泰75購01</t>
  </si>
  <si>
    <t>邦特國泰76購01</t>
  </si>
  <si>
    <t>穩懋國泰74購03</t>
  </si>
  <si>
    <t>信昌電元富74購01</t>
  </si>
  <si>
    <t>冠科元富74購01</t>
  </si>
  <si>
    <t>穩懋富邦75購02</t>
  </si>
  <si>
    <t>大中群益74購03</t>
  </si>
  <si>
    <t>中美晶群益74購10</t>
  </si>
  <si>
    <t>元太群益74購07</t>
  </si>
  <si>
    <t>合晶群益74購01</t>
  </si>
  <si>
    <t>美磊群益74購01</t>
  </si>
  <si>
    <t>穩懋群益74購07</t>
  </si>
  <si>
    <t>合晶合庫74購01</t>
  </si>
  <si>
    <t>大中永豐74購02</t>
  </si>
  <si>
    <t>合晶永豐74購04</t>
  </si>
  <si>
    <t>合晶永豐74購05</t>
  </si>
  <si>
    <t>精材永豐74購03</t>
  </si>
  <si>
    <t>中美晶元大74購08</t>
  </si>
  <si>
    <t>合晶元大75購02</t>
  </si>
  <si>
    <t>東洋元大74購02</t>
  </si>
  <si>
    <t>金山電元大74購01</t>
  </si>
  <si>
    <t>湧德元大75購01</t>
  </si>
  <si>
    <t>順達元大74購02</t>
  </si>
  <si>
    <t>精材元大74購02</t>
  </si>
  <si>
    <t>加百裕日盛74購01</t>
  </si>
  <si>
    <t>群聯日盛74購01</t>
  </si>
  <si>
    <t>合晶統一74購02</t>
  </si>
  <si>
    <t>網家統一75購01</t>
  </si>
  <si>
    <t>台燿兆豐75購01</t>
  </si>
  <si>
    <t>合晶兆豐74購01</t>
  </si>
  <si>
    <t>加百裕國票74購01</t>
  </si>
  <si>
    <t>穩懋國票74購02</t>
  </si>
  <si>
    <t>原相凱基74購02</t>
  </si>
  <si>
    <t>原相凱基74購03</t>
  </si>
  <si>
    <t>原相凱基74購04</t>
  </si>
  <si>
    <t>久元國泰74購01</t>
  </si>
  <si>
    <t>大中國泰74購02</t>
  </si>
  <si>
    <t>宜特國泰75購02</t>
  </si>
  <si>
    <t>茂達國泰74購01</t>
  </si>
  <si>
    <t>碩禾永豐74購02</t>
  </si>
  <si>
    <t>同致群益75購02</t>
  </si>
  <si>
    <t>昂寶群益74購01</t>
  </si>
  <si>
    <t>金居群益75購01</t>
  </si>
  <si>
    <t>胡連元富74購01</t>
  </si>
  <si>
    <t>精材元富74購01</t>
  </si>
  <si>
    <t>聯合元富74購01</t>
  </si>
  <si>
    <t>聖暉日盛74購02</t>
  </si>
  <si>
    <t>大中元大74購02</t>
  </si>
  <si>
    <t>台半元大75購01</t>
  </si>
  <si>
    <t>僑威元大74購01</t>
  </si>
  <si>
    <t>精材元大74購03</t>
  </si>
  <si>
    <t>聯亞元大74購01</t>
  </si>
  <si>
    <t>穩懋元大74購08</t>
  </si>
  <si>
    <t>世界統一74購01</t>
  </si>
  <si>
    <t>同致兆豐76購01</t>
  </si>
  <si>
    <t>頎邦兆豐75購02</t>
  </si>
  <si>
    <t>台半國泰77購01</t>
  </si>
  <si>
    <t>台半元富75購01</t>
  </si>
  <si>
    <t>環球晶永昌75購03</t>
  </si>
  <si>
    <t>立敦永豐74購02</t>
  </si>
  <si>
    <t>紅馬永豐74購01</t>
  </si>
  <si>
    <t>鈊象永豐74購02</t>
  </si>
  <si>
    <t>大中群益74購04</t>
  </si>
  <si>
    <t>聯亞群益74購02</t>
  </si>
  <si>
    <t>宇隆元大74購01</t>
  </si>
  <si>
    <t>宜特元大74購02</t>
  </si>
  <si>
    <t>牧德元大74購01</t>
  </si>
  <si>
    <t>茂達日盛77購01</t>
  </si>
  <si>
    <t>閎康日盛74購01</t>
  </si>
  <si>
    <t>勝麗統一74購01</t>
  </si>
  <si>
    <t>中美晶兆豐75購02</t>
  </si>
  <si>
    <t>晶焱兆豐76購01</t>
  </si>
  <si>
    <t>恒耀兆豐76購01</t>
  </si>
  <si>
    <t>昇達科國泰75購01</t>
  </si>
  <si>
    <t>金居國泰75購01</t>
  </si>
  <si>
    <t>富喬國泰75購01</t>
  </si>
  <si>
    <t>智崴國泰75購01</t>
  </si>
  <si>
    <t>頎邦國泰75購01</t>
  </si>
  <si>
    <t>宜特群益75購01</t>
  </si>
  <si>
    <t>金居群益76購01</t>
  </si>
  <si>
    <t>勝麗群益75購03</t>
  </si>
  <si>
    <t>宇峻凱基75購01</t>
  </si>
  <si>
    <t>昂寶元富75購01</t>
  </si>
  <si>
    <t>台半元大75購02</t>
  </si>
  <si>
    <t>弘塑元大76購01</t>
  </si>
  <si>
    <t>立敦元大75購01</t>
  </si>
  <si>
    <t>統新元大75購01</t>
  </si>
  <si>
    <t>翔名元大76購01</t>
  </si>
  <si>
    <t>璟德元大75購01</t>
  </si>
  <si>
    <t>大中永豐75購01</t>
  </si>
  <si>
    <t>大江永豐75購01</t>
  </si>
  <si>
    <t>岳豐永豐75購01</t>
  </si>
  <si>
    <t>金居永豐75購01</t>
  </si>
  <si>
    <t>雙鴻永豐75購01</t>
  </si>
  <si>
    <t>中美晶統一75購02</t>
  </si>
  <si>
    <t>譜瑞兆豐76購01</t>
  </si>
  <si>
    <t>伍豐國泰76購01</t>
  </si>
  <si>
    <t>原相元富77購01</t>
  </si>
  <si>
    <t>環球晶台新76購01</t>
  </si>
  <si>
    <t>立敦群益75購01</t>
  </si>
  <si>
    <t>胡連群益76購01</t>
  </si>
  <si>
    <t>應華群益75購01</t>
  </si>
  <si>
    <t>雙鴻凱基76購01</t>
  </si>
  <si>
    <t>原相永豐75購01</t>
  </si>
  <si>
    <t>富喬永豐75購01</t>
  </si>
  <si>
    <t>聯亞永豐75購01</t>
  </si>
  <si>
    <t>原相統一75購01</t>
  </si>
  <si>
    <t>精華統一76購01</t>
  </si>
  <si>
    <t>大江元大75購01</t>
  </si>
  <si>
    <t>中美晶元大75購05</t>
  </si>
  <si>
    <t>加百裕元大75購01</t>
  </si>
  <si>
    <t>金可元大75購01</t>
  </si>
  <si>
    <t>長華科元大75購01</t>
  </si>
  <si>
    <t>智崴元大75購01</t>
  </si>
  <si>
    <t>智晶元大75購01</t>
  </si>
  <si>
    <t>頎邦元大76購01</t>
  </si>
  <si>
    <t>立敦國泰75購01</t>
  </si>
  <si>
    <t>群聯中信77購01</t>
  </si>
  <si>
    <t>精測中信77購01</t>
  </si>
  <si>
    <t>頎邦台新76購01</t>
  </si>
  <si>
    <t>牧德凱基75購01</t>
  </si>
  <si>
    <t>金居凱基75購01</t>
  </si>
  <si>
    <t>台燿元富75購01</t>
  </si>
  <si>
    <t>群聯富邦76購01</t>
  </si>
  <si>
    <t>聯亞富邦75購01</t>
  </si>
  <si>
    <t>應華日盛75購01</t>
  </si>
  <si>
    <t>雙鴻日盛75購01</t>
  </si>
  <si>
    <t>勝麗兆豐76購01</t>
  </si>
  <si>
    <t>原相元大77購02</t>
  </si>
  <si>
    <t>凱美元大75購01</t>
  </si>
  <si>
    <t>勝麗元大75購02</t>
  </si>
  <si>
    <t>網家群益76購01</t>
  </si>
  <si>
    <t>環球晶群益75購01</t>
  </si>
  <si>
    <t>穩懋群益75購03</t>
  </si>
  <si>
    <t>台半永豐75購01</t>
  </si>
  <si>
    <t>帛漢永豐75購01</t>
  </si>
  <si>
    <t>欣銓永豐75購01</t>
  </si>
  <si>
    <t>金居永豐75購02</t>
  </si>
  <si>
    <t>穩懋永豐75購01</t>
  </si>
  <si>
    <t>凡甲群益75購01</t>
  </si>
  <si>
    <t>群聯群益75購01</t>
  </si>
  <si>
    <t>大江永豐75購02</t>
  </si>
  <si>
    <t>牧德永豐75購01</t>
  </si>
  <si>
    <t>穩懋永豐75購02</t>
  </si>
  <si>
    <t>中美晶國泰77購01</t>
  </si>
  <si>
    <t>同致國泰77購03</t>
  </si>
  <si>
    <t>群聯元富75購01</t>
  </si>
  <si>
    <t>僑威元富75購01</t>
  </si>
  <si>
    <t>穩懋元富75購01</t>
  </si>
  <si>
    <t>威剛富邦77購01</t>
  </si>
  <si>
    <t>旺矽元大75購01</t>
  </si>
  <si>
    <t>原相元大78購01</t>
  </si>
  <si>
    <t>閎康元大75購01</t>
  </si>
  <si>
    <t>萬潤元大77購01</t>
  </si>
  <si>
    <t>聯亞元大76購01</t>
  </si>
  <si>
    <t>穩懋元大75購02</t>
  </si>
  <si>
    <t>元太日盛75購01</t>
  </si>
  <si>
    <t>精測統一76購01</t>
  </si>
  <si>
    <t>宇隆兆豐75購01</t>
  </si>
  <si>
    <t>精材兆豐76購01</t>
  </si>
  <si>
    <t>穩懋兆豐75購02</t>
  </si>
  <si>
    <t>譜瑞兆豐77購01</t>
  </si>
  <si>
    <t>世界凱基75購01</t>
  </si>
  <si>
    <t>伍豐凱基75購01</t>
  </si>
  <si>
    <t>網家凱基75購01</t>
  </si>
  <si>
    <t>網家凱基75購02</t>
  </si>
  <si>
    <t>加百裕國泰78購01</t>
  </si>
  <si>
    <t>翔名國泰75購01</t>
  </si>
  <si>
    <t>譜瑞富邦75購01</t>
  </si>
  <si>
    <t>先豐元富75購01</t>
  </si>
  <si>
    <t>精測元富75購02</t>
  </si>
  <si>
    <t>精華元富75購01</t>
  </si>
  <si>
    <t>精測台新76購01</t>
  </si>
  <si>
    <t>中美晶群益75購05</t>
  </si>
  <si>
    <t>穩懋群益75購04</t>
  </si>
  <si>
    <t>譜瑞群益75購04</t>
  </si>
  <si>
    <t>大江元大75購02</t>
  </si>
  <si>
    <t>朋程元大75購01</t>
  </si>
  <si>
    <t>欣銓元大75購01</t>
  </si>
  <si>
    <t>金居元大78購01</t>
  </si>
  <si>
    <t>智崴元大75購02</t>
  </si>
  <si>
    <t>譜瑞元大75購01</t>
  </si>
  <si>
    <t>新普康和75購01</t>
  </si>
  <si>
    <t>大江凱基75購01</t>
  </si>
  <si>
    <t>大江凱基75購02</t>
  </si>
  <si>
    <t>台半凱基75購01</t>
  </si>
  <si>
    <t>宜鼎凱基75購01</t>
  </si>
  <si>
    <t>牧德凱基75購02</t>
  </si>
  <si>
    <t>金居凱基75購02</t>
  </si>
  <si>
    <t>頎邦凱基75購01</t>
  </si>
  <si>
    <t>東洋統一75購01</t>
  </si>
  <si>
    <t>智擎統一75購01</t>
  </si>
  <si>
    <t>雙鴻兆豐76購01</t>
  </si>
  <si>
    <t>大江國泰75購01</t>
  </si>
  <si>
    <t>僑威永豐75購01</t>
  </si>
  <si>
    <t>聯亞永豐75購02</t>
  </si>
  <si>
    <t>譜瑞永豐75購01</t>
  </si>
  <si>
    <t>中美晶國票75購01</t>
  </si>
  <si>
    <t>信昌電國票75購01</t>
  </si>
  <si>
    <t>穩懋國票75購01</t>
  </si>
  <si>
    <t>帛漢凱基75購01</t>
  </si>
  <si>
    <t>晶焱凱基75購01</t>
  </si>
  <si>
    <t>東洋日盛75購01</t>
  </si>
  <si>
    <t>大江中信77購01</t>
  </si>
  <si>
    <t>牧德中信76購01</t>
  </si>
  <si>
    <t>譜瑞中信75購01</t>
  </si>
  <si>
    <t>欣銓元富75購01</t>
  </si>
  <si>
    <t>新普元富75購01</t>
  </si>
  <si>
    <t>榮剛元富75購01</t>
  </si>
  <si>
    <t>碩禾元富75購01</t>
  </si>
  <si>
    <t>台半群益75購01</t>
  </si>
  <si>
    <t>原相群益75購01</t>
  </si>
  <si>
    <t>精材群益75購01</t>
  </si>
  <si>
    <t>濱川群益76購01</t>
  </si>
  <si>
    <t>環球晶群益75購03</t>
  </si>
  <si>
    <t>大江元大75購03</t>
  </si>
  <si>
    <t>台半元大75購03</t>
  </si>
  <si>
    <t>同致元大78購02</t>
  </si>
  <si>
    <t>原相元大78購02</t>
  </si>
  <si>
    <t>翔名元大78購01</t>
  </si>
  <si>
    <t>翔名元大78購02</t>
  </si>
  <si>
    <t>精測元大76購01</t>
  </si>
  <si>
    <t>精華元大75購01</t>
  </si>
  <si>
    <t>穩懋元大76購01</t>
  </si>
  <si>
    <t>宇峻國泰75購01</t>
  </si>
  <si>
    <t>頎邦群益75購04</t>
  </si>
  <si>
    <t>宜鼎日盛75購01</t>
  </si>
  <si>
    <t>聯合日盛75購01</t>
  </si>
  <si>
    <t>力旺元富75購01</t>
  </si>
  <si>
    <t>大江元富75購01</t>
  </si>
  <si>
    <t>譜瑞元富75購01</t>
  </si>
  <si>
    <t>恒耀元富77購01</t>
  </si>
  <si>
    <t>僑威元大77購01</t>
  </si>
  <si>
    <t>網家元大76購01</t>
  </si>
  <si>
    <t>譜瑞元大75購03</t>
  </si>
  <si>
    <t>大江國票75購01</t>
  </si>
  <si>
    <t>欣銓國票75購01</t>
  </si>
  <si>
    <t>宇隆國泰77購01</t>
  </si>
  <si>
    <t>聯亞群益75購01</t>
  </si>
  <si>
    <t>譜瑞富邦76購01</t>
  </si>
  <si>
    <t>宇隆台新77購01</t>
  </si>
  <si>
    <t>欣銓元大75購02</t>
  </si>
  <si>
    <t>協益永豐75購01</t>
  </si>
  <si>
    <t>昂寶永豐75購01</t>
  </si>
  <si>
    <t>欣銓永豐75購02</t>
  </si>
  <si>
    <t>金居永豐75購03</t>
  </si>
  <si>
    <t>聯合永豐75購01</t>
  </si>
  <si>
    <t>智崴國票75購01</t>
  </si>
  <si>
    <t>翔名康和75購01</t>
  </si>
  <si>
    <t>欣銓凱基75購01</t>
  </si>
  <si>
    <t>原相凱基75購01</t>
  </si>
  <si>
    <t>精華凱基75購01</t>
  </si>
  <si>
    <t>譜瑞凱基75購02</t>
  </si>
  <si>
    <t>牧德日盛75購01</t>
  </si>
  <si>
    <t>頎邦統一75購01</t>
  </si>
  <si>
    <t>中美晶兆豐75購04</t>
  </si>
  <si>
    <t>元太兆豐76購01</t>
  </si>
  <si>
    <t>原相兆豐75購01</t>
  </si>
  <si>
    <t>精華兆豐75購01</t>
  </si>
  <si>
    <t>環球晶兆豐77購01</t>
  </si>
  <si>
    <t>頎邦兆豐76購01</t>
  </si>
  <si>
    <t>同致永昌75購01</t>
  </si>
  <si>
    <t>新麥中信75購01</t>
  </si>
  <si>
    <t>合晶國泰75購01</t>
  </si>
  <si>
    <t>合晶國泰75購02</t>
  </si>
  <si>
    <t>東洋國泰75購01</t>
  </si>
  <si>
    <t>譜瑞台新78購01</t>
  </si>
  <si>
    <t>大中群益76購01</t>
  </si>
  <si>
    <t>弘塑群益75購01</t>
  </si>
  <si>
    <t>合晶群益76購02</t>
  </si>
  <si>
    <t>網家群益76購02</t>
  </si>
  <si>
    <t>聯亞群益76購01</t>
  </si>
  <si>
    <t>合晶日盛75購01</t>
  </si>
  <si>
    <t>頎邦日盛75購01</t>
  </si>
  <si>
    <t>大江兆豐76購01</t>
  </si>
  <si>
    <t>合晶兆豐75購01</t>
  </si>
  <si>
    <t>VHQ元富75購01</t>
  </si>
  <si>
    <t>精華元富75購02</t>
  </si>
  <si>
    <t>合晶元大75購03</t>
  </si>
  <si>
    <t>合晶元大76購01</t>
  </si>
  <si>
    <t>欣銓元大75購03</t>
  </si>
  <si>
    <t>信昌電元大75購01</t>
  </si>
  <si>
    <t>精華元大75購02</t>
  </si>
  <si>
    <t>聯合元大75購01</t>
  </si>
  <si>
    <t>世界國票75購01</t>
  </si>
  <si>
    <t>同致國票75購01</t>
  </si>
  <si>
    <t>合晶國票75購01</t>
  </si>
  <si>
    <t>美磊國票75購01</t>
  </si>
  <si>
    <t>譜瑞國票75購01</t>
  </si>
  <si>
    <t>大中凱基75購01</t>
  </si>
  <si>
    <t>合晶凱基75購01</t>
  </si>
  <si>
    <t>東洋凱基75購01</t>
  </si>
  <si>
    <t>精材凱基75購03</t>
  </si>
  <si>
    <t>穩懋凱基75購03</t>
  </si>
  <si>
    <t>穩懋凱基75購04</t>
  </si>
  <si>
    <t>譜瑞凱基75購03</t>
  </si>
  <si>
    <t>由田永豐75購01</t>
  </si>
  <si>
    <t>立敦永豐75購01</t>
  </si>
  <si>
    <t>同致永豐75購01</t>
  </si>
  <si>
    <t>合晶永豐75購01</t>
  </si>
  <si>
    <t>宜鼎永豐75購01</t>
  </si>
  <si>
    <t>旺矽永豐75購01</t>
  </si>
  <si>
    <t>昇達科永豐75購01</t>
  </si>
  <si>
    <t>紅馬永豐75購01</t>
  </si>
  <si>
    <t>原相永豐75購02</t>
  </si>
  <si>
    <t>翔名永豐75購01</t>
  </si>
  <si>
    <t>陽程永豐75購01</t>
  </si>
  <si>
    <t>聖暉永豐75購01</t>
  </si>
  <si>
    <t>精華永豐75購01</t>
  </si>
  <si>
    <t>濱川永豐75購01</t>
  </si>
  <si>
    <t>環球晶中信78購01</t>
  </si>
  <si>
    <t>宜鼎元大75購01</t>
  </si>
  <si>
    <t>昇達科元大75購02</t>
  </si>
  <si>
    <t>金可元大75購02</t>
  </si>
  <si>
    <t>穩懋第一75購01</t>
  </si>
  <si>
    <t>精華國票75購01</t>
  </si>
  <si>
    <t>精華凱基75購02</t>
  </si>
  <si>
    <t>中美晶永豐75購01</t>
  </si>
  <si>
    <t>世界永豐75購01</t>
  </si>
  <si>
    <t>立端永豐75購01</t>
  </si>
  <si>
    <t>合晶永豐75購02</t>
  </si>
  <si>
    <t>東碩永豐75購01</t>
  </si>
  <si>
    <t>柏文永豐75購01</t>
  </si>
  <si>
    <t>新漢永豐75購01</t>
  </si>
  <si>
    <t>網家永豐75購01</t>
  </si>
  <si>
    <t>環球晶永豐75購01</t>
  </si>
  <si>
    <t>宜特台新76購01</t>
  </si>
  <si>
    <t>精材台新77購01</t>
  </si>
  <si>
    <t>同致群益75購03</t>
  </si>
  <si>
    <t>合晶群益75購02</t>
  </si>
  <si>
    <t>合晶統一75購01</t>
  </si>
  <si>
    <t>合晶元富75購01</t>
  </si>
  <si>
    <t>宜鼎元富75購01</t>
  </si>
  <si>
    <t>金可元富75購01</t>
  </si>
  <si>
    <t>台半國泰76購01</t>
  </si>
  <si>
    <t>同致國泰76購01</t>
  </si>
  <si>
    <t>岳豐國泰76購02</t>
  </si>
  <si>
    <t>新普國泰75購01</t>
  </si>
  <si>
    <t>精華國泰75購01</t>
  </si>
  <si>
    <t>迅得康和75購01</t>
  </si>
  <si>
    <t>良維國泰77購02</t>
  </si>
  <si>
    <t>威剛國泰77購01</t>
  </si>
  <si>
    <t>雙鴻國泰77購02</t>
  </si>
  <si>
    <t>原相日盛75購01</t>
  </si>
  <si>
    <t>環球晶富邦75購01</t>
  </si>
  <si>
    <t>台半兆豐75購01</t>
  </si>
  <si>
    <t>宜特兆豐76購01</t>
  </si>
  <si>
    <t>威剛統一75購01</t>
  </si>
  <si>
    <t>環球晶統一75購02</t>
  </si>
  <si>
    <t>環球晶統一75購03</t>
  </si>
  <si>
    <t>大江元大75購05</t>
  </si>
  <si>
    <t>中美晶元大75購07</t>
  </si>
  <si>
    <t>先進光元大75購01</t>
  </si>
  <si>
    <t>先進光元大75購02</t>
  </si>
  <si>
    <t>宇峻元大76購01</t>
  </si>
  <si>
    <t>精材元大75購07</t>
  </si>
  <si>
    <t>網家元大76購02</t>
  </si>
  <si>
    <t>環球晶元大75購03</t>
  </si>
  <si>
    <t>雙鴻元大78購01</t>
  </si>
  <si>
    <t>譜瑞元大75購04</t>
  </si>
  <si>
    <t>頎邦元大76購02</t>
  </si>
  <si>
    <t>直得第一75購01</t>
  </si>
  <si>
    <t>譜瑞第一75購01</t>
  </si>
  <si>
    <t>智冠國票75購01</t>
  </si>
  <si>
    <t>先進光凱基75購01</t>
  </si>
  <si>
    <t>宜鼎凱基75購02</t>
  </si>
  <si>
    <t>環球晶凱基75購01</t>
  </si>
  <si>
    <t>環球晶凱基75購02</t>
  </si>
  <si>
    <t>精華中信75購01</t>
  </si>
  <si>
    <t>精材台新78購01</t>
  </si>
  <si>
    <t>雙鴻台新75購01</t>
  </si>
  <si>
    <t>大宇資群益75購01</t>
  </si>
  <si>
    <t>先進光群益75購02</t>
  </si>
  <si>
    <t>迅得群益76購01</t>
  </si>
  <si>
    <t>欣銓群益75購01</t>
  </si>
  <si>
    <t>譜瑞群益75購05</t>
  </si>
  <si>
    <t>先進光永豐75購01</t>
  </si>
  <si>
    <t>欣銓永豐75購03</t>
  </si>
  <si>
    <t>精材永豐75購01</t>
  </si>
  <si>
    <t>群聯群益75購02</t>
  </si>
  <si>
    <t>先進光群益75購01</t>
  </si>
  <si>
    <t>台半中信75購01</t>
  </si>
  <si>
    <t>先進光中信75購01</t>
  </si>
  <si>
    <t>先進光國泰75購01</t>
  </si>
  <si>
    <t>先進光國泰75購02</t>
  </si>
  <si>
    <t>良維國泰78購01</t>
  </si>
  <si>
    <t>宜鼎國泰75購01</t>
  </si>
  <si>
    <t>精材國泰75購01</t>
  </si>
  <si>
    <t>同亨富邦75購01</t>
  </si>
  <si>
    <t>原相台新78購01</t>
  </si>
  <si>
    <t>昂寶元富75購02</t>
  </si>
  <si>
    <t>群聯元富77購01</t>
  </si>
  <si>
    <t>網家元富75購01</t>
  </si>
  <si>
    <t>世界元大75購01</t>
  </si>
  <si>
    <t>同致元大76購02</t>
  </si>
  <si>
    <t>群聯元大75購02</t>
  </si>
  <si>
    <t>精材元大75購08</t>
  </si>
  <si>
    <t>環球晶元大75購04</t>
  </si>
  <si>
    <t>穩懋元大75購04</t>
  </si>
  <si>
    <t>原相統一75購02</t>
  </si>
  <si>
    <t>立敦凱基75購01</t>
  </si>
  <si>
    <t>欣銓凱基75購02</t>
  </si>
  <si>
    <t>精材凱基75購04</t>
  </si>
  <si>
    <t>欣銓國泰75購01</t>
  </si>
  <si>
    <t>廣明元富75購01</t>
  </si>
  <si>
    <t>原相富邦76購01</t>
  </si>
  <si>
    <t>友華永豐75購01</t>
  </si>
  <si>
    <t>太醫永豐75購01</t>
  </si>
  <si>
    <t>群聯永豐75購01</t>
  </si>
  <si>
    <t>應華永豐75購01</t>
  </si>
  <si>
    <t>元太群益75購01</t>
  </si>
  <si>
    <t>精材群益76購01</t>
  </si>
  <si>
    <t>中美晶第一75購01</t>
  </si>
  <si>
    <t>環球晶第一75購01</t>
  </si>
  <si>
    <t>碩禾國票75購01</t>
  </si>
  <si>
    <t>鈊象國票75購01</t>
  </si>
  <si>
    <t>元太台新75購01</t>
  </si>
  <si>
    <t>同致台新78購01</t>
  </si>
  <si>
    <t>由田元大77購01</t>
  </si>
  <si>
    <t>同致元大78購03</t>
  </si>
  <si>
    <t>昂寶元大75購01</t>
  </si>
  <si>
    <t>牧德元大78購01</t>
  </si>
  <si>
    <t>柏文元大75購01</t>
  </si>
  <si>
    <t>群聯元大75購03</t>
  </si>
  <si>
    <t>廣明元大75購01</t>
  </si>
  <si>
    <t>晶焱日盛75購01</t>
  </si>
  <si>
    <t>智擎統一76購01</t>
  </si>
  <si>
    <t>網家統一75購02</t>
  </si>
  <si>
    <t>聯亞兆豐76購01</t>
  </si>
  <si>
    <t>元太國泰75購01</t>
  </si>
  <si>
    <t>元太國泰75購02</t>
  </si>
  <si>
    <t>VHQ群益76購01</t>
  </si>
  <si>
    <t>元太群益75購02</t>
  </si>
  <si>
    <t>迅得群益76購02</t>
  </si>
  <si>
    <t>神盾群益75購01</t>
  </si>
  <si>
    <t>濱川群益76購02</t>
  </si>
  <si>
    <t>大宇資永豐75購01</t>
  </si>
  <si>
    <t>大江永豐75購03</t>
  </si>
  <si>
    <t>金山電永豐75購01</t>
  </si>
  <si>
    <t>柏文永豐75購02</t>
  </si>
  <si>
    <t>泰博永豐75購01</t>
  </si>
  <si>
    <t>神盾永豐75購02</t>
  </si>
  <si>
    <t>網家永豐75購02</t>
  </si>
  <si>
    <t>富喬台新78購01</t>
  </si>
  <si>
    <t>譜瑞台新75購02</t>
  </si>
  <si>
    <t>元太富邦75購01</t>
  </si>
  <si>
    <t>富喬富邦76購01</t>
  </si>
  <si>
    <t>群聯富邦75購01</t>
  </si>
  <si>
    <t>頎邦富邦75購01</t>
  </si>
  <si>
    <t>神盾日盛75購01</t>
  </si>
  <si>
    <t>中美晶統一75購03</t>
  </si>
  <si>
    <t>東洋統一76購01</t>
  </si>
  <si>
    <t>神盾統一75購01</t>
  </si>
  <si>
    <t>群聯統一75購01</t>
  </si>
  <si>
    <t>璟德元富75購01</t>
  </si>
  <si>
    <t>元太凱基75購01</t>
  </si>
  <si>
    <t>同致凱基75購02</t>
  </si>
  <si>
    <t>神盾凱基75購01</t>
  </si>
  <si>
    <t>神盾凱基75購02</t>
  </si>
  <si>
    <t>神盾凱基75購03</t>
  </si>
  <si>
    <t>精材凱基75購05</t>
  </si>
  <si>
    <t>碩禾兆豐76購01</t>
  </si>
  <si>
    <t>大中元大77購01</t>
  </si>
  <si>
    <t>宜鼎元大75購02</t>
  </si>
  <si>
    <t>神盾元大75購02</t>
  </si>
  <si>
    <t>晶焱元大78購01</t>
  </si>
  <si>
    <t>網家元大75購04</t>
  </si>
  <si>
    <t>濱川元大76購01</t>
  </si>
  <si>
    <t>環球晶元大75購05</t>
  </si>
  <si>
    <t>元太國票75購02</t>
  </si>
  <si>
    <t>欣銓國票75購02</t>
  </si>
  <si>
    <t>神盾國票75購01</t>
  </si>
  <si>
    <t>富喬國票75購01</t>
  </si>
  <si>
    <t>環球晶國票75購01</t>
  </si>
  <si>
    <t>先進光日盛75購01</t>
  </si>
  <si>
    <t>先進光日盛76購01</t>
  </si>
  <si>
    <t>神盾日盛77購01</t>
  </si>
  <si>
    <t>精材富邦76購01</t>
  </si>
  <si>
    <t>環球晶中信76購01</t>
  </si>
  <si>
    <t>順達台新75購01</t>
  </si>
  <si>
    <t>穩懋台新75購04</t>
  </si>
  <si>
    <t>良維統一75購01</t>
  </si>
  <si>
    <t>神盾統一78購01</t>
  </si>
  <si>
    <t>精華統一75購02</t>
  </si>
  <si>
    <t>環球晶統一76購01</t>
  </si>
  <si>
    <t>聯亞統一75購01</t>
  </si>
  <si>
    <t>元太群益75購03</t>
  </si>
  <si>
    <t>穩懋群益75購05</t>
  </si>
  <si>
    <t>元太元富75購01</t>
  </si>
  <si>
    <t>凡甲第一75購01</t>
  </si>
  <si>
    <t>VHQ康和75購01</t>
  </si>
  <si>
    <t>元太凱基75購03</t>
  </si>
  <si>
    <t>富喬凱基75購01</t>
  </si>
  <si>
    <t>應華凱基75購01</t>
  </si>
  <si>
    <t>元太元大75購03</t>
  </si>
  <si>
    <t>元太元大75購04</t>
  </si>
  <si>
    <t>欣銓元大75購04</t>
  </si>
  <si>
    <t>信昌電元大75購02</t>
  </si>
  <si>
    <t>泰博元大75購01</t>
  </si>
  <si>
    <t>神盾元大76購01</t>
  </si>
  <si>
    <t>神盾元大77購01</t>
  </si>
  <si>
    <t>聯亞元大75購02</t>
  </si>
  <si>
    <t>穩懋元大76購03</t>
  </si>
  <si>
    <t>譜瑞元大75購06</t>
  </si>
  <si>
    <t>神盾永豐75購01</t>
  </si>
  <si>
    <t>宜特永豐75購01</t>
  </si>
  <si>
    <t>宜鼎永豐75購02</t>
  </si>
  <si>
    <t>欣銓永豐75購04</t>
  </si>
  <si>
    <t>威剛永豐75購01</t>
  </si>
  <si>
    <t>神盾永豐75購03</t>
  </si>
  <si>
    <t>精材永豐75購02</t>
  </si>
  <si>
    <t>環球晶永豐75購02</t>
  </si>
  <si>
    <t>穩懋永豐75購03</t>
  </si>
  <si>
    <t>宇隆國泰78購01</t>
  </si>
  <si>
    <t>原相國泰75購01</t>
  </si>
  <si>
    <t>神盾國泰75購01</t>
  </si>
  <si>
    <t>穩懋國泰75購01</t>
  </si>
  <si>
    <t>譜瑞國泰75購01</t>
  </si>
  <si>
    <t>欣銓元富75購03</t>
  </si>
  <si>
    <t>神盾元富76購01</t>
  </si>
  <si>
    <t>環球晶元富75購01</t>
  </si>
  <si>
    <t>環球晶元富75購02</t>
  </si>
  <si>
    <t>智擎台新78購01</t>
  </si>
  <si>
    <t>科懋群益75購01</t>
  </si>
  <si>
    <t>神盾群益75購02</t>
  </si>
  <si>
    <t>勝麗群益75購04</t>
  </si>
  <si>
    <t>精華凱基75購03</t>
  </si>
  <si>
    <t>精華凱基75購04</t>
  </si>
  <si>
    <t>聯亞凱基75購01</t>
  </si>
  <si>
    <t>聯亞凱基75購02</t>
  </si>
  <si>
    <t>聯亞凱基75購03</t>
  </si>
  <si>
    <t>穩懋凱基75購06</t>
  </si>
  <si>
    <t>譜瑞凱基75購04</t>
  </si>
  <si>
    <t>譜瑞凱基75購05</t>
  </si>
  <si>
    <t>原相富邦75購01</t>
  </si>
  <si>
    <t>精華富邦75購01</t>
  </si>
  <si>
    <t>友華永豐75購02</t>
  </si>
  <si>
    <t>台燿永豐75購01</t>
  </si>
  <si>
    <t>科懋永豐75購01</t>
  </si>
  <si>
    <t>原相永豐75購03</t>
  </si>
  <si>
    <t>健亞永豐75購01</t>
  </si>
  <si>
    <t>譜瑞永豐75購02</t>
  </si>
  <si>
    <t>鈊象日盛75購01</t>
  </si>
  <si>
    <t>神盾統一75購02</t>
  </si>
  <si>
    <t>網家兆豐76購01</t>
  </si>
  <si>
    <t>VHQ元大75購01</t>
  </si>
  <si>
    <t>神盾元大75購03</t>
  </si>
  <si>
    <t>精材元大75購10</t>
  </si>
  <si>
    <t>雙鴻元大78購02</t>
  </si>
  <si>
    <t>恒耀第一75購01</t>
  </si>
  <si>
    <t>邦特富邦75購01</t>
  </si>
  <si>
    <t>友華中信75購01</t>
  </si>
  <si>
    <t>先進光中信77購01</t>
  </si>
  <si>
    <t>神盾中信75購01</t>
  </si>
  <si>
    <t>群聯群益76購01</t>
  </si>
  <si>
    <t>精材群益75購02</t>
  </si>
  <si>
    <t>聯亞群益75購02</t>
  </si>
  <si>
    <t>世界永豐75購02</t>
  </si>
  <si>
    <t>先進光永豐75購02</t>
  </si>
  <si>
    <t>邦特永豐75購01</t>
  </si>
  <si>
    <t>來思達永豐75購01</t>
  </si>
  <si>
    <t>健信永豐75購01</t>
  </si>
  <si>
    <t>環球晶永豐75購03</t>
  </si>
  <si>
    <t>恒耀永豐75購01</t>
  </si>
  <si>
    <t>神盾元富75購01</t>
  </si>
  <si>
    <t>網家日盛76購01</t>
  </si>
  <si>
    <t>元太統一75購02</t>
  </si>
  <si>
    <t>譜瑞兆豐75購01</t>
  </si>
  <si>
    <t>鈊象玉山78購01</t>
  </si>
  <si>
    <t>中天元大75購01</t>
  </si>
  <si>
    <t>元太元大76購01</t>
  </si>
  <si>
    <t>世界元大75購02</t>
  </si>
  <si>
    <t>昂寶元大76購01</t>
  </si>
  <si>
    <t>東洋元大75購01</t>
  </si>
  <si>
    <t>原相元大76購01</t>
  </si>
  <si>
    <t>世界富邦75購01</t>
  </si>
  <si>
    <t>光燿科富邦79購01</t>
  </si>
  <si>
    <t>神盾富邦76購01</t>
  </si>
  <si>
    <t>穩懋富邦75購04</t>
  </si>
  <si>
    <t>頎邦第一75購01</t>
  </si>
  <si>
    <t>世界國票75購02</t>
  </si>
  <si>
    <t>頎邦中信79購01</t>
  </si>
  <si>
    <t>環球晶玉山79購01</t>
  </si>
  <si>
    <t>世界永豐75購03</t>
  </si>
  <si>
    <t>原相永豐75購04</t>
  </si>
  <si>
    <t>群聯永豐75購02</t>
  </si>
  <si>
    <t>精材永豐75購03</t>
  </si>
  <si>
    <t>頎邦永豐75購01</t>
  </si>
  <si>
    <t>環球晶凱基75購04</t>
  </si>
  <si>
    <t>環球晶凱基75購05</t>
  </si>
  <si>
    <t>雙鴻凱基77購01</t>
  </si>
  <si>
    <t>中美晶統一77購01</t>
  </si>
  <si>
    <t>世界統一76購01</t>
  </si>
  <si>
    <t>同致統一75購01</t>
  </si>
  <si>
    <t>威剛統一75購02</t>
  </si>
  <si>
    <t>網家統一76購01</t>
  </si>
  <si>
    <t>環球晶統一76購02</t>
  </si>
  <si>
    <t>環球晶統一77購01</t>
  </si>
  <si>
    <t>環球晶統一77購02</t>
  </si>
  <si>
    <t>世界元大75購03</t>
  </si>
  <si>
    <t>先進光元大75購04</t>
  </si>
  <si>
    <t>岳豐元大78購01</t>
  </si>
  <si>
    <t>昂寶元大76購02</t>
  </si>
  <si>
    <t>元太富邦75購02</t>
  </si>
  <si>
    <t>聖暉中信75購01</t>
  </si>
  <si>
    <t>大江群益75購01</t>
  </si>
  <si>
    <t>元太群益75購05</t>
  </si>
  <si>
    <t>信昌電群益75購01</t>
  </si>
  <si>
    <t>網家群益76購03</t>
  </si>
  <si>
    <t>環球晶群益75購05</t>
  </si>
  <si>
    <t>台燿元富77購01</t>
  </si>
  <si>
    <t>旺矽元富75購01</t>
  </si>
  <si>
    <t>晶焱元富75購01</t>
  </si>
  <si>
    <t>光燿科永豐75購02</t>
  </si>
  <si>
    <t>宇峻永豐75購01</t>
  </si>
  <si>
    <t>萬潤永豐75購01</t>
  </si>
  <si>
    <t>環宇永豐75購01</t>
  </si>
  <si>
    <t>新普第一75購01</t>
  </si>
  <si>
    <t>頎邦國票75購01</t>
  </si>
  <si>
    <t>世界凱基75購02</t>
  </si>
  <si>
    <t>先進光凱基75購02</t>
  </si>
  <si>
    <t>宜鼎凱基75購03</t>
  </si>
  <si>
    <t>精材凱基75購06</t>
  </si>
  <si>
    <t>由田元大75購02</t>
  </si>
  <si>
    <t>立敦元大75購02</t>
  </si>
  <si>
    <t>邦特元大76購01</t>
  </si>
  <si>
    <t>昂寶元大75購02</t>
  </si>
  <si>
    <t>昇達科元大75購03</t>
  </si>
  <si>
    <t>欣銓元大75購05</t>
  </si>
  <si>
    <t>金居元大78購02</t>
  </si>
  <si>
    <t>神盾元大75購06</t>
  </si>
  <si>
    <t>應華元大75購01</t>
  </si>
  <si>
    <t>環宇元大75購01</t>
  </si>
  <si>
    <t>弘塑日盛75購01</t>
  </si>
  <si>
    <t>碩禾日盛75購02</t>
  </si>
  <si>
    <t>光燿科統一75購01</t>
  </si>
  <si>
    <t>大江兆豐76購02</t>
  </si>
  <si>
    <t>元太兆豐76購02</t>
  </si>
  <si>
    <t>欣銓兆豐75購01</t>
  </si>
  <si>
    <t>茂達兆豐75購01</t>
  </si>
  <si>
    <t>環球晶兆豐75購03</t>
  </si>
  <si>
    <t>環球晶永昌76購01</t>
  </si>
  <si>
    <t>同致富邦79購01</t>
  </si>
  <si>
    <t>頎邦富邦76購01</t>
  </si>
  <si>
    <t>力麒康和75購01</t>
  </si>
  <si>
    <t>精材凱基75購07</t>
  </si>
  <si>
    <t>世界元富75購01</t>
  </si>
  <si>
    <t>江興鍛元富75購01</t>
  </si>
  <si>
    <t>振曜元富75購01</t>
  </si>
  <si>
    <t>神準元富75購01</t>
  </si>
  <si>
    <t>智崴元富75購01</t>
  </si>
  <si>
    <t>久元元大75購01</t>
  </si>
  <si>
    <t>元太元大75購06</t>
  </si>
  <si>
    <t>宇峻元大75購01</t>
  </si>
  <si>
    <t>原相元大77購03</t>
  </si>
  <si>
    <t>神盾元大75購07</t>
  </si>
  <si>
    <t>龍巖元大75購01</t>
  </si>
  <si>
    <t>聯亞元大75購04</t>
  </si>
  <si>
    <t>原相統一76購01</t>
  </si>
  <si>
    <t>VHQ永豐75購01</t>
  </si>
  <si>
    <t>昂寶永豐75購02</t>
  </si>
  <si>
    <t>朋程永豐75購01</t>
  </si>
  <si>
    <t>神盾永豐75購05</t>
  </si>
  <si>
    <t>統新永豐75購01</t>
  </si>
  <si>
    <t>環宇永豐75購02</t>
  </si>
  <si>
    <t>鈊象永豐75購01</t>
  </si>
  <si>
    <t>頎邦永豐75購02</t>
  </si>
  <si>
    <t>碩禾國泰77購02</t>
  </si>
  <si>
    <t>環球晶國泰75購01</t>
  </si>
  <si>
    <t>環球晶國泰75購02</t>
  </si>
  <si>
    <t>合晶群益75購03</t>
  </si>
  <si>
    <t>神盾群益75購04</t>
  </si>
  <si>
    <t>群聯群益75購03</t>
  </si>
  <si>
    <t>穩懋群益75購06</t>
  </si>
  <si>
    <t>神盾富邦7A購01</t>
  </si>
  <si>
    <t>頎邦富邦77購01</t>
  </si>
  <si>
    <t>中美晶永豐75購02</t>
  </si>
  <si>
    <t>合晶永豐75購03</t>
  </si>
  <si>
    <t>合晶永豐75購04</t>
  </si>
  <si>
    <t>牧德永豐75購02</t>
  </si>
  <si>
    <t>神盾永豐75購06</t>
  </si>
  <si>
    <t>聖暉永豐75購02</t>
  </si>
  <si>
    <t>廣明永豐75購01</t>
  </si>
  <si>
    <t>頎邦永豐75購03</t>
  </si>
  <si>
    <t>合晶元富75購02</t>
  </si>
  <si>
    <t>直得元富75購01</t>
  </si>
  <si>
    <t>穩懋元富75購03</t>
  </si>
  <si>
    <t>穩懋元富77購01</t>
  </si>
  <si>
    <t>合晶元大76購02</t>
  </si>
  <si>
    <t>昂寶元大75購03</t>
  </si>
  <si>
    <t>直得元大76購01</t>
  </si>
  <si>
    <t>神盾元大75購08</t>
  </si>
  <si>
    <t>聖暉元大75購01</t>
  </si>
  <si>
    <t>環球晶元大75購07</t>
  </si>
  <si>
    <t>合晶日盛75購02</t>
  </si>
  <si>
    <t>合晶統一77購01</t>
  </si>
  <si>
    <t>環宇統一75購01</t>
  </si>
  <si>
    <t>勝麗台新75購01</t>
  </si>
  <si>
    <t>精材台新75購01</t>
  </si>
  <si>
    <t>東洋兆豐76購01</t>
  </si>
  <si>
    <t>濱川兆豐77購01</t>
  </si>
  <si>
    <t>環球晶兆豐76購01</t>
  </si>
  <si>
    <t>穩懋兆豐76購01</t>
  </si>
  <si>
    <t>精測第一75購01</t>
  </si>
  <si>
    <t>廣明凱基75購03</t>
  </si>
  <si>
    <t>同致國泰78購02</t>
  </si>
  <si>
    <t>精材國泰75購02</t>
  </si>
  <si>
    <t>立端永豐75購02</t>
  </si>
  <si>
    <t>良維永豐75購01</t>
  </si>
  <si>
    <t>凱美永豐75購01</t>
  </si>
  <si>
    <t>精材永豐75購05</t>
  </si>
  <si>
    <t>頎邦永豐75購04</t>
  </si>
  <si>
    <t>精材富邦75購01</t>
  </si>
  <si>
    <t>聯亞富邦75購02</t>
  </si>
  <si>
    <t>良維日盛75購01</t>
  </si>
  <si>
    <t>頎邦台新77購01</t>
  </si>
  <si>
    <t>台燿群益75購01</t>
  </si>
  <si>
    <t>金可群益75購01</t>
  </si>
  <si>
    <t>群聯統一75購02</t>
  </si>
  <si>
    <t>精材統一75購01</t>
  </si>
  <si>
    <t>台半元大75購05</t>
  </si>
  <si>
    <t>先豐元大75購01</t>
  </si>
  <si>
    <t>昂寶元大75購04</t>
  </si>
  <si>
    <t>金山電元大75購01</t>
  </si>
  <si>
    <t>群聯元大75購05</t>
  </si>
  <si>
    <t>精材元大75購11</t>
  </si>
  <si>
    <t>應華元大75購02</t>
  </si>
  <si>
    <t>頎邦元大75購02</t>
  </si>
  <si>
    <t>大江凱基75購04</t>
  </si>
  <si>
    <t>合晶凱基75購02</t>
  </si>
  <si>
    <t>牧德凱基75購03</t>
  </si>
  <si>
    <t>直得凱基75購01</t>
  </si>
  <si>
    <t>台半第一75購01</t>
  </si>
  <si>
    <t>精材第一75購01</t>
  </si>
  <si>
    <t>牧德國泰76購01</t>
  </si>
  <si>
    <t>先豐中信76購01</t>
  </si>
  <si>
    <t>立端群益76購01</t>
  </si>
  <si>
    <t>神盾群益77購01</t>
  </si>
  <si>
    <t>健信群益76購01</t>
  </si>
  <si>
    <t>凱美群益76購01</t>
  </si>
  <si>
    <t>昂寶台新79購01</t>
  </si>
  <si>
    <t>大江永豐76購01</t>
  </si>
  <si>
    <t>立敦永豐76購01</t>
  </si>
  <si>
    <t>宏觀永豐76購01</t>
  </si>
  <si>
    <t>金山電永豐76購01</t>
  </si>
  <si>
    <t>群聯永豐76購01</t>
  </si>
  <si>
    <t>穩懋永豐76購01</t>
  </si>
  <si>
    <t>鈊象永豐76購01</t>
  </si>
  <si>
    <t>宇隆第一76購01</t>
  </si>
  <si>
    <t>立端康和76購01</t>
  </si>
  <si>
    <t>立敦凱基76購01</t>
  </si>
  <si>
    <t>昂寶凱基76購01</t>
  </si>
  <si>
    <t>精材凱基76購01</t>
  </si>
  <si>
    <t>環宇凱基76購01</t>
  </si>
  <si>
    <t>立敦元大76購01</t>
  </si>
  <si>
    <t>同致元大76購03</t>
  </si>
  <si>
    <t>凱美元大76購01</t>
  </si>
  <si>
    <t>環球晶元大77購01</t>
  </si>
  <si>
    <t>金居日盛76購01</t>
  </si>
  <si>
    <t>威剛日盛76購01</t>
  </si>
  <si>
    <t>金居統一76購01</t>
  </si>
  <si>
    <t>先進光兆豐76購01</t>
  </si>
  <si>
    <t>宜鼎兆豐77購01</t>
  </si>
  <si>
    <t>群聯兆豐76購01</t>
  </si>
  <si>
    <t>應華兆豐76購01</t>
  </si>
  <si>
    <t>昂寶國泰76購01</t>
  </si>
  <si>
    <t>VHQ永豐76購01</t>
  </si>
  <si>
    <t>凡甲永豐76購01</t>
  </si>
  <si>
    <t>勝麗永豐76購01</t>
  </si>
  <si>
    <t>金山電元富76購01</t>
  </si>
  <si>
    <t>金居元富77購01</t>
  </si>
  <si>
    <t>智擎元富76購01</t>
  </si>
  <si>
    <t>昂寶富邦76購01</t>
  </si>
  <si>
    <t>岳豐日盛76購01</t>
  </si>
  <si>
    <t>同致統一78購01</t>
  </si>
  <si>
    <t>富喬統一78購01</t>
  </si>
  <si>
    <t>聖暉兆豐76購01</t>
  </si>
  <si>
    <t>金山電台新76購01</t>
  </si>
  <si>
    <t>IET群益76購01</t>
  </si>
  <si>
    <t>聯亞群益77購01</t>
  </si>
  <si>
    <t>久元凱基76購01</t>
  </si>
  <si>
    <t>久元凱基76購02</t>
  </si>
  <si>
    <t>金山電凱基76購01</t>
  </si>
  <si>
    <t>富喬元大77購01</t>
  </si>
  <si>
    <t>精華元大76購01</t>
  </si>
  <si>
    <t>群聯國泰76購01</t>
  </si>
  <si>
    <t>台半元富76購01</t>
  </si>
  <si>
    <t>神盾富邦7C購01</t>
  </si>
  <si>
    <t>IET永豐76購01</t>
  </si>
  <si>
    <t>大中永豐76購01</t>
  </si>
  <si>
    <t>昂寶永豐76購01</t>
  </si>
  <si>
    <t>凱美永豐76購01</t>
  </si>
  <si>
    <t>富喬台新78購02</t>
  </si>
  <si>
    <t>IET元大76購01</t>
  </si>
  <si>
    <t>友華元大76購01</t>
  </si>
  <si>
    <t>立端元大76購01</t>
  </si>
  <si>
    <t>朋程元大76購01</t>
  </si>
  <si>
    <t>美磊元大76購01</t>
  </si>
  <si>
    <t>新漢元大76購01</t>
  </si>
  <si>
    <t>恒耀元大76購01</t>
  </si>
  <si>
    <t>環球晶日盛76購01</t>
  </si>
  <si>
    <t>精測兆豐77購01</t>
  </si>
  <si>
    <t>大江國票76購01</t>
  </si>
  <si>
    <t>台半國票76購01</t>
  </si>
  <si>
    <t>宜鼎國票76購01</t>
  </si>
  <si>
    <t>光燿科國泰76購01</t>
  </si>
  <si>
    <t>群聯國泰77購02</t>
  </si>
  <si>
    <t>牧德元富76購01</t>
  </si>
  <si>
    <t>牧德兆豐76購01</t>
  </si>
  <si>
    <t>威剛兆豐77購01</t>
  </si>
  <si>
    <t>大江中信76購01</t>
  </si>
  <si>
    <t>同致中信78購01</t>
  </si>
  <si>
    <t>神盾群益76購01</t>
  </si>
  <si>
    <t>台半永豐76購01</t>
  </si>
  <si>
    <t>宇隆永豐76購01</t>
  </si>
  <si>
    <t>牧德永豐76購01</t>
  </si>
  <si>
    <t>威剛永豐76購01</t>
  </si>
  <si>
    <t>晶焱永豐76購01</t>
  </si>
  <si>
    <t>雙鴻永豐76購01</t>
  </si>
  <si>
    <t>台燿國票76購01</t>
  </si>
  <si>
    <t>昂寶國票76購01</t>
  </si>
  <si>
    <t>神盾凱基76購01</t>
  </si>
  <si>
    <t>群聯凱基76購01</t>
  </si>
  <si>
    <t>欣銓元大76購01</t>
  </si>
  <si>
    <t>碩禾元大79購01</t>
  </si>
  <si>
    <t>精測元大76購03</t>
  </si>
  <si>
    <t>精華元大76購02</t>
  </si>
  <si>
    <t>VHQ國泰7C購01</t>
  </si>
  <si>
    <t>良維國泰7A購01</t>
  </si>
  <si>
    <t>邦特國泰78購01</t>
  </si>
  <si>
    <t>群聯玉山79購01</t>
  </si>
  <si>
    <t>宇峻群益77購01</t>
  </si>
  <si>
    <t>威剛永豐76購02</t>
  </si>
  <si>
    <t>統新永豐76購01</t>
  </si>
  <si>
    <t>凱美永豐76購02</t>
  </si>
  <si>
    <t>萬潤永豐76購01</t>
  </si>
  <si>
    <t>聯亞元大78購01</t>
  </si>
  <si>
    <t>東洋國票76購01</t>
  </si>
  <si>
    <t>精測凱基76購01</t>
  </si>
  <si>
    <t>智擎日盛76購01</t>
  </si>
  <si>
    <t>應華日盛76購01</t>
  </si>
  <si>
    <t>元太富邦76購01</t>
  </si>
  <si>
    <t>東洋富邦76購01</t>
  </si>
  <si>
    <t>金居富邦7A購01</t>
  </si>
  <si>
    <t>合晶永豐76購01</t>
  </si>
  <si>
    <t>合晶永豐76購02</t>
  </si>
  <si>
    <t>群聯永豐76購03</t>
  </si>
  <si>
    <t>合晶群益76購03</t>
  </si>
  <si>
    <t>穩懋群益76購03</t>
  </si>
  <si>
    <t>網家台新78購01</t>
  </si>
  <si>
    <t>合晶國票76購01</t>
  </si>
  <si>
    <t>宇隆凱基76購01</t>
  </si>
  <si>
    <t>邦特凱基76購01</t>
  </si>
  <si>
    <t>合晶元大77購01</t>
  </si>
  <si>
    <t>宜特元大76購01</t>
  </si>
  <si>
    <t>凱美元大76購02</t>
  </si>
  <si>
    <t>合晶統一76購01</t>
  </si>
  <si>
    <t>中美晶兆豐77購01</t>
  </si>
  <si>
    <t>先豐元富76購01</t>
  </si>
  <si>
    <t>頎邦元富76購01</t>
  </si>
  <si>
    <t>世界國泰78購01</t>
  </si>
  <si>
    <t>僑威國泰76購01</t>
  </si>
  <si>
    <t>精測國泰76購04</t>
  </si>
  <si>
    <t>環球晶國泰76購01</t>
  </si>
  <si>
    <t>合晶永昌76購01</t>
  </si>
  <si>
    <t>中美晶富邦76購02</t>
  </si>
  <si>
    <t>欣銓元富76購01</t>
  </si>
  <si>
    <t>神盾永豐76購01</t>
  </si>
  <si>
    <t>東洋群益76購01</t>
  </si>
  <si>
    <t>原相群益76購01</t>
  </si>
  <si>
    <t>群聯群益76購02</t>
  </si>
  <si>
    <t>鈊象台新78購01</t>
  </si>
  <si>
    <t>東洋第一79購01</t>
  </si>
  <si>
    <t>金可第一79購01</t>
  </si>
  <si>
    <t>VHQ凱基76購01</t>
  </si>
  <si>
    <t>VHQ國泰79購01</t>
  </si>
  <si>
    <t>金居國泰77購01</t>
  </si>
  <si>
    <t>凱美國泰76購01</t>
  </si>
  <si>
    <t>環球晶統一77購04</t>
  </si>
  <si>
    <t>環球晶統一77購05</t>
  </si>
  <si>
    <t>大江元大76購01</t>
  </si>
  <si>
    <t>台半元大76購01</t>
  </si>
  <si>
    <t>東洋元大77購01</t>
  </si>
  <si>
    <t>胡連元大76購01</t>
  </si>
  <si>
    <t>富喬元大76購02</t>
  </si>
  <si>
    <t>群聯元大77購01</t>
  </si>
  <si>
    <t>勝麗兆豐77購01</t>
  </si>
  <si>
    <t>大宇資國泰77購01</t>
  </si>
  <si>
    <t>友華國泰76購01</t>
  </si>
  <si>
    <t>先進光國泰76購01</t>
  </si>
  <si>
    <t>威剛國泰79購01</t>
  </si>
  <si>
    <t>雙鴻國泰78購01</t>
  </si>
  <si>
    <t>明安元富76購01</t>
  </si>
  <si>
    <t>頎邦富邦78購01</t>
  </si>
  <si>
    <t>牧德國票76購01</t>
  </si>
  <si>
    <t>直得凱基76購01</t>
  </si>
  <si>
    <t>新普凱基76購01</t>
  </si>
  <si>
    <t>網家凱基76購01</t>
  </si>
  <si>
    <t>環宇凱基76購02</t>
  </si>
  <si>
    <t>頎邦凱基76購01</t>
  </si>
  <si>
    <t>中美晶永豐76購01</t>
  </si>
  <si>
    <t>原相永豐76購01</t>
  </si>
  <si>
    <t>群聯永豐76購04</t>
  </si>
  <si>
    <t>先進光日盛76購02</t>
  </si>
  <si>
    <t>迅得日盛76購01</t>
  </si>
  <si>
    <t>智擎統一76購02</t>
  </si>
  <si>
    <t>碩禾統一78購01</t>
  </si>
  <si>
    <t>聯亞兆豐77購01</t>
  </si>
  <si>
    <t>岳豐群益76購01</t>
  </si>
  <si>
    <t>智擎群益76購01</t>
  </si>
  <si>
    <t>環球晶群益76購01</t>
  </si>
  <si>
    <t>穩懋群益76購04</t>
  </si>
  <si>
    <t>先進光元大78購01</t>
  </si>
  <si>
    <t>先進光元大78購02</t>
  </si>
  <si>
    <t>牧德元大76購01</t>
  </si>
  <si>
    <t>穩懋元大76購04</t>
  </si>
  <si>
    <t>穩懋元大76購06</t>
  </si>
  <si>
    <t>穩懋元大77購01</t>
  </si>
  <si>
    <t>譜瑞元大76購01</t>
  </si>
  <si>
    <t>鈊象元大76購03</t>
  </si>
  <si>
    <t>茂達國票76購01</t>
  </si>
  <si>
    <t>同致永豐76購01</t>
  </si>
  <si>
    <t>信昌電永豐76購01</t>
  </si>
  <si>
    <t>英濟永豐76購01</t>
  </si>
  <si>
    <t>精材永豐76購01</t>
  </si>
  <si>
    <t>穩懋永豐76購02</t>
  </si>
  <si>
    <t>VHQ元大77購01</t>
  </si>
  <si>
    <t>宇隆元大76購01</t>
  </si>
  <si>
    <t>欣銓元大76購02</t>
  </si>
  <si>
    <t>牧德元大77購01</t>
  </si>
  <si>
    <t>群聯元大76購02</t>
  </si>
  <si>
    <t>環球晶元大76購02</t>
  </si>
  <si>
    <t>譜瑞元大76購02</t>
  </si>
  <si>
    <t>原相日盛76購01</t>
  </si>
  <si>
    <t>群聯日盛76購01</t>
  </si>
  <si>
    <t>威剛富邦78購01</t>
  </si>
  <si>
    <t>原相富邦77購01</t>
  </si>
  <si>
    <t>精材兆豐76購02</t>
  </si>
  <si>
    <t>環宇中信78購01</t>
  </si>
  <si>
    <t>穩懋台新78購01</t>
  </si>
  <si>
    <t>牧德玉山79購01</t>
  </si>
  <si>
    <t>昂寶群益76購01</t>
  </si>
  <si>
    <t>神盾群益76購02</t>
  </si>
  <si>
    <t>璟德群益76購01</t>
  </si>
  <si>
    <t>濱川群益76購03</t>
  </si>
  <si>
    <t>穩懋群益76購05</t>
  </si>
  <si>
    <t>先豐國泰77購01</t>
  </si>
  <si>
    <t>譜瑞國泰76購01</t>
  </si>
  <si>
    <t>精材元富76購03</t>
  </si>
  <si>
    <t>迅得永豐76購01</t>
  </si>
  <si>
    <t>穩懋永豐76購03</t>
  </si>
  <si>
    <t>精測中信77購02</t>
  </si>
  <si>
    <t>大江群益76購01</t>
  </si>
  <si>
    <t>元太群益76購02</t>
  </si>
  <si>
    <t>環宇群益77購01</t>
  </si>
  <si>
    <t>僑威國票76購01</t>
  </si>
  <si>
    <t>精材富邦77購01</t>
  </si>
  <si>
    <t>聯亞富邦77購01</t>
  </si>
  <si>
    <t>穩懋康和76購01</t>
  </si>
  <si>
    <t>加百裕凱基76購01</t>
  </si>
  <si>
    <t>岳豐凱基76購01</t>
  </si>
  <si>
    <t>岳豐凱基76購02</t>
  </si>
  <si>
    <t>威剛凱基76購03</t>
  </si>
  <si>
    <t>宜鼎元大76購01</t>
  </si>
  <si>
    <t>岳豐元大76購03</t>
  </si>
  <si>
    <t>精材元大77購01</t>
  </si>
  <si>
    <t>璟德元大76購01</t>
  </si>
  <si>
    <t>環宇元大78購01</t>
  </si>
  <si>
    <t>萬潤日盛77購01</t>
  </si>
  <si>
    <t>中美晶統一76購01</t>
  </si>
  <si>
    <t>智擎統一76購03</t>
  </si>
  <si>
    <t>同致兆豐77購01</t>
  </si>
  <si>
    <t>先豐中信77購01</t>
  </si>
  <si>
    <t>應華中信77購01</t>
  </si>
  <si>
    <t>穩懋中信78購01</t>
  </si>
  <si>
    <t>金居群益77購01</t>
  </si>
  <si>
    <t>原相群益76購02</t>
  </si>
  <si>
    <t>亞泰永豐76購01</t>
  </si>
  <si>
    <t>金可永豐76購01</t>
  </si>
  <si>
    <t>勝麗永豐76購02</t>
  </si>
  <si>
    <t>榮剛永豐76購01</t>
  </si>
  <si>
    <t>金山電國票76購01</t>
  </si>
  <si>
    <t>先豐元大76購01</t>
  </si>
  <si>
    <t>亞泰元大76購01</t>
  </si>
  <si>
    <t>璟德元大76購02</t>
  </si>
  <si>
    <t>穩懋元大77購02</t>
  </si>
  <si>
    <t>網家元富76購01</t>
  </si>
  <si>
    <t>立端國泰78購01</t>
  </si>
  <si>
    <t>碩禾富邦79購01</t>
  </si>
  <si>
    <t>濱川國泰76購01</t>
  </si>
  <si>
    <t>陽程富邦77購01</t>
  </si>
  <si>
    <t>精材日盛76購01</t>
  </si>
  <si>
    <t>精測日盛76購01</t>
  </si>
  <si>
    <t>精材統一77購01</t>
  </si>
  <si>
    <t>同致第一79購01</t>
  </si>
  <si>
    <t>世界中信76購01</t>
  </si>
  <si>
    <t>聯亞中信77購01</t>
  </si>
  <si>
    <t>金可凱基76購01</t>
  </si>
  <si>
    <t>富喬凱基76購01</t>
  </si>
  <si>
    <t>應華凱基76購01</t>
  </si>
  <si>
    <t>波若威永豐76購01</t>
  </si>
  <si>
    <t>聚和永豐76購01</t>
  </si>
  <si>
    <t>譜瑞永豐76購01</t>
  </si>
  <si>
    <t>皇田元大76購01</t>
  </si>
  <si>
    <t>富喬元大77購02</t>
  </si>
  <si>
    <t>濱川元大79購01</t>
  </si>
  <si>
    <t>穩懋元大76購10</t>
  </si>
  <si>
    <t>譜瑞元大76購03</t>
  </si>
  <si>
    <t>頎邦元大76購03</t>
  </si>
  <si>
    <t>環球晶元富76購01</t>
  </si>
  <si>
    <t>原相台新77購01</t>
  </si>
  <si>
    <t>台半群益76購02</t>
  </si>
  <si>
    <t>群聯群益77購01</t>
  </si>
  <si>
    <t>精材群益76購02</t>
  </si>
  <si>
    <t>應華群益76購01</t>
  </si>
  <si>
    <t>富喬第一7C購01</t>
  </si>
  <si>
    <t>聯亞國票76購01</t>
  </si>
  <si>
    <t>千附凱基76購01</t>
  </si>
  <si>
    <t>穩懋凱基78購01</t>
  </si>
  <si>
    <t>穩懋凱基78購02</t>
  </si>
  <si>
    <t>環球晶中信79購01</t>
  </si>
  <si>
    <t>原相群益76購04</t>
  </si>
  <si>
    <t>聚和群益76購01</t>
  </si>
  <si>
    <t>精材永豐76購03</t>
  </si>
  <si>
    <t>IET國泰77購01</t>
  </si>
  <si>
    <t>IET國泰79購01</t>
  </si>
  <si>
    <t>宜特國泰78購01</t>
  </si>
  <si>
    <t>宜特國泰7A購01</t>
  </si>
  <si>
    <t>閎康國泰77購01</t>
  </si>
  <si>
    <t>同致富邦7B購01</t>
  </si>
  <si>
    <t>長華科日盛76購01</t>
  </si>
  <si>
    <t>聖暉日盛76購01</t>
  </si>
  <si>
    <t>鼎翰日盛76購01</t>
  </si>
  <si>
    <t>精測兆豐77購02</t>
  </si>
  <si>
    <t>千附元富76購01</t>
  </si>
  <si>
    <t>友華元富76購01</t>
  </si>
  <si>
    <t>立端元富76購01</t>
  </si>
  <si>
    <t>新普元富76購01</t>
  </si>
  <si>
    <t>群聯元富76購01</t>
  </si>
  <si>
    <t>聖暉元富76購01</t>
  </si>
  <si>
    <t>廣明元富76購01</t>
  </si>
  <si>
    <t>聯亞元富76購01</t>
  </si>
  <si>
    <t>恒耀元富76購01</t>
  </si>
  <si>
    <t>IET元大76購02</t>
  </si>
  <si>
    <t>凡甲元大79購01</t>
  </si>
  <si>
    <t>友華元大76購02</t>
  </si>
  <si>
    <t>台半元大76購02</t>
  </si>
  <si>
    <t>威剛元大77購01</t>
  </si>
  <si>
    <t>網家元大79購01</t>
  </si>
  <si>
    <t>應華元大76購01</t>
  </si>
  <si>
    <t>聖暉中信76購01</t>
  </si>
  <si>
    <t>晶焱永豐76購02</t>
  </si>
  <si>
    <t>碩禾台新77購01</t>
  </si>
  <si>
    <t>群聯國票76購01</t>
  </si>
  <si>
    <t>鈊象康和76購01</t>
  </si>
  <si>
    <t>IET凱基76購01</t>
  </si>
  <si>
    <t>IET凱基76購02</t>
  </si>
  <si>
    <t>IET凱基77購01</t>
  </si>
  <si>
    <t>先豐凱基76購01</t>
  </si>
  <si>
    <t>宜特凱基76購01</t>
  </si>
  <si>
    <t>威剛凱基76購04</t>
  </si>
  <si>
    <t>智擎凱基76購01</t>
  </si>
  <si>
    <t>聖暉凱基76購01</t>
  </si>
  <si>
    <t>穩懋凱基78購03</t>
  </si>
  <si>
    <t>宏觀元大77購01</t>
  </si>
  <si>
    <t>東洋元大76購01</t>
  </si>
  <si>
    <t>茂達元大77購01</t>
  </si>
  <si>
    <t>新普元大76購01</t>
  </si>
  <si>
    <t>群聯元大76購03</t>
  </si>
  <si>
    <t>宜特日盛76購01</t>
  </si>
  <si>
    <t>昇達科日盛76購01</t>
  </si>
  <si>
    <t>泰博日盛76購01</t>
  </si>
  <si>
    <t>閎康日盛76購01</t>
  </si>
  <si>
    <t>合晶統一79購01</t>
  </si>
  <si>
    <t>群聯統一77購01</t>
  </si>
  <si>
    <t>聯亞統一77購01</t>
  </si>
  <si>
    <t>良維兆豐77購01</t>
  </si>
  <si>
    <t>宏觀中信76購01</t>
  </si>
  <si>
    <t>精測中信78購01</t>
  </si>
  <si>
    <t>IET群益78購01</t>
  </si>
  <si>
    <t>信昌電國泰77購01</t>
  </si>
  <si>
    <t>精材國泰76購02</t>
  </si>
  <si>
    <t>信昌電元富77購01</t>
  </si>
  <si>
    <t>威剛元富76購01</t>
  </si>
  <si>
    <t>大江第一76購01</t>
  </si>
  <si>
    <t>大江凱基76購01</t>
  </si>
  <si>
    <t>台半台新77購01</t>
  </si>
  <si>
    <t>群聯台新78購01</t>
  </si>
  <si>
    <t>大江元大77購01</t>
  </si>
  <si>
    <t>立端元大76購02</t>
  </si>
  <si>
    <t>邦特元大77購01</t>
  </si>
  <si>
    <t>金山電元大76購01</t>
  </si>
  <si>
    <t>精材元大76購02</t>
  </si>
  <si>
    <t>IET永豐76購02</t>
  </si>
  <si>
    <t>先進光永豐76購01</t>
  </si>
  <si>
    <t>岳豐永豐76購01</t>
  </si>
  <si>
    <t>應華永豐76購01</t>
  </si>
  <si>
    <t>千附日盛76購01</t>
  </si>
  <si>
    <t>穩懋統一76購03</t>
  </si>
  <si>
    <t>原相中信78購01</t>
  </si>
  <si>
    <t>威剛群益77購01</t>
  </si>
  <si>
    <t>精華台新77購01</t>
  </si>
  <si>
    <t>凱美第一79購01</t>
  </si>
  <si>
    <t>大江凱基76購02</t>
  </si>
  <si>
    <t>恒耀凱基76購01</t>
  </si>
  <si>
    <t>宜特元大77購01</t>
  </si>
  <si>
    <t>岳豐元大77購01</t>
  </si>
  <si>
    <t>昇達科元大77購01</t>
  </si>
  <si>
    <t>金可元大76購01</t>
  </si>
  <si>
    <t>碩禾元大77購03</t>
  </si>
  <si>
    <t>金可永豐76購02</t>
  </si>
  <si>
    <t>穩懋統一76購04</t>
  </si>
  <si>
    <t>陽程元富76購01</t>
  </si>
  <si>
    <t>穩懋富邦77購01</t>
  </si>
  <si>
    <t>譜瑞富邦76購02</t>
  </si>
  <si>
    <t>光燿科日盛76購01</t>
  </si>
  <si>
    <t>桂盟中信76購01</t>
  </si>
  <si>
    <t>精測群益76購03</t>
  </si>
  <si>
    <t>金可凱基76購02</t>
  </si>
  <si>
    <t>精華凱基76購02</t>
  </si>
  <si>
    <t>精華國泰76購01</t>
  </si>
  <si>
    <t>精華國泰77購01</t>
  </si>
  <si>
    <t>金可富邦76購01</t>
  </si>
  <si>
    <t>凡甲元富76購01</t>
  </si>
  <si>
    <t>金可元富76購01</t>
  </si>
  <si>
    <t>精華元富76購01</t>
  </si>
  <si>
    <t>穩懋元富76購02</t>
  </si>
  <si>
    <t>泰博元大76購01</t>
  </si>
  <si>
    <t>聖暉元大76購02</t>
  </si>
  <si>
    <t>穩懋元大76購11</t>
  </si>
  <si>
    <t>頎邦元大76購04</t>
  </si>
  <si>
    <t>恒耀元大76購02</t>
  </si>
  <si>
    <t>IET永豐76購03</t>
  </si>
  <si>
    <t>直得永豐76購01</t>
  </si>
  <si>
    <t>凱美永豐76購03</t>
  </si>
  <si>
    <t>富喬永豐76購01</t>
  </si>
  <si>
    <t>碩禾永豐76購01</t>
  </si>
  <si>
    <t>中美晶國泰78購01</t>
  </si>
  <si>
    <t>雙鴻國泰7C購01</t>
  </si>
  <si>
    <t>邦特元富76購01</t>
  </si>
  <si>
    <t>譜瑞元富76購01</t>
  </si>
  <si>
    <t>金可中信78購01</t>
  </si>
  <si>
    <t>精華中信78購01</t>
  </si>
  <si>
    <t>昂寶群益76購02</t>
  </si>
  <si>
    <t>凡甲日盛77購01</t>
  </si>
  <si>
    <t>僑威日盛77購01</t>
  </si>
  <si>
    <t>金可統一77購01</t>
  </si>
  <si>
    <t>智擎統一76購04</t>
  </si>
  <si>
    <t>IET元大77購01</t>
  </si>
  <si>
    <t>立敦永豐76購02</t>
  </si>
  <si>
    <t>智擎永豐76購01</t>
  </si>
  <si>
    <t>閎康永豐76購01</t>
  </si>
  <si>
    <t>金山電台新77購01</t>
  </si>
  <si>
    <t>中美晶國票76購02</t>
  </si>
  <si>
    <t>富喬凱基76購02</t>
  </si>
  <si>
    <t>金山電國泰76購01</t>
  </si>
  <si>
    <t>美琪瑪國泰76購01</t>
  </si>
  <si>
    <t>應華國泰76購01</t>
  </si>
  <si>
    <t>應華國泰78購01</t>
  </si>
  <si>
    <t>中美晶元富76購01</t>
  </si>
  <si>
    <t>金山電元富76購02</t>
  </si>
  <si>
    <t>頎邦元富76購02</t>
  </si>
  <si>
    <t>久元永豐76購01</t>
  </si>
  <si>
    <t>美琪瑪永豐76購02</t>
  </si>
  <si>
    <t>富喬永豐76購02</t>
  </si>
  <si>
    <t>聖暉永豐76購01</t>
  </si>
  <si>
    <t>精華永豐76購01</t>
  </si>
  <si>
    <t>美琪瑪富邦76購01</t>
  </si>
  <si>
    <t>美琪瑪富邦76購02</t>
  </si>
  <si>
    <t>網家富邦77購01</t>
  </si>
  <si>
    <t>金山電群益76購01</t>
  </si>
  <si>
    <t>信昌電群益76購01</t>
  </si>
  <si>
    <t>美琪瑪群益76購02</t>
  </si>
  <si>
    <t>精華群益76購01</t>
  </si>
  <si>
    <t>環球晶群益76購04</t>
  </si>
  <si>
    <t>立敦元大76購02</t>
  </si>
  <si>
    <t>牧德元大78購02</t>
  </si>
  <si>
    <t>信昌電元大76購01</t>
  </si>
  <si>
    <t>美琪瑪元大76購01</t>
  </si>
  <si>
    <t>美琪瑪元大76購02</t>
  </si>
  <si>
    <t>勝麗元大77購02</t>
  </si>
  <si>
    <t>富喬元大78購01</t>
  </si>
  <si>
    <t>榮剛元大76購01</t>
  </si>
  <si>
    <t>精測元大76購04</t>
  </si>
  <si>
    <t>美琪瑪日盛76購01</t>
  </si>
  <si>
    <t>美琪瑪日盛76購02</t>
  </si>
  <si>
    <t>美琪瑪統一76購01</t>
  </si>
  <si>
    <t>美琪瑪統一77購01</t>
  </si>
  <si>
    <t>聖暉統一77購01</t>
  </si>
  <si>
    <t>鈊象統一76購01</t>
  </si>
  <si>
    <t>立敦凱基76購02</t>
  </si>
  <si>
    <t>美琪瑪凱基77購01</t>
  </si>
  <si>
    <t>美琪瑪凱基77購02</t>
  </si>
  <si>
    <t>東洋康和76購01</t>
  </si>
  <si>
    <t>美琪瑪康和76購01</t>
  </si>
  <si>
    <t>美琪瑪康和76購02</t>
  </si>
  <si>
    <t>聯亞國泰76購01</t>
  </si>
  <si>
    <t>雙鴻國泰7A購01</t>
  </si>
  <si>
    <t>精材中信78購01</t>
  </si>
  <si>
    <t>立敦群益76購01</t>
  </si>
  <si>
    <t>美磊群益76購01</t>
  </si>
  <si>
    <t>環宇群益76購01</t>
  </si>
  <si>
    <t>頎邦群益76購02</t>
  </si>
  <si>
    <t>立敦元大76購03</t>
  </si>
  <si>
    <t>濱川元大77購01</t>
  </si>
  <si>
    <t>聯亞元大76購02</t>
  </si>
  <si>
    <t>同致元富76購01</t>
  </si>
  <si>
    <t>美琪瑪永豐76購01</t>
  </si>
  <si>
    <t>合晶永豐76購03</t>
  </si>
  <si>
    <t>昂寶永豐76購02</t>
  </si>
  <si>
    <t>原相永豐76購03</t>
  </si>
  <si>
    <t>網家永豐76購01</t>
  </si>
  <si>
    <t>久元康和76購01</t>
  </si>
  <si>
    <t>久元康和76購02</t>
  </si>
  <si>
    <t>元太康和76購01</t>
  </si>
  <si>
    <t>新普康和76購01</t>
  </si>
  <si>
    <t>茂達凱基76購01</t>
  </si>
  <si>
    <t>精華富邦77購01</t>
  </si>
  <si>
    <t>環球晶富邦77購01</t>
  </si>
  <si>
    <t>晟德日盛76購01</t>
  </si>
  <si>
    <t>光燿科統一79購01</t>
  </si>
  <si>
    <t>威剛統一77購01</t>
  </si>
  <si>
    <t>原相統一78購01</t>
  </si>
  <si>
    <t>環宇統一76購01</t>
  </si>
  <si>
    <t>碩禾兆豐77購01</t>
  </si>
  <si>
    <t>73893P</t>
  </si>
  <si>
    <t>同致元富71售01</t>
  </si>
  <si>
    <t>73923P</t>
  </si>
  <si>
    <t>昂寶群益71售01</t>
  </si>
  <si>
    <t>73930P</t>
  </si>
  <si>
    <t>波若威元富71售01</t>
  </si>
  <si>
    <t>73937P</t>
  </si>
  <si>
    <t>穩懋玉山72售02</t>
  </si>
  <si>
    <t>73940P</t>
  </si>
  <si>
    <t>光環日盛71售01</t>
  </si>
  <si>
    <t>73946P</t>
  </si>
  <si>
    <t>碩禾元富71售01</t>
  </si>
  <si>
    <t>能率網通</t>
  </si>
  <si>
    <t>大億金茂</t>
  </si>
  <si>
    <t>益張</t>
  </si>
  <si>
    <t>上櫃家數:744家</t>
  </si>
  <si>
    <t>總成交金額:30,260,121,842元</t>
  </si>
  <si>
    <t>總成交股數:580,993,611股</t>
  </si>
  <si>
    <t>總成交筆數:282,528筆</t>
  </si>
  <si>
    <t>共5199筆</t>
  </si>
  <si>
    <t>共0筆</t>
  </si>
  <si>
    <t>104/04/09＊</t>
  </si>
  <si>
    <t>104/04/10</t>
  </si>
  <si>
    <t>104/04/13</t>
  </si>
  <si>
    <t>104/04/14</t>
  </si>
  <si>
    <t>104/04/15</t>
  </si>
  <si>
    <t>104/04/16</t>
  </si>
  <si>
    <t>104/04/17</t>
  </si>
  <si>
    <t>104/04/20</t>
  </si>
  <si>
    <t>104/04/21</t>
  </si>
  <si>
    <t>104/04/22</t>
  </si>
  <si>
    <t>104/04/23</t>
  </si>
  <si>
    <t>104/04/24</t>
  </si>
  <si>
    <t>104/04/27</t>
  </si>
  <si>
    <t>104/04/28</t>
  </si>
  <si>
    <t>104/04/29</t>
  </si>
  <si>
    <t>104/04/30</t>
  </si>
  <si>
    <t>1. 「＊」表示該日為該股票上櫃掛牌首日，其掛牌首日之漲跌係以當日收盤價減承銷價計算而得。</t>
  </si>
  <si>
    <t>2. 自94年3月1日起，初次上櫃股票首五個交易日無漲跌幅限制。</t>
  </si>
  <si>
    <t>104/05/04</t>
  </si>
  <si>
    <t>104/05/05</t>
  </si>
  <si>
    <t>104/05/06</t>
  </si>
  <si>
    <t>104/05/07</t>
  </si>
  <si>
    <t>104/05/08</t>
  </si>
  <si>
    <t>104/05/11</t>
  </si>
  <si>
    <t>104/05/12</t>
  </si>
  <si>
    <t>104/05/13</t>
  </si>
  <si>
    <t>104/05/14</t>
  </si>
  <si>
    <t>104/05/15</t>
  </si>
  <si>
    <t>104/05/18</t>
  </si>
  <si>
    <t>104/05/19</t>
  </si>
  <si>
    <t>104/05/20</t>
  </si>
  <si>
    <t>104/05/21</t>
  </si>
  <si>
    <t>104/05/22</t>
  </si>
  <si>
    <t>104/05/25</t>
  </si>
  <si>
    <t>104/05/26</t>
  </si>
  <si>
    <t>104/05/27</t>
  </si>
  <si>
    <t>104/05/28</t>
  </si>
  <si>
    <t>104/05/29</t>
  </si>
  <si>
    <t>104/06/01</t>
  </si>
  <si>
    <t>104/06/02</t>
  </si>
  <si>
    <t>104/06/03</t>
  </si>
  <si>
    <t>104/06/04</t>
  </si>
  <si>
    <t>104/06/05</t>
  </si>
  <si>
    <t>104/06/08</t>
  </si>
  <si>
    <t>104/06/09</t>
  </si>
  <si>
    <t>104/06/10</t>
  </si>
  <si>
    <t>104/06/11</t>
  </si>
  <si>
    <t>104/06/12</t>
  </si>
  <si>
    <t>104/06/15</t>
  </si>
  <si>
    <t>104/06/16</t>
  </si>
  <si>
    <t>104/06/17</t>
  </si>
  <si>
    <t>104/06/18</t>
  </si>
  <si>
    <t>104/06/22</t>
  </si>
  <si>
    <t>104/06/23</t>
  </si>
  <si>
    <t>104/06/24</t>
  </si>
  <si>
    <t>104/06/25</t>
  </si>
  <si>
    <t>104/06/26</t>
  </si>
  <si>
    <t>104/06/29</t>
  </si>
  <si>
    <t>104/06/30</t>
  </si>
  <si>
    <t>104/07/01</t>
  </si>
  <si>
    <t>104/07/02</t>
  </si>
  <si>
    <t>104/07/03</t>
  </si>
  <si>
    <t>104/07/06</t>
  </si>
  <si>
    <t>104/07/07</t>
  </si>
  <si>
    <t>104/07/08</t>
  </si>
  <si>
    <t>104/07/09</t>
  </si>
  <si>
    <t>104/07/13</t>
  </si>
  <si>
    <t>104/07/14</t>
  </si>
  <si>
    <t>104/07/15</t>
  </si>
  <si>
    <t>104/07/16</t>
  </si>
  <si>
    <t>104/07/17</t>
  </si>
  <si>
    <t>104/07/20</t>
  </si>
  <si>
    <t>104/07/21</t>
  </si>
  <si>
    <t>104/07/22</t>
  </si>
  <si>
    <t>104/07/23</t>
  </si>
  <si>
    <t>104/07/24</t>
  </si>
  <si>
    <t>104/07/27</t>
  </si>
  <si>
    <t>104/07/28</t>
  </si>
  <si>
    <t>104/07/29</t>
  </si>
  <si>
    <t>104/07/30</t>
  </si>
  <si>
    <t>104/07/31</t>
  </si>
  <si>
    <t>104/08/03</t>
  </si>
  <si>
    <t>104/08/04</t>
  </si>
  <si>
    <t>104/08/05</t>
  </si>
  <si>
    <t>104/08/06</t>
  </si>
  <si>
    <t>104/08/07</t>
  </si>
  <si>
    <t>104/08/10</t>
  </si>
  <si>
    <t>104/08/11</t>
  </si>
  <si>
    <t>104/08/12</t>
  </si>
  <si>
    <t>104/08/13</t>
  </si>
  <si>
    <t>104/08/14</t>
  </si>
  <si>
    <t>104/08/17</t>
  </si>
  <si>
    <t>104/08/18</t>
  </si>
  <si>
    <t>104/08/19</t>
  </si>
  <si>
    <t>104/08/20</t>
  </si>
  <si>
    <t>104/08/21</t>
  </si>
  <si>
    <t>104/08/24</t>
  </si>
  <si>
    <t>104/08/25</t>
  </si>
  <si>
    <t>104/08/26</t>
  </si>
  <si>
    <t>104/08/27</t>
  </si>
  <si>
    <t>104/08/28</t>
  </si>
  <si>
    <t>104/08/31</t>
  </si>
  <si>
    <t>104/09/01</t>
  </si>
  <si>
    <t>104/09/02</t>
  </si>
  <si>
    <t>104/09/03</t>
  </si>
  <si>
    <t>104/09/04</t>
  </si>
  <si>
    <t>104/09/07</t>
  </si>
  <si>
    <t>104/09/08</t>
  </si>
  <si>
    <t>104/09/09</t>
  </si>
  <si>
    <t>104/09/10</t>
  </si>
  <si>
    <t>104/09/11</t>
  </si>
  <si>
    <t>104/09/14</t>
  </si>
  <si>
    <t>104/09/15</t>
  </si>
  <si>
    <t>104/09/16</t>
  </si>
  <si>
    <t>104/09/17</t>
  </si>
  <si>
    <t>104/09/18</t>
  </si>
  <si>
    <t>104/09/21</t>
  </si>
  <si>
    <t>104/09/22</t>
  </si>
  <si>
    <t>104/09/23</t>
  </si>
  <si>
    <t>104/09/24</t>
  </si>
  <si>
    <t>104/09/25</t>
  </si>
  <si>
    <t>104/09/30</t>
  </si>
  <si>
    <t>104/10/01</t>
  </si>
  <si>
    <t>104/10/02</t>
  </si>
  <si>
    <t>104/10/05</t>
  </si>
  <si>
    <t>104/10/06</t>
  </si>
  <si>
    <t>104/10/07</t>
  </si>
  <si>
    <t>104/10/08</t>
  </si>
  <si>
    <t>104/10/12</t>
  </si>
  <si>
    <t>104/10/13</t>
  </si>
  <si>
    <t>104/10/14</t>
  </si>
  <si>
    <t>104/10/15</t>
  </si>
  <si>
    <t>104/10/16</t>
  </si>
  <si>
    <t>104/10/19</t>
  </si>
  <si>
    <t>104/10/20</t>
  </si>
  <si>
    <t>104/10/21</t>
  </si>
  <si>
    <t>104/10/22</t>
  </si>
  <si>
    <t>104/10/23</t>
  </si>
  <si>
    <t>104/10/26</t>
  </si>
  <si>
    <t>104/10/27</t>
  </si>
  <si>
    <t>104/10/28</t>
  </si>
  <si>
    <t>104/10/29</t>
  </si>
  <si>
    <t>104/10/30</t>
  </si>
  <si>
    <t>104/11/02</t>
  </si>
  <si>
    <t>104/11/03</t>
  </si>
  <si>
    <t>104/11/04</t>
  </si>
  <si>
    <t>104/11/05</t>
  </si>
  <si>
    <t>104/11/06</t>
  </si>
  <si>
    <t>104/11/09</t>
  </si>
  <si>
    <t>104/11/10</t>
  </si>
  <si>
    <t>104/11/11</t>
  </si>
  <si>
    <t>104/11/12</t>
  </si>
  <si>
    <t>104/11/13</t>
  </si>
  <si>
    <t>104/11/16</t>
  </si>
  <si>
    <t>104/11/17</t>
  </si>
  <si>
    <t>104/11/18</t>
  </si>
  <si>
    <t>104/11/19</t>
  </si>
  <si>
    <t>104/11/20</t>
  </si>
  <si>
    <t>104/11/23</t>
  </si>
  <si>
    <t>104/11/24</t>
  </si>
  <si>
    <t>104/11/25</t>
  </si>
  <si>
    <t>104/11/26</t>
  </si>
  <si>
    <t>104/11/27</t>
  </si>
  <si>
    <t>104/11/30</t>
  </si>
  <si>
    <t>104/12/01</t>
  </si>
  <si>
    <t>104/12/02</t>
  </si>
  <si>
    <t>104/12/03</t>
  </si>
  <si>
    <t>104/12/04</t>
  </si>
  <si>
    <t>104/12/07</t>
  </si>
  <si>
    <t>104/12/08</t>
  </si>
  <si>
    <t>104/12/09</t>
  </si>
  <si>
    <t>104/12/10</t>
  </si>
  <si>
    <t>104/12/11</t>
  </si>
  <si>
    <t>104/12/14</t>
  </si>
  <si>
    <t>104/12/15</t>
  </si>
  <si>
    <t>104/12/16</t>
  </si>
  <si>
    <t>104/12/17</t>
  </si>
  <si>
    <t>104/12/18</t>
  </si>
  <si>
    <t>104/12/21</t>
  </si>
  <si>
    <t>104/12/22</t>
  </si>
  <si>
    <t>104/12/23</t>
  </si>
  <si>
    <t>104/12/24</t>
  </si>
  <si>
    <t>104/12/25</t>
  </si>
  <si>
    <t>104/12/28</t>
  </si>
  <si>
    <t>104/12/29</t>
  </si>
  <si>
    <t>104/12/30</t>
  </si>
  <si>
    <t>104/12/31</t>
  </si>
  <si>
    <t>個股日成交資訊 股票代號:1785 股票名稱:光洋科 資料年月:106/12</t>
  </si>
  <si>
    <t>100/01/03</t>
  </si>
  <si>
    <t>100/01/04</t>
  </si>
  <si>
    <t>100/01/05</t>
  </si>
  <si>
    <t>100/01/06</t>
  </si>
  <si>
    <t>100/01/07</t>
  </si>
  <si>
    <t>100/01/10</t>
  </si>
  <si>
    <t>100/01/11</t>
  </si>
  <si>
    <t>100/01/12</t>
  </si>
  <si>
    <t>100/01/13</t>
  </si>
  <si>
    <t>100/01/14</t>
  </si>
  <si>
    <t>100/01/17</t>
  </si>
  <si>
    <t>100/01/18</t>
  </si>
  <si>
    <t>100/01/19</t>
  </si>
  <si>
    <t>100/01/20</t>
  </si>
  <si>
    <t>100/01/21</t>
  </si>
  <si>
    <t>100/01/24</t>
  </si>
  <si>
    <t>100/01/25</t>
  </si>
  <si>
    <t>100/01/26</t>
  </si>
  <si>
    <t>100/01/27</t>
  </si>
  <si>
    <t>100/01/28</t>
  </si>
  <si>
    <t>100/02/08</t>
  </si>
  <si>
    <t>100/02/09</t>
  </si>
  <si>
    <t>100/02/10</t>
  </si>
  <si>
    <t>100/02/11</t>
  </si>
  <si>
    <t>100/02/14</t>
  </si>
  <si>
    <t>100/02/15</t>
  </si>
  <si>
    <t>100/02/16</t>
  </si>
  <si>
    <t>100/02/17</t>
  </si>
  <si>
    <t>100/02/18</t>
  </si>
  <si>
    <t>100/02/21</t>
  </si>
  <si>
    <t>100/02/22</t>
  </si>
  <si>
    <t>100/02/23</t>
  </si>
  <si>
    <t>100/02/24</t>
  </si>
  <si>
    <t>100/02/25</t>
  </si>
  <si>
    <t>共14筆</t>
  </si>
  <si>
    <t>100/03/01</t>
  </si>
  <si>
    <t>100/03/02</t>
  </si>
  <si>
    <t>100/03/03</t>
  </si>
  <si>
    <t>100/03/04</t>
  </si>
  <si>
    <t>100/03/07</t>
  </si>
  <si>
    <t>100/03/08</t>
  </si>
  <si>
    <t>100/03/09</t>
  </si>
  <si>
    <t>100/03/10</t>
  </si>
  <si>
    <t>100/03/11</t>
  </si>
  <si>
    <t>100/03/14</t>
  </si>
  <si>
    <t>100/03/15</t>
  </si>
  <si>
    <t>100/03/16</t>
  </si>
  <si>
    <t>100/03/17</t>
  </si>
  <si>
    <t>100/03/18</t>
  </si>
  <si>
    <t>100/03/21</t>
  </si>
  <si>
    <t>100/03/22</t>
  </si>
  <si>
    <t>100/03/23</t>
  </si>
  <si>
    <t>100/03/24</t>
  </si>
  <si>
    <t>100/03/25</t>
  </si>
  <si>
    <t>100/03/28</t>
  </si>
  <si>
    <t>100/03/29</t>
  </si>
  <si>
    <t>100/03/30</t>
  </si>
  <si>
    <t>100/03/31</t>
  </si>
  <si>
    <t>100/04/01</t>
  </si>
  <si>
    <t>100/04/06</t>
  </si>
  <si>
    <t>100/04/07</t>
  </si>
  <si>
    <t>100/04/08</t>
  </si>
  <si>
    <t>100/04/11</t>
  </si>
  <si>
    <t>100/04/12</t>
  </si>
  <si>
    <t>100/04/13</t>
  </si>
  <si>
    <t>100/04/14</t>
  </si>
  <si>
    <t>100/04/15</t>
  </si>
  <si>
    <t>100/04/18</t>
  </si>
  <si>
    <t>100/04/19</t>
  </si>
  <si>
    <t>100/04/20</t>
  </si>
  <si>
    <t>100/04/21</t>
  </si>
  <si>
    <t>100/04/22</t>
  </si>
  <si>
    <t>100/04/25</t>
  </si>
  <si>
    <t>100/04/26</t>
  </si>
  <si>
    <t>100/04/27</t>
  </si>
  <si>
    <t>100/04/28</t>
  </si>
  <si>
    <t>100/04/29</t>
  </si>
  <si>
    <t>100/05/03</t>
  </si>
  <si>
    <t>100/05/04</t>
  </si>
  <si>
    <t>100/05/05</t>
  </si>
  <si>
    <t>100/05/06</t>
  </si>
  <si>
    <t>100/05/09</t>
  </si>
  <si>
    <t>100/05/10</t>
  </si>
  <si>
    <t>100/05/11</t>
  </si>
  <si>
    <t>100/05/12</t>
  </si>
  <si>
    <t>100/05/13</t>
  </si>
  <si>
    <t>100/05/16</t>
  </si>
  <si>
    <t>100/05/17</t>
  </si>
  <si>
    <t>100/05/18</t>
  </si>
  <si>
    <t>100/05/19</t>
  </si>
  <si>
    <t>100/05/20</t>
  </si>
  <si>
    <t>100/05/23</t>
  </si>
  <si>
    <t>100/05/24</t>
  </si>
  <si>
    <t>100/05/25</t>
  </si>
  <si>
    <t>100/05/26</t>
  </si>
  <si>
    <t>100/05/27</t>
  </si>
  <si>
    <t>100/05/30</t>
  </si>
  <si>
    <t>100/05/31</t>
  </si>
  <si>
    <t>100/06/01</t>
  </si>
  <si>
    <t>100/06/02</t>
  </si>
  <si>
    <t>100/06/03</t>
  </si>
  <si>
    <t>100/06/07</t>
  </si>
  <si>
    <t>100/06/08</t>
  </si>
  <si>
    <t>100/06/09</t>
  </si>
  <si>
    <t>100/06/10</t>
  </si>
  <si>
    <t>100/06/13</t>
  </si>
  <si>
    <t>100/06/14</t>
  </si>
  <si>
    <t>100/06/15</t>
  </si>
  <si>
    <t>100/06/16</t>
  </si>
  <si>
    <t>100/06/17</t>
  </si>
  <si>
    <t>100/06/20</t>
  </si>
  <si>
    <t>100/06/21</t>
  </si>
  <si>
    <t>100/06/22</t>
  </si>
  <si>
    <t>100/06/23</t>
  </si>
  <si>
    <t>100/06/24</t>
  </si>
  <si>
    <t>100/06/27</t>
  </si>
  <si>
    <t>100/06/28</t>
  </si>
  <si>
    <t>100/06/29</t>
  </si>
  <si>
    <t>100/06/30</t>
  </si>
  <si>
    <t>100/07/01</t>
  </si>
  <si>
    <t>100/07/04</t>
  </si>
  <si>
    <t>100/07/05</t>
  </si>
  <si>
    <t>100/07/06</t>
  </si>
  <si>
    <t>100/07/07</t>
  </si>
  <si>
    <t>100/07/08</t>
  </si>
  <si>
    <t>100/07/11</t>
  </si>
  <si>
    <t>100/07/12</t>
  </si>
  <si>
    <t>100/07/13</t>
  </si>
  <si>
    <t>100/07/14</t>
  </si>
  <si>
    <t>100/07/15</t>
  </si>
  <si>
    <t>100/07/18</t>
  </si>
  <si>
    <t>100/07/19</t>
  </si>
  <si>
    <t>100/07/20</t>
  </si>
  <si>
    <t>100/07/21</t>
  </si>
  <si>
    <t>100/07/22</t>
  </si>
  <si>
    <t>100/07/25</t>
  </si>
  <si>
    <t>100/07/26</t>
  </si>
  <si>
    <t>100/07/27</t>
  </si>
  <si>
    <t>100/07/28</t>
  </si>
  <si>
    <t>100/07/29</t>
  </si>
  <si>
    <t>100/08/01</t>
  </si>
  <si>
    <t>100/08/02</t>
  </si>
  <si>
    <t>100/08/03</t>
  </si>
  <si>
    <t>100/08/04</t>
  </si>
  <si>
    <t>100/08/05</t>
  </si>
  <si>
    <t>100/08/08</t>
  </si>
  <si>
    <t>100/08/09</t>
  </si>
  <si>
    <t>100/08/10</t>
  </si>
  <si>
    <t>100/08/11</t>
  </si>
  <si>
    <t>100/08/12</t>
  </si>
  <si>
    <t>100/08/15</t>
  </si>
  <si>
    <t>100/08/16</t>
  </si>
  <si>
    <t>100/08/17</t>
  </si>
  <si>
    <t>100/08/18</t>
  </si>
  <si>
    <t>100/08/19</t>
  </si>
  <si>
    <t>100/08/22</t>
  </si>
  <si>
    <t>100/08/23</t>
  </si>
  <si>
    <t>100/08/24</t>
  </si>
  <si>
    <t>100/08/25</t>
  </si>
  <si>
    <t>100/08/26</t>
  </si>
  <si>
    <t>100/08/29</t>
  </si>
  <si>
    <t>100/08/30</t>
  </si>
  <si>
    <t>100/08/31</t>
  </si>
  <si>
    <t>100/09/01</t>
  </si>
  <si>
    <t>100/09/02</t>
  </si>
  <si>
    <t>100/09/05</t>
  </si>
  <si>
    <t>100/09/06</t>
  </si>
  <si>
    <t>100/09/07</t>
  </si>
  <si>
    <t>100/09/08</t>
  </si>
  <si>
    <t>100/09/09</t>
  </si>
  <si>
    <t>100/09/13</t>
  </si>
  <si>
    <t>100/09/14</t>
  </si>
  <si>
    <t>100/09/15</t>
  </si>
  <si>
    <t>100/09/16</t>
  </si>
  <si>
    <t>100/09/19</t>
  </si>
  <si>
    <t>100/09/20</t>
  </si>
  <si>
    <t>100/09/21</t>
  </si>
  <si>
    <t>100/09/22</t>
  </si>
  <si>
    <t>100/09/23</t>
  </si>
  <si>
    <t>100/09/26</t>
  </si>
  <si>
    <t>100/09/27</t>
  </si>
  <si>
    <t>100/09/28</t>
  </si>
  <si>
    <t>100/09/29</t>
  </si>
  <si>
    <t>100/09/30</t>
  </si>
  <si>
    <t>100/10/03</t>
  </si>
  <si>
    <t>100/10/04</t>
  </si>
  <si>
    <t>100/10/05</t>
  </si>
  <si>
    <t>100/10/06</t>
  </si>
  <si>
    <t>100/10/07</t>
  </si>
  <si>
    <t>100/10/11</t>
  </si>
  <si>
    <t>100/10/12</t>
  </si>
  <si>
    <t>100/10/13</t>
  </si>
  <si>
    <t>100/10/14</t>
  </si>
  <si>
    <t>100/10/17</t>
  </si>
  <si>
    <t>100/10/18</t>
  </si>
  <si>
    <t>100/10/19</t>
  </si>
  <si>
    <t>100/10/20</t>
  </si>
  <si>
    <t>100/10/21</t>
  </si>
  <si>
    <t>100/10/24</t>
  </si>
  <si>
    <t>100/10/25</t>
  </si>
  <si>
    <t>100/10/26</t>
  </si>
  <si>
    <t>100/10/27</t>
  </si>
  <si>
    <t>100/10/28</t>
  </si>
  <si>
    <t>100/10/31</t>
  </si>
  <si>
    <t>100/11/01</t>
  </si>
  <si>
    <t>100/11/02</t>
  </si>
  <si>
    <t>100/11/03</t>
  </si>
  <si>
    <t>100/11/04</t>
  </si>
  <si>
    <t>100/11/07</t>
  </si>
  <si>
    <t>100/11/08</t>
  </si>
  <si>
    <t>100/11/09</t>
  </si>
  <si>
    <t>100/11/10</t>
  </si>
  <si>
    <t>100/11/11</t>
  </si>
  <si>
    <t>100/11/14</t>
  </si>
  <si>
    <t>100/11/15</t>
  </si>
  <si>
    <t>100/11/16</t>
  </si>
  <si>
    <t>100/11/17</t>
  </si>
  <si>
    <t>100/11/18</t>
  </si>
  <si>
    <t>100/11/21</t>
  </si>
  <si>
    <t>100/11/22</t>
  </si>
  <si>
    <t>100/11/23</t>
  </si>
  <si>
    <t>100/11/24</t>
  </si>
  <si>
    <t>100/11/25</t>
  </si>
  <si>
    <t>100/11/28</t>
  </si>
  <si>
    <t>100/11/29</t>
  </si>
  <si>
    <t>100/11/30</t>
  </si>
  <si>
    <t>100/12/01</t>
  </si>
  <si>
    <t>100/12/02</t>
  </si>
  <si>
    <t>100/12/05</t>
  </si>
  <si>
    <t>100/12/06</t>
  </si>
  <si>
    <t>100/12/07</t>
  </si>
  <si>
    <t>100/12/08</t>
  </si>
  <si>
    <t>100/12/09</t>
  </si>
  <si>
    <t>100/12/12</t>
  </si>
  <si>
    <t>100/12/13</t>
  </si>
  <si>
    <t>100/12/14</t>
  </si>
  <si>
    <t>100/12/15</t>
  </si>
  <si>
    <t>100/12/16</t>
  </si>
  <si>
    <t>100/12/19</t>
  </si>
  <si>
    <t>100/12/20</t>
  </si>
  <si>
    <t>100/12/21</t>
  </si>
  <si>
    <t>100/12/22</t>
  </si>
  <si>
    <t>100/12/23</t>
  </si>
  <si>
    <t>100/12/26</t>
  </si>
  <si>
    <t>100/12/27</t>
  </si>
  <si>
    <t>100/12/28</t>
  </si>
  <si>
    <t>100/12/29</t>
  </si>
  <si>
    <t>100/12/30</t>
  </si>
  <si>
    <t>101/01/02</t>
  </si>
  <si>
    <t>101/01/03</t>
  </si>
  <si>
    <t>101/01/04</t>
  </si>
  <si>
    <t>101/01/05</t>
  </si>
  <si>
    <t>101/01/06</t>
  </si>
  <si>
    <t>101/01/09</t>
  </si>
  <si>
    <t>101/01/10</t>
  </si>
  <si>
    <t>101/01/11</t>
  </si>
  <si>
    <t>101/01/12</t>
  </si>
  <si>
    <t>101/01/13</t>
  </si>
  <si>
    <t>101/01/16</t>
  </si>
  <si>
    <t>101/01/17</t>
  </si>
  <si>
    <t>101/01/18</t>
  </si>
  <si>
    <t>101/01/30</t>
  </si>
  <si>
    <t>101/01/31</t>
  </si>
  <si>
    <t>共15筆</t>
  </si>
  <si>
    <t>101/02/01</t>
  </si>
  <si>
    <t>101/02/02</t>
  </si>
  <si>
    <t>101/02/03</t>
  </si>
  <si>
    <t>101/02/04</t>
  </si>
  <si>
    <t>101/02/06</t>
  </si>
  <si>
    <t>101/02/07</t>
  </si>
  <si>
    <t>101/02/08</t>
  </si>
  <si>
    <t>101/02/09</t>
  </si>
  <si>
    <t>101/02/10</t>
  </si>
  <si>
    <t>101/02/13</t>
  </si>
  <si>
    <t>101/02/14</t>
  </si>
  <si>
    <t>101/02/15</t>
  </si>
  <si>
    <t>101/02/16</t>
  </si>
  <si>
    <t>101/02/17</t>
  </si>
  <si>
    <t>101/02/20</t>
  </si>
  <si>
    <t>101/02/21</t>
  </si>
  <si>
    <t>101/02/22</t>
  </si>
  <si>
    <t>101/02/23</t>
  </si>
  <si>
    <t>101/02/24</t>
  </si>
  <si>
    <t>101/02/29</t>
  </si>
  <si>
    <t>101/03/01</t>
  </si>
  <si>
    <t>101/03/02</t>
  </si>
  <si>
    <t>101/03/03</t>
  </si>
  <si>
    <t>101/03/05</t>
  </si>
  <si>
    <t>101/03/06</t>
  </si>
  <si>
    <t>101/03/07</t>
  </si>
  <si>
    <t>101/03/08</t>
  </si>
  <si>
    <t>101/03/09</t>
  </si>
  <si>
    <t>101/03/12</t>
  </si>
  <si>
    <t>101/03/13</t>
  </si>
  <si>
    <t>101/03/14</t>
  </si>
  <si>
    <t>101/03/15</t>
  </si>
  <si>
    <t>101/03/16</t>
  </si>
  <si>
    <t>101/03/19</t>
  </si>
  <si>
    <t>101/03/20</t>
  </si>
  <si>
    <t>101/03/21</t>
  </si>
  <si>
    <t>101/03/22</t>
  </si>
  <si>
    <t>101/03/23</t>
  </si>
  <si>
    <t>101/03/26</t>
  </si>
  <si>
    <t>101/03/27</t>
  </si>
  <si>
    <t>101/03/28</t>
  </si>
  <si>
    <t>101/03/29</t>
  </si>
  <si>
    <t>101/03/30</t>
  </si>
  <si>
    <t>101/04/02</t>
  </si>
  <si>
    <t>101/04/03</t>
  </si>
  <si>
    <t>101/04/05</t>
  </si>
  <si>
    <t>101/04/06</t>
  </si>
  <si>
    <t>101/04/09</t>
  </si>
  <si>
    <t>101/04/10</t>
  </si>
  <si>
    <t>101/04/11</t>
  </si>
  <si>
    <t>101/04/12</t>
  </si>
  <si>
    <t>101/04/13</t>
  </si>
  <si>
    <t>101/04/16</t>
  </si>
  <si>
    <t>101/04/17</t>
  </si>
  <si>
    <t>101/04/18</t>
  </si>
  <si>
    <t>101/04/19</t>
  </si>
  <si>
    <t>101/04/20</t>
  </si>
  <si>
    <t>101/04/23</t>
  </si>
  <si>
    <t>101/04/24</t>
  </si>
  <si>
    <t>101/04/25</t>
  </si>
  <si>
    <t>101/04/26</t>
  </si>
  <si>
    <t>101/04/27</t>
  </si>
  <si>
    <t>101/04/30</t>
  </si>
  <si>
    <t>101/05/02</t>
  </si>
  <si>
    <t>101/05/03</t>
  </si>
  <si>
    <t>101/05/04</t>
  </si>
  <si>
    <t>101/05/07</t>
  </si>
  <si>
    <t>101/05/08</t>
  </si>
  <si>
    <t>101/05/09</t>
  </si>
  <si>
    <t>101/05/10</t>
  </si>
  <si>
    <t>101/05/11</t>
  </si>
  <si>
    <t>101/05/14</t>
  </si>
  <si>
    <t>101/05/15</t>
  </si>
  <si>
    <t>101/05/16</t>
  </si>
  <si>
    <t>101/05/17</t>
  </si>
  <si>
    <t>101/05/18</t>
  </si>
  <si>
    <t>101/05/21</t>
  </si>
  <si>
    <t>101/05/22</t>
  </si>
  <si>
    <t>101/05/23</t>
  </si>
  <si>
    <t>101/05/24</t>
  </si>
  <si>
    <t>101/05/25</t>
  </si>
  <si>
    <t>101/05/28</t>
  </si>
  <si>
    <t>101/05/29</t>
  </si>
  <si>
    <t>101/05/30</t>
  </si>
  <si>
    <t>101/05/31</t>
  </si>
  <si>
    <t>101/06/01</t>
  </si>
  <si>
    <t>101/06/04</t>
  </si>
  <si>
    <t>101/06/05</t>
  </si>
  <si>
    <t>101/06/06</t>
  </si>
  <si>
    <t>101/06/07</t>
  </si>
  <si>
    <t>101/06/08</t>
  </si>
  <si>
    <t>101/06/11</t>
  </si>
  <si>
    <t>101/06/12</t>
  </si>
  <si>
    <t>101/06/13</t>
  </si>
  <si>
    <t>101/06/14</t>
  </si>
  <si>
    <t>101/06/15</t>
  </si>
  <si>
    <t>101/06/18</t>
  </si>
  <si>
    <t>101/06/19</t>
  </si>
  <si>
    <t>101/06/20</t>
  </si>
  <si>
    <t>101/06/21</t>
  </si>
  <si>
    <t>101/06/22</t>
  </si>
  <si>
    <t>101/06/25</t>
  </si>
  <si>
    <t>101/06/26</t>
  </si>
  <si>
    <t>101/06/27</t>
  </si>
  <si>
    <t>101/06/28</t>
  </si>
  <si>
    <t>101/06/29</t>
  </si>
  <si>
    <t>101/07/02</t>
  </si>
  <si>
    <t>101/07/03</t>
  </si>
  <si>
    <t>101/07/04</t>
  </si>
  <si>
    <t>101/07/05</t>
  </si>
  <si>
    <t>101/07/06</t>
  </si>
  <si>
    <t>101/07/09</t>
  </si>
  <si>
    <t>101/07/10</t>
  </si>
  <si>
    <t>101/07/11</t>
  </si>
  <si>
    <t>101/07/12</t>
  </si>
  <si>
    <t>101/07/13</t>
  </si>
  <si>
    <t>101/07/16</t>
  </si>
  <si>
    <t>101/07/17</t>
  </si>
  <si>
    <t>101/07/18</t>
  </si>
  <si>
    <t>101/07/19</t>
  </si>
  <si>
    <t>101/07/20</t>
  </si>
  <si>
    <t>101/07/23</t>
  </si>
  <si>
    <t>101/07/24</t>
  </si>
  <si>
    <t>101/07/25</t>
  </si>
  <si>
    <t>101/07/26</t>
  </si>
  <si>
    <t>101/07/27</t>
  </si>
  <si>
    <t>101/07/30</t>
  </si>
  <si>
    <t>101/07/31</t>
  </si>
  <si>
    <t>101/08/01</t>
  </si>
  <si>
    <t>101/08/03</t>
  </si>
  <si>
    <t>101/08/06</t>
  </si>
  <si>
    <t>101/08/07</t>
  </si>
  <si>
    <t>101/08/08</t>
  </si>
  <si>
    <t>101/08/09</t>
  </si>
  <si>
    <t>101/08/10</t>
  </si>
  <si>
    <t>101/08/13</t>
  </si>
  <si>
    <t>101/08/14</t>
  </si>
  <si>
    <t>101/08/15</t>
  </si>
  <si>
    <t>101/08/16</t>
  </si>
  <si>
    <t>101/08/17</t>
  </si>
  <si>
    <t>101/08/20</t>
  </si>
  <si>
    <t>101/08/21</t>
  </si>
  <si>
    <t>101/08/22</t>
  </si>
  <si>
    <t>101/08/23</t>
  </si>
  <si>
    <t>101/08/24</t>
  </si>
  <si>
    <t>101/08/27</t>
  </si>
  <si>
    <t>101/08/28</t>
  </si>
  <si>
    <t>101/08/29</t>
  </si>
  <si>
    <t>101/08/30</t>
  </si>
  <si>
    <t>101/08/31</t>
  </si>
  <si>
    <t>101/09/03</t>
  </si>
  <si>
    <t>101/09/04</t>
  </si>
  <si>
    <t>101/09/05</t>
  </si>
  <si>
    <t>101/09/06</t>
  </si>
  <si>
    <t>101/09/07</t>
  </si>
  <si>
    <t>101/09/10</t>
  </si>
  <si>
    <t>101/09/11</t>
  </si>
  <si>
    <t>101/09/12</t>
  </si>
  <si>
    <t>101/09/13</t>
  </si>
  <si>
    <t>101/09/14</t>
  </si>
  <si>
    <t>101/09/17</t>
  </si>
  <si>
    <t>101/09/18</t>
  </si>
  <si>
    <t>101/09/19</t>
  </si>
  <si>
    <t>101/09/20</t>
  </si>
  <si>
    <t>101/09/21</t>
  </si>
  <si>
    <t>101/09/24</t>
  </si>
  <si>
    <t>101/09/25</t>
  </si>
  <si>
    <t>101/09/26</t>
  </si>
  <si>
    <t>101/09/27</t>
  </si>
  <si>
    <t>101/09/28</t>
  </si>
  <si>
    <t>101/10/01</t>
  </si>
  <si>
    <t>101/10/02</t>
  </si>
  <si>
    <t>101/10/03</t>
  </si>
  <si>
    <t>101/10/04</t>
  </si>
  <si>
    <t>101/10/05</t>
  </si>
  <si>
    <t>101/10/08</t>
  </si>
  <si>
    <t>101/10/09</t>
  </si>
  <si>
    <t>101/10/11</t>
  </si>
  <si>
    <t>101/10/12</t>
  </si>
  <si>
    <t>101/10/15</t>
  </si>
  <si>
    <t>101/10/16</t>
  </si>
  <si>
    <t>101/10/17</t>
  </si>
  <si>
    <t>101/10/18</t>
  </si>
  <si>
    <t>101/10/19</t>
  </si>
  <si>
    <t>101/10/22</t>
  </si>
  <si>
    <t>101/10/23</t>
  </si>
  <si>
    <t>101/10/24</t>
  </si>
  <si>
    <t>101/10/25</t>
  </si>
  <si>
    <t>101/10/26</t>
  </si>
  <si>
    <t>101/10/29</t>
  </si>
  <si>
    <t>101/10/30</t>
  </si>
  <si>
    <t>101/10/31</t>
  </si>
  <si>
    <t>101/11/01</t>
  </si>
  <si>
    <t>101/11/02</t>
  </si>
  <si>
    <t>101/11/05</t>
  </si>
  <si>
    <t>101/11/06</t>
  </si>
  <si>
    <t>101/11/07</t>
  </si>
  <si>
    <t>101/11/08</t>
  </si>
  <si>
    <t>101/11/09</t>
  </si>
  <si>
    <t>101/11/12</t>
  </si>
  <si>
    <t>101/11/13</t>
  </si>
  <si>
    <t>101/11/14</t>
  </si>
  <si>
    <t>101/11/15</t>
  </si>
  <si>
    <t>101/11/16</t>
  </si>
  <si>
    <t>101/11/19</t>
  </si>
  <si>
    <t>101/11/20</t>
  </si>
  <si>
    <t>101/11/21</t>
  </si>
  <si>
    <t>101/11/22</t>
  </si>
  <si>
    <t>101/11/23</t>
  </si>
  <si>
    <t>101/11/26</t>
  </si>
  <si>
    <t>101/11/27</t>
  </si>
  <si>
    <t>101/11/28</t>
  </si>
  <si>
    <t>101/11/29</t>
  </si>
  <si>
    <t>101/11/30</t>
  </si>
  <si>
    <t>101/12/03</t>
  </si>
  <si>
    <t>101/12/04</t>
  </si>
  <si>
    <t>101/12/05</t>
  </si>
  <si>
    <t>101/12/06</t>
  </si>
  <si>
    <t>101/12/07</t>
  </si>
  <si>
    <t>101/12/10</t>
  </si>
  <si>
    <t>101/12/11</t>
  </si>
  <si>
    <t>101/12/12</t>
  </si>
  <si>
    <t>101/12/13</t>
  </si>
  <si>
    <t>101/12/14</t>
  </si>
  <si>
    <t>101/12/17</t>
  </si>
  <si>
    <t>101/12/18</t>
  </si>
  <si>
    <t>101/12/19</t>
  </si>
  <si>
    <t>101/12/20</t>
  </si>
  <si>
    <t>101/12/21</t>
  </si>
  <si>
    <t>101/12/22</t>
  </si>
  <si>
    <t>101/12/24</t>
  </si>
  <si>
    <t>101/12/25</t>
  </si>
  <si>
    <t>101/12/26</t>
  </si>
  <si>
    <t>101/12/27</t>
  </si>
  <si>
    <t>101/12/28</t>
  </si>
  <si>
    <t>102/01/02</t>
  </si>
  <si>
    <t>102/01/03</t>
  </si>
  <si>
    <t>102/01/04</t>
  </si>
  <si>
    <t>102/01/07</t>
  </si>
  <si>
    <t>102/01/08</t>
  </si>
  <si>
    <t>102/01/09</t>
  </si>
  <si>
    <t>102/01/10</t>
  </si>
  <si>
    <t>102/01/11</t>
  </si>
  <si>
    <t>102/01/14</t>
  </si>
  <si>
    <t>102/01/15</t>
  </si>
  <si>
    <t>102/01/16</t>
  </si>
  <si>
    <t>102/01/17</t>
  </si>
  <si>
    <t>102/01/18</t>
  </si>
  <si>
    <t>102/01/21</t>
  </si>
  <si>
    <t>102/01/22</t>
  </si>
  <si>
    <t>102/01/23</t>
  </si>
  <si>
    <t>102/01/24</t>
  </si>
  <si>
    <t>102/01/25</t>
  </si>
  <si>
    <t>102/01/28</t>
  </si>
  <si>
    <t>102/01/29</t>
  </si>
  <si>
    <t>102/01/30</t>
  </si>
  <si>
    <t>102/01/31</t>
  </si>
  <si>
    <t>102/02/01</t>
  </si>
  <si>
    <t>102/02/04</t>
  </si>
  <si>
    <t>102/02/05</t>
  </si>
  <si>
    <t>102/02/06</t>
  </si>
  <si>
    <t>102/02/18</t>
  </si>
  <si>
    <t>102/02/19</t>
  </si>
  <si>
    <t>102/02/20</t>
  </si>
  <si>
    <t>102/02/21</t>
  </si>
  <si>
    <t>102/02/22</t>
  </si>
  <si>
    <t>102/02/23</t>
  </si>
  <si>
    <t>102/02/25</t>
  </si>
  <si>
    <t>102/02/26</t>
  </si>
  <si>
    <t>102/02/27</t>
  </si>
  <si>
    <t>102/03/01</t>
  </si>
  <si>
    <t>102/03/04</t>
  </si>
  <si>
    <t>102/03/05</t>
  </si>
  <si>
    <t>102/03/06</t>
  </si>
  <si>
    <t>102/03/07</t>
  </si>
  <si>
    <t>102/03/08</t>
  </si>
  <si>
    <t>102/03/11</t>
  </si>
  <si>
    <t>102/03/12</t>
  </si>
  <si>
    <t>102/03/13</t>
  </si>
  <si>
    <t>102/03/14</t>
  </si>
  <si>
    <t>102/03/15</t>
  </si>
  <si>
    <t>102/03/18</t>
  </si>
  <si>
    <t>102/03/19</t>
  </si>
  <si>
    <t>102/03/20</t>
  </si>
  <si>
    <t>102/03/21</t>
  </si>
  <si>
    <t>102/03/22</t>
  </si>
  <si>
    <t>102/03/25</t>
  </si>
  <si>
    <t>102/03/26</t>
  </si>
  <si>
    <t>102/03/27</t>
  </si>
  <si>
    <t>102/03/28</t>
  </si>
  <si>
    <t>102/03/29</t>
  </si>
  <si>
    <t>102/04/01</t>
  </si>
  <si>
    <t>102/04/02</t>
  </si>
  <si>
    <t>102/04/03</t>
  </si>
  <si>
    <t>102/04/08</t>
  </si>
  <si>
    <t>102/04/09</t>
  </si>
  <si>
    <t>102/04/10</t>
  </si>
  <si>
    <t>102/04/11</t>
  </si>
  <si>
    <t>102/04/12</t>
  </si>
  <si>
    <t>102/04/15</t>
  </si>
  <si>
    <t>102/04/16</t>
  </si>
  <si>
    <t>102/04/17</t>
  </si>
  <si>
    <t>102/04/18</t>
  </si>
  <si>
    <t>102/04/19</t>
  </si>
  <si>
    <t>102/04/22</t>
  </si>
  <si>
    <t>102/04/23</t>
  </si>
  <si>
    <t>102/04/24</t>
  </si>
  <si>
    <t>102/04/25</t>
  </si>
  <si>
    <t>102/04/26</t>
  </si>
  <si>
    <t>102/04/29</t>
  </si>
  <si>
    <t>102/04/30</t>
  </si>
  <si>
    <t>102/05/02</t>
  </si>
  <si>
    <t>102/05/03</t>
  </si>
  <si>
    <t>102/05/06</t>
  </si>
  <si>
    <t>102/05/07</t>
  </si>
  <si>
    <t>102/05/08</t>
  </si>
  <si>
    <t>102/05/09</t>
  </si>
  <si>
    <t>102/05/10</t>
  </si>
  <si>
    <t>102/05/13</t>
  </si>
  <si>
    <t>102/05/14</t>
  </si>
  <si>
    <t>102/05/15</t>
  </si>
  <si>
    <t>102/05/16</t>
  </si>
  <si>
    <t>102/05/17</t>
  </si>
  <si>
    <t>102/05/20</t>
  </si>
  <si>
    <t>102/05/21</t>
  </si>
  <si>
    <t>102/05/22</t>
  </si>
  <si>
    <t>102/05/23</t>
  </si>
  <si>
    <t>102/05/24</t>
  </si>
  <si>
    <t>102/05/27</t>
  </si>
  <si>
    <t>102/05/28</t>
  </si>
  <si>
    <t>102/05/29</t>
  </si>
  <si>
    <t>102/05/30</t>
  </si>
  <si>
    <t>102/05/31</t>
  </si>
  <si>
    <t>102/06/03</t>
  </si>
  <si>
    <t>102/06/04</t>
  </si>
  <si>
    <t>102/06/05</t>
  </si>
  <si>
    <t>102/06/06</t>
  </si>
  <si>
    <t>102/06/07</t>
  </si>
  <si>
    <t>102/06/10</t>
  </si>
  <si>
    <t>102/06/11</t>
  </si>
  <si>
    <t>102/06/13</t>
  </si>
  <si>
    <t>102/06/14</t>
  </si>
  <si>
    <t>102/06/17</t>
  </si>
  <si>
    <t>102/06/18</t>
  </si>
  <si>
    <t>102/06/19</t>
  </si>
  <si>
    <t>102/06/20</t>
  </si>
  <si>
    <t>102/06/21</t>
  </si>
  <si>
    <t>102/06/24</t>
  </si>
  <si>
    <t>102/06/25</t>
  </si>
  <si>
    <t>102/06/26</t>
  </si>
  <si>
    <t>102/06/27</t>
  </si>
  <si>
    <t>102/06/28</t>
  </si>
  <si>
    <t>102/07/01</t>
  </si>
  <si>
    <t>102/07/02</t>
  </si>
  <si>
    <t>102/07/03</t>
  </si>
  <si>
    <t>102/07/04</t>
  </si>
  <si>
    <t>102/07/05</t>
  </si>
  <si>
    <t>102/07/08</t>
  </si>
  <si>
    <t>102/07/09</t>
  </si>
  <si>
    <t>102/07/10</t>
  </si>
  <si>
    <t>102/07/11</t>
  </si>
  <si>
    <t>102/07/12</t>
  </si>
  <si>
    <t>102/07/15</t>
  </si>
  <si>
    <t>102/07/16</t>
  </si>
  <si>
    <t>102/07/17</t>
  </si>
  <si>
    <t>102/07/18</t>
  </si>
  <si>
    <t>102/07/19</t>
  </si>
  <si>
    <t>102/07/22</t>
  </si>
  <si>
    <t>102/07/23</t>
  </si>
  <si>
    <t>102/07/24</t>
  </si>
  <si>
    <t>102/07/25</t>
  </si>
  <si>
    <t>102/07/26</t>
  </si>
  <si>
    <t>102/07/29</t>
  </si>
  <si>
    <t>102/07/30</t>
  </si>
  <si>
    <t>102/07/31</t>
  </si>
  <si>
    <t>102/08/01</t>
  </si>
  <si>
    <t>102/08/02</t>
  </si>
  <si>
    <t>102/08/05</t>
  </si>
  <si>
    <t>102/08/06</t>
  </si>
  <si>
    <t>102/08/07</t>
  </si>
  <si>
    <t>102/08/08</t>
  </si>
  <si>
    <t>102/08/09</t>
  </si>
  <si>
    <t>102/08/12</t>
  </si>
  <si>
    <t>102/08/13</t>
  </si>
  <si>
    <t>102/08/14</t>
  </si>
  <si>
    <t>102/08/15</t>
  </si>
  <si>
    <t>102/08/16</t>
  </si>
  <si>
    <t>102/08/19</t>
  </si>
  <si>
    <t>102/08/20</t>
  </si>
  <si>
    <t>102/08/22</t>
  </si>
  <si>
    <t>102/08/23</t>
  </si>
  <si>
    <t>102/08/26</t>
  </si>
  <si>
    <t>102/08/27</t>
  </si>
  <si>
    <t>102/08/28</t>
  </si>
  <si>
    <t>102/08/29</t>
  </si>
  <si>
    <t>102/08/30</t>
  </si>
  <si>
    <t>102/09/02</t>
  </si>
  <si>
    <t>102/09/03</t>
  </si>
  <si>
    <t>102/09/04</t>
  </si>
  <si>
    <t>102/09/05</t>
  </si>
  <si>
    <t>102/09/06</t>
  </si>
  <si>
    <t>102/09/09</t>
  </si>
  <si>
    <t>102/09/10</t>
  </si>
  <si>
    <t>102/09/11</t>
  </si>
  <si>
    <t>102/09/12</t>
  </si>
  <si>
    <t>102/09/13</t>
  </si>
  <si>
    <t>102/09/14</t>
  </si>
  <si>
    <t>102/09/16</t>
  </si>
  <si>
    <t>102/09/17</t>
  </si>
  <si>
    <t>102/09/18</t>
  </si>
  <si>
    <t>102/09/23</t>
  </si>
  <si>
    <t>102/09/24</t>
  </si>
  <si>
    <t>102/09/25</t>
  </si>
  <si>
    <t>102/09/26</t>
  </si>
  <si>
    <t>102/09/27</t>
  </si>
  <si>
    <t>102/09/30</t>
  </si>
  <si>
    <t>102/10/01</t>
  </si>
  <si>
    <t>102/10/02</t>
  </si>
  <si>
    <t>102/10/03</t>
  </si>
  <si>
    <t>102/10/04</t>
  </si>
  <si>
    <t>102/10/07</t>
  </si>
  <si>
    <t>102/10/08</t>
  </si>
  <si>
    <t>102/10/09</t>
  </si>
  <si>
    <t>102/10/11</t>
  </si>
  <si>
    <t>102/10/14</t>
  </si>
  <si>
    <t>102/10/15</t>
  </si>
  <si>
    <t>102/10/16</t>
  </si>
  <si>
    <t>102/10/17</t>
  </si>
  <si>
    <t>102/10/18</t>
  </si>
  <si>
    <t>102/10/21</t>
  </si>
  <si>
    <t>102/10/22</t>
  </si>
  <si>
    <t>102/10/23</t>
  </si>
  <si>
    <t>102/10/24</t>
  </si>
  <si>
    <t>102/10/25</t>
  </si>
  <si>
    <t>102/10/28</t>
  </si>
  <si>
    <t>102/10/29</t>
  </si>
  <si>
    <t>102/10/30</t>
  </si>
  <si>
    <t>102/10/31</t>
  </si>
  <si>
    <t>102/11/01</t>
  </si>
  <si>
    <t>102/11/04</t>
  </si>
  <si>
    <t>102/11/05</t>
  </si>
  <si>
    <t>102/11/06</t>
  </si>
  <si>
    <t>102/11/07</t>
  </si>
  <si>
    <t>102/11/08</t>
  </si>
  <si>
    <t>102/11/11</t>
  </si>
  <si>
    <t>102/11/12</t>
  </si>
  <si>
    <t>102/11/13</t>
  </si>
  <si>
    <t>102/11/14</t>
  </si>
  <si>
    <t>102/11/15</t>
  </si>
  <si>
    <t>102/11/18</t>
  </si>
  <si>
    <t>102/11/19</t>
  </si>
  <si>
    <t>102/11/20</t>
  </si>
  <si>
    <t>102/11/21</t>
  </si>
  <si>
    <t>102/11/22</t>
  </si>
  <si>
    <t>102/11/25</t>
  </si>
  <si>
    <t>102/11/26</t>
  </si>
  <si>
    <t>102/11/27</t>
  </si>
  <si>
    <t>102/11/28</t>
  </si>
  <si>
    <t>102/11/29</t>
  </si>
  <si>
    <t>102/12/02</t>
  </si>
  <si>
    <t>102/12/03</t>
  </si>
  <si>
    <t>102/12/04</t>
  </si>
  <si>
    <t>102/12/05</t>
  </si>
  <si>
    <t>102/12/06</t>
  </si>
  <si>
    <t>102/12/09</t>
  </si>
  <si>
    <t>102/12/10</t>
  </si>
  <si>
    <t>102/12/11</t>
  </si>
  <si>
    <t>102/12/12</t>
  </si>
  <si>
    <t>102/12/13</t>
  </si>
  <si>
    <t>102/12/16</t>
  </si>
  <si>
    <t>102/12/17</t>
  </si>
  <si>
    <t>102/12/18</t>
  </si>
  <si>
    <t>102/12/19</t>
  </si>
  <si>
    <t>102/12/20</t>
  </si>
  <si>
    <t>102/12/23</t>
  </si>
  <si>
    <t>102/12/24</t>
  </si>
  <si>
    <t>102/12/25</t>
  </si>
  <si>
    <t>102/12/26</t>
  </si>
  <si>
    <t>102/12/27</t>
  </si>
  <si>
    <t>102/12/30</t>
  </si>
  <si>
    <t>102/12/31</t>
  </si>
  <si>
    <t>103/01/02</t>
  </si>
  <si>
    <t>103/01/03</t>
  </si>
  <si>
    <t>103/01/06</t>
  </si>
  <si>
    <t>103/01/07</t>
  </si>
  <si>
    <t>103/01/08</t>
  </si>
  <si>
    <t>103/01/09</t>
  </si>
  <si>
    <t>103/01/10</t>
  </si>
  <si>
    <t>103/01/13</t>
  </si>
  <si>
    <t>103/01/14</t>
  </si>
  <si>
    <t>103/01/15</t>
  </si>
  <si>
    <t>103/01/16</t>
  </si>
  <si>
    <t>103/01/17</t>
  </si>
  <si>
    <t>103/01/20</t>
  </si>
  <si>
    <t>103/01/21</t>
  </si>
  <si>
    <t>103/01/22</t>
  </si>
  <si>
    <t>103/01/23</t>
  </si>
  <si>
    <t>103/01/24</t>
  </si>
  <si>
    <t>103/01/27</t>
  </si>
  <si>
    <t>103/02/05</t>
  </si>
  <si>
    <t>103/02/06</t>
  </si>
  <si>
    <t>103/02/07</t>
  </si>
  <si>
    <t>103/02/10</t>
  </si>
  <si>
    <t>103/02/11</t>
  </si>
  <si>
    <t>103/02/12</t>
  </si>
  <si>
    <t>103/02/13</t>
  </si>
  <si>
    <t>103/02/14</t>
  </si>
  <si>
    <t>103/02/17</t>
  </si>
  <si>
    <t>103/02/18</t>
  </si>
  <si>
    <t>103/02/19</t>
  </si>
  <si>
    <t>103/02/20</t>
  </si>
  <si>
    <t>103/02/21</t>
  </si>
  <si>
    <t>103/02/24</t>
  </si>
  <si>
    <t>103/02/25</t>
  </si>
  <si>
    <t>103/02/26</t>
  </si>
  <si>
    <t>103/02/27</t>
  </si>
  <si>
    <t>共17筆</t>
  </si>
  <si>
    <t>103/03/03</t>
  </si>
  <si>
    <t>103/03/04</t>
  </si>
  <si>
    <t>103/03/05</t>
  </si>
  <si>
    <t>103/03/06</t>
  </si>
  <si>
    <t>103/03/07</t>
  </si>
  <si>
    <t>103/03/10</t>
  </si>
  <si>
    <t>103/03/11</t>
  </si>
  <si>
    <t>103/03/12</t>
  </si>
  <si>
    <t>103/03/13</t>
  </si>
  <si>
    <t>103/03/14</t>
  </si>
  <si>
    <t>103/03/17</t>
  </si>
  <si>
    <t>103/03/18</t>
  </si>
  <si>
    <t>103/03/19</t>
  </si>
  <si>
    <t>103/03/20</t>
  </si>
  <si>
    <t>103/03/21</t>
  </si>
  <si>
    <t>103/03/24</t>
  </si>
  <si>
    <t>103/03/25</t>
  </si>
  <si>
    <t>103/03/26</t>
  </si>
  <si>
    <t>103/03/27</t>
  </si>
  <si>
    <t>103/03/28</t>
  </si>
  <si>
    <t>103/03/31</t>
  </si>
  <si>
    <t>103/04/01</t>
  </si>
  <si>
    <t>103/04/02</t>
  </si>
  <si>
    <t>103/04/03</t>
  </si>
  <si>
    <t>103/04/07</t>
  </si>
  <si>
    <t>103/04/08</t>
  </si>
  <si>
    <t>103/04/09</t>
  </si>
  <si>
    <t>103/04/10</t>
  </si>
  <si>
    <t>103/04/11</t>
  </si>
  <si>
    <t>103/04/14</t>
  </si>
  <si>
    <t>103/04/15</t>
  </si>
  <si>
    <t>103/04/16</t>
  </si>
  <si>
    <t>103/04/17</t>
  </si>
  <si>
    <t>103/04/18</t>
  </si>
  <si>
    <t>103/04/21</t>
  </si>
  <si>
    <t>103/04/22</t>
  </si>
  <si>
    <t>103/04/23</t>
  </si>
  <si>
    <t>103/04/24</t>
  </si>
  <si>
    <t>103/04/25</t>
  </si>
  <si>
    <t>103/04/28</t>
  </si>
  <si>
    <t>103/04/29</t>
  </si>
  <si>
    <t>103/04/30</t>
  </si>
  <si>
    <t>103/05/02</t>
  </si>
  <si>
    <t>103/05/05</t>
  </si>
  <si>
    <t>103/05/06</t>
  </si>
  <si>
    <t>103/05/07</t>
  </si>
  <si>
    <t>103/05/08</t>
  </si>
  <si>
    <t>103/05/09</t>
  </si>
  <si>
    <t>103/05/12</t>
  </si>
  <si>
    <t>103/05/13</t>
  </si>
  <si>
    <t>103/05/14</t>
  </si>
  <si>
    <t>103/05/15</t>
  </si>
  <si>
    <t>103/05/16</t>
  </si>
  <si>
    <t>103/05/19</t>
  </si>
  <si>
    <t>103/05/20</t>
  </si>
  <si>
    <t>103/05/21</t>
  </si>
  <si>
    <t>103/05/22</t>
  </si>
  <si>
    <t>103/05/23</t>
  </si>
  <si>
    <t>103/05/26</t>
  </si>
  <si>
    <t>103/05/27</t>
  </si>
  <si>
    <t>103/05/28</t>
  </si>
  <si>
    <t>103/05/29</t>
  </si>
  <si>
    <t>103/05/30</t>
  </si>
  <si>
    <t>103/06/03</t>
  </si>
  <si>
    <t>103/06/04</t>
  </si>
  <si>
    <t>103/06/05</t>
  </si>
  <si>
    <t>103/06/06</t>
  </si>
  <si>
    <t>103/06/09</t>
  </si>
  <si>
    <t>103/06/10</t>
  </si>
  <si>
    <t>103/06/11</t>
  </si>
  <si>
    <t>103/06/12</t>
  </si>
  <si>
    <t>103/06/13</t>
  </si>
  <si>
    <t>103/06/16</t>
  </si>
  <si>
    <t>103/06/17</t>
  </si>
  <si>
    <t>103/06/18</t>
  </si>
  <si>
    <t>103/06/19</t>
  </si>
  <si>
    <t>103/06/20</t>
  </si>
  <si>
    <t>103/06/23</t>
  </si>
  <si>
    <t>103/06/24</t>
  </si>
  <si>
    <t>103/06/25</t>
  </si>
  <si>
    <t>103/06/26</t>
  </si>
  <si>
    <t>103/06/27</t>
  </si>
  <si>
    <t>103/06/30</t>
  </si>
  <si>
    <t>103/07/01</t>
  </si>
  <si>
    <t>103/07/02</t>
  </si>
  <si>
    <t>103/07/03</t>
  </si>
  <si>
    <t>103/07/04</t>
  </si>
  <si>
    <t>103/07/07</t>
  </si>
  <si>
    <t>103/07/08</t>
  </si>
  <si>
    <t>103/07/09</t>
  </si>
  <si>
    <t>103/07/10</t>
  </si>
  <si>
    <t>103/07/11</t>
  </si>
  <si>
    <t>103/07/14</t>
  </si>
  <si>
    <t>103/07/15</t>
  </si>
  <si>
    <t>103/07/16</t>
  </si>
  <si>
    <t>103/07/17</t>
  </si>
  <si>
    <t>103/07/18</t>
  </si>
  <si>
    <t>103/07/21</t>
  </si>
  <si>
    <t>103/07/22</t>
  </si>
  <si>
    <t>103/07/24</t>
  </si>
  <si>
    <t>103/07/25</t>
  </si>
  <si>
    <t>103/07/28</t>
  </si>
  <si>
    <t>103/07/29</t>
  </si>
  <si>
    <t>103/07/30</t>
  </si>
  <si>
    <t>103/07/31</t>
  </si>
  <si>
    <t>103/08/01</t>
  </si>
  <si>
    <t>103/08/04</t>
  </si>
  <si>
    <t>103/08/05</t>
  </si>
  <si>
    <t>103/08/06</t>
  </si>
  <si>
    <t>103/08/07</t>
  </si>
  <si>
    <t>103/08/08</t>
  </si>
  <si>
    <t>103/08/11</t>
  </si>
  <si>
    <t>103/08/12</t>
  </si>
  <si>
    <t>103/08/13</t>
  </si>
  <si>
    <t>103/08/14</t>
  </si>
  <si>
    <t>103/08/15</t>
  </si>
  <si>
    <t>103/08/18</t>
  </si>
  <si>
    <t>103/08/19</t>
  </si>
  <si>
    <t>103/08/20</t>
  </si>
  <si>
    <t>103/08/21</t>
  </si>
  <si>
    <t>103/08/22</t>
  </si>
  <si>
    <t>103/08/25</t>
  </si>
  <si>
    <t>103/08/26</t>
  </si>
  <si>
    <t>103/08/27</t>
  </si>
  <si>
    <t>103/08/28</t>
  </si>
  <si>
    <t>103/08/29</t>
  </si>
  <si>
    <t>103/09/01</t>
  </si>
  <si>
    <t>103/09/02</t>
  </si>
  <si>
    <t>103/09/03</t>
  </si>
  <si>
    <t>103/09/04</t>
  </si>
  <si>
    <t>103/09/05</t>
  </si>
  <si>
    <t>103/09/09</t>
  </si>
  <si>
    <t>103/09/10</t>
  </si>
  <si>
    <t>103/09/11</t>
  </si>
  <si>
    <t>103/09/12</t>
  </si>
  <si>
    <t>103/09/15</t>
  </si>
  <si>
    <t>103/09/16</t>
  </si>
  <si>
    <t>103/09/17</t>
  </si>
  <si>
    <t>103/09/18</t>
  </si>
  <si>
    <t>103/09/19</t>
  </si>
  <si>
    <t>103/09/22</t>
  </si>
  <si>
    <t>103/09/23</t>
  </si>
  <si>
    <t>103/09/24</t>
  </si>
  <si>
    <t>103/09/25</t>
  </si>
  <si>
    <t>103/09/26</t>
  </si>
  <si>
    <t>103/09/29</t>
  </si>
  <si>
    <t>103/09/30</t>
  </si>
  <si>
    <t>103/10/01</t>
  </si>
  <si>
    <t>103/10/02</t>
  </si>
  <si>
    <t>103/10/03</t>
  </si>
  <si>
    <t>103/10/06</t>
  </si>
  <si>
    <t>103/10/07</t>
  </si>
  <si>
    <t>103/10/08</t>
  </si>
  <si>
    <t>103/10/09</t>
  </si>
  <si>
    <t>103/10/13</t>
  </si>
  <si>
    <t>103/10/14</t>
  </si>
  <si>
    <t>103/10/15</t>
  </si>
  <si>
    <t>103/10/16</t>
  </si>
  <si>
    <t>103/10/17</t>
  </si>
  <si>
    <t>103/10/20</t>
  </si>
  <si>
    <t>103/10/21</t>
  </si>
  <si>
    <t>103/10/22</t>
  </si>
  <si>
    <t>103/10/23</t>
  </si>
  <si>
    <t>103/10/24</t>
  </si>
  <si>
    <t>103/10/27</t>
  </si>
  <si>
    <t>103/10/28</t>
  </si>
  <si>
    <t>103/10/29</t>
  </si>
  <si>
    <t>103/10/30</t>
  </si>
  <si>
    <t>103/10/31</t>
  </si>
  <si>
    <t>103/11/03</t>
  </si>
  <si>
    <t>103/11/04</t>
  </si>
  <si>
    <t>103/11/05</t>
  </si>
  <si>
    <t>103/11/06</t>
  </si>
  <si>
    <t>103/11/07</t>
  </si>
  <si>
    <t>103/11/10</t>
  </si>
  <si>
    <t>103/11/11</t>
  </si>
  <si>
    <t>103/11/12</t>
  </si>
  <si>
    <t>103/11/13</t>
  </si>
  <si>
    <t>103/11/14</t>
  </si>
  <si>
    <t>103/11/17</t>
  </si>
  <si>
    <t>103/11/18</t>
  </si>
  <si>
    <t>103/11/19</t>
  </si>
  <si>
    <t>103/11/20</t>
  </si>
  <si>
    <t>103/11/21</t>
  </si>
  <si>
    <t>103/11/24</t>
  </si>
  <si>
    <t>103/11/25</t>
  </si>
  <si>
    <t>103/11/26</t>
  </si>
  <si>
    <t>103/11/27</t>
  </si>
  <si>
    <t>103/11/28</t>
  </si>
  <si>
    <t>103/12/01</t>
  </si>
  <si>
    <t>103/12/02</t>
  </si>
  <si>
    <t>103/12/03</t>
  </si>
  <si>
    <t>103/12/04</t>
  </si>
  <si>
    <t>103/12/05</t>
  </si>
  <si>
    <t>103/12/08</t>
  </si>
  <si>
    <t>103/12/09</t>
  </si>
  <si>
    <t>103/12/10</t>
  </si>
  <si>
    <t>103/12/11</t>
  </si>
  <si>
    <t>103/12/12</t>
  </si>
  <si>
    <t>103/12/15</t>
  </si>
  <si>
    <t>103/12/16</t>
  </si>
  <si>
    <t>103/12/17</t>
  </si>
  <si>
    <t>103/12/18</t>
  </si>
  <si>
    <t>103/12/19</t>
  </si>
  <si>
    <t>103/12/22</t>
  </si>
  <si>
    <t>103/12/23</t>
  </si>
  <si>
    <t>103/12/24</t>
  </si>
  <si>
    <t>103/12/25</t>
  </si>
  <si>
    <t>103/12/26</t>
  </si>
  <si>
    <t>103/12/27</t>
  </si>
  <si>
    <t>103/12/29</t>
  </si>
  <si>
    <t>103/12/30</t>
  </si>
  <si>
    <t>103/12/31</t>
  </si>
  <si>
    <t>104/01/05</t>
  </si>
  <si>
    <t>104/01/06</t>
  </si>
  <si>
    <t>104/01/07</t>
  </si>
  <si>
    <t>104/01/08</t>
  </si>
  <si>
    <t>104/01/09</t>
  </si>
  <si>
    <t>104/01/12</t>
  </si>
  <si>
    <t>104/01/13</t>
  </si>
  <si>
    <t>104/01/14</t>
  </si>
  <si>
    <t>104/01/15</t>
  </si>
  <si>
    <t>104/01/16</t>
  </si>
  <si>
    <t>104/01/19</t>
  </si>
  <si>
    <t>104/01/20</t>
  </si>
  <si>
    <t>104/01/21</t>
  </si>
  <si>
    <t>104/01/22</t>
  </si>
  <si>
    <t>104/01/23</t>
  </si>
  <si>
    <t>104/01/26</t>
  </si>
  <si>
    <t>104/01/27</t>
  </si>
  <si>
    <t>104/01/28</t>
  </si>
  <si>
    <t>104/01/29</t>
  </si>
  <si>
    <t>104/01/30</t>
  </si>
  <si>
    <t>104/02/02</t>
  </si>
  <si>
    <t>104/02/03</t>
  </si>
  <si>
    <t>104/02/04</t>
  </si>
  <si>
    <t>104/02/05</t>
  </si>
  <si>
    <t>104/02/06</t>
  </si>
  <si>
    <t>104/02/09</t>
  </si>
  <si>
    <t>104/02/10</t>
  </si>
  <si>
    <t>104/02/11</t>
  </si>
  <si>
    <t>104/02/12</t>
  </si>
  <si>
    <t>104/02/13</t>
  </si>
  <si>
    <t>104/02/24</t>
  </si>
  <si>
    <t>104/02/25</t>
  </si>
  <si>
    <t>104/02/26</t>
  </si>
  <si>
    <t>104/03/02</t>
  </si>
  <si>
    <t>104/03/03</t>
  </si>
  <si>
    <t>104/03/04</t>
  </si>
  <si>
    <t>104/03/05</t>
  </si>
  <si>
    <t>104/03/06</t>
  </si>
  <si>
    <t>104/03/09</t>
  </si>
  <si>
    <t>104/03/10</t>
  </si>
  <si>
    <t>104/03/11</t>
  </si>
  <si>
    <t>104/03/12</t>
  </si>
  <si>
    <t>104/03/13</t>
  </si>
  <si>
    <t>104/03/16</t>
  </si>
  <si>
    <t>104/03/17</t>
  </si>
  <si>
    <t>104/03/18</t>
  </si>
  <si>
    <t>104/03/19</t>
  </si>
  <si>
    <t>104/03/20</t>
  </si>
  <si>
    <t>104/03/23</t>
  </si>
  <si>
    <t>104/03/24</t>
  </si>
  <si>
    <t>104/03/25</t>
  </si>
  <si>
    <t>104/03/26</t>
  </si>
  <si>
    <t>104/03/27</t>
  </si>
  <si>
    <t>104/03/30</t>
  </si>
  <si>
    <t>104/03/31</t>
  </si>
  <si>
    <t>104/04/01</t>
  </si>
  <si>
    <t>104/04/02</t>
  </si>
  <si>
    <t>104/04/07</t>
  </si>
  <si>
    <t>104/04/08</t>
  </si>
  <si>
    <t>104/04/09</t>
  </si>
  <si>
    <t>共10筆</t>
  </si>
  <si>
    <t>共12筆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</si>
</sst>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mm/dd"/>
    <numFmt numFmtId="177" formatCode="[$-F800]dddd\,\ mmmm\ dd\,\ yyyy"/>
    <numFmt numFmtId="178" formatCode="yyyy&quot;年&quot;m&quot;月&quot;d&quot;日&quot;;@"/>
    <numFmt numFmtId="179" formatCode="[$-404]e/mm/dd;@"/>
    <numFmt numFmtId="180" formatCode="[$-404]gge&quot;年&quot;m&quot;月&quot;d&quot;日&quot;;@"/>
    <numFmt numFmtId="181" formatCode="0_);[Red]\(0\)"/>
  </numFmts>
  <fonts count="6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0"/>
      <color rgb="FF333333"/>
      <name val="微軟正黑體"/>
      <family val="2"/>
      <charset val="136"/>
    </font>
    <font>
      <u/>
      <sz val="12"/>
      <color theme="10"/>
      <name val="新細明體"/>
      <family val="2"/>
      <scheme val="minor"/>
    </font>
    <font>
      <sz val="12"/>
      <color theme="0"/>
      <name val="新細明體"/>
      <family val="2"/>
      <scheme val="minor"/>
    </font>
    <font>
      <sz val="16"/>
      <color rgb="FF000000"/>
      <name val="超研澤粗行楷"/>
      <family val="3"/>
      <charset val="136"/>
    </font>
  </fonts>
  <fills count="6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1">
    <xf numFmtId="0" fontId="0" fillId="0" borderId="0" xfId="0"/>
    <xf numFmtId="3" fontId="0" fillId="0" borderId="0" xfId="0" applyNumberFormat="1"/>
    <xf numFmtId="14" fontId="0" fillId="0" borderId="0" xfId="0" applyNumberFormat="1"/>
    <xf numFmtId="0" fontId="2" fillId="0" borderId="0" xfId="0" applyFont="1"/>
    <xf numFmtId="0" fontId="3" fillId="0" borderId="0" xfId="1"/>
    <xf numFmtId="3" fontId="2" fillId="0" borderId="0" xfId="0" applyNumberFormat="1" applyFont="1"/>
    <xf numFmtId="3" fontId="3" fillId="0" borderId="0" xfId="1" applyNumberFormat="1"/>
    <xf numFmtId="0" fontId="0" fillId="2" borderId="0" xfId="0" applyFill="1" applyAlignment="1">
      <alignment horizontal="right"/>
    </xf>
    <xf numFmtId="0" fontId="0" fillId="2" borderId="0" xfId="0" applyFill="1"/>
    <xf numFmtId="176" fontId="0" fillId="0" borderId="0" xfId="0" applyNumberFormat="1"/>
    <xf numFmtId="0" fontId="0" fillId="3" borderId="0" xfId="0" applyFill="1" applyAlignment="1">
      <alignment horizontal="right"/>
    </xf>
    <xf numFmtId="177" fontId="0" fillId="4" borderId="0" xfId="0" applyNumberFormat="1" applyFill="1" applyAlignment="1">
      <alignment horizontal="right"/>
    </xf>
    <xf numFmtId="178" fontId="0" fillId="3" borderId="0" xfId="0" applyNumberFormat="1" applyFill="1" applyAlignment="1">
      <alignment horizontal="right"/>
    </xf>
    <xf numFmtId="0" fontId="0" fillId="5" borderId="0" xfId="0" applyFill="1"/>
    <xf numFmtId="0" fontId="0" fillId="0" borderId="0" xfId="0" applyAlignment="1">
      <alignment vertical="center"/>
    </xf>
    <xf numFmtId="0" fontId="0" fillId="0" borderId="0" xfId="0" quotePrefix="1" applyAlignment="1">
      <alignment vertical="center"/>
    </xf>
    <xf numFmtId="179" fontId="0" fillId="0" borderId="0" xfId="0" applyNumberFormat="1" applyAlignment="1">
      <alignment vertical="center"/>
    </xf>
    <xf numFmtId="179" fontId="0" fillId="0" borderId="0" xfId="0" applyNumberFormat="1"/>
    <xf numFmtId="180" fontId="0" fillId="0" borderId="0" xfId="0" applyNumberFormat="1"/>
    <xf numFmtId="181" fontId="0" fillId="0" borderId="0" xfId="0" applyNumberFormat="1" applyAlignment="1">
      <alignment vertical="center"/>
    </xf>
    <xf numFmtId="0" fontId="4" fillId="0" borderId="0" xfId="0" applyFont="1"/>
  </cellXfs>
  <cellStyles count="2">
    <cellStyle name="一般" xfId="0" builtinId="0"/>
    <cellStyle name="超連結" xfId="1" builtinId="8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指定月份每日交易數量!$A$1</c:f>
          <c:strCache>
            <c:ptCount val="1"/>
            <c:pt idx="0">
              <c:v>個股日成交資訊 股票代號:1785 股票名稱:光洋科 資料年月:106/12</c:v>
            </c:pt>
          </c:strCache>
        </c:strRef>
      </c:tx>
      <c:layout>
        <c:manualLayout>
          <c:xMode val="edge"/>
          <c:yMode val="edge"/>
          <c:x val="0.13495203836930456"/>
          <c:y val="4.6728971962616821E-2"/>
        </c:manualLayout>
      </c:layout>
      <c:overlay val="0"/>
    </c:title>
    <c:autoTitleDeleted val="0"/>
    <c:plotArea>
      <c:layout/>
      <c:stockChart>
        <c:ser>
          <c:idx val="0"/>
          <c:order val="0"/>
          <c:tx>
            <c:strRef>
              <c:f>指定月份每日交易數量!$D$2</c:f>
              <c:strCache>
                <c:ptCount val="1"/>
                <c:pt idx="0">
                  <c:v>開盤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cat>
            <c:strRef>
              <c:f>指定月份每日交易數量!$A$3:$A$23</c:f>
              <c:strCache>
                <c:ptCount val="21"/>
                <c:pt idx="0">
                  <c:v>106/12/01</c:v>
                </c:pt>
                <c:pt idx="1">
                  <c:v>106/12/04</c:v>
                </c:pt>
                <c:pt idx="2">
                  <c:v>106/12/05</c:v>
                </c:pt>
                <c:pt idx="3">
                  <c:v>106/12/06</c:v>
                </c:pt>
                <c:pt idx="4">
                  <c:v>106/12/07</c:v>
                </c:pt>
                <c:pt idx="5">
                  <c:v>106/12/08</c:v>
                </c:pt>
                <c:pt idx="6">
                  <c:v>106/12/11</c:v>
                </c:pt>
                <c:pt idx="7">
                  <c:v>106/12/12</c:v>
                </c:pt>
                <c:pt idx="8">
                  <c:v>106/12/13</c:v>
                </c:pt>
                <c:pt idx="9">
                  <c:v>106/12/14</c:v>
                </c:pt>
                <c:pt idx="10">
                  <c:v>106/12/15</c:v>
                </c:pt>
                <c:pt idx="11">
                  <c:v>106/12/18</c:v>
                </c:pt>
                <c:pt idx="12">
                  <c:v>106/12/19</c:v>
                </c:pt>
                <c:pt idx="13">
                  <c:v>106/12/20</c:v>
                </c:pt>
                <c:pt idx="14">
                  <c:v>106/12/21</c:v>
                </c:pt>
                <c:pt idx="15">
                  <c:v>106/12/22</c:v>
                </c:pt>
                <c:pt idx="16">
                  <c:v>106/12/25</c:v>
                </c:pt>
                <c:pt idx="17">
                  <c:v>106/12/26</c:v>
                </c:pt>
                <c:pt idx="18">
                  <c:v>106/12/27</c:v>
                </c:pt>
                <c:pt idx="19">
                  <c:v>106/12/28</c:v>
                </c:pt>
                <c:pt idx="20">
                  <c:v>106/12/29</c:v>
                </c:pt>
              </c:strCache>
            </c:strRef>
          </c:cat>
          <c:val>
            <c:numRef>
              <c:f>指定月份每日交易數量!$D$3:$D$20</c:f>
              <c:numCache>
                <c:formatCode>General</c:formatCode>
                <c:ptCount val="18"/>
                <c:pt idx="0">
                  <c:v>16.55</c:v>
                </c:pt>
                <c:pt idx="1">
                  <c:v>16.05</c:v>
                </c:pt>
                <c:pt idx="2">
                  <c:v>16.25</c:v>
                </c:pt>
                <c:pt idx="3">
                  <c:v>16.05</c:v>
                </c:pt>
                <c:pt idx="4">
                  <c:v>15.85</c:v>
                </c:pt>
                <c:pt idx="5">
                  <c:v>15.65</c:v>
                </c:pt>
                <c:pt idx="6">
                  <c:v>16.600000000000001</c:v>
                </c:pt>
                <c:pt idx="7">
                  <c:v>17.05</c:v>
                </c:pt>
                <c:pt idx="8">
                  <c:v>16.5</c:v>
                </c:pt>
                <c:pt idx="9">
                  <c:v>16.600000000000001</c:v>
                </c:pt>
                <c:pt idx="10">
                  <c:v>16.850000000000001</c:v>
                </c:pt>
                <c:pt idx="11">
                  <c:v>16.75</c:v>
                </c:pt>
                <c:pt idx="12">
                  <c:v>17</c:v>
                </c:pt>
                <c:pt idx="13">
                  <c:v>16.75</c:v>
                </c:pt>
                <c:pt idx="14">
                  <c:v>17.25</c:v>
                </c:pt>
                <c:pt idx="15">
                  <c:v>17.3</c:v>
                </c:pt>
                <c:pt idx="16">
                  <c:v>17.25</c:v>
                </c:pt>
                <c:pt idx="17">
                  <c:v>18.75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指定月份每日交易數量!$E$2</c:f>
              <c:strCache>
                <c:ptCount val="1"/>
                <c:pt idx="0">
                  <c:v>最高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cat>
            <c:strRef>
              <c:f>指定月份每日交易數量!$A$3:$A$20</c:f>
              <c:strCache>
                <c:ptCount val="18"/>
                <c:pt idx="0">
                  <c:v>106/12/01</c:v>
                </c:pt>
                <c:pt idx="1">
                  <c:v>106/12/04</c:v>
                </c:pt>
                <c:pt idx="2">
                  <c:v>106/12/05</c:v>
                </c:pt>
                <c:pt idx="3">
                  <c:v>106/12/06</c:v>
                </c:pt>
                <c:pt idx="4">
                  <c:v>106/12/07</c:v>
                </c:pt>
                <c:pt idx="5">
                  <c:v>106/12/08</c:v>
                </c:pt>
                <c:pt idx="6">
                  <c:v>106/12/11</c:v>
                </c:pt>
                <c:pt idx="7">
                  <c:v>106/12/12</c:v>
                </c:pt>
                <c:pt idx="8">
                  <c:v>106/12/13</c:v>
                </c:pt>
                <c:pt idx="9">
                  <c:v>106/12/14</c:v>
                </c:pt>
                <c:pt idx="10">
                  <c:v>106/12/15</c:v>
                </c:pt>
                <c:pt idx="11">
                  <c:v>106/12/18</c:v>
                </c:pt>
                <c:pt idx="12">
                  <c:v>106/12/19</c:v>
                </c:pt>
                <c:pt idx="13">
                  <c:v>106/12/20</c:v>
                </c:pt>
                <c:pt idx="14">
                  <c:v>106/12/21</c:v>
                </c:pt>
                <c:pt idx="15">
                  <c:v>106/12/22</c:v>
                </c:pt>
                <c:pt idx="16">
                  <c:v>106/12/25</c:v>
                </c:pt>
                <c:pt idx="17">
                  <c:v>106/12/26</c:v>
                </c:pt>
              </c:strCache>
            </c:strRef>
          </c:cat>
          <c:val>
            <c:numRef>
              <c:f>指定月份每日交易數量!$E$3:$E$20</c:f>
              <c:numCache>
                <c:formatCode>General</c:formatCode>
                <c:ptCount val="18"/>
                <c:pt idx="0">
                  <c:v>16.649999999999999</c:v>
                </c:pt>
                <c:pt idx="1">
                  <c:v>16.350000000000001</c:v>
                </c:pt>
                <c:pt idx="2">
                  <c:v>16.3</c:v>
                </c:pt>
                <c:pt idx="3">
                  <c:v>16.149999999999999</c:v>
                </c:pt>
                <c:pt idx="4">
                  <c:v>15.9</c:v>
                </c:pt>
                <c:pt idx="5">
                  <c:v>15.8</c:v>
                </c:pt>
                <c:pt idx="6">
                  <c:v>16.95</c:v>
                </c:pt>
                <c:pt idx="7">
                  <c:v>17.5</c:v>
                </c:pt>
                <c:pt idx="8">
                  <c:v>17</c:v>
                </c:pt>
                <c:pt idx="9">
                  <c:v>16.95</c:v>
                </c:pt>
                <c:pt idx="10">
                  <c:v>16.850000000000001</c:v>
                </c:pt>
                <c:pt idx="11">
                  <c:v>17.2</c:v>
                </c:pt>
                <c:pt idx="12">
                  <c:v>17.2</c:v>
                </c:pt>
                <c:pt idx="13">
                  <c:v>17.45</c:v>
                </c:pt>
                <c:pt idx="14">
                  <c:v>17.399999999999999</c:v>
                </c:pt>
                <c:pt idx="15">
                  <c:v>17.350000000000001</c:v>
                </c:pt>
                <c:pt idx="16">
                  <c:v>18.899999999999999</c:v>
                </c:pt>
                <c:pt idx="17">
                  <c:v>19.600000000000001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指定月份每日交易數量!$F$2</c:f>
              <c:strCache>
                <c:ptCount val="1"/>
                <c:pt idx="0">
                  <c:v>最低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cat>
            <c:strRef>
              <c:f>指定月份每日交易數量!$A$3:$A$20</c:f>
              <c:strCache>
                <c:ptCount val="18"/>
                <c:pt idx="0">
                  <c:v>106/12/01</c:v>
                </c:pt>
                <c:pt idx="1">
                  <c:v>106/12/04</c:v>
                </c:pt>
                <c:pt idx="2">
                  <c:v>106/12/05</c:v>
                </c:pt>
                <c:pt idx="3">
                  <c:v>106/12/06</c:v>
                </c:pt>
                <c:pt idx="4">
                  <c:v>106/12/07</c:v>
                </c:pt>
                <c:pt idx="5">
                  <c:v>106/12/08</c:v>
                </c:pt>
                <c:pt idx="6">
                  <c:v>106/12/11</c:v>
                </c:pt>
                <c:pt idx="7">
                  <c:v>106/12/12</c:v>
                </c:pt>
                <c:pt idx="8">
                  <c:v>106/12/13</c:v>
                </c:pt>
                <c:pt idx="9">
                  <c:v>106/12/14</c:v>
                </c:pt>
                <c:pt idx="10">
                  <c:v>106/12/15</c:v>
                </c:pt>
                <c:pt idx="11">
                  <c:v>106/12/18</c:v>
                </c:pt>
                <c:pt idx="12">
                  <c:v>106/12/19</c:v>
                </c:pt>
                <c:pt idx="13">
                  <c:v>106/12/20</c:v>
                </c:pt>
                <c:pt idx="14">
                  <c:v>106/12/21</c:v>
                </c:pt>
                <c:pt idx="15">
                  <c:v>106/12/22</c:v>
                </c:pt>
                <c:pt idx="16">
                  <c:v>106/12/25</c:v>
                </c:pt>
                <c:pt idx="17">
                  <c:v>106/12/26</c:v>
                </c:pt>
              </c:strCache>
            </c:strRef>
          </c:cat>
          <c:val>
            <c:numRef>
              <c:f>指定月份每日交易數量!$F$3:$F$20</c:f>
              <c:numCache>
                <c:formatCode>General</c:formatCode>
                <c:ptCount val="18"/>
                <c:pt idx="0">
                  <c:v>16</c:v>
                </c:pt>
                <c:pt idx="1">
                  <c:v>16.05</c:v>
                </c:pt>
                <c:pt idx="2">
                  <c:v>15.95</c:v>
                </c:pt>
                <c:pt idx="3">
                  <c:v>15.65</c:v>
                </c:pt>
                <c:pt idx="4">
                  <c:v>15.5</c:v>
                </c:pt>
                <c:pt idx="5">
                  <c:v>15.15</c:v>
                </c:pt>
                <c:pt idx="6">
                  <c:v>16.25</c:v>
                </c:pt>
                <c:pt idx="7">
                  <c:v>16.7</c:v>
                </c:pt>
                <c:pt idx="8">
                  <c:v>16.3</c:v>
                </c:pt>
                <c:pt idx="9">
                  <c:v>16.45</c:v>
                </c:pt>
                <c:pt idx="10">
                  <c:v>16.5</c:v>
                </c:pt>
                <c:pt idx="11">
                  <c:v>16.55</c:v>
                </c:pt>
                <c:pt idx="12">
                  <c:v>16.850000000000001</c:v>
                </c:pt>
                <c:pt idx="13">
                  <c:v>16.75</c:v>
                </c:pt>
                <c:pt idx="14">
                  <c:v>17.05</c:v>
                </c:pt>
                <c:pt idx="15">
                  <c:v>17.149999999999999</c:v>
                </c:pt>
                <c:pt idx="16">
                  <c:v>17.2</c:v>
                </c:pt>
                <c:pt idx="17">
                  <c:v>18.100000000000001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指定月份每日交易數量!$G$2</c:f>
              <c:strCache>
                <c:ptCount val="1"/>
                <c:pt idx="0">
                  <c:v>收盤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cat>
            <c:strRef>
              <c:f>指定月份每日交易數量!$A$3:$A$20</c:f>
              <c:strCache>
                <c:ptCount val="18"/>
                <c:pt idx="0">
                  <c:v>106/12/01</c:v>
                </c:pt>
                <c:pt idx="1">
                  <c:v>106/12/04</c:v>
                </c:pt>
                <c:pt idx="2">
                  <c:v>106/12/05</c:v>
                </c:pt>
                <c:pt idx="3">
                  <c:v>106/12/06</c:v>
                </c:pt>
                <c:pt idx="4">
                  <c:v>106/12/07</c:v>
                </c:pt>
                <c:pt idx="5">
                  <c:v>106/12/08</c:v>
                </c:pt>
                <c:pt idx="6">
                  <c:v>106/12/11</c:v>
                </c:pt>
                <c:pt idx="7">
                  <c:v>106/12/12</c:v>
                </c:pt>
                <c:pt idx="8">
                  <c:v>106/12/13</c:v>
                </c:pt>
                <c:pt idx="9">
                  <c:v>106/12/14</c:v>
                </c:pt>
                <c:pt idx="10">
                  <c:v>106/12/15</c:v>
                </c:pt>
                <c:pt idx="11">
                  <c:v>106/12/18</c:v>
                </c:pt>
                <c:pt idx="12">
                  <c:v>106/12/19</c:v>
                </c:pt>
                <c:pt idx="13">
                  <c:v>106/12/20</c:v>
                </c:pt>
                <c:pt idx="14">
                  <c:v>106/12/21</c:v>
                </c:pt>
                <c:pt idx="15">
                  <c:v>106/12/22</c:v>
                </c:pt>
                <c:pt idx="16">
                  <c:v>106/12/25</c:v>
                </c:pt>
                <c:pt idx="17">
                  <c:v>106/12/26</c:v>
                </c:pt>
              </c:strCache>
            </c:strRef>
          </c:cat>
          <c:val>
            <c:numRef>
              <c:f>指定月份每日交易數量!$G$3:$G$20</c:f>
              <c:numCache>
                <c:formatCode>General</c:formatCode>
                <c:ptCount val="18"/>
                <c:pt idx="0">
                  <c:v>16</c:v>
                </c:pt>
                <c:pt idx="1">
                  <c:v>16.2</c:v>
                </c:pt>
                <c:pt idx="2">
                  <c:v>15.95</c:v>
                </c:pt>
                <c:pt idx="3">
                  <c:v>15.8</c:v>
                </c:pt>
                <c:pt idx="4">
                  <c:v>15.55</c:v>
                </c:pt>
                <c:pt idx="5">
                  <c:v>15.45</c:v>
                </c:pt>
                <c:pt idx="6">
                  <c:v>16.95</c:v>
                </c:pt>
                <c:pt idx="7">
                  <c:v>16.8</c:v>
                </c:pt>
                <c:pt idx="8">
                  <c:v>16.3</c:v>
                </c:pt>
                <c:pt idx="9">
                  <c:v>16.850000000000001</c:v>
                </c:pt>
                <c:pt idx="10">
                  <c:v>16.7</c:v>
                </c:pt>
                <c:pt idx="11">
                  <c:v>17.100000000000001</c:v>
                </c:pt>
                <c:pt idx="12">
                  <c:v>16.899999999999999</c:v>
                </c:pt>
                <c:pt idx="13">
                  <c:v>17.25</c:v>
                </c:pt>
                <c:pt idx="14">
                  <c:v>17.2</c:v>
                </c:pt>
                <c:pt idx="15">
                  <c:v>17.2</c:v>
                </c:pt>
                <c:pt idx="16">
                  <c:v>18.850000000000001</c:v>
                </c:pt>
                <c:pt idx="17">
                  <c:v>18.100000000000001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/>
        <c:upDownBars>
          <c:gapWidth val="150"/>
          <c:upBars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upBars>
          <c:downBars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downBars>
        </c:upDownBars>
        <c:axId val="184182272"/>
        <c:axId val="184183808"/>
      </c:stockChart>
      <c:catAx>
        <c:axId val="184182272"/>
        <c:scaling>
          <c:orientation val="minMax"/>
        </c:scaling>
        <c:delete val="0"/>
        <c:axPos val="b"/>
        <c:numFmt formatCode="m/d;@" sourceLinked="1"/>
        <c:majorTickMark val="none"/>
        <c:minorTickMark val="none"/>
        <c:tickLblPos val="nextTo"/>
        <c:crossAx val="184183808"/>
        <c:crosses val="autoZero"/>
        <c:auto val="1"/>
        <c:lblAlgn val="ctr"/>
        <c:lblOffset val="100"/>
        <c:noMultiLvlLbl val="0"/>
      </c:catAx>
      <c:valAx>
        <c:axId val="184183808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841822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9</xdr:row>
          <xdr:rowOff>19050</xdr:rowOff>
        </xdr:from>
        <xdr:to>
          <xdr:col>0</xdr:col>
          <xdr:colOff>1504950</xdr:colOff>
          <xdr:row>11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600" b="0" i="0" u="none" strike="noStrike" baseline="0">
                  <a:solidFill>
                    <a:srgbClr val="000000"/>
                  </a:solidFill>
                  <a:ea typeface="超研澤粗行楷"/>
                </a:rPr>
                <a:t>製作圖表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792480</xdr:colOff>
      <xdr:row>7</xdr:row>
      <xdr:rowOff>30480</xdr:rowOff>
    </xdr:from>
    <xdr:to>
      <xdr:col>9</xdr:col>
      <xdr:colOff>182880</xdr:colOff>
      <xdr:row>23</xdr:row>
      <xdr:rowOff>0</xdr:rowOff>
    </xdr:to>
    <xdr:graphicFrame macro="">
      <xdr:nvGraphicFramePr>
        <xdr:cNvPr id="4" name="圖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12</xdr:row>
          <xdr:rowOff>171450</xdr:rowOff>
        </xdr:from>
        <xdr:to>
          <xdr:col>0</xdr:col>
          <xdr:colOff>1485900</xdr:colOff>
          <xdr:row>15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600" b="0" i="0" u="none" strike="noStrike" baseline="0">
                  <a:solidFill>
                    <a:srgbClr val="000000"/>
                  </a:solidFill>
                  <a:ea typeface="超研澤粗行楷"/>
                </a:rPr>
                <a:t>更新資料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54199 出自《經理人》" connectionId="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1&amp;stkno=1258&amp;s=0_1" connectionId="2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1&amp;stkno=1258&amp;s=0_1" connectionId="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tabColor rgb="FF7030A0"/>
  </sheetPr>
  <dimension ref="A1:F748"/>
  <sheetViews>
    <sheetView workbookViewId="0">
      <selection activeCell="G20" sqref="G20"/>
    </sheetView>
  </sheetViews>
  <sheetFormatPr defaultRowHeight="16.5" x14ac:dyDescent="0.25"/>
  <cols>
    <col min="3" max="3" width="11" style="17" bestFit="1" customWidth="1"/>
    <col min="5" max="5" width="20.25" bestFit="1" customWidth="1"/>
    <col min="6" max="6" width="9.625" bestFit="1" customWidth="1"/>
  </cols>
  <sheetData>
    <row r="1" spans="1:6" x14ac:dyDescent="0.25">
      <c r="A1" s="14">
        <v>1258</v>
      </c>
      <c r="B1" s="14" t="s">
        <v>39</v>
      </c>
      <c r="C1" s="16">
        <v>40889</v>
      </c>
      <c r="D1" s="14" t="s">
        <v>861</v>
      </c>
      <c r="E1" s="14" t="s">
        <v>862</v>
      </c>
      <c r="F1" s="19">
        <f>C1</f>
        <v>40889</v>
      </c>
    </row>
    <row r="2" spans="1:6" x14ac:dyDescent="0.25">
      <c r="A2" s="14">
        <v>1259</v>
      </c>
      <c r="B2" s="14" t="s">
        <v>40</v>
      </c>
      <c r="C2" s="16">
        <v>40892</v>
      </c>
      <c r="D2" s="14" t="s">
        <v>861</v>
      </c>
      <c r="E2" s="14" t="s">
        <v>863</v>
      </c>
      <c r="F2" s="19">
        <f t="shared" ref="F2:F65" si="0">C2</f>
        <v>40892</v>
      </c>
    </row>
    <row r="3" spans="1:6" x14ac:dyDescent="0.25">
      <c r="A3" s="14">
        <v>1264</v>
      </c>
      <c r="B3" s="14" t="s">
        <v>41</v>
      </c>
      <c r="C3" s="16">
        <v>42103</v>
      </c>
      <c r="D3" s="14" t="s">
        <v>861</v>
      </c>
      <c r="E3" s="14" t="s">
        <v>862</v>
      </c>
      <c r="F3" s="19">
        <f t="shared" si="0"/>
        <v>42103</v>
      </c>
    </row>
    <row r="4" spans="1:6" x14ac:dyDescent="0.25">
      <c r="A4" s="14">
        <v>1333</v>
      </c>
      <c r="B4" s="14" t="s">
        <v>42</v>
      </c>
      <c r="C4" s="16">
        <v>38572</v>
      </c>
      <c r="D4" s="14" t="s">
        <v>861</v>
      </c>
      <c r="E4" s="14" t="s">
        <v>864</v>
      </c>
      <c r="F4" s="19">
        <f t="shared" si="0"/>
        <v>38572</v>
      </c>
    </row>
    <row r="5" spans="1:6" x14ac:dyDescent="0.25">
      <c r="A5" s="14">
        <v>1336</v>
      </c>
      <c r="B5" s="14" t="s">
        <v>43</v>
      </c>
      <c r="C5" s="16">
        <v>39388</v>
      </c>
      <c r="D5" s="14" t="s">
        <v>861</v>
      </c>
      <c r="E5" s="14" t="s">
        <v>864</v>
      </c>
      <c r="F5" s="19">
        <f t="shared" si="0"/>
        <v>39388</v>
      </c>
    </row>
    <row r="6" spans="1:6" x14ac:dyDescent="0.25">
      <c r="A6" s="14">
        <v>1565</v>
      </c>
      <c r="B6" s="14" t="s">
        <v>44</v>
      </c>
      <c r="C6" s="16">
        <v>38076</v>
      </c>
      <c r="D6" s="14" t="s">
        <v>861</v>
      </c>
      <c r="E6" s="14" t="s">
        <v>865</v>
      </c>
      <c r="F6" s="19">
        <f t="shared" si="0"/>
        <v>38076</v>
      </c>
    </row>
    <row r="7" spans="1:6" x14ac:dyDescent="0.25">
      <c r="A7" s="14">
        <v>1566</v>
      </c>
      <c r="B7" s="14" t="s">
        <v>45</v>
      </c>
      <c r="C7" s="16">
        <v>40555</v>
      </c>
      <c r="D7" s="14" t="s">
        <v>861</v>
      </c>
      <c r="E7" s="14" t="s">
        <v>866</v>
      </c>
      <c r="F7" s="19">
        <f t="shared" si="0"/>
        <v>40555</v>
      </c>
    </row>
    <row r="8" spans="1:6" x14ac:dyDescent="0.25">
      <c r="A8" s="14">
        <v>1569</v>
      </c>
      <c r="B8" s="14" t="s">
        <v>46</v>
      </c>
      <c r="C8" s="16">
        <v>38562</v>
      </c>
      <c r="D8" s="14" t="s">
        <v>861</v>
      </c>
      <c r="E8" s="14" t="s">
        <v>867</v>
      </c>
      <c r="F8" s="19">
        <f t="shared" si="0"/>
        <v>38562</v>
      </c>
    </row>
    <row r="9" spans="1:6" x14ac:dyDescent="0.25">
      <c r="A9" s="14">
        <v>1570</v>
      </c>
      <c r="B9" s="14" t="s">
        <v>47</v>
      </c>
      <c r="C9" s="16">
        <v>38533</v>
      </c>
      <c r="D9" s="14" t="s">
        <v>861</v>
      </c>
      <c r="E9" s="14" t="s">
        <v>866</v>
      </c>
      <c r="F9" s="19">
        <f t="shared" si="0"/>
        <v>38533</v>
      </c>
    </row>
    <row r="10" spans="1:6" x14ac:dyDescent="0.25">
      <c r="A10" s="14">
        <v>1580</v>
      </c>
      <c r="B10" s="14" t="s">
        <v>48</v>
      </c>
      <c r="C10" s="16">
        <v>39426</v>
      </c>
      <c r="D10" s="14" t="s">
        <v>861</v>
      </c>
      <c r="E10" s="14" t="s">
        <v>866</v>
      </c>
      <c r="F10" s="19">
        <f t="shared" si="0"/>
        <v>39426</v>
      </c>
    </row>
    <row r="11" spans="1:6" x14ac:dyDescent="0.25">
      <c r="A11" s="14">
        <v>1584</v>
      </c>
      <c r="B11" s="14" t="s">
        <v>49</v>
      </c>
      <c r="C11" s="16">
        <v>39414</v>
      </c>
      <c r="D11" s="14" t="s">
        <v>861</v>
      </c>
      <c r="E11" s="14" t="s">
        <v>868</v>
      </c>
      <c r="F11" s="19">
        <f t="shared" si="0"/>
        <v>39414</v>
      </c>
    </row>
    <row r="12" spans="1:6" x14ac:dyDescent="0.25">
      <c r="A12" s="14">
        <v>1586</v>
      </c>
      <c r="B12" s="14" t="s">
        <v>50</v>
      </c>
      <c r="C12" s="16">
        <v>40917</v>
      </c>
      <c r="D12" s="14" t="s">
        <v>861</v>
      </c>
      <c r="E12" s="14" t="s">
        <v>866</v>
      </c>
      <c r="F12" s="19">
        <f t="shared" si="0"/>
        <v>40917</v>
      </c>
    </row>
    <row r="13" spans="1:6" x14ac:dyDescent="0.25">
      <c r="A13" s="14">
        <v>1591</v>
      </c>
      <c r="B13" s="14" t="s">
        <v>51</v>
      </c>
      <c r="C13" s="16">
        <v>40991</v>
      </c>
      <c r="D13" s="14" t="s">
        <v>861</v>
      </c>
      <c r="E13" s="14" t="s">
        <v>866</v>
      </c>
      <c r="F13" s="19">
        <f t="shared" si="0"/>
        <v>40991</v>
      </c>
    </row>
    <row r="14" spans="1:6" x14ac:dyDescent="0.25">
      <c r="A14" s="14">
        <v>1593</v>
      </c>
      <c r="B14" s="14" t="s">
        <v>52</v>
      </c>
      <c r="C14" s="16">
        <v>41073</v>
      </c>
      <c r="D14" s="14" t="s">
        <v>861</v>
      </c>
      <c r="E14" s="14" t="s">
        <v>865</v>
      </c>
      <c r="F14" s="19">
        <f t="shared" si="0"/>
        <v>41073</v>
      </c>
    </row>
    <row r="15" spans="1:6" x14ac:dyDescent="0.25">
      <c r="A15" s="14">
        <v>1595</v>
      </c>
      <c r="B15" s="14" t="s">
        <v>53</v>
      </c>
      <c r="C15" s="16">
        <v>40820</v>
      </c>
      <c r="D15" s="14" t="s">
        <v>861</v>
      </c>
      <c r="E15" s="14" t="s">
        <v>864</v>
      </c>
      <c r="F15" s="19">
        <f t="shared" si="0"/>
        <v>40820</v>
      </c>
    </row>
    <row r="16" spans="1:6" x14ac:dyDescent="0.25">
      <c r="A16" s="14">
        <v>1597</v>
      </c>
      <c r="B16" s="14" t="s">
        <v>54</v>
      </c>
      <c r="C16" s="16">
        <v>41271</v>
      </c>
      <c r="D16" s="14" t="s">
        <v>861</v>
      </c>
      <c r="E16" s="14" t="s">
        <v>866</v>
      </c>
      <c r="F16" s="19">
        <f t="shared" si="0"/>
        <v>41271</v>
      </c>
    </row>
    <row r="17" spans="1:6" x14ac:dyDescent="0.25">
      <c r="A17" s="14">
        <v>1599</v>
      </c>
      <c r="B17" s="14" t="s">
        <v>55</v>
      </c>
      <c r="C17" s="16">
        <v>41268</v>
      </c>
      <c r="D17" s="14" t="s">
        <v>861</v>
      </c>
      <c r="E17" s="14" t="s">
        <v>866</v>
      </c>
      <c r="F17" s="19">
        <f t="shared" si="0"/>
        <v>41268</v>
      </c>
    </row>
    <row r="18" spans="1:6" x14ac:dyDescent="0.25">
      <c r="A18" s="14">
        <v>1742</v>
      </c>
      <c r="B18" s="14" t="s">
        <v>56</v>
      </c>
      <c r="C18" s="16">
        <v>38121</v>
      </c>
      <c r="D18" s="14" t="s">
        <v>861</v>
      </c>
      <c r="E18" s="14" t="s">
        <v>869</v>
      </c>
      <c r="F18" s="19">
        <f t="shared" si="0"/>
        <v>38121</v>
      </c>
    </row>
    <row r="19" spans="1:6" x14ac:dyDescent="0.25">
      <c r="A19" s="14">
        <v>1752</v>
      </c>
      <c r="B19" s="14" t="s">
        <v>57</v>
      </c>
      <c r="C19" s="16">
        <v>40035</v>
      </c>
      <c r="D19" s="14" t="s">
        <v>861</v>
      </c>
      <c r="E19" s="14" t="s">
        <v>865</v>
      </c>
      <c r="F19" s="19">
        <f t="shared" si="0"/>
        <v>40035</v>
      </c>
    </row>
    <row r="20" spans="1:6" x14ac:dyDescent="0.25">
      <c r="A20" s="14">
        <v>1777</v>
      </c>
      <c r="B20" s="14" t="s">
        <v>58</v>
      </c>
      <c r="C20" s="16">
        <v>38644</v>
      </c>
      <c r="D20" s="14" t="s">
        <v>861</v>
      </c>
      <c r="E20" s="14" t="s">
        <v>865</v>
      </c>
      <c r="F20" s="19">
        <f t="shared" si="0"/>
        <v>38644</v>
      </c>
    </row>
    <row r="21" spans="1:6" x14ac:dyDescent="0.25">
      <c r="A21" s="14">
        <v>1781</v>
      </c>
      <c r="B21" s="14" t="s">
        <v>59</v>
      </c>
      <c r="C21" s="16">
        <v>38345</v>
      </c>
      <c r="D21" s="14" t="s">
        <v>861</v>
      </c>
      <c r="E21" s="14" t="s">
        <v>865</v>
      </c>
      <c r="F21" s="19">
        <f t="shared" si="0"/>
        <v>38345</v>
      </c>
    </row>
    <row r="22" spans="1:6" x14ac:dyDescent="0.25">
      <c r="A22" s="14">
        <v>1784</v>
      </c>
      <c r="B22" s="14" t="s">
        <v>60</v>
      </c>
      <c r="C22" s="16">
        <v>39289</v>
      </c>
      <c r="D22" s="14" t="s">
        <v>861</v>
      </c>
      <c r="E22" s="14" t="s">
        <v>865</v>
      </c>
      <c r="F22" s="19">
        <f t="shared" si="0"/>
        <v>39289</v>
      </c>
    </row>
    <row r="23" spans="1:6" x14ac:dyDescent="0.25">
      <c r="A23" s="14">
        <v>1785</v>
      </c>
      <c r="B23" s="14" t="s">
        <v>827</v>
      </c>
      <c r="C23" s="16">
        <v>38383</v>
      </c>
      <c r="D23" s="14" t="s">
        <v>861</v>
      </c>
      <c r="E23" s="14" t="s">
        <v>870</v>
      </c>
      <c r="F23" s="19">
        <f t="shared" si="0"/>
        <v>38383</v>
      </c>
    </row>
    <row r="24" spans="1:6" x14ac:dyDescent="0.25">
      <c r="A24" s="14">
        <v>1787</v>
      </c>
      <c r="B24" s="14" t="s">
        <v>61</v>
      </c>
      <c r="C24" s="16">
        <v>38464</v>
      </c>
      <c r="D24" s="14" t="s">
        <v>861</v>
      </c>
      <c r="E24" s="14" t="s">
        <v>869</v>
      </c>
      <c r="F24" s="19">
        <f t="shared" si="0"/>
        <v>38464</v>
      </c>
    </row>
    <row r="25" spans="1:6" x14ac:dyDescent="0.25">
      <c r="A25" s="14">
        <v>1788</v>
      </c>
      <c r="B25" s="14" t="s">
        <v>62</v>
      </c>
      <c r="C25" s="16">
        <v>40014</v>
      </c>
      <c r="D25" s="14" t="s">
        <v>861</v>
      </c>
      <c r="E25" s="14" t="s">
        <v>865</v>
      </c>
      <c r="F25" s="19">
        <f t="shared" si="0"/>
        <v>40014</v>
      </c>
    </row>
    <row r="26" spans="1:6" x14ac:dyDescent="0.25">
      <c r="A26" s="14">
        <v>1795</v>
      </c>
      <c r="B26" s="14" t="s">
        <v>63</v>
      </c>
      <c r="C26" s="16">
        <v>40207</v>
      </c>
      <c r="D26" s="14" t="s">
        <v>861</v>
      </c>
      <c r="E26" s="14" t="s">
        <v>865</v>
      </c>
      <c r="F26" s="19">
        <f t="shared" si="0"/>
        <v>40207</v>
      </c>
    </row>
    <row r="27" spans="1:6" x14ac:dyDescent="0.25">
      <c r="A27" s="14">
        <v>1799</v>
      </c>
      <c r="B27" s="14" t="s">
        <v>64</v>
      </c>
      <c r="C27" s="16">
        <v>39762</v>
      </c>
      <c r="D27" s="14" t="s">
        <v>861</v>
      </c>
      <c r="E27" s="14" t="s">
        <v>865</v>
      </c>
      <c r="F27" s="19">
        <f t="shared" si="0"/>
        <v>39762</v>
      </c>
    </row>
    <row r="28" spans="1:6" x14ac:dyDescent="0.25">
      <c r="A28" s="14">
        <v>1813</v>
      </c>
      <c r="B28" s="14" t="s">
        <v>65</v>
      </c>
      <c r="C28" s="16">
        <v>40029</v>
      </c>
      <c r="D28" s="14" t="s">
        <v>861</v>
      </c>
      <c r="E28" s="14" t="s">
        <v>865</v>
      </c>
      <c r="F28" s="19">
        <f t="shared" si="0"/>
        <v>40029</v>
      </c>
    </row>
    <row r="29" spans="1:6" x14ac:dyDescent="0.25">
      <c r="A29" s="14">
        <v>1815</v>
      </c>
      <c r="B29" s="14" t="s">
        <v>66</v>
      </c>
      <c r="C29" s="16">
        <v>38740</v>
      </c>
      <c r="D29" s="14" t="s">
        <v>861</v>
      </c>
      <c r="E29" s="14" t="s">
        <v>864</v>
      </c>
      <c r="F29" s="19">
        <f t="shared" si="0"/>
        <v>38740</v>
      </c>
    </row>
    <row r="30" spans="1:6" x14ac:dyDescent="0.25">
      <c r="A30" s="14">
        <v>2035</v>
      </c>
      <c r="B30" s="14" t="s">
        <v>67</v>
      </c>
      <c r="C30" s="16">
        <v>38905</v>
      </c>
      <c r="D30" s="14" t="s">
        <v>861</v>
      </c>
      <c r="E30" s="14" t="s">
        <v>871</v>
      </c>
      <c r="F30" s="19">
        <f t="shared" si="0"/>
        <v>38905</v>
      </c>
    </row>
    <row r="31" spans="1:6" x14ac:dyDescent="0.25">
      <c r="A31" s="14">
        <v>2061</v>
      </c>
      <c r="B31" s="14" t="s">
        <v>68</v>
      </c>
      <c r="C31" s="16">
        <v>40521</v>
      </c>
      <c r="D31" s="14" t="s">
        <v>861</v>
      </c>
      <c r="E31" s="14" t="s">
        <v>872</v>
      </c>
      <c r="F31" s="19">
        <f t="shared" si="0"/>
        <v>40521</v>
      </c>
    </row>
    <row r="32" spans="1:6" x14ac:dyDescent="0.25">
      <c r="A32" s="14">
        <v>2063</v>
      </c>
      <c r="B32" s="14" t="s">
        <v>69</v>
      </c>
      <c r="C32" s="16">
        <v>40428</v>
      </c>
      <c r="D32" s="14" t="s">
        <v>861</v>
      </c>
      <c r="E32" s="14" t="s">
        <v>871</v>
      </c>
      <c r="F32" s="19">
        <f t="shared" si="0"/>
        <v>40428</v>
      </c>
    </row>
    <row r="33" spans="1:6" x14ac:dyDescent="0.25">
      <c r="A33" s="14">
        <v>2064</v>
      </c>
      <c r="B33" s="14" t="s">
        <v>70</v>
      </c>
      <c r="C33" s="16">
        <v>41999</v>
      </c>
      <c r="D33" s="14" t="s">
        <v>861</v>
      </c>
      <c r="E33" s="14" t="s">
        <v>871</v>
      </c>
      <c r="F33" s="19">
        <f t="shared" si="0"/>
        <v>41999</v>
      </c>
    </row>
    <row r="34" spans="1:6" x14ac:dyDescent="0.25">
      <c r="A34" s="14">
        <v>2065</v>
      </c>
      <c r="B34" s="14" t="s">
        <v>71</v>
      </c>
      <c r="C34" s="16">
        <v>42846</v>
      </c>
      <c r="D34" s="14" t="s">
        <v>861</v>
      </c>
      <c r="E34" s="14" t="s">
        <v>871</v>
      </c>
      <c r="F34" s="19">
        <f t="shared" si="0"/>
        <v>42846</v>
      </c>
    </row>
    <row r="35" spans="1:6" x14ac:dyDescent="0.25">
      <c r="A35" s="14">
        <v>2066</v>
      </c>
      <c r="B35" s="14" t="s">
        <v>72</v>
      </c>
      <c r="C35" s="16">
        <v>41541</v>
      </c>
      <c r="D35" s="14" t="s">
        <v>861</v>
      </c>
      <c r="E35" s="14" t="s">
        <v>866</v>
      </c>
      <c r="F35" s="19">
        <f t="shared" si="0"/>
        <v>41541</v>
      </c>
    </row>
    <row r="36" spans="1:6" x14ac:dyDescent="0.25">
      <c r="A36" s="14">
        <v>2067</v>
      </c>
      <c r="B36" s="14" t="s">
        <v>73</v>
      </c>
      <c r="C36" s="16">
        <v>41785</v>
      </c>
      <c r="D36" s="14" t="s">
        <v>861</v>
      </c>
      <c r="E36" s="14" t="s">
        <v>866</v>
      </c>
      <c r="F36" s="19">
        <f t="shared" si="0"/>
        <v>41785</v>
      </c>
    </row>
    <row r="37" spans="1:6" x14ac:dyDescent="0.25">
      <c r="A37" s="14">
        <v>2221</v>
      </c>
      <c r="B37" s="14" t="s">
        <v>74</v>
      </c>
      <c r="C37" s="16">
        <v>39295</v>
      </c>
      <c r="D37" s="14" t="s">
        <v>861</v>
      </c>
      <c r="E37" s="14" t="s">
        <v>868</v>
      </c>
      <c r="F37" s="19">
        <f t="shared" si="0"/>
        <v>39295</v>
      </c>
    </row>
    <row r="38" spans="1:6" x14ac:dyDescent="0.25">
      <c r="A38" s="14">
        <v>2230</v>
      </c>
      <c r="B38" s="14" t="s">
        <v>75</v>
      </c>
      <c r="C38" s="16">
        <v>41382</v>
      </c>
      <c r="D38" s="14" t="s">
        <v>861</v>
      </c>
      <c r="E38" s="14" t="s">
        <v>866</v>
      </c>
      <c r="F38" s="19">
        <f t="shared" si="0"/>
        <v>41382</v>
      </c>
    </row>
    <row r="39" spans="1:6" x14ac:dyDescent="0.25">
      <c r="A39" s="14">
        <v>2233</v>
      </c>
      <c r="B39" s="14" t="s">
        <v>76</v>
      </c>
      <c r="C39" s="16">
        <v>40861</v>
      </c>
      <c r="D39" s="14" t="s">
        <v>861</v>
      </c>
      <c r="E39" s="14" t="s">
        <v>866</v>
      </c>
      <c r="F39" s="19">
        <f t="shared" si="0"/>
        <v>40861</v>
      </c>
    </row>
    <row r="40" spans="1:6" x14ac:dyDescent="0.25">
      <c r="A40" s="14">
        <v>2235</v>
      </c>
      <c r="B40" s="14" t="s">
        <v>77</v>
      </c>
      <c r="C40" s="16">
        <v>41988</v>
      </c>
      <c r="D40" s="14" t="s">
        <v>861</v>
      </c>
      <c r="E40" s="14" t="s">
        <v>866</v>
      </c>
      <c r="F40" s="19">
        <f t="shared" si="0"/>
        <v>41988</v>
      </c>
    </row>
    <row r="41" spans="1:6" x14ac:dyDescent="0.25">
      <c r="A41" s="14">
        <v>2596</v>
      </c>
      <c r="B41" s="14" t="s">
        <v>79</v>
      </c>
      <c r="C41" s="16">
        <v>39965</v>
      </c>
      <c r="D41" s="14" t="s">
        <v>861</v>
      </c>
      <c r="E41" s="14" t="s">
        <v>873</v>
      </c>
      <c r="F41" s="19">
        <f t="shared" si="0"/>
        <v>39965</v>
      </c>
    </row>
    <row r="42" spans="1:6" x14ac:dyDescent="0.25">
      <c r="A42" s="14">
        <v>2640</v>
      </c>
      <c r="B42" s="14" t="s">
        <v>80</v>
      </c>
      <c r="C42" s="16">
        <v>41220</v>
      </c>
      <c r="D42" s="14" t="s">
        <v>861</v>
      </c>
      <c r="E42" s="14" t="s">
        <v>868</v>
      </c>
      <c r="F42" s="19">
        <f t="shared" si="0"/>
        <v>41220</v>
      </c>
    </row>
    <row r="43" spans="1:6" x14ac:dyDescent="0.25">
      <c r="A43" s="14">
        <v>2641</v>
      </c>
      <c r="B43" s="14" t="s">
        <v>81</v>
      </c>
      <c r="C43" s="16">
        <v>41921</v>
      </c>
      <c r="D43" s="14" t="s">
        <v>861</v>
      </c>
      <c r="E43" s="14" t="s">
        <v>874</v>
      </c>
      <c r="F43" s="19">
        <f t="shared" si="0"/>
        <v>41921</v>
      </c>
    </row>
    <row r="44" spans="1:6" x14ac:dyDescent="0.25">
      <c r="A44" s="14">
        <v>2643</v>
      </c>
      <c r="B44" s="14" t="s">
        <v>82</v>
      </c>
      <c r="C44" s="16">
        <v>42433</v>
      </c>
      <c r="D44" s="14" t="s">
        <v>861</v>
      </c>
      <c r="E44" s="14" t="s">
        <v>874</v>
      </c>
      <c r="F44" s="19">
        <f t="shared" si="0"/>
        <v>42433</v>
      </c>
    </row>
    <row r="45" spans="1:6" x14ac:dyDescent="0.25">
      <c r="A45" s="14">
        <v>2718</v>
      </c>
      <c r="B45" s="14" t="s">
        <v>83</v>
      </c>
      <c r="C45" s="16">
        <v>40631</v>
      </c>
      <c r="D45" s="14" t="s">
        <v>861</v>
      </c>
      <c r="E45" s="14" t="s">
        <v>863</v>
      </c>
      <c r="F45" s="19">
        <f t="shared" si="0"/>
        <v>40631</v>
      </c>
    </row>
    <row r="46" spans="1:6" x14ac:dyDescent="0.25">
      <c r="A46" s="14">
        <v>2719</v>
      </c>
      <c r="B46" s="14" t="s">
        <v>84</v>
      </c>
      <c r="C46" s="16">
        <v>40963</v>
      </c>
      <c r="D46" s="14" t="s">
        <v>861</v>
      </c>
      <c r="E46" s="14" t="s">
        <v>863</v>
      </c>
      <c r="F46" s="19">
        <f t="shared" si="0"/>
        <v>40963</v>
      </c>
    </row>
    <row r="47" spans="1:6" x14ac:dyDescent="0.25">
      <c r="A47" s="14">
        <v>2724</v>
      </c>
      <c r="B47" s="14" t="s">
        <v>858</v>
      </c>
      <c r="C47" s="16">
        <v>41058</v>
      </c>
      <c r="D47" s="14" t="s">
        <v>861</v>
      </c>
      <c r="E47" s="14" t="s">
        <v>863</v>
      </c>
      <c r="F47" s="19">
        <f t="shared" si="0"/>
        <v>41058</v>
      </c>
    </row>
    <row r="48" spans="1:6" x14ac:dyDescent="0.25">
      <c r="A48" s="14">
        <v>2726</v>
      </c>
      <c r="B48" s="14" t="s">
        <v>85</v>
      </c>
      <c r="C48" s="16">
        <v>41997</v>
      </c>
      <c r="D48" s="14" t="s">
        <v>861</v>
      </c>
      <c r="E48" s="14" t="s">
        <v>863</v>
      </c>
      <c r="F48" s="19">
        <f t="shared" si="0"/>
        <v>41997</v>
      </c>
    </row>
    <row r="49" spans="1:6" x14ac:dyDescent="0.25">
      <c r="A49" s="14">
        <v>2729</v>
      </c>
      <c r="B49" s="14" t="s">
        <v>86</v>
      </c>
      <c r="C49" s="16">
        <v>41169</v>
      </c>
      <c r="D49" s="14" t="s">
        <v>861</v>
      </c>
      <c r="E49" s="14" t="s">
        <v>863</v>
      </c>
      <c r="F49" s="19">
        <f t="shared" si="0"/>
        <v>41169</v>
      </c>
    </row>
    <row r="50" spans="1:6" x14ac:dyDescent="0.25">
      <c r="A50" s="14">
        <v>2732</v>
      </c>
      <c r="B50" s="14" t="s">
        <v>87</v>
      </c>
      <c r="C50" s="16">
        <v>42024</v>
      </c>
      <c r="D50" s="14" t="s">
        <v>861</v>
      </c>
      <c r="E50" s="14" t="s">
        <v>863</v>
      </c>
      <c r="F50" s="19">
        <f t="shared" si="0"/>
        <v>42024</v>
      </c>
    </row>
    <row r="51" spans="1:6" x14ac:dyDescent="0.25">
      <c r="A51" s="14">
        <v>2734</v>
      </c>
      <c r="B51" s="14" t="s">
        <v>88</v>
      </c>
      <c r="C51" s="16">
        <v>41634</v>
      </c>
      <c r="D51" s="14" t="s">
        <v>861</v>
      </c>
      <c r="E51" s="14" t="s">
        <v>863</v>
      </c>
      <c r="F51" s="19">
        <f t="shared" si="0"/>
        <v>41634</v>
      </c>
    </row>
    <row r="52" spans="1:6" x14ac:dyDescent="0.25">
      <c r="A52" s="14">
        <v>2736</v>
      </c>
      <c r="B52" s="14" t="s">
        <v>89</v>
      </c>
      <c r="C52" s="16">
        <v>42375</v>
      </c>
      <c r="D52" s="14" t="s">
        <v>861</v>
      </c>
      <c r="E52" s="14" t="s">
        <v>863</v>
      </c>
      <c r="F52" s="19">
        <f t="shared" si="0"/>
        <v>42375</v>
      </c>
    </row>
    <row r="53" spans="1:6" x14ac:dyDescent="0.25">
      <c r="A53" s="14">
        <v>2740</v>
      </c>
      <c r="B53" s="14" t="s">
        <v>90</v>
      </c>
      <c r="C53" s="16">
        <v>42362</v>
      </c>
      <c r="D53" s="14" t="s">
        <v>861</v>
      </c>
      <c r="E53" s="14" t="s">
        <v>863</v>
      </c>
      <c r="F53" s="19">
        <f t="shared" si="0"/>
        <v>42362</v>
      </c>
    </row>
    <row r="54" spans="1:6" x14ac:dyDescent="0.25">
      <c r="A54" s="14">
        <v>2916</v>
      </c>
      <c r="B54" s="14" t="s">
        <v>91</v>
      </c>
      <c r="C54" s="16">
        <v>38421</v>
      </c>
      <c r="D54" s="14" t="s">
        <v>861</v>
      </c>
      <c r="E54" s="14" t="s">
        <v>875</v>
      </c>
      <c r="F54" s="19">
        <f t="shared" si="0"/>
        <v>38421</v>
      </c>
    </row>
    <row r="55" spans="1:6" x14ac:dyDescent="0.25">
      <c r="A55" s="14">
        <v>2924</v>
      </c>
      <c r="B55" s="14" t="s">
        <v>92</v>
      </c>
      <c r="C55" s="16">
        <v>40879</v>
      </c>
      <c r="D55" s="14" t="s">
        <v>861</v>
      </c>
      <c r="E55" s="14" t="s">
        <v>875</v>
      </c>
      <c r="F55" s="19">
        <f t="shared" si="0"/>
        <v>40879</v>
      </c>
    </row>
    <row r="56" spans="1:6" x14ac:dyDescent="0.25">
      <c r="A56" s="14">
        <v>2926</v>
      </c>
      <c r="B56" s="14" t="s">
        <v>876</v>
      </c>
      <c r="C56" s="16">
        <v>41304</v>
      </c>
      <c r="D56" s="14" t="s">
        <v>861</v>
      </c>
      <c r="E56" s="14" t="s">
        <v>875</v>
      </c>
      <c r="F56" s="19">
        <f t="shared" si="0"/>
        <v>41304</v>
      </c>
    </row>
    <row r="57" spans="1:6" x14ac:dyDescent="0.25">
      <c r="A57" s="14">
        <v>2928</v>
      </c>
      <c r="B57" s="14" t="s">
        <v>94</v>
      </c>
      <c r="C57" s="16">
        <v>42396</v>
      </c>
      <c r="D57" s="14" t="s">
        <v>861</v>
      </c>
      <c r="E57" s="14" t="s">
        <v>863</v>
      </c>
      <c r="F57" s="19">
        <f t="shared" si="0"/>
        <v>42396</v>
      </c>
    </row>
    <row r="58" spans="1:6" x14ac:dyDescent="0.25">
      <c r="A58" s="14">
        <v>2937</v>
      </c>
      <c r="B58" s="14" t="s">
        <v>95</v>
      </c>
      <c r="C58" s="16">
        <v>42894</v>
      </c>
      <c r="D58" s="14" t="s">
        <v>861</v>
      </c>
      <c r="E58" s="14" t="s">
        <v>875</v>
      </c>
      <c r="F58" s="19">
        <f t="shared" si="0"/>
        <v>42894</v>
      </c>
    </row>
    <row r="59" spans="1:6" x14ac:dyDescent="0.25">
      <c r="A59" s="14">
        <v>3064</v>
      </c>
      <c r="B59" s="14" t="s">
        <v>96</v>
      </c>
      <c r="C59" s="16">
        <v>38147</v>
      </c>
      <c r="D59" s="14" t="s">
        <v>861</v>
      </c>
      <c r="E59" s="14" t="s">
        <v>870</v>
      </c>
      <c r="F59" s="19">
        <f t="shared" si="0"/>
        <v>38147</v>
      </c>
    </row>
    <row r="60" spans="1:6" x14ac:dyDescent="0.25">
      <c r="A60" s="14">
        <v>3066</v>
      </c>
      <c r="B60" s="14" t="s">
        <v>97</v>
      </c>
      <c r="C60" s="16">
        <v>38323</v>
      </c>
      <c r="D60" s="14" t="s">
        <v>861</v>
      </c>
      <c r="E60" s="14" t="s">
        <v>877</v>
      </c>
      <c r="F60" s="19">
        <f t="shared" si="0"/>
        <v>38323</v>
      </c>
    </row>
    <row r="61" spans="1:6" x14ac:dyDescent="0.25">
      <c r="A61" s="14">
        <v>3067</v>
      </c>
      <c r="B61" s="14" t="s">
        <v>98</v>
      </c>
      <c r="C61" s="16">
        <v>37915</v>
      </c>
      <c r="D61" s="14" t="s">
        <v>861</v>
      </c>
      <c r="E61" s="14" t="s">
        <v>870</v>
      </c>
      <c r="F61" s="19">
        <f t="shared" si="0"/>
        <v>37915</v>
      </c>
    </row>
    <row r="62" spans="1:6" x14ac:dyDescent="0.25">
      <c r="A62" s="14">
        <v>3068</v>
      </c>
      <c r="B62" s="14" t="s">
        <v>99</v>
      </c>
      <c r="C62" s="16">
        <v>39570</v>
      </c>
      <c r="D62" s="14" t="s">
        <v>861</v>
      </c>
      <c r="E62" s="14" t="s">
        <v>878</v>
      </c>
      <c r="F62" s="19">
        <f t="shared" si="0"/>
        <v>39570</v>
      </c>
    </row>
    <row r="63" spans="1:6" x14ac:dyDescent="0.25">
      <c r="A63" s="14">
        <v>3071</v>
      </c>
      <c r="B63" s="14" t="s">
        <v>100</v>
      </c>
      <c r="C63" s="16">
        <v>38351</v>
      </c>
      <c r="D63" s="14" t="s">
        <v>861</v>
      </c>
      <c r="E63" s="14" t="s">
        <v>867</v>
      </c>
      <c r="F63" s="19">
        <f t="shared" si="0"/>
        <v>38351</v>
      </c>
    </row>
    <row r="64" spans="1:6" x14ac:dyDescent="0.25">
      <c r="A64" s="14">
        <v>3073</v>
      </c>
      <c r="B64" s="14" t="s">
        <v>101</v>
      </c>
      <c r="C64" s="16">
        <v>39363</v>
      </c>
      <c r="D64" s="14" t="s">
        <v>861</v>
      </c>
      <c r="E64" s="14" t="s">
        <v>879</v>
      </c>
      <c r="F64" s="19">
        <f t="shared" si="0"/>
        <v>39363</v>
      </c>
    </row>
    <row r="65" spans="1:6" x14ac:dyDescent="0.25">
      <c r="A65" s="14">
        <v>3078</v>
      </c>
      <c r="B65" s="14" t="s">
        <v>102</v>
      </c>
      <c r="C65" s="16">
        <v>38383</v>
      </c>
      <c r="D65" s="14" t="s">
        <v>861</v>
      </c>
      <c r="E65" s="14" t="s">
        <v>864</v>
      </c>
      <c r="F65" s="19">
        <f t="shared" si="0"/>
        <v>38383</v>
      </c>
    </row>
    <row r="66" spans="1:6" x14ac:dyDescent="0.25">
      <c r="A66" s="14">
        <v>3081</v>
      </c>
      <c r="B66" s="14" t="s">
        <v>103</v>
      </c>
      <c r="C66" s="16">
        <v>42207</v>
      </c>
      <c r="D66" s="14" t="s">
        <v>861</v>
      </c>
      <c r="E66" s="14" t="s">
        <v>878</v>
      </c>
      <c r="F66" s="19">
        <f t="shared" ref="F66:F129" si="1">C66</f>
        <v>42207</v>
      </c>
    </row>
    <row r="67" spans="1:6" x14ac:dyDescent="0.25">
      <c r="A67" s="14">
        <v>3083</v>
      </c>
      <c r="B67" s="14" t="s">
        <v>104</v>
      </c>
      <c r="C67" s="16">
        <v>37957</v>
      </c>
      <c r="D67" s="14" t="s">
        <v>861</v>
      </c>
      <c r="E67" s="14" t="s">
        <v>880</v>
      </c>
      <c r="F67" s="19">
        <f t="shared" si="1"/>
        <v>37957</v>
      </c>
    </row>
    <row r="68" spans="1:6" x14ac:dyDescent="0.25">
      <c r="A68" s="14">
        <v>3085</v>
      </c>
      <c r="B68" s="14" t="s">
        <v>105</v>
      </c>
      <c r="C68" s="16">
        <v>38047</v>
      </c>
      <c r="D68" s="14" t="s">
        <v>861</v>
      </c>
      <c r="E68" s="14" t="s">
        <v>880</v>
      </c>
      <c r="F68" s="19">
        <f t="shared" si="1"/>
        <v>38047</v>
      </c>
    </row>
    <row r="69" spans="1:6" x14ac:dyDescent="0.25">
      <c r="A69" s="14">
        <v>3086</v>
      </c>
      <c r="B69" s="14" t="s">
        <v>106</v>
      </c>
      <c r="C69" s="16">
        <v>38075</v>
      </c>
      <c r="D69" s="14" t="s">
        <v>861</v>
      </c>
      <c r="E69" s="14" t="s">
        <v>881</v>
      </c>
      <c r="F69" s="19">
        <f t="shared" si="1"/>
        <v>38075</v>
      </c>
    </row>
    <row r="70" spans="1:6" x14ac:dyDescent="0.25">
      <c r="A70" s="14">
        <v>3088</v>
      </c>
      <c r="B70" s="14" t="s">
        <v>107</v>
      </c>
      <c r="C70" s="16">
        <v>38470</v>
      </c>
      <c r="D70" s="14" t="s">
        <v>861</v>
      </c>
      <c r="E70" s="14" t="s">
        <v>867</v>
      </c>
      <c r="F70" s="19">
        <f t="shared" si="1"/>
        <v>38470</v>
      </c>
    </row>
    <row r="71" spans="1:6" x14ac:dyDescent="0.25">
      <c r="A71" s="14">
        <v>3089</v>
      </c>
      <c r="B71" s="14" t="s">
        <v>108</v>
      </c>
      <c r="C71" s="16">
        <v>37908</v>
      </c>
      <c r="D71" s="14" t="s">
        <v>861</v>
      </c>
      <c r="E71" s="14" t="s">
        <v>864</v>
      </c>
      <c r="F71" s="19">
        <f t="shared" si="1"/>
        <v>37908</v>
      </c>
    </row>
    <row r="72" spans="1:6" x14ac:dyDescent="0.25">
      <c r="A72" s="14">
        <v>3092</v>
      </c>
      <c r="B72" s="14" t="s">
        <v>109</v>
      </c>
      <c r="C72" s="16">
        <v>40309</v>
      </c>
      <c r="D72" s="14" t="s">
        <v>861</v>
      </c>
      <c r="E72" s="14" t="s">
        <v>864</v>
      </c>
      <c r="F72" s="19">
        <f t="shared" si="1"/>
        <v>40309</v>
      </c>
    </row>
    <row r="73" spans="1:6" x14ac:dyDescent="0.25">
      <c r="A73" s="14">
        <v>3093</v>
      </c>
      <c r="B73" s="14" t="s">
        <v>110</v>
      </c>
      <c r="C73" s="16">
        <v>38520</v>
      </c>
      <c r="D73" s="14" t="s">
        <v>861</v>
      </c>
      <c r="E73" s="14" t="s">
        <v>870</v>
      </c>
      <c r="F73" s="19">
        <f t="shared" si="1"/>
        <v>38520</v>
      </c>
    </row>
    <row r="74" spans="1:6" x14ac:dyDescent="0.25">
      <c r="A74" s="14">
        <v>3095</v>
      </c>
      <c r="B74" s="14" t="s">
        <v>111</v>
      </c>
      <c r="C74" s="16">
        <v>38498</v>
      </c>
      <c r="D74" s="14" t="s">
        <v>861</v>
      </c>
      <c r="E74" s="14" t="s">
        <v>878</v>
      </c>
      <c r="F74" s="19">
        <f t="shared" si="1"/>
        <v>38498</v>
      </c>
    </row>
    <row r="75" spans="1:6" x14ac:dyDescent="0.25">
      <c r="A75" s="14">
        <v>3105</v>
      </c>
      <c r="B75" s="14" t="s">
        <v>112</v>
      </c>
      <c r="C75" s="16">
        <v>40890</v>
      </c>
      <c r="D75" s="14" t="s">
        <v>861</v>
      </c>
      <c r="E75" s="14" t="s">
        <v>879</v>
      </c>
      <c r="F75" s="19">
        <f t="shared" si="1"/>
        <v>40890</v>
      </c>
    </row>
    <row r="76" spans="1:6" x14ac:dyDescent="0.25">
      <c r="A76" s="14">
        <v>3114</v>
      </c>
      <c r="B76" s="14" t="s">
        <v>113</v>
      </c>
      <c r="C76" s="16">
        <v>38071</v>
      </c>
      <c r="D76" s="14" t="s">
        <v>861</v>
      </c>
      <c r="E76" s="14" t="s">
        <v>864</v>
      </c>
      <c r="F76" s="19">
        <f t="shared" si="1"/>
        <v>38071</v>
      </c>
    </row>
    <row r="77" spans="1:6" x14ac:dyDescent="0.25">
      <c r="A77" s="14">
        <v>3115</v>
      </c>
      <c r="B77" s="14" t="s">
        <v>114</v>
      </c>
      <c r="C77" s="16">
        <v>38450</v>
      </c>
      <c r="D77" s="14" t="s">
        <v>861</v>
      </c>
      <c r="E77" s="14" t="s">
        <v>864</v>
      </c>
      <c r="F77" s="19">
        <f t="shared" si="1"/>
        <v>38450</v>
      </c>
    </row>
    <row r="78" spans="1:6" x14ac:dyDescent="0.25">
      <c r="A78" s="14">
        <v>3118</v>
      </c>
      <c r="B78" s="14" t="s">
        <v>115</v>
      </c>
      <c r="C78" s="16">
        <v>39589</v>
      </c>
      <c r="D78" s="14" t="s">
        <v>861</v>
      </c>
      <c r="E78" s="14" t="s">
        <v>865</v>
      </c>
      <c r="F78" s="19">
        <f t="shared" si="1"/>
        <v>39589</v>
      </c>
    </row>
    <row r="79" spans="1:6" x14ac:dyDescent="0.25">
      <c r="A79" s="14">
        <v>3122</v>
      </c>
      <c r="B79" s="14" t="s">
        <v>116</v>
      </c>
      <c r="C79" s="16">
        <v>42030</v>
      </c>
      <c r="D79" s="14" t="s">
        <v>861</v>
      </c>
      <c r="E79" s="14" t="s">
        <v>879</v>
      </c>
      <c r="F79" s="19">
        <f t="shared" si="1"/>
        <v>42030</v>
      </c>
    </row>
    <row r="80" spans="1:6" x14ac:dyDescent="0.25">
      <c r="A80" s="14">
        <v>3128</v>
      </c>
      <c r="B80" s="14" t="s">
        <v>117</v>
      </c>
      <c r="C80" s="16">
        <v>38964</v>
      </c>
      <c r="D80" s="14" t="s">
        <v>861</v>
      </c>
      <c r="E80" s="14" t="s">
        <v>877</v>
      </c>
      <c r="F80" s="19">
        <f t="shared" si="1"/>
        <v>38964</v>
      </c>
    </row>
    <row r="81" spans="1:6" x14ac:dyDescent="0.25">
      <c r="A81" s="14">
        <v>3131</v>
      </c>
      <c r="B81" s="14" t="s">
        <v>118</v>
      </c>
      <c r="C81" s="16">
        <v>40560</v>
      </c>
      <c r="D81" s="14" t="s">
        <v>861</v>
      </c>
      <c r="E81" s="14" t="s">
        <v>870</v>
      </c>
      <c r="F81" s="19">
        <f t="shared" si="1"/>
        <v>40560</v>
      </c>
    </row>
    <row r="82" spans="1:6" x14ac:dyDescent="0.25">
      <c r="A82" s="14">
        <v>3141</v>
      </c>
      <c r="B82" s="14" t="s">
        <v>119</v>
      </c>
      <c r="C82" s="16">
        <v>41712</v>
      </c>
      <c r="D82" s="14" t="s">
        <v>861</v>
      </c>
      <c r="E82" s="14" t="s">
        <v>879</v>
      </c>
      <c r="F82" s="19">
        <f t="shared" si="1"/>
        <v>41712</v>
      </c>
    </row>
    <row r="83" spans="1:6" x14ac:dyDescent="0.25">
      <c r="A83" s="14">
        <v>3144</v>
      </c>
      <c r="B83" s="14" t="s">
        <v>120</v>
      </c>
      <c r="C83" s="16">
        <v>38345</v>
      </c>
      <c r="D83" s="14" t="s">
        <v>861</v>
      </c>
      <c r="E83" s="14" t="s">
        <v>864</v>
      </c>
      <c r="F83" s="19">
        <f t="shared" si="1"/>
        <v>38345</v>
      </c>
    </row>
    <row r="84" spans="1:6" x14ac:dyDescent="0.25">
      <c r="A84" s="14">
        <v>3152</v>
      </c>
      <c r="B84" s="14" t="s">
        <v>121</v>
      </c>
      <c r="C84" s="16">
        <v>39531</v>
      </c>
      <c r="D84" s="14" t="s">
        <v>861</v>
      </c>
      <c r="E84" s="14" t="s">
        <v>878</v>
      </c>
      <c r="F84" s="19">
        <f t="shared" si="1"/>
        <v>39531</v>
      </c>
    </row>
    <row r="85" spans="1:6" x14ac:dyDescent="0.25">
      <c r="A85" s="14">
        <v>3162</v>
      </c>
      <c r="B85" s="14" t="s">
        <v>122</v>
      </c>
      <c r="C85" s="16">
        <v>38628</v>
      </c>
      <c r="D85" s="14" t="s">
        <v>861</v>
      </c>
      <c r="E85" s="14" t="s">
        <v>866</v>
      </c>
      <c r="F85" s="19">
        <f t="shared" si="1"/>
        <v>38628</v>
      </c>
    </row>
    <row r="86" spans="1:6" x14ac:dyDescent="0.25">
      <c r="A86" s="14">
        <v>3163</v>
      </c>
      <c r="B86" s="14" t="s">
        <v>123</v>
      </c>
      <c r="C86" s="16">
        <v>41246</v>
      </c>
      <c r="D86" s="14" t="s">
        <v>861</v>
      </c>
      <c r="E86" s="14" t="s">
        <v>878</v>
      </c>
      <c r="F86" s="19">
        <f t="shared" si="1"/>
        <v>41246</v>
      </c>
    </row>
    <row r="87" spans="1:6" x14ac:dyDescent="0.25">
      <c r="A87" s="14">
        <v>3169</v>
      </c>
      <c r="B87" s="14" t="s">
        <v>124</v>
      </c>
      <c r="C87" s="16">
        <v>40141</v>
      </c>
      <c r="D87" s="14" t="s">
        <v>861</v>
      </c>
      <c r="E87" s="14" t="s">
        <v>879</v>
      </c>
      <c r="F87" s="19">
        <f t="shared" si="1"/>
        <v>40141</v>
      </c>
    </row>
    <row r="88" spans="1:6" x14ac:dyDescent="0.25">
      <c r="A88" s="14">
        <v>3171</v>
      </c>
      <c r="B88" s="14" t="s">
        <v>125</v>
      </c>
      <c r="C88" s="16">
        <v>38247</v>
      </c>
      <c r="D88" s="14" t="s">
        <v>861</v>
      </c>
      <c r="E88" s="14" t="s">
        <v>875</v>
      </c>
      <c r="F88" s="19">
        <f t="shared" si="1"/>
        <v>38247</v>
      </c>
    </row>
    <row r="89" spans="1:6" x14ac:dyDescent="0.25">
      <c r="A89" s="14">
        <v>3176</v>
      </c>
      <c r="B89" s="14" t="s">
        <v>126</v>
      </c>
      <c r="C89" s="16">
        <v>40870</v>
      </c>
      <c r="D89" s="14" t="s">
        <v>861</v>
      </c>
      <c r="E89" s="14" t="s">
        <v>865</v>
      </c>
      <c r="F89" s="19">
        <f t="shared" si="1"/>
        <v>40870</v>
      </c>
    </row>
    <row r="90" spans="1:6" x14ac:dyDescent="0.25">
      <c r="A90" s="14">
        <v>3188</v>
      </c>
      <c r="B90" s="14" t="s">
        <v>127</v>
      </c>
      <c r="C90" s="16">
        <v>38063</v>
      </c>
      <c r="D90" s="14" t="s">
        <v>861</v>
      </c>
      <c r="E90" s="14" t="s">
        <v>879</v>
      </c>
      <c r="F90" s="19">
        <f t="shared" si="1"/>
        <v>38063</v>
      </c>
    </row>
    <row r="91" spans="1:6" x14ac:dyDescent="0.25">
      <c r="A91" s="14">
        <v>3191</v>
      </c>
      <c r="B91" s="14" t="s">
        <v>128</v>
      </c>
      <c r="C91" s="16">
        <v>38454</v>
      </c>
      <c r="D91" s="14" t="s">
        <v>861</v>
      </c>
      <c r="E91" s="14" t="s">
        <v>864</v>
      </c>
      <c r="F91" s="19">
        <f t="shared" si="1"/>
        <v>38454</v>
      </c>
    </row>
    <row r="92" spans="1:6" x14ac:dyDescent="0.25">
      <c r="A92" s="14">
        <v>3202</v>
      </c>
      <c r="B92" s="14" t="s">
        <v>129</v>
      </c>
      <c r="C92" s="16">
        <v>38559</v>
      </c>
      <c r="D92" s="14" t="s">
        <v>861</v>
      </c>
      <c r="E92" s="14" t="s">
        <v>864</v>
      </c>
      <c r="F92" s="19">
        <f t="shared" si="1"/>
        <v>38559</v>
      </c>
    </row>
    <row r="93" spans="1:6" x14ac:dyDescent="0.25">
      <c r="A93" s="14">
        <v>3205</v>
      </c>
      <c r="B93" s="14" t="s">
        <v>130</v>
      </c>
      <c r="C93" s="16">
        <v>38607</v>
      </c>
      <c r="D93" s="14" t="s">
        <v>861</v>
      </c>
      <c r="E93" s="14" t="s">
        <v>865</v>
      </c>
      <c r="F93" s="19">
        <f t="shared" si="1"/>
        <v>38607</v>
      </c>
    </row>
    <row r="94" spans="1:6" x14ac:dyDescent="0.25">
      <c r="A94" s="14">
        <v>3206</v>
      </c>
      <c r="B94" s="14" t="s">
        <v>131</v>
      </c>
      <c r="C94" s="16">
        <v>39121</v>
      </c>
      <c r="D94" s="14" t="s">
        <v>861</v>
      </c>
      <c r="E94" s="14" t="s">
        <v>864</v>
      </c>
      <c r="F94" s="19">
        <f t="shared" si="1"/>
        <v>39121</v>
      </c>
    </row>
    <row r="95" spans="1:6" x14ac:dyDescent="0.25">
      <c r="A95" s="14">
        <v>3207</v>
      </c>
      <c r="B95" s="14" t="s">
        <v>132</v>
      </c>
      <c r="C95" s="16">
        <v>38295</v>
      </c>
      <c r="D95" s="14" t="s">
        <v>861</v>
      </c>
      <c r="E95" s="14" t="s">
        <v>864</v>
      </c>
      <c r="F95" s="19">
        <f t="shared" si="1"/>
        <v>38295</v>
      </c>
    </row>
    <row r="96" spans="1:6" x14ac:dyDescent="0.25">
      <c r="A96" s="14">
        <v>3211</v>
      </c>
      <c r="B96" s="14" t="s">
        <v>133</v>
      </c>
      <c r="C96" s="16">
        <v>38299</v>
      </c>
      <c r="D96" s="14" t="s">
        <v>861</v>
      </c>
      <c r="E96" s="14" t="s">
        <v>867</v>
      </c>
      <c r="F96" s="19">
        <f t="shared" si="1"/>
        <v>38299</v>
      </c>
    </row>
    <row r="97" spans="1:6" x14ac:dyDescent="0.25">
      <c r="A97" s="14">
        <v>3213</v>
      </c>
      <c r="B97" s="14" t="s">
        <v>134</v>
      </c>
      <c r="C97" s="16">
        <v>38261</v>
      </c>
      <c r="D97" s="14" t="s">
        <v>861</v>
      </c>
      <c r="E97" s="14" t="s">
        <v>867</v>
      </c>
      <c r="F97" s="19">
        <f t="shared" si="1"/>
        <v>38261</v>
      </c>
    </row>
    <row r="98" spans="1:6" x14ac:dyDescent="0.25">
      <c r="A98" s="14">
        <v>3217</v>
      </c>
      <c r="B98" s="14" t="s">
        <v>135</v>
      </c>
      <c r="C98" s="16">
        <v>38107</v>
      </c>
      <c r="D98" s="14" t="s">
        <v>861</v>
      </c>
      <c r="E98" s="14" t="s">
        <v>864</v>
      </c>
      <c r="F98" s="19">
        <f t="shared" si="1"/>
        <v>38107</v>
      </c>
    </row>
    <row r="99" spans="1:6" x14ac:dyDescent="0.25">
      <c r="A99" s="14">
        <v>3218</v>
      </c>
      <c r="B99" s="14" t="s">
        <v>136</v>
      </c>
      <c r="C99" s="16">
        <v>38320</v>
      </c>
      <c r="D99" s="14" t="s">
        <v>861</v>
      </c>
      <c r="E99" s="14" t="s">
        <v>865</v>
      </c>
      <c r="F99" s="19">
        <f t="shared" si="1"/>
        <v>38320</v>
      </c>
    </row>
    <row r="100" spans="1:6" x14ac:dyDescent="0.25">
      <c r="A100" s="14">
        <v>3219</v>
      </c>
      <c r="B100" s="14" t="s">
        <v>859</v>
      </c>
      <c r="C100" s="16">
        <v>38065</v>
      </c>
      <c r="D100" s="14" t="s">
        <v>861</v>
      </c>
      <c r="E100" s="14" t="s">
        <v>879</v>
      </c>
      <c r="F100" s="19">
        <f t="shared" si="1"/>
        <v>38065</v>
      </c>
    </row>
    <row r="101" spans="1:6" x14ac:dyDescent="0.25">
      <c r="A101" s="14">
        <v>3221</v>
      </c>
      <c r="B101" s="14" t="s">
        <v>137</v>
      </c>
      <c r="C101" s="16">
        <v>38770</v>
      </c>
      <c r="D101" s="14" t="s">
        <v>861</v>
      </c>
      <c r="E101" s="14" t="s">
        <v>878</v>
      </c>
      <c r="F101" s="19">
        <f t="shared" si="1"/>
        <v>38770</v>
      </c>
    </row>
    <row r="102" spans="1:6" x14ac:dyDescent="0.25">
      <c r="A102" s="14">
        <v>3224</v>
      </c>
      <c r="B102" s="14" t="s">
        <v>138</v>
      </c>
      <c r="C102" s="16">
        <v>38141</v>
      </c>
      <c r="D102" s="14" t="s">
        <v>861</v>
      </c>
      <c r="E102" s="14" t="s">
        <v>882</v>
      </c>
      <c r="F102" s="19">
        <f t="shared" si="1"/>
        <v>38141</v>
      </c>
    </row>
    <row r="103" spans="1:6" x14ac:dyDescent="0.25">
      <c r="A103" s="14">
        <v>3226</v>
      </c>
      <c r="B103" s="14" t="s">
        <v>139</v>
      </c>
      <c r="C103" s="16">
        <v>38154</v>
      </c>
      <c r="D103" s="14" t="s">
        <v>861</v>
      </c>
      <c r="E103" s="14" t="s">
        <v>866</v>
      </c>
      <c r="F103" s="19">
        <f t="shared" si="1"/>
        <v>38154</v>
      </c>
    </row>
    <row r="104" spans="1:6" x14ac:dyDescent="0.25">
      <c r="A104" s="14">
        <v>3227</v>
      </c>
      <c r="B104" s="14" t="s">
        <v>140</v>
      </c>
      <c r="C104" s="16">
        <v>38841</v>
      </c>
      <c r="D104" s="14" t="s">
        <v>861</v>
      </c>
      <c r="E104" s="14" t="s">
        <v>879</v>
      </c>
      <c r="F104" s="19">
        <f t="shared" si="1"/>
        <v>38841</v>
      </c>
    </row>
    <row r="105" spans="1:6" x14ac:dyDescent="0.25">
      <c r="A105" s="14">
        <v>3228</v>
      </c>
      <c r="B105" s="14" t="s">
        <v>141</v>
      </c>
      <c r="C105" s="16">
        <v>38413</v>
      </c>
      <c r="D105" s="14" t="s">
        <v>861</v>
      </c>
      <c r="E105" s="14" t="s">
        <v>879</v>
      </c>
      <c r="F105" s="19">
        <f t="shared" si="1"/>
        <v>38413</v>
      </c>
    </row>
    <row r="106" spans="1:6" x14ac:dyDescent="0.25">
      <c r="A106" s="14">
        <v>3230</v>
      </c>
      <c r="B106" s="14" t="s">
        <v>142</v>
      </c>
      <c r="C106" s="16">
        <v>38985</v>
      </c>
      <c r="D106" s="14" t="s">
        <v>861</v>
      </c>
      <c r="E106" s="14" t="s">
        <v>877</v>
      </c>
      <c r="F106" s="19">
        <f t="shared" si="1"/>
        <v>38985</v>
      </c>
    </row>
    <row r="107" spans="1:6" x14ac:dyDescent="0.25">
      <c r="A107" s="14">
        <v>3232</v>
      </c>
      <c r="B107" s="14" t="s">
        <v>143</v>
      </c>
      <c r="C107" s="16">
        <v>38292</v>
      </c>
      <c r="D107" s="14" t="s">
        <v>861</v>
      </c>
      <c r="E107" s="14" t="s">
        <v>882</v>
      </c>
      <c r="F107" s="19">
        <f t="shared" si="1"/>
        <v>38292</v>
      </c>
    </row>
    <row r="108" spans="1:6" x14ac:dyDescent="0.25">
      <c r="A108" s="14">
        <v>3234</v>
      </c>
      <c r="B108" s="14" t="s">
        <v>144</v>
      </c>
      <c r="C108" s="16">
        <v>40626</v>
      </c>
      <c r="D108" s="14" t="s">
        <v>861</v>
      </c>
      <c r="E108" s="14" t="s">
        <v>878</v>
      </c>
      <c r="F108" s="19">
        <f t="shared" si="1"/>
        <v>40626</v>
      </c>
    </row>
    <row r="109" spans="1:6" x14ac:dyDescent="0.25">
      <c r="A109" s="14">
        <v>3236</v>
      </c>
      <c r="B109" s="14" t="s">
        <v>145</v>
      </c>
      <c r="C109" s="16">
        <v>38323</v>
      </c>
      <c r="D109" s="14" t="s">
        <v>861</v>
      </c>
      <c r="E109" s="14" t="s">
        <v>864</v>
      </c>
      <c r="F109" s="19">
        <f t="shared" si="1"/>
        <v>38323</v>
      </c>
    </row>
    <row r="110" spans="1:6" x14ac:dyDescent="0.25">
      <c r="A110" s="14">
        <v>3252</v>
      </c>
      <c r="B110" s="14" t="s">
        <v>883</v>
      </c>
      <c r="C110" s="16">
        <v>38253</v>
      </c>
      <c r="D110" s="14" t="s">
        <v>861</v>
      </c>
      <c r="E110" s="14" t="s">
        <v>868</v>
      </c>
      <c r="F110" s="19">
        <f t="shared" si="1"/>
        <v>38253</v>
      </c>
    </row>
    <row r="111" spans="1:6" x14ac:dyDescent="0.25">
      <c r="A111" s="14">
        <v>3259</v>
      </c>
      <c r="B111" s="14" t="s">
        <v>147</v>
      </c>
      <c r="C111" s="16">
        <v>39440</v>
      </c>
      <c r="D111" s="14" t="s">
        <v>861</v>
      </c>
      <c r="E111" s="14" t="s">
        <v>879</v>
      </c>
      <c r="F111" s="19">
        <f t="shared" si="1"/>
        <v>39440</v>
      </c>
    </row>
    <row r="112" spans="1:6" x14ac:dyDescent="0.25">
      <c r="A112" s="14">
        <v>3260</v>
      </c>
      <c r="B112" s="14" t="s">
        <v>148</v>
      </c>
      <c r="C112" s="16">
        <v>38268</v>
      </c>
      <c r="D112" s="14" t="s">
        <v>861</v>
      </c>
      <c r="E112" s="14" t="s">
        <v>879</v>
      </c>
      <c r="F112" s="19">
        <f t="shared" si="1"/>
        <v>38268</v>
      </c>
    </row>
    <row r="113" spans="1:6" x14ac:dyDescent="0.25">
      <c r="A113" s="14">
        <v>3264</v>
      </c>
      <c r="B113" s="14" t="s">
        <v>149</v>
      </c>
      <c r="C113" s="16">
        <v>38357</v>
      </c>
      <c r="D113" s="14" t="s">
        <v>861</v>
      </c>
      <c r="E113" s="14" t="s">
        <v>879</v>
      </c>
      <c r="F113" s="19">
        <f t="shared" si="1"/>
        <v>38357</v>
      </c>
    </row>
    <row r="114" spans="1:6" x14ac:dyDescent="0.25">
      <c r="A114" s="14">
        <v>3265</v>
      </c>
      <c r="B114" s="14" t="s">
        <v>150</v>
      </c>
      <c r="C114" s="16">
        <v>38566</v>
      </c>
      <c r="D114" s="14" t="s">
        <v>861</v>
      </c>
      <c r="E114" s="14" t="s">
        <v>879</v>
      </c>
      <c r="F114" s="19">
        <f t="shared" si="1"/>
        <v>38566</v>
      </c>
    </row>
    <row r="115" spans="1:6" x14ac:dyDescent="0.25">
      <c r="A115" s="14">
        <v>3268</v>
      </c>
      <c r="B115" s="14" t="s">
        <v>151</v>
      </c>
      <c r="C115" s="16">
        <v>38379</v>
      </c>
      <c r="D115" s="14" t="s">
        <v>861</v>
      </c>
      <c r="E115" s="14" t="s">
        <v>879</v>
      </c>
      <c r="F115" s="19">
        <f t="shared" si="1"/>
        <v>38379</v>
      </c>
    </row>
    <row r="116" spans="1:6" x14ac:dyDescent="0.25">
      <c r="A116" s="14">
        <v>3272</v>
      </c>
      <c r="B116" s="14" t="s">
        <v>152</v>
      </c>
      <c r="C116" s="16">
        <v>41877</v>
      </c>
      <c r="D116" s="14" t="s">
        <v>861</v>
      </c>
      <c r="E116" s="14" t="s">
        <v>867</v>
      </c>
      <c r="F116" s="19">
        <f t="shared" si="1"/>
        <v>41877</v>
      </c>
    </row>
    <row r="117" spans="1:6" x14ac:dyDescent="0.25">
      <c r="A117" s="14">
        <v>3276</v>
      </c>
      <c r="B117" s="14" t="s">
        <v>153</v>
      </c>
      <c r="C117" s="16">
        <v>38364</v>
      </c>
      <c r="D117" s="14" t="s">
        <v>861</v>
      </c>
      <c r="E117" s="14" t="s">
        <v>864</v>
      </c>
      <c r="F117" s="19">
        <f t="shared" si="1"/>
        <v>38364</v>
      </c>
    </row>
    <row r="118" spans="1:6" x14ac:dyDescent="0.25">
      <c r="A118" s="14">
        <v>3284</v>
      </c>
      <c r="B118" s="14" t="s">
        <v>154</v>
      </c>
      <c r="C118" s="16">
        <v>38433</v>
      </c>
      <c r="D118" s="14" t="s">
        <v>861</v>
      </c>
      <c r="E118" s="14" t="s">
        <v>868</v>
      </c>
      <c r="F118" s="19">
        <f t="shared" si="1"/>
        <v>38433</v>
      </c>
    </row>
    <row r="119" spans="1:6" x14ac:dyDescent="0.25">
      <c r="A119" s="14">
        <v>3285</v>
      </c>
      <c r="B119" s="14" t="s">
        <v>155</v>
      </c>
      <c r="C119" s="16">
        <v>41113</v>
      </c>
      <c r="D119" s="14" t="s">
        <v>861</v>
      </c>
      <c r="E119" s="14" t="s">
        <v>870</v>
      </c>
      <c r="F119" s="19">
        <f t="shared" si="1"/>
        <v>41113</v>
      </c>
    </row>
    <row r="120" spans="1:6" x14ac:dyDescent="0.25">
      <c r="A120" s="14">
        <v>3287</v>
      </c>
      <c r="B120" s="14" t="s">
        <v>156</v>
      </c>
      <c r="C120" s="16">
        <v>39475</v>
      </c>
      <c r="D120" s="14" t="s">
        <v>861</v>
      </c>
      <c r="E120" s="14" t="s">
        <v>867</v>
      </c>
      <c r="F120" s="19">
        <f t="shared" si="1"/>
        <v>39475</v>
      </c>
    </row>
    <row r="121" spans="1:6" x14ac:dyDescent="0.25">
      <c r="A121" s="14">
        <v>3288</v>
      </c>
      <c r="B121" s="14" t="s">
        <v>157</v>
      </c>
      <c r="C121" s="16">
        <v>38457</v>
      </c>
      <c r="D121" s="14" t="s">
        <v>861</v>
      </c>
      <c r="E121" s="14" t="s">
        <v>864</v>
      </c>
      <c r="F121" s="19">
        <f t="shared" si="1"/>
        <v>38457</v>
      </c>
    </row>
    <row r="122" spans="1:6" x14ac:dyDescent="0.25">
      <c r="A122" s="14">
        <v>3289</v>
      </c>
      <c r="B122" s="14" t="s">
        <v>158</v>
      </c>
      <c r="C122" s="16">
        <v>38349</v>
      </c>
      <c r="D122" s="14" t="s">
        <v>861</v>
      </c>
      <c r="E122" s="14" t="s">
        <v>870</v>
      </c>
      <c r="F122" s="19">
        <f t="shared" si="1"/>
        <v>38349</v>
      </c>
    </row>
    <row r="123" spans="1:6" x14ac:dyDescent="0.25">
      <c r="A123" s="14">
        <v>3290</v>
      </c>
      <c r="B123" s="14" t="s">
        <v>159</v>
      </c>
      <c r="C123" s="16">
        <v>38491</v>
      </c>
      <c r="D123" s="14" t="s">
        <v>861</v>
      </c>
      <c r="E123" s="14" t="s">
        <v>878</v>
      </c>
      <c r="F123" s="19">
        <f t="shared" si="1"/>
        <v>38491</v>
      </c>
    </row>
    <row r="124" spans="1:6" x14ac:dyDescent="0.25">
      <c r="A124" s="14">
        <v>3293</v>
      </c>
      <c r="B124" s="14" t="s">
        <v>160</v>
      </c>
      <c r="C124" s="16">
        <v>38910</v>
      </c>
      <c r="D124" s="14" t="s">
        <v>861</v>
      </c>
      <c r="E124" s="14" t="s">
        <v>880</v>
      </c>
      <c r="F124" s="19">
        <f t="shared" si="1"/>
        <v>38910</v>
      </c>
    </row>
    <row r="125" spans="1:6" x14ac:dyDescent="0.25">
      <c r="A125" s="14">
        <v>3294</v>
      </c>
      <c r="B125" s="14" t="s">
        <v>161</v>
      </c>
      <c r="C125" s="16">
        <v>39199</v>
      </c>
      <c r="D125" s="14" t="s">
        <v>861</v>
      </c>
      <c r="E125" s="14" t="s">
        <v>864</v>
      </c>
      <c r="F125" s="19">
        <f t="shared" si="1"/>
        <v>39199</v>
      </c>
    </row>
    <row r="126" spans="1:6" x14ac:dyDescent="0.25">
      <c r="A126" s="14">
        <v>3297</v>
      </c>
      <c r="B126" s="14" t="s">
        <v>162</v>
      </c>
      <c r="C126" s="16">
        <v>38510</v>
      </c>
      <c r="D126" s="14" t="s">
        <v>861</v>
      </c>
      <c r="E126" s="14" t="s">
        <v>877</v>
      </c>
      <c r="F126" s="19">
        <f t="shared" si="1"/>
        <v>38510</v>
      </c>
    </row>
    <row r="127" spans="1:6" x14ac:dyDescent="0.25">
      <c r="A127" s="14">
        <v>3299</v>
      </c>
      <c r="B127" s="14" t="s">
        <v>163</v>
      </c>
      <c r="C127" s="16">
        <v>38562</v>
      </c>
      <c r="D127" s="14" t="s">
        <v>861</v>
      </c>
      <c r="E127" s="14" t="s">
        <v>878</v>
      </c>
      <c r="F127" s="19">
        <f t="shared" si="1"/>
        <v>38562</v>
      </c>
    </row>
    <row r="128" spans="1:6" x14ac:dyDescent="0.25">
      <c r="A128" s="14">
        <v>3303</v>
      </c>
      <c r="B128" s="14" t="s">
        <v>164</v>
      </c>
      <c r="C128" s="16">
        <v>39230</v>
      </c>
      <c r="D128" s="14" t="s">
        <v>861</v>
      </c>
      <c r="E128" s="14" t="s">
        <v>869</v>
      </c>
      <c r="F128" s="19">
        <f t="shared" si="1"/>
        <v>39230</v>
      </c>
    </row>
    <row r="129" spans="1:6" x14ac:dyDescent="0.25">
      <c r="A129" s="14">
        <v>3306</v>
      </c>
      <c r="B129" s="14" t="s">
        <v>165</v>
      </c>
      <c r="C129" s="16">
        <v>38538</v>
      </c>
      <c r="D129" s="14" t="s">
        <v>861</v>
      </c>
      <c r="E129" s="14" t="s">
        <v>878</v>
      </c>
      <c r="F129" s="19">
        <f t="shared" si="1"/>
        <v>38538</v>
      </c>
    </row>
    <row r="130" spans="1:6" x14ac:dyDescent="0.25">
      <c r="A130" s="14">
        <v>3310</v>
      </c>
      <c r="B130" s="14" t="s">
        <v>166</v>
      </c>
      <c r="C130" s="16">
        <v>39626</v>
      </c>
      <c r="D130" s="14" t="s">
        <v>861</v>
      </c>
      <c r="E130" s="14" t="s">
        <v>864</v>
      </c>
      <c r="F130" s="19">
        <f t="shared" ref="F130:F193" si="2">C130</f>
        <v>39626</v>
      </c>
    </row>
    <row r="131" spans="1:6" x14ac:dyDescent="0.25">
      <c r="A131" s="14">
        <v>3313</v>
      </c>
      <c r="B131" s="14" t="s">
        <v>167</v>
      </c>
      <c r="C131" s="16">
        <v>38866</v>
      </c>
      <c r="D131" s="14" t="s">
        <v>861</v>
      </c>
      <c r="E131" s="14" t="s">
        <v>864</v>
      </c>
      <c r="F131" s="19">
        <f t="shared" si="2"/>
        <v>38866</v>
      </c>
    </row>
    <row r="132" spans="1:6" x14ac:dyDescent="0.25">
      <c r="A132" s="14">
        <v>3317</v>
      </c>
      <c r="B132" s="14" t="s">
        <v>168</v>
      </c>
      <c r="C132" s="16">
        <v>39303</v>
      </c>
      <c r="D132" s="14" t="s">
        <v>861</v>
      </c>
      <c r="E132" s="14" t="s">
        <v>879</v>
      </c>
      <c r="F132" s="19">
        <f t="shared" si="2"/>
        <v>39303</v>
      </c>
    </row>
    <row r="133" spans="1:6" x14ac:dyDescent="0.25">
      <c r="A133" s="14">
        <v>3322</v>
      </c>
      <c r="B133" s="14" t="s">
        <v>169</v>
      </c>
      <c r="C133" s="16">
        <v>39953</v>
      </c>
      <c r="D133" s="14" t="s">
        <v>861</v>
      </c>
      <c r="E133" s="14" t="s">
        <v>864</v>
      </c>
      <c r="F133" s="19">
        <f t="shared" si="2"/>
        <v>39953</v>
      </c>
    </row>
    <row r="134" spans="1:6" x14ac:dyDescent="0.25">
      <c r="A134" s="14">
        <v>3323</v>
      </c>
      <c r="B134" s="14" t="s">
        <v>170</v>
      </c>
      <c r="C134" s="16">
        <v>39258</v>
      </c>
      <c r="D134" s="14" t="s">
        <v>861</v>
      </c>
      <c r="E134" s="14" t="s">
        <v>867</v>
      </c>
      <c r="F134" s="19">
        <f t="shared" si="2"/>
        <v>39258</v>
      </c>
    </row>
    <row r="135" spans="1:6" x14ac:dyDescent="0.25">
      <c r="A135" s="14">
        <v>3324</v>
      </c>
      <c r="B135" s="14" t="s">
        <v>171</v>
      </c>
      <c r="C135" s="16">
        <v>38485</v>
      </c>
      <c r="D135" s="14" t="s">
        <v>861</v>
      </c>
      <c r="E135" s="14" t="s">
        <v>870</v>
      </c>
      <c r="F135" s="19">
        <f t="shared" si="2"/>
        <v>38485</v>
      </c>
    </row>
    <row r="136" spans="1:6" x14ac:dyDescent="0.25">
      <c r="A136" s="14">
        <v>3325</v>
      </c>
      <c r="B136" s="14" t="s">
        <v>172</v>
      </c>
      <c r="C136" s="16">
        <v>38579</v>
      </c>
      <c r="D136" s="14" t="s">
        <v>861</v>
      </c>
      <c r="E136" s="14" t="s">
        <v>867</v>
      </c>
      <c r="F136" s="19">
        <f t="shared" si="2"/>
        <v>38579</v>
      </c>
    </row>
    <row r="137" spans="1:6" x14ac:dyDescent="0.25">
      <c r="A137" s="14">
        <v>3332</v>
      </c>
      <c r="B137" s="14" t="s">
        <v>173</v>
      </c>
      <c r="C137" s="16">
        <v>39471</v>
      </c>
      <c r="D137" s="14" t="s">
        <v>861</v>
      </c>
      <c r="E137" s="14" t="s">
        <v>864</v>
      </c>
      <c r="F137" s="19">
        <f t="shared" si="2"/>
        <v>39471</v>
      </c>
    </row>
    <row r="138" spans="1:6" x14ac:dyDescent="0.25">
      <c r="A138" s="14">
        <v>3339</v>
      </c>
      <c r="B138" s="14" t="s">
        <v>174</v>
      </c>
      <c r="C138" s="16">
        <v>38895</v>
      </c>
      <c r="D138" s="14" t="s">
        <v>861</v>
      </c>
      <c r="E138" s="14" t="s">
        <v>877</v>
      </c>
      <c r="F138" s="19">
        <f t="shared" si="2"/>
        <v>38895</v>
      </c>
    </row>
    <row r="139" spans="1:6" x14ac:dyDescent="0.25">
      <c r="A139" s="14">
        <v>3354</v>
      </c>
      <c r="B139" s="14" t="s">
        <v>175</v>
      </c>
      <c r="C139" s="16">
        <v>38694</v>
      </c>
      <c r="D139" s="14" t="s">
        <v>861</v>
      </c>
      <c r="E139" s="14" t="s">
        <v>864</v>
      </c>
      <c r="F139" s="19">
        <f t="shared" si="2"/>
        <v>38694</v>
      </c>
    </row>
    <row r="140" spans="1:6" x14ac:dyDescent="0.25">
      <c r="A140" s="14">
        <v>3360</v>
      </c>
      <c r="B140" s="14" t="s">
        <v>176</v>
      </c>
      <c r="C140" s="16">
        <v>38874</v>
      </c>
      <c r="D140" s="14" t="s">
        <v>861</v>
      </c>
      <c r="E140" s="14" t="s">
        <v>882</v>
      </c>
      <c r="F140" s="19">
        <f t="shared" si="2"/>
        <v>38874</v>
      </c>
    </row>
    <row r="141" spans="1:6" x14ac:dyDescent="0.25">
      <c r="A141" s="14">
        <v>3362</v>
      </c>
      <c r="B141" s="14" t="s">
        <v>177</v>
      </c>
      <c r="C141" s="16">
        <v>38601</v>
      </c>
      <c r="D141" s="14" t="s">
        <v>861</v>
      </c>
      <c r="E141" s="14" t="s">
        <v>877</v>
      </c>
      <c r="F141" s="19">
        <f t="shared" si="2"/>
        <v>38601</v>
      </c>
    </row>
    <row r="142" spans="1:6" x14ac:dyDescent="0.25">
      <c r="A142" s="14">
        <v>3363</v>
      </c>
      <c r="B142" s="14" t="s">
        <v>178</v>
      </c>
      <c r="C142" s="16">
        <v>40599</v>
      </c>
      <c r="D142" s="14" t="s">
        <v>861</v>
      </c>
      <c r="E142" s="14" t="s">
        <v>878</v>
      </c>
      <c r="F142" s="19">
        <f t="shared" si="2"/>
        <v>40599</v>
      </c>
    </row>
    <row r="143" spans="1:6" x14ac:dyDescent="0.25">
      <c r="A143" s="14">
        <v>3372</v>
      </c>
      <c r="B143" s="14" t="s">
        <v>179</v>
      </c>
      <c r="C143" s="16">
        <v>38702</v>
      </c>
      <c r="D143" s="14" t="s">
        <v>861</v>
      </c>
      <c r="E143" s="14" t="s">
        <v>879</v>
      </c>
      <c r="F143" s="19">
        <f t="shared" si="2"/>
        <v>38702</v>
      </c>
    </row>
    <row r="144" spans="1:6" x14ac:dyDescent="0.25">
      <c r="A144" s="14">
        <v>3373</v>
      </c>
      <c r="B144" s="14" t="s">
        <v>180</v>
      </c>
      <c r="C144" s="16">
        <v>39429</v>
      </c>
      <c r="D144" s="14" t="s">
        <v>861</v>
      </c>
      <c r="E144" s="14" t="s">
        <v>870</v>
      </c>
      <c r="F144" s="19">
        <f t="shared" si="2"/>
        <v>39429</v>
      </c>
    </row>
    <row r="145" spans="1:6" x14ac:dyDescent="0.25">
      <c r="A145" s="14">
        <v>3374</v>
      </c>
      <c r="B145" s="14" t="s">
        <v>181</v>
      </c>
      <c r="C145" s="16">
        <v>42093</v>
      </c>
      <c r="D145" s="14" t="s">
        <v>861</v>
      </c>
      <c r="E145" s="14" t="s">
        <v>879</v>
      </c>
      <c r="F145" s="19">
        <f t="shared" si="2"/>
        <v>42093</v>
      </c>
    </row>
    <row r="146" spans="1:6" x14ac:dyDescent="0.25">
      <c r="A146" s="14">
        <v>3379</v>
      </c>
      <c r="B146" s="14" t="s">
        <v>182</v>
      </c>
      <c r="C146" s="16">
        <v>40836</v>
      </c>
      <c r="D146" s="14" t="s">
        <v>861</v>
      </c>
      <c r="E146" s="14" t="s">
        <v>866</v>
      </c>
      <c r="F146" s="19">
        <f t="shared" si="2"/>
        <v>40836</v>
      </c>
    </row>
    <row r="147" spans="1:6" x14ac:dyDescent="0.25">
      <c r="A147" s="14">
        <v>3388</v>
      </c>
      <c r="B147" s="14" t="s">
        <v>183</v>
      </c>
      <c r="C147" s="16">
        <v>38770</v>
      </c>
      <c r="D147" s="14" t="s">
        <v>861</v>
      </c>
      <c r="E147" s="14" t="s">
        <v>864</v>
      </c>
      <c r="F147" s="19">
        <f t="shared" si="2"/>
        <v>38770</v>
      </c>
    </row>
    <row r="148" spans="1:6" x14ac:dyDescent="0.25">
      <c r="A148" s="14">
        <v>3390</v>
      </c>
      <c r="B148" s="14" t="s">
        <v>184</v>
      </c>
      <c r="C148" s="16">
        <v>38770</v>
      </c>
      <c r="D148" s="14" t="s">
        <v>861</v>
      </c>
      <c r="E148" s="14" t="s">
        <v>864</v>
      </c>
      <c r="F148" s="19">
        <f t="shared" si="2"/>
        <v>38770</v>
      </c>
    </row>
    <row r="149" spans="1:6" x14ac:dyDescent="0.25">
      <c r="A149" s="14">
        <v>3402</v>
      </c>
      <c r="B149" s="14" t="s">
        <v>185</v>
      </c>
      <c r="C149" s="16">
        <v>39091</v>
      </c>
      <c r="D149" s="14" t="s">
        <v>861</v>
      </c>
      <c r="E149" s="14" t="s">
        <v>870</v>
      </c>
      <c r="F149" s="19">
        <f t="shared" si="2"/>
        <v>39091</v>
      </c>
    </row>
    <row r="150" spans="1:6" x14ac:dyDescent="0.25">
      <c r="A150" s="14">
        <v>3426</v>
      </c>
      <c r="B150" s="14" t="s">
        <v>186</v>
      </c>
      <c r="C150" s="16">
        <v>42725</v>
      </c>
      <c r="D150" s="14" t="s">
        <v>861</v>
      </c>
      <c r="E150" s="14" t="s">
        <v>866</v>
      </c>
      <c r="F150" s="19">
        <f t="shared" si="2"/>
        <v>42725</v>
      </c>
    </row>
    <row r="151" spans="1:6" x14ac:dyDescent="0.25">
      <c r="A151" s="14">
        <v>3428</v>
      </c>
      <c r="B151" s="14" t="s">
        <v>187</v>
      </c>
      <c r="C151" s="16">
        <v>41038</v>
      </c>
      <c r="D151" s="14" t="s">
        <v>861</v>
      </c>
      <c r="E151" s="14" t="s">
        <v>877</v>
      </c>
      <c r="F151" s="19">
        <f t="shared" si="2"/>
        <v>41038</v>
      </c>
    </row>
    <row r="152" spans="1:6" x14ac:dyDescent="0.25">
      <c r="A152" s="14">
        <v>3431</v>
      </c>
      <c r="B152" s="14" t="s">
        <v>188</v>
      </c>
      <c r="C152" s="16">
        <v>38917</v>
      </c>
      <c r="D152" s="14" t="s">
        <v>861</v>
      </c>
      <c r="E152" s="14" t="s">
        <v>878</v>
      </c>
      <c r="F152" s="19">
        <f t="shared" si="2"/>
        <v>38917</v>
      </c>
    </row>
    <row r="153" spans="1:6" x14ac:dyDescent="0.25">
      <c r="A153" s="14">
        <v>3434</v>
      </c>
      <c r="B153" s="14" t="s">
        <v>189</v>
      </c>
      <c r="C153" s="16">
        <v>39475</v>
      </c>
      <c r="D153" s="14" t="s">
        <v>861</v>
      </c>
      <c r="E153" s="14" t="s">
        <v>877</v>
      </c>
      <c r="F153" s="19">
        <f t="shared" si="2"/>
        <v>39475</v>
      </c>
    </row>
    <row r="154" spans="1:6" x14ac:dyDescent="0.25">
      <c r="A154" s="14">
        <v>3438</v>
      </c>
      <c r="B154" s="14" t="s">
        <v>190</v>
      </c>
      <c r="C154" s="16">
        <v>38917</v>
      </c>
      <c r="D154" s="14" t="s">
        <v>861</v>
      </c>
      <c r="E154" s="14" t="s">
        <v>879</v>
      </c>
      <c r="F154" s="19">
        <f t="shared" si="2"/>
        <v>38917</v>
      </c>
    </row>
    <row r="155" spans="1:6" x14ac:dyDescent="0.25">
      <c r="A155" s="14">
        <v>3441</v>
      </c>
      <c r="B155" s="14" t="s">
        <v>191</v>
      </c>
      <c r="C155" s="16">
        <v>40455</v>
      </c>
      <c r="D155" s="14" t="s">
        <v>861</v>
      </c>
      <c r="E155" s="14" t="s">
        <v>877</v>
      </c>
      <c r="F155" s="19">
        <f t="shared" si="2"/>
        <v>40455</v>
      </c>
    </row>
    <row r="156" spans="1:6" x14ac:dyDescent="0.25">
      <c r="A156" s="14">
        <v>3444</v>
      </c>
      <c r="B156" s="14" t="s">
        <v>192</v>
      </c>
      <c r="C156" s="16">
        <v>39717</v>
      </c>
      <c r="D156" s="14" t="s">
        <v>861</v>
      </c>
      <c r="E156" s="14" t="s">
        <v>882</v>
      </c>
      <c r="F156" s="19">
        <f t="shared" si="2"/>
        <v>39717</v>
      </c>
    </row>
    <row r="157" spans="1:6" x14ac:dyDescent="0.25">
      <c r="A157" s="14">
        <v>3452</v>
      </c>
      <c r="B157" s="14" t="s">
        <v>193</v>
      </c>
      <c r="C157" s="16">
        <v>38784</v>
      </c>
      <c r="D157" s="14" t="s">
        <v>861</v>
      </c>
      <c r="E157" s="14" t="s">
        <v>877</v>
      </c>
      <c r="F157" s="19">
        <f t="shared" si="2"/>
        <v>38784</v>
      </c>
    </row>
    <row r="158" spans="1:6" x14ac:dyDescent="0.25">
      <c r="A158" s="14">
        <v>3455</v>
      </c>
      <c r="B158" s="14" t="s">
        <v>194</v>
      </c>
      <c r="C158" s="16">
        <v>39443</v>
      </c>
      <c r="D158" s="14" t="s">
        <v>861</v>
      </c>
      <c r="E158" s="14" t="s">
        <v>877</v>
      </c>
      <c r="F158" s="19">
        <f t="shared" si="2"/>
        <v>39443</v>
      </c>
    </row>
    <row r="159" spans="1:6" x14ac:dyDescent="0.25">
      <c r="A159" s="14">
        <v>3465</v>
      </c>
      <c r="B159" s="14" t="s">
        <v>195</v>
      </c>
      <c r="C159" s="16">
        <v>39475</v>
      </c>
      <c r="D159" s="14" t="s">
        <v>861</v>
      </c>
      <c r="E159" s="14" t="s">
        <v>864</v>
      </c>
      <c r="F159" s="19">
        <f t="shared" si="2"/>
        <v>39475</v>
      </c>
    </row>
    <row r="160" spans="1:6" x14ac:dyDescent="0.25">
      <c r="A160" s="14">
        <v>3466</v>
      </c>
      <c r="B160" s="14" t="s">
        <v>196</v>
      </c>
      <c r="C160" s="16">
        <v>38854</v>
      </c>
      <c r="D160" s="14" t="s">
        <v>861</v>
      </c>
      <c r="E160" s="14" t="s">
        <v>878</v>
      </c>
      <c r="F160" s="19">
        <f t="shared" si="2"/>
        <v>38854</v>
      </c>
    </row>
    <row r="161" spans="1:6" x14ac:dyDescent="0.25">
      <c r="A161" s="14">
        <v>3479</v>
      </c>
      <c r="B161" s="14" t="s">
        <v>197</v>
      </c>
      <c r="C161" s="16">
        <v>40337</v>
      </c>
      <c r="D161" s="14" t="s">
        <v>861</v>
      </c>
      <c r="E161" s="14" t="s">
        <v>867</v>
      </c>
      <c r="F161" s="19">
        <f t="shared" si="2"/>
        <v>40337</v>
      </c>
    </row>
    <row r="162" spans="1:6" x14ac:dyDescent="0.25">
      <c r="A162" s="14">
        <v>3483</v>
      </c>
      <c r="B162" s="14" t="s">
        <v>198</v>
      </c>
      <c r="C162" s="16">
        <v>39069</v>
      </c>
      <c r="D162" s="14" t="s">
        <v>861</v>
      </c>
      <c r="E162" s="14" t="s">
        <v>867</v>
      </c>
      <c r="F162" s="19">
        <f t="shared" si="2"/>
        <v>39069</v>
      </c>
    </row>
    <row r="163" spans="1:6" x14ac:dyDescent="0.25">
      <c r="A163" s="14">
        <v>3484</v>
      </c>
      <c r="B163" s="14" t="s">
        <v>199</v>
      </c>
      <c r="C163" s="16">
        <v>39395</v>
      </c>
      <c r="D163" s="14" t="s">
        <v>861</v>
      </c>
      <c r="E163" s="14" t="s">
        <v>864</v>
      </c>
      <c r="F163" s="19">
        <f t="shared" si="2"/>
        <v>39395</v>
      </c>
    </row>
    <row r="164" spans="1:6" x14ac:dyDescent="0.25">
      <c r="A164" s="14">
        <v>3489</v>
      </c>
      <c r="B164" s="14" t="s">
        <v>200</v>
      </c>
      <c r="C164" s="16">
        <v>39354</v>
      </c>
      <c r="D164" s="14" t="s">
        <v>861</v>
      </c>
      <c r="E164" s="14" t="s">
        <v>873</v>
      </c>
      <c r="F164" s="19">
        <f t="shared" si="2"/>
        <v>39354</v>
      </c>
    </row>
    <row r="165" spans="1:6" x14ac:dyDescent="0.25">
      <c r="A165" s="14">
        <v>3490</v>
      </c>
      <c r="B165" s="14" t="s">
        <v>201</v>
      </c>
      <c r="C165" s="16">
        <v>39370</v>
      </c>
      <c r="D165" s="14" t="s">
        <v>861</v>
      </c>
      <c r="E165" s="14" t="s">
        <v>877</v>
      </c>
      <c r="F165" s="19">
        <f t="shared" si="2"/>
        <v>39370</v>
      </c>
    </row>
    <row r="166" spans="1:6" x14ac:dyDescent="0.25">
      <c r="A166" s="14">
        <v>3491</v>
      </c>
      <c r="B166" s="14" t="s">
        <v>202</v>
      </c>
      <c r="C166" s="16">
        <v>39450</v>
      </c>
      <c r="D166" s="14" t="s">
        <v>861</v>
      </c>
      <c r="E166" s="14" t="s">
        <v>878</v>
      </c>
      <c r="F166" s="19">
        <f t="shared" si="2"/>
        <v>39450</v>
      </c>
    </row>
    <row r="167" spans="1:6" x14ac:dyDescent="0.25">
      <c r="A167" s="14">
        <v>3492</v>
      </c>
      <c r="B167" s="14" t="s">
        <v>203</v>
      </c>
      <c r="C167" s="16">
        <v>42142</v>
      </c>
      <c r="D167" s="14" t="s">
        <v>861</v>
      </c>
      <c r="E167" s="14" t="s">
        <v>864</v>
      </c>
      <c r="F167" s="19">
        <f t="shared" si="2"/>
        <v>42142</v>
      </c>
    </row>
    <row r="168" spans="1:6" x14ac:dyDescent="0.25">
      <c r="A168" s="14">
        <v>3498</v>
      </c>
      <c r="B168" s="14" t="s">
        <v>204</v>
      </c>
      <c r="C168" s="16">
        <v>39336</v>
      </c>
      <c r="D168" s="14" t="s">
        <v>861</v>
      </c>
      <c r="E168" s="14" t="s">
        <v>870</v>
      </c>
      <c r="F168" s="19">
        <f t="shared" si="2"/>
        <v>39336</v>
      </c>
    </row>
    <row r="169" spans="1:6" x14ac:dyDescent="0.25">
      <c r="A169" s="14">
        <v>3499</v>
      </c>
      <c r="B169" s="14" t="s">
        <v>205</v>
      </c>
      <c r="C169" s="16">
        <v>39009</v>
      </c>
      <c r="D169" s="14" t="s">
        <v>861</v>
      </c>
      <c r="E169" s="14" t="s">
        <v>878</v>
      </c>
      <c r="F169" s="19">
        <f t="shared" si="2"/>
        <v>39009</v>
      </c>
    </row>
    <row r="170" spans="1:6" x14ac:dyDescent="0.25">
      <c r="A170" s="14">
        <v>3508</v>
      </c>
      <c r="B170" s="14" t="s">
        <v>206</v>
      </c>
      <c r="C170" s="16">
        <v>39372</v>
      </c>
      <c r="D170" s="14" t="s">
        <v>861</v>
      </c>
      <c r="E170" s="14" t="s">
        <v>870</v>
      </c>
      <c r="F170" s="19">
        <f t="shared" si="2"/>
        <v>39372</v>
      </c>
    </row>
    <row r="171" spans="1:6" x14ac:dyDescent="0.25">
      <c r="A171" s="14">
        <v>3511</v>
      </c>
      <c r="B171" s="14" t="s">
        <v>207</v>
      </c>
      <c r="C171" s="16">
        <v>39860</v>
      </c>
      <c r="D171" s="14" t="s">
        <v>861</v>
      </c>
      <c r="E171" s="14" t="s">
        <v>864</v>
      </c>
      <c r="F171" s="19">
        <f t="shared" si="2"/>
        <v>39860</v>
      </c>
    </row>
    <row r="172" spans="1:6" x14ac:dyDescent="0.25">
      <c r="A172" s="14">
        <v>3512</v>
      </c>
      <c r="B172" s="14" t="s">
        <v>208</v>
      </c>
      <c r="C172" s="16">
        <v>39288</v>
      </c>
      <c r="D172" s="14" t="s">
        <v>861</v>
      </c>
      <c r="E172" s="14" t="s">
        <v>864</v>
      </c>
      <c r="F172" s="19">
        <f t="shared" si="2"/>
        <v>39288</v>
      </c>
    </row>
    <row r="173" spans="1:6" x14ac:dyDescent="0.25">
      <c r="A173" s="14">
        <v>3516</v>
      </c>
      <c r="B173" s="14" t="s">
        <v>209</v>
      </c>
      <c r="C173" s="16">
        <v>39415</v>
      </c>
      <c r="D173" s="14" t="s">
        <v>861</v>
      </c>
      <c r="E173" s="14" t="s">
        <v>877</v>
      </c>
      <c r="F173" s="19">
        <f t="shared" si="2"/>
        <v>39415</v>
      </c>
    </row>
    <row r="174" spans="1:6" x14ac:dyDescent="0.25">
      <c r="A174" s="14">
        <v>3520</v>
      </c>
      <c r="B174" s="14" t="s">
        <v>210</v>
      </c>
      <c r="C174" s="16">
        <v>39367</v>
      </c>
      <c r="D174" s="14" t="s">
        <v>861</v>
      </c>
      <c r="E174" s="14" t="s">
        <v>864</v>
      </c>
      <c r="F174" s="19">
        <f t="shared" si="2"/>
        <v>39367</v>
      </c>
    </row>
    <row r="175" spans="1:6" x14ac:dyDescent="0.25">
      <c r="A175" s="14">
        <v>3521</v>
      </c>
      <c r="B175" s="14" t="s">
        <v>211</v>
      </c>
      <c r="C175" s="16">
        <v>39301</v>
      </c>
      <c r="D175" s="14" t="s">
        <v>861</v>
      </c>
      <c r="E175" s="14" t="s">
        <v>867</v>
      </c>
      <c r="F175" s="19">
        <f t="shared" si="2"/>
        <v>39301</v>
      </c>
    </row>
    <row r="176" spans="1:6" x14ac:dyDescent="0.25">
      <c r="A176" s="14">
        <v>3522</v>
      </c>
      <c r="B176" s="14" t="s">
        <v>212</v>
      </c>
      <c r="C176" s="16">
        <v>39370</v>
      </c>
      <c r="D176" s="14" t="s">
        <v>861</v>
      </c>
      <c r="E176" s="14" t="s">
        <v>877</v>
      </c>
      <c r="F176" s="19">
        <f t="shared" si="2"/>
        <v>39370</v>
      </c>
    </row>
    <row r="177" spans="1:6" x14ac:dyDescent="0.25">
      <c r="A177" s="14">
        <v>3523</v>
      </c>
      <c r="B177" s="14" t="s">
        <v>213</v>
      </c>
      <c r="C177" s="16">
        <v>39402</v>
      </c>
      <c r="D177" s="14" t="s">
        <v>861</v>
      </c>
      <c r="E177" s="14" t="s">
        <v>877</v>
      </c>
      <c r="F177" s="19">
        <f t="shared" si="2"/>
        <v>39402</v>
      </c>
    </row>
    <row r="178" spans="1:6" x14ac:dyDescent="0.25">
      <c r="A178" s="14">
        <v>3526</v>
      </c>
      <c r="B178" s="14" t="s">
        <v>214</v>
      </c>
      <c r="C178" s="16">
        <v>39388</v>
      </c>
      <c r="D178" s="14" t="s">
        <v>861</v>
      </c>
      <c r="E178" s="14" t="s">
        <v>864</v>
      </c>
      <c r="F178" s="19">
        <f t="shared" si="2"/>
        <v>39388</v>
      </c>
    </row>
    <row r="179" spans="1:6" x14ac:dyDescent="0.25">
      <c r="A179" s="14">
        <v>3527</v>
      </c>
      <c r="B179" s="14" t="s">
        <v>215</v>
      </c>
      <c r="C179" s="16">
        <v>39384</v>
      </c>
      <c r="D179" s="14" t="s">
        <v>861</v>
      </c>
      <c r="E179" s="14" t="s">
        <v>879</v>
      </c>
      <c r="F179" s="19">
        <f t="shared" si="2"/>
        <v>39384</v>
      </c>
    </row>
    <row r="180" spans="1:6" x14ac:dyDescent="0.25">
      <c r="A180" s="14">
        <v>3529</v>
      </c>
      <c r="B180" s="14" t="s">
        <v>216</v>
      </c>
      <c r="C180" s="16">
        <v>40567</v>
      </c>
      <c r="D180" s="14" t="s">
        <v>861</v>
      </c>
      <c r="E180" s="14" t="s">
        <v>879</v>
      </c>
      <c r="F180" s="19">
        <f t="shared" si="2"/>
        <v>40567</v>
      </c>
    </row>
    <row r="181" spans="1:6" x14ac:dyDescent="0.25">
      <c r="A181" s="14">
        <v>3531</v>
      </c>
      <c r="B181" s="14" t="s">
        <v>217</v>
      </c>
      <c r="C181" s="16">
        <v>39546</v>
      </c>
      <c r="D181" s="14" t="s">
        <v>861</v>
      </c>
      <c r="E181" s="14" t="s">
        <v>877</v>
      </c>
      <c r="F181" s="19">
        <f t="shared" si="2"/>
        <v>39546</v>
      </c>
    </row>
    <row r="182" spans="1:6" x14ac:dyDescent="0.25">
      <c r="A182" s="14">
        <v>3537</v>
      </c>
      <c r="B182" s="14" t="s">
        <v>218</v>
      </c>
      <c r="C182" s="16">
        <v>40203</v>
      </c>
      <c r="D182" s="14" t="s">
        <v>861</v>
      </c>
      <c r="E182" s="14" t="s">
        <v>864</v>
      </c>
      <c r="F182" s="19">
        <f t="shared" si="2"/>
        <v>40203</v>
      </c>
    </row>
    <row r="183" spans="1:6" x14ac:dyDescent="0.25">
      <c r="A183" s="14">
        <v>3540</v>
      </c>
      <c r="B183" s="14" t="s">
        <v>219</v>
      </c>
      <c r="C183" s="16">
        <v>39428</v>
      </c>
      <c r="D183" s="14" t="s">
        <v>861</v>
      </c>
      <c r="E183" s="14" t="s">
        <v>867</v>
      </c>
      <c r="F183" s="19">
        <f t="shared" si="2"/>
        <v>39428</v>
      </c>
    </row>
    <row r="184" spans="1:6" x14ac:dyDescent="0.25">
      <c r="A184" s="14">
        <v>3541</v>
      </c>
      <c r="B184" s="14" t="s">
        <v>220</v>
      </c>
      <c r="C184" s="16">
        <v>40169</v>
      </c>
      <c r="D184" s="14" t="s">
        <v>861</v>
      </c>
      <c r="E184" s="14" t="s">
        <v>870</v>
      </c>
      <c r="F184" s="19">
        <f t="shared" si="2"/>
        <v>40169</v>
      </c>
    </row>
    <row r="185" spans="1:6" x14ac:dyDescent="0.25">
      <c r="A185" s="14">
        <v>3546</v>
      </c>
      <c r="B185" s="14" t="s">
        <v>221</v>
      </c>
      <c r="C185" s="16">
        <v>39556</v>
      </c>
      <c r="D185" s="14" t="s">
        <v>861</v>
      </c>
      <c r="E185" s="14" t="s">
        <v>880</v>
      </c>
      <c r="F185" s="19">
        <f t="shared" si="2"/>
        <v>39556</v>
      </c>
    </row>
    <row r="186" spans="1:6" x14ac:dyDescent="0.25">
      <c r="A186" s="14">
        <v>3548</v>
      </c>
      <c r="B186" s="14" t="s">
        <v>222</v>
      </c>
      <c r="C186" s="16">
        <v>39534</v>
      </c>
      <c r="D186" s="14" t="s">
        <v>861</v>
      </c>
      <c r="E186" s="14" t="s">
        <v>864</v>
      </c>
      <c r="F186" s="19">
        <f t="shared" si="2"/>
        <v>39534</v>
      </c>
    </row>
    <row r="187" spans="1:6" x14ac:dyDescent="0.25">
      <c r="A187" s="14">
        <v>3551</v>
      </c>
      <c r="B187" s="14" t="s">
        <v>223</v>
      </c>
      <c r="C187" s="16">
        <v>39553</v>
      </c>
      <c r="D187" s="14" t="s">
        <v>861</v>
      </c>
      <c r="E187" s="14" t="s">
        <v>870</v>
      </c>
      <c r="F187" s="19">
        <f t="shared" si="2"/>
        <v>39553</v>
      </c>
    </row>
    <row r="188" spans="1:6" x14ac:dyDescent="0.25">
      <c r="A188" s="14">
        <v>3552</v>
      </c>
      <c r="B188" s="14" t="s">
        <v>224</v>
      </c>
      <c r="C188" s="16">
        <v>39820</v>
      </c>
      <c r="D188" s="14" t="s">
        <v>861</v>
      </c>
      <c r="E188" s="14" t="s">
        <v>870</v>
      </c>
      <c r="F188" s="19">
        <f t="shared" si="2"/>
        <v>39820</v>
      </c>
    </row>
    <row r="189" spans="1:6" x14ac:dyDescent="0.25">
      <c r="A189" s="14">
        <v>3553</v>
      </c>
      <c r="B189" s="14" t="s">
        <v>225</v>
      </c>
      <c r="C189" s="16">
        <v>39742</v>
      </c>
      <c r="D189" s="14" t="s">
        <v>861</v>
      </c>
      <c r="E189" s="14" t="s">
        <v>879</v>
      </c>
      <c r="F189" s="19">
        <f t="shared" si="2"/>
        <v>39742</v>
      </c>
    </row>
    <row r="190" spans="1:6" x14ac:dyDescent="0.25">
      <c r="A190" s="14">
        <v>3555</v>
      </c>
      <c r="B190" s="14" t="s">
        <v>226</v>
      </c>
      <c r="C190" s="16">
        <v>40855</v>
      </c>
      <c r="D190" s="14" t="s">
        <v>861</v>
      </c>
      <c r="E190" s="14" t="s">
        <v>879</v>
      </c>
      <c r="F190" s="19">
        <f t="shared" si="2"/>
        <v>40855</v>
      </c>
    </row>
    <row r="191" spans="1:6" x14ac:dyDescent="0.25">
      <c r="A191" s="14">
        <v>3556</v>
      </c>
      <c r="B191" s="14" t="s">
        <v>227</v>
      </c>
      <c r="C191" s="16">
        <v>39553</v>
      </c>
      <c r="D191" s="14" t="s">
        <v>861</v>
      </c>
      <c r="E191" s="14" t="s">
        <v>879</v>
      </c>
      <c r="F191" s="19">
        <f t="shared" si="2"/>
        <v>39553</v>
      </c>
    </row>
    <row r="192" spans="1:6" x14ac:dyDescent="0.25">
      <c r="A192" s="14">
        <v>3558</v>
      </c>
      <c r="B192" s="14" t="s">
        <v>228</v>
      </c>
      <c r="C192" s="16">
        <v>41638</v>
      </c>
      <c r="D192" s="14" t="s">
        <v>861</v>
      </c>
      <c r="E192" s="14" t="s">
        <v>878</v>
      </c>
      <c r="F192" s="19">
        <f t="shared" si="2"/>
        <v>41638</v>
      </c>
    </row>
    <row r="193" spans="1:6" x14ac:dyDescent="0.25">
      <c r="A193" s="14">
        <v>3562</v>
      </c>
      <c r="B193" s="14" t="s">
        <v>229</v>
      </c>
      <c r="C193" s="16">
        <v>39616</v>
      </c>
      <c r="D193" s="14" t="s">
        <v>861</v>
      </c>
      <c r="E193" s="14" t="s">
        <v>877</v>
      </c>
      <c r="F193" s="19">
        <f t="shared" si="2"/>
        <v>39616</v>
      </c>
    </row>
    <row r="194" spans="1:6" x14ac:dyDescent="0.25">
      <c r="A194" s="14">
        <v>3563</v>
      </c>
      <c r="B194" s="14" t="s">
        <v>230</v>
      </c>
      <c r="C194" s="16">
        <v>40548</v>
      </c>
      <c r="D194" s="14" t="s">
        <v>861</v>
      </c>
      <c r="E194" s="14" t="s">
        <v>870</v>
      </c>
      <c r="F194" s="19">
        <f t="shared" ref="F194:F257" si="3">C194</f>
        <v>40548</v>
      </c>
    </row>
    <row r="195" spans="1:6" x14ac:dyDescent="0.25">
      <c r="A195" s="14">
        <v>3564</v>
      </c>
      <c r="B195" s="14" t="s">
        <v>231</v>
      </c>
      <c r="C195" s="16">
        <v>41611</v>
      </c>
      <c r="D195" s="14" t="s">
        <v>861</v>
      </c>
      <c r="E195" s="14" t="s">
        <v>878</v>
      </c>
      <c r="F195" s="19">
        <f t="shared" si="3"/>
        <v>41611</v>
      </c>
    </row>
    <row r="196" spans="1:6" x14ac:dyDescent="0.25">
      <c r="A196" s="14">
        <v>3567</v>
      </c>
      <c r="B196" s="14" t="s">
        <v>232</v>
      </c>
      <c r="C196" s="16">
        <v>40504</v>
      </c>
      <c r="D196" s="14" t="s">
        <v>861</v>
      </c>
      <c r="E196" s="14" t="s">
        <v>879</v>
      </c>
      <c r="F196" s="19">
        <f t="shared" si="3"/>
        <v>40504</v>
      </c>
    </row>
    <row r="197" spans="1:6" x14ac:dyDescent="0.25">
      <c r="A197" s="14">
        <v>3570</v>
      </c>
      <c r="B197" s="14" t="s">
        <v>233</v>
      </c>
      <c r="C197" s="16">
        <v>39744</v>
      </c>
      <c r="D197" s="14" t="s">
        <v>861</v>
      </c>
      <c r="E197" s="14" t="s">
        <v>880</v>
      </c>
      <c r="F197" s="19">
        <f t="shared" si="3"/>
        <v>39744</v>
      </c>
    </row>
    <row r="198" spans="1:6" x14ac:dyDescent="0.25">
      <c r="A198" s="14">
        <v>3577</v>
      </c>
      <c r="B198" s="14" t="s">
        <v>234</v>
      </c>
      <c r="C198" s="16">
        <v>39819</v>
      </c>
      <c r="D198" s="14" t="s">
        <v>861</v>
      </c>
      <c r="E198" s="14" t="s">
        <v>867</v>
      </c>
      <c r="F198" s="19">
        <f t="shared" si="3"/>
        <v>39819</v>
      </c>
    </row>
    <row r="199" spans="1:6" x14ac:dyDescent="0.25">
      <c r="A199" s="14">
        <v>3580</v>
      </c>
      <c r="B199" s="14" t="s">
        <v>235</v>
      </c>
      <c r="C199" s="16">
        <v>40368</v>
      </c>
      <c r="D199" s="14" t="s">
        <v>861</v>
      </c>
      <c r="E199" s="14" t="s">
        <v>870</v>
      </c>
      <c r="F199" s="19">
        <f t="shared" si="3"/>
        <v>40368</v>
      </c>
    </row>
    <row r="200" spans="1:6" x14ac:dyDescent="0.25">
      <c r="A200" s="14">
        <v>3581</v>
      </c>
      <c r="B200" s="14" t="s">
        <v>236</v>
      </c>
      <c r="C200" s="16">
        <v>42024</v>
      </c>
      <c r="D200" s="14" t="s">
        <v>861</v>
      </c>
      <c r="E200" s="14" t="s">
        <v>879</v>
      </c>
      <c r="F200" s="19">
        <f t="shared" si="3"/>
        <v>42024</v>
      </c>
    </row>
    <row r="201" spans="1:6" x14ac:dyDescent="0.25">
      <c r="A201" s="14">
        <v>3587</v>
      </c>
      <c r="B201" s="14" t="s">
        <v>237</v>
      </c>
      <c r="C201" s="16">
        <v>40043</v>
      </c>
      <c r="D201" s="14" t="s">
        <v>861</v>
      </c>
      <c r="E201" s="14" t="s">
        <v>870</v>
      </c>
      <c r="F201" s="19">
        <f t="shared" si="3"/>
        <v>40043</v>
      </c>
    </row>
    <row r="202" spans="1:6" x14ac:dyDescent="0.25">
      <c r="A202" s="14">
        <v>3594</v>
      </c>
      <c r="B202" s="14" t="s">
        <v>238</v>
      </c>
      <c r="C202" s="16">
        <v>41401</v>
      </c>
      <c r="D202" s="14" t="s">
        <v>861</v>
      </c>
      <c r="E202" s="14" t="s">
        <v>867</v>
      </c>
      <c r="F202" s="19">
        <f t="shared" si="3"/>
        <v>41401</v>
      </c>
    </row>
    <row r="203" spans="1:6" x14ac:dyDescent="0.25">
      <c r="A203" s="14">
        <v>3609</v>
      </c>
      <c r="B203" s="14" t="s">
        <v>239</v>
      </c>
      <c r="C203" s="16">
        <v>40554</v>
      </c>
      <c r="D203" s="14" t="s">
        <v>861</v>
      </c>
      <c r="E203" s="14" t="s">
        <v>864</v>
      </c>
      <c r="F203" s="19">
        <f t="shared" si="3"/>
        <v>40554</v>
      </c>
    </row>
    <row r="204" spans="1:6" x14ac:dyDescent="0.25">
      <c r="A204" s="14">
        <v>3611</v>
      </c>
      <c r="B204" s="14" t="s">
        <v>240</v>
      </c>
      <c r="C204" s="16">
        <v>39778</v>
      </c>
      <c r="D204" s="14" t="s">
        <v>861</v>
      </c>
      <c r="E204" s="14" t="s">
        <v>867</v>
      </c>
      <c r="F204" s="19">
        <f t="shared" si="3"/>
        <v>39778</v>
      </c>
    </row>
    <row r="205" spans="1:6" x14ac:dyDescent="0.25">
      <c r="A205" s="14">
        <v>3615</v>
      </c>
      <c r="B205" s="14" t="s">
        <v>241</v>
      </c>
      <c r="C205" s="16">
        <v>39918</v>
      </c>
      <c r="D205" s="14" t="s">
        <v>861</v>
      </c>
      <c r="E205" s="14" t="s">
        <v>877</v>
      </c>
      <c r="F205" s="19">
        <f t="shared" si="3"/>
        <v>39918</v>
      </c>
    </row>
    <row r="206" spans="1:6" x14ac:dyDescent="0.25">
      <c r="A206" s="14">
        <v>3623</v>
      </c>
      <c r="B206" s="14" t="s">
        <v>242</v>
      </c>
      <c r="C206" s="16">
        <v>40296</v>
      </c>
      <c r="D206" s="14" t="s">
        <v>861</v>
      </c>
      <c r="E206" s="14" t="s">
        <v>877</v>
      </c>
      <c r="F206" s="19">
        <f t="shared" si="3"/>
        <v>40296</v>
      </c>
    </row>
    <row r="207" spans="1:6" x14ac:dyDescent="0.25">
      <c r="A207" s="14">
        <v>3624</v>
      </c>
      <c r="B207" s="14" t="s">
        <v>243</v>
      </c>
      <c r="C207" s="16">
        <v>40618</v>
      </c>
      <c r="D207" s="14" t="s">
        <v>861</v>
      </c>
      <c r="E207" s="14" t="s">
        <v>864</v>
      </c>
      <c r="F207" s="19">
        <f t="shared" si="3"/>
        <v>40618</v>
      </c>
    </row>
    <row r="208" spans="1:6" x14ac:dyDescent="0.25">
      <c r="A208" s="14">
        <v>3625</v>
      </c>
      <c r="B208" s="14" t="s">
        <v>244</v>
      </c>
      <c r="C208" s="16">
        <v>40114</v>
      </c>
      <c r="D208" s="14" t="s">
        <v>861</v>
      </c>
      <c r="E208" s="14" t="s">
        <v>867</v>
      </c>
      <c r="F208" s="19">
        <f t="shared" si="3"/>
        <v>40114</v>
      </c>
    </row>
    <row r="209" spans="1:6" x14ac:dyDescent="0.25">
      <c r="A209" s="14">
        <v>3628</v>
      </c>
      <c r="B209" s="14" t="s">
        <v>245</v>
      </c>
      <c r="C209" s="16">
        <v>40430</v>
      </c>
      <c r="D209" s="14" t="s">
        <v>861</v>
      </c>
      <c r="E209" s="14" t="s">
        <v>870</v>
      </c>
      <c r="F209" s="19">
        <f t="shared" si="3"/>
        <v>40430</v>
      </c>
    </row>
    <row r="210" spans="1:6" x14ac:dyDescent="0.25">
      <c r="A210" s="14">
        <v>3629</v>
      </c>
      <c r="B210" s="14" t="s">
        <v>246</v>
      </c>
      <c r="C210" s="16">
        <v>40325</v>
      </c>
      <c r="D210" s="14" t="s">
        <v>861</v>
      </c>
      <c r="E210" s="14" t="s">
        <v>877</v>
      </c>
      <c r="F210" s="19">
        <f t="shared" si="3"/>
        <v>40325</v>
      </c>
    </row>
    <row r="211" spans="1:6" x14ac:dyDescent="0.25">
      <c r="A211" s="14">
        <v>3630</v>
      </c>
      <c r="B211" s="14" t="s">
        <v>247</v>
      </c>
      <c r="C211" s="16">
        <v>40294</v>
      </c>
      <c r="D211" s="14" t="s">
        <v>861</v>
      </c>
      <c r="E211" s="14" t="s">
        <v>877</v>
      </c>
      <c r="F211" s="19">
        <f t="shared" si="3"/>
        <v>40294</v>
      </c>
    </row>
    <row r="212" spans="1:6" x14ac:dyDescent="0.25">
      <c r="A212" s="14">
        <v>3631</v>
      </c>
      <c r="B212" s="14" t="s">
        <v>248</v>
      </c>
      <c r="C212" s="16">
        <v>40532</v>
      </c>
      <c r="D212" s="14" t="s">
        <v>861</v>
      </c>
      <c r="E212" s="14" t="s">
        <v>864</v>
      </c>
      <c r="F212" s="19">
        <f t="shared" si="3"/>
        <v>40532</v>
      </c>
    </row>
    <row r="213" spans="1:6" x14ac:dyDescent="0.25">
      <c r="A213" s="14">
        <v>3632</v>
      </c>
      <c r="B213" s="14" t="s">
        <v>249</v>
      </c>
      <c r="C213" s="16">
        <v>40554</v>
      </c>
      <c r="D213" s="14" t="s">
        <v>861</v>
      </c>
      <c r="E213" s="14" t="s">
        <v>878</v>
      </c>
      <c r="F213" s="19">
        <f t="shared" si="3"/>
        <v>40554</v>
      </c>
    </row>
    <row r="214" spans="1:6" x14ac:dyDescent="0.25">
      <c r="A214" s="14">
        <v>3642</v>
      </c>
      <c r="B214" s="14" t="s">
        <v>250</v>
      </c>
      <c r="C214" s="16">
        <v>40815</v>
      </c>
      <c r="D214" s="14" t="s">
        <v>861</v>
      </c>
      <c r="E214" s="14" t="s">
        <v>870</v>
      </c>
      <c r="F214" s="19">
        <f t="shared" si="3"/>
        <v>40815</v>
      </c>
    </row>
    <row r="215" spans="1:6" x14ac:dyDescent="0.25">
      <c r="A215" s="14">
        <v>3646</v>
      </c>
      <c r="B215" s="14" t="s">
        <v>251</v>
      </c>
      <c r="C215" s="16">
        <v>40995</v>
      </c>
      <c r="D215" s="14" t="s">
        <v>861</v>
      </c>
      <c r="E215" s="14" t="s">
        <v>864</v>
      </c>
      <c r="F215" s="19">
        <f t="shared" si="3"/>
        <v>40995</v>
      </c>
    </row>
    <row r="216" spans="1:6" x14ac:dyDescent="0.25">
      <c r="A216" s="14">
        <v>3652</v>
      </c>
      <c r="B216" s="14" t="s">
        <v>252</v>
      </c>
      <c r="C216" s="16">
        <v>40052</v>
      </c>
      <c r="D216" s="14" t="s">
        <v>861</v>
      </c>
      <c r="E216" s="14" t="s">
        <v>867</v>
      </c>
      <c r="F216" s="19">
        <f t="shared" si="3"/>
        <v>40052</v>
      </c>
    </row>
    <row r="217" spans="1:6" x14ac:dyDescent="0.25">
      <c r="A217" s="14">
        <v>3662</v>
      </c>
      <c r="B217" s="14" t="s">
        <v>884</v>
      </c>
      <c r="C217" s="16">
        <v>39953</v>
      </c>
      <c r="D217" s="14" t="s">
        <v>861</v>
      </c>
      <c r="E217" s="14" t="s">
        <v>880</v>
      </c>
      <c r="F217" s="19">
        <f t="shared" si="3"/>
        <v>39953</v>
      </c>
    </row>
    <row r="218" spans="1:6" x14ac:dyDescent="0.25">
      <c r="A218" s="14">
        <v>3663</v>
      </c>
      <c r="B218" s="14" t="s">
        <v>253</v>
      </c>
      <c r="C218" s="16">
        <v>41233</v>
      </c>
      <c r="D218" s="14" t="s">
        <v>861</v>
      </c>
      <c r="E218" s="14" t="s">
        <v>870</v>
      </c>
      <c r="F218" s="19">
        <f t="shared" si="3"/>
        <v>41233</v>
      </c>
    </row>
    <row r="219" spans="1:6" x14ac:dyDescent="0.25">
      <c r="A219" s="14">
        <v>3664</v>
      </c>
      <c r="B219" s="14" t="s">
        <v>254</v>
      </c>
      <c r="C219" s="16">
        <v>40353</v>
      </c>
      <c r="D219" s="14" t="s">
        <v>861</v>
      </c>
      <c r="E219" s="14" t="s">
        <v>878</v>
      </c>
      <c r="F219" s="19">
        <f t="shared" si="3"/>
        <v>40353</v>
      </c>
    </row>
    <row r="220" spans="1:6" x14ac:dyDescent="0.25">
      <c r="A220" s="14">
        <v>3666</v>
      </c>
      <c r="B220" s="14" t="s">
        <v>255</v>
      </c>
      <c r="C220" s="16">
        <v>41977</v>
      </c>
      <c r="D220" s="14" t="s">
        <v>861</v>
      </c>
      <c r="E220" s="14" t="s">
        <v>877</v>
      </c>
      <c r="F220" s="19">
        <f t="shared" si="3"/>
        <v>41977</v>
      </c>
    </row>
    <row r="221" spans="1:6" x14ac:dyDescent="0.25">
      <c r="A221" s="14">
        <v>3672</v>
      </c>
      <c r="B221" s="14" t="s">
        <v>256</v>
      </c>
      <c r="C221" s="16">
        <v>42114</v>
      </c>
      <c r="D221" s="14" t="s">
        <v>861</v>
      </c>
      <c r="E221" s="14" t="s">
        <v>878</v>
      </c>
      <c r="F221" s="19">
        <f t="shared" si="3"/>
        <v>42114</v>
      </c>
    </row>
    <row r="222" spans="1:6" x14ac:dyDescent="0.25">
      <c r="A222" s="14">
        <v>3675</v>
      </c>
      <c r="B222" s="14" t="s">
        <v>257</v>
      </c>
      <c r="C222" s="16">
        <v>41089</v>
      </c>
      <c r="D222" s="14" t="s">
        <v>861</v>
      </c>
      <c r="E222" s="14" t="s">
        <v>879</v>
      </c>
      <c r="F222" s="19">
        <f t="shared" si="3"/>
        <v>41089</v>
      </c>
    </row>
    <row r="223" spans="1:6" x14ac:dyDescent="0.25">
      <c r="A223" s="14">
        <v>3680</v>
      </c>
      <c r="B223" s="14" t="s">
        <v>258</v>
      </c>
      <c r="C223" s="16">
        <v>40786</v>
      </c>
      <c r="D223" s="14" t="s">
        <v>861</v>
      </c>
      <c r="E223" s="14" t="s">
        <v>879</v>
      </c>
      <c r="F223" s="19">
        <f t="shared" si="3"/>
        <v>40786</v>
      </c>
    </row>
    <row r="224" spans="1:6" x14ac:dyDescent="0.25">
      <c r="A224" s="14">
        <v>3684</v>
      </c>
      <c r="B224" s="14" t="s">
        <v>259</v>
      </c>
      <c r="C224" s="16">
        <v>41726</v>
      </c>
      <c r="D224" s="14" t="s">
        <v>861</v>
      </c>
      <c r="E224" s="14" t="s">
        <v>878</v>
      </c>
      <c r="F224" s="19">
        <f t="shared" si="3"/>
        <v>41726</v>
      </c>
    </row>
    <row r="225" spans="1:6" x14ac:dyDescent="0.25">
      <c r="A225" s="14">
        <v>3685</v>
      </c>
      <c r="B225" s="14" t="s">
        <v>885</v>
      </c>
      <c r="C225" s="16">
        <v>40520</v>
      </c>
      <c r="D225" s="14" t="s">
        <v>861</v>
      </c>
      <c r="E225" s="14" t="s">
        <v>877</v>
      </c>
      <c r="F225" s="19">
        <f t="shared" si="3"/>
        <v>40520</v>
      </c>
    </row>
    <row r="226" spans="1:6" x14ac:dyDescent="0.25">
      <c r="A226" s="14">
        <v>3687</v>
      </c>
      <c r="B226" s="14" t="s">
        <v>261</v>
      </c>
      <c r="C226" s="16">
        <v>40554</v>
      </c>
      <c r="D226" s="14" t="s">
        <v>861</v>
      </c>
      <c r="E226" s="14" t="s">
        <v>880</v>
      </c>
      <c r="F226" s="19">
        <f t="shared" si="3"/>
        <v>40554</v>
      </c>
    </row>
    <row r="227" spans="1:6" x14ac:dyDescent="0.25">
      <c r="A227" s="14">
        <v>3689</v>
      </c>
      <c r="B227" s="14" t="s">
        <v>262</v>
      </c>
      <c r="C227" s="16">
        <v>41200</v>
      </c>
      <c r="D227" s="14" t="s">
        <v>861</v>
      </c>
      <c r="E227" s="14" t="s">
        <v>864</v>
      </c>
      <c r="F227" s="19">
        <f t="shared" si="3"/>
        <v>41200</v>
      </c>
    </row>
    <row r="228" spans="1:6" x14ac:dyDescent="0.25">
      <c r="A228" s="14">
        <v>3691</v>
      </c>
      <c r="B228" s="14" t="s">
        <v>263</v>
      </c>
      <c r="C228" s="16">
        <v>40500</v>
      </c>
      <c r="D228" s="14" t="s">
        <v>861</v>
      </c>
      <c r="E228" s="14" t="s">
        <v>877</v>
      </c>
      <c r="F228" s="19">
        <f t="shared" si="3"/>
        <v>40500</v>
      </c>
    </row>
    <row r="229" spans="1:6" x14ac:dyDescent="0.25">
      <c r="A229" s="14">
        <v>3693</v>
      </c>
      <c r="B229" s="14" t="s">
        <v>264</v>
      </c>
      <c r="C229" s="16">
        <v>41605</v>
      </c>
      <c r="D229" s="14" t="s">
        <v>861</v>
      </c>
      <c r="E229" s="14" t="s">
        <v>867</v>
      </c>
      <c r="F229" s="19">
        <f t="shared" si="3"/>
        <v>41605</v>
      </c>
    </row>
    <row r="230" spans="1:6" x14ac:dyDescent="0.25">
      <c r="A230" s="14">
        <v>3707</v>
      </c>
      <c r="B230" s="14" t="s">
        <v>265</v>
      </c>
      <c r="C230" s="16">
        <v>41913</v>
      </c>
      <c r="D230" s="14" t="s">
        <v>861</v>
      </c>
      <c r="E230" s="14" t="s">
        <v>879</v>
      </c>
      <c r="F230" s="19">
        <f t="shared" si="3"/>
        <v>41913</v>
      </c>
    </row>
    <row r="231" spans="1:6" x14ac:dyDescent="0.25">
      <c r="A231" s="14">
        <v>4102</v>
      </c>
      <c r="B231" s="14" t="s">
        <v>266</v>
      </c>
      <c r="C231" s="16">
        <v>36970</v>
      </c>
      <c r="D231" s="14" t="s">
        <v>861</v>
      </c>
      <c r="E231" s="14" t="s">
        <v>865</v>
      </c>
      <c r="F231" s="19">
        <f t="shared" si="3"/>
        <v>36970</v>
      </c>
    </row>
    <row r="232" spans="1:6" x14ac:dyDescent="0.25">
      <c r="A232" s="14">
        <v>4103</v>
      </c>
      <c r="B232" s="14" t="s">
        <v>267</v>
      </c>
      <c r="C232" s="16">
        <v>36979</v>
      </c>
      <c r="D232" s="14" t="s">
        <v>861</v>
      </c>
      <c r="E232" s="14" t="s">
        <v>865</v>
      </c>
      <c r="F232" s="19">
        <f t="shared" si="3"/>
        <v>36979</v>
      </c>
    </row>
    <row r="233" spans="1:6" x14ac:dyDescent="0.25">
      <c r="A233" s="14">
        <v>4105</v>
      </c>
      <c r="B233" s="14" t="s">
        <v>268</v>
      </c>
      <c r="C233" s="16">
        <v>37161</v>
      </c>
      <c r="D233" s="14" t="s">
        <v>861</v>
      </c>
      <c r="E233" s="14" t="s">
        <v>865</v>
      </c>
      <c r="F233" s="19">
        <f t="shared" si="3"/>
        <v>37161</v>
      </c>
    </row>
    <row r="234" spans="1:6" x14ac:dyDescent="0.25">
      <c r="A234" s="14">
        <v>4107</v>
      </c>
      <c r="B234" s="14" t="s">
        <v>269</v>
      </c>
      <c r="C234" s="16">
        <v>37319</v>
      </c>
      <c r="D234" s="14" t="s">
        <v>861</v>
      </c>
      <c r="E234" s="14" t="s">
        <v>865</v>
      </c>
      <c r="F234" s="19">
        <f t="shared" si="3"/>
        <v>37319</v>
      </c>
    </row>
    <row r="235" spans="1:6" x14ac:dyDescent="0.25">
      <c r="A235" s="14">
        <v>4109</v>
      </c>
      <c r="B235" s="14" t="s">
        <v>886</v>
      </c>
      <c r="C235" s="16">
        <v>37476</v>
      </c>
      <c r="D235" s="14" t="s">
        <v>861</v>
      </c>
      <c r="E235" s="14" t="s">
        <v>865</v>
      </c>
      <c r="F235" s="19">
        <f t="shared" si="3"/>
        <v>37476</v>
      </c>
    </row>
    <row r="236" spans="1:6" x14ac:dyDescent="0.25">
      <c r="A236" s="14">
        <v>4111</v>
      </c>
      <c r="B236" s="14" t="s">
        <v>887</v>
      </c>
      <c r="C236" s="16">
        <v>36225</v>
      </c>
      <c r="D236" s="14" t="s">
        <v>861</v>
      </c>
      <c r="E236" s="14" t="s">
        <v>865</v>
      </c>
      <c r="F236" s="19">
        <f t="shared" si="3"/>
        <v>36225</v>
      </c>
    </row>
    <row r="237" spans="1:6" x14ac:dyDescent="0.25">
      <c r="A237" s="14">
        <v>4113</v>
      </c>
      <c r="B237" s="14" t="s">
        <v>272</v>
      </c>
      <c r="C237" s="16">
        <v>37824</v>
      </c>
      <c r="D237" s="14" t="s">
        <v>861</v>
      </c>
      <c r="E237" s="14" t="s">
        <v>873</v>
      </c>
      <c r="F237" s="19">
        <f t="shared" si="3"/>
        <v>37824</v>
      </c>
    </row>
    <row r="238" spans="1:6" x14ac:dyDescent="0.25">
      <c r="A238" s="14">
        <v>4114</v>
      </c>
      <c r="B238" s="14" t="s">
        <v>273</v>
      </c>
      <c r="C238" s="16">
        <v>37753</v>
      </c>
      <c r="D238" s="14" t="s">
        <v>861</v>
      </c>
      <c r="E238" s="14" t="s">
        <v>865</v>
      </c>
      <c r="F238" s="19">
        <f t="shared" si="3"/>
        <v>37753</v>
      </c>
    </row>
    <row r="239" spans="1:6" x14ac:dyDescent="0.25">
      <c r="A239" s="14">
        <v>4116</v>
      </c>
      <c r="B239" s="14" t="s">
        <v>274</v>
      </c>
      <c r="C239" s="16">
        <v>42354</v>
      </c>
      <c r="D239" s="14" t="s">
        <v>861</v>
      </c>
      <c r="E239" s="14" t="s">
        <v>865</v>
      </c>
      <c r="F239" s="19">
        <f t="shared" si="3"/>
        <v>42354</v>
      </c>
    </row>
    <row r="240" spans="1:6" x14ac:dyDescent="0.25">
      <c r="A240" s="14">
        <v>4120</v>
      </c>
      <c r="B240" s="14" t="s">
        <v>275</v>
      </c>
      <c r="C240" s="16">
        <v>37930</v>
      </c>
      <c r="D240" s="14" t="s">
        <v>861</v>
      </c>
      <c r="E240" s="14" t="s">
        <v>865</v>
      </c>
      <c r="F240" s="19">
        <f t="shared" si="3"/>
        <v>37930</v>
      </c>
    </row>
    <row r="241" spans="1:6" x14ac:dyDescent="0.25">
      <c r="A241" s="14">
        <v>4121</v>
      </c>
      <c r="B241" s="14" t="s">
        <v>276</v>
      </c>
      <c r="C241" s="16">
        <v>37827</v>
      </c>
      <c r="D241" s="14" t="s">
        <v>861</v>
      </c>
      <c r="E241" s="14" t="s">
        <v>865</v>
      </c>
      <c r="F241" s="19">
        <f t="shared" si="3"/>
        <v>37827</v>
      </c>
    </row>
    <row r="242" spans="1:6" x14ac:dyDescent="0.25">
      <c r="A242" s="14">
        <v>4123</v>
      </c>
      <c r="B242" s="14" t="s">
        <v>277</v>
      </c>
      <c r="C242" s="16">
        <v>37901</v>
      </c>
      <c r="D242" s="14" t="s">
        <v>861</v>
      </c>
      <c r="E242" s="14" t="s">
        <v>865</v>
      </c>
      <c r="F242" s="19">
        <f t="shared" si="3"/>
        <v>37901</v>
      </c>
    </row>
    <row r="243" spans="1:6" x14ac:dyDescent="0.25">
      <c r="A243" s="14">
        <v>4126</v>
      </c>
      <c r="B243" s="14" t="s">
        <v>278</v>
      </c>
      <c r="C243" s="16">
        <v>38026</v>
      </c>
      <c r="D243" s="14" t="s">
        <v>861</v>
      </c>
      <c r="E243" s="14" t="s">
        <v>865</v>
      </c>
      <c r="F243" s="19">
        <f t="shared" si="3"/>
        <v>38026</v>
      </c>
    </row>
    <row r="244" spans="1:6" x14ac:dyDescent="0.25">
      <c r="A244" s="14">
        <v>4127</v>
      </c>
      <c r="B244" s="14" t="s">
        <v>279</v>
      </c>
      <c r="C244" s="16">
        <v>38562</v>
      </c>
      <c r="D244" s="14" t="s">
        <v>861</v>
      </c>
      <c r="E244" s="14" t="s">
        <v>865</v>
      </c>
      <c r="F244" s="19">
        <f t="shared" si="3"/>
        <v>38562</v>
      </c>
    </row>
    <row r="245" spans="1:6" x14ac:dyDescent="0.25">
      <c r="A245" s="14">
        <v>4128</v>
      </c>
      <c r="B245" s="14" t="s">
        <v>280</v>
      </c>
      <c r="C245" s="16">
        <v>38877</v>
      </c>
      <c r="D245" s="14" t="s">
        <v>861</v>
      </c>
      <c r="E245" s="14" t="s">
        <v>865</v>
      </c>
      <c r="F245" s="19">
        <f t="shared" si="3"/>
        <v>38877</v>
      </c>
    </row>
    <row r="246" spans="1:6" x14ac:dyDescent="0.25">
      <c r="A246" s="14">
        <v>4129</v>
      </c>
      <c r="B246" s="14" t="s">
        <v>281</v>
      </c>
      <c r="C246" s="16">
        <v>38259</v>
      </c>
      <c r="D246" s="14" t="s">
        <v>861</v>
      </c>
      <c r="E246" s="14" t="s">
        <v>865</v>
      </c>
      <c r="F246" s="19">
        <f t="shared" si="3"/>
        <v>38259</v>
      </c>
    </row>
    <row r="247" spans="1:6" x14ac:dyDescent="0.25">
      <c r="A247" s="14">
        <v>4130</v>
      </c>
      <c r="B247" s="14" t="s">
        <v>282</v>
      </c>
      <c r="C247" s="16">
        <v>40920</v>
      </c>
      <c r="D247" s="14" t="s">
        <v>861</v>
      </c>
      <c r="E247" s="14" t="s">
        <v>865</v>
      </c>
      <c r="F247" s="19">
        <f t="shared" si="3"/>
        <v>40920</v>
      </c>
    </row>
    <row r="248" spans="1:6" x14ac:dyDescent="0.25">
      <c r="A248" s="14">
        <v>4131</v>
      </c>
      <c r="B248" s="14" t="s">
        <v>283</v>
      </c>
      <c r="C248" s="16">
        <v>38086</v>
      </c>
      <c r="D248" s="14" t="s">
        <v>861</v>
      </c>
      <c r="E248" s="14" t="s">
        <v>865</v>
      </c>
      <c r="F248" s="19">
        <f t="shared" si="3"/>
        <v>38086</v>
      </c>
    </row>
    <row r="249" spans="1:6" x14ac:dyDescent="0.25">
      <c r="A249" s="14">
        <v>4138</v>
      </c>
      <c r="B249" s="14" t="s">
        <v>284</v>
      </c>
      <c r="C249" s="16">
        <v>40541</v>
      </c>
      <c r="D249" s="14" t="s">
        <v>861</v>
      </c>
      <c r="E249" s="14" t="s">
        <v>865</v>
      </c>
      <c r="F249" s="19">
        <f t="shared" si="3"/>
        <v>40541</v>
      </c>
    </row>
    <row r="250" spans="1:6" x14ac:dyDescent="0.25">
      <c r="A250" s="14">
        <v>4139</v>
      </c>
      <c r="B250" s="14" t="s">
        <v>285</v>
      </c>
      <c r="C250" s="16">
        <v>40662</v>
      </c>
      <c r="D250" s="14" t="s">
        <v>861</v>
      </c>
      <c r="E250" s="14" t="s">
        <v>865</v>
      </c>
      <c r="F250" s="19">
        <f t="shared" si="3"/>
        <v>40662</v>
      </c>
    </row>
    <row r="251" spans="1:6" x14ac:dyDescent="0.25">
      <c r="A251" s="14">
        <v>4147</v>
      </c>
      <c r="B251" s="14" t="s">
        <v>286</v>
      </c>
      <c r="C251" s="16">
        <v>42331</v>
      </c>
      <c r="D251" s="14" t="s">
        <v>861</v>
      </c>
      <c r="E251" s="14" t="s">
        <v>865</v>
      </c>
      <c r="F251" s="19">
        <f t="shared" si="3"/>
        <v>42331</v>
      </c>
    </row>
    <row r="252" spans="1:6" x14ac:dyDescent="0.25">
      <c r="A252" s="14">
        <v>4152</v>
      </c>
      <c r="B252" s="14" t="s">
        <v>287</v>
      </c>
      <c r="C252" s="16">
        <v>41264</v>
      </c>
      <c r="D252" s="14" t="s">
        <v>861</v>
      </c>
      <c r="E252" s="14" t="s">
        <v>865</v>
      </c>
      <c r="F252" s="19">
        <f t="shared" si="3"/>
        <v>41264</v>
      </c>
    </row>
    <row r="253" spans="1:6" x14ac:dyDescent="0.25">
      <c r="A253" s="14">
        <v>4153</v>
      </c>
      <c r="B253" s="14" t="s">
        <v>288</v>
      </c>
      <c r="C253" s="16">
        <v>41417</v>
      </c>
      <c r="D253" s="14" t="s">
        <v>861</v>
      </c>
      <c r="E253" s="14" t="s">
        <v>865</v>
      </c>
      <c r="F253" s="19">
        <f t="shared" si="3"/>
        <v>41417</v>
      </c>
    </row>
    <row r="254" spans="1:6" x14ac:dyDescent="0.25">
      <c r="A254" s="14">
        <v>4154</v>
      </c>
      <c r="B254" s="14" t="s">
        <v>289</v>
      </c>
      <c r="C254" s="16">
        <v>40905</v>
      </c>
      <c r="D254" s="14" t="s">
        <v>861</v>
      </c>
      <c r="E254" s="14" t="s">
        <v>865</v>
      </c>
      <c r="F254" s="19">
        <f t="shared" si="3"/>
        <v>40905</v>
      </c>
    </row>
    <row r="255" spans="1:6" x14ac:dyDescent="0.25">
      <c r="A255" s="14">
        <v>4157</v>
      </c>
      <c r="B255" s="14" t="s">
        <v>290</v>
      </c>
      <c r="C255" s="16">
        <v>41516</v>
      </c>
      <c r="D255" s="14" t="s">
        <v>861</v>
      </c>
      <c r="E255" s="14" t="s">
        <v>865</v>
      </c>
      <c r="F255" s="19">
        <f t="shared" si="3"/>
        <v>41516</v>
      </c>
    </row>
    <row r="256" spans="1:6" x14ac:dyDescent="0.25">
      <c r="A256" s="14">
        <v>4160</v>
      </c>
      <c r="B256" s="14" t="s">
        <v>291</v>
      </c>
      <c r="C256" s="16">
        <v>41169</v>
      </c>
      <c r="D256" s="14" t="s">
        <v>861</v>
      </c>
      <c r="E256" s="14" t="s">
        <v>865</v>
      </c>
      <c r="F256" s="19">
        <f t="shared" si="3"/>
        <v>41169</v>
      </c>
    </row>
    <row r="257" spans="1:6" x14ac:dyDescent="0.25">
      <c r="A257" s="14">
        <v>4161</v>
      </c>
      <c r="B257" s="14" t="s">
        <v>292</v>
      </c>
      <c r="C257" s="16">
        <v>41451</v>
      </c>
      <c r="D257" s="14" t="s">
        <v>861</v>
      </c>
      <c r="E257" s="14" t="s">
        <v>865</v>
      </c>
      <c r="F257" s="19">
        <f t="shared" si="3"/>
        <v>41451</v>
      </c>
    </row>
    <row r="258" spans="1:6" x14ac:dyDescent="0.25">
      <c r="A258" s="14">
        <v>4162</v>
      </c>
      <c r="B258" s="14" t="s">
        <v>293</v>
      </c>
      <c r="C258" s="16">
        <v>41170</v>
      </c>
      <c r="D258" s="14" t="s">
        <v>861</v>
      </c>
      <c r="E258" s="14" t="s">
        <v>865</v>
      </c>
      <c r="F258" s="19">
        <f t="shared" ref="F258:F321" si="4">C258</f>
        <v>41170</v>
      </c>
    </row>
    <row r="259" spans="1:6" x14ac:dyDescent="0.25">
      <c r="A259" s="14">
        <v>4163</v>
      </c>
      <c r="B259" s="14" t="s">
        <v>294</v>
      </c>
      <c r="C259" s="16">
        <v>41228</v>
      </c>
      <c r="D259" s="14" t="s">
        <v>861</v>
      </c>
      <c r="E259" s="14" t="s">
        <v>865</v>
      </c>
      <c r="F259" s="19">
        <f t="shared" si="4"/>
        <v>41228</v>
      </c>
    </row>
    <row r="260" spans="1:6" x14ac:dyDescent="0.25">
      <c r="A260" s="14">
        <v>4167</v>
      </c>
      <c r="B260" s="14" t="s">
        <v>295</v>
      </c>
      <c r="C260" s="16">
        <v>42255</v>
      </c>
      <c r="D260" s="14" t="s">
        <v>861</v>
      </c>
      <c r="E260" s="14" t="s">
        <v>865</v>
      </c>
      <c r="F260" s="19">
        <f t="shared" si="4"/>
        <v>42255</v>
      </c>
    </row>
    <row r="261" spans="1:6" x14ac:dyDescent="0.25">
      <c r="A261" s="14">
        <v>4168</v>
      </c>
      <c r="B261" s="14" t="s">
        <v>296</v>
      </c>
      <c r="C261" s="16">
        <v>41261</v>
      </c>
      <c r="D261" s="14" t="s">
        <v>861</v>
      </c>
      <c r="E261" s="14" t="s">
        <v>865</v>
      </c>
      <c r="F261" s="19">
        <f t="shared" si="4"/>
        <v>41261</v>
      </c>
    </row>
    <row r="262" spans="1:6" x14ac:dyDescent="0.25">
      <c r="A262" s="14">
        <v>4171</v>
      </c>
      <c r="B262" s="14" t="s">
        <v>297</v>
      </c>
      <c r="C262" s="16">
        <v>41865</v>
      </c>
      <c r="D262" s="14" t="s">
        <v>861</v>
      </c>
      <c r="E262" s="14" t="s">
        <v>865</v>
      </c>
      <c r="F262" s="19">
        <f t="shared" si="4"/>
        <v>41865</v>
      </c>
    </row>
    <row r="263" spans="1:6" x14ac:dyDescent="0.25">
      <c r="A263" s="14">
        <v>4173</v>
      </c>
      <c r="B263" s="14" t="s">
        <v>298</v>
      </c>
      <c r="C263" s="16">
        <v>41578</v>
      </c>
      <c r="D263" s="14" t="s">
        <v>861</v>
      </c>
      <c r="E263" s="14" t="s">
        <v>865</v>
      </c>
      <c r="F263" s="19">
        <f t="shared" si="4"/>
        <v>41578</v>
      </c>
    </row>
    <row r="264" spans="1:6" x14ac:dyDescent="0.25">
      <c r="A264" s="14">
        <v>4174</v>
      </c>
      <c r="B264" s="14" t="s">
        <v>299</v>
      </c>
      <c r="C264" s="16">
        <v>42086</v>
      </c>
      <c r="D264" s="14" t="s">
        <v>861</v>
      </c>
      <c r="E264" s="14" t="s">
        <v>865</v>
      </c>
      <c r="F264" s="19">
        <f t="shared" si="4"/>
        <v>42086</v>
      </c>
    </row>
    <row r="265" spans="1:6" x14ac:dyDescent="0.25">
      <c r="A265" s="14">
        <v>4175</v>
      </c>
      <c r="B265" s="14" t="s">
        <v>300</v>
      </c>
      <c r="C265" s="16">
        <v>41752</v>
      </c>
      <c r="D265" s="14" t="s">
        <v>861</v>
      </c>
      <c r="E265" s="14" t="s">
        <v>865</v>
      </c>
      <c r="F265" s="19">
        <f t="shared" si="4"/>
        <v>41752</v>
      </c>
    </row>
    <row r="266" spans="1:6" x14ac:dyDescent="0.25">
      <c r="A266" s="14">
        <v>4180</v>
      </c>
      <c r="B266" s="14" t="s">
        <v>301</v>
      </c>
      <c r="C266" s="16">
        <v>41611</v>
      </c>
      <c r="D266" s="14" t="s">
        <v>861</v>
      </c>
      <c r="E266" s="14" t="s">
        <v>865</v>
      </c>
      <c r="F266" s="19">
        <f t="shared" si="4"/>
        <v>41611</v>
      </c>
    </row>
    <row r="267" spans="1:6" x14ac:dyDescent="0.25">
      <c r="A267" s="14">
        <v>4183</v>
      </c>
      <c r="B267" s="14" t="s">
        <v>302</v>
      </c>
      <c r="C267" s="16">
        <v>42803</v>
      </c>
      <c r="D267" s="14" t="s">
        <v>861</v>
      </c>
      <c r="E267" s="14" t="s">
        <v>865</v>
      </c>
      <c r="F267" s="19">
        <f t="shared" si="4"/>
        <v>42803</v>
      </c>
    </row>
    <row r="268" spans="1:6" x14ac:dyDescent="0.25">
      <c r="A268" s="14">
        <v>4188</v>
      </c>
      <c r="B268" s="14" t="s">
        <v>303</v>
      </c>
      <c r="C268" s="16">
        <v>42087</v>
      </c>
      <c r="D268" s="14" t="s">
        <v>861</v>
      </c>
      <c r="E268" s="14" t="s">
        <v>868</v>
      </c>
      <c r="F268" s="19">
        <f t="shared" si="4"/>
        <v>42087</v>
      </c>
    </row>
    <row r="269" spans="1:6" x14ac:dyDescent="0.25">
      <c r="A269" s="14">
        <v>4192</v>
      </c>
      <c r="B269" s="14" t="s">
        <v>304</v>
      </c>
      <c r="C269" s="16">
        <v>41940</v>
      </c>
      <c r="D269" s="14" t="s">
        <v>861</v>
      </c>
      <c r="E269" s="14" t="s">
        <v>865</v>
      </c>
      <c r="F269" s="19">
        <f t="shared" si="4"/>
        <v>41940</v>
      </c>
    </row>
    <row r="270" spans="1:6" x14ac:dyDescent="0.25">
      <c r="A270" s="14">
        <v>4198</v>
      </c>
      <c r="B270" s="14" t="s">
        <v>305</v>
      </c>
      <c r="C270" s="16">
        <v>41996</v>
      </c>
      <c r="D270" s="14" t="s">
        <v>861</v>
      </c>
      <c r="E270" s="14" t="s">
        <v>865</v>
      </c>
      <c r="F270" s="19">
        <f t="shared" si="4"/>
        <v>41996</v>
      </c>
    </row>
    <row r="271" spans="1:6" x14ac:dyDescent="0.25">
      <c r="A271" s="14">
        <v>4205</v>
      </c>
      <c r="B271" s="14" t="s">
        <v>306</v>
      </c>
      <c r="C271" s="16">
        <v>36191</v>
      </c>
      <c r="D271" s="14" t="s">
        <v>861</v>
      </c>
      <c r="E271" s="14" t="s">
        <v>862</v>
      </c>
      <c r="F271" s="19">
        <f t="shared" si="4"/>
        <v>36191</v>
      </c>
    </row>
    <row r="272" spans="1:6" x14ac:dyDescent="0.25">
      <c r="A272" s="14">
        <v>4207</v>
      </c>
      <c r="B272" s="14" t="s">
        <v>307</v>
      </c>
      <c r="C272" s="16">
        <v>36546</v>
      </c>
      <c r="D272" s="14" t="s">
        <v>861</v>
      </c>
      <c r="E272" s="14" t="s">
        <v>862</v>
      </c>
      <c r="F272" s="19">
        <f t="shared" si="4"/>
        <v>36546</v>
      </c>
    </row>
    <row r="273" spans="1:6" x14ac:dyDescent="0.25">
      <c r="A273" s="14">
        <v>4303</v>
      </c>
      <c r="B273" s="14" t="s">
        <v>308</v>
      </c>
      <c r="C273" s="16">
        <v>36229</v>
      </c>
      <c r="D273" s="14" t="s">
        <v>861</v>
      </c>
      <c r="E273" s="14" t="s">
        <v>888</v>
      </c>
      <c r="F273" s="19">
        <f t="shared" si="4"/>
        <v>36229</v>
      </c>
    </row>
    <row r="274" spans="1:6" x14ac:dyDescent="0.25">
      <c r="A274" s="14">
        <v>4304</v>
      </c>
      <c r="B274" s="14" t="s">
        <v>309</v>
      </c>
      <c r="C274" s="16">
        <v>36552</v>
      </c>
      <c r="D274" s="14" t="s">
        <v>861</v>
      </c>
      <c r="E274" s="14" t="s">
        <v>888</v>
      </c>
      <c r="F274" s="19">
        <f t="shared" si="4"/>
        <v>36552</v>
      </c>
    </row>
    <row r="275" spans="1:6" x14ac:dyDescent="0.25">
      <c r="A275" s="14">
        <v>4305</v>
      </c>
      <c r="B275" s="14" t="s">
        <v>310</v>
      </c>
      <c r="C275" s="16">
        <v>36797</v>
      </c>
      <c r="D275" s="14" t="s">
        <v>861</v>
      </c>
      <c r="E275" s="14" t="s">
        <v>888</v>
      </c>
      <c r="F275" s="19">
        <f t="shared" si="4"/>
        <v>36797</v>
      </c>
    </row>
    <row r="276" spans="1:6" x14ac:dyDescent="0.25">
      <c r="A276" s="14">
        <v>4401</v>
      </c>
      <c r="B276" s="14" t="s">
        <v>311</v>
      </c>
      <c r="C276" s="16">
        <v>35194</v>
      </c>
      <c r="D276" s="14" t="s">
        <v>861</v>
      </c>
      <c r="E276" s="14" t="s">
        <v>889</v>
      </c>
      <c r="F276" s="19">
        <f t="shared" si="4"/>
        <v>35194</v>
      </c>
    </row>
    <row r="277" spans="1:6" x14ac:dyDescent="0.25">
      <c r="A277" s="14">
        <v>4402</v>
      </c>
      <c r="B277" s="14" t="s">
        <v>312</v>
      </c>
      <c r="C277" s="16">
        <v>35634</v>
      </c>
      <c r="D277" s="14" t="s">
        <v>861</v>
      </c>
      <c r="E277" s="14" t="s">
        <v>889</v>
      </c>
      <c r="F277" s="19">
        <f t="shared" si="4"/>
        <v>35634</v>
      </c>
    </row>
    <row r="278" spans="1:6" x14ac:dyDescent="0.25">
      <c r="A278" s="14">
        <v>4406</v>
      </c>
      <c r="B278" s="14" t="s">
        <v>313</v>
      </c>
      <c r="C278" s="16">
        <v>36174</v>
      </c>
      <c r="D278" s="14" t="s">
        <v>861</v>
      </c>
      <c r="E278" s="14" t="s">
        <v>889</v>
      </c>
      <c r="F278" s="19">
        <f t="shared" si="4"/>
        <v>36174</v>
      </c>
    </row>
    <row r="279" spans="1:6" x14ac:dyDescent="0.25">
      <c r="A279" s="14">
        <v>4413</v>
      </c>
      <c r="B279" s="14" t="s">
        <v>890</v>
      </c>
      <c r="C279" s="16">
        <v>36370</v>
      </c>
      <c r="D279" s="14" t="s">
        <v>861</v>
      </c>
      <c r="E279" s="14" t="s">
        <v>889</v>
      </c>
      <c r="F279" s="19">
        <f t="shared" si="4"/>
        <v>36370</v>
      </c>
    </row>
    <row r="280" spans="1:6" x14ac:dyDescent="0.25">
      <c r="A280" s="14">
        <v>4415</v>
      </c>
      <c r="B280" s="14" t="s">
        <v>860</v>
      </c>
      <c r="C280" s="16">
        <v>36512</v>
      </c>
      <c r="D280" s="14" t="s">
        <v>861</v>
      </c>
      <c r="E280" s="14" t="s">
        <v>870</v>
      </c>
      <c r="F280" s="19">
        <f t="shared" si="4"/>
        <v>36512</v>
      </c>
    </row>
    <row r="281" spans="1:6" x14ac:dyDescent="0.25">
      <c r="A281" s="14">
        <v>4416</v>
      </c>
      <c r="B281" s="14" t="s">
        <v>315</v>
      </c>
      <c r="C281" s="16">
        <v>36652</v>
      </c>
      <c r="D281" s="14" t="s">
        <v>861</v>
      </c>
      <c r="E281" s="14" t="s">
        <v>873</v>
      </c>
      <c r="F281" s="19">
        <f t="shared" si="4"/>
        <v>36652</v>
      </c>
    </row>
    <row r="282" spans="1:6" x14ac:dyDescent="0.25">
      <c r="A282" s="14">
        <v>4417</v>
      </c>
      <c r="B282" s="14" t="s">
        <v>316</v>
      </c>
      <c r="C282" s="16">
        <v>36837</v>
      </c>
      <c r="D282" s="14" t="s">
        <v>861</v>
      </c>
      <c r="E282" s="14" t="s">
        <v>889</v>
      </c>
      <c r="F282" s="19">
        <f t="shared" si="4"/>
        <v>36837</v>
      </c>
    </row>
    <row r="283" spans="1:6" x14ac:dyDescent="0.25">
      <c r="A283" s="14">
        <v>4419</v>
      </c>
      <c r="B283" s="14" t="s">
        <v>891</v>
      </c>
      <c r="C283" s="16">
        <v>37068</v>
      </c>
      <c r="D283" s="14" t="s">
        <v>861</v>
      </c>
      <c r="E283" s="14" t="s">
        <v>889</v>
      </c>
      <c r="F283" s="19">
        <f t="shared" si="4"/>
        <v>37068</v>
      </c>
    </row>
    <row r="284" spans="1:6" x14ac:dyDescent="0.25">
      <c r="A284" s="14">
        <v>4420</v>
      </c>
      <c r="B284" s="14" t="s">
        <v>317</v>
      </c>
      <c r="C284" s="16">
        <v>37364</v>
      </c>
      <c r="D284" s="14" t="s">
        <v>861</v>
      </c>
      <c r="E284" s="14" t="s">
        <v>889</v>
      </c>
      <c r="F284" s="19">
        <f t="shared" si="4"/>
        <v>37364</v>
      </c>
    </row>
    <row r="285" spans="1:6" x14ac:dyDescent="0.25">
      <c r="A285" s="14">
        <v>4429</v>
      </c>
      <c r="B285" s="14" t="s">
        <v>318</v>
      </c>
      <c r="C285" s="16">
        <v>40436</v>
      </c>
      <c r="D285" s="14" t="s">
        <v>861</v>
      </c>
      <c r="E285" s="14" t="s">
        <v>889</v>
      </c>
      <c r="F285" s="19">
        <f t="shared" si="4"/>
        <v>40436</v>
      </c>
    </row>
    <row r="286" spans="1:6" x14ac:dyDescent="0.25">
      <c r="A286" s="14">
        <v>4430</v>
      </c>
      <c r="B286" s="14" t="s">
        <v>319</v>
      </c>
      <c r="C286" s="16">
        <v>40703</v>
      </c>
      <c r="D286" s="14" t="s">
        <v>861</v>
      </c>
      <c r="E286" s="14" t="s">
        <v>868</v>
      </c>
      <c r="F286" s="19">
        <f t="shared" si="4"/>
        <v>40703</v>
      </c>
    </row>
    <row r="287" spans="1:6" x14ac:dyDescent="0.25">
      <c r="A287" s="14">
        <v>4432</v>
      </c>
      <c r="B287" s="14" t="s">
        <v>320</v>
      </c>
      <c r="C287" s="16">
        <v>41239</v>
      </c>
      <c r="D287" s="14" t="s">
        <v>861</v>
      </c>
      <c r="E287" s="14" t="s">
        <v>889</v>
      </c>
      <c r="F287" s="19">
        <f t="shared" si="4"/>
        <v>41239</v>
      </c>
    </row>
    <row r="288" spans="1:6" x14ac:dyDescent="0.25">
      <c r="A288" s="14">
        <v>4433</v>
      </c>
      <c r="B288" s="14" t="s">
        <v>321</v>
      </c>
      <c r="C288" s="16">
        <v>41946</v>
      </c>
      <c r="D288" s="14" t="s">
        <v>861</v>
      </c>
      <c r="E288" s="14" t="s">
        <v>889</v>
      </c>
      <c r="F288" s="19">
        <f t="shared" si="4"/>
        <v>41946</v>
      </c>
    </row>
    <row r="289" spans="1:6" x14ac:dyDescent="0.25">
      <c r="A289" s="14">
        <v>4502</v>
      </c>
      <c r="B289" s="14" t="s">
        <v>322</v>
      </c>
      <c r="C289" s="16">
        <v>35045</v>
      </c>
      <c r="D289" s="14" t="s">
        <v>861</v>
      </c>
      <c r="E289" s="14" t="s">
        <v>866</v>
      </c>
      <c r="F289" s="19">
        <f t="shared" si="4"/>
        <v>35045</v>
      </c>
    </row>
    <row r="290" spans="1:6" x14ac:dyDescent="0.25">
      <c r="A290" s="14">
        <v>4503</v>
      </c>
      <c r="B290" s="14" t="s">
        <v>323</v>
      </c>
      <c r="C290" s="16">
        <v>35418</v>
      </c>
      <c r="D290" s="14" t="s">
        <v>861</v>
      </c>
      <c r="E290" s="14" t="s">
        <v>866</v>
      </c>
      <c r="F290" s="19">
        <f t="shared" si="4"/>
        <v>35418</v>
      </c>
    </row>
    <row r="291" spans="1:6" x14ac:dyDescent="0.25">
      <c r="A291" s="14">
        <v>4506</v>
      </c>
      <c r="B291" s="14" t="s">
        <v>324</v>
      </c>
      <c r="C291" s="16">
        <v>35770</v>
      </c>
      <c r="D291" s="14" t="s">
        <v>861</v>
      </c>
      <c r="E291" s="14" t="s">
        <v>866</v>
      </c>
      <c r="F291" s="19">
        <f t="shared" si="4"/>
        <v>35770</v>
      </c>
    </row>
    <row r="292" spans="1:6" x14ac:dyDescent="0.25">
      <c r="A292" s="14">
        <v>4510</v>
      </c>
      <c r="B292" s="14" t="s">
        <v>325</v>
      </c>
      <c r="C292" s="16">
        <v>35850</v>
      </c>
      <c r="D292" s="14" t="s">
        <v>861</v>
      </c>
      <c r="E292" s="14" t="s">
        <v>866</v>
      </c>
      <c r="F292" s="19">
        <f t="shared" si="4"/>
        <v>35850</v>
      </c>
    </row>
    <row r="293" spans="1:6" x14ac:dyDescent="0.25">
      <c r="A293" s="14">
        <v>4513</v>
      </c>
      <c r="B293" s="14" t="s">
        <v>326</v>
      </c>
      <c r="C293" s="16">
        <v>35879</v>
      </c>
      <c r="D293" s="14" t="s">
        <v>861</v>
      </c>
      <c r="E293" s="14" t="s">
        <v>866</v>
      </c>
      <c r="F293" s="19">
        <f t="shared" si="4"/>
        <v>35879</v>
      </c>
    </row>
    <row r="294" spans="1:6" x14ac:dyDescent="0.25">
      <c r="A294" s="14">
        <v>4523</v>
      </c>
      <c r="B294" s="14" t="s">
        <v>327</v>
      </c>
      <c r="C294" s="16">
        <v>36486</v>
      </c>
      <c r="D294" s="14" t="s">
        <v>861</v>
      </c>
      <c r="E294" s="14" t="s">
        <v>866</v>
      </c>
      <c r="F294" s="19">
        <f t="shared" si="4"/>
        <v>36486</v>
      </c>
    </row>
    <row r="295" spans="1:6" x14ac:dyDescent="0.25">
      <c r="A295" s="14">
        <v>4527</v>
      </c>
      <c r="B295" s="14" t="s">
        <v>328</v>
      </c>
      <c r="C295" s="16">
        <v>36797</v>
      </c>
      <c r="D295" s="14" t="s">
        <v>861</v>
      </c>
      <c r="E295" s="14" t="s">
        <v>866</v>
      </c>
      <c r="F295" s="19">
        <f t="shared" si="4"/>
        <v>36797</v>
      </c>
    </row>
    <row r="296" spans="1:6" x14ac:dyDescent="0.25">
      <c r="A296" s="14">
        <v>4528</v>
      </c>
      <c r="B296" s="14" t="s">
        <v>329</v>
      </c>
      <c r="C296" s="16">
        <v>36934</v>
      </c>
      <c r="D296" s="14" t="s">
        <v>861</v>
      </c>
      <c r="E296" s="14" t="s">
        <v>866</v>
      </c>
      <c r="F296" s="19">
        <f t="shared" si="4"/>
        <v>36934</v>
      </c>
    </row>
    <row r="297" spans="1:6" x14ac:dyDescent="0.25">
      <c r="A297" s="14">
        <v>4529</v>
      </c>
      <c r="B297" s="14" t="s">
        <v>828</v>
      </c>
      <c r="C297" s="16">
        <v>37015</v>
      </c>
      <c r="D297" s="14" t="s">
        <v>861</v>
      </c>
      <c r="E297" s="14" t="s">
        <v>868</v>
      </c>
      <c r="F297" s="19">
        <f t="shared" si="4"/>
        <v>37015</v>
      </c>
    </row>
    <row r="298" spans="1:6" x14ac:dyDescent="0.25">
      <c r="A298" s="14">
        <v>4530</v>
      </c>
      <c r="B298" s="14" t="s">
        <v>330</v>
      </c>
      <c r="C298" s="16">
        <v>37011</v>
      </c>
      <c r="D298" s="14" t="s">
        <v>861</v>
      </c>
      <c r="E298" s="14" t="s">
        <v>866</v>
      </c>
      <c r="F298" s="19">
        <f t="shared" si="4"/>
        <v>37011</v>
      </c>
    </row>
    <row r="299" spans="1:6" x14ac:dyDescent="0.25">
      <c r="A299" s="14">
        <v>4533</v>
      </c>
      <c r="B299" s="14" t="s">
        <v>331</v>
      </c>
      <c r="C299" s="16">
        <v>37372</v>
      </c>
      <c r="D299" s="14" t="s">
        <v>861</v>
      </c>
      <c r="E299" s="14" t="s">
        <v>866</v>
      </c>
      <c r="F299" s="19">
        <f t="shared" si="4"/>
        <v>37372</v>
      </c>
    </row>
    <row r="300" spans="1:6" x14ac:dyDescent="0.25">
      <c r="A300" s="14">
        <v>4534</v>
      </c>
      <c r="B300" s="14" t="s">
        <v>332</v>
      </c>
      <c r="C300" s="16">
        <v>37711</v>
      </c>
      <c r="D300" s="14" t="s">
        <v>861</v>
      </c>
      <c r="E300" s="14" t="s">
        <v>866</v>
      </c>
      <c r="F300" s="19">
        <f t="shared" si="4"/>
        <v>37711</v>
      </c>
    </row>
    <row r="301" spans="1:6" x14ac:dyDescent="0.25">
      <c r="A301" s="14">
        <v>4535</v>
      </c>
      <c r="B301" s="14" t="s">
        <v>333</v>
      </c>
      <c r="C301" s="16">
        <v>37727</v>
      </c>
      <c r="D301" s="14" t="s">
        <v>861</v>
      </c>
      <c r="E301" s="14" t="s">
        <v>866</v>
      </c>
      <c r="F301" s="19">
        <f t="shared" si="4"/>
        <v>37727</v>
      </c>
    </row>
    <row r="302" spans="1:6" x14ac:dyDescent="0.25">
      <c r="A302" s="14">
        <v>4541</v>
      </c>
      <c r="B302" s="14" t="s">
        <v>334</v>
      </c>
      <c r="C302" s="16">
        <v>41842</v>
      </c>
      <c r="D302" s="14" t="s">
        <v>861</v>
      </c>
      <c r="E302" s="14" t="s">
        <v>868</v>
      </c>
      <c r="F302" s="19">
        <f t="shared" si="4"/>
        <v>41842</v>
      </c>
    </row>
    <row r="303" spans="1:6" x14ac:dyDescent="0.25">
      <c r="A303" s="14">
        <v>4542</v>
      </c>
      <c r="B303" s="14" t="s">
        <v>335</v>
      </c>
      <c r="C303" s="16">
        <v>41876</v>
      </c>
      <c r="D303" s="14" t="s">
        <v>861</v>
      </c>
      <c r="E303" s="14" t="s">
        <v>864</v>
      </c>
      <c r="F303" s="19">
        <f t="shared" si="4"/>
        <v>41876</v>
      </c>
    </row>
    <row r="304" spans="1:6" x14ac:dyDescent="0.25">
      <c r="A304" s="14">
        <v>4543</v>
      </c>
      <c r="B304" s="14" t="s">
        <v>336</v>
      </c>
      <c r="C304" s="16">
        <v>42444</v>
      </c>
      <c r="D304" s="14" t="s">
        <v>861</v>
      </c>
      <c r="E304" s="14" t="s">
        <v>866</v>
      </c>
      <c r="F304" s="19">
        <f t="shared" si="4"/>
        <v>42444</v>
      </c>
    </row>
    <row r="305" spans="1:6" x14ac:dyDescent="0.25">
      <c r="A305" s="14">
        <v>4549</v>
      </c>
      <c r="B305" s="14" t="s">
        <v>337</v>
      </c>
      <c r="C305" s="16">
        <v>41970</v>
      </c>
      <c r="D305" s="14" t="s">
        <v>861</v>
      </c>
      <c r="E305" s="14" t="s">
        <v>866</v>
      </c>
      <c r="F305" s="19">
        <f t="shared" si="4"/>
        <v>41970</v>
      </c>
    </row>
    <row r="306" spans="1:6" x14ac:dyDescent="0.25">
      <c r="A306" s="14">
        <v>4550</v>
      </c>
      <c r="B306" s="14" t="s">
        <v>338</v>
      </c>
      <c r="C306" s="16">
        <v>42081</v>
      </c>
      <c r="D306" s="14" t="s">
        <v>861</v>
      </c>
      <c r="E306" s="14" t="s">
        <v>866</v>
      </c>
      <c r="F306" s="19">
        <f t="shared" si="4"/>
        <v>42081</v>
      </c>
    </row>
    <row r="307" spans="1:6" x14ac:dyDescent="0.25">
      <c r="A307" s="14">
        <v>4554</v>
      </c>
      <c r="B307" s="14" t="s">
        <v>339</v>
      </c>
      <c r="C307" s="16">
        <v>42587</v>
      </c>
      <c r="D307" s="14" t="s">
        <v>861</v>
      </c>
      <c r="E307" s="14" t="s">
        <v>870</v>
      </c>
      <c r="F307" s="19">
        <f t="shared" si="4"/>
        <v>42587</v>
      </c>
    </row>
    <row r="308" spans="1:6" x14ac:dyDescent="0.25">
      <c r="A308" s="14">
        <v>4556</v>
      </c>
      <c r="B308" s="14" t="s">
        <v>340</v>
      </c>
      <c r="C308" s="16">
        <v>42360</v>
      </c>
      <c r="D308" s="14" t="s">
        <v>861</v>
      </c>
      <c r="E308" s="14" t="s">
        <v>868</v>
      </c>
      <c r="F308" s="19">
        <f t="shared" si="4"/>
        <v>42360</v>
      </c>
    </row>
    <row r="309" spans="1:6" x14ac:dyDescent="0.25">
      <c r="A309" s="14">
        <v>4609</v>
      </c>
      <c r="B309" s="14" t="s">
        <v>341</v>
      </c>
      <c r="C309" s="16">
        <v>36665</v>
      </c>
      <c r="D309" s="14" t="s">
        <v>861</v>
      </c>
      <c r="E309" s="14" t="s">
        <v>872</v>
      </c>
      <c r="F309" s="19">
        <f t="shared" si="4"/>
        <v>36665</v>
      </c>
    </row>
    <row r="310" spans="1:6" x14ac:dyDescent="0.25">
      <c r="A310" s="14">
        <v>4702</v>
      </c>
      <c r="B310" s="14" t="s">
        <v>892</v>
      </c>
      <c r="C310" s="16">
        <v>34810</v>
      </c>
      <c r="D310" s="14" t="s">
        <v>861</v>
      </c>
      <c r="E310" s="14" t="s">
        <v>869</v>
      </c>
      <c r="F310" s="19">
        <f t="shared" si="4"/>
        <v>34810</v>
      </c>
    </row>
    <row r="311" spans="1:6" x14ac:dyDescent="0.25">
      <c r="A311" s="14">
        <v>4706</v>
      </c>
      <c r="B311" s="14" t="s">
        <v>343</v>
      </c>
      <c r="C311" s="16">
        <v>35902</v>
      </c>
      <c r="D311" s="14" t="s">
        <v>861</v>
      </c>
      <c r="E311" s="14" t="s">
        <v>869</v>
      </c>
      <c r="F311" s="19">
        <f t="shared" si="4"/>
        <v>35902</v>
      </c>
    </row>
    <row r="312" spans="1:6" x14ac:dyDescent="0.25">
      <c r="A312" s="14">
        <v>4707</v>
      </c>
      <c r="B312" s="14" t="s">
        <v>344</v>
      </c>
      <c r="C312" s="16">
        <v>35935</v>
      </c>
      <c r="D312" s="14" t="s">
        <v>861</v>
      </c>
      <c r="E312" s="14" t="s">
        <v>869</v>
      </c>
      <c r="F312" s="19">
        <f t="shared" si="4"/>
        <v>35935</v>
      </c>
    </row>
    <row r="313" spans="1:6" x14ac:dyDescent="0.25">
      <c r="A313" s="14">
        <v>4711</v>
      </c>
      <c r="B313" s="14" t="s">
        <v>345</v>
      </c>
      <c r="C313" s="16">
        <v>36215</v>
      </c>
      <c r="D313" s="14" t="s">
        <v>861</v>
      </c>
      <c r="E313" s="14" t="s">
        <v>869</v>
      </c>
      <c r="F313" s="19">
        <f t="shared" si="4"/>
        <v>36215</v>
      </c>
    </row>
    <row r="314" spans="1:6" x14ac:dyDescent="0.25">
      <c r="A314" s="14">
        <v>4712</v>
      </c>
      <c r="B314" s="14" t="s">
        <v>346</v>
      </c>
      <c r="C314" s="16">
        <v>36253</v>
      </c>
      <c r="D314" s="14" t="s">
        <v>861</v>
      </c>
      <c r="E314" s="14" t="s">
        <v>862</v>
      </c>
      <c r="F314" s="19">
        <f t="shared" si="4"/>
        <v>36253</v>
      </c>
    </row>
    <row r="315" spans="1:6" x14ac:dyDescent="0.25">
      <c r="A315" s="14">
        <v>4714</v>
      </c>
      <c r="B315" s="14" t="s">
        <v>347</v>
      </c>
      <c r="C315" s="16">
        <v>36612</v>
      </c>
      <c r="D315" s="14" t="s">
        <v>861</v>
      </c>
      <c r="E315" s="14" t="s">
        <v>869</v>
      </c>
      <c r="F315" s="19">
        <f t="shared" si="4"/>
        <v>36612</v>
      </c>
    </row>
    <row r="316" spans="1:6" x14ac:dyDescent="0.25">
      <c r="A316" s="14">
        <v>4716</v>
      </c>
      <c r="B316" s="14" t="s">
        <v>348</v>
      </c>
      <c r="C316" s="16">
        <v>36612</v>
      </c>
      <c r="D316" s="14" t="s">
        <v>861</v>
      </c>
      <c r="E316" s="14" t="s">
        <v>869</v>
      </c>
      <c r="F316" s="19">
        <f t="shared" si="4"/>
        <v>36612</v>
      </c>
    </row>
    <row r="317" spans="1:6" x14ac:dyDescent="0.25">
      <c r="A317" s="14">
        <v>4721</v>
      </c>
      <c r="B317" s="14" t="s">
        <v>349</v>
      </c>
      <c r="C317" s="16">
        <v>36959</v>
      </c>
      <c r="D317" s="14" t="s">
        <v>861</v>
      </c>
      <c r="E317" s="14" t="s">
        <v>869</v>
      </c>
      <c r="F317" s="19">
        <f t="shared" si="4"/>
        <v>36959</v>
      </c>
    </row>
    <row r="318" spans="1:6" x14ac:dyDescent="0.25">
      <c r="A318" s="14">
        <v>4726</v>
      </c>
      <c r="B318" s="14" t="s">
        <v>350</v>
      </c>
      <c r="C318" s="16">
        <v>41633</v>
      </c>
      <c r="D318" s="14" t="s">
        <v>861</v>
      </c>
      <c r="E318" s="14" t="s">
        <v>865</v>
      </c>
      <c r="F318" s="19">
        <f t="shared" si="4"/>
        <v>41633</v>
      </c>
    </row>
    <row r="319" spans="1:6" x14ac:dyDescent="0.25">
      <c r="A319" s="14">
        <v>4728</v>
      </c>
      <c r="B319" s="14" t="s">
        <v>351</v>
      </c>
      <c r="C319" s="16">
        <v>40918</v>
      </c>
      <c r="D319" s="14" t="s">
        <v>861</v>
      </c>
      <c r="E319" s="14" t="s">
        <v>865</v>
      </c>
      <c r="F319" s="19">
        <f t="shared" si="4"/>
        <v>40918</v>
      </c>
    </row>
    <row r="320" spans="1:6" x14ac:dyDescent="0.25">
      <c r="A320" s="14">
        <v>4729</v>
      </c>
      <c r="B320" s="14" t="s">
        <v>352</v>
      </c>
      <c r="C320" s="16">
        <v>39868</v>
      </c>
      <c r="D320" s="14" t="s">
        <v>861</v>
      </c>
      <c r="E320" s="14" t="s">
        <v>877</v>
      </c>
      <c r="F320" s="19">
        <f t="shared" si="4"/>
        <v>39868</v>
      </c>
    </row>
    <row r="321" spans="1:6" x14ac:dyDescent="0.25">
      <c r="A321" s="14">
        <v>4735</v>
      </c>
      <c r="B321" s="14" t="s">
        <v>353</v>
      </c>
      <c r="C321" s="16">
        <v>40771</v>
      </c>
      <c r="D321" s="14" t="s">
        <v>861</v>
      </c>
      <c r="E321" s="14" t="s">
        <v>865</v>
      </c>
      <c r="F321" s="19">
        <f t="shared" si="4"/>
        <v>40771</v>
      </c>
    </row>
    <row r="322" spans="1:6" x14ac:dyDescent="0.25">
      <c r="A322" s="14">
        <v>4736</v>
      </c>
      <c r="B322" s="14" t="s">
        <v>354</v>
      </c>
      <c r="C322" s="16">
        <v>40513</v>
      </c>
      <c r="D322" s="14" t="s">
        <v>861</v>
      </c>
      <c r="E322" s="14" t="s">
        <v>865</v>
      </c>
      <c r="F322" s="19">
        <f t="shared" ref="F322:F385" si="5">C322</f>
        <v>40513</v>
      </c>
    </row>
    <row r="323" spans="1:6" x14ac:dyDescent="0.25">
      <c r="A323" s="14">
        <v>4739</v>
      </c>
      <c r="B323" s="14" t="s">
        <v>829</v>
      </c>
      <c r="C323" s="16">
        <v>40878</v>
      </c>
      <c r="D323" s="14" t="s">
        <v>861</v>
      </c>
      <c r="E323" s="14" t="s">
        <v>869</v>
      </c>
      <c r="F323" s="19">
        <f t="shared" si="5"/>
        <v>40878</v>
      </c>
    </row>
    <row r="324" spans="1:6" x14ac:dyDescent="0.25">
      <c r="A324" s="14">
        <v>4743</v>
      </c>
      <c r="B324" s="14" t="s">
        <v>355</v>
      </c>
      <c r="C324" s="16">
        <v>40809</v>
      </c>
      <c r="D324" s="14" t="s">
        <v>861</v>
      </c>
      <c r="E324" s="14" t="s">
        <v>865</v>
      </c>
      <c r="F324" s="19">
        <f t="shared" si="5"/>
        <v>40809</v>
      </c>
    </row>
    <row r="325" spans="1:6" x14ac:dyDescent="0.25">
      <c r="A325" s="14">
        <v>4745</v>
      </c>
      <c r="B325" s="14" t="s">
        <v>356</v>
      </c>
      <c r="C325" s="16">
        <v>41304</v>
      </c>
      <c r="D325" s="14" t="s">
        <v>861</v>
      </c>
      <c r="E325" s="14" t="s">
        <v>865</v>
      </c>
      <c r="F325" s="19">
        <f t="shared" si="5"/>
        <v>41304</v>
      </c>
    </row>
    <row r="326" spans="1:6" x14ac:dyDescent="0.25">
      <c r="A326" s="14">
        <v>4747</v>
      </c>
      <c r="B326" s="14" t="s">
        <v>357</v>
      </c>
      <c r="C326" s="16">
        <v>41633</v>
      </c>
      <c r="D326" s="14" t="s">
        <v>861</v>
      </c>
      <c r="E326" s="14" t="s">
        <v>865</v>
      </c>
      <c r="F326" s="19">
        <f t="shared" si="5"/>
        <v>41633</v>
      </c>
    </row>
    <row r="327" spans="1:6" x14ac:dyDescent="0.25">
      <c r="A327" s="14">
        <v>4754</v>
      </c>
      <c r="B327" s="14" t="s">
        <v>358</v>
      </c>
      <c r="C327" s="16">
        <v>42641</v>
      </c>
      <c r="D327" s="14" t="s">
        <v>861</v>
      </c>
      <c r="E327" s="14" t="s">
        <v>869</v>
      </c>
      <c r="F327" s="19">
        <f t="shared" si="5"/>
        <v>42641</v>
      </c>
    </row>
    <row r="328" spans="1:6" x14ac:dyDescent="0.25">
      <c r="A328" s="14">
        <v>4803</v>
      </c>
      <c r="B328" s="14" t="s">
        <v>359</v>
      </c>
      <c r="C328" s="16">
        <v>42354</v>
      </c>
      <c r="D328" s="14" t="s">
        <v>861</v>
      </c>
      <c r="E328" s="14" t="s">
        <v>881</v>
      </c>
      <c r="F328" s="19">
        <f t="shared" si="5"/>
        <v>42354</v>
      </c>
    </row>
    <row r="329" spans="1:6" x14ac:dyDescent="0.25">
      <c r="A329" s="14">
        <v>4804</v>
      </c>
      <c r="B329" s="14" t="s">
        <v>360</v>
      </c>
      <c r="C329" s="16">
        <v>42342</v>
      </c>
      <c r="D329" s="14" t="s">
        <v>861</v>
      </c>
      <c r="E329" s="14" t="s">
        <v>863</v>
      </c>
      <c r="F329" s="19">
        <f t="shared" si="5"/>
        <v>42342</v>
      </c>
    </row>
    <row r="330" spans="1:6" x14ac:dyDescent="0.25">
      <c r="A330" s="14">
        <v>4806</v>
      </c>
      <c r="B330" s="14" t="s">
        <v>361</v>
      </c>
      <c r="C330" s="16">
        <v>42438</v>
      </c>
      <c r="D330" s="14" t="s">
        <v>861</v>
      </c>
      <c r="E330" s="14" t="s">
        <v>881</v>
      </c>
      <c r="F330" s="19">
        <f t="shared" si="5"/>
        <v>42438</v>
      </c>
    </row>
    <row r="331" spans="1:6" x14ac:dyDescent="0.25">
      <c r="A331" s="14">
        <v>4903</v>
      </c>
      <c r="B331" s="14" t="s">
        <v>362</v>
      </c>
      <c r="C331" s="16">
        <v>37025</v>
      </c>
      <c r="D331" s="14" t="s">
        <v>861</v>
      </c>
      <c r="E331" s="14" t="s">
        <v>878</v>
      </c>
      <c r="F331" s="19">
        <f t="shared" si="5"/>
        <v>37025</v>
      </c>
    </row>
    <row r="332" spans="1:6" x14ac:dyDescent="0.25">
      <c r="A332" s="14">
        <v>4905</v>
      </c>
      <c r="B332" s="14" t="s">
        <v>363</v>
      </c>
      <c r="C332" s="16">
        <v>37232</v>
      </c>
      <c r="D332" s="14" t="s">
        <v>861</v>
      </c>
      <c r="E332" s="14" t="s">
        <v>878</v>
      </c>
      <c r="F332" s="19">
        <f t="shared" si="5"/>
        <v>37232</v>
      </c>
    </row>
    <row r="333" spans="1:6" x14ac:dyDescent="0.25">
      <c r="A333" s="14">
        <v>4907</v>
      </c>
      <c r="B333" s="14" t="s">
        <v>364</v>
      </c>
      <c r="C333" s="16">
        <v>37319</v>
      </c>
      <c r="D333" s="14" t="s">
        <v>861</v>
      </c>
      <c r="E333" s="14" t="s">
        <v>873</v>
      </c>
      <c r="F333" s="19">
        <f t="shared" si="5"/>
        <v>37319</v>
      </c>
    </row>
    <row r="334" spans="1:6" x14ac:dyDescent="0.25">
      <c r="A334" s="14">
        <v>4908</v>
      </c>
      <c r="B334" s="14" t="s">
        <v>365</v>
      </c>
      <c r="C334" s="16">
        <v>37314</v>
      </c>
      <c r="D334" s="14" t="s">
        <v>861</v>
      </c>
      <c r="E334" s="14" t="s">
        <v>878</v>
      </c>
      <c r="F334" s="19">
        <f t="shared" si="5"/>
        <v>37314</v>
      </c>
    </row>
    <row r="335" spans="1:6" x14ac:dyDescent="0.25">
      <c r="A335" s="14">
        <v>4909</v>
      </c>
      <c r="B335" s="14" t="s">
        <v>366</v>
      </c>
      <c r="C335" s="16">
        <v>37588</v>
      </c>
      <c r="D335" s="14" t="s">
        <v>861</v>
      </c>
      <c r="E335" s="14" t="s">
        <v>878</v>
      </c>
      <c r="F335" s="19">
        <f t="shared" si="5"/>
        <v>37588</v>
      </c>
    </row>
    <row r="336" spans="1:6" x14ac:dyDescent="0.25">
      <c r="A336" s="14">
        <v>4911</v>
      </c>
      <c r="B336" s="14" t="s">
        <v>367</v>
      </c>
      <c r="C336" s="16">
        <v>40623</v>
      </c>
      <c r="D336" s="14" t="s">
        <v>861</v>
      </c>
      <c r="E336" s="14" t="s">
        <v>865</v>
      </c>
      <c r="F336" s="19">
        <f t="shared" si="5"/>
        <v>40623</v>
      </c>
    </row>
    <row r="337" spans="1:6" x14ac:dyDescent="0.25">
      <c r="A337" s="14">
        <v>4924</v>
      </c>
      <c r="B337" s="14" t="s">
        <v>368</v>
      </c>
      <c r="C337" s="16">
        <v>40834</v>
      </c>
      <c r="D337" s="14" t="s">
        <v>861</v>
      </c>
      <c r="E337" s="14" t="s">
        <v>867</v>
      </c>
      <c r="F337" s="19">
        <f t="shared" si="5"/>
        <v>40834</v>
      </c>
    </row>
    <row r="338" spans="1:6" x14ac:dyDescent="0.25">
      <c r="A338" s="14">
        <v>4933</v>
      </c>
      <c r="B338" s="14" t="s">
        <v>369</v>
      </c>
      <c r="C338" s="16">
        <v>40302</v>
      </c>
      <c r="D338" s="14" t="s">
        <v>861</v>
      </c>
      <c r="E338" s="14" t="s">
        <v>877</v>
      </c>
      <c r="F338" s="19">
        <f t="shared" si="5"/>
        <v>40302</v>
      </c>
    </row>
    <row r="339" spans="1:6" x14ac:dyDescent="0.25">
      <c r="A339" s="14">
        <v>4939</v>
      </c>
      <c r="B339" s="14" t="s">
        <v>370</v>
      </c>
      <c r="C339" s="16">
        <v>40805</v>
      </c>
      <c r="D339" s="14" t="s">
        <v>861</v>
      </c>
      <c r="E339" s="14" t="s">
        <v>864</v>
      </c>
      <c r="F339" s="19">
        <f t="shared" si="5"/>
        <v>40805</v>
      </c>
    </row>
    <row r="340" spans="1:6" x14ac:dyDescent="0.25">
      <c r="A340" s="14">
        <v>4944</v>
      </c>
      <c r="B340" s="14" t="s">
        <v>371</v>
      </c>
      <c r="C340" s="16">
        <v>40694</v>
      </c>
      <c r="D340" s="14" t="s">
        <v>861</v>
      </c>
      <c r="E340" s="14" t="s">
        <v>877</v>
      </c>
      <c r="F340" s="19">
        <f t="shared" si="5"/>
        <v>40694</v>
      </c>
    </row>
    <row r="341" spans="1:6" x14ac:dyDescent="0.25">
      <c r="A341" s="14">
        <v>4946</v>
      </c>
      <c r="B341" s="14" t="s">
        <v>372</v>
      </c>
      <c r="C341" s="16">
        <v>40704</v>
      </c>
      <c r="D341" s="14" t="s">
        <v>861</v>
      </c>
      <c r="E341" s="14" t="s">
        <v>880</v>
      </c>
      <c r="F341" s="19">
        <f t="shared" si="5"/>
        <v>40704</v>
      </c>
    </row>
    <row r="342" spans="1:6" x14ac:dyDescent="0.25">
      <c r="A342" s="14">
        <v>4947</v>
      </c>
      <c r="B342" s="14" t="s">
        <v>373</v>
      </c>
      <c r="C342" s="16">
        <v>40834</v>
      </c>
      <c r="D342" s="14" t="s">
        <v>861</v>
      </c>
      <c r="E342" s="14" t="s">
        <v>879</v>
      </c>
      <c r="F342" s="19">
        <f t="shared" si="5"/>
        <v>40834</v>
      </c>
    </row>
    <row r="343" spans="1:6" x14ac:dyDescent="0.25">
      <c r="A343" s="14">
        <v>4950</v>
      </c>
      <c r="B343" s="14" t="s">
        <v>374</v>
      </c>
      <c r="C343" s="16">
        <v>41026</v>
      </c>
      <c r="D343" s="14" t="s">
        <v>861</v>
      </c>
      <c r="E343" s="14" t="s">
        <v>868</v>
      </c>
      <c r="F343" s="19">
        <f t="shared" si="5"/>
        <v>41026</v>
      </c>
    </row>
    <row r="344" spans="1:6" x14ac:dyDescent="0.25">
      <c r="A344" s="14">
        <v>4953</v>
      </c>
      <c r="B344" s="14" t="s">
        <v>375</v>
      </c>
      <c r="C344" s="16">
        <v>41647</v>
      </c>
      <c r="D344" s="14" t="s">
        <v>861</v>
      </c>
      <c r="E344" s="14" t="s">
        <v>880</v>
      </c>
      <c r="F344" s="19">
        <f t="shared" si="5"/>
        <v>41647</v>
      </c>
    </row>
    <row r="345" spans="1:6" x14ac:dyDescent="0.25">
      <c r="A345" s="14">
        <v>4965</v>
      </c>
      <c r="B345" s="14" t="s">
        <v>376</v>
      </c>
      <c r="C345" s="16">
        <v>40639</v>
      </c>
      <c r="D345" s="14" t="s">
        <v>861</v>
      </c>
      <c r="E345" s="14" t="s">
        <v>880</v>
      </c>
      <c r="F345" s="19">
        <f t="shared" si="5"/>
        <v>40639</v>
      </c>
    </row>
    <row r="346" spans="1:6" x14ac:dyDescent="0.25">
      <c r="A346" s="14">
        <v>4966</v>
      </c>
      <c r="B346" s="14" t="s">
        <v>377</v>
      </c>
      <c r="C346" s="16">
        <v>40799</v>
      </c>
      <c r="D346" s="14" t="s">
        <v>861</v>
      </c>
      <c r="E346" s="14" t="s">
        <v>879</v>
      </c>
      <c r="F346" s="19">
        <f t="shared" si="5"/>
        <v>40799</v>
      </c>
    </row>
    <row r="347" spans="1:6" x14ac:dyDescent="0.25">
      <c r="A347" s="14">
        <v>4971</v>
      </c>
      <c r="B347" s="14" t="s">
        <v>378</v>
      </c>
      <c r="C347" s="16">
        <v>41479</v>
      </c>
      <c r="D347" s="14" t="s">
        <v>861</v>
      </c>
      <c r="E347" s="14" t="s">
        <v>879</v>
      </c>
      <c r="F347" s="19">
        <f t="shared" si="5"/>
        <v>41479</v>
      </c>
    </row>
    <row r="348" spans="1:6" x14ac:dyDescent="0.25">
      <c r="A348" s="14">
        <v>4972</v>
      </c>
      <c r="B348" s="14" t="s">
        <v>893</v>
      </c>
      <c r="C348" s="16">
        <v>41442</v>
      </c>
      <c r="D348" s="14" t="s">
        <v>861</v>
      </c>
      <c r="E348" s="14" t="s">
        <v>877</v>
      </c>
      <c r="F348" s="19">
        <f t="shared" si="5"/>
        <v>41442</v>
      </c>
    </row>
    <row r="349" spans="1:6" x14ac:dyDescent="0.25">
      <c r="A349" s="14">
        <v>4973</v>
      </c>
      <c r="B349" s="14" t="s">
        <v>380</v>
      </c>
      <c r="C349" s="16">
        <v>41079</v>
      </c>
      <c r="D349" s="14" t="s">
        <v>861</v>
      </c>
      <c r="E349" s="14" t="s">
        <v>879</v>
      </c>
      <c r="F349" s="19">
        <f t="shared" si="5"/>
        <v>41079</v>
      </c>
    </row>
    <row r="350" spans="1:6" x14ac:dyDescent="0.25">
      <c r="A350" s="14">
        <v>4974</v>
      </c>
      <c r="B350" s="14" t="s">
        <v>381</v>
      </c>
      <c r="C350" s="16">
        <v>40876</v>
      </c>
      <c r="D350" s="14" t="s">
        <v>861</v>
      </c>
      <c r="E350" s="14" t="s">
        <v>864</v>
      </c>
      <c r="F350" s="19">
        <f t="shared" si="5"/>
        <v>40876</v>
      </c>
    </row>
    <row r="351" spans="1:6" x14ac:dyDescent="0.25">
      <c r="A351" s="14">
        <v>4979</v>
      </c>
      <c r="B351" s="14" t="s">
        <v>382</v>
      </c>
      <c r="C351" s="16">
        <v>40889</v>
      </c>
      <c r="D351" s="14" t="s">
        <v>861</v>
      </c>
      <c r="E351" s="14" t="s">
        <v>878</v>
      </c>
      <c r="F351" s="19">
        <f t="shared" si="5"/>
        <v>40889</v>
      </c>
    </row>
    <row r="352" spans="1:6" x14ac:dyDescent="0.25">
      <c r="A352" s="14">
        <v>4987</v>
      </c>
      <c r="B352" s="14" t="s">
        <v>383</v>
      </c>
      <c r="C352" s="16">
        <v>40989</v>
      </c>
      <c r="D352" s="14" t="s">
        <v>861</v>
      </c>
      <c r="E352" s="14" t="s">
        <v>867</v>
      </c>
      <c r="F352" s="19">
        <f t="shared" si="5"/>
        <v>40989</v>
      </c>
    </row>
    <row r="353" spans="1:6" x14ac:dyDescent="0.25">
      <c r="A353" s="14">
        <v>4991</v>
      </c>
      <c r="B353" s="14" t="s">
        <v>384</v>
      </c>
      <c r="C353" s="16">
        <v>41897</v>
      </c>
      <c r="D353" s="14" t="s">
        <v>861</v>
      </c>
      <c r="E353" s="14" t="s">
        <v>879</v>
      </c>
      <c r="F353" s="19">
        <f t="shared" si="5"/>
        <v>41897</v>
      </c>
    </row>
    <row r="354" spans="1:6" x14ac:dyDescent="0.25">
      <c r="A354" s="14">
        <v>4995</v>
      </c>
      <c r="B354" s="14" t="s">
        <v>385</v>
      </c>
      <c r="C354" s="16">
        <v>41038</v>
      </c>
      <c r="D354" s="14" t="s">
        <v>861</v>
      </c>
      <c r="E354" s="14" t="s">
        <v>877</v>
      </c>
      <c r="F354" s="19">
        <f t="shared" si="5"/>
        <v>41038</v>
      </c>
    </row>
    <row r="355" spans="1:6" x14ac:dyDescent="0.25">
      <c r="A355" s="14">
        <v>5009</v>
      </c>
      <c r="B355" s="14" t="s">
        <v>386</v>
      </c>
      <c r="C355" s="16">
        <v>36085</v>
      </c>
      <c r="D355" s="14" t="s">
        <v>861</v>
      </c>
      <c r="E355" s="14" t="s">
        <v>871</v>
      </c>
      <c r="F355" s="19">
        <f t="shared" si="5"/>
        <v>36085</v>
      </c>
    </row>
    <row r="356" spans="1:6" x14ac:dyDescent="0.25">
      <c r="A356" s="14">
        <v>5011</v>
      </c>
      <c r="B356" s="14" t="s">
        <v>387</v>
      </c>
      <c r="C356" s="16">
        <v>36286</v>
      </c>
      <c r="D356" s="14" t="s">
        <v>861</v>
      </c>
      <c r="E356" s="14" t="s">
        <v>871</v>
      </c>
      <c r="F356" s="19">
        <f t="shared" si="5"/>
        <v>36286</v>
      </c>
    </row>
    <row r="357" spans="1:6" x14ac:dyDescent="0.25">
      <c r="A357" s="14">
        <v>5013</v>
      </c>
      <c r="B357" s="14" t="s">
        <v>388</v>
      </c>
      <c r="C357" s="16">
        <v>36654</v>
      </c>
      <c r="D357" s="14" t="s">
        <v>861</v>
      </c>
      <c r="E357" s="14" t="s">
        <v>871</v>
      </c>
      <c r="F357" s="19">
        <f t="shared" si="5"/>
        <v>36654</v>
      </c>
    </row>
    <row r="358" spans="1:6" x14ac:dyDescent="0.25">
      <c r="A358" s="14">
        <v>5014</v>
      </c>
      <c r="B358" s="14" t="s">
        <v>389</v>
      </c>
      <c r="C358" s="16">
        <v>36937</v>
      </c>
      <c r="D358" s="14" t="s">
        <v>861</v>
      </c>
      <c r="E358" s="14" t="s">
        <v>871</v>
      </c>
      <c r="F358" s="19">
        <f t="shared" si="5"/>
        <v>36937</v>
      </c>
    </row>
    <row r="359" spans="1:6" x14ac:dyDescent="0.25">
      <c r="A359" s="14">
        <v>5015</v>
      </c>
      <c r="B359" s="14" t="s">
        <v>390</v>
      </c>
      <c r="C359" s="16">
        <v>36875</v>
      </c>
      <c r="D359" s="14" t="s">
        <v>861</v>
      </c>
      <c r="E359" s="14" t="s">
        <v>871</v>
      </c>
      <c r="F359" s="19">
        <f t="shared" si="5"/>
        <v>36875</v>
      </c>
    </row>
    <row r="360" spans="1:6" x14ac:dyDescent="0.25">
      <c r="A360" s="14">
        <v>5016</v>
      </c>
      <c r="B360" s="14" t="s">
        <v>391</v>
      </c>
      <c r="C360" s="16">
        <v>36955</v>
      </c>
      <c r="D360" s="14" t="s">
        <v>861</v>
      </c>
      <c r="E360" s="14" t="s">
        <v>871</v>
      </c>
      <c r="F360" s="19">
        <f t="shared" si="5"/>
        <v>36955</v>
      </c>
    </row>
    <row r="361" spans="1:6" x14ac:dyDescent="0.25">
      <c r="A361" s="14">
        <v>5102</v>
      </c>
      <c r="B361" s="14" t="s">
        <v>392</v>
      </c>
      <c r="C361" s="16">
        <v>36826</v>
      </c>
      <c r="D361" s="14" t="s">
        <v>861</v>
      </c>
      <c r="E361" s="14" t="s">
        <v>894</v>
      </c>
      <c r="F361" s="19">
        <f t="shared" si="5"/>
        <v>36826</v>
      </c>
    </row>
    <row r="362" spans="1:6" x14ac:dyDescent="0.25">
      <c r="A362" s="14">
        <v>5201</v>
      </c>
      <c r="B362" s="14" t="s">
        <v>393</v>
      </c>
      <c r="C362" s="16">
        <v>36811</v>
      </c>
      <c r="D362" s="14" t="s">
        <v>861</v>
      </c>
      <c r="E362" s="14" t="s">
        <v>880</v>
      </c>
      <c r="F362" s="19">
        <f t="shared" si="5"/>
        <v>36811</v>
      </c>
    </row>
    <row r="363" spans="1:6" x14ac:dyDescent="0.25">
      <c r="A363" s="14">
        <v>5202</v>
      </c>
      <c r="B363" s="14" t="s">
        <v>394</v>
      </c>
      <c r="C363" s="16">
        <v>36817</v>
      </c>
      <c r="D363" s="14" t="s">
        <v>861</v>
      </c>
      <c r="E363" s="14" t="s">
        <v>880</v>
      </c>
      <c r="F363" s="19">
        <f t="shared" si="5"/>
        <v>36817</v>
      </c>
    </row>
    <row r="364" spans="1:6" x14ac:dyDescent="0.25">
      <c r="A364" s="14">
        <v>5205</v>
      </c>
      <c r="B364" s="14" t="s">
        <v>395</v>
      </c>
      <c r="C364" s="16">
        <v>37025</v>
      </c>
      <c r="D364" s="14" t="s">
        <v>861</v>
      </c>
      <c r="E364" s="14" t="s">
        <v>880</v>
      </c>
      <c r="F364" s="19">
        <f t="shared" si="5"/>
        <v>37025</v>
      </c>
    </row>
    <row r="365" spans="1:6" x14ac:dyDescent="0.25">
      <c r="A365" s="14">
        <v>5206</v>
      </c>
      <c r="B365" s="14" t="s">
        <v>396</v>
      </c>
      <c r="C365" s="16">
        <v>37172</v>
      </c>
      <c r="D365" s="14" t="s">
        <v>861</v>
      </c>
      <c r="E365" s="14" t="s">
        <v>873</v>
      </c>
      <c r="F365" s="19">
        <f t="shared" si="5"/>
        <v>37172</v>
      </c>
    </row>
    <row r="366" spans="1:6" x14ac:dyDescent="0.25">
      <c r="A366" s="14">
        <v>5209</v>
      </c>
      <c r="B366" s="14" t="s">
        <v>397</v>
      </c>
      <c r="C366" s="16">
        <v>37312</v>
      </c>
      <c r="D366" s="14" t="s">
        <v>861</v>
      </c>
      <c r="E366" s="14" t="s">
        <v>880</v>
      </c>
      <c r="F366" s="19">
        <f t="shared" si="5"/>
        <v>37312</v>
      </c>
    </row>
    <row r="367" spans="1:6" x14ac:dyDescent="0.25">
      <c r="A367" s="14">
        <v>5210</v>
      </c>
      <c r="B367" s="14" t="s">
        <v>398</v>
      </c>
      <c r="C367" s="16">
        <v>37371</v>
      </c>
      <c r="D367" s="14" t="s">
        <v>861</v>
      </c>
      <c r="E367" s="14" t="s">
        <v>880</v>
      </c>
      <c r="F367" s="19">
        <f t="shared" si="5"/>
        <v>37371</v>
      </c>
    </row>
    <row r="368" spans="1:6" x14ac:dyDescent="0.25">
      <c r="A368" s="14">
        <v>5211</v>
      </c>
      <c r="B368" s="14" t="s">
        <v>399</v>
      </c>
      <c r="C368" s="16">
        <v>37613</v>
      </c>
      <c r="D368" s="14" t="s">
        <v>861</v>
      </c>
      <c r="E368" s="14" t="s">
        <v>880</v>
      </c>
      <c r="F368" s="19">
        <f t="shared" si="5"/>
        <v>37613</v>
      </c>
    </row>
    <row r="369" spans="1:6" x14ac:dyDescent="0.25">
      <c r="A369" s="14">
        <v>5212</v>
      </c>
      <c r="B369" s="14" t="s">
        <v>400</v>
      </c>
      <c r="C369" s="16">
        <v>37704</v>
      </c>
      <c r="D369" s="14" t="s">
        <v>861</v>
      </c>
      <c r="E369" s="14" t="s">
        <v>880</v>
      </c>
      <c r="F369" s="19">
        <f t="shared" si="5"/>
        <v>37704</v>
      </c>
    </row>
    <row r="370" spans="1:6" x14ac:dyDescent="0.25">
      <c r="A370" s="14">
        <v>5213</v>
      </c>
      <c r="B370" s="14" t="s">
        <v>401</v>
      </c>
      <c r="C370" s="16">
        <v>37735</v>
      </c>
      <c r="D370" s="14" t="s">
        <v>861</v>
      </c>
      <c r="E370" s="14" t="s">
        <v>873</v>
      </c>
      <c r="F370" s="19">
        <f t="shared" si="5"/>
        <v>37735</v>
      </c>
    </row>
    <row r="371" spans="1:6" x14ac:dyDescent="0.25">
      <c r="A371" s="14">
        <v>5227</v>
      </c>
      <c r="B371" s="14" t="s">
        <v>402</v>
      </c>
      <c r="C371" s="16">
        <v>41617</v>
      </c>
      <c r="D371" s="14" t="s">
        <v>861</v>
      </c>
      <c r="E371" s="14" t="s">
        <v>864</v>
      </c>
      <c r="F371" s="19">
        <f t="shared" si="5"/>
        <v>41617</v>
      </c>
    </row>
    <row r="372" spans="1:6" x14ac:dyDescent="0.25">
      <c r="A372" s="14">
        <v>5230</v>
      </c>
      <c r="B372" s="14" t="s">
        <v>403</v>
      </c>
      <c r="C372" s="16">
        <v>41065</v>
      </c>
      <c r="D372" s="14" t="s">
        <v>861</v>
      </c>
      <c r="E372" s="14" t="s">
        <v>877</v>
      </c>
      <c r="F372" s="19">
        <f t="shared" si="5"/>
        <v>41065</v>
      </c>
    </row>
    <row r="373" spans="1:6" x14ac:dyDescent="0.25">
      <c r="A373" s="14">
        <v>5245</v>
      </c>
      <c r="B373" s="14" t="s">
        <v>404</v>
      </c>
      <c r="C373" s="16">
        <v>42149</v>
      </c>
      <c r="D373" s="14" t="s">
        <v>861</v>
      </c>
      <c r="E373" s="14" t="s">
        <v>877</v>
      </c>
      <c r="F373" s="19">
        <f t="shared" si="5"/>
        <v>42149</v>
      </c>
    </row>
    <row r="374" spans="1:6" x14ac:dyDescent="0.25">
      <c r="A374" s="14">
        <v>5251</v>
      </c>
      <c r="B374" s="14" t="s">
        <v>405</v>
      </c>
      <c r="C374" s="16">
        <v>41239</v>
      </c>
      <c r="D374" s="14" t="s">
        <v>861</v>
      </c>
      <c r="E374" s="14" t="s">
        <v>877</v>
      </c>
      <c r="F374" s="19">
        <f t="shared" si="5"/>
        <v>41239</v>
      </c>
    </row>
    <row r="375" spans="1:6" x14ac:dyDescent="0.25">
      <c r="A375" s="14">
        <v>5255</v>
      </c>
      <c r="B375" s="14" t="s">
        <v>406</v>
      </c>
      <c r="C375" s="16">
        <v>41845</v>
      </c>
      <c r="D375" s="14" t="s">
        <v>861</v>
      </c>
      <c r="E375" s="14" t="s">
        <v>864</v>
      </c>
      <c r="F375" s="19">
        <f t="shared" si="5"/>
        <v>41845</v>
      </c>
    </row>
    <row r="376" spans="1:6" x14ac:dyDescent="0.25">
      <c r="A376" s="14">
        <v>5263</v>
      </c>
      <c r="B376" s="14" t="s">
        <v>407</v>
      </c>
      <c r="C376" s="16">
        <v>41261</v>
      </c>
      <c r="D376" s="14" t="s">
        <v>861</v>
      </c>
      <c r="E376" s="14" t="s">
        <v>881</v>
      </c>
      <c r="F376" s="19">
        <f t="shared" si="5"/>
        <v>41261</v>
      </c>
    </row>
    <row r="377" spans="1:6" x14ac:dyDescent="0.25">
      <c r="A377" s="14">
        <v>5272</v>
      </c>
      <c r="B377" s="14" t="s">
        <v>408</v>
      </c>
      <c r="C377" s="16">
        <v>41424</v>
      </c>
      <c r="D377" s="14" t="s">
        <v>861</v>
      </c>
      <c r="E377" s="14" t="s">
        <v>879</v>
      </c>
      <c r="F377" s="19">
        <f t="shared" si="5"/>
        <v>41424</v>
      </c>
    </row>
    <row r="378" spans="1:6" x14ac:dyDescent="0.25">
      <c r="A378" s="14">
        <v>5274</v>
      </c>
      <c r="B378" s="14" t="s">
        <v>409</v>
      </c>
      <c r="C378" s="16">
        <v>41394</v>
      </c>
      <c r="D378" s="14" t="s">
        <v>861</v>
      </c>
      <c r="E378" s="14" t="s">
        <v>879</v>
      </c>
      <c r="F378" s="19">
        <f t="shared" si="5"/>
        <v>41394</v>
      </c>
    </row>
    <row r="379" spans="1:6" x14ac:dyDescent="0.25">
      <c r="A379" s="14">
        <v>5276</v>
      </c>
      <c r="B379" s="14" t="s">
        <v>410</v>
      </c>
      <c r="C379" s="16">
        <v>41802</v>
      </c>
      <c r="D379" s="14" t="s">
        <v>861</v>
      </c>
      <c r="E379" s="14" t="s">
        <v>868</v>
      </c>
      <c r="F379" s="19">
        <f t="shared" si="5"/>
        <v>41802</v>
      </c>
    </row>
    <row r="380" spans="1:6" x14ac:dyDescent="0.25">
      <c r="A380" s="14">
        <v>5278</v>
      </c>
      <c r="B380" s="14" t="s">
        <v>411</v>
      </c>
      <c r="C380" s="16">
        <v>41429</v>
      </c>
      <c r="D380" s="14" t="s">
        <v>861</v>
      </c>
      <c r="E380" s="14" t="s">
        <v>880</v>
      </c>
      <c r="F380" s="19">
        <f t="shared" si="5"/>
        <v>41429</v>
      </c>
    </row>
    <row r="381" spans="1:6" x14ac:dyDescent="0.25">
      <c r="A381" s="14">
        <v>5281</v>
      </c>
      <c r="B381" s="14" t="s">
        <v>412</v>
      </c>
      <c r="C381" s="16">
        <v>42459</v>
      </c>
      <c r="D381" s="14" t="s">
        <v>861</v>
      </c>
      <c r="E381" s="14" t="s">
        <v>877</v>
      </c>
      <c r="F381" s="19">
        <f t="shared" si="5"/>
        <v>42459</v>
      </c>
    </row>
    <row r="382" spans="1:6" x14ac:dyDescent="0.25">
      <c r="A382" s="14">
        <v>5287</v>
      </c>
      <c r="B382" s="14" t="s">
        <v>413</v>
      </c>
      <c r="C382" s="16">
        <v>41659</v>
      </c>
      <c r="D382" s="14" t="s">
        <v>861</v>
      </c>
      <c r="E382" s="14" t="s">
        <v>880</v>
      </c>
      <c r="F382" s="19">
        <f t="shared" si="5"/>
        <v>41659</v>
      </c>
    </row>
    <row r="383" spans="1:6" x14ac:dyDescent="0.25">
      <c r="A383" s="14">
        <v>5289</v>
      </c>
      <c r="B383" s="14" t="s">
        <v>414</v>
      </c>
      <c r="C383" s="16">
        <v>41605</v>
      </c>
      <c r="D383" s="14" t="s">
        <v>861</v>
      </c>
      <c r="E383" s="14" t="s">
        <v>867</v>
      </c>
      <c r="F383" s="19">
        <f t="shared" si="5"/>
        <v>41605</v>
      </c>
    </row>
    <row r="384" spans="1:6" x14ac:dyDescent="0.25">
      <c r="A384" s="14">
        <v>5291</v>
      </c>
      <c r="B384" s="14" t="s">
        <v>415</v>
      </c>
      <c r="C384" s="16">
        <v>41996</v>
      </c>
      <c r="D384" s="14" t="s">
        <v>861</v>
      </c>
      <c r="E384" s="14" t="s">
        <v>864</v>
      </c>
      <c r="F384" s="19">
        <f t="shared" si="5"/>
        <v>41996</v>
      </c>
    </row>
    <row r="385" spans="1:6" x14ac:dyDescent="0.25">
      <c r="A385" s="14">
        <v>5301</v>
      </c>
      <c r="B385" s="14" t="s">
        <v>416</v>
      </c>
      <c r="C385" s="16">
        <v>33049</v>
      </c>
      <c r="D385" s="14" t="s">
        <v>861</v>
      </c>
      <c r="E385" s="14" t="s">
        <v>863</v>
      </c>
      <c r="F385" s="19">
        <f t="shared" si="5"/>
        <v>33049</v>
      </c>
    </row>
    <row r="386" spans="1:6" x14ac:dyDescent="0.25">
      <c r="A386" s="14">
        <v>5302</v>
      </c>
      <c r="B386" s="14" t="s">
        <v>417</v>
      </c>
      <c r="C386" s="16">
        <v>33255</v>
      </c>
      <c r="D386" s="14" t="s">
        <v>861</v>
      </c>
      <c r="E386" s="14" t="s">
        <v>879</v>
      </c>
      <c r="F386" s="19">
        <f t="shared" ref="F386:F449" si="6">C386</f>
        <v>33255</v>
      </c>
    </row>
    <row r="387" spans="1:6" x14ac:dyDescent="0.25">
      <c r="A387" s="14">
        <v>5304</v>
      </c>
      <c r="B387" s="14" t="s">
        <v>418</v>
      </c>
      <c r="C387" s="16">
        <v>33435</v>
      </c>
      <c r="D387" s="14" t="s">
        <v>861</v>
      </c>
      <c r="E387" s="14" t="s">
        <v>867</v>
      </c>
      <c r="F387" s="19">
        <f t="shared" si="6"/>
        <v>33435</v>
      </c>
    </row>
    <row r="388" spans="1:6" x14ac:dyDescent="0.25">
      <c r="A388" s="14">
        <v>5306</v>
      </c>
      <c r="B388" s="14" t="s">
        <v>419</v>
      </c>
      <c r="C388" s="16">
        <v>35059</v>
      </c>
      <c r="D388" s="14" t="s">
        <v>861</v>
      </c>
      <c r="E388" s="14" t="s">
        <v>868</v>
      </c>
      <c r="F388" s="19">
        <f t="shared" si="6"/>
        <v>35059</v>
      </c>
    </row>
    <row r="389" spans="1:6" x14ac:dyDescent="0.25">
      <c r="A389" s="14">
        <v>5309</v>
      </c>
      <c r="B389" s="14" t="s">
        <v>895</v>
      </c>
      <c r="C389" s="16">
        <v>35142</v>
      </c>
      <c r="D389" s="14" t="s">
        <v>861</v>
      </c>
      <c r="E389" s="14" t="s">
        <v>864</v>
      </c>
      <c r="F389" s="19">
        <f t="shared" si="6"/>
        <v>35142</v>
      </c>
    </row>
    <row r="390" spans="1:6" x14ac:dyDescent="0.25">
      <c r="A390" s="14">
        <v>5310</v>
      </c>
      <c r="B390" s="14" t="s">
        <v>421</v>
      </c>
      <c r="C390" s="16">
        <v>35164</v>
      </c>
      <c r="D390" s="14" t="s">
        <v>861</v>
      </c>
      <c r="E390" s="14" t="s">
        <v>880</v>
      </c>
      <c r="F390" s="19">
        <f t="shared" si="6"/>
        <v>35164</v>
      </c>
    </row>
    <row r="391" spans="1:6" x14ac:dyDescent="0.25">
      <c r="A391" s="14">
        <v>5312</v>
      </c>
      <c r="B391" s="14" t="s">
        <v>422</v>
      </c>
      <c r="C391" s="16">
        <v>35210</v>
      </c>
      <c r="D391" s="14" t="s">
        <v>861</v>
      </c>
      <c r="E391" s="14" t="s">
        <v>868</v>
      </c>
      <c r="F391" s="19">
        <f t="shared" si="6"/>
        <v>35210</v>
      </c>
    </row>
    <row r="392" spans="1:6" x14ac:dyDescent="0.25">
      <c r="A392" s="14">
        <v>5314</v>
      </c>
      <c r="B392" s="14" t="s">
        <v>423</v>
      </c>
      <c r="C392" s="16">
        <v>35324</v>
      </c>
      <c r="D392" s="14" t="s">
        <v>861</v>
      </c>
      <c r="E392" s="14" t="s">
        <v>879</v>
      </c>
      <c r="F392" s="19">
        <f t="shared" si="6"/>
        <v>35324</v>
      </c>
    </row>
    <row r="393" spans="1:6" x14ac:dyDescent="0.25">
      <c r="A393" s="14">
        <v>5315</v>
      </c>
      <c r="B393" s="14" t="s">
        <v>424</v>
      </c>
      <c r="C393" s="16">
        <v>35371</v>
      </c>
      <c r="D393" s="14" t="s">
        <v>861</v>
      </c>
      <c r="E393" s="14" t="s">
        <v>877</v>
      </c>
      <c r="F393" s="19">
        <f t="shared" si="6"/>
        <v>35371</v>
      </c>
    </row>
    <row r="394" spans="1:6" x14ac:dyDescent="0.25">
      <c r="A394" s="14">
        <v>5317</v>
      </c>
      <c r="B394" s="14" t="s">
        <v>425</v>
      </c>
      <c r="C394" s="16">
        <v>35401</v>
      </c>
      <c r="D394" s="14" t="s">
        <v>861</v>
      </c>
      <c r="E394" s="14" t="s">
        <v>864</v>
      </c>
      <c r="F394" s="19">
        <f t="shared" si="6"/>
        <v>35401</v>
      </c>
    </row>
    <row r="395" spans="1:6" x14ac:dyDescent="0.25">
      <c r="A395" s="14">
        <v>5321</v>
      </c>
      <c r="B395" s="14" t="s">
        <v>426</v>
      </c>
      <c r="C395" s="16">
        <v>35429</v>
      </c>
      <c r="D395" s="14" t="s">
        <v>861</v>
      </c>
      <c r="E395" s="14" t="s">
        <v>864</v>
      </c>
      <c r="F395" s="19">
        <f t="shared" si="6"/>
        <v>35429</v>
      </c>
    </row>
    <row r="396" spans="1:6" x14ac:dyDescent="0.25">
      <c r="A396" s="14">
        <v>5324</v>
      </c>
      <c r="B396" s="14" t="s">
        <v>427</v>
      </c>
      <c r="C396" s="16">
        <v>35460</v>
      </c>
      <c r="D396" s="14" t="s">
        <v>861</v>
      </c>
      <c r="E396" s="14" t="s">
        <v>873</v>
      </c>
      <c r="F396" s="19">
        <f t="shared" si="6"/>
        <v>35460</v>
      </c>
    </row>
    <row r="397" spans="1:6" x14ac:dyDescent="0.25">
      <c r="A397" s="14">
        <v>5328</v>
      </c>
      <c r="B397" s="14" t="s">
        <v>428</v>
      </c>
      <c r="C397" s="16">
        <v>35670</v>
      </c>
      <c r="D397" s="14" t="s">
        <v>861</v>
      </c>
      <c r="E397" s="14" t="s">
        <v>864</v>
      </c>
      <c r="F397" s="19">
        <f t="shared" si="6"/>
        <v>35670</v>
      </c>
    </row>
    <row r="398" spans="1:6" x14ac:dyDescent="0.25">
      <c r="A398" s="14">
        <v>5340</v>
      </c>
      <c r="B398" s="14" t="s">
        <v>429</v>
      </c>
      <c r="C398" s="16">
        <v>35815</v>
      </c>
      <c r="D398" s="14" t="s">
        <v>861</v>
      </c>
      <c r="E398" s="14" t="s">
        <v>864</v>
      </c>
      <c r="F398" s="19">
        <f t="shared" si="6"/>
        <v>35815</v>
      </c>
    </row>
    <row r="399" spans="1:6" x14ac:dyDescent="0.25">
      <c r="A399" s="14">
        <v>5344</v>
      </c>
      <c r="B399" s="14" t="s">
        <v>430</v>
      </c>
      <c r="C399" s="16">
        <v>35877</v>
      </c>
      <c r="D399" s="14" t="s">
        <v>861</v>
      </c>
      <c r="E399" s="14" t="s">
        <v>879</v>
      </c>
      <c r="F399" s="19">
        <f t="shared" si="6"/>
        <v>35877</v>
      </c>
    </row>
    <row r="400" spans="1:6" x14ac:dyDescent="0.25">
      <c r="A400" s="14">
        <v>5345</v>
      </c>
      <c r="B400" s="14" t="s">
        <v>431</v>
      </c>
      <c r="C400" s="16">
        <v>35877</v>
      </c>
      <c r="D400" s="14" t="s">
        <v>861</v>
      </c>
      <c r="E400" s="14" t="s">
        <v>864</v>
      </c>
      <c r="F400" s="19">
        <f t="shared" si="6"/>
        <v>35877</v>
      </c>
    </row>
    <row r="401" spans="1:6" x14ac:dyDescent="0.25">
      <c r="A401" s="14">
        <v>5347</v>
      </c>
      <c r="B401" s="14" t="s">
        <v>432</v>
      </c>
      <c r="C401" s="16">
        <v>35879</v>
      </c>
      <c r="D401" s="14" t="s">
        <v>861</v>
      </c>
      <c r="E401" s="14" t="s">
        <v>879</v>
      </c>
      <c r="F401" s="19">
        <f t="shared" si="6"/>
        <v>35879</v>
      </c>
    </row>
    <row r="402" spans="1:6" x14ac:dyDescent="0.25">
      <c r="A402" s="14">
        <v>5348</v>
      </c>
      <c r="B402" s="14" t="s">
        <v>433</v>
      </c>
      <c r="C402" s="16">
        <v>35914</v>
      </c>
      <c r="D402" s="14" t="s">
        <v>861</v>
      </c>
      <c r="E402" s="14" t="s">
        <v>878</v>
      </c>
      <c r="F402" s="19">
        <f t="shared" si="6"/>
        <v>35914</v>
      </c>
    </row>
    <row r="403" spans="1:6" x14ac:dyDescent="0.25">
      <c r="A403" s="14">
        <v>5349</v>
      </c>
      <c r="B403" s="14" t="s">
        <v>434</v>
      </c>
      <c r="C403" s="16">
        <v>35971</v>
      </c>
      <c r="D403" s="14" t="s">
        <v>861</v>
      </c>
      <c r="E403" s="14" t="s">
        <v>864</v>
      </c>
      <c r="F403" s="19">
        <f t="shared" si="6"/>
        <v>35971</v>
      </c>
    </row>
    <row r="404" spans="1:6" x14ac:dyDescent="0.25">
      <c r="A404" s="14">
        <v>5351</v>
      </c>
      <c r="B404" s="14" t="s">
        <v>435</v>
      </c>
      <c r="C404" s="16">
        <v>35930</v>
      </c>
      <c r="D404" s="14" t="s">
        <v>861</v>
      </c>
      <c r="E404" s="14" t="s">
        <v>879</v>
      </c>
      <c r="F404" s="19">
        <f t="shared" si="6"/>
        <v>35930</v>
      </c>
    </row>
    <row r="405" spans="1:6" x14ac:dyDescent="0.25">
      <c r="A405" s="14">
        <v>5353</v>
      </c>
      <c r="B405" s="14" t="s">
        <v>436</v>
      </c>
      <c r="C405" s="16">
        <v>35933</v>
      </c>
      <c r="D405" s="14" t="s">
        <v>861</v>
      </c>
      <c r="E405" s="14" t="s">
        <v>878</v>
      </c>
      <c r="F405" s="19">
        <f t="shared" si="6"/>
        <v>35933</v>
      </c>
    </row>
    <row r="406" spans="1:6" x14ac:dyDescent="0.25">
      <c r="A406" s="14">
        <v>5355</v>
      </c>
      <c r="B406" s="14" t="s">
        <v>437</v>
      </c>
      <c r="C406" s="16">
        <v>35969</v>
      </c>
      <c r="D406" s="14" t="s">
        <v>861</v>
      </c>
      <c r="E406" s="14" t="s">
        <v>864</v>
      </c>
      <c r="F406" s="19">
        <f t="shared" si="6"/>
        <v>35969</v>
      </c>
    </row>
    <row r="407" spans="1:6" x14ac:dyDescent="0.25">
      <c r="A407" s="14">
        <v>5356</v>
      </c>
      <c r="B407" s="14" t="s">
        <v>438</v>
      </c>
      <c r="C407" s="16">
        <v>35996</v>
      </c>
      <c r="D407" s="14" t="s">
        <v>861</v>
      </c>
      <c r="E407" s="14" t="s">
        <v>867</v>
      </c>
      <c r="F407" s="19">
        <f t="shared" si="6"/>
        <v>35996</v>
      </c>
    </row>
    <row r="408" spans="1:6" x14ac:dyDescent="0.25">
      <c r="A408" s="14">
        <v>5364</v>
      </c>
      <c r="B408" s="14" t="s">
        <v>439</v>
      </c>
      <c r="C408" s="16">
        <v>41512</v>
      </c>
      <c r="D408" s="14" t="s">
        <v>861</v>
      </c>
      <c r="E408" s="14" t="s">
        <v>863</v>
      </c>
      <c r="F408" s="19">
        <f t="shared" si="6"/>
        <v>41512</v>
      </c>
    </row>
    <row r="409" spans="1:6" x14ac:dyDescent="0.25">
      <c r="A409" s="14">
        <v>5371</v>
      </c>
      <c r="B409" s="14" t="s">
        <v>440</v>
      </c>
      <c r="C409" s="16">
        <v>36180</v>
      </c>
      <c r="D409" s="14" t="s">
        <v>861</v>
      </c>
      <c r="E409" s="14" t="s">
        <v>877</v>
      </c>
      <c r="F409" s="19">
        <f t="shared" si="6"/>
        <v>36180</v>
      </c>
    </row>
    <row r="410" spans="1:6" x14ac:dyDescent="0.25">
      <c r="A410" s="14">
        <v>5381</v>
      </c>
      <c r="B410" s="14" t="s">
        <v>441</v>
      </c>
      <c r="C410" s="16">
        <v>36238</v>
      </c>
      <c r="D410" s="14" t="s">
        <v>861</v>
      </c>
      <c r="E410" s="14" t="s">
        <v>864</v>
      </c>
      <c r="F410" s="19">
        <f t="shared" si="6"/>
        <v>36238</v>
      </c>
    </row>
    <row r="411" spans="1:6" x14ac:dyDescent="0.25">
      <c r="A411" s="14">
        <v>5383</v>
      </c>
      <c r="B411" s="14" t="s">
        <v>442</v>
      </c>
      <c r="C411" s="16">
        <v>36264</v>
      </c>
      <c r="D411" s="14" t="s">
        <v>861</v>
      </c>
      <c r="E411" s="14" t="s">
        <v>870</v>
      </c>
      <c r="F411" s="19">
        <f t="shared" si="6"/>
        <v>36264</v>
      </c>
    </row>
    <row r="412" spans="1:6" x14ac:dyDescent="0.25">
      <c r="A412" s="14">
        <v>5384</v>
      </c>
      <c r="B412" s="14" t="s">
        <v>830</v>
      </c>
      <c r="C412" s="16">
        <v>36266</v>
      </c>
      <c r="D412" s="14" t="s">
        <v>861</v>
      </c>
      <c r="E412" s="14" t="s">
        <v>867</v>
      </c>
      <c r="F412" s="19">
        <f t="shared" si="6"/>
        <v>36266</v>
      </c>
    </row>
    <row r="413" spans="1:6" x14ac:dyDescent="0.25">
      <c r="A413" s="14">
        <v>5386</v>
      </c>
      <c r="B413" s="14" t="s">
        <v>443</v>
      </c>
      <c r="C413" s="16">
        <v>36293</v>
      </c>
      <c r="D413" s="14" t="s">
        <v>861</v>
      </c>
      <c r="E413" s="14" t="s">
        <v>867</v>
      </c>
      <c r="F413" s="19">
        <f t="shared" si="6"/>
        <v>36293</v>
      </c>
    </row>
    <row r="414" spans="1:6" x14ac:dyDescent="0.25">
      <c r="A414" s="14">
        <v>5392</v>
      </c>
      <c r="B414" s="14" t="s">
        <v>444</v>
      </c>
      <c r="C414" s="16">
        <v>36325</v>
      </c>
      <c r="D414" s="14" t="s">
        <v>861</v>
      </c>
      <c r="E414" s="14" t="s">
        <v>877</v>
      </c>
      <c r="F414" s="19">
        <f t="shared" si="6"/>
        <v>36325</v>
      </c>
    </row>
    <row r="415" spans="1:6" x14ac:dyDescent="0.25">
      <c r="A415" s="14">
        <v>5398</v>
      </c>
      <c r="B415" s="14" t="s">
        <v>831</v>
      </c>
      <c r="C415" s="16">
        <v>36444</v>
      </c>
      <c r="D415" s="14" t="s">
        <v>861</v>
      </c>
      <c r="E415" s="14" t="s">
        <v>864</v>
      </c>
      <c r="F415" s="19">
        <f t="shared" si="6"/>
        <v>36444</v>
      </c>
    </row>
    <row r="416" spans="1:6" x14ac:dyDescent="0.25">
      <c r="A416" s="14">
        <v>5403</v>
      </c>
      <c r="B416" s="14" t="s">
        <v>445</v>
      </c>
      <c r="C416" s="16">
        <v>36448</v>
      </c>
      <c r="D416" s="14" t="s">
        <v>861</v>
      </c>
      <c r="E416" s="14" t="s">
        <v>880</v>
      </c>
      <c r="F416" s="19">
        <f t="shared" si="6"/>
        <v>36448</v>
      </c>
    </row>
    <row r="417" spans="1:6" x14ac:dyDescent="0.25">
      <c r="A417" s="14">
        <v>5410</v>
      </c>
      <c r="B417" s="14" t="s">
        <v>446</v>
      </c>
      <c r="C417" s="16">
        <v>36490</v>
      </c>
      <c r="D417" s="14" t="s">
        <v>861</v>
      </c>
      <c r="E417" s="14" t="s">
        <v>880</v>
      </c>
      <c r="F417" s="19">
        <f t="shared" si="6"/>
        <v>36490</v>
      </c>
    </row>
    <row r="418" spans="1:6" x14ac:dyDescent="0.25">
      <c r="A418" s="14">
        <v>5425</v>
      </c>
      <c r="B418" s="14" t="s">
        <v>447</v>
      </c>
      <c r="C418" s="16">
        <v>36577</v>
      </c>
      <c r="D418" s="14" t="s">
        <v>861</v>
      </c>
      <c r="E418" s="14" t="s">
        <v>879</v>
      </c>
      <c r="F418" s="19">
        <f t="shared" si="6"/>
        <v>36577</v>
      </c>
    </row>
    <row r="419" spans="1:6" x14ac:dyDescent="0.25">
      <c r="A419" s="14">
        <v>5426</v>
      </c>
      <c r="B419" s="14" t="s">
        <v>448</v>
      </c>
      <c r="C419" s="16">
        <v>36565</v>
      </c>
      <c r="D419" s="14" t="s">
        <v>861</v>
      </c>
      <c r="E419" s="14" t="s">
        <v>867</v>
      </c>
      <c r="F419" s="19">
        <f t="shared" si="6"/>
        <v>36565</v>
      </c>
    </row>
    <row r="420" spans="1:6" x14ac:dyDescent="0.25">
      <c r="A420" s="14">
        <v>5432</v>
      </c>
      <c r="B420" s="14" t="s">
        <v>449</v>
      </c>
      <c r="C420" s="16">
        <v>36606</v>
      </c>
      <c r="D420" s="14" t="s">
        <v>861</v>
      </c>
      <c r="E420" s="14" t="s">
        <v>877</v>
      </c>
      <c r="F420" s="19">
        <f t="shared" si="6"/>
        <v>36606</v>
      </c>
    </row>
    <row r="421" spans="1:6" x14ac:dyDescent="0.25">
      <c r="A421" s="14">
        <v>5438</v>
      </c>
      <c r="B421" s="14" t="s">
        <v>450</v>
      </c>
      <c r="C421" s="16">
        <v>36694</v>
      </c>
      <c r="D421" s="14" t="s">
        <v>861</v>
      </c>
      <c r="E421" s="14" t="s">
        <v>867</v>
      </c>
      <c r="F421" s="19">
        <f t="shared" si="6"/>
        <v>36694</v>
      </c>
    </row>
    <row r="422" spans="1:6" x14ac:dyDescent="0.25">
      <c r="A422" s="14">
        <v>5439</v>
      </c>
      <c r="B422" s="14" t="s">
        <v>451</v>
      </c>
      <c r="C422" s="16">
        <v>36703</v>
      </c>
      <c r="D422" s="14" t="s">
        <v>861</v>
      </c>
      <c r="E422" s="14" t="s">
        <v>864</v>
      </c>
      <c r="F422" s="19">
        <f t="shared" si="6"/>
        <v>36703</v>
      </c>
    </row>
    <row r="423" spans="1:6" x14ac:dyDescent="0.25">
      <c r="A423" s="14">
        <v>5443</v>
      </c>
      <c r="B423" s="14" t="s">
        <v>452</v>
      </c>
      <c r="C423" s="16">
        <v>35835</v>
      </c>
      <c r="D423" s="14" t="s">
        <v>861</v>
      </c>
      <c r="E423" s="14" t="s">
        <v>877</v>
      </c>
      <c r="F423" s="19">
        <f t="shared" si="6"/>
        <v>35835</v>
      </c>
    </row>
    <row r="424" spans="1:6" x14ac:dyDescent="0.25">
      <c r="A424" s="14">
        <v>5450</v>
      </c>
      <c r="B424" s="14" t="s">
        <v>896</v>
      </c>
      <c r="C424" s="16">
        <v>36760</v>
      </c>
      <c r="D424" s="14" t="s">
        <v>861</v>
      </c>
      <c r="E424" s="14" t="s">
        <v>867</v>
      </c>
      <c r="F424" s="19">
        <f t="shared" si="6"/>
        <v>36760</v>
      </c>
    </row>
    <row r="425" spans="1:6" x14ac:dyDescent="0.25">
      <c r="A425" s="14">
        <v>5452</v>
      </c>
      <c r="B425" s="14" t="s">
        <v>454</v>
      </c>
      <c r="C425" s="16">
        <v>36801</v>
      </c>
      <c r="D425" s="14" t="s">
        <v>861</v>
      </c>
      <c r="E425" s="14" t="s">
        <v>870</v>
      </c>
      <c r="F425" s="19">
        <f t="shared" si="6"/>
        <v>36801</v>
      </c>
    </row>
    <row r="426" spans="1:6" x14ac:dyDescent="0.25">
      <c r="A426" s="14">
        <v>5455</v>
      </c>
      <c r="B426" s="14" t="s">
        <v>455</v>
      </c>
      <c r="C426" s="16">
        <v>36818</v>
      </c>
      <c r="D426" s="14" t="s">
        <v>861</v>
      </c>
      <c r="E426" s="14" t="s">
        <v>879</v>
      </c>
      <c r="F426" s="19">
        <f t="shared" si="6"/>
        <v>36818</v>
      </c>
    </row>
    <row r="427" spans="1:6" x14ac:dyDescent="0.25">
      <c r="A427" s="14">
        <v>5457</v>
      </c>
      <c r="B427" s="14" t="s">
        <v>456</v>
      </c>
      <c r="C427" s="16">
        <v>36798</v>
      </c>
      <c r="D427" s="14" t="s">
        <v>861</v>
      </c>
      <c r="E427" s="14" t="s">
        <v>864</v>
      </c>
      <c r="F427" s="19">
        <f t="shared" si="6"/>
        <v>36798</v>
      </c>
    </row>
    <row r="428" spans="1:6" x14ac:dyDescent="0.25">
      <c r="A428" s="14">
        <v>5460</v>
      </c>
      <c r="B428" s="14" t="s">
        <v>457</v>
      </c>
      <c r="C428" s="16">
        <v>36797</v>
      </c>
      <c r="D428" s="14" t="s">
        <v>861</v>
      </c>
      <c r="E428" s="14" t="s">
        <v>864</v>
      </c>
      <c r="F428" s="19">
        <f t="shared" si="6"/>
        <v>36797</v>
      </c>
    </row>
    <row r="429" spans="1:6" x14ac:dyDescent="0.25">
      <c r="A429" s="14">
        <v>5464</v>
      </c>
      <c r="B429" s="14" t="s">
        <v>458</v>
      </c>
      <c r="C429" s="16">
        <v>36838</v>
      </c>
      <c r="D429" s="14" t="s">
        <v>861</v>
      </c>
      <c r="E429" s="14" t="s">
        <v>864</v>
      </c>
      <c r="F429" s="19">
        <f t="shared" si="6"/>
        <v>36838</v>
      </c>
    </row>
    <row r="430" spans="1:6" x14ac:dyDescent="0.25">
      <c r="A430" s="14">
        <v>5465</v>
      </c>
      <c r="B430" s="14" t="s">
        <v>459</v>
      </c>
      <c r="C430" s="16">
        <v>36838</v>
      </c>
      <c r="D430" s="14" t="s">
        <v>861</v>
      </c>
      <c r="E430" s="14" t="s">
        <v>867</v>
      </c>
      <c r="F430" s="19">
        <f t="shared" si="6"/>
        <v>36838</v>
      </c>
    </row>
    <row r="431" spans="1:6" x14ac:dyDescent="0.25">
      <c r="A431" s="14">
        <v>5468</v>
      </c>
      <c r="B431" s="14" t="s">
        <v>460</v>
      </c>
      <c r="C431" s="16">
        <v>36908</v>
      </c>
      <c r="D431" s="14" t="s">
        <v>861</v>
      </c>
      <c r="E431" s="14" t="s">
        <v>879</v>
      </c>
      <c r="F431" s="19">
        <f t="shared" si="6"/>
        <v>36908</v>
      </c>
    </row>
    <row r="432" spans="1:6" x14ac:dyDescent="0.25">
      <c r="A432" s="14">
        <v>5474</v>
      </c>
      <c r="B432" s="14" t="s">
        <v>461</v>
      </c>
      <c r="C432" s="16">
        <v>36970</v>
      </c>
      <c r="D432" s="14" t="s">
        <v>861</v>
      </c>
      <c r="E432" s="14" t="s">
        <v>867</v>
      </c>
      <c r="F432" s="19">
        <f t="shared" si="6"/>
        <v>36970</v>
      </c>
    </row>
    <row r="433" spans="1:6" x14ac:dyDescent="0.25">
      <c r="A433" s="14">
        <v>5475</v>
      </c>
      <c r="B433" s="14" t="s">
        <v>462</v>
      </c>
      <c r="C433" s="16">
        <v>36907</v>
      </c>
      <c r="D433" s="14" t="s">
        <v>861</v>
      </c>
      <c r="E433" s="14" t="s">
        <v>864</v>
      </c>
      <c r="F433" s="19">
        <f t="shared" si="6"/>
        <v>36907</v>
      </c>
    </row>
    <row r="434" spans="1:6" x14ac:dyDescent="0.25">
      <c r="A434" s="14">
        <v>5478</v>
      </c>
      <c r="B434" s="14" t="s">
        <v>463</v>
      </c>
      <c r="C434" s="16">
        <v>36979</v>
      </c>
      <c r="D434" s="14" t="s">
        <v>861</v>
      </c>
      <c r="E434" s="14" t="s">
        <v>880</v>
      </c>
      <c r="F434" s="19">
        <f t="shared" si="6"/>
        <v>36979</v>
      </c>
    </row>
    <row r="435" spans="1:6" x14ac:dyDescent="0.25">
      <c r="A435" s="14">
        <v>5480</v>
      </c>
      <c r="B435" s="14" t="s">
        <v>464</v>
      </c>
      <c r="C435" s="16">
        <v>36991</v>
      </c>
      <c r="D435" s="14" t="s">
        <v>861</v>
      </c>
      <c r="E435" s="14" t="s">
        <v>864</v>
      </c>
      <c r="F435" s="19">
        <f t="shared" si="6"/>
        <v>36991</v>
      </c>
    </row>
    <row r="436" spans="1:6" x14ac:dyDescent="0.25">
      <c r="A436" s="14">
        <v>5481</v>
      </c>
      <c r="B436" s="14" t="s">
        <v>465</v>
      </c>
      <c r="C436" s="16">
        <v>37008</v>
      </c>
      <c r="D436" s="14" t="s">
        <v>861</v>
      </c>
      <c r="E436" s="14" t="s">
        <v>864</v>
      </c>
      <c r="F436" s="19">
        <f t="shared" si="6"/>
        <v>37008</v>
      </c>
    </row>
    <row r="437" spans="1:6" x14ac:dyDescent="0.25">
      <c r="A437" s="14">
        <v>5483</v>
      </c>
      <c r="B437" s="14" t="s">
        <v>466</v>
      </c>
      <c r="C437" s="16">
        <v>36952</v>
      </c>
      <c r="D437" s="14" t="s">
        <v>861</v>
      </c>
      <c r="E437" s="14" t="s">
        <v>879</v>
      </c>
      <c r="F437" s="19">
        <f t="shared" si="6"/>
        <v>36952</v>
      </c>
    </row>
    <row r="438" spans="1:6" x14ac:dyDescent="0.25">
      <c r="A438" s="14">
        <v>5487</v>
      </c>
      <c r="B438" s="14" t="s">
        <v>467</v>
      </c>
      <c r="C438" s="16">
        <v>36942</v>
      </c>
      <c r="D438" s="14" t="s">
        <v>861</v>
      </c>
      <c r="E438" s="14" t="s">
        <v>879</v>
      </c>
      <c r="F438" s="19">
        <f t="shared" si="6"/>
        <v>36942</v>
      </c>
    </row>
    <row r="439" spans="1:6" x14ac:dyDescent="0.25">
      <c r="A439" s="14">
        <v>5488</v>
      </c>
      <c r="B439" s="14" t="s">
        <v>468</v>
      </c>
      <c r="C439" s="16">
        <v>36962</v>
      </c>
      <c r="D439" s="14" t="s">
        <v>861</v>
      </c>
      <c r="E439" s="14" t="s">
        <v>864</v>
      </c>
      <c r="F439" s="19">
        <f t="shared" si="6"/>
        <v>36962</v>
      </c>
    </row>
    <row r="440" spans="1:6" x14ac:dyDescent="0.25">
      <c r="A440" s="14">
        <v>5489</v>
      </c>
      <c r="B440" s="14" t="s">
        <v>469</v>
      </c>
      <c r="C440" s="16">
        <v>36962</v>
      </c>
      <c r="D440" s="14" t="s">
        <v>861</v>
      </c>
      <c r="E440" s="14" t="s">
        <v>870</v>
      </c>
      <c r="F440" s="19">
        <f t="shared" si="6"/>
        <v>36962</v>
      </c>
    </row>
    <row r="441" spans="1:6" x14ac:dyDescent="0.25">
      <c r="A441" s="14">
        <v>5490</v>
      </c>
      <c r="B441" s="14" t="s">
        <v>470</v>
      </c>
      <c r="C441" s="16">
        <v>37025</v>
      </c>
      <c r="D441" s="14" t="s">
        <v>861</v>
      </c>
      <c r="E441" s="14" t="s">
        <v>867</v>
      </c>
      <c r="F441" s="19">
        <f t="shared" si="6"/>
        <v>37025</v>
      </c>
    </row>
    <row r="442" spans="1:6" x14ac:dyDescent="0.25">
      <c r="A442" s="14">
        <v>5491</v>
      </c>
      <c r="B442" s="14" t="s">
        <v>471</v>
      </c>
      <c r="C442" s="16">
        <v>36971</v>
      </c>
      <c r="D442" s="14" t="s">
        <v>861</v>
      </c>
      <c r="E442" s="14" t="s">
        <v>864</v>
      </c>
      <c r="F442" s="19">
        <f t="shared" si="6"/>
        <v>36971</v>
      </c>
    </row>
    <row r="443" spans="1:6" x14ac:dyDescent="0.25">
      <c r="A443" s="14">
        <v>5493</v>
      </c>
      <c r="B443" s="14" t="s">
        <v>472</v>
      </c>
      <c r="C443" s="16">
        <v>37014</v>
      </c>
      <c r="D443" s="14" t="s">
        <v>861</v>
      </c>
      <c r="E443" s="14" t="s">
        <v>870</v>
      </c>
      <c r="F443" s="19">
        <f t="shared" si="6"/>
        <v>37014</v>
      </c>
    </row>
    <row r="444" spans="1:6" x14ac:dyDescent="0.25">
      <c r="A444" s="14">
        <v>5498</v>
      </c>
      <c r="B444" s="14" t="s">
        <v>473</v>
      </c>
      <c r="C444" s="16">
        <v>36979</v>
      </c>
      <c r="D444" s="14" t="s">
        <v>861</v>
      </c>
      <c r="E444" s="14" t="s">
        <v>864</v>
      </c>
      <c r="F444" s="19">
        <f t="shared" si="6"/>
        <v>36979</v>
      </c>
    </row>
    <row r="445" spans="1:6" x14ac:dyDescent="0.25">
      <c r="A445" s="14">
        <v>5508</v>
      </c>
      <c r="B445" s="14" t="s">
        <v>474</v>
      </c>
      <c r="C445" s="16">
        <v>35928</v>
      </c>
      <c r="D445" s="14" t="s">
        <v>861</v>
      </c>
      <c r="E445" s="14" t="s">
        <v>873</v>
      </c>
      <c r="F445" s="19">
        <f t="shared" si="6"/>
        <v>35928</v>
      </c>
    </row>
    <row r="446" spans="1:6" x14ac:dyDescent="0.25">
      <c r="A446" s="14">
        <v>5511</v>
      </c>
      <c r="B446" s="14" t="s">
        <v>475</v>
      </c>
      <c r="C446" s="16">
        <v>36138</v>
      </c>
      <c r="D446" s="14" t="s">
        <v>861</v>
      </c>
      <c r="E446" s="14" t="s">
        <v>873</v>
      </c>
      <c r="F446" s="19">
        <f t="shared" si="6"/>
        <v>36138</v>
      </c>
    </row>
    <row r="447" spans="1:6" x14ac:dyDescent="0.25">
      <c r="A447" s="14">
        <v>5512</v>
      </c>
      <c r="B447" s="14" t="s">
        <v>476</v>
      </c>
      <c r="C447" s="16">
        <v>36133</v>
      </c>
      <c r="D447" s="14" t="s">
        <v>861</v>
      </c>
      <c r="E447" s="14" t="s">
        <v>873</v>
      </c>
      <c r="F447" s="19">
        <f t="shared" si="6"/>
        <v>36133</v>
      </c>
    </row>
    <row r="448" spans="1:6" x14ac:dyDescent="0.25">
      <c r="A448" s="14">
        <v>5514</v>
      </c>
      <c r="B448" s="14" t="s">
        <v>477</v>
      </c>
      <c r="C448" s="16">
        <v>36158</v>
      </c>
      <c r="D448" s="14" t="s">
        <v>861</v>
      </c>
      <c r="E448" s="14" t="s">
        <v>873</v>
      </c>
      <c r="F448" s="19">
        <f t="shared" si="6"/>
        <v>36158</v>
      </c>
    </row>
    <row r="449" spans="1:6" x14ac:dyDescent="0.25">
      <c r="A449" s="14">
        <v>5516</v>
      </c>
      <c r="B449" s="14" t="s">
        <v>478</v>
      </c>
      <c r="C449" s="16">
        <v>36242</v>
      </c>
      <c r="D449" s="14" t="s">
        <v>861</v>
      </c>
      <c r="E449" s="14" t="s">
        <v>873</v>
      </c>
      <c r="F449" s="19">
        <f t="shared" si="6"/>
        <v>36242</v>
      </c>
    </row>
    <row r="450" spans="1:6" x14ac:dyDescent="0.25">
      <c r="A450" s="14">
        <v>5520</v>
      </c>
      <c r="B450" s="14" t="s">
        <v>479</v>
      </c>
      <c r="C450" s="16">
        <v>36460</v>
      </c>
      <c r="D450" s="14" t="s">
        <v>861</v>
      </c>
      <c r="E450" s="14" t="s">
        <v>873</v>
      </c>
      <c r="F450" s="19">
        <f t="shared" ref="F450:F513" si="7">C450</f>
        <v>36460</v>
      </c>
    </row>
    <row r="451" spans="1:6" x14ac:dyDescent="0.25">
      <c r="A451" s="14">
        <v>5523</v>
      </c>
      <c r="B451" s="14" t="s">
        <v>480</v>
      </c>
      <c r="C451" s="16">
        <v>36521</v>
      </c>
      <c r="D451" s="14" t="s">
        <v>861</v>
      </c>
      <c r="E451" s="14" t="s">
        <v>873</v>
      </c>
      <c r="F451" s="19">
        <f t="shared" si="7"/>
        <v>36521</v>
      </c>
    </row>
    <row r="452" spans="1:6" x14ac:dyDescent="0.25">
      <c r="A452" s="14">
        <v>5529</v>
      </c>
      <c r="B452" s="14" t="s">
        <v>481</v>
      </c>
      <c r="C452" s="16">
        <v>35076</v>
      </c>
      <c r="D452" s="14" t="s">
        <v>861</v>
      </c>
      <c r="E452" s="14" t="s">
        <v>873</v>
      </c>
      <c r="F452" s="19">
        <f t="shared" si="7"/>
        <v>35076</v>
      </c>
    </row>
    <row r="453" spans="1:6" x14ac:dyDescent="0.25">
      <c r="A453" s="14">
        <v>5530</v>
      </c>
      <c r="B453" s="14" t="s">
        <v>482</v>
      </c>
      <c r="C453" s="16">
        <v>36803</v>
      </c>
      <c r="D453" s="14" t="s">
        <v>861</v>
      </c>
      <c r="E453" s="14" t="s">
        <v>868</v>
      </c>
      <c r="F453" s="19">
        <f t="shared" si="7"/>
        <v>36803</v>
      </c>
    </row>
    <row r="454" spans="1:6" x14ac:dyDescent="0.25">
      <c r="A454" s="14">
        <v>5536</v>
      </c>
      <c r="B454" s="14" t="s">
        <v>483</v>
      </c>
      <c r="C454" s="16">
        <v>40492</v>
      </c>
      <c r="D454" s="14" t="s">
        <v>861</v>
      </c>
      <c r="E454" s="14" t="s">
        <v>870</v>
      </c>
      <c r="F454" s="19">
        <f t="shared" si="7"/>
        <v>40492</v>
      </c>
    </row>
    <row r="455" spans="1:6" x14ac:dyDescent="0.25">
      <c r="A455" s="14">
        <v>5543</v>
      </c>
      <c r="B455" s="14" t="s">
        <v>484</v>
      </c>
      <c r="C455" s="16">
        <v>42499</v>
      </c>
      <c r="D455" s="14" t="s">
        <v>861</v>
      </c>
      <c r="E455" s="14" t="s">
        <v>873</v>
      </c>
      <c r="F455" s="19">
        <f t="shared" si="7"/>
        <v>42499</v>
      </c>
    </row>
    <row r="456" spans="1:6" x14ac:dyDescent="0.25">
      <c r="A456" s="14">
        <v>5601</v>
      </c>
      <c r="B456" s="14" t="s">
        <v>485</v>
      </c>
      <c r="C456" s="16">
        <v>34662</v>
      </c>
      <c r="D456" s="14" t="s">
        <v>861</v>
      </c>
      <c r="E456" s="14" t="s">
        <v>874</v>
      </c>
      <c r="F456" s="19">
        <f t="shared" si="7"/>
        <v>34662</v>
      </c>
    </row>
    <row r="457" spans="1:6" x14ac:dyDescent="0.25">
      <c r="A457" s="14">
        <v>5603</v>
      </c>
      <c r="B457" s="14" t="s">
        <v>486</v>
      </c>
      <c r="C457" s="16">
        <v>35455</v>
      </c>
      <c r="D457" s="14" t="s">
        <v>861</v>
      </c>
      <c r="E457" s="14" t="s">
        <v>874</v>
      </c>
      <c r="F457" s="19">
        <f t="shared" si="7"/>
        <v>35455</v>
      </c>
    </row>
    <row r="458" spans="1:6" x14ac:dyDescent="0.25">
      <c r="A458" s="14">
        <v>5604</v>
      </c>
      <c r="B458" s="14" t="s">
        <v>487</v>
      </c>
      <c r="C458" s="16">
        <v>35572</v>
      </c>
      <c r="D458" s="14" t="s">
        <v>861</v>
      </c>
      <c r="E458" s="14" t="s">
        <v>874</v>
      </c>
      <c r="F458" s="19">
        <f t="shared" si="7"/>
        <v>35572</v>
      </c>
    </row>
    <row r="459" spans="1:6" x14ac:dyDescent="0.25">
      <c r="A459" s="14">
        <v>5609</v>
      </c>
      <c r="B459" s="14" t="s">
        <v>488</v>
      </c>
      <c r="C459" s="16">
        <v>37179</v>
      </c>
      <c r="D459" s="14" t="s">
        <v>861</v>
      </c>
      <c r="E459" s="14" t="s">
        <v>874</v>
      </c>
      <c r="F459" s="19">
        <f t="shared" si="7"/>
        <v>37179</v>
      </c>
    </row>
    <row r="460" spans="1:6" x14ac:dyDescent="0.25">
      <c r="A460" s="14">
        <v>5701</v>
      </c>
      <c r="B460" s="14" t="s">
        <v>489</v>
      </c>
      <c r="C460" s="16">
        <v>35866</v>
      </c>
      <c r="D460" s="14" t="s">
        <v>861</v>
      </c>
      <c r="E460" s="14" t="s">
        <v>863</v>
      </c>
      <c r="F460" s="19">
        <f t="shared" si="7"/>
        <v>35866</v>
      </c>
    </row>
    <row r="461" spans="1:6" x14ac:dyDescent="0.25">
      <c r="A461" s="14">
        <v>5703</v>
      </c>
      <c r="B461" s="14" t="s">
        <v>490</v>
      </c>
      <c r="C461" s="16">
        <v>36326</v>
      </c>
      <c r="D461" s="14" t="s">
        <v>861</v>
      </c>
      <c r="E461" s="14" t="s">
        <v>863</v>
      </c>
      <c r="F461" s="19">
        <f t="shared" si="7"/>
        <v>36326</v>
      </c>
    </row>
    <row r="462" spans="1:6" x14ac:dyDescent="0.25">
      <c r="A462" s="14">
        <v>5704</v>
      </c>
      <c r="B462" s="14" t="s">
        <v>491</v>
      </c>
      <c r="C462" s="16">
        <v>36515</v>
      </c>
      <c r="D462" s="14" t="s">
        <v>861</v>
      </c>
      <c r="E462" s="14" t="s">
        <v>863</v>
      </c>
      <c r="F462" s="19">
        <f t="shared" si="7"/>
        <v>36515</v>
      </c>
    </row>
    <row r="463" spans="1:6" x14ac:dyDescent="0.25">
      <c r="A463" s="14">
        <v>5820</v>
      </c>
      <c r="B463" s="14" t="s">
        <v>492</v>
      </c>
      <c r="C463" s="16">
        <v>37292</v>
      </c>
      <c r="D463" s="14" t="s">
        <v>861</v>
      </c>
      <c r="E463" s="14" t="s">
        <v>897</v>
      </c>
      <c r="F463" s="19">
        <f t="shared" si="7"/>
        <v>37292</v>
      </c>
    </row>
    <row r="464" spans="1:6" x14ac:dyDescent="0.25">
      <c r="A464" s="14">
        <v>5878</v>
      </c>
      <c r="B464" s="14" t="s">
        <v>493</v>
      </c>
      <c r="C464" s="16">
        <v>41940</v>
      </c>
      <c r="D464" s="14" t="s">
        <v>861</v>
      </c>
      <c r="E464" s="14" t="s">
        <v>897</v>
      </c>
      <c r="F464" s="19">
        <f t="shared" si="7"/>
        <v>41940</v>
      </c>
    </row>
    <row r="465" spans="1:6" x14ac:dyDescent="0.25">
      <c r="A465" s="14">
        <v>5902</v>
      </c>
      <c r="B465" s="14" t="s">
        <v>494</v>
      </c>
      <c r="C465" s="16">
        <v>35833</v>
      </c>
      <c r="D465" s="14" t="s">
        <v>861</v>
      </c>
      <c r="E465" s="14" t="s">
        <v>875</v>
      </c>
      <c r="F465" s="19">
        <f t="shared" si="7"/>
        <v>35833</v>
      </c>
    </row>
    <row r="466" spans="1:6" x14ac:dyDescent="0.25">
      <c r="A466" s="14">
        <v>5903</v>
      </c>
      <c r="B466" s="14" t="s">
        <v>495</v>
      </c>
      <c r="C466" s="16">
        <v>37312</v>
      </c>
      <c r="D466" s="14" t="s">
        <v>861</v>
      </c>
      <c r="E466" s="14" t="s">
        <v>875</v>
      </c>
      <c r="F466" s="19">
        <f t="shared" si="7"/>
        <v>37312</v>
      </c>
    </row>
    <row r="467" spans="1:6" x14ac:dyDescent="0.25">
      <c r="A467" s="14">
        <v>5904</v>
      </c>
      <c r="B467" s="14" t="s">
        <v>496</v>
      </c>
      <c r="C467" s="16">
        <v>37505</v>
      </c>
      <c r="D467" s="14" t="s">
        <v>861</v>
      </c>
      <c r="E467" s="14" t="s">
        <v>875</v>
      </c>
      <c r="F467" s="19">
        <f t="shared" si="7"/>
        <v>37505</v>
      </c>
    </row>
    <row r="468" spans="1:6" x14ac:dyDescent="0.25">
      <c r="A468" s="14">
        <v>5905</v>
      </c>
      <c r="B468" s="14" t="s">
        <v>497</v>
      </c>
      <c r="C468" s="16">
        <v>37789</v>
      </c>
      <c r="D468" s="14" t="s">
        <v>861</v>
      </c>
      <c r="E468" s="14" t="s">
        <v>875</v>
      </c>
      <c r="F468" s="19">
        <f t="shared" si="7"/>
        <v>37789</v>
      </c>
    </row>
    <row r="469" spans="1:6" x14ac:dyDescent="0.25">
      <c r="A469" s="14">
        <v>6015</v>
      </c>
      <c r="B469" s="14" t="s">
        <v>498</v>
      </c>
      <c r="C469" s="16">
        <v>35271</v>
      </c>
      <c r="D469" s="14" t="s">
        <v>861</v>
      </c>
      <c r="E469" s="14" t="s">
        <v>897</v>
      </c>
      <c r="F469" s="19">
        <f t="shared" si="7"/>
        <v>35271</v>
      </c>
    </row>
    <row r="470" spans="1:6" x14ac:dyDescent="0.25">
      <c r="A470" s="14">
        <v>6016</v>
      </c>
      <c r="B470" s="14" t="s">
        <v>499</v>
      </c>
      <c r="C470" s="16">
        <v>35403</v>
      </c>
      <c r="D470" s="14" t="s">
        <v>861</v>
      </c>
      <c r="E470" s="14" t="s">
        <v>897</v>
      </c>
      <c r="F470" s="19">
        <f t="shared" si="7"/>
        <v>35403</v>
      </c>
    </row>
    <row r="471" spans="1:6" x14ac:dyDescent="0.25">
      <c r="A471" s="14">
        <v>6020</v>
      </c>
      <c r="B471" s="14" t="s">
        <v>500</v>
      </c>
      <c r="C471" s="16">
        <v>37644</v>
      </c>
      <c r="D471" s="14" t="s">
        <v>861</v>
      </c>
      <c r="E471" s="14" t="s">
        <v>897</v>
      </c>
      <c r="F471" s="19">
        <f t="shared" si="7"/>
        <v>37644</v>
      </c>
    </row>
    <row r="472" spans="1:6" x14ac:dyDescent="0.25">
      <c r="A472" s="14">
        <v>6021</v>
      </c>
      <c r="B472" s="14" t="s">
        <v>501</v>
      </c>
      <c r="C472" s="16">
        <v>37732</v>
      </c>
      <c r="D472" s="14" t="s">
        <v>861</v>
      </c>
      <c r="E472" s="14" t="s">
        <v>897</v>
      </c>
      <c r="F472" s="19">
        <f t="shared" si="7"/>
        <v>37732</v>
      </c>
    </row>
    <row r="473" spans="1:6" x14ac:dyDescent="0.25">
      <c r="A473" s="14">
        <v>6022</v>
      </c>
      <c r="B473" s="14" t="s">
        <v>832</v>
      </c>
      <c r="C473" s="16">
        <v>38621</v>
      </c>
      <c r="D473" s="14" t="s">
        <v>861</v>
      </c>
      <c r="E473" s="14" t="s">
        <v>897</v>
      </c>
      <c r="F473" s="19">
        <f t="shared" si="7"/>
        <v>38621</v>
      </c>
    </row>
    <row r="474" spans="1:6" x14ac:dyDescent="0.25">
      <c r="A474" s="14">
        <v>6023</v>
      </c>
      <c r="B474" s="14" t="s">
        <v>502</v>
      </c>
      <c r="C474" s="16">
        <v>39414</v>
      </c>
      <c r="D474" s="14" t="s">
        <v>861</v>
      </c>
      <c r="E474" s="14" t="s">
        <v>897</v>
      </c>
      <c r="F474" s="19">
        <f t="shared" si="7"/>
        <v>39414</v>
      </c>
    </row>
    <row r="475" spans="1:6" x14ac:dyDescent="0.25">
      <c r="A475" s="14">
        <v>6024</v>
      </c>
      <c r="B475" s="14" t="s">
        <v>503</v>
      </c>
      <c r="C475" s="16">
        <v>39930</v>
      </c>
      <c r="D475" s="14" t="s">
        <v>861</v>
      </c>
      <c r="E475" s="14" t="s">
        <v>897</v>
      </c>
      <c r="F475" s="19">
        <f t="shared" si="7"/>
        <v>39930</v>
      </c>
    </row>
    <row r="476" spans="1:6" x14ac:dyDescent="0.25">
      <c r="A476" s="14">
        <v>6026</v>
      </c>
      <c r="B476" s="14" t="s">
        <v>504</v>
      </c>
      <c r="C476" s="16">
        <v>42396</v>
      </c>
      <c r="D476" s="14" t="s">
        <v>861</v>
      </c>
      <c r="E476" s="14" t="s">
        <v>897</v>
      </c>
      <c r="F476" s="19">
        <f t="shared" si="7"/>
        <v>42396</v>
      </c>
    </row>
    <row r="477" spans="1:6" x14ac:dyDescent="0.25">
      <c r="A477" s="14">
        <v>6101</v>
      </c>
      <c r="B477" s="14" t="s">
        <v>505</v>
      </c>
      <c r="C477" s="16">
        <v>36979</v>
      </c>
      <c r="D477" s="14" t="s">
        <v>861</v>
      </c>
      <c r="E477" s="14" t="s">
        <v>864</v>
      </c>
      <c r="F477" s="19">
        <f t="shared" si="7"/>
        <v>36979</v>
      </c>
    </row>
    <row r="478" spans="1:6" x14ac:dyDescent="0.25">
      <c r="A478" s="14">
        <v>6103</v>
      </c>
      <c r="B478" s="14" t="s">
        <v>506</v>
      </c>
      <c r="C478" s="16">
        <v>37018</v>
      </c>
      <c r="D478" s="14" t="s">
        <v>861</v>
      </c>
      <c r="E478" s="14" t="s">
        <v>879</v>
      </c>
      <c r="F478" s="19">
        <f t="shared" si="7"/>
        <v>37018</v>
      </c>
    </row>
    <row r="479" spans="1:6" x14ac:dyDescent="0.25">
      <c r="A479" s="14">
        <v>6104</v>
      </c>
      <c r="B479" s="14" t="s">
        <v>507</v>
      </c>
      <c r="C479" s="16">
        <v>37033</v>
      </c>
      <c r="D479" s="14" t="s">
        <v>861</v>
      </c>
      <c r="E479" s="14" t="s">
        <v>879</v>
      </c>
      <c r="F479" s="19">
        <f t="shared" si="7"/>
        <v>37033</v>
      </c>
    </row>
    <row r="480" spans="1:6" x14ac:dyDescent="0.25">
      <c r="A480" s="14">
        <v>6105</v>
      </c>
      <c r="B480" s="14" t="s">
        <v>508</v>
      </c>
      <c r="C480" s="16">
        <v>37000</v>
      </c>
      <c r="D480" s="14" t="s">
        <v>861</v>
      </c>
      <c r="E480" s="14" t="s">
        <v>867</v>
      </c>
      <c r="F480" s="19">
        <f t="shared" si="7"/>
        <v>37000</v>
      </c>
    </row>
    <row r="481" spans="1:6" x14ac:dyDescent="0.25">
      <c r="A481" s="14">
        <v>6107</v>
      </c>
      <c r="B481" s="14" t="s">
        <v>509</v>
      </c>
      <c r="C481" s="16">
        <v>37055</v>
      </c>
      <c r="D481" s="14" t="s">
        <v>861</v>
      </c>
      <c r="E481" s="14" t="s">
        <v>882</v>
      </c>
      <c r="F481" s="19">
        <f t="shared" si="7"/>
        <v>37055</v>
      </c>
    </row>
    <row r="482" spans="1:6" x14ac:dyDescent="0.25">
      <c r="A482" s="14">
        <v>6109</v>
      </c>
      <c r="B482" s="14" t="s">
        <v>510</v>
      </c>
      <c r="C482" s="16">
        <v>37098</v>
      </c>
      <c r="D482" s="14" t="s">
        <v>861</v>
      </c>
      <c r="E482" s="14" t="s">
        <v>878</v>
      </c>
      <c r="F482" s="19">
        <f t="shared" si="7"/>
        <v>37098</v>
      </c>
    </row>
    <row r="483" spans="1:6" x14ac:dyDescent="0.25">
      <c r="A483" s="14">
        <v>6111</v>
      </c>
      <c r="B483" s="14" t="s">
        <v>511</v>
      </c>
      <c r="C483" s="16">
        <v>37111</v>
      </c>
      <c r="D483" s="14" t="s">
        <v>861</v>
      </c>
      <c r="E483" s="14" t="s">
        <v>880</v>
      </c>
      <c r="F483" s="19">
        <f t="shared" si="7"/>
        <v>37111</v>
      </c>
    </row>
    <row r="484" spans="1:6" x14ac:dyDescent="0.25">
      <c r="A484" s="14">
        <v>6113</v>
      </c>
      <c r="B484" s="14" t="s">
        <v>512</v>
      </c>
      <c r="C484" s="16">
        <v>37113</v>
      </c>
      <c r="D484" s="14" t="s">
        <v>861</v>
      </c>
      <c r="E484" s="14" t="s">
        <v>882</v>
      </c>
      <c r="F484" s="19">
        <f t="shared" si="7"/>
        <v>37113</v>
      </c>
    </row>
    <row r="485" spans="1:6" x14ac:dyDescent="0.25">
      <c r="A485" s="14">
        <v>6114</v>
      </c>
      <c r="B485" s="14" t="s">
        <v>513</v>
      </c>
      <c r="C485" s="16">
        <v>37161</v>
      </c>
      <c r="D485" s="14" t="s">
        <v>861</v>
      </c>
      <c r="E485" s="14" t="s">
        <v>864</v>
      </c>
      <c r="F485" s="19">
        <f t="shared" si="7"/>
        <v>37161</v>
      </c>
    </row>
    <row r="486" spans="1:6" x14ac:dyDescent="0.25">
      <c r="A486" s="14">
        <v>6118</v>
      </c>
      <c r="B486" s="14" t="s">
        <v>514</v>
      </c>
      <c r="C486" s="16">
        <v>37189</v>
      </c>
      <c r="D486" s="14" t="s">
        <v>861</v>
      </c>
      <c r="E486" s="14" t="s">
        <v>882</v>
      </c>
      <c r="F486" s="19">
        <f t="shared" si="7"/>
        <v>37189</v>
      </c>
    </row>
    <row r="487" spans="1:6" x14ac:dyDescent="0.25">
      <c r="A487" s="14">
        <v>6121</v>
      </c>
      <c r="B487" s="14" t="s">
        <v>833</v>
      </c>
      <c r="C487" s="16">
        <v>37222</v>
      </c>
      <c r="D487" s="14" t="s">
        <v>861</v>
      </c>
      <c r="E487" s="14" t="s">
        <v>867</v>
      </c>
      <c r="F487" s="19">
        <f t="shared" si="7"/>
        <v>37222</v>
      </c>
    </row>
    <row r="488" spans="1:6" x14ac:dyDescent="0.25">
      <c r="A488" s="14">
        <v>6122</v>
      </c>
      <c r="B488" s="14" t="s">
        <v>515</v>
      </c>
      <c r="C488" s="16">
        <v>36721</v>
      </c>
      <c r="D488" s="14" t="s">
        <v>861</v>
      </c>
      <c r="E488" s="14" t="s">
        <v>866</v>
      </c>
      <c r="F488" s="19">
        <f t="shared" si="7"/>
        <v>36721</v>
      </c>
    </row>
    <row r="489" spans="1:6" x14ac:dyDescent="0.25">
      <c r="A489" s="14">
        <v>6123</v>
      </c>
      <c r="B489" s="14" t="s">
        <v>516</v>
      </c>
      <c r="C489" s="16">
        <v>37279</v>
      </c>
      <c r="D489" s="14" t="s">
        <v>861</v>
      </c>
      <c r="E489" s="14" t="s">
        <v>867</v>
      </c>
      <c r="F489" s="19">
        <f t="shared" si="7"/>
        <v>37279</v>
      </c>
    </row>
    <row r="490" spans="1:6" x14ac:dyDescent="0.25">
      <c r="A490" s="14">
        <v>6124</v>
      </c>
      <c r="B490" s="14" t="s">
        <v>517</v>
      </c>
      <c r="C490" s="16">
        <v>37334</v>
      </c>
      <c r="D490" s="14" t="s">
        <v>861</v>
      </c>
      <c r="E490" s="14" t="s">
        <v>864</v>
      </c>
      <c r="F490" s="19">
        <f t="shared" si="7"/>
        <v>37334</v>
      </c>
    </row>
    <row r="491" spans="1:6" x14ac:dyDescent="0.25">
      <c r="A491" s="14">
        <v>6125</v>
      </c>
      <c r="B491" s="14" t="s">
        <v>518</v>
      </c>
      <c r="C491" s="16">
        <v>37279</v>
      </c>
      <c r="D491" s="14" t="s">
        <v>861</v>
      </c>
      <c r="E491" s="14" t="s">
        <v>877</v>
      </c>
      <c r="F491" s="19">
        <f t="shared" si="7"/>
        <v>37279</v>
      </c>
    </row>
    <row r="492" spans="1:6" x14ac:dyDescent="0.25">
      <c r="A492" s="14">
        <v>6126</v>
      </c>
      <c r="B492" s="14" t="s">
        <v>519</v>
      </c>
      <c r="C492" s="16">
        <v>37274</v>
      </c>
      <c r="D492" s="14" t="s">
        <v>861</v>
      </c>
      <c r="E492" s="14" t="s">
        <v>864</v>
      </c>
      <c r="F492" s="19">
        <f t="shared" si="7"/>
        <v>37274</v>
      </c>
    </row>
    <row r="493" spans="1:6" x14ac:dyDescent="0.25">
      <c r="A493" s="14">
        <v>6127</v>
      </c>
      <c r="B493" s="14" t="s">
        <v>520</v>
      </c>
      <c r="C493" s="16">
        <v>37266</v>
      </c>
      <c r="D493" s="14" t="s">
        <v>861</v>
      </c>
      <c r="E493" s="14" t="s">
        <v>864</v>
      </c>
      <c r="F493" s="19">
        <f t="shared" si="7"/>
        <v>37266</v>
      </c>
    </row>
    <row r="494" spans="1:6" x14ac:dyDescent="0.25">
      <c r="A494" s="14">
        <v>6129</v>
      </c>
      <c r="B494" s="14" t="s">
        <v>521</v>
      </c>
      <c r="C494" s="16">
        <v>37250</v>
      </c>
      <c r="D494" s="14" t="s">
        <v>861</v>
      </c>
      <c r="E494" s="14" t="s">
        <v>879</v>
      </c>
      <c r="F494" s="19">
        <f t="shared" si="7"/>
        <v>37250</v>
      </c>
    </row>
    <row r="495" spans="1:6" x14ac:dyDescent="0.25">
      <c r="A495" s="14">
        <v>6130</v>
      </c>
      <c r="B495" s="14" t="s">
        <v>522</v>
      </c>
      <c r="C495" s="16">
        <v>37341</v>
      </c>
      <c r="D495" s="14" t="s">
        <v>861</v>
      </c>
      <c r="E495" s="14" t="s">
        <v>865</v>
      </c>
      <c r="F495" s="19">
        <f t="shared" si="7"/>
        <v>37341</v>
      </c>
    </row>
    <row r="496" spans="1:6" x14ac:dyDescent="0.25">
      <c r="A496" s="14">
        <v>6134</v>
      </c>
      <c r="B496" s="14" t="s">
        <v>523</v>
      </c>
      <c r="C496" s="16">
        <v>37264</v>
      </c>
      <c r="D496" s="14" t="s">
        <v>861</v>
      </c>
      <c r="E496" s="14" t="s">
        <v>864</v>
      </c>
      <c r="F496" s="19">
        <f t="shared" si="7"/>
        <v>37264</v>
      </c>
    </row>
    <row r="497" spans="1:6" x14ac:dyDescent="0.25">
      <c r="A497" s="14">
        <v>6138</v>
      </c>
      <c r="B497" s="14" t="s">
        <v>524</v>
      </c>
      <c r="C497" s="16">
        <v>37274</v>
      </c>
      <c r="D497" s="14" t="s">
        <v>861</v>
      </c>
      <c r="E497" s="14" t="s">
        <v>879</v>
      </c>
      <c r="F497" s="19">
        <f t="shared" si="7"/>
        <v>37274</v>
      </c>
    </row>
    <row r="498" spans="1:6" x14ac:dyDescent="0.25">
      <c r="A498" s="14">
        <v>6140</v>
      </c>
      <c r="B498" s="14" t="s">
        <v>525</v>
      </c>
      <c r="C498" s="16">
        <v>37291</v>
      </c>
      <c r="D498" s="14" t="s">
        <v>861</v>
      </c>
      <c r="E498" s="14" t="s">
        <v>880</v>
      </c>
      <c r="F498" s="19">
        <f t="shared" si="7"/>
        <v>37291</v>
      </c>
    </row>
    <row r="499" spans="1:6" x14ac:dyDescent="0.25">
      <c r="A499" s="14">
        <v>6143</v>
      </c>
      <c r="B499" s="14" t="s">
        <v>526</v>
      </c>
      <c r="C499" s="16">
        <v>37284</v>
      </c>
      <c r="D499" s="14" t="s">
        <v>861</v>
      </c>
      <c r="E499" s="14" t="s">
        <v>878</v>
      </c>
      <c r="F499" s="19">
        <f t="shared" si="7"/>
        <v>37284</v>
      </c>
    </row>
    <row r="500" spans="1:6" x14ac:dyDescent="0.25">
      <c r="A500" s="14">
        <v>6144</v>
      </c>
      <c r="B500" s="14" t="s">
        <v>527</v>
      </c>
      <c r="C500" s="16">
        <v>37279</v>
      </c>
      <c r="D500" s="14" t="s">
        <v>861</v>
      </c>
      <c r="E500" s="14" t="s">
        <v>870</v>
      </c>
      <c r="F500" s="19">
        <f t="shared" si="7"/>
        <v>37279</v>
      </c>
    </row>
    <row r="501" spans="1:6" x14ac:dyDescent="0.25">
      <c r="A501" s="14">
        <v>6146</v>
      </c>
      <c r="B501" s="14" t="s">
        <v>528</v>
      </c>
      <c r="C501" s="16">
        <v>37279</v>
      </c>
      <c r="D501" s="14" t="s">
        <v>861</v>
      </c>
      <c r="E501" s="14" t="s">
        <v>870</v>
      </c>
      <c r="F501" s="19">
        <f t="shared" si="7"/>
        <v>37279</v>
      </c>
    </row>
    <row r="502" spans="1:6" x14ac:dyDescent="0.25">
      <c r="A502" s="14">
        <v>6147</v>
      </c>
      <c r="B502" s="14" t="s">
        <v>529</v>
      </c>
      <c r="C502" s="16">
        <v>37287</v>
      </c>
      <c r="D502" s="14" t="s">
        <v>861</v>
      </c>
      <c r="E502" s="14" t="s">
        <v>879</v>
      </c>
      <c r="F502" s="19">
        <f t="shared" si="7"/>
        <v>37287</v>
      </c>
    </row>
    <row r="503" spans="1:6" x14ac:dyDescent="0.25">
      <c r="A503" s="14">
        <v>6148</v>
      </c>
      <c r="B503" s="14" t="s">
        <v>530</v>
      </c>
      <c r="C503" s="16">
        <v>37288</v>
      </c>
      <c r="D503" s="14" t="s">
        <v>861</v>
      </c>
      <c r="E503" s="14" t="s">
        <v>880</v>
      </c>
      <c r="F503" s="19">
        <f t="shared" si="7"/>
        <v>37288</v>
      </c>
    </row>
    <row r="504" spans="1:6" x14ac:dyDescent="0.25">
      <c r="A504" s="14">
        <v>6150</v>
      </c>
      <c r="B504" s="14" t="s">
        <v>531</v>
      </c>
      <c r="C504" s="16">
        <v>37326</v>
      </c>
      <c r="D504" s="14" t="s">
        <v>861</v>
      </c>
      <c r="E504" s="14" t="s">
        <v>867</v>
      </c>
      <c r="F504" s="19">
        <f t="shared" si="7"/>
        <v>37326</v>
      </c>
    </row>
    <row r="505" spans="1:6" x14ac:dyDescent="0.25">
      <c r="A505" s="14">
        <v>6151</v>
      </c>
      <c r="B505" s="14" t="s">
        <v>532</v>
      </c>
      <c r="C505" s="16">
        <v>37312</v>
      </c>
      <c r="D505" s="14" t="s">
        <v>861</v>
      </c>
      <c r="E505" s="14" t="s">
        <v>870</v>
      </c>
      <c r="F505" s="19">
        <f t="shared" si="7"/>
        <v>37312</v>
      </c>
    </row>
    <row r="506" spans="1:6" x14ac:dyDescent="0.25">
      <c r="A506" s="14">
        <v>6154</v>
      </c>
      <c r="B506" s="14" t="s">
        <v>533</v>
      </c>
      <c r="C506" s="16">
        <v>37305</v>
      </c>
      <c r="D506" s="14" t="s">
        <v>861</v>
      </c>
      <c r="E506" s="14" t="s">
        <v>882</v>
      </c>
      <c r="F506" s="19">
        <f t="shared" si="7"/>
        <v>37305</v>
      </c>
    </row>
    <row r="507" spans="1:6" x14ac:dyDescent="0.25">
      <c r="A507" s="14">
        <v>6156</v>
      </c>
      <c r="B507" s="14" t="s">
        <v>534</v>
      </c>
      <c r="C507" s="16">
        <v>37306</v>
      </c>
      <c r="D507" s="14" t="s">
        <v>861</v>
      </c>
      <c r="E507" s="14" t="s">
        <v>864</v>
      </c>
      <c r="F507" s="19">
        <f t="shared" si="7"/>
        <v>37306</v>
      </c>
    </row>
    <row r="508" spans="1:6" x14ac:dyDescent="0.25">
      <c r="A508" s="14">
        <v>6158</v>
      </c>
      <c r="B508" s="14" t="s">
        <v>535</v>
      </c>
      <c r="C508" s="16">
        <v>37306</v>
      </c>
      <c r="D508" s="14" t="s">
        <v>861</v>
      </c>
      <c r="E508" s="14" t="s">
        <v>864</v>
      </c>
      <c r="F508" s="19">
        <f t="shared" si="7"/>
        <v>37306</v>
      </c>
    </row>
    <row r="509" spans="1:6" x14ac:dyDescent="0.25">
      <c r="A509" s="14">
        <v>6160</v>
      </c>
      <c r="B509" s="14" t="s">
        <v>536</v>
      </c>
      <c r="C509" s="16">
        <v>37316</v>
      </c>
      <c r="D509" s="14" t="s">
        <v>861</v>
      </c>
      <c r="E509" s="14" t="s">
        <v>867</v>
      </c>
      <c r="F509" s="19">
        <f t="shared" si="7"/>
        <v>37316</v>
      </c>
    </row>
    <row r="510" spans="1:6" x14ac:dyDescent="0.25">
      <c r="A510" s="14">
        <v>6161</v>
      </c>
      <c r="B510" s="14" t="s">
        <v>537</v>
      </c>
      <c r="C510" s="16">
        <v>37316</v>
      </c>
      <c r="D510" s="14" t="s">
        <v>861</v>
      </c>
      <c r="E510" s="14" t="s">
        <v>867</v>
      </c>
      <c r="F510" s="19">
        <f t="shared" si="7"/>
        <v>37316</v>
      </c>
    </row>
    <row r="511" spans="1:6" x14ac:dyDescent="0.25">
      <c r="A511" s="14">
        <v>6163</v>
      </c>
      <c r="B511" s="14" t="s">
        <v>538</v>
      </c>
      <c r="C511" s="16">
        <v>37334</v>
      </c>
      <c r="D511" s="14" t="s">
        <v>861</v>
      </c>
      <c r="E511" s="14" t="s">
        <v>878</v>
      </c>
      <c r="F511" s="19">
        <f t="shared" si="7"/>
        <v>37334</v>
      </c>
    </row>
    <row r="512" spans="1:6" x14ac:dyDescent="0.25">
      <c r="A512" s="14">
        <v>6167</v>
      </c>
      <c r="B512" s="14" t="s">
        <v>539</v>
      </c>
      <c r="C512" s="16">
        <v>37341</v>
      </c>
      <c r="D512" s="14" t="s">
        <v>861</v>
      </c>
      <c r="E512" s="14" t="s">
        <v>877</v>
      </c>
      <c r="F512" s="19">
        <f t="shared" si="7"/>
        <v>37341</v>
      </c>
    </row>
    <row r="513" spans="1:6" x14ac:dyDescent="0.25">
      <c r="A513" s="14">
        <v>6169</v>
      </c>
      <c r="B513" s="14" t="s">
        <v>540</v>
      </c>
      <c r="C513" s="16">
        <v>37337</v>
      </c>
      <c r="D513" s="14" t="s">
        <v>861</v>
      </c>
      <c r="E513" s="14" t="s">
        <v>880</v>
      </c>
      <c r="F513" s="19">
        <f t="shared" si="7"/>
        <v>37337</v>
      </c>
    </row>
    <row r="514" spans="1:6" x14ac:dyDescent="0.25">
      <c r="A514" s="14">
        <v>6170</v>
      </c>
      <c r="B514" s="14" t="s">
        <v>541</v>
      </c>
      <c r="C514" s="16">
        <v>37362</v>
      </c>
      <c r="D514" s="14" t="s">
        <v>861</v>
      </c>
      <c r="E514" s="14" t="s">
        <v>878</v>
      </c>
      <c r="F514" s="19">
        <f t="shared" ref="F514:F577" si="8">C514</f>
        <v>37362</v>
      </c>
    </row>
    <row r="515" spans="1:6" x14ac:dyDescent="0.25">
      <c r="A515" s="14">
        <v>6171</v>
      </c>
      <c r="B515" s="14" t="s">
        <v>542</v>
      </c>
      <c r="C515" s="16">
        <v>37368</v>
      </c>
      <c r="D515" s="14" t="s">
        <v>861</v>
      </c>
      <c r="E515" s="14" t="s">
        <v>873</v>
      </c>
      <c r="F515" s="19">
        <f t="shared" si="8"/>
        <v>37368</v>
      </c>
    </row>
    <row r="516" spans="1:6" x14ac:dyDescent="0.25">
      <c r="A516" s="14">
        <v>6173</v>
      </c>
      <c r="B516" s="14" t="s">
        <v>834</v>
      </c>
      <c r="C516" s="16">
        <v>37365</v>
      </c>
      <c r="D516" s="14" t="s">
        <v>861</v>
      </c>
      <c r="E516" s="14" t="s">
        <v>864</v>
      </c>
      <c r="F516" s="19">
        <f t="shared" si="8"/>
        <v>37365</v>
      </c>
    </row>
    <row r="517" spans="1:6" x14ac:dyDescent="0.25">
      <c r="A517" s="14">
        <v>6174</v>
      </c>
      <c r="B517" s="14" t="s">
        <v>543</v>
      </c>
      <c r="C517" s="16">
        <v>37378</v>
      </c>
      <c r="D517" s="14" t="s">
        <v>861</v>
      </c>
      <c r="E517" s="14" t="s">
        <v>864</v>
      </c>
      <c r="F517" s="19">
        <f t="shared" si="8"/>
        <v>37378</v>
      </c>
    </row>
    <row r="518" spans="1:6" x14ac:dyDescent="0.25">
      <c r="A518" s="14">
        <v>6175</v>
      </c>
      <c r="B518" s="14" t="s">
        <v>544</v>
      </c>
      <c r="C518" s="16">
        <v>37417</v>
      </c>
      <c r="D518" s="14" t="s">
        <v>861</v>
      </c>
      <c r="E518" s="14" t="s">
        <v>864</v>
      </c>
      <c r="F518" s="19">
        <f t="shared" si="8"/>
        <v>37417</v>
      </c>
    </row>
    <row r="519" spans="1:6" x14ac:dyDescent="0.25">
      <c r="A519" s="14">
        <v>6179</v>
      </c>
      <c r="B519" s="14" t="s">
        <v>545</v>
      </c>
      <c r="C519" s="16">
        <v>37393</v>
      </c>
      <c r="D519" s="14" t="s">
        <v>861</v>
      </c>
      <c r="E519" s="14" t="s">
        <v>868</v>
      </c>
      <c r="F519" s="19">
        <f t="shared" si="8"/>
        <v>37393</v>
      </c>
    </row>
    <row r="520" spans="1:6" x14ac:dyDescent="0.25">
      <c r="A520" s="14">
        <v>6180</v>
      </c>
      <c r="B520" s="14" t="s">
        <v>546</v>
      </c>
      <c r="C520" s="16">
        <v>37397</v>
      </c>
      <c r="D520" s="14" t="s">
        <v>861</v>
      </c>
      <c r="E520" s="14" t="s">
        <v>880</v>
      </c>
      <c r="F520" s="19">
        <f t="shared" si="8"/>
        <v>37397</v>
      </c>
    </row>
    <row r="521" spans="1:6" x14ac:dyDescent="0.25">
      <c r="A521" s="14">
        <v>6182</v>
      </c>
      <c r="B521" s="14" t="s">
        <v>547</v>
      </c>
      <c r="C521" s="16">
        <v>37392</v>
      </c>
      <c r="D521" s="14" t="s">
        <v>861</v>
      </c>
      <c r="E521" s="14" t="s">
        <v>879</v>
      </c>
      <c r="F521" s="19">
        <f t="shared" si="8"/>
        <v>37392</v>
      </c>
    </row>
    <row r="522" spans="1:6" x14ac:dyDescent="0.25">
      <c r="A522" s="14">
        <v>6185</v>
      </c>
      <c r="B522" s="14" t="s">
        <v>548</v>
      </c>
      <c r="C522" s="16">
        <v>37477</v>
      </c>
      <c r="D522" s="14" t="s">
        <v>861</v>
      </c>
      <c r="E522" s="14" t="s">
        <v>864</v>
      </c>
      <c r="F522" s="19">
        <f t="shared" si="8"/>
        <v>37477</v>
      </c>
    </row>
    <row r="523" spans="1:6" x14ac:dyDescent="0.25">
      <c r="A523" s="14">
        <v>6186</v>
      </c>
      <c r="B523" s="14" t="s">
        <v>549</v>
      </c>
      <c r="C523" s="16">
        <v>37470</v>
      </c>
      <c r="D523" s="14" t="s">
        <v>861</v>
      </c>
      <c r="E523" s="14" t="s">
        <v>873</v>
      </c>
      <c r="F523" s="19">
        <f t="shared" si="8"/>
        <v>37470</v>
      </c>
    </row>
    <row r="524" spans="1:6" x14ac:dyDescent="0.25">
      <c r="A524" s="14">
        <v>6187</v>
      </c>
      <c r="B524" s="14" t="s">
        <v>550</v>
      </c>
      <c r="C524" s="16">
        <v>37526</v>
      </c>
      <c r="D524" s="14" t="s">
        <v>861</v>
      </c>
      <c r="E524" s="14" t="s">
        <v>870</v>
      </c>
      <c r="F524" s="19">
        <f t="shared" si="8"/>
        <v>37526</v>
      </c>
    </row>
    <row r="525" spans="1:6" x14ac:dyDescent="0.25">
      <c r="A525" s="14">
        <v>6188</v>
      </c>
      <c r="B525" s="14" t="s">
        <v>551</v>
      </c>
      <c r="C525" s="16">
        <v>37495</v>
      </c>
      <c r="D525" s="14" t="s">
        <v>861</v>
      </c>
      <c r="E525" s="14" t="s">
        <v>867</v>
      </c>
      <c r="F525" s="19">
        <f t="shared" si="8"/>
        <v>37495</v>
      </c>
    </row>
    <row r="526" spans="1:6" x14ac:dyDescent="0.25">
      <c r="A526" s="14">
        <v>6190</v>
      </c>
      <c r="B526" s="14" t="s">
        <v>898</v>
      </c>
      <c r="C526" s="16">
        <v>35830</v>
      </c>
      <c r="D526" s="14" t="s">
        <v>861</v>
      </c>
      <c r="E526" s="14" t="s">
        <v>878</v>
      </c>
      <c r="F526" s="19">
        <f t="shared" si="8"/>
        <v>35830</v>
      </c>
    </row>
    <row r="527" spans="1:6" x14ac:dyDescent="0.25">
      <c r="A527" s="14">
        <v>6194</v>
      </c>
      <c r="B527" s="14" t="s">
        <v>553</v>
      </c>
      <c r="C527" s="16">
        <v>37595</v>
      </c>
      <c r="D527" s="14" t="s">
        <v>861</v>
      </c>
      <c r="E527" s="14" t="s">
        <v>864</v>
      </c>
      <c r="F527" s="19">
        <f t="shared" si="8"/>
        <v>37595</v>
      </c>
    </row>
    <row r="528" spans="1:6" x14ac:dyDescent="0.25">
      <c r="A528" s="14">
        <v>6195</v>
      </c>
      <c r="B528" s="14" t="s">
        <v>554</v>
      </c>
      <c r="C528" s="16">
        <v>37550</v>
      </c>
      <c r="D528" s="14" t="s">
        <v>861</v>
      </c>
      <c r="E528" s="14" t="s">
        <v>875</v>
      </c>
      <c r="F528" s="19">
        <f t="shared" si="8"/>
        <v>37550</v>
      </c>
    </row>
    <row r="529" spans="1:6" x14ac:dyDescent="0.25">
      <c r="A529" s="14">
        <v>6198</v>
      </c>
      <c r="B529" s="14" t="s">
        <v>555</v>
      </c>
      <c r="C529" s="16">
        <v>37616</v>
      </c>
      <c r="D529" s="14" t="s">
        <v>861</v>
      </c>
      <c r="E529" s="14" t="s">
        <v>879</v>
      </c>
      <c r="F529" s="19">
        <f t="shared" si="8"/>
        <v>37616</v>
      </c>
    </row>
    <row r="530" spans="1:6" x14ac:dyDescent="0.25">
      <c r="A530" s="14">
        <v>6199</v>
      </c>
      <c r="B530" s="14" t="s">
        <v>556</v>
      </c>
      <c r="C530" s="16">
        <v>42650</v>
      </c>
      <c r="D530" s="14" t="s">
        <v>861</v>
      </c>
      <c r="E530" s="14" t="s">
        <v>868</v>
      </c>
      <c r="F530" s="19">
        <f t="shared" si="8"/>
        <v>42650</v>
      </c>
    </row>
    <row r="531" spans="1:6" x14ac:dyDescent="0.25">
      <c r="A531" s="14">
        <v>6203</v>
      </c>
      <c r="B531" s="14" t="s">
        <v>899</v>
      </c>
      <c r="C531" s="16">
        <v>37616</v>
      </c>
      <c r="D531" s="14" t="s">
        <v>861</v>
      </c>
      <c r="E531" s="14" t="s">
        <v>864</v>
      </c>
      <c r="F531" s="19">
        <f t="shared" si="8"/>
        <v>37616</v>
      </c>
    </row>
    <row r="532" spans="1:6" x14ac:dyDescent="0.25">
      <c r="A532" s="14">
        <v>6204</v>
      </c>
      <c r="B532" s="14" t="s">
        <v>558</v>
      </c>
      <c r="C532" s="16">
        <v>37573</v>
      </c>
      <c r="D532" s="14" t="s">
        <v>861</v>
      </c>
      <c r="E532" s="14" t="s">
        <v>864</v>
      </c>
      <c r="F532" s="19">
        <f t="shared" si="8"/>
        <v>37573</v>
      </c>
    </row>
    <row r="533" spans="1:6" x14ac:dyDescent="0.25">
      <c r="A533" s="14">
        <v>6207</v>
      </c>
      <c r="B533" s="14" t="s">
        <v>559</v>
      </c>
      <c r="C533" s="16">
        <v>37613</v>
      </c>
      <c r="D533" s="14" t="s">
        <v>861</v>
      </c>
      <c r="E533" s="14" t="s">
        <v>864</v>
      </c>
      <c r="F533" s="19">
        <f t="shared" si="8"/>
        <v>37613</v>
      </c>
    </row>
    <row r="534" spans="1:6" x14ac:dyDescent="0.25">
      <c r="A534" s="14">
        <v>6208</v>
      </c>
      <c r="B534" s="14" t="s">
        <v>560</v>
      </c>
      <c r="C534" s="16">
        <v>37613</v>
      </c>
      <c r="D534" s="14" t="s">
        <v>861</v>
      </c>
      <c r="E534" s="14" t="s">
        <v>864</v>
      </c>
      <c r="F534" s="19">
        <f t="shared" si="8"/>
        <v>37613</v>
      </c>
    </row>
    <row r="535" spans="1:6" x14ac:dyDescent="0.25">
      <c r="A535" s="14">
        <v>6210</v>
      </c>
      <c r="B535" s="14" t="s">
        <v>561</v>
      </c>
      <c r="C535" s="16">
        <v>37666</v>
      </c>
      <c r="D535" s="14" t="s">
        <v>861</v>
      </c>
      <c r="E535" s="14" t="s">
        <v>864</v>
      </c>
      <c r="F535" s="19">
        <f t="shared" si="8"/>
        <v>37666</v>
      </c>
    </row>
    <row r="536" spans="1:6" x14ac:dyDescent="0.25">
      <c r="A536" s="14">
        <v>6212</v>
      </c>
      <c r="B536" s="14" t="s">
        <v>562</v>
      </c>
      <c r="C536" s="16">
        <v>37616</v>
      </c>
      <c r="D536" s="14" t="s">
        <v>861</v>
      </c>
      <c r="E536" s="14" t="s">
        <v>873</v>
      </c>
      <c r="F536" s="19">
        <f t="shared" si="8"/>
        <v>37616</v>
      </c>
    </row>
    <row r="537" spans="1:6" x14ac:dyDescent="0.25">
      <c r="A537" s="14">
        <v>6217</v>
      </c>
      <c r="B537" s="14" t="s">
        <v>563</v>
      </c>
      <c r="C537" s="16">
        <v>37630</v>
      </c>
      <c r="D537" s="14" t="s">
        <v>861</v>
      </c>
      <c r="E537" s="14" t="s">
        <v>864</v>
      </c>
      <c r="F537" s="19">
        <f t="shared" si="8"/>
        <v>37630</v>
      </c>
    </row>
    <row r="538" spans="1:6" x14ac:dyDescent="0.25">
      <c r="A538" s="14">
        <v>6218</v>
      </c>
      <c r="B538" s="14" t="s">
        <v>564</v>
      </c>
      <c r="C538" s="16">
        <v>37635</v>
      </c>
      <c r="D538" s="14" t="s">
        <v>861</v>
      </c>
      <c r="E538" s="14" t="s">
        <v>878</v>
      </c>
      <c r="F538" s="19">
        <f t="shared" si="8"/>
        <v>37635</v>
      </c>
    </row>
    <row r="539" spans="1:6" x14ac:dyDescent="0.25">
      <c r="A539" s="14">
        <v>6219</v>
      </c>
      <c r="B539" s="14" t="s">
        <v>565</v>
      </c>
      <c r="C539" s="16">
        <v>37678</v>
      </c>
      <c r="D539" s="14" t="s">
        <v>861</v>
      </c>
      <c r="E539" s="14" t="s">
        <v>873</v>
      </c>
      <c r="F539" s="19">
        <f t="shared" si="8"/>
        <v>37678</v>
      </c>
    </row>
    <row r="540" spans="1:6" x14ac:dyDescent="0.25">
      <c r="A540" s="14">
        <v>6220</v>
      </c>
      <c r="B540" s="14" t="s">
        <v>566</v>
      </c>
      <c r="C540" s="16">
        <v>37630</v>
      </c>
      <c r="D540" s="14" t="s">
        <v>861</v>
      </c>
      <c r="E540" s="14" t="s">
        <v>864</v>
      </c>
      <c r="F540" s="19">
        <f t="shared" si="8"/>
        <v>37630</v>
      </c>
    </row>
    <row r="541" spans="1:6" x14ac:dyDescent="0.25">
      <c r="A541" s="14">
        <v>6221</v>
      </c>
      <c r="B541" s="14" t="s">
        <v>567</v>
      </c>
      <c r="C541" s="16">
        <v>37627</v>
      </c>
      <c r="D541" s="14" t="s">
        <v>861</v>
      </c>
      <c r="E541" s="14" t="s">
        <v>880</v>
      </c>
      <c r="F541" s="19">
        <f t="shared" si="8"/>
        <v>37627</v>
      </c>
    </row>
    <row r="542" spans="1:6" x14ac:dyDescent="0.25">
      <c r="A542" s="14">
        <v>6222</v>
      </c>
      <c r="B542" s="14" t="s">
        <v>568</v>
      </c>
      <c r="C542" s="16">
        <v>37630</v>
      </c>
      <c r="D542" s="14" t="s">
        <v>861</v>
      </c>
      <c r="E542" s="14" t="s">
        <v>867</v>
      </c>
      <c r="F542" s="19">
        <f t="shared" si="8"/>
        <v>37630</v>
      </c>
    </row>
    <row r="543" spans="1:6" x14ac:dyDescent="0.25">
      <c r="A543" s="14">
        <v>6223</v>
      </c>
      <c r="B543" s="14" t="s">
        <v>569</v>
      </c>
      <c r="C543" s="16">
        <v>37627</v>
      </c>
      <c r="D543" s="14" t="s">
        <v>861</v>
      </c>
      <c r="E543" s="14" t="s">
        <v>879</v>
      </c>
      <c r="F543" s="19">
        <f t="shared" si="8"/>
        <v>37627</v>
      </c>
    </row>
    <row r="544" spans="1:6" x14ac:dyDescent="0.25">
      <c r="A544" s="14">
        <v>6227</v>
      </c>
      <c r="B544" s="14" t="s">
        <v>570</v>
      </c>
      <c r="C544" s="16">
        <v>37635</v>
      </c>
      <c r="D544" s="14" t="s">
        <v>861</v>
      </c>
      <c r="E544" s="14" t="s">
        <v>882</v>
      </c>
      <c r="F544" s="19">
        <f t="shared" si="8"/>
        <v>37635</v>
      </c>
    </row>
    <row r="545" spans="1:6" x14ac:dyDescent="0.25">
      <c r="A545" s="14">
        <v>6228</v>
      </c>
      <c r="B545" s="14" t="s">
        <v>571</v>
      </c>
      <c r="C545" s="16">
        <v>37642</v>
      </c>
      <c r="D545" s="14" t="s">
        <v>861</v>
      </c>
      <c r="E545" s="14" t="s">
        <v>867</v>
      </c>
      <c r="F545" s="19">
        <f t="shared" si="8"/>
        <v>37642</v>
      </c>
    </row>
    <row r="546" spans="1:6" x14ac:dyDescent="0.25">
      <c r="A546" s="14">
        <v>6229</v>
      </c>
      <c r="B546" s="14" t="s">
        <v>572</v>
      </c>
      <c r="C546" s="16">
        <v>37635</v>
      </c>
      <c r="D546" s="14" t="s">
        <v>861</v>
      </c>
      <c r="E546" s="14" t="s">
        <v>879</v>
      </c>
      <c r="F546" s="19">
        <f t="shared" si="8"/>
        <v>37635</v>
      </c>
    </row>
    <row r="547" spans="1:6" x14ac:dyDescent="0.25">
      <c r="A547" s="14">
        <v>6231</v>
      </c>
      <c r="B547" s="14" t="s">
        <v>573</v>
      </c>
      <c r="C547" s="16">
        <v>37644</v>
      </c>
      <c r="D547" s="14" t="s">
        <v>861</v>
      </c>
      <c r="E547" s="14" t="s">
        <v>880</v>
      </c>
      <c r="F547" s="19">
        <f t="shared" si="8"/>
        <v>37644</v>
      </c>
    </row>
    <row r="548" spans="1:6" x14ac:dyDescent="0.25">
      <c r="A548" s="14">
        <v>6233</v>
      </c>
      <c r="B548" s="14" t="s">
        <v>574</v>
      </c>
      <c r="C548" s="16">
        <v>37672</v>
      </c>
      <c r="D548" s="14" t="s">
        <v>861</v>
      </c>
      <c r="E548" s="14" t="s">
        <v>879</v>
      </c>
      <c r="F548" s="19">
        <f t="shared" si="8"/>
        <v>37672</v>
      </c>
    </row>
    <row r="549" spans="1:6" x14ac:dyDescent="0.25">
      <c r="A549" s="14">
        <v>6234</v>
      </c>
      <c r="B549" s="14" t="s">
        <v>575</v>
      </c>
      <c r="C549" s="16">
        <v>37692</v>
      </c>
      <c r="D549" s="14" t="s">
        <v>861</v>
      </c>
      <c r="E549" s="14" t="s">
        <v>877</v>
      </c>
      <c r="F549" s="19">
        <f t="shared" si="8"/>
        <v>37692</v>
      </c>
    </row>
    <row r="550" spans="1:6" x14ac:dyDescent="0.25">
      <c r="A550" s="14">
        <v>6236</v>
      </c>
      <c r="B550" s="14" t="s">
        <v>576</v>
      </c>
      <c r="C550" s="16">
        <v>37711</v>
      </c>
      <c r="D550" s="14" t="s">
        <v>861</v>
      </c>
      <c r="E550" s="14" t="s">
        <v>868</v>
      </c>
      <c r="F550" s="19">
        <f t="shared" si="8"/>
        <v>37711</v>
      </c>
    </row>
    <row r="551" spans="1:6" x14ac:dyDescent="0.25">
      <c r="A551" s="14">
        <v>6237</v>
      </c>
      <c r="B551" s="14" t="s">
        <v>577</v>
      </c>
      <c r="C551" s="16">
        <v>37732</v>
      </c>
      <c r="D551" s="14" t="s">
        <v>861</v>
      </c>
      <c r="E551" s="14" t="s">
        <v>879</v>
      </c>
      <c r="F551" s="19">
        <f t="shared" si="8"/>
        <v>37732</v>
      </c>
    </row>
    <row r="552" spans="1:6" x14ac:dyDescent="0.25">
      <c r="A552" s="14">
        <v>6238</v>
      </c>
      <c r="B552" s="14" t="s">
        <v>578</v>
      </c>
      <c r="C552" s="16">
        <v>37711</v>
      </c>
      <c r="D552" s="14" t="s">
        <v>861</v>
      </c>
      <c r="E552" s="14" t="s">
        <v>870</v>
      </c>
      <c r="F552" s="19">
        <f t="shared" si="8"/>
        <v>37711</v>
      </c>
    </row>
    <row r="553" spans="1:6" x14ac:dyDescent="0.25">
      <c r="A553" s="14">
        <v>6240</v>
      </c>
      <c r="B553" s="14" t="s">
        <v>579</v>
      </c>
      <c r="C553" s="16">
        <v>37771</v>
      </c>
      <c r="D553" s="14" t="s">
        <v>861</v>
      </c>
      <c r="E553" s="14" t="s">
        <v>880</v>
      </c>
      <c r="F553" s="19">
        <f t="shared" si="8"/>
        <v>37771</v>
      </c>
    </row>
    <row r="554" spans="1:6" x14ac:dyDescent="0.25">
      <c r="A554" s="14">
        <v>6241</v>
      </c>
      <c r="B554" s="14" t="s">
        <v>580</v>
      </c>
      <c r="C554" s="16">
        <v>37719</v>
      </c>
      <c r="D554" s="14" t="s">
        <v>861</v>
      </c>
      <c r="E554" s="14" t="s">
        <v>878</v>
      </c>
      <c r="F554" s="19">
        <f t="shared" si="8"/>
        <v>37719</v>
      </c>
    </row>
    <row r="555" spans="1:6" x14ac:dyDescent="0.25">
      <c r="A555" s="14">
        <v>6242</v>
      </c>
      <c r="B555" s="14" t="s">
        <v>581</v>
      </c>
      <c r="C555" s="16">
        <v>37734</v>
      </c>
      <c r="D555" s="14" t="s">
        <v>861</v>
      </c>
      <c r="E555" s="14" t="s">
        <v>865</v>
      </c>
      <c r="F555" s="19">
        <f t="shared" si="8"/>
        <v>37734</v>
      </c>
    </row>
    <row r="556" spans="1:6" x14ac:dyDescent="0.25">
      <c r="A556" s="14">
        <v>6244</v>
      </c>
      <c r="B556" s="14" t="s">
        <v>582</v>
      </c>
      <c r="C556" s="16">
        <v>37756</v>
      </c>
      <c r="D556" s="14" t="s">
        <v>861</v>
      </c>
      <c r="E556" s="14" t="s">
        <v>877</v>
      </c>
      <c r="F556" s="19">
        <f t="shared" si="8"/>
        <v>37756</v>
      </c>
    </row>
    <row r="557" spans="1:6" x14ac:dyDescent="0.25">
      <c r="A557" s="14">
        <v>6245</v>
      </c>
      <c r="B557" s="14" t="s">
        <v>583</v>
      </c>
      <c r="C557" s="16">
        <v>37760</v>
      </c>
      <c r="D557" s="14" t="s">
        <v>861</v>
      </c>
      <c r="E557" s="14" t="s">
        <v>878</v>
      </c>
      <c r="F557" s="19">
        <f t="shared" si="8"/>
        <v>37760</v>
      </c>
    </row>
    <row r="558" spans="1:6" x14ac:dyDescent="0.25">
      <c r="A558" s="14">
        <v>6246</v>
      </c>
      <c r="B558" s="14" t="s">
        <v>584</v>
      </c>
      <c r="C558" s="16">
        <v>37790</v>
      </c>
      <c r="D558" s="14" t="s">
        <v>861</v>
      </c>
      <c r="E558" s="14" t="s">
        <v>877</v>
      </c>
      <c r="F558" s="19">
        <f t="shared" si="8"/>
        <v>37790</v>
      </c>
    </row>
    <row r="559" spans="1:6" x14ac:dyDescent="0.25">
      <c r="A559" s="14">
        <v>6247</v>
      </c>
      <c r="B559" s="14" t="s">
        <v>585</v>
      </c>
      <c r="C559" s="16">
        <v>37806</v>
      </c>
      <c r="D559" s="14" t="s">
        <v>861</v>
      </c>
      <c r="E559" s="14" t="s">
        <v>870</v>
      </c>
      <c r="F559" s="19">
        <f t="shared" si="8"/>
        <v>37806</v>
      </c>
    </row>
    <row r="560" spans="1:6" x14ac:dyDescent="0.25">
      <c r="A560" s="14">
        <v>6248</v>
      </c>
      <c r="B560" s="14" t="s">
        <v>586</v>
      </c>
      <c r="C560" s="16">
        <v>37867</v>
      </c>
      <c r="D560" s="14" t="s">
        <v>861</v>
      </c>
      <c r="E560" s="14" t="s">
        <v>871</v>
      </c>
      <c r="F560" s="19">
        <f t="shared" si="8"/>
        <v>37867</v>
      </c>
    </row>
    <row r="561" spans="1:6" x14ac:dyDescent="0.25">
      <c r="A561" s="14">
        <v>6259</v>
      </c>
      <c r="B561" s="14" t="s">
        <v>587</v>
      </c>
      <c r="C561" s="16">
        <v>37881</v>
      </c>
      <c r="D561" s="14" t="s">
        <v>861</v>
      </c>
      <c r="E561" s="14" t="s">
        <v>864</v>
      </c>
      <c r="F561" s="19">
        <f t="shared" si="8"/>
        <v>37881</v>
      </c>
    </row>
    <row r="562" spans="1:6" x14ac:dyDescent="0.25">
      <c r="A562" s="14">
        <v>6261</v>
      </c>
      <c r="B562" s="14" t="s">
        <v>588</v>
      </c>
      <c r="C562" s="16">
        <v>38075</v>
      </c>
      <c r="D562" s="14" t="s">
        <v>861</v>
      </c>
      <c r="E562" s="14" t="s">
        <v>879</v>
      </c>
      <c r="F562" s="19">
        <f t="shared" si="8"/>
        <v>38075</v>
      </c>
    </row>
    <row r="563" spans="1:6" x14ac:dyDescent="0.25">
      <c r="A563" s="14">
        <v>6263</v>
      </c>
      <c r="B563" s="14" t="s">
        <v>589</v>
      </c>
      <c r="C563" s="16">
        <v>37881</v>
      </c>
      <c r="D563" s="14" t="s">
        <v>861</v>
      </c>
      <c r="E563" s="14" t="s">
        <v>878</v>
      </c>
      <c r="F563" s="19">
        <f t="shared" si="8"/>
        <v>37881</v>
      </c>
    </row>
    <row r="564" spans="1:6" x14ac:dyDescent="0.25">
      <c r="A564" s="14">
        <v>6264</v>
      </c>
      <c r="B564" s="14" t="s">
        <v>590</v>
      </c>
      <c r="C564" s="16">
        <v>38041</v>
      </c>
      <c r="D564" s="14" t="s">
        <v>861</v>
      </c>
      <c r="E564" s="14" t="s">
        <v>873</v>
      </c>
      <c r="F564" s="19">
        <f t="shared" si="8"/>
        <v>38041</v>
      </c>
    </row>
    <row r="565" spans="1:6" x14ac:dyDescent="0.25">
      <c r="A565" s="14">
        <v>6265</v>
      </c>
      <c r="B565" s="14" t="s">
        <v>591</v>
      </c>
      <c r="C565" s="16">
        <v>37918</v>
      </c>
      <c r="D565" s="14" t="s">
        <v>861</v>
      </c>
      <c r="E565" s="14" t="s">
        <v>882</v>
      </c>
      <c r="F565" s="19">
        <f t="shared" si="8"/>
        <v>37918</v>
      </c>
    </row>
    <row r="566" spans="1:6" x14ac:dyDescent="0.25">
      <c r="A566" s="14">
        <v>6266</v>
      </c>
      <c r="B566" s="14" t="s">
        <v>592</v>
      </c>
      <c r="C566" s="16">
        <v>38106</v>
      </c>
      <c r="D566" s="14" t="s">
        <v>861</v>
      </c>
      <c r="E566" s="14" t="s">
        <v>864</v>
      </c>
      <c r="F566" s="19">
        <f t="shared" si="8"/>
        <v>38106</v>
      </c>
    </row>
    <row r="567" spans="1:6" x14ac:dyDescent="0.25">
      <c r="A567" s="14">
        <v>6270</v>
      </c>
      <c r="B567" s="14" t="s">
        <v>593</v>
      </c>
      <c r="C567" s="16">
        <v>37881</v>
      </c>
      <c r="D567" s="14" t="s">
        <v>861</v>
      </c>
      <c r="E567" s="14" t="s">
        <v>882</v>
      </c>
      <c r="F567" s="19">
        <f t="shared" si="8"/>
        <v>37881</v>
      </c>
    </row>
    <row r="568" spans="1:6" x14ac:dyDescent="0.25">
      <c r="A568" s="14">
        <v>6274</v>
      </c>
      <c r="B568" s="14" t="s">
        <v>594</v>
      </c>
      <c r="C568" s="16">
        <v>37973</v>
      </c>
      <c r="D568" s="14" t="s">
        <v>861</v>
      </c>
      <c r="E568" s="14" t="s">
        <v>864</v>
      </c>
      <c r="F568" s="19">
        <f t="shared" si="8"/>
        <v>37973</v>
      </c>
    </row>
    <row r="569" spans="1:6" x14ac:dyDescent="0.25">
      <c r="A569" s="14">
        <v>6275</v>
      </c>
      <c r="B569" s="14" t="s">
        <v>595</v>
      </c>
      <c r="C569" s="16">
        <v>38344</v>
      </c>
      <c r="D569" s="14" t="s">
        <v>861</v>
      </c>
      <c r="E569" s="14" t="s">
        <v>870</v>
      </c>
      <c r="F569" s="19">
        <f t="shared" si="8"/>
        <v>38344</v>
      </c>
    </row>
    <row r="570" spans="1:6" x14ac:dyDescent="0.25">
      <c r="A570" s="14">
        <v>6276</v>
      </c>
      <c r="B570" s="14" t="s">
        <v>596</v>
      </c>
      <c r="C570" s="16">
        <v>37924</v>
      </c>
      <c r="D570" s="14" t="s">
        <v>861</v>
      </c>
      <c r="E570" s="14" t="s">
        <v>867</v>
      </c>
      <c r="F570" s="19">
        <f t="shared" si="8"/>
        <v>37924</v>
      </c>
    </row>
    <row r="571" spans="1:6" x14ac:dyDescent="0.25">
      <c r="A571" s="14">
        <v>6279</v>
      </c>
      <c r="B571" s="14" t="s">
        <v>597</v>
      </c>
      <c r="C571" s="16">
        <v>37951</v>
      </c>
      <c r="D571" s="14" t="s">
        <v>861</v>
      </c>
      <c r="E571" s="14" t="s">
        <v>864</v>
      </c>
      <c r="F571" s="19">
        <f t="shared" si="8"/>
        <v>37951</v>
      </c>
    </row>
    <row r="572" spans="1:6" x14ac:dyDescent="0.25">
      <c r="A572" s="14">
        <v>6284</v>
      </c>
      <c r="B572" s="14" t="s">
        <v>598</v>
      </c>
      <c r="C572" s="16">
        <v>38167</v>
      </c>
      <c r="D572" s="14" t="s">
        <v>861</v>
      </c>
      <c r="E572" s="14" t="s">
        <v>864</v>
      </c>
      <c r="F572" s="19">
        <f t="shared" si="8"/>
        <v>38167</v>
      </c>
    </row>
    <row r="573" spans="1:6" x14ac:dyDescent="0.25">
      <c r="A573" s="14">
        <v>6287</v>
      </c>
      <c r="B573" s="14" t="s">
        <v>599</v>
      </c>
      <c r="C573" s="16">
        <v>37896</v>
      </c>
      <c r="D573" s="14" t="s">
        <v>861</v>
      </c>
      <c r="E573" s="14" t="s">
        <v>879</v>
      </c>
      <c r="F573" s="19">
        <f t="shared" si="8"/>
        <v>37896</v>
      </c>
    </row>
    <row r="574" spans="1:6" x14ac:dyDescent="0.25">
      <c r="A574" s="14">
        <v>6290</v>
      </c>
      <c r="B574" s="14" t="s">
        <v>600</v>
      </c>
      <c r="C574" s="16">
        <v>38506</v>
      </c>
      <c r="D574" s="14" t="s">
        <v>861</v>
      </c>
      <c r="E574" s="14" t="s">
        <v>864</v>
      </c>
      <c r="F574" s="19">
        <f t="shared" si="8"/>
        <v>38506</v>
      </c>
    </row>
    <row r="575" spans="1:6" x14ac:dyDescent="0.25">
      <c r="A575" s="14">
        <v>6291</v>
      </c>
      <c r="B575" s="14" t="s">
        <v>601</v>
      </c>
      <c r="C575" s="16">
        <v>38014</v>
      </c>
      <c r="D575" s="14" t="s">
        <v>861</v>
      </c>
      <c r="E575" s="14" t="s">
        <v>879</v>
      </c>
      <c r="F575" s="19">
        <f t="shared" si="8"/>
        <v>38014</v>
      </c>
    </row>
    <row r="576" spans="1:6" x14ac:dyDescent="0.25">
      <c r="A576" s="14">
        <v>6292</v>
      </c>
      <c r="B576" s="14" t="s">
        <v>602</v>
      </c>
      <c r="C576" s="16">
        <v>37951</v>
      </c>
      <c r="D576" s="14" t="s">
        <v>861</v>
      </c>
      <c r="E576" s="14" t="s">
        <v>864</v>
      </c>
      <c r="F576" s="19">
        <f t="shared" si="8"/>
        <v>37951</v>
      </c>
    </row>
    <row r="577" spans="1:6" x14ac:dyDescent="0.25">
      <c r="A577" s="14">
        <v>6294</v>
      </c>
      <c r="B577" s="14" t="s">
        <v>603</v>
      </c>
      <c r="C577" s="16">
        <v>37999</v>
      </c>
      <c r="D577" s="14" t="s">
        <v>861</v>
      </c>
      <c r="E577" s="14" t="s">
        <v>868</v>
      </c>
      <c r="F577" s="19">
        <f t="shared" si="8"/>
        <v>37999</v>
      </c>
    </row>
    <row r="578" spans="1:6" x14ac:dyDescent="0.25">
      <c r="A578" s="14">
        <v>6298</v>
      </c>
      <c r="B578" s="14" t="s">
        <v>604</v>
      </c>
      <c r="C578" s="16">
        <v>38791</v>
      </c>
      <c r="D578" s="14" t="s">
        <v>861</v>
      </c>
      <c r="E578" s="14" t="s">
        <v>867</v>
      </c>
      <c r="F578" s="19">
        <f t="shared" ref="F578:F641" si="9">C578</f>
        <v>38791</v>
      </c>
    </row>
    <row r="579" spans="1:6" x14ac:dyDescent="0.25">
      <c r="A579" s="14">
        <v>6404</v>
      </c>
      <c r="B579" s="14" t="s">
        <v>605</v>
      </c>
      <c r="C579" s="16">
        <v>41843</v>
      </c>
      <c r="D579" s="14" t="s">
        <v>861</v>
      </c>
      <c r="E579" s="14" t="s">
        <v>880</v>
      </c>
      <c r="F579" s="19">
        <f t="shared" si="9"/>
        <v>41843</v>
      </c>
    </row>
    <row r="580" spans="1:6" x14ac:dyDescent="0.25">
      <c r="A580" s="14">
        <v>6411</v>
      </c>
      <c r="B580" s="14" t="s">
        <v>606</v>
      </c>
      <c r="C580" s="16">
        <v>41709</v>
      </c>
      <c r="D580" s="14" t="s">
        <v>861</v>
      </c>
      <c r="E580" s="14" t="s">
        <v>879</v>
      </c>
      <c r="F580" s="19">
        <f t="shared" si="9"/>
        <v>41709</v>
      </c>
    </row>
    <row r="581" spans="1:6" x14ac:dyDescent="0.25">
      <c r="A581" s="14">
        <v>6417</v>
      </c>
      <c r="B581" s="14" t="s">
        <v>607</v>
      </c>
      <c r="C581" s="16">
        <v>42285</v>
      </c>
      <c r="D581" s="14" t="s">
        <v>861</v>
      </c>
      <c r="E581" s="14" t="s">
        <v>878</v>
      </c>
      <c r="F581" s="19">
        <f t="shared" si="9"/>
        <v>42285</v>
      </c>
    </row>
    <row r="582" spans="1:6" x14ac:dyDescent="0.25">
      <c r="A582" s="14">
        <v>6419</v>
      </c>
      <c r="B582" s="14" t="s">
        <v>608</v>
      </c>
      <c r="C582" s="16">
        <v>42002</v>
      </c>
      <c r="D582" s="14" t="s">
        <v>861</v>
      </c>
      <c r="E582" s="14" t="s">
        <v>877</v>
      </c>
      <c r="F582" s="19">
        <f t="shared" si="9"/>
        <v>42002</v>
      </c>
    </row>
    <row r="583" spans="1:6" x14ac:dyDescent="0.25">
      <c r="A583" s="14">
        <v>6426</v>
      </c>
      <c r="B583" s="14" t="s">
        <v>609</v>
      </c>
      <c r="C583" s="16">
        <v>41990</v>
      </c>
      <c r="D583" s="14" t="s">
        <v>861</v>
      </c>
      <c r="E583" s="14" t="s">
        <v>878</v>
      </c>
      <c r="F583" s="19">
        <f t="shared" si="9"/>
        <v>41990</v>
      </c>
    </row>
    <row r="584" spans="1:6" x14ac:dyDescent="0.25">
      <c r="A584" s="14">
        <v>6432</v>
      </c>
      <c r="B584" s="14" t="s">
        <v>610</v>
      </c>
      <c r="C584" s="16">
        <v>42144</v>
      </c>
      <c r="D584" s="14" t="s">
        <v>861</v>
      </c>
      <c r="E584" s="14" t="s">
        <v>864</v>
      </c>
      <c r="F584" s="19">
        <f t="shared" si="9"/>
        <v>42144</v>
      </c>
    </row>
    <row r="585" spans="1:6" x14ac:dyDescent="0.25">
      <c r="A585" s="14">
        <v>6435</v>
      </c>
      <c r="B585" s="14" t="s">
        <v>611</v>
      </c>
      <c r="C585" s="16">
        <v>42376</v>
      </c>
      <c r="D585" s="14" t="s">
        <v>861</v>
      </c>
      <c r="E585" s="14" t="s">
        <v>879</v>
      </c>
      <c r="F585" s="19">
        <f t="shared" si="9"/>
        <v>42376</v>
      </c>
    </row>
    <row r="586" spans="1:6" x14ac:dyDescent="0.25">
      <c r="A586" s="14">
        <v>6438</v>
      </c>
      <c r="B586" s="14" t="s">
        <v>612</v>
      </c>
      <c r="C586" s="16">
        <v>42850</v>
      </c>
      <c r="D586" s="14" t="s">
        <v>861</v>
      </c>
      <c r="E586" s="14" t="s">
        <v>870</v>
      </c>
      <c r="F586" s="19">
        <f t="shared" si="9"/>
        <v>42850</v>
      </c>
    </row>
    <row r="587" spans="1:6" x14ac:dyDescent="0.25">
      <c r="A587" s="14">
        <v>6446</v>
      </c>
      <c r="B587" s="14" t="s">
        <v>613</v>
      </c>
      <c r="C587" s="16">
        <v>42570</v>
      </c>
      <c r="D587" s="14" t="s">
        <v>861</v>
      </c>
      <c r="E587" s="14" t="s">
        <v>865</v>
      </c>
      <c r="F587" s="19">
        <f t="shared" si="9"/>
        <v>42570</v>
      </c>
    </row>
    <row r="588" spans="1:6" x14ac:dyDescent="0.25">
      <c r="A588" s="14">
        <v>6457</v>
      </c>
      <c r="B588" s="14" t="s">
        <v>614</v>
      </c>
      <c r="C588" s="16">
        <v>42167</v>
      </c>
      <c r="D588" s="14" t="s">
        <v>861</v>
      </c>
      <c r="E588" s="14" t="s">
        <v>879</v>
      </c>
      <c r="F588" s="19">
        <f t="shared" si="9"/>
        <v>42167</v>
      </c>
    </row>
    <row r="589" spans="1:6" x14ac:dyDescent="0.25">
      <c r="A589" s="14">
        <v>6462</v>
      </c>
      <c r="B589" s="14" t="s">
        <v>615</v>
      </c>
      <c r="C589" s="16">
        <v>42361</v>
      </c>
      <c r="D589" s="14" t="s">
        <v>861</v>
      </c>
      <c r="E589" s="14" t="s">
        <v>879</v>
      </c>
      <c r="F589" s="19">
        <f t="shared" si="9"/>
        <v>42361</v>
      </c>
    </row>
    <row r="590" spans="1:6" x14ac:dyDescent="0.25">
      <c r="A590" s="14">
        <v>6465</v>
      </c>
      <c r="B590" s="14" t="s">
        <v>616</v>
      </c>
      <c r="C590" s="16">
        <v>42328</v>
      </c>
      <c r="D590" s="14" t="s">
        <v>861</v>
      </c>
      <c r="E590" s="14" t="s">
        <v>878</v>
      </c>
      <c r="F590" s="19">
        <f t="shared" si="9"/>
        <v>42328</v>
      </c>
    </row>
    <row r="591" spans="1:6" x14ac:dyDescent="0.25">
      <c r="A591" s="14">
        <v>6469</v>
      </c>
      <c r="B591" s="14" t="s">
        <v>617</v>
      </c>
      <c r="C591" s="16">
        <v>42459</v>
      </c>
      <c r="D591" s="14" t="s">
        <v>861</v>
      </c>
      <c r="E591" s="14" t="s">
        <v>865</v>
      </c>
      <c r="F591" s="19">
        <f t="shared" si="9"/>
        <v>42459</v>
      </c>
    </row>
    <row r="592" spans="1:6" x14ac:dyDescent="0.25">
      <c r="A592" s="14">
        <v>6470</v>
      </c>
      <c r="B592" s="14" t="s">
        <v>618</v>
      </c>
      <c r="C592" s="16">
        <v>42311</v>
      </c>
      <c r="D592" s="14" t="s">
        <v>861</v>
      </c>
      <c r="E592" s="14" t="s">
        <v>878</v>
      </c>
      <c r="F592" s="19">
        <f t="shared" si="9"/>
        <v>42311</v>
      </c>
    </row>
    <row r="593" spans="1:6" x14ac:dyDescent="0.25">
      <c r="A593" s="14">
        <v>6472</v>
      </c>
      <c r="B593" s="14" t="s">
        <v>619</v>
      </c>
      <c r="C593" s="16">
        <v>42844</v>
      </c>
      <c r="D593" s="14" t="s">
        <v>861</v>
      </c>
      <c r="E593" s="14" t="s">
        <v>865</v>
      </c>
      <c r="F593" s="19">
        <f t="shared" si="9"/>
        <v>42844</v>
      </c>
    </row>
    <row r="594" spans="1:6" x14ac:dyDescent="0.25">
      <c r="A594" s="14">
        <v>6482</v>
      </c>
      <c r="B594" s="14" t="s">
        <v>620</v>
      </c>
      <c r="C594" s="16">
        <v>42534</v>
      </c>
      <c r="D594" s="14" t="s">
        <v>861</v>
      </c>
      <c r="E594" s="14" t="s">
        <v>881</v>
      </c>
      <c r="F594" s="19">
        <f t="shared" si="9"/>
        <v>42534</v>
      </c>
    </row>
    <row r="595" spans="1:6" x14ac:dyDescent="0.25">
      <c r="A595" s="14">
        <v>6485</v>
      </c>
      <c r="B595" s="14" t="s">
        <v>621</v>
      </c>
      <c r="C595" s="16">
        <v>42325</v>
      </c>
      <c r="D595" s="14" t="s">
        <v>861</v>
      </c>
      <c r="E595" s="14" t="s">
        <v>879</v>
      </c>
      <c r="F595" s="19">
        <f t="shared" si="9"/>
        <v>42325</v>
      </c>
    </row>
    <row r="596" spans="1:6" x14ac:dyDescent="0.25">
      <c r="A596" s="14">
        <v>6486</v>
      </c>
      <c r="B596" s="14" t="s">
        <v>622</v>
      </c>
      <c r="C596" s="16">
        <v>42626</v>
      </c>
      <c r="D596" s="14" t="s">
        <v>861</v>
      </c>
      <c r="E596" s="14" t="s">
        <v>878</v>
      </c>
      <c r="F596" s="19">
        <f t="shared" si="9"/>
        <v>42626</v>
      </c>
    </row>
    <row r="597" spans="1:6" x14ac:dyDescent="0.25">
      <c r="A597" s="14">
        <v>6488</v>
      </c>
      <c r="B597" s="14" t="s">
        <v>623</v>
      </c>
      <c r="C597" s="16">
        <v>42272</v>
      </c>
      <c r="D597" s="14" t="s">
        <v>861</v>
      </c>
      <c r="E597" s="14" t="s">
        <v>879</v>
      </c>
      <c r="F597" s="19">
        <f t="shared" si="9"/>
        <v>42272</v>
      </c>
    </row>
    <row r="598" spans="1:6" x14ac:dyDescent="0.25">
      <c r="A598" s="14">
        <v>6492</v>
      </c>
      <c r="B598" s="14" t="s">
        <v>624</v>
      </c>
      <c r="C598" s="16">
        <v>42849</v>
      </c>
      <c r="D598" s="14" t="s">
        <v>861</v>
      </c>
      <c r="E598" s="14" t="s">
        <v>865</v>
      </c>
      <c r="F598" s="19">
        <f t="shared" si="9"/>
        <v>42849</v>
      </c>
    </row>
    <row r="599" spans="1:6" x14ac:dyDescent="0.25">
      <c r="A599" s="14">
        <v>6494</v>
      </c>
      <c r="B599" s="14" t="s">
        <v>625</v>
      </c>
      <c r="C599" s="16">
        <v>42499</v>
      </c>
      <c r="D599" s="14" t="s">
        <v>861</v>
      </c>
      <c r="E599" s="14" t="s">
        <v>879</v>
      </c>
      <c r="F599" s="19">
        <f t="shared" si="9"/>
        <v>42499</v>
      </c>
    </row>
    <row r="600" spans="1:6" x14ac:dyDescent="0.25">
      <c r="A600" s="14">
        <v>6496</v>
      </c>
      <c r="B600" s="14" t="s">
        <v>626</v>
      </c>
      <c r="C600" s="16">
        <v>42376</v>
      </c>
      <c r="D600" s="14" t="s">
        <v>861</v>
      </c>
      <c r="E600" s="14" t="s">
        <v>865</v>
      </c>
      <c r="F600" s="19">
        <f t="shared" si="9"/>
        <v>42376</v>
      </c>
    </row>
    <row r="601" spans="1:6" x14ac:dyDescent="0.25">
      <c r="A601" s="14">
        <v>6497</v>
      </c>
      <c r="B601" s="14" t="s">
        <v>627</v>
      </c>
      <c r="C601" s="16">
        <v>42887</v>
      </c>
      <c r="D601" s="14" t="s">
        <v>861</v>
      </c>
      <c r="E601" s="14" t="s">
        <v>865</v>
      </c>
      <c r="F601" s="19">
        <f t="shared" si="9"/>
        <v>42887</v>
      </c>
    </row>
    <row r="602" spans="1:6" x14ac:dyDescent="0.25">
      <c r="A602" s="14">
        <v>6499</v>
      </c>
      <c r="B602" s="14" t="s">
        <v>628</v>
      </c>
      <c r="C602" s="16">
        <v>42578</v>
      </c>
      <c r="D602" s="14" t="s">
        <v>861</v>
      </c>
      <c r="E602" s="14" t="s">
        <v>865</v>
      </c>
      <c r="F602" s="19">
        <f t="shared" si="9"/>
        <v>42578</v>
      </c>
    </row>
    <row r="603" spans="1:6" x14ac:dyDescent="0.25">
      <c r="A603" s="14">
        <v>6506</v>
      </c>
      <c r="B603" s="14" t="s">
        <v>629</v>
      </c>
      <c r="C603" s="16">
        <v>40666</v>
      </c>
      <c r="D603" s="14" t="s">
        <v>861</v>
      </c>
      <c r="E603" s="14" t="s">
        <v>869</v>
      </c>
      <c r="F603" s="19">
        <f t="shared" si="9"/>
        <v>40666</v>
      </c>
    </row>
    <row r="604" spans="1:6" x14ac:dyDescent="0.25">
      <c r="A604" s="14">
        <v>6508</v>
      </c>
      <c r="B604" s="14" t="s">
        <v>630</v>
      </c>
      <c r="C604" s="16">
        <v>38068</v>
      </c>
      <c r="D604" s="14" t="s">
        <v>861</v>
      </c>
      <c r="E604" s="14" t="s">
        <v>888</v>
      </c>
      <c r="F604" s="19">
        <f t="shared" si="9"/>
        <v>38068</v>
      </c>
    </row>
    <row r="605" spans="1:6" x14ac:dyDescent="0.25">
      <c r="A605" s="14">
        <v>6509</v>
      </c>
      <c r="B605" s="14" t="s">
        <v>631</v>
      </c>
      <c r="C605" s="16">
        <v>38089</v>
      </c>
      <c r="D605" s="14" t="s">
        <v>861</v>
      </c>
      <c r="E605" s="14" t="s">
        <v>869</v>
      </c>
      <c r="F605" s="19">
        <f t="shared" si="9"/>
        <v>38089</v>
      </c>
    </row>
    <row r="606" spans="1:6" x14ac:dyDescent="0.25">
      <c r="A606" s="14">
        <v>6510</v>
      </c>
      <c r="B606" s="14" t="s">
        <v>632</v>
      </c>
      <c r="C606" s="16">
        <v>42453</v>
      </c>
      <c r="D606" s="14" t="s">
        <v>861</v>
      </c>
      <c r="E606" s="14" t="s">
        <v>879</v>
      </c>
      <c r="F606" s="19">
        <f t="shared" si="9"/>
        <v>42453</v>
      </c>
    </row>
    <row r="607" spans="1:6" x14ac:dyDescent="0.25">
      <c r="A607" s="14">
        <v>6512</v>
      </c>
      <c r="B607" s="14" t="s">
        <v>900</v>
      </c>
      <c r="C607" s="16">
        <v>42454</v>
      </c>
      <c r="D607" s="14" t="s">
        <v>861</v>
      </c>
      <c r="E607" s="14" t="s">
        <v>870</v>
      </c>
      <c r="F607" s="19">
        <f t="shared" si="9"/>
        <v>42454</v>
      </c>
    </row>
    <row r="608" spans="1:6" x14ac:dyDescent="0.25">
      <c r="A608" s="14">
        <v>6514</v>
      </c>
      <c r="B608" s="14" t="s">
        <v>634</v>
      </c>
      <c r="C608" s="16">
        <v>42340</v>
      </c>
      <c r="D608" s="14" t="s">
        <v>861</v>
      </c>
      <c r="E608" s="14" t="s">
        <v>878</v>
      </c>
      <c r="F608" s="19">
        <f t="shared" si="9"/>
        <v>42340</v>
      </c>
    </row>
    <row r="609" spans="1:6" x14ac:dyDescent="0.25">
      <c r="A609" s="14">
        <v>6523</v>
      </c>
      <c r="B609" s="14" t="s">
        <v>635</v>
      </c>
      <c r="C609" s="16">
        <v>42537</v>
      </c>
      <c r="D609" s="14" t="s">
        <v>861</v>
      </c>
      <c r="E609" s="14" t="s">
        <v>865</v>
      </c>
      <c r="F609" s="19">
        <f t="shared" si="9"/>
        <v>42537</v>
      </c>
    </row>
    <row r="610" spans="1:6" x14ac:dyDescent="0.25">
      <c r="A610" s="14">
        <v>6532</v>
      </c>
      <c r="B610" s="14" t="s">
        <v>636</v>
      </c>
      <c r="C610" s="16">
        <v>42639</v>
      </c>
      <c r="D610" s="14" t="s">
        <v>861</v>
      </c>
      <c r="E610" s="14" t="s">
        <v>879</v>
      </c>
      <c r="F610" s="19">
        <f t="shared" si="9"/>
        <v>42639</v>
      </c>
    </row>
    <row r="611" spans="1:6" x14ac:dyDescent="0.25">
      <c r="A611" s="14">
        <v>6535</v>
      </c>
      <c r="B611" s="14" t="s">
        <v>637</v>
      </c>
      <c r="C611" s="16">
        <v>42639</v>
      </c>
      <c r="D611" s="14" t="s">
        <v>861</v>
      </c>
      <c r="E611" s="14" t="s">
        <v>865</v>
      </c>
      <c r="F611" s="19">
        <f t="shared" si="9"/>
        <v>42639</v>
      </c>
    </row>
    <row r="612" spans="1:6" x14ac:dyDescent="0.25">
      <c r="A612" s="14">
        <v>6538</v>
      </c>
      <c r="B612" s="14" t="s">
        <v>638</v>
      </c>
      <c r="C612" s="16">
        <v>42664</v>
      </c>
      <c r="D612" s="14" t="s">
        <v>861</v>
      </c>
      <c r="E612" s="14" t="s">
        <v>864</v>
      </c>
      <c r="F612" s="19">
        <f t="shared" si="9"/>
        <v>42664</v>
      </c>
    </row>
    <row r="613" spans="1:6" x14ac:dyDescent="0.25">
      <c r="A613" s="14">
        <v>6542</v>
      </c>
      <c r="B613" s="14" t="s">
        <v>639</v>
      </c>
      <c r="C613" s="16">
        <v>42621</v>
      </c>
      <c r="D613" s="14" t="s">
        <v>861</v>
      </c>
      <c r="E613" s="14" t="s">
        <v>881</v>
      </c>
      <c r="F613" s="19">
        <f t="shared" si="9"/>
        <v>42621</v>
      </c>
    </row>
    <row r="614" spans="1:6" x14ac:dyDescent="0.25">
      <c r="A614" s="14">
        <v>6548</v>
      </c>
      <c r="B614" s="14" t="s">
        <v>640</v>
      </c>
      <c r="C614" s="16">
        <v>42626</v>
      </c>
      <c r="D614" s="14" t="s">
        <v>861</v>
      </c>
      <c r="E614" s="14" t="s">
        <v>877</v>
      </c>
      <c r="F614" s="19">
        <f t="shared" si="9"/>
        <v>42626</v>
      </c>
    </row>
    <row r="615" spans="1:6" x14ac:dyDescent="0.25">
      <c r="A615" s="14">
        <v>6554</v>
      </c>
      <c r="B615" s="14" t="s">
        <v>641</v>
      </c>
      <c r="C615" s="16">
        <v>42716</v>
      </c>
      <c r="D615" s="14" t="s">
        <v>861</v>
      </c>
      <c r="E615" s="14" t="s">
        <v>865</v>
      </c>
      <c r="F615" s="19">
        <f t="shared" si="9"/>
        <v>42716</v>
      </c>
    </row>
    <row r="616" spans="1:6" x14ac:dyDescent="0.25">
      <c r="A616" s="14">
        <v>6560</v>
      </c>
      <c r="B616" s="14" t="s">
        <v>642</v>
      </c>
      <c r="C616" s="16">
        <v>42759</v>
      </c>
      <c r="D616" s="14" t="s">
        <v>861</v>
      </c>
      <c r="E616" s="14" t="s">
        <v>877</v>
      </c>
      <c r="F616" s="19">
        <f t="shared" si="9"/>
        <v>42759</v>
      </c>
    </row>
    <row r="617" spans="1:6" x14ac:dyDescent="0.25">
      <c r="A617" s="14">
        <v>6568</v>
      </c>
      <c r="B617" s="14" t="s">
        <v>643</v>
      </c>
      <c r="C617" s="16">
        <v>42732</v>
      </c>
      <c r="D617" s="14" t="s">
        <v>861</v>
      </c>
      <c r="E617" s="14" t="s">
        <v>879</v>
      </c>
      <c r="F617" s="19">
        <f t="shared" si="9"/>
        <v>42732</v>
      </c>
    </row>
    <row r="618" spans="1:6" x14ac:dyDescent="0.25">
      <c r="A618" s="14">
        <v>6569</v>
      </c>
      <c r="B618" s="14" t="s">
        <v>644</v>
      </c>
      <c r="C618" s="16">
        <v>42725</v>
      </c>
      <c r="D618" s="14" t="s">
        <v>861</v>
      </c>
      <c r="E618" s="14" t="s">
        <v>865</v>
      </c>
      <c r="F618" s="19">
        <f t="shared" si="9"/>
        <v>42725</v>
      </c>
    </row>
    <row r="619" spans="1:6" x14ac:dyDescent="0.25">
      <c r="A619" s="14">
        <v>6577</v>
      </c>
      <c r="B619" s="14" t="s">
        <v>645</v>
      </c>
      <c r="C619" s="16">
        <v>42815</v>
      </c>
      <c r="D619" s="14" t="s">
        <v>861</v>
      </c>
      <c r="E619" s="14" t="s">
        <v>867</v>
      </c>
      <c r="F619" s="19">
        <f t="shared" si="9"/>
        <v>42815</v>
      </c>
    </row>
    <row r="620" spans="1:6" x14ac:dyDescent="0.25">
      <c r="A620" s="14">
        <v>6594</v>
      </c>
      <c r="B620" s="14" t="s">
        <v>646</v>
      </c>
      <c r="C620" s="16">
        <v>42853</v>
      </c>
      <c r="D620" s="14" t="s">
        <v>861</v>
      </c>
      <c r="E620" s="14" t="s">
        <v>879</v>
      </c>
      <c r="F620" s="19">
        <f t="shared" si="9"/>
        <v>42853</v>
      </c>
    </row>
    <row r="621" spans="1:6" x14ac:dyDescent="0.25">
      <c r="A621" s="14">
        <v>6603</v>
      </c>
      <c r="B621" s="14" t="s">
        <v>647</v>
      </c>
      <c r="C621" s="16">
        <v>38082</v>
      </c>
      <c r="D621" s="14" t="s">
        <v>861</v>
      </c>
      <c r="E621" s="14" t="s">
        <v>866</v>
      </c>
      <c r="F621" s="19">
        <f t="shared" si="9"/>
        <v>38082</v>
      </c>
    </row>
    <row r="622" spans="1:6" x14ac:dyDescent="0.25">
      <c r="A622" s="14">
        <v>6609</v>
      </c>
      <c r="B622" s="14" t="s">
        <v>648</v>
      </c>
      <c r="C622" s="16">
        <v>37887</v>
      </c>
      <c r="D622" s="14" t="s">
        <v>861</v>
      </c>
      <c r="E622" s="14" t="s">
        <v>866</v>
      </c>
      <c r="F622" s="19">
        <f t="shared" si="9"/>
        <v>37887</v>
      </c>
    </row>
    <row r="623" spans="1:6" x14ac:dyDescent="0.25">
      <c r="A623" s="14">
        <v>6803</v>
      </c>
      <c r="B623" s="14" t="s">
        <v>649</v>
      </c>
      <c r="C623" s="16">
        <v>40325</v>
      </c>
      <c r="D623" s="14" t="s">
        <v>861</v>
      </c>
      <c r="E623" s="14" t="s">
        <v>868</v>
      </c>
      <c r="F623" s="19">
        <f t="shared" si="9"/>
        <v>40325</v>
      </c>
    </row>
    <row r="624" spans="1:6" x14ac:dyDescent="0.25">
      <c r="A624" s="14">
        <v>7402</v>
      </c>
      <c r="B624" s="14" t="s">
        <v>705</v>
      </c>
      <c r="C624" s="16">
        <v>42367</v>
      </c>
      <c r="D624" s="14" t="s">
        <v>861</v>
      </c>
      <c r="E624" s="14" t="s">
        <v>877</v>
      </c>
      <c r="F624" s="19">
        <f t="shared" si="9"/>
        <v>42367</v>
      </c>
    </row>
    <row r="625" spans="1:6" x14ac:dyDescent="0.25">
      <c r="A625" s="14">
        <v>8024</v>
      </c>
      <c r="B625" s="14" t="s">
        <v>706</v>
      </c>
      <c r="C625" s="16">
        <v>38985</v>
      </c>
      <c r="D625" s="14" t="s">
        <v>861</v>
      </c>
      <c r="E625" s="14" t="s">
        <v>879</v>
      </c>
      <c r="F625" s="19">
        <f t="shared" si="9"/>
        <v>38985</v>
      </c>
    </row>
    <row r="626" spans="1:6" x14ac:dyDescent="0.25">
      <c r="A626" s="14">
        <v>8027</v>
      </c>
      <c r="B626" s="14" t="s">
        <v>707</v>
      </c>
      <c r="C626" s="16">
        <v>42164</v>
      </c>
      <c r="D626" s="14" t="s">
        <v>861</v>
      </c>
      <c r="E626" s="14" t="s">
        <v>866</v>
      </c>
      <c r="F626" s="19">
        <f t="shared" si="9"/>
        <v>42164</v>
      </c>
    </row>
    <row r="627" spans="1:6" x14ac:dyDescent="0.25">
      <c r="A627" s="14">
        <v>8032</v>
      </c>
      <c r="B627" s="14" t="s">
        <v>708</v>
      </c>
      <c r="C627" s="16">
        <v>37896</v>
      </c>
      <c r="D627" s="14" t="s">
        <v>861</v>
      </c>
      <c r="E627" s="14" t="s">
        <v>882</v>
      </c>
      <c r="F627" s="19">
        <f t="shared" si="9"/>
        <v>37896</v>
      </c>
    </row>
    <row r="628" spans="1:6" x14ac:dyDescent="0.25">
      <c r="A628" s="14">
        <v>8034</v>
      </c>
      <c r="B628" s="14" t="s">
        <v>709</v>
      </c>
      <c r="C628" s="16">
        <v>38113</v>
      </c>
      <c r="D628" s="14" t="s">
        <v>861</v>
      </c>
      <c r="E628" s="14" t="s">
        <v>878</v>
      </c>
      <c r="F628" s="19">
        <f t="shared" si="9"/>
        <v>38113</v>
      </c>
    </row>
    <row r="629" spans="1:6" x14ac:dyDescent="0.25">
      <c r="A629" s="14">
        <v>8038</v>
      </c>
      <c r="B629" s="14" t="s">
        <v>710</v>
      </c>
      <c r="C629" s="16">
        <v>41599</v>
      </c>
      <c r="D629" s="14" t="s">
        <v>861</v>
      </c>
      <c r="E629" s="14" t="s">
        <v>864</v>
      </c>
      <c r="F629" s="19">
        <f t="shared" si="9"/>
        <v>41599</v>
      </c>
    </row>
    <row r="630" spans="1:6" x14ac:dyDescent="0.25">
      <c r="A630" s="14">
        <v>8040</v>
      </c>
      <c r="B630" s="14" t="s">
        <v>711</v>
      </c>
      <c r="C630" s="16">
        <v>39202</v>
      </c>
      <c r="D630" s="14" t="s">
        <v>861</v>
      </c>
      <c r="E630" s="14" t="s">
        <v>879</v>
      </c>
      <c r="F630" s="19">
        <f t="shared" si="9"/>
        <v>39202</v>
      </c>
    </row>
    <row r="631" spans="1:6" x14ac:dyDescent="0.25">
      <c r="A631" s="14">
        <v>8042</v>
      </c>
      <c r="B631" s="14" t="s">
        <v>712</v>
      </c>
      <c r="C631" s="16">
        <v>38068</v>
      </c>
      <c r="D631" s="14" t="s">
        <v>861</v>
      </c>
      <c r="E631" s="14" t="s">
        <v>864</v>
      </c>
      <c r="F631" s="19">
        <f t="shared" si="9"/>
        <v>38068</v>
      </c>
    </row>
    <row r="632" spans="1:6" x14ac:dyDescent="0.25">
      <c r="A632" s="14">
        <v>8043</v>
      </c>
      <c r="B632" s="14" t="s">
        <v>713</v>
      </c>
      <c r="C632" s="16">
        <v>37918</v>
      </c>
      <c r="D632" s="14" t="s">
        <v>861</v>
      </c>
      <c r="E632" s="14" t="s">
        <v>864</v>
      </c>
      <c r="F632" s="19">
        <f t="shared" si="9"/>
        <v>37918</v>
      </c>
    </row>
    <row r="633" spans="1:6" x14ac:dyDescent="0.25">
      <c r="A633" s="14">
        <v>8044</v>
      </c>
      <c r="B633" s="14" t="s">
        <v>714</v>
      </c>
      <c r="C633" s="16">
        <v>38376</v>
      </c>
      <c r="D633" s="14" t="s">
        <v>861</v>
      </c>
      <c r="E633" s="14" t="s">
        <v>880</v>
      </c>
      <c r="F633" s="19">
        <f t="shared" si="9"/>
        <v>38376</v>
      </c>
    </row>
    <row r="634" spans="1:6" x14ac:dyDescent="0.25">
      <c r="A634" s="14">
        <v>8047</v>
      </c>
      <c r="B634" s="14" t="s">
        <v>715</v>
      </c>
      <c r="C634" s="16">
        <v>38026</v>
      </c>
      <c r="D634" s="14" t="s">
        <v>861</v>
      </c>
      <c r="E634" s="14" t="s">
        <v>870</v>
      </c>
      <c r="F634" s="19">
        <f t="shared" si="9"/>
        <v>38026</v>
      </c>
    </row>
    <row r="635" spans="1:6" x14ac:dyDescent="0.25">
      <c r="A635" s="14">
        <v>8048</v>
      </c>
      <c r="B635" s="14" t="s">
        <v>716</v>
      </c>
      <c r="C635" s="16">
        <v>40064</v>
      </c>
      <c r="D635" s="14" t="s">
        <v>861</v>
      </c>
      <c r="E635" s="14" t="s">
        <v>878</v>
      </c>
      <c r="F635" s="19">
        <f t="shared" si="9"/>
        <v>40064</v>
      </c>
    </row>
    <row r="636" spans="1:6" x14ac:dyDescent="0.25">
      <c r="A636" s="14">
        <v>8049</v>
      </c>
      <c r="B636" s="14" t="s">
        <v>717</v>
      </c>
      <c r="C636" s="16">
        <v>38019</v>
      </c>
      <c r="D636" s="14" t="s">
        <v>861</v>
      </c>
      <c r="E636" s="14" t="s">
        <v>877</v>
      </c>
      <c r="F636" s="19">
        <f t="shared" si="9"/>
        <v>38019</v>
      </c>
    </row>
    <row r="637" spans="1:6" x14ac:dyDescent="0.25">
      <c r="A637" s="14">
        <v>8050</v>
      </c>
      <c r="B637" s="14" t="s">
        <v>718</v>
      </c>
      <c r="C637" s="16">
        <v>37918</v>
      </c>
      <c r="D637" s="14" t="s">
        <v>861</v>
      </c>
      <c r="E637" s="14" t="s">
        <v>867</v>
      </c>
      <c r="F637" s="19">
        <f t="shared" si="9"/>
        <v>37918</v>
      </c>
    </row>
    <row r="638" spans="1:6" x14ac:dyDescent="0.25">
      <c r="A638" s="14">
        <v>8054</v>
      </c>
      <c r="B638" s="14" t="s">
        <v>719</v>
      </c>
      <c r="C638" s="16">
        <v>38299</v>
      </c>
      <c r="D638" s="14" t="s">
        <v>861</v>
      </c>
      <c r="E638" s="14" t="s">
        <v>879</v>
      </c>
      <c r="F638" s="19">
        <f t="shared" si="9"/>
        <v>38299</v>
      </c>
    </row>
    <row r="639" spans="1:6" x14ac:dyDescent="0.25">
      <c r="A639" s="14">
        <v>8059</v>
      </c>
      <c r="B639" s="14" t="s">
        <v>720</v>
      </c>
      <c r="C639" s="16">
        <v>40253</v>
      </c>
      <c r="D639" s="14" t="s">
        <v>861</v>
      </c>
      <c r="E639" s="14" t="s">
        <v>878</v>
      </c>
      <c r="F639" s="19">
        <f t="shared" si="9"/>
        <v>40253</v>
      </c>
    </row>
    <row r="640" spans="1:6" x14ac:dyDescent="0.25">
      <c r="A640" s="14">
        <v>8064</v>
      </c>
      <c r="B640" s="14" t="s">
        <v>721</v>
      </c>
      <c r="C640" s="16">
        <v>38985</v>
      </c>
      <c r="D640" s="14" t="s">
        <v>861</v>
      </c>
      <c r="E640" s="14" t="s">
        <v>877</v>
      </c>
      <c r="F640" s="19">
        <f t="shared" si="9"/>
        <v>38985</v>
      </c>
    </row>
    <row r="641" spans="1:6" x14ac:dyDescent="0.25">
      <c r="A641" s="14">
        <v>8066</v>
      </c>
      <c r="B641" s="14" t="s">
        <v>722</v>
      </c>
      <c r="C641" s="16">
        <v>38345</v>
      </c>
      <c r="D641" s="14" t="s">
        <v>861</v>
      </c>
      <c r="E641" s="14" t="s">
        <v>875</v>
      </c>
      <c r="F641" s="19">
        <f t="shared" si="9"/>
        <v>38345</v>
      </c>
    </row>
    <row r="642" spans="1:6" x14ac:dyDescent="0.25">
      <c r="A642" s="14">
        <v>8067</v>
      </c>
      <c r="B642" s="14" t="s">
        <v>723</v>
      </c>
      <c r="C642" s="16">
        <v>38100</v>
      </c>
      <c r="D642" s="14" t="s">
        <v>861</v>
      </c>
      <c r="E642" s="14" t="s">
        <v>882</v>
      </c>
      <c r="F642" s="19">
        <f t="shared" ref="F642:F705" si="10">C642</f>
        <v>38100</v>
      </c>
    </row>
    <row r="643" spans="1:6" x14ac:dyDescent="0.25">
      <c r="A643" s="14">
        <v>8068</v>
      </c>
      <c r="B643" s="14" t="s">
        <v>724</v>
      </c>
      <c r="C643" s="16">
        <v>38071</v>
      </c>
      <c r="D643" s="14" t="s">
        <v>861</v>
      </c>
      <c r="E643" s="14" t="s">
        <v>882</v>
      </c>
      <c r="F643" s="19">
        <f t="shared" si="10"/>
        <v>38071</v>
      </c>
    </row>
    <row r="644" spans="1:6" x14ac:dyDescent="0.25">
      <c r="A644" s="14">
        <v>8069</v>
      </c>
      <c r="B644" s="14" t="s">
        <v>725</v>
      </c>
      <c r="C644" s="16">
        <v>38076</v>
      </c>
      <c r="D644" s="14" t="s">
        <v>861</v>
      </c>
      <c r="E644" s="14" t="s">
        <v>877</v>
      </c>
      <c r="F644" s="19">
        <f t="shared" si="10"/>
        <v>38076</v>
      </c>
    </row>
    <row r="645" spans="1:6" x14ac:dyDescent="0.25">
      <c r="A645" s="14">
        <v>8071</v>
      </c>
      <c r="B645" s="14" t="s">
        <v>726</v>
      </c>
      <c r="C645" s="16">
        <v>37984</v>
      </c>
      <c r="D645" s="14" t="s">
        <v>861</v>
      </c>
      <c r="E645" s="14" t="s">
        <v>864</v>
      </c>
      <c r="F645" s="19">
        <f t="shared" si="10"/>
        <v>37984</v>
      </c>
    </row>
    <row r="646" spans="1:6" x14ac:dyDescent="0.25">
      <c r="A646" s="14">
        <v>8074</v>
      </c>
      <c r="B646" s="14" t="s">
        <v>727</v>
      </c>
      <c r="C646" s="16">
        <v>38013</v>
      </c>
      <c r="D646" s="14" t="s">
        <v>861</v>
      </c>
      <c r="E646" s="14" t="s">
        <v>864</v>
      </c>
      <c r="F646" s="19">
        <f t="shared" si="10"/>
        <v>38013</v>
      </c>
    </row>
    <row r="647" spans="1:6" x14ac:dyDescent="0.25">
      <c r="A647" s="14">
        <v>8076</v>
      </c>
      <c r="B647" s="14" t="s">
        <v>728</v>
      </c>
      <c r="C647" s="16">
        <v>37970</v>
      </c>
      <c r="D647" s="14" t="s">
        <v>861</v>
      </c>
      <c r="E647" s="14" t="s">
        <v>867</v>
      </c>
      <c r="F647" s="19">
        <f t="shared" si="10"/>
        <v>37970</v>
      </c>
    </row>
    <row r="648" spans="1:6" x14ac:dyDescent="0.25">
      <c r="A648" s="14">
        <v>8077</v>
      </c>
      <c r="B648" s="14" t="s">
        <v>729</v>
      </c>
      <c r="C648" s="16">
        <v>38327</v>
      </c>
      <c r="D648" s="14" t="s">
        <v>861</v>
      </c>
      <c r="E648" s="14" t="s">
        <v>863</v>
      </c>
      <c r="F648" s="19">
        <f t="shared" si="10"/>
        <v>38327</v>
      </c>
    </row>
    <row r="649" spans="1:6" x14ac:dyDescent="0.25">
      <c r="A649" s="14">
        <v>8080</v>
      </c>
      <c r="B649" s="14" t="s">
        <v>730</v>
      </c>
      <c r="C649" s="16">
        <v>38117</v>
      </c>
      <c r="D649" s="14" t="s">
        <v>861</v>
      </c>
      <c r="E649" s="14" t="s">
        <v>864</v>
      </c>
      <c r="F649" s="19">
        <f t="shared" si="10"/>
        <v>38117</v>
      </c>
    </row>
    <row r="650" spans="1:6" x14ac:dyDescent="0.25">
      <c r="A650" s="14">
        <v>8083</v>
      </c>
      <c r="B650" s="14" t="s">
        <v>731</v>
      </c>
      <c r="C650" s="16">
        <v>38253</v>
      </c>
      <c r="D650" s="14" t="s">
        <v>861</v>
      </c>
      <c r="E650" s="14" t="s">
        <v>866</v>
      </c>
      <c r="F650" s="19">
        <f t="shared" si="10"/>
        <v>38253</v>
      </c>
    </row>
    <row r="651" spans="1:6" x14ac:dyDescent="0.25">
      <c r="A651" s="14">
        <v>8084</v>
      </c>
      <c r="B651" s="14" t="s">
        <v>732</v>
      </c>
      <c r="C651" s="16">
        <v>38054</v>
      </c>
      <c r="D651" s="14" t="s">
        <v>861</v>
      </c>
      <c r="E651" s="14" t="s">
        <v>882</v>
      </c>
      <c r="F651" s="19">
        <f t="shared" si="10"/>
        <v>38054</v>
      </c>
    </row>
    <row r="652" spans="1:6" x14ac:dyDescent="0.25">
      <c r="A652" s="14">
        <v>8085</v>
      </c>
      <c r="B652" s="14" t="s">
        <v>733</v>
      </c>
      <c r="C652" s="16">
        <v>38047</v>
      </c>
      <c r="D652" s="14" t="s">
        <v>861</v>
      </c>
      <c r="E652" s="14" t="s">
        <v>870</v>
      </c>
      <c r="F652" s="19">
        <f t="shared" si="10"/>
        <v>38047</v>
      </c>
    </row>
    <row r="653" spans="1:6" x14ac:dyDescent="0.25">
      <c r="A653" s="14">
        <v>8086</v>
      </c>
      <c r="B653" s="14" t="s">
        <v>734</v>
      </c>
      <c r="C653" s="16">
        <v>39965</v>
      </c>
      <c r="D653" s="14" t="s">
        <v>861</v>
      </c>
      <c r="E653" s="14" t="s">
        <v>879</v>
      </c>
      <c r="F653" s="19">
        <f t="shared" si="10"/>
        <v>39965</v>
      </c>
    </row>
    <row r="654" spans="1:6" x14ac:dyDescent="0.25">
      <c r="A654" s="14">
        <v>8087</v>
      </c>
      <c r="B654" s="14" t="s">
        <v>735</v>
      </c>
      <c r="C654" s="16">
        <v>38042</v>
      </c>
      <c r="D654" s="14" t="s">
        <v>861</v>
      </c>
      <c r="E654" s="14" t="s">
        <v>877</v>
      </c>
      <c r="F654" s="19">
        <f t="shared" si="10"/>
        <v>38042</v>
      </c>
    </row>
    <row r="655" spans="1:6" x14ac:dyDescent="0.25">
      <c r="A655" s="14">
        <v>8088</v>
      </c>
      <c r="B655" s="14" t="s">
        <v>736</v>
      </c>
      <c r="C655" s="16">
        <v>38044</v>
      </c>
      <c r="D655" s="14" t="s">
        <v>861</v>
      </c>
      <c r="E655" s="14" t="s">
        <v>879</v>
      </c>
      <c r="F655" s="19">
        <f t="shared" si="10"/>
        <v>38044</v>
      </c>
    </row>
    <row r="656" spans="1:6" x14ac:dyDescent="0.25">
      <c r="A656" s="14">
        <v>8091</v>
      </c>
      <c r="B656" s="14" t="s">
        <v>737</v>
      </c>
      <c r="C656" s="16">
        <v>38162</v>
      </c>
      <c r="D656" s="14" t="s">
        <v>861</v>
      </c>
      <c r="E656" s="14" t="s">
        <v>864</v>
      </c>
      <c r="F656" s="19">
        <f t="shared" si="10"/>
        <v>38162</v>
      </c>
    </row>
    <row r="657" spans="1:6" x14ac:dyDescent="0.25">
      <c r="A657" s="14">
        <v>8092</v>
      </c>
      <c r="B657" s="14" t="s">
        <v>738</v>
      </c>
      <c r="C657" s="16">
        <v>38019</v>
      </c>
      <c r="D657" s="14" t="s">
        <v>861</v>
      </c>
      <c r="E657" s="14" t="s">
        <v>870</v>
      </c>
      <c r="F657" s="19">
        <f t="shared" si="10"/>
        <v>38019</v>
      </c>
    </row>
    <row r="658" spans="1:6" x14ac:dyDescent="0.25">
      <c r="A658" s="14">
        <v>8093</v>
      </c>
      <c r="B658" s="14" t="s">
        <v>739</v>
      </c>
      <c r="C658" s="16">
        <v>38352</v>
      </c>
      <c r="D658" s="14" t="s">
        <v>861</v>
      </c>
      <c r="E658" s="14" t="s">
        <v>864</v>
      </c>
      <c r="F658" s="19">
        <f t="shared" si="10"/>
        <v>38352</v>
      </c>
    </row>
    <row r="659" spans="1:6" x14ac:dyDescent="0.25">
      <c r="A659" s="14">
        <v>8096</v>
      </c>
      <c r="B659" s="14" t="s">
        <v>740</v>
      </c>
      <c r="C659" s="16">
        <v>38183</v>
      </c>
      <c r="D659" s="14" t="s">
        <v>861</v>
      </c>
      <c r="E659" s="14" t="s">
        <v>882</v>
      </c>
      <c r="F659" s="19">
        <f t="shared" si="10"/>
        <v>38183</v>
      </c>
    </row>
    <row r="660" spans="1:6" x14ac:dyDescent="0.25">
      <c r="A660" s="14">
        <v>8097</v>
      </c>
      <c r="B660" s="14" t="s">
        <v>741</v>
      </c>
      <c r="C660" s="16">
        <v>38047</v>
      </c>
      <c r="D660" s="14" t="s">
        <v>861</v>
      </c>
      <c r="E660" s="14" t="s">
        <v>878</v>
      </c>
      <c r="F660" s="19">
        <f t="shared" si="10"/>
        <v>38047</v>
      </c>
    </row>
    <row r="661" spans="1:6" x14ac:dyDescent="0.25">
      <c r="A661" s="14">
        <v>8099</v>
      </c>
      <c r="B661" s="14" t="s">
        <v>742</v>
      </c>
      <c r="C661" s="16">
        <v>38075</v>
      </c>
      <c r="D661" s="14" t="s">
        <v>861</v>
      </c>
      <c r="E661" s="14" t="s">
        <v>880</v>
      </c>
      <c r="F661" s="19">
        <f t="shared" si="10"/>
        <v>38075</v>
      </c>
    </row>
    <row r="662" spans="1:6" x14ac:dyDescent="0.25">
      <c r="A662" s="14">
        <v>8107</v>
      </c>
      <c r="B662" s="14" t="s">
        <v>743</v>
      </c>
      <c r="C662" s="16">
        <v>38671</v>
      </c>
      <c r="D662" s="14" t="s">
        <v>861</v>
      </c>
      <c r="E662" s="14" t="s">
        <v>866</v>
      </c>
      <c r="F662" s="19">
        <f t="shared" si="10"/>
        <v>38671</v>
      </c>
    </row>
    <row r="663" spans="1:6" x14ac:dyDescent="0.25">
      <c r="A663" s="14">
        <v>8109</v>
      </c>
      <c r="B663" s="14" t="s">
        <v>744</v>
      </c>
      <c r="C663" s="16">
        <v>38433</v>
      </c>
      <c r="D663" s="14" t="s">
        <v>861</v>
      </c>
      <c r="E663" s="14" t="s">
        <v>864</v>
      </c>
      <c r="F663" s="19">
        <f t="shared" si="10"/>
        <v>38433</v>
      </c>
    </row>
    <row r="664" spans="1:6" x14ac:dyDescent="0.25">
      <c r="A664" s="14">
        <v>8111</v>
      </c>
      <c r="B664" s="14" t="s">
        <v>745</v>
      </c>
      <c r="C664" s="16">
        <v>38026</v>
      </c>
      <c r="D664" s="14" t="s">
        <v>861</v>
      </c>
      <c r="E664" s="14" t="s">
        <v>877</v>
      </c>
      <c r="F664" s="19">
        <f t="shared" si="10"/>
        <v>38026</v>
      </c>
    </row>
    <row r="665" spans="1:6" x14ac:dyDescent="0.25">
      <c r="A665" s="14">
        <v>8121</v>
      </c>
      <c r="B665" s="14" t="s">
        <v>746</v>
      </c>
      <c r="C665" s="16">
        <v>38400</v>
      </c>
      <c r="D665" s="14" t="s">
        <v>861</v>
      </c>
      <c r="E665" s="14" t="s">
        <v>864</v>
      </c>
      <c r="F665" s="19">
        <f t="shared" si="10"/>
        <v>38400</v>
      </c>
    </row>
    <row r="666" spans="1:6" x14ac:dyDescent="0.25">
      <c r="A666" s="14">
        <v>8147</v>
      </c>
      <c r="B666" s="14" t="s">
        <v>747</v>
      </c>
      <c r="C666" s="16">
        <v>41394</v>
      </c>
      <c r="D666" s="14" t="s">
        <v>861</v>
      </c>
      <c r="E666" s="14" t="s">
        <v>864</v>
      </c>
      <c r="F666" s="19">
        <f t="shared" si="10"/>
        <v>41394</v>
      </c>
    </row>
    <row r="667" spans="1:6" x14ac:dyDescent="0.25">
      <c r="A667" s="14">
        <v>8155</v>
      </c>
      <c r="B667" s="14" t="s">
        <v>748</v>
      </c>
      <c r="C667" s="16">
        <v>41261</v>
      </c>
      <c r="D667" s="14" t="s">
        <v>861</v>
      </c>
      <c r="E667" s="14" t="s">
        <v>864</v>
      </c>
      <c r="F667" s="19">
        <f t="shared" si="10"/>
        <v>41261</v>
      </c>
    </row>
    <row r="668" spans="1:6" x14ac:dyDescent="0.25">
      <c r="A668" s="14">
        <v>8171</v>
      </c>
      <c r="B668" s="14" t="s">
        <v>749</v>
      </c>
      <c r="C668" s="16">
        <v>40896</v>
      </c>
      <c r="D668" s="14" t="s">
        <v>861</v>
      </c>
      <c r="E668" s="14" t="s">
        <v>878</v>
      </c>
      <c r="F668" s="19">
        <f t="shared" si="10"/>
        <v>40896</v>
      </c>
    </row>
    <row r="669" spans="1:6" x14ac:dyDescent="0.25">
      <c r="A669" s="14">
        <v>8176</v>
      </c>
      <c r="B669" s="14" t="s">
        <v>750</v>
      </c>
      <c r="C669" s="16">
        <v>41450</v>
      </c>
      <c r="D669" s="14" t="s">
        <v>861</v>
      </c>
      <c r="E669" s="14" t="s">
        <v>878</v>
      </c>
      <c r="F669" s="19">
        <f t="shared" si="10"/>
        <v>41450</v>
      </c>
    </row>
    <row r="670" spans="1:6" x14ac:dyDescent="0.25">
      <c r="A670" s="14">
        <v>8182</v>
      </c>
      <c r="B670" s="14" t="s">
        <v>751</v>
      </c>
      <c r="C670" s="16">
        <v>38862</v>
      </c>
      <c r="D670" s="14" t="s">
        <v>861</v>
      </c>
      <c r="E670" s="14" t="s">
        <v>864</v>
      </c>
      <c r="F670" s="19">
        <f t="shared" si="10"/>
        <v>38862</v>
      </c>
    </row>
    <row r="671" spans="1:6" x14ac:dyDescent="0.25">
      <c r="A671" s="14">
        <v>8183</v>
      </c>
      <c r="B671" s="14" t="s">
        <v>752</v>
      </c>
      <c r="C671" s="16">
        <v>38441</v>
      </c>
      <c r="D671" s="14" t="s">
        <v>861</v>
      </c>
      <c r="E671" s="14" t="s">
        <v>870</v>
      </c>
      <c r="F671" s="19">
        <f t="shared" si="10"/>
        <v>38441</v>
      </c>
    </row>
    <row r="672" spans="1:6" x14ac:dyDescent="0.25">
      <c r="A672" s="14">
        <v>8234</v>
      </c>
      <c r="B672" s="14" t="s">
        <v>753</v>
      </c>
      <c r="C672" s="16">
        <v>39240</v>
      </c>
      <c r="D672" s="14" t="s">
        <v>861</v>
      </c>
      <c r="E672" s="14" t="s">
        <v>867</v>
      </c>
      <c r="F672" s="19">
        <f t="shared" si="10"/>
        <v>39240</v>
      </c>
    </row>
    <row r="673" spans="1:6" x14ac:dyDescent="0.25">
      <c r="A673" s="14">
        <v>8240</v>
      </c>
      <c r="B673" s="14" t="s">
        <v>754</v>
      </c>
      <c r="C673" s="16">
        <v>38526</v>
      </c>
      <c r="D673" s="14" t="s">
        <v>861</v>
      </c>
      <c r="E673" s="14" t="s">
        <v>877</v>
      </c>
      <c r="F673" s="19">
        <f t="shared" si="10"/>
        <v>38526</v>
      </c>
    </row>
    <row r="674" spans="1:6" x14ac:dyDescent="0.25">
      <c r="A674" s="14">
        <v>8255</v>
      </c>
      <c r="B674" s="14" t="s">
        <v>755</v>
      </c>
      <c r="C674" s="16">
        <v>38832</v>
      </c>
      <c r="D674" s="14" t="s">
        <v>861</v>
      </c>
      <c r="E674" s="14" t="s">
        <v>866</v>
      </c>
      <c r="F674" s="19">
        <f t="shared" si="10"/>
        <v>38832</v>
      </c>
    </row>
    <row r="675" spans="1:6" x14ac:dyDescent="0.25">
      <c r="A675" s="14">
        <v>8277</v>
      </c>
      <c r="B675" s="14" t="s">
        <v>756</v>
      </c>
      <c r="C675" s="16">
        <v>38348</v>
      </c>
      <c r="D675" s="14" t="s">
        <v>861</v>
      </c>
      <c r="E675" s="14" t="s">
        <v>879</v>
      </c>
      <c r="F675" s="19">
        <f t="shared" si="10"/>
        <v>38348</v>
      </c>
    </row>
    <row r="676" spans="1:6" x14ac:dyDescent="0.25">
      <c r="A676" s="14">
        <v>8279</v>
      </c>
      <c r="B676" s="14" t="s">
        <v>757</v>
      </c>
      <c r="C676" s="16">
        <v>42639</v>
      </c>
      <c r="D676" s="14" t="s">
        <v>861</v>
      </c>
      <c r="E676" s="14" t="s">
        <v>865</v>
      </c>
      <c r="F676" s="19">
        <f t="shared" si="10"/>
        <v>42639</v>
      </c>
    </row>
    <row r="677" spans="1:6" x14ac:dyDescent="0.25">
      <c r="A677" s="14">
        <v>8287</v>
      </c>
      <c r="B677" s="14" t="s">
        <v>758</v>
      </c>
      <c r="C677" s="16">
        <v>38355</v>
      </c>
      <c r="D677" s="14" t="s">
        <v>861</v>
      </c>
      <c r="E677" s="14" t="s">
        <v>864</v>
      </c>
      <c r="F677" s="19">
        <f t="shared" si="10"/>
        <v>38355</v>
      </c>
    </row>
    <row r="678" spans="1:6" x14ac:dyDescent="0.25">
      <c r="A678" s="14">
        <v>8289</v>
      </c>
      <c r="B678" s="14" t="s">
        <v>759</v>
      </c>
      <c r="C678" s="16">
        <v>39562</v>
      </c>
      <c r="D678" s="14" t="s">
        <v>861</v>
      </c>
      <c r="E678" s="14" t="s">
        <v>864</v>
      </c>
      <c r="F678" s="19">
        <f t="shared" si="10"/>
        <v>39562</v>
      </c>
    </row>
    <row r="679" spans="1:6" x14ac:dyDescent="0.25">
      <c r="A679" s="14">
        <v>8291</v>
      </c>
      <c r="B679" s="14" t="s">
        <v>760</v>
      </c>
      <c r="C679" s="16">
        <v>40876</v>
      </c>
      <c r="D679" s="14" t="s">
        <v>861</v>
      </c>
      <c r="E679" s="14" t="s">
        <v>864</v>
      </c>
      <c r="F679" s="19">
        <f t="shared" si="10"/>
        <v>40876</v>
      </c>
    </row>
    <row r="680" spans="1:6" x14ac:dyDescent="0.25">
      <c r="A680" s="14">
        <v>8299</v>
      </c>
      <c r="B680" s="14" t="s">
        <v>761</v>
      </c>
      <c r="C680" s="16">
        <v>38327</v>
      </c>
      <c r="D680" s="14" t="s">
        <v>861</v>
      </c>
      <c r="E680" s="14" t="s">
        <v>867</v>
      </c>
      <c r="F680" s="19">
        <f t="shared" si="10"/>
        <v>38327</v>
      </c>
    </row>
    <row r="681" spans="1:6" x14ac:dyDescent="0.25">
      <c r="A681" s="14">
        <v>8349</v>
      </c>
      <c r="B681" s="14" t="s">
        <v>762</v>
      </c>
      <c r="C681" s="16">
        <v>38786</v>
      </c>
      <c r="D681" s="14" t="s">
        <v>861</v>
      </c>
      <c r="E681" s="14" t="s">
        <v>871</v>
      </c>
      <c r="F681" s="19">
        <f t="shared" si="10"/>
        <v>38786</v>
      </c>
    </row>
    <row r="682" spans="1:6" x14ac:dyDescent="0.25">
      <c r="A682" s="14">
        <v>8354</v>
      </c>
      <c r="B682" s="14" t="s">
        <v>763</v>
      </c>
      <c r="C682" s="16">
        <v>38092</v>
      </c>
      <c r="D682" s="14" t="s">
        <v>861</v>
      </c>
      <c r="E682" s="14" t="s">
        <v>888</v>
      </c>
      <c r="F682" s="19">
        <f t="shared" si="10"/>
        <v>38092</v>
      </c>
    </row>
    <row r="683" spans="1:6" x14ac:dyDescent="0.25">
      <c r="A683" s="14">
        <v>8358</v>
      </c>
      <c r="B683" s="14" t="s">
        <v>764</v>
      </c>
      <c r="C683" s="16">
        <v>40448</v>
      </c>
      <c r="D683" s="14" t="s">
        <v>861</v>
      </c>
      <c r="E683" s="14" t="s">
        <v>864</v>
      </c>
      <c r="F683" s="19">
        <f t="shared" si="10"/>
        <v>40448</v>
      </c>
    </row>
    <row r="684" spans="1:6" x14ac:dyDescent="0.25">
      <c r="A684" s="14">
        <v>8383</v>
      </c>
      <c r="B684" s="14" t="s">
        <v>765</v>
      </c>
      <c r="C684" s="16">
        <v>38240</v>
      </c>
      <c r="D684" s="14" t="s">
        <v>861</v>
      </c>
      <c r="E684" s="14" t="s">
        <v>870</v>
      </c>
      <c r="F684" s="19">
        <f t="shared" si="10"/>
        <v>38240</v>
      </c>
    </row>
    <row r="685" spans="1:6" x14ac:dyDescent="0.25">
      <c r="A685" s="14">
        <v>8390</v>
      </c>
      <c r="B685" s="14" t="s">
        <v>766</v>
      </c>
      <c r="C685" s="16">
        <v>39589</v>
      </c>
      <c r="D685" s="14" t="s">
        <v>861</v>
      </c>
      <c r="E685" s="14" t="s">
        <v>868</v>
      </c>
      <c r="F685" s="19">
        <f t="shared" si="10"/>
        <v>39589</v>
      </c>
    </row>
    <row r="686" spans="1:6" x14ac:dyDescent="0.25">
      <c r="A686" s="14">
        <v>8401</v>
      </c>
      <c r="B686" s="14" t="s">
        <v>767</v>
      </c>
      <c r="C686" s="16">
        <v>40266</v>
      </c>
      <c r="D686" s="14" t="s">
        <v>861</v>
      </c>
      <c r="E686" s="14" t="s">
        <v>868</v>
      </c>
      <c r="F686" s="19">
        <f t="shared" si="10"/>
        <v>40266</v>
      </c>
    </row>
    <row r="687" spans="1:6" x14ac:dyDescent="0.25">
      <c r="A687" s="14">
        <v>8403</v>
      </c>
      <c r="B687" s="14" t="s">
        <v>768</v>
      </c>
      <c r="C687" s="16">
        <v>40603</v>
      </c>
      <c r="D687" s="14" t="s">
        <v>861</v>
      </c>
      <c r="E687" s="14" t="s">
        <v>865</v>
      </c>
      <c r="F687" s="19">
        <f t="shared" si="10"/>
        <v>40603</v>
      </c>
    </row>
    <row r="688" spans="1:6" x14ac:dyDescent="0.25">
      <c r="A688" s="14">
        <v>8406</v>
      </c>
      <c r="B688" s="14" t="s">
        <v>769</v>
      </c>
      <c r="C688" s="16">
        <v>41026</v>
      </c>
      <c r="D688" s="14" t="s">
        <v>861</v>
      </c>
      <c r="E688" s="14" t="s">
        <v>865</v>
      </c>
      <c r="F688" s="19">
        <f t="shared" si="10"/>
        <v>41026</v>
      </c>
    </row>
    <row r="689" spans="1:6" x14ac:dyDescent="0.25">
      <c r="A689" s="14">
        <v>8409</v>
      </c>
      <c r="B689" s="14" t="s">
        <v>770</v>
      </c>
      <c r="C689" s="16">
        <v>41603</v>
      </c>
      <c r="D689" s="14" t="s">
        <v>861</v>
      </c>
      <c r="E689" s="14" t="s">
        <v>865</v>
      </c>
      <c r="F689" s="19">
        <f t="shared" si="10"/>
        <v>41603</v>
      </c>
    </row>
    <row r="690" spans="1:6" x14ac:dyDescent="0.25">
      <c r="A690" s="14">
        <v>8410</v>
      </c>
      <c r="B690" s="14" t="s">
        <v>771</v>
      </c>
      <c r="C690" s="16">
        <v>40597</v>
      </c>
      <c r="D690" s="14" t="s">
        <v>861</v>
      </c>
      <c r="E690" s="14" t="s">
        <v>867</v>
      </c>
      <c r="F690" s="19">
        <f t="shared" si="10"/>
        <v>40597</v>
      </c>
    </row>
    <row r="691" spans="1:6" x14ac:dyDescent="0.25">
      <c r="A691" s="14">
        <v>8415</v>
      </c>
      <c r="B691" s="14" t="s">
        <v>772</v>
      </c>
      <c r="C691" s="16">
        <v>42620</v>
      </c>
      <c r="D691" s="14" t="s">
        <v>861</v>
      </c>
      <c r="E691" s="14" t="s">
        <v>871</v>
      </c>
      <c r="F691" s="19">
        <f t="shared" si="10"/>
        <v>42620</v>
      </c>
    </row>
    <row r="692" spans="1:6" x14ac:dyDescent="0.25">
      <c r="A692" s="14">
        <v>8416</v>
      </c>
      <c r="B692" s="14" t="s">
        <v>773</v>
      </c>
      <c r="C692" s="16">
        <v>41171</v>
      </c>
      <c r="D692" s="14" t="s">
        <v>861</v>
      </c>
      <c r="E692" s="14" t="s">
        <v>880</v>
      </c>
      <c r="F692" s="19">
        <f t="shared" si="10"/>
        <v>41171</v>
      </c>
    </row>
    <row r="693" spans="1:6" x14ac:dyDescent="0.25">
      <c r="A693" s="14">
        <v>8418</v>
      </c>
      <c r="B693" s="14" t="s">
        <v>774</v>
      </c>
      <c r="C693" s="16">
        <v>40883</v>
      </c>
      <c r="D693" s="14" t="s">
        <v>861</v>
      </c>
      <c r="E693" s="14" t="s">
        <v>868</v>
      </c>
      <c r="F693" s="19">
        <f t="shared" si="10"/>
        <v>40883</v>
      </c>
    </row>
    <row r="694" spans="1:6" x14ac:dyDescent="0.25">
      <c r="A694" s="14">
        <v>8420</v>
      </c>
      <c r="B694" s="14" t="s">
        <v>775</v>
      </c>
      <c r="C694" s="16">
        <v>41953</v>
      </c>
      <c r="D694" s="14" t="s">
        <v>861</v>
      </c>
      <c r="E694" s="14" t="s">
        <v>868</v>
      </c>
      <c r="F694" s="19">
        <f t="shared" si="10"/>
        <v>41953</v>
      </c>
    </row>
    <row r="695" spans="1:6" x14ac:dyDescent="0.25">
      <c r="A695" s="14">
        <v>8421</v>
      </c>
      <c r="B695" s="14" t="s">
        <v>776</v>
      </c>
      <c r="C695" s="16">
        <v>41236</v>
      </c>
      <c r="D695" s="14" t="s">
        <v>861</v>
      </c>
      <c r="E695" s="14" t="s">
        <v>868</v>
      </c>
      <c r="F695" s="19">
        <f t="shared" si="10"/>
        <v>41236</v>
      </c>
    </row>
    <row r="696" spans="1:6" x14ac:dyDescent="0.25">
      <c r="A696" s="14">
        <v>8423</v>
      </c>
      <c r="B696" s="14" t="s">
        <v>777</v>
      </c>
      <c r="C696" s="16">
        <v>40982</v>
      </c>
      <c r="D696" s="14" t="s">
        <v>861</v>
      </c>
      <c r="E696" s="14" t="s">
        <v>868</v>
      </c>
      <c r="F696" s="19">
        <f t="shared" si="10"/>
        <v>40982</v>
      </c>
    </row>
    <row r="697" spans="1:6" x14ac:dyDescent="0.25">
      <c r="A697" s="14">
        <v>8424</v>
      </c>
      <c r="B697" s="14" t="s">
        <v>778</v>
      </c>
      <c r="C697" s="16">
        <v>41261</v>
      </c>
      <c r="D697" s="14" t="s">
        <v>861</v>
      </c>
      <c r="E697" s="14" t="s">
        <v>873</v>
      </c>
      <c r="F697" s="19">
        <f t="shared" si="10"/>
        <v>41261</v>
      </c>
    </row>
    <row r="698" spans="1:6" x14ac:dyDescent="0.25">
      <c r="A698" s="14">
        <v>8426</v>
      </c>
      <c r="B698" s="14" t="s">
        <v>779</v>
      </c>
      <c r="C698" s="16">
        <v>40890</v>
      </c>
      <c r="D698" s="14" t="s">
        <v>861</v>
      </c>
      <c r="E698" s="14" t="s">
        <v>868</v>
      </c>
      <c r="F698" s="19">
        <f t="shared" si="10"/>
        <v>40890</v>
      </c>
    </row>
    <row r="699" spans="1:6" x14ac:dyDescent="0.25">
      <c r="A699" s="14">
        <v>8431</v>
      </c>
      <c r="B699" s="14" t="s">
        <v>780</v>
      </c>
      <c r="C699" s="16">
        <v>42093</v>
      </c>
      <c r="D699" s="14" t="s">
        <v>861</v>
      </c>
      <c r="E699" s="14" t="s">
        <v>870</v>
      </c>
      <c r="F699" s="19">
        <f t="shared" si="10"/>
        <v>42093</v>
      </c>
    </row>
    <row r="700" spans="1:6" x14ac:dyDescent="0.25">
      <c r="A700" s="14">
        <v>8432</v>
      </c>
      <c r="B700" s="14" t="s">
        <v>781</v>
      </c>
      <c r="C700" s="16">
        <v>41029</v>
      </c>
      <c r="D700" s="14" t="s">
        <v>861</v>
      </c>
      <c r="E700" s="14" t="s">
        <v>865</v>
      </c>
      <c r="F700" s="19">
        <f t="shared" si="10"/>
        <v>41029</v>
      </c>
    </row>
    <row r="701" spans="1:6" x14ac:dyDescent="0.25">
      <c r="A701" s="14">
        <v>8433</v>
      </c>
      <c r="B701" s="14" t="s">
        <v>782</v>
      </c>
      <c r="C701" s="16">
        <v>41262</v>
      </c>
      <c r="D701" s="14" t="s">
        <v>861</v>
      </c>
      <c r="E701" s="14" t="s">
        <v>875</v>
      </c>
      <c r="F701" s="19">
        <f t="shared" si="10"/>
        <v>41262</v>
      </c>
    </row>
    <row r="702" spans="1:6" x14ac:dyDescent="0.25">
      <c r="A702" s="14">
        <v>8435</v>
      </c>
      <c r="B702" s="14" t="s">
        <v>783</v>
      </c>
      <c r="C702" s="16">
        <v>41271</v>
      </c>
      <c r="D702" s="14" t="s">
        <v>861</v>
      </c>
      <c r="E702" s="14" t="s">
        <v>868</v>
      </c>
      <c r="F702" s="19">
        <f t="shared" si="10"/>
        <v>41271</v>
      </c>
    </row>
    <row r="703" spans="1:6" x14ac:dyDescent="0.25">
      <c r="A703" s="14">
        <v>8436</v>
      </c>
      <c r="B703" s="14" t="s">
        <v>784</v>
      </c>
      <c r="C703" s="16">
        <v>41529</v>
      </c>
      <c r="D703" s="14" t="s">
        <v>861</v>
      </c>
      <c r="E703" s="14" t="s">
        <v>865</v>
      </c>
      <c r="F703" s="19">
        <f t="shared" si="10"/>
        <v>41529</v>
      </c>
    </row>
    <row r="704" spans="1:6" x14ac:dyDescent="0.25">
      <c r="A704" s="14">
        <v>8437</v>
      </c>
      <c r="B704" s="14" t="s">
        <v>785</v>
      </c>
      <c r="C704" s="16">
        <v>42130</v>
      </c>
      <c r="D704" s="14" t="s">
        <v>861</v>
      </c>
      <c r="E704" s="14" t="s">
        <v>868</v>
      </c>
      <c r="F704" s="19">
        <f t="shared" si="10"/>
        <v>42130</v>
      </c>
    </row>
    <row r="705" spans="1:6" x14ac:dyDescent="0.25">
      <c r="A705" s="14">
        <v>8444</v>
      </c>
      <c r="B705" s="14" t="s">
        <v>786</v>
      </c>
      <c r="C705" s="16">
        <v>42304</v>
      </c>
      <c r="D705" s="14" t="s">
        <v>861</v>
      </c>
      <c r="E705" s="14" t="s">
        <v>868</v>
      </c>
      <c r="F705" s="19">
        <f t="shared" si="10"/>
        <v>42304</v>
      </c>
    </row>
    <row r="706" spans="1:6" x14ac:dyDescent="0.25">
      <c r="A706" s="14">
        <v>8446</v>
      </c>
      <c r="B706" s="14" t="s">
        <v>787</v>
      </c>
      <c r="C706" s="16">
        <v>41627</v>
      </c>
      <c r="D706" s="14" t="s">
        <v>861</v>
      </c>
      <c r="E706" s="14" t="s">
        <v>868</v>
      </c>
      <c r="F706" s="19">
        <f t="shared" ref="F706:F748" si="11">C706</f>
        <v>41627</v>
      </c>
    </row>
    <row r="707" spans="1:6" x14ac:dyDescent="0.25">
      <c r="A707" s="14">
        <v>8450</v>
      </c>
      <c r="B707" s="14" t="s">
        <v>788</v>
      </c>
      <c r="C707" s="16">
        <v>41919</v>
      </c>
      <c r="D707" s="14" t="s">
        <v>861</v>
      </c>
      <c r="E707" s="14" t="s">
        <v>881</v>
      </c>
      <c r="F707" s="19">
        <f t="shared" si="11"/>
        <v>41919</v>
      </c>
    </row>
    <row r="708" spans="1:6" x14ac:dyDescent="0.25">
      <c r="A708" s="14">
        <v>8455</v>
      </c>
      <c r="B708" s="14" t="s">
        <v>789</v>
      </c>
      <c r="C708" s="16">
        <v>42377</v>
      </c>
      <c r="D708" s="14" t="s">
        <v>861</v>
      </c>
      <c r="E708" s="14" t="s">
        <v>870</v>
      </c>
      <c r="F708" s="19">
        <f t="shared" si="11"/>
        <v>42377</v>
      </c>
    </row>
    <row r="709" spans="1:6" x14ac:dyDescent="0.25">
      <c r="A709" s="14">
        <v>8462</v>
      </c>
      <c r="B709" s="14" t="s">
        <v>790</v>
      </c>
      <c r="C709" s="16">
        <v>42439</v>
      </c>
      <c r="D709" s="14" t="s">
        <v>861</v>
      </c>
      <c r="E709" s="14" t="s">
        <v>863</v>
      </c>
      <c r="F709" s="19">
        <f t="shared" si="11"/>
        <v>42439</v>
      </c>
    </row>
    <row r="710" spans="1:6" x14ac:dyDescent="0.25">
      <c r="A710" s="14">
        <v>8472</v>
      </c>
      <c r="B710" s="14" t="s">
        <v>791</v>
      </c>
      <c r="C710" s="16">
        <v>42380</v>
      </c>
      <c r="D710" s="14" t="s">
        <v>861</v>
      </c>
      <c r="E710" s="14" t="s">
        <v>880</v>
      </c>
      <c r="F710" s="19">
        <f t="shared" si="11"/>
        <v>42380</v>
      </c>
    </row>
    <row r="711" spans="1:6" x14ac:dyDescent="0.25">
      <c r="A711" s="14">
        <v>8476</v>
      </c>
      <c r="B711" s="14" t="s">
        <v>792</v>
      </c>
      <c r="C711" s="16">
        <v>42822</v>
      </c>
      <c r="D711" s="14" t="s">
        <v>861</v>
      </c>
      <c r="E711" s="14" t="s">
        <v>868</v>
      </c>
      <c r="F711" s="19">
        <f t="shared" si="11"/>
        <v>42822</v>
      </c>
    </row>
    <row r="712" spans="1:6" x14ac:dyDescent="0.25">
      <c r="A712" s="14">
        <v>8477</v>
      </c>
      <c r="B712" s="14" t="s">
        <v>793</v>
      </c>
      <c r="C712" s="16">
        <v>42674</v>
      </c>
      <c r="D712" s="14" t="s">
        <v>861</v>
      </c>
      <c r="E712" s="14" t="s">
        <v>880</v>
      </c>
      <c r="F712" s="19">
        <f t="shared" si="11"/>
        <v>42674</v>
      </c>
    </row>
    <row r="713" spans="1:6" x14ac:dyDescent="0.25">
      <c r="A713" s="14">
        <v>8489</v>
      </c>
      <c r="B713" s="14" t="s">
        <v>794</v>
      </c>
      <c r="C713" s="16">
        <v>42852</v>
      </c>
      <c r="D713" s="14" t="s">
        <v>861</v>
      </c>
      <c r="E713" s="14" t="s">
        <v>881</v>
      </c>
      <c r="F713" s="19">
        <f t="shared" si="11"/>
        <v>42852</v>
      </c>
    </row>
    <row r="714" spans="1:6" x14ac:dyDescent="0.25">
      <c r="A714" s="14">
        <v>8905</v>
      </c>
      <c r="B714" s="14" t="s">
        <v>795</v>
      </c>
      <c r="C714" s="16">
        <v>35095</v>
      </c>
      <c r="D714" s="14" t="s">
        <v>861</v>
      </c>
      <c r="E714" s="14" t="s">
        <v>868</v>
      </c>
      <c r="F714" s="19">
        <f t="shared" si="11"/>
        <v>35095</v>
      </c>
    </row>
    <row r="715" spans="1:6" x14ac:dyDescent="0.25">
      <c r="A715" s="14">
        <v>8906</v>
      </c>
      <c r="B715" s="14" t="s">
        <v>796</v>
      </c>
      <c r="C715" s="16">
        <v>35178</v>
      </c>
      <c r="D715" s="14" t="s">
        <v>861</v>
      </c>
      <c r="E715" s="14" t="s">
        <v>868</v>
      </c>
      <c r="F715" s="19">
        <f t="shared" si="11"/>
        <v>35178</v>
      </c>
    </row>
    <row r="716" spans="1:6" x14ac:dyDescent="0.25">
      <c r="A716" s="14">
        <v>8908</v>
      </c>
      <c r="B716" s="14" t="s">
        <v>797</v>
      </c>
      <c r="C716" s="16">
        <v>35475</v>
      </c>
      <c r="D716" s="14" t="s">
        <v>861</v>
      </c>
      <c r="E716" s="14" t="s">
        <v>901</v>
      </c>
      <c r="F716" s="19">
        <f t="shared" si="11"/>
        <v>35475</v>
      </c>
    </row>
    <row r="717" spans="1:6" x14ac:dyDescent="0.25">
      <c r="A717" s="14">
        <v>8913</v>
      </c>
      <c r="B717" s="14" t="s">
        <v>838</v>
      </c>
      <c r="C717" s="16">
        <v>35956</v>
      </c>
      <c r="D717" s="14" t="s">
        <v>861</v>
      </c>
      <c r="E717" s="14" t="s">
        <v>868</v>
      </c>
      <c r="F717" s="19">
        <f t="shared" si="11"/>
        <v>35956</v>
      </c>
    </row>
    <row r="718" spans="1:6" x14ac:dyDescent="0.25">
      <c r="A718" s="14">
        <v>8916</v>
      </c>
      <c r="B718" s="14" t="s">
        <v>798</v>
      </c>
      <c r="C718" s="16">
        <v>36270</v>
      </c>
      <c r="D718" s="14" t="s">
        <v>861</v>
      </c>
      <c r="E718" s="14" t="s">
        <v>868</v>
      </c>
      <c r="F718" s="19">
        <f t="shared" si="11"/>
        <v>36270</v>
      </c>
    </row>
    <row r="719" spans="1:6" x14ac:dyDescent="0.25">
      <c r="A719" s="14">
        <v>8917</v>
      </c>
      <c r="B719" s="14" t="s">
        <v>799</v>
      </c>
      <c r="C719" s="16">
        <v>36286</v>
      </c>
      <c r="D719" s="14" t="s">
        <v>861</v>
      </c>
      <c r="E719" s="14" t="s">
        <v>901</v>
      </c>
      <c r="F719" s="19">
        <f t="shared" si="11"/>
        <v>36286</v>
      </c>
    </row>
    <row r="720" spans="1:6" x14ac:dyDescent="0.25">
      <c r="A720" s="14">
        <v>8921</v>
      </c>
      <c r="B720" s="14" t="s">
        <v>800</v>
      </c>
      <c r="C720" s="16">
        <v>36606</v>
      </c>
      <c r="D720" s="14" t="s">
        <v>861</v>
      </c>
      <c r="E720" s="14" t="s">
        <v>868</v>
      </c>
      <c r="F720" s="19">
        <f t="shared" si="11"/>
        <v>36606</v>
      </c>
    </row>
    <row r="721" spans="1:6" x14ac:dyDescent="0.25">
      <c r="A721" s="14">
        <v>8923</v>
      </c>
      <c r="B721" s="14" t="s">
        <v>801</v>
      </c>
      <c r="C721" s="16">
        <v>36521</v>
      </c>
      <c r="D721" s="14" t="s">
        <v>861</v>
      </c>
      <c r="E721" s="14" t="s">
        <v>868</v>
      </c>
      <c r="F721" s="19">
        <f t="shared" si="11"/>
        <v>36521</v>
      </c>
    </row>
    <row r="722" spans="1:6" x14ac:dyDescent="0.25">
      <c r="A722" s="14">
        <v>8924</v>
      </c>
      <c r="B722" s="14" t="s">
        <v>802</v>
      </c>
      <c r="C722" s="16">
        <v>36565</v>
      </c>
      <c r="D722" s="14" t="s">
        <v>861</v>
      </c>
      <c r="E722" s="14" t="s">
        <v>868</v>
      </c>
      <c r="F722" s="19">
        <f t="shared" si="11"/>
        <v>36565</v>
      </c>
    </row>
    <row r="723" spans="1:6" x14ac:dyDescent="0.25">
      <c r="A723" s="14">
        <v>8927</v>
      </c>
      <c r="B723" s="14" t="s">
        <v>803</v>
      </c>
      <c r="C723" s="16">
        <v>36832</v>
      </c>
      <c r="D723" s="14" t="s">
        <v>861</v>
      </c>
      <c r="E723" s="14" t="s">
        <v>901</v>
      </c>
      <c r="F723" s="19">
        <f t="shared" si="11"/>
        <v>36832</v>
      </c>
    </row>
    <row r="724" spans="1:6" x14ac:dyDescent="0.25">
      <c r="A724" s="14">
        <v>8928</v>
      </c>
      <c r="B724" s="14" t="s">
        <v>804</v>
      </c>
      <c r="C724" s="16">
        <v>36924</v>
      </c>
      <c r="D724" s="14" t="s">
        <v>861</v>
      </c>
      <c r="E724" s="14" t="s">
        <v>868</v>
      </c>
      <c r="F724" s="19">
        <f t="shared" si="11"/>
        <v>36924</v>
      </c>
    </row>
    <row r="725" spans="1:6" x14ac:dyDescent="0.25">
      <c r="A725" s="14">
        <v>8929</v>
      </c>
      <c r="B725" s="14" t="s">
        <v>805</v>
      </c>
      <c r="C725" s="16">
        <v>36860</v>
      </c>
      <c r="D725" s="14" t="s">
        <v>861</v>
      </c>
      <c r="E725" s="14" t="s">
        <v>868</v>
      </c>
      <c r="F725" s="19">
        <f t="shared" si="11"/>
        <v>36860</v>
      </c>
    </row>
    <row r="726" spans="1:6" x14ac:dyDescent="0.25">
      <c r="A726" s="14">
        <v>8930</v>
      </c>
      <c r="B726" s="14" t="s">
        <v>806</v>
      </c>
      <c r="C726" s="16">
        <v>36866</v>
      </c>
      <c r="D726" s="14" t="s">
        <v>861</v>
      </c>
      <c r="E726" s="14" t="s">
        <v>871</v>
      </c>
      <c r="F726" s="19">
        <f t="shared" si="11"/>
        <v>36866</v>
      </c>
    </row>
    <row r="727" spans="1:6" x14ac:dyDescent="0.25">
      <c r="A727" s="14">
        <v>8931</v>
      </c>
      <c r="B727" s="14" t="s">
        <v>807</v>
      </c>
      <c r="C727" s="16">
        <v>37021</v>
      </c>
      <c r="D727" s="14" t="s">
        <v>861</v>
      </c>
      <c r="E727" s="14" t="s">
        <v>901</v>
      </c>
      <c r="F727" s="19">
        <f t="shared" si="11"/>
        <v>37021</v>
      </c>
    </row>
    <row r="728" spans="1:6" x14ac:dyDescent="0.25">
      <c r="A728" s="14">
        <v>8932</v>
      </c>
      <c r="B728" s="14" t="s">
        <v>808</v>
      </c>
      <c r="C728" s="16">
        <v>36979</v>
      </c>
      <c r="D728" s="14" t="s">
        <v>861</v>
      </c>
      <c r="E728" s="14" t="s">
        <v>868</v>
      </c>
      <c r="F728" s="19">
        <f t="shared" si="11"/>
        <v>36979</v>
      </c>
    </row>
    <row r="729" spans="1:6" x14ac:dyDescent="0.25">
      <c r="A729" s="14">
        <v>8933</v>
      </c>
      <c r="B729" s="14" t="s">
        <v>809</v>
      </c>
      <c r="C729" s="16">
        <v>36978</v>
      </c>
      <c r="D729" s="14" t="s">
        <v>861</v>
      </c>
      <c r="E729" s="14" t="s">
        <v>868</v>
      </c>
      <c r="F729" s="19">
        <f t="shared" si="11"/>
        <v>36978</v>
      </c>
    </row>
    <row r="730" spans="1:6" x14ac:dyDescent="0.25">
      <c r="A730" s="14">
        <v>8934</v>
      </c>
      <c r="B730" s="14" t="s">
        <v>810</v>
      </c>
      <c r="C730" s="16">
        <v>37137</v>
      </c>
      <c r="D730" s="14" t="s">
        <v>861</v>
      </c>
      <c r="E730" s="14" t="s">
        <v>868</v>
      </c>
      <c r="F730" s="19">
        <f t="shared" si="11"/>
        <v>37137</v>
      </c>
    </row>
    <row r="731" spans="1:6" x14ac:dyDescent="0.25">
      <c r="A731" s="14">
        <v>8935</v>
      </c>
      <c r="B731" s="14" t="s">
        <v>811</v>
      </c>
      <c r="C731" s="16">
        <v>37341</v>
      </c>
      <c r="D731" s="14" t="s">
        <v>861</v>
      </c>
      <c r="E731" s="14" t="s">
        <v>868</v>
      </c>
      <c r="F731" s="19">
        <f t="shared" si="11"/>
        <v>37341</v>
      </c>
    </row>
    <row r="732" spans="1:6" x14ac:dyDescent="0.25">
      <c r="A732" s="14">
        <v>8936</v>
      </c>
      <c r="B732" s="14" t="s">
        <v>812</v>
      </c>
      <c r="C732" s="16">
        <v>37508</v>
      </c>
      <c r="D732" s="14" t="s">
        <v>861</v>
      </c>
      <c r="E732" s="14" t="s">
        <v>868</v>
      </c>
      <c r="F732" s="19">
        <f t="shared" si="11"/>
        <v>37508</v>
      </c>
    </row>
    <row r="733" spans="1:6" x14ac:dyDescent="0.25">
      <c r="A733" s="14">
        <v>8937</v>
      </c>
      <c r="B733" s="14" t="s">
        <v>813</v>
      </c>
      <c r="C733" s="16">
        <v>37558</v>
      </c>
      <c r="D733" s="14" t="s">
        <v>861</v>
      </c>
      <c r="E733" s="14" t="s">
        <v>868</v>
      </c>
      <c r="F733" s="19">
        <f t="shared" si="11"/>
        <v>37558</v>
      </c>
    </row>
    <row r="734" spans="1:6" x14ac:dyDescent="0.25">
      <c r="A734" s="14">
        <v>8938</v>
      </c>
      <c r="B734" s="14" t="s">
        <v>814</v>
      </c>
      <c r="C734" s="16">
        <v>37592</v>
      </c>
      <c r="D734" s="14" t="s">
        <v>861</v>
      </c>
      <c r="E734" s="14" t="s">
        <v>868</v>
      </c>
      <c r="F734" s="19">
        <f t="shared" si="11"/>
        <v>37592</v>
      </c>
    </row>
    <row r="735" spans="1:6" x14ac:dyDescent="0.25">
      <c r="A735" s="14">
        <v>8941</v>
      </c>
      <c r="B735" s="14" t="s">
        <v>815</v>
      </c>
      <c r="C735" s="16">
        <v>37641</v>
      </c>
      <c r="D735" s="14" t="s">
        <v>861</v>
      </c>
      <c r="E735" s="14" t="s">
        <v>875</v>
      </c>
      <c r="F735" s="19">
        <f t="shared" si="11"/>
        <v>37641</v>
      </c>
    </row>
    <row r="736" spans="1:6" x14ac:dyDescent="0.25">
      <c r="A736" s="14">
        <v>8942</v>
      </c>
      <c r="B736" s="14" t="s">
        <v>816</v>
      </c>
      <c r="C736" s="16">
        <v>37757</v>
      </c>
      <c r="D736" s="14" t="s">
        <v>861</v>
      </c>
      <c r="E736" s="14" t="s">
        <v>868</v>
      </c>
      <c r="F736" s="19">
        <f t="shared" si="11"/>
        <v>37757</v>
      </c>
    </row>
    <row r="737" spans="1:6" x14ac:dyDescent="0.25">
      <c r="A737" s="14">
        <v>9949</v>
      </c>
      <c r="B737" s="14" t="s">
        <v>817</v>
      </c>
      <c r="C737" s="16">
        <v>37946</v>
      </c>
      <c r="D737" s="14" t="s">
        <v>861</v>
      </c>
      <c r="E737" s="14" t="s">
        <v>868</v>
      </c>
      <c r="F737" s="19">
        <f t="shared" si="11"/>
        <v>37946</v>
      </c>
    </row>
    <row r="738" spans="1:6" x14ac:dyDescent="0.25">
      <c r="A738" s="14">
        <v>9950</v>
      </c>
      <c r="B738" s="14" t="s">
        <v>818</v>
      </c>
      <c r="C738" s="16">
        <v>38034</v>
      </c>
      <c r="D738" s="14" t="s">
        <v>861</v>
      </c>
      <c r="E738" s="14" t="s">
        <v>888</v>
      </c>
      <c r="F738" s="19">
        <f t="shared" si="11"/>
        <v>38034</v>
      </c>
    </row>
    <row r="739" spans="1:6" x14ac:dyDescent="0.25">
      <c r="A739" s="14">
        <v>9951</v>
      </c>
      <c r="B739" s="14" t="s">
        <v>819</v>
      </c>
      <c r="C739" s="16">
        <v>37973</v>
      </c>
      <c r="D739" s="14" t="s">
        <v>861</v>
      </c>
      <c r="E739" s="14" t="s">
        <v>866</v>
      </c>
      <c r="F739" s="19">
        <f t="shared" si="11"/>
        <v>37973</v>
      </c>
    </row>
    <row r="740" spans="1:6" x14ac:dyDescent="0.25">
      <c r="A740" s="14">
        <v>9960</v>
      </c>
      <c r="B740" s="14" t="s">
        <v>820</v>
      </c>
      <c r="C740" s="16">
        <v>38327</v>
      </c>
      <c r="D740" s="14" t="s">
        <v>861</v>
      </c>
      <c r="E740" s="14" t="s">
        <v>875</v>
      </c>
      <c r="F740" s="19">
        <f t="shared" si="11"/>
        <v>38327</v>
      </c>
    </row>
    <row r="741" spans="1:6" x14ac:dyDescent="0.25">
      <c r="A741" s="14">
        <v>9962</v>
      </c>
      <c r="B741" s="14" t="s">
        <v>821</v>
      </c>
      <c r="C741" s="16">
        <v>38908</v>
      </c>
      <c r="D741" s="14" t="s">
        <v>861</v>
      </c>
      <c r="E741" s="14" t="s">
        <v>871</v>
      </c>
      <c r="F741" s="19">
        <f t="shared" si="11"/>
        <v>38908</v>
      </c>
    </row>
    <row r="742" spans="1:6" x14ac:dyDescent="0.25">
      <c r="A742" s="15" t="s">
        <v>902</v>
      </c>
      <c r="B742" s="14" t="s">
        <v>28</v>
      </c>
      <c r="C742" s="16">
        <v>40570</v>
      </c>
      <c r="D742" s="14" t="s">
        <v>861</v>
      </c>
      <c r="E742" s="14" t="s">
        <v>903</v>
      </c>
      <c r="F742" s="19">
        <f t="shared" si="11"/>
        <v>40570</v>
      </c>
    </row>
    <row r="743" spans="1:6" x14ac:dyDescent="0.25">
      <c r="A743" s="14" t="s">
        <v>29</v>
      </c>
      <c r="B743" s="14" t="s">
        <v>30</v>
      </c>
      <c r="C743" s="16">
        <v>42752</v>
      </c>
      <c r="D743" s="14" t="s">
        <v>861</v>
      </c>
      <c r="E743" s="14" t="s">
        <v>903</v>
      </c>
      <c r="F743" s="19">
        <f t="shared" si="11"/>
        <v>42752</v>
      </c>
    </row>
    <row r="744" spans="1:6" x14ac:dyDescent="0.25">
      <c r="A744" s="14" t="s">
        <v>31</v>
      </c>
      <c r="B744" s="14" t="s">
        <v>32</v>
      </c>
      <c r="C744" s="16">
        <v>42838</v>
      </c>
      <c r="D744" s="14" t="s">
        <v>861</v>
      </c>
      <c r="E744" s="14" t="s">
        <v>903</v>
      </c>
      <c r="F744" s="19">
        <f t="shared" si="11"/>
        <v>42838</v>
      </c>
    </row>
    <row r="745" spans="1:6" x14ac:dyDescent="0.25">
      <c r="A745" s="14" t="s">
        <v>33</v>
      </c>
      <c r="B745" s="14" t="s">
        <v>904</v>
      </c>
      <c r="C745" s="16">
        <v>42894</v>
      </c>
      <c r="D745" s="14" t="s">
        <v>861</v>
      </c>
      <c r="E745" s="14" t="s">
        <v>903</v>
      </c>
      <c r="F745" s="19">
        <f t="shared" si="11"/>
        <v>42894</v>
      </c>
    </row>
    <row r="746" spans="1:6" x14ac:dyDescent="0.25">
      <c r="A746" s="14" t="s">
        <v>34</v>
      </c>
      <c r="B746" s="14" t="s">
        <v>905</v>
      </c>
      <c r="C746" s="16">
        <v>42894</v>
      </c>
      <c r="D746" s="14" t="s">
        <v>861</v>
      </c>
      <c r="E746" s="14" t="s">
        <v>903</v>
      </c>
      <c r="F746" s="19">
        <f t="shared" si="11"/>
        <v>42894</v>
      </c>
    </row>
    <row r="747" spans="1:6" x14ac:dyDescent="0.25">
      <c r="A747" s="14" t="s">
        <v>35</v>
      </c>
      <c r="B747" s="14" t="s">
        <v>36</v>
      </c>
      <c r="C747" s="16">
        <v>42894</v>
      </c>
      <c r="D747" s="14" t="s">
        <v>861</v>
      </c>
      <c r="E747" s="14" t="s">
        <v>903</v>
      </c>
      <c r="F747" s="19">
        <f t="shared" si="11"/>
        <v>42894</v>
      </c>
    </row>
    <row r="748" spans="1:6" x14ac:dyDescent="0.25">
      <c r="A748" s="14" t="s">
        <v>37</v>
      </c>
      <c r="B748" s="14" t="s">
        <v>38</v>
      </c>
      <c r="C748" s="16">
        <v>42909</v>
      </c>
      <c r="D748" s="14" t="s">
        <v>861</v>
      </c>
      <c r="E748" s="14" t="s">
        <v>903</v>
      </c>
      <c r="F748" s="19">
        <f t="shared" si="11"/>
        <v>42909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rgb="FF002060"/>
  </sheetPr>
  <dimension ref="A1:AE5226"/>
  <sheetViews>
    <sheetView tabSelected="1" workbookViewId="0">
      <selection activeCell="C12" sqref="C12"/>
    </sheetView>
  </sheetViews>
  <sheetFormatPr defaultRowHeight="16.5" x14ac:dyDescent="0.25"/>
  <cols>
    <col min="1" max="1" width="25.125" bestFit="1" customWidth="1"/>
    <col min="2" max="2" width="14.375" customWidth="1"/>
    <col min="3" max="3" width="18.5" bestFit="1" customWidth="1"/>
    <col min="4" max="4" width="6.25" customWidth="1"/>
    <col min="5" max="5" width="16.75" bestFit="1" customWidth="1"/>
    <col min="6" max="6" width="9.625" bestFit="1" customWidth="1"/>
    <col min="7" max="7" width="17.5" bestFit="1" customWidth="1"/>
    <col min="8" max="8" width="10.375" bestFit="1" customWidth="1"/>
    <col min="9" max="9" width="10.625" bestFit="1" customWidth="1"/>
    <col min="10" max="10" width="27.125" bestFit="1" customWidth="1"/>
    <col min="11" max="13" width="10.5" bestFit="1" customWidth="1"/>
    <col min="14" max="14" width="23.125" bestFit="1" customWidth="1"/>
    <col min="15" max="17" width="8.25" customWidth="1"/>
    <col min="18" max="18" width="15.375" customWidth="1"/>
    <col min="19" max="19" width="20" bestFit="1" customWidth="1"/>
    <col min="20" max="20" width="6.5" bestFit="1" customWidth="1"/>
    <col min="21" max="21" width="6.25" bestFit="1" customWidth="1"/>
    <col min="22" max="22" width="6.5" bestFit="1" customWidth="1"/>
    <col min="23" max="23" width="29.875" bestFit="1" customWidth="1"/>
    <col min="24" max="24" width="6.5" bestFit="1" customWidth="1"/>
    <col min="25" max="25" width="8.5" bestFit="1" customWidth="1"/>
    <col min="26" max="26" width="10.625" bestFit="1" customWidth="1"/>
    <col min="27" max="27" width="27.125" bestFit="1" customWidth="1"/>
    <col min="28" max="30" width="10.5" bestFit="1" customWidth="1"/>
    <col min="31" max="31" width="23.125" bestFit="1" customWidth="1"/>
    <col min="32" max="32" width="8.25" bestFit="1" customWidth="1"/>
    <col min="33" max="33" width="8.5" bestFit="1" customWidth="1"/>
    <col min="34" max="34" width="8.25" bestFit="1" customWidth="1"/>
  </cols>
  <sheetData>
    <row r="1" spans="1:31" x14ac:dyDescent="0.25">
      <c r="A1" t="s">
        <v>21</v>
      </c>
      <c r="B1">
        <v>1785</v>
      </c>
      <c r="H1" t="s">
        <v>824</v>
      </c>
      <c r="I1" s="11" t="str">
        <f ca="1">TEXT(TODAY(),"e/mm/dd")</f>
        <v>107/01/02</v>
      </c>
    </row>
    <row r="2" spans="1:31" x14ac:dyDescent="0.25">
      <c r="A2" s="2" t="s">
        <v>22</v>
      </c>
      <c r="B2" s="7" t="str">
        <f>VLOOKUP(B1,最新上櫃公司收盤價!A:Q,2,0)</f>
        <v>光洋科</v>
      </c>
      <c r="E2" t="s">
        <v>822</v>
      </c>
      <c r="F2" s="12" t="s">
        <v>1386</v>
      </c>
    </row>
    <row r="3" spans="1:31" x14ac:dyDescent="0.25">
      <c r="A3" t="s">
        <v>825</v>
      </c>
      <c r="B3" s="8">
        <f>VLOOKUP(B1,最新上櫃公司收盤價!A:Q,3,0)</f>
        <v>21.2</v>
      </c>
      <c r="E3" t="s">
        <v>823</v>
      </c>
      <c r="R3" s="2"/>
    </row>
    <row r="4" spans="1:31" x14ac:dyDescent="0.25">
      <c r="A4" t="s">
        <v>906</v>
      </c>
      <c r="B4" s="17">
        <f>VLOOKUP(B1,上櫃股票資訊!$A:$C,3)</f>
        <v>38383</v>
      </c>
      <c r="C4" s="18"/>
      <c r="I4" s="1"/>
      <c r="J4" s="1"/>
      <c r="N4" s="1"/>
    </row>
    <row r="5" spans="1:31" x14ac:dyDescent="0.25">
      <c r="A5" s="20">
        <f>VLOOKUP(B1,上櫃股票資訊!$A:$C,3)</f>
        <v>38383</v>
      </c>
      <c r="E5" t="s">
        <v>826</v>
      </c>
      <c r="F5" s="10" t="s">
        <v>1387</v>
      </c>
      <c r="I5" s="1"/>
      <c r="J5" s="1"/>
      <c r="N5" s="5"/>
    </row>
    <row r="6" spans="1:31" x14ac:dyDescent="0.25">
      <c r="A6" t="s">
        <v>27</v>
      </c>
      <c r="B6" s="13">
        <f>COUNTA(指定月份每日交易數量!A:A)-1</f>
        <v>23</v>
      </c>
      <c r="I6" s="1"/>
      <c r="J6" s="1"/>
      <c r="N6" s="1"/>
      <c r="Z6" s="1"/>
      <c r="AA6" s="1"/>
      <c r="AE6" s="1"/>
    </row>
    <row r="7" spans="1:31" x14ac:dyDescent="0.25">
      <c r="I7" s="1"/>
      <c r="J7" s="1"/>
      <c r="N7" s="6"/>
      <c r="Z7" s="1"/>
      <c r="AA7" s="1"/>
      <c r="AE7" s="1"/>
    </row>
    <row r="8" spans="1:31" x14ac:dyDescent="0.25">
      <c r="I8" s="1"/>
      <c r="J8" s="1"/>
      <c r="N8" s="5"/>
      <c r="Z8" s="1"/>
      <c r="AA8" s="1"/>
      <c r="AE8" s="1"/>
    </row>
    <row r="9" spans="1:31" x14ac:dyDescent="0.25">
      <c r="I9" s="1"/>
      <c r="J9" s="1"/>
      <c r="N9" s="1"/>
      <c r="Z9" s="1"/>
      <c r="AA9" s="1"/>
      <c r="AE9" s="1"/>
    </row>
    <row r="10" spans="1:31" x14ac:dyDescent="0.25">
      <c r="I10" s="1"/>
      <c r="J10" s="1"/>
      <c r="N10" s="1"/>
      <c r="Z10" s="1"/>
      <c r="AA10" s="1"/>
      <c r="AE10" s="1"/>
    </row>
    <row r="11" spans="1:31" x14ac:dyDescent="0.25">
      <c r="I11" s="1"/>
      <c r="J11" s="1"/>
      <c r="K11" s="1"/>
      <c r="N11" s="1"/>
      <c r="Z11" s="1"/>
      <c r="AA11" s="1"/>
      <c r="AE11" s="1"/>
    </row>
    <row r="12" spans="1:31" x14ac:dyDescent="0.25">
      <c r="I12" s="1"/>
      <c r="J12" s="1"/>
      <c r="N12" s="1"/>
      <c r="Z12" s="1"/>
      <c r="AA12" s="1"/>
      <c r="AE12" s="1"/>
    </row>
    <row r="13" spans="1:31" x14ac:dyDescent="0.25">
      <c r="I13" s="1"/>
      <c r="J13" s="1"/>
      <c r="K13" s="1"/>
      <c r="N13" s="1"/>
      <c r="Z13" s="1"/>
      <c r="AA13" s="1"/>
      <c r="AE13" s="1"/>
    </row>
    <row r="14" spans="1:31" x14ac:dyDescent="0.25">
      <c r="I14" s="1"/>
      <c r="J14" s="1"/>
      <c r="N14" s="1"/>
      <c r="Z14" s="1"/>
      <c r="AA14" s="1"/>
      <c r="AE14" s="1"/>
    </row>
    <row r="15" spans="1:31" x14ac:dyDescent="0.25">
      <c r="I15" s="1"/>
      <c r="J15" s="1"/>
      <c r="N15" s="1"/>
      <c r="Z15" s="1"/>
      <c r="AA15" s="1"/>
      <c r="AE15" s="1"/>
    </row>
    <row r="16" spans="1:31" x14ac:dyDescent="0.25">
      <c r="I16" s="1"/>
      <c r="J16" s="1"/>
      <c r="N16" s="1"/>
      <c r="Z16" s="1"/>
      <c r="AA16" s="1"/>
      <c r="AE16" s="1"/>
    </row>
    <row r="17" spans="2:31" x14ac:dyDescent="0.25">
      <c r="I17" s="1"/>
      <c r="J17" s="1"/>
      <c r="N17" s="1"/>
      <c r="Z17" s="1"/>
      <c r="AA17" s="1"/>
      <c r="AE17" s="1"/>
    </row>
    <row r="18" spans="2:31" x14ac:dyDescent="0.25">
      <c r="I18" s="1"/>
      <c r="J18" s="1"/>
      <c r="N18" s="1"/>
      <c r="Z18" s="1"/>
      <c r="AA18" s="1"/>
      <c r="AE18" s="1"/>
    </row>
    <row r="19" spans="2:31" x14ac:dyDescent="0.25">
      <c r="I19" s="1"/>
      <c r="J19" s="1"/>
      <c r="N19" s="1"/>
      <c r="Z19" s="1"/>
      <c r="AA19" s="1"/>
      <c r="AE19" s="1"/>
    </row>
    <row r="20" spans="2:31" x14ac:dyDescent="0.25">
      <c r="B20" s="4"/>
      <c r="I20" s="1"/>
      <c r="J20" s="1"/>
      <c r="N20" s="1"/>
      <c r="Z20" s="1"/>
      <c r="AA20" s="1"/>
      <c r="AE20" s="1"/>
    </row>
    <row r="21" spans="2:31" x14ac:dyDescent="0.25">
      <c r="I21" s="1"/>
      <c r="J21" s="1"/>
      <c r="N21" s="1"/>
      <c r="Z21" s="1"/>
      <c r="AA21" s="1"/>
      <c r="AE21" s="1"/>
    </row>
    <row r="22" spans="2:31" x14ac:dyDescent="0.25">
      <c r="B22" s="3"/>
      <c r="I22" s="1"/>
      <c r="J22" s="1"/>
      <c r="N22" s="1"/>
      <c r="Z22" s="1"/>
      <c r="AA22" s="1"/>
      <c r="AE22" s="1"/>
    </row>
    <row r="23" spans="2:31" x14ac:dyDescent="0.25">
      <c r="I23" s="1"/>
      <c r="J23" s="1"/>
      <c r="N23" s="1"/>
      <c r="Z23" s="1"/>
      <c r="AA23" s="1"/>
      <c r="AE23" s="1"/>
    </row>
    <row r="24" spans="2:31" x14ac:dyDescent="0.25">
      <c r="B24" s="4"/>
      <c r="I24" s="1"/>
      <c r="J24" s="1"/>
      <c r="N24" s="1"/>
      <c r="Z24" s="1"/>
      <c r="AA24" s="1"/>
      <c r="AE24" s="1"/>
    </row>
    <row r="25" spans="2:31" x14ac:dyDescent="0.25">
      <c r="B25" s="3"/>
      <c r="I25" s="1"/>
      <c r="J25" s="1"/>
      <c r="N25" s="1"/>
      <c r="Z25" s="1"/>
      <c r="AA25" s="1"/>
      <c r="AE25" s="1"/>
    </row>
    <row r="26" spans="2:31" x14ac:dyDescent="0.25">
      <c r="I26" s="1"/>
      <c r="J26" s="1"/>
      <c r="N26" s="1"/>
      <c r="Z26" s="1"/>
      <c r="AA26" s="1"/>
      <c r="AE26" s="1"/>
    </row>
    <row r="27" spans="2:31" x14ac:dyDescent="0.25">
      <c r="I27" s="1"/>
      <c r="J27" s="1"/>
      <c r="N27" s="1"/>
      <c r="Z27" s="1"/>
      <c r="AA27" s="1"/>
      <c r="AE27" s="1"/>
    </row>
    <row r="28" spans="2:31" x14ac:dyDescent="0.25">
      <c r="I28" s="1"/>
      <c r="J28" s="1"/>
      <c r="N28" s="1"/>
      <c r="Z28" s="1"/>
      <c r="AA28" s="1"/>
      <c r="AE28" s="1"/>
    </row>
    <row r="29" spans="2:31" x14ac:dyDescent="0.25">
      <c r="I29" s="1"/>
      <c r="J29" s="1"/>
      <c r="N29" s="1"/>
      <c r="Z29" s="1"/>
      <c r="AA29" s="1"/>
      <c r="AE29" s="1"/>
    </row>
    <row r="30" spans="2:31" x14ac:dyDescent="0.25">
      <c r="I30" s="1"/>
      <c r="J30" s="1"/>
      <c r="N30" s="1"/>
      <c r="Z30" s="1"/>
      <c r="AA30" s="1"/>
      <c r="AE30" s="1"/>
    </row>
    <row r="31" spans="2:31" x14ac:dyDescent="0.25">
      <c r="I31" s="1"/>
      <c r="J31" s="1"/>
      <c r="K31" s="1"/>
      <c r="N31" s="1"/>
      <c r="Z31" s="1"/>
      <c r="AA31" s="1"/>
      <c r="AE31" s="1"/>
    </row>
    <row r="32" spans="2:31" x14ac:dyDescent="0.25">
      <c r="I32" s="1"/>
      <c r="J32" s="1"/>
      <c r="N32" s="1"/>
      <c r="Z32" s="1"/>
      <c r="AA32" s="1"/>
      <c r="AE32" s="1"/>
    </row>
    <row r="33" spans="9:31" x14ac:dyDescent="0.25">
      <c r="I33" s="1"/>
      <c r="J33" s="1"/>
      <c r="N33" s="1"/>
      <c r="Z33" s="1"/>
      <c r="AA33" s="1"/>
      <c r="AE33" s="1"/>
    </row>
    <row r="34" spans="9:31" x14ac:dyDescent="0.25">
      <c r="I34" s="1"/>
      <c r="J34" s="1"/>
      <c r="K34" s="1"/>
      <c r="N34" s="1"/>
      <c r="Z34" s="1"/>
      <c r="AA34" s="1"/>
      <c r="AE34" s="1"/>
    </row>
    <row r="35" spans="9:31" x14ac:dyDescent="0.25">
      <c r="I35" s="1"/>
      <c r="J35" s="1"/>
      <c r="N35" s="1"/>
      <c r="Z35" s="1"/>
      <c r="AA35" s="1"/>
      <c r="AE35" s="1"/>
    </row>
    <row r="36" spans="9:31" x14ac:dyDescent="0.25">
      <c r="I36" s="1"/>
      <c r="J36" s="1"/>
      <c r="N36" s="1"/>
      <c r="Z36" s="1"/>
      <c r="AA36" s="1"/>
      <c r="AE36" s="1"/>
    </row>
    <row r="37" spans="9:31" x14ac:dyDescent="0.25">
      <c r="I37" s="1"/>
      <c r="J37" s="1"/>
      <c r="N37" s="1"/>
      <c r="Z37" s="1"/>
      <c r="AA37" s="1"/>
      <c r="AE37" s="1"/>
    </row>
    <row r="38" spans="9:31" x14ac:dyDescent="0.25">
      <c r="I38" s="1"/>
      <c r="J38" s="1"/>
      <c r="K38" s="1"/>
      <c r="N38" s="1"/>
      <c r="Z38" s="1"/>
      <c r="AA38" s="1"/>
      <c r="AE38" s="1"/>
    </row>
    <row r="39" spans="9:31" x14ac:dyDescent="0.25">
      <c r="I39" s="1"/>
      <c r="J39" s="1"/>
      <c r="K39" s="1"/>
      <c r="N39" s="1"/>
      <c r="Z39" s="1"/>
      <c r="AA39" s="1"/>
      <c r="AB39" s="1"/>
      <c r="AE39" s="1"/>
    </row>
    <row r="40" spans="9:31" x14ac:dyDescent="0.25">
      <c r="I40" s="1"/>
      <c r="J40" s="1"/>
      <c r="N40" s="1"/>
      <c r="Z40" s="1"/>
      <c r="AA40" s="1"/>
      <c r="AB40" s="1"/>
      <c r="AE40" s="1"/>
    </row>
    <row r="41" spans="9:31" x14ac:dyDescent="0.25">
      <c r="I41" s="1"/>
      <c r="J41" s="1"/>
      <c r="N41" s="1"/>
      <c r="Z41" s="1"/>
      <c r="AA41" s="1"/>
      <c r="AE41" s="1"/>
    </row>
    <row r="42" spans="9:31" x14ac:dyDescent="0.25">
      <c r="I42" s="1"/>
      <c r="J42" s="1"/>
      <c r="N42" s="1"/>
      <c r="Z42" s="1"/>
      <c r="AA42" s="1"/>
      <c r="AE42" s="1"/>
    </row>
    <row r="43" spans="9:31" x14ac:dyDescent="0.25">
      <c r="I43" s="1"/>
      <c r="J43" s="1"/>
      <c r="N43" s="1"/>
      <c r="Z43" s="1"/>
      <c r="AA43" s="1"/>
      <c r="AE43" s="1"/>
    </row>
    <row r="44" spans="9:31" x14ac:dyDescent="0.25">
      <c r="I44" s="1"/>
      <c r="J44" s="1"/>
      <c r="K44" s="1"/>
      <c r="N44" s="1"/>
      <c r="Z44" s="1"/>
      <c r="AA44" s="1"/>
      <c r="AE44" s="1"/>
    </row>
    <row r="45" spans="9:31" x14ac:dyDescent="0.25">
      <c r="I45" s="1"/>
      <c r="J45" s="1"/>
      <c r="N45" s="1"/>
      <c r="Z45" s="1"/>
      <c r="AA45" s="1"/>
      <c r="AB45" s="1"/>
      <c r="AE45" s="1"/>
    </row>
    <row r="46" spans="9:31" x14ac:dyDescent="0.25">
      <c r="I46" s="1"/>
      <c r="J46" s="1"/>
      <c r="N46" s="1"/>
      <c r="Z46" s="1"/>
      <c r="AA46" s="1"/>
      <c r="AE46" s="1"/>
    </row>
    <row r="47" spans="9:31" x14ac:dyDescent="0.25">
      <c r="I47" s="1"/>
      <c r="J47" s="1"/>
      <c r="N47" s="1"/>
      <c r="Z47" s="1"/>
      <c r="AA47" s="1"/>
      <c r="AE47" s="1"/>
    </row>
    <row r="48" spans="9:31" x14ac:dyDescent="0.25">
      <c r="I48" s="1"/>
      <c r="J48" s="1"/>
      <c r="N48" s="1"/>
      <c r="Z48" s="1"/>
      <c r="AA48" s="1"/>
      <c r="AE48" s="1"/>
    </row>
    <row r="49" spans="9:31" x14ac:dyDescent="0.25">
      <c r="I49" s="1"/>
      <c r="J49" s="1"/>
      <c r="N49" s="1"/>
      <c r="Z49" s="1"/>
      <c r="AA49" s="1"/>
      <c r="AE49" s="1"/>
    </row>
    <row r="50" spans="9:31" x14ac:dyDescent="0.25">
      <c r="I50" s="1"/>
      <c r="J50" s="1"/>
      <c r="N50" s="1"/>
      <c r="Z50" s="1"/>
      <c r="AA50" s="1"/>
      <c r="AE50" s="1"/>
    </row>
    <row r="51" spans="9:31" x14ac:dyDescent="0.25">
      <c r="I51" s="1"/>
      <c r="J51" s="1"/>
      <c r="N51" s="1"/>
      <c r="Z51" s="1"/>
      <c r="AA51" s="1"/>
      <c r="AE51" s="1"/>
    </row>
    <row r="52" spans="9:31" x14ac:dyDescent="0.25">
      <c r="I52" s="1"/>
      <c r="J52" s="1"/>
      <c r="N52" s="1"/>
      <c r="Z52" s="1"/>
      <c r="AA52" s="1"/>
      <c r="AE52" s="1"/>
    </row>
    <row r="53" spans="9:31" x14ac:dyDescent="0.25">
      <c r="I53" s="1"/>
      <c r="J53" s="1"/>
      <c r="N53" s="1"/>
      <c r="Z53" s="1"/>
      <c r="AA53" s="1"/>
      <c r="AE53" s="1"/>
    </row>
    <row r="54" spans="9:31" x14ac:dyDescent="0.25">
      <c r="I54" s="1"/>
      <c r="J54" s="1"/>
      <c r="N54" s="1"/>
      <c r="Z54" s="1"/>
      <c r="AA54" s="1"/>
      <c r="AE54" s="1"/>
    </row>
    <row r="55" spans="9:31" x14ac:dyDescent="0.25">
      <c r="I55" s="1"/>
      <c r="J55" s="1"/>
      <c r="N55" s="1"/>
      <c r="Z55" s="1"/>
      <c r="AA55" s="1"/>
      <c r="AE55" s="1"/>
    </row>
    <row r="56" spans="9:31" x14ac:dyDescent="0.25">
      <c r="I56" s="1"/>
      <c r="J56" s="1"/>
      <c r="N56" s="1"/>
      <c r="Z56" s="1"/>
      <c r="AA56" s="1"/>
      <c r="AE56" s="1"/>
    </row>
    <row r="57" spans="9:31" x14ac:dyDescent="0.25">
      <c r="I57" s="1"/>
      <c r="J57" s="1"/>
      <c r="N57" s="1"/>
      <c r="Z57" s="1"/>
      <c r="AA57" s="1"/>
      <c r="AE57" s="1"/>
    </row>
    <row r="58" spans="9:31" x14ac:dyDescent="0.25">
      <c r="I58" s="1"/>
      <c r="J58" s="1"/>
      <c r="N58" s="1"/>
      <c r="Z58" s="1"/>
      <c r="AA58" s="1"/>
      <c r="AE58" s="1"/>
    </row>
    <row r="59" spans="9:31" x14ac:dyDescent="0.25">
      <c r="I59" s="1"/>
      <c r="J59" s="1"/>
      <c r="N59" s="1"/>
      <c r="Z59" s="1"/>
      <c r="AA59" s="1"/>
      <c r="AE59" s="1"/>
    </row>
    <row r="60" spans="9:31" x14ac:dyDescent="0.25">
      <c r="I60" s="1"/>
      <c r="J60" s="1"/>
      <c r="N60" s="1"/>
      <c r="Z60" s="1"/>
      <c r="AA60" s="1"/>
      <c r="AE60" s="1"/>
    </row>
    <row r="61" spans="9:31" x14ac:dyDescent="0.25">
      <c r="I61" s="1"/>
      <c r="J61" s="1"/>
      <c r="N61" s="1"/>
      <c r="AE61" s="1"/>
    </row>
    <row r="62" spans="9:31" x14ac:dyDescent="0.25">
      <c r="I62" s="1"/>
      <c r="J62" s="1"/>
      <c r="N62" s="1"/>
      <c r="Z62" s="1"/>
      <c r="AA62" s="1"/>
      <c r="AE62" s="1"/>
    </row>
    <row r="63" spans="9:31" x14ac:dyDescent="0.25">
      <c r="I63" s="1"/>
      <c r="J63" s="1"/>
      <c r="N63" s="1"/>
      <c r="Z63" s="1"/>
      <c r="AA63" s="1"/>
      <c r="AE63" s="1"/>
    </row>
    <row r="64" spans="9:31" x14ac:dyDescent="0.25">
      <c r="I64" s="1"/>
      <c r="J64" s="1"/>
      <c r="N64" s="1"/>
      <c r="Z64" s="1"/>
      <c r="AA64" s="1"/>
      <c r="AE64" s="1"/>
    </row>
    <row r="65" spans="9:31" x14ac:dyDescent="0.25">
      <c r="I65" s="1"/>
      <c r="J65" s="1"/>
      <c r="N65" s="1"/>
      <c r="Z65" s="1"/>
      <c r="AA65" s="1"/>
      <c r="AE65" s="1"/>
    </row>
    <row r="66" spans="9:31" x14ac:dyDescent="0.25">
      <c r="I66" s="1"/>
      <c r="J66" s="1"/>
      <c r="N66" s="1"/>
      <c r="Z66" s="1"/>
      <c r="AA66" s="1"/>
      <c r="AE66" s="1"/>
    </row>
    <row r="67" spans="9:31" x14ac:dyDescent="0.25">
      <c r="I67" s="1"/>
      <c r="J67" s="1"/>
      <c r="N67" s="1"/>
      <c r="Z67" s="1"/>
      <c r="AA67" s="1"/>
      <c r="AE67" s="1"/>
    </row>
    <row r="68" spans="9:31" x14ac:dyDescent="0.25">
      <c r="I68" s="1"/>
      <c r="J68" s="1"/>
      <c r="N68" s="1"/>
      <c r="Z68" s="1"/>
      <c r="AA68" s="1"/>
      <c r="AE68" s="1"/>
    </row>
    <row r="69" spans="9:31" x14ac:dyDescent="0.25">
      <c r="I69" s="1"/>
      <c r="J69" s="1"/>
      <c r="K69" s="1"/>
      <c r="N69" s="1"/>
      <c r="AE69" s="1"/>
    </row>
    <row r="70" spans="9:31" x14ac:dyDescent="0.25">
      <c r="I70" s="1"/>
      <c r="J70" s="1"/>
      <c r="N70" s="1"/>
      <c r="Z70" s="1"/>
      <c r="AA70" s="1"/>
      <c r="AE70" s="1"/>
    </row>
    <row r="71" spans="9:31" x14ac:dyDescent="0.25">
      <c r="I71" s="1"/>
      <c r="J71" s="1"/>
      <c r="N71" s="1"/>
      <c r="Z71" s="1"/>
      <c r="AA71" s="1"/>
      <c r="AE71" s="1"/>
    </row>
    <row r="72" spans="9:31" x14ac:dyDescent="0.25">
      <c r="I72" s="1"/>
      <c r="J72" s="1"/>
      <c r="N72" s="1"/>
      <c r="Z72" s="1"/>
      <c r="AA72" s="1"/>
      <c r="AE72" s="1"/>
    </row>
    <row r="73" spans="9:31" x14ac:dyDescent="0.25">
      <c r="I73" s="1"/>
      <c r="J73" s="1"/>
      <c r="N73" s="1"/>
      <c r="Z73" s="1"/>
      <c r="AA73" s="1"/>
      <c r="AE73" s="1"/>
    </row>
    <row r="74" spans="9:31" x14ac:dyDescent="0.25">
      <c r="I74" s="1"/>
      <c r="J74" s="1"/>
      <c r="N74" s="1"/>
      <c r="Z74" s="1"/>
      <c r="AA74" s="1"/>
      <c r="AE74" s="1"/>
    </row>
    <row r="75" spans="9:31" x14ac:dyDescent="0.25">
      <c r="I75" s="1"/>
      <c r="J75" s="1"/>
      <c r="K75" s="1"/>
      <c r="N75" s="1"/>
      <c r="Z75" s="1"/>
      <c r="AA75" s="1"/>
      <c r="AE75" s="1"/>
    </row>
    <row r="76" spans="9:31" x14ac:dyDescent="0.25">
      <c r="I76" s="1"/>
      <c r="J76" s="1"/>
      <c r="N76" s="1"/>
      <c r="Z76" s="1"/>
      <c r="AA76" s="1"/>
      <c r="AE76" s="1"/>
    </row>
    <row r="77" spans="9:31" x14ac:dyDescent="0.25">
      <c r="I77" s="1"/>
      <c r="J77" s="1"/>
      <c r="N77" s="1"/>
      <c r="Z77" s="1"/>
      <c r="AA77" s="1"/>
      <c r="AE77" s="1"/>
    </row>
    <row r="78" spans="9:31" x14ac:dyDescent="0.25">
      <c r="I78" s="1"/>
      <c r="J78" s="1"/>
      <c r="K78" s="1"/>
      <c r="N78" s="1"/>
      <c r="Z78" s="1"/>
      <c r="AA78" s="1"/>
      <c r="AE78" s="1"/>
    </row>
    <row r="79" spans="9:31" x14ac:dyDescent="0.25">
      <c r="I79" s="1"/>
      <c r="J79" s="1"/>
      <c r="N79" s="1"/>
      <c r="Z79" s="1"/>
      <c r="AA79" s="1"/>
      <c r="AE79" s="1"/>
    </row>
    <row r="80" spans="9:31" x14ac:dyDescent="0.25">
      <c r="I80" s="1"/>
      <c r="J80" s="1"/>
      <c r="N80" s="1"/>
      <c r="Z80" s="1"/>
      <c r="AA80" s="1"/>
      <c r="AE80" s="1"/>
    </row>
    <row r="81" spans="9:31" x14ac:dyDescent="0.25">
      <c r="I81" s="1"/>
      <c r="J81" s="1"/>
      <c r="N81" s="1"/>
      <c r="Z81" s="1"/>
      <c r="AA81" s="1"/>
      <c r="AE81" s="1"/>
    </row>
    <row r="82" spans="9:31" x14ac:dyDescent="0.25">
      <c r="I82" s="1"/>
      <c r="J82" s="1"/>
      <c r="N82" s="1"/>
      <c r="Z82" s="1"/>
      <c r="AA82" s="1"/>
      <c r="AE82" s="1"/>
    </row>
    <row r="83" spans="9:31" x14ac:dyDescent="0.25">
      <c r="I83" s="1"/>
      <c r="J83" s="1"/>
      <c r="N83" s="1"/>
      <c r="Z83" s="1"/>
      <c r="AA83" s="1"/>
      <c r="AE83" s="1"/>
    </row>
    <row r="84" spans="9:31" x14ac:dyDescent="0.25">
      <c r="I84" s="1"/>
      <c r="J84" s="1"/>
      <c r="N84" s="1"/>
      <c r="Z84" s="1"/>
      <c r="AA84" s="1"/>
      <c r="AE84" s="1"/>
    </row>
    <row r="85" spans="9:31" x14ac:dyDescent="0.25">
      <c r="I85" s="1"/>
      <c r="J85" s="1"/>
      <c r="N85" s="1"/>
      <c r="Z85" s="1"/>
      <c r="AA85" s="1"/>
      <c r="AE85" s="1"/>
    </row>
    <row r="86" spans="9:31" x14ac:dyDescent="0.25">
      <c r="I86" s="1"/>
      <c r="J86" s="1"/>
      <c r="N86" s="1"/>
      <c r="Z86" s="1"/>
      <c r="AA86" s="1"/>
      <c r="AE86" s="1"/>
    </row>
    <row r="87" spans="9:31" x14ac:dyDescent="0.25">
      <c r="I87" s="1"/>
      <c r="J87" s="1"/>
      <c r="N87" s="1"/>
      <c r="Z87" s="1"/>
      <c r="AA87" s="1"/>
      <c r="AE87" s="1"/>
    </row>
    <row r="88" spans="9:31" x14ac:dyDescent="0.25">
      <c r="I88" s="1"/>
      <c r="J88" s="1"/>
      <c r="N88" s="1"/>
      <c r="AE88" s="1"/>
    </row>
    <row r="89" spans="9:31" x14ac:dyDescent="0.25">
      <c r="I89" s="1"/>
      <c r="J89" s="1"/>
      <c r="K89" s="1"/>
      <c r="N89" s="1"/>
      <c r="Z89" s="1"/>
      <c r="AA89" s="1"/>
      <c r="AE89" s="1"/>
    </row>
    <row r="90" spans="9:31" x14ac:dyDescent="0.25">
      <c r="I90" s="1"/>
      <c r="J90" s="1"/>
      <c r="N90" s="1"/>
      <c r="Z90" s="1"/>
      <c r="AA90" s="1"/>
      <c r="AB90" s="1"/>
      <c r="AE90" s="1"/>
    </row>
    <row r="91" spans="9:31" x14ac:dyDescent="0.25">
      <c r="I91" s="1"/>
      <c r="J91" s="1"/>
      <c r="N91" s="1"/>
      <c r="Z91" s="1"/>
      <c r="AA91" s="1"/>
      <c r="AE91" s="1"/>
    </row>
    <row r="92" spans="9:31" x14ac:dyDescent="0.25">
      <c r="I92" s="1"/>
      <c r="J92" s="1"/>
      <c r="N92" s="1"/>
      <c r="Z92" s="1"/>
      <c r="AA92" s="1"/>
      <c r="AE92" s="1"/>
    </row>
    <row r="93" spans="9:31" x14ac:dyDescent="0.25">
      <c r="I93" s="1"/>
      <c r="J93" s="1"/>
      <c r="N93" s="1"/>
      <c r="Z93" s="1"/>
      <c r="AA93" s="1"/>
      <c r="AE93" s="1"/>
    </row>
    <row r="94" spans="9:31" x14ac:dyDescent="0.25">
      <c r="I94" s="1"/>
      <c r="J94" s="1"/>
      <c r="N94" s="1"/>
      <c r="Z94" s="1"/>
      <c r="AA94" s="1"/>
      <c r="AE94" s="1"/>
    </row>
    <row r="95" spans="9:31" x14ac:dyDescent="0.25">
      <c r="I95" s="1"/>
      <c r="J95" s="1"/>
      <c r="N95" s="1"/>
      <c r="Z95" s="1"/>
      <c r="AA95" s="1"/>
      <c r="AE95" s="1"/>
    </row>
    <row r="96" spans="9:31" x14ac:dyDescent="0.25">
      <c r="I96" s="1"/>
      <c r="J96" s="1"/>
      <c r="N96" s="1"/>
      <c r="Z96" s="1"/>
      <c r="AA96" s="1"/>
      <c r="AE96" s="1"/>
    </row>
    <row r="97" spans="9:31" x14ac:dyDescent="0.25">
      <c r="I97" s="1"/>
      <c r="J97" s="1"/>
      <c r="K97" s="1"/>
      <c r="N97" s="1"/>
      <c r="Z97" s="1"/>
      <c r="AA97" s="1"/>
      <c r="AE97" s="1"/>
    </row>
    <row r="98" spans="9:31" x14ac:dyDescent="0.25">
      <c r="I98" s="1"/>
      <c r="J98" s="1"/>
      <c r="N98" s="1"/>
      <c r="Z98" s="1"/>
      <c r="AA98" s="1"/>
      <c r="AB98" s="1"/>
      <c r="AE98" s="1"/>
    </row>
    <row r="99" spans="9:31" x14ac:dyDescent="0.25">
      <c r="I99" s="1"/>
      <c r="J99" s="1"/>
      <c r="N99" s="1"/>
      <c r="Z99" s="1"/>
      <c r="AA99" s="1"/>
      <c r="AE99" s="1"/>
    </row>
    <row r="100" spans="9:31" x14ac:dyDescent="0.25">
      <c r="I100" s="1"/>
      <c r="J100" s="1"/>
      <c r="K100" s="1"/>
      <c r="N100" s="1"/>
      <c r="Z100" s="1"/>
      <c r="AA100" s="1"/>
      <c r="AE100" s="1"/>
    </row>
    <row r="101" spans="9:31" x14ac:dyDescent="0.25">
      <c r="I101" s="1"/>
      <c r="J101" s="1"/>
      <c r="N101" s="1"/>
      <c r="Z101" s="1"/>
      <c r="AA101" s="1"/>
      <c r="AB101" s="1"/>
      <c r="AE101" s="1"/>
    </row>
    <row r="102" spans="9:31" x14ac:dyDescent="0.25">
      <c r="I102" s="1"/>
      <c r="J102" s="1"/>
      <c r="K102" s="1"/>
      <c r="N102" s="1"/>
      <c r="Z102" s="1"/>
      <c r="AA102" s="1"/>
      <c r="AE102" s="1"/>
    </row>
    <row r="103" spans="9:31" x14ac:dyDescent="0.25">
      <c r="I103" s="1"/>
      <c r="J103" s="1"/>
      <c r="N103" s="1"/>
      <c r="Z103" s="1"/>
      <c r="AA103" s="1"/>
      <c r="AE103" s="1"/>
    </row>
    <row r="104" spans="9:31" x14ac:dyDescent="0.25">
      <c r="I104" s="1"/>
      <c r="J104" s="1"/>
      <c r="N104" s="1"/>
      <c r="Z104" s="1"/>
      <c r="AA104" s="1"/>
      <c r="AE104" s="1"/>
    </row>
    <row r="105" spans="9:31" x14ac:dyDescent="0.25">
      <c r="I105" s="1"/>
      <c r="J105" s="1"/>
      <c r="N105" s="1"/>
      <c r="Z105" s="1"/>
      <c r="AA105" s="1"/>
      <c r="AE105" s="1"/>
    </row>
    <row r="106" spans="9:31" x14ac:dyDescent="0.25">
      <c r="I106" s="1"/>
      <c r="J106" s="1"/>
      <c r="N106" s="1"/>
      <c r="Z106" s="1"/>
      <c r="AA106" s="1"/>
      <c r="AE106" s="1"/>
    </row>
    <row r="107" spans="9:31" x14ac:dyDescent="0.25">
      <c r="I107" s="1"/>
      <c r="J107" s="1"/>
      <c r="K107" s="1"/>
      <c r="N107" s="1"/>
      <c r="Z107" s="1"/>
      <c r="AA107" s="1"/>
      <c r="AE107" s="1"/>
    </row>
    <row r="108" spans="9:31" x14ac:dyDescent="0.25">
      <c r="I108" s="1"/>
      <c r="J108" s="1"/>
      <c r="N108" s="1"/>
      <c r="Z108" s="1"/>
      <c r="AA108" s="1"/>
      <c r="AE108" s="1"/>
    </row>
    <row r="109" spans="9:31" x14ac:dyDescent="0.25">
      <c r="I109" s="1"/>
      <c r="J109" s="1"/>
      <c r="N109" s="1"/>
      <c r="Z109" s="1"/>
      <c r="AA109" s="1"/>
      <c r="AE109" s="1"/>
    </row>
    <row r="110" spans="9:31" x14ac:dyDescent="0.25">
      <c r="I110" s="1"/>
      <c r="J110" s="1"/>
      <c r="N110" s="1"/>
      <c r="Z110" s="1"/>
      <c r="AA110" s="1"/>
      <c r="AE110" s="1"/>
    </row>
    <row r="111" spans="9:31" x14ac:dyDescent="0.25">
      <c r="I111" s="1"/>
      <c r="J111" s="1"/>
      <c r="N111" s="1"/>
      <c r="Z111" s="1"/>
      <c r="AA111" s="1"/>
      <c r="AE111" s="1"/>
    </row>
    <row r="112" spans="9:31" x14ac:dyDescent="0.25">
      <c r="I112" s="1"/>
      <c r="J112" s="1"/>
      <c r="N112" s="1"/>
      <c r="Z112" s="1"/>
      <c r="AA112" s="1"/>
      <c r="AE112" s="1"/>
    </row>
    <row r="113" spans="9:31" x14ac:dyDescent="0.25">
      <c r="I113" s="1"/>
      <c r="J113" s="1"/>
      <c r="N113" s="1"/>
      <c r="Z113" s="1"/>
      <c r="AA113" s="1"/>
      <c r="AE113" s="1"/>
    </row>
    <row r="114" spans="9:31" x14ac:dyDescent="0.25">
      <c r="I114" s="1"/>
      <c r="J114" s="1"/>
      <c r="N114" s="1"/>
      <c r="Z114" s="1"/>
      <c r="AA114" s="1"/>
      <c r="AE114" s="1"/>
    </row>
    <row r="115" spans="9:31" x14ac:dyDescent="0.25">
      <c r="I115" s="1"/>
      <c r="J115" s="1"/>
      <c r="K115" s="1"/>
      <c r="N115" s="1"/>
      <c r="Z115" s="1"/>
      <c r="AA115" s="1"/>
      <c r="AE115" s="1"/>
    </row>
    <row r="116" spans="9:31" x14ac:dyDescent="0.25">
      <c r="I116" s="1"/>
      <c r="J116" s="1"/>
      <c r="K116" s="1"/>
      <c r="N116" s="1"/>
      <c r="Z116" s="1"/>
      <c r="AA116" s="1"/>
      <c r="AE116" s="1"/>
    </row>
    <row r="117" spans="9:31" x14ac:dyDescent="0.25">
      <c r="I117" s="1"/>
      <c r="J117" s="1"/>
      <c r="N117" s="1"/>
      <c r="Z117" s="1"/>
      <c r="AA117" s="1"/>
      <c r="AE117" s="1"/>
    </row>
    <row r="118" spans="9:31" x14ac:dyDescent="0.25">
      <c r="I118" s="1"/>
      <c r="J118" s="1"/>
      <c r="K118" s="1"/>
      <c r="N118" s="1"/>
      <c r="Z118" s="1"/>
      <c r="AA118" s="1"/>
      <c r="AE118" s="1"/>
    </row>
    <row r="119" spans="9:31" x14ac:dyDescent="0.25">
      <c r="I119" s="1"/>
      <c r="J119" s="1"/>
      <c r="N119" s="1"/>
      <c r="Z119" s="1"/>
      <c r="AA119" s="1"/>
      <c r="AB119" s="1"/>
      <c r="AE119" s="1"/>
    </row>
    <row r="120" spans="9:31" x14ac:dyDescent="0.25">
      <c r="I120" s="1"/>
      <c r="J120" s="1"/>
      <c r="N120" s="1"/>
      <c r="Z120" s="1"/>
      <c r="AA120" s="1"/>
      <c r="AE120" s="1"/>
    </row>
    <row r="121" spans="9:31" x14ac:dyDescent="0.25">
      <c r="I121" s="1"/>
      <c r="J121" s="1"/>
      <c r="N121" s="1"/>
      <c r="Z121" s="1"/>
      <c r="AA121" s="1"/>
      <c r="AE121" s="1"/>
    </row>
    <row r="122" spans="9:31" x14ac:dyDescent="0.25">
      <c r="I122" s="1"/>
      <c r="J122" s="1"/>
      <c r="N122" s="1"/>
      <c r="Z122" s="1"/>
      <c r="AA122" s="1"/>
      <c r="AE122" s="1"/>
    </row>
    <row r="123" spans="9:31" x14ac:dyDescent="0.25">
      <c r="I123" s="1"/>
      <c r="J123" s="1"/>
      <c r="K123" s="1"/>
      <c r="N123" s="1"/>
      <c r="Z123" s="1"/>
      <c r="AA123" s="1"/>
      <c r="AE123" s="1"/>
    </row>
    <row r="124" spans="9:31" x14ac:dyDescent="0.25">
      <c r="I124" s="1"/>
      <c r="J124" s="1"/>
      <c r="N124" s="1"/>
      <c r="Z124" s="1"/>
      <c r="AA124" s="1"/>
      <c r="AB124" s="1"/>
      <c r="AE124" s="1"/>
    </row>
    <row r="125" spans="9:31" x14ac:dyDescent="0.25">
      <c r="I125" s="1"/>
      <c r="J125" s="1"/>
      <c r="N125" s="1"/>
      <c r="Z125" s="1"/>
      <c r="AA125" s="1"/>
      <c r="AE125" s="1"/>
    </row>
    <row r="126" spans="9:31" x14ac:dyDescent="0.25">
      <c r="I126" s="1"/>
      <c r="J126" s="1"/>
      <c r="K126" s="1"/>
      <c r="N126" s="1"/>
      <c r="Z126" s="1"/>
      <c r="AA126" s="1"/>
      <c r="AE126" s="1"/>
    </row>
    <row r="127" spans="9:31" x14ac:dyDescent="0.25">
      <c r="I127" s="1"/>
      <c r="J127" s="1"/>
      <c r="K127" s="1"/>
      <c r="N127" s="1"/>
      <c r="Z127" s="1"/>
      <c r="AA127" s="1"/>
      <c r="AB127" s="1"/>
      <c r="AE127" s="1"/>
    </row>
    <row r="128" spans="9:31" x14ac:dyDescent="0.25">
      <c r="I128" s="1"/>
      <c r="J128" s="1"/>
      <c r="N128" s="1"/>
      <c r="Z128" s="1"/>
      <c r="AA128" s="1"/>
      <c r="AB128" s="1"/>
      <c r="AE128" s="1"/>
    </row>
    <row r="129" spans="9:31" x14ac:dyDescent="0.25">
      <c r="I129" s="1"/>
      <c r="J129" s="1"/>
      <c r="N129" s="1"/>
      <c r="Z129" s="1"/>
      <c r="AA129" s="1"/>
      <c r="AE129" s="1"/>
    </row>
    <row r="130" spans="9:31" x14ac:dyDescent="0.25">
      <c r="I130" s="1"/>
      <c r="J130" s="1"/>
      <c r="N130" s="1"/>
      <c r="Z130" s="1"/>
      <c r="AA130" s="1"/>
      <c r="AE130" s="1"/>
    </row>
    <row r="131" spans="9:31" x14ac:dyDescent="0.25">
      <c r="I131" s="1"/>
      <c r="J131" s="1"/>
      <c r="N131" s="1"/>
      <c r="Z131" s="1"/>
      <c r="AA131" s="1"/>
      <c r="AE131" s="1"/>
    </row>
    <row r="132" spans="9:31" x14ac:dyDescent="0.25">
      <c r="I132" s="1"/>
      <c r="J132" s="1"/>
      <c r="N132" s="1"/>
      <c r="Z132" s="1"/>
      <c r="AA132" s="1"/>
      <c r="AE132" s="1"/>
    </row>
    <row r="133" spans="9:31" x14ac:dyDescent="0.25">
      <c r="I133" s="1"/>
      <c r="J133" s="1"/>
      <c r="N133" s="1"/>
      <c r="Z133" s="1"/>
      <c r="AA133" s="1"/>
      <c r="AE133" s="1"/>
    </row>
    <row r="134" spans="9:31" x14ac:dyDescent="0.25">
      <c r="I134" s="1"/>
      <c r="J134" s="1"/>
      <c r="N134" s="1"/>
      <c r="Z134" s="1"/>
      <c r="AA134" s="1"/>
      <c r="AE134" s="1"/>
    </row>
    <row r="135" spans="9:31" x14ac:dyDescent="0.25">
      <c r="I135" s="1"/>
      <c r="J135" s="1"/>
      <c r="N135" s="1"/>
      <c r="Z135" s="1"/>
      <c r="AA135" s="1"/>
      <c r="AE135" s="1"/>
    </row>
    <row r="136" spans="9:31" x14ac:dyDescent="0.25">
      <c r="I136" s="1"/>
      <c r="J136" s="1"/>
      <c r="K136" s="1"/>
      <c r="N136" s="1"/>
      <c r="Z136" s="1"/>
      <c r="AA136" s="1"/>
      <c r="AE136" s="1"/>
    </row>
    <row r="137" spans="9:31" x14ac:dyDescent="0.25">
      <c r="I137" s="1"/>
      <c r="J137" s="1"/>
      <c r="K137" s="1"/>
      <c r="N137" s="1"/>
      <c r="Z137" s="1"/>
      <c r="AA137" s="1"/>
      <c r="AB137" s="1"/>
      <c r="AE137" s="1"/>
    </row>
    <row r="138" spans="9:31" x14ac:dyDescent="0.25">
      <c r="I138" s="1"/>
      <c r="J138" s="1"/>
      <c r="N138" s="1"/>
      <c r="Z138" s="1"/>
      <c r="AA138" s="1"/>
      <c r="AE138" s="1"/>
    </row>
    <row r="139" spans="9:31" x14ac:dyDescent="0.25">
      <c r="I139" s="1"/>
      <c r="J139" s="1"/>
      <c r="N139" s="1"/>
      <c r="Z139" s="1"/>
      <c r="AA139" s="1"/>
      <c r="AE139" s="1"/>
    </row>
    <row r="140" spans="9:31" x14ac:dyDescent="0.25">
      <c r="I140" s="1"/>
      <c r="J140" s="1"/>
      <c r="N140" s="1"/>
      <c r="Z140" s="1"/>
      <c r="AA140" s="1"/>
      <c r="AE140" s="1"/>
    </row>
    <row r="141" spans="9:31" x14ac:dyDescent="0.25">
      <c r="I141" s="1"/>
      <c r="J141" s="1"/>
      <c r="N141" s="1"/>
      <c r="Z141" s="1"/>
      <c r="AA141" s="1"/>
      <c r="AE141" s="1"/>
    </row>
    <row r="142" spans="9:31" x14ac:dyDescent="0.25">
      <c r="I142" s="1"/>
      <c r="J142" s="1"/>
      <c r="N142" s="1"/>
      <c r="Z142" s="1"/>
      <c r="AA142" s="1"/>
      <c r="AE142" s="1"/>
    </row>
    <row r="143" spans="9:31" x14ac:dyDescent="0.25">
      <c r="I143" s="1"/>
      <c r="J143" s="1"/>
      <c r="N143" s="1"/>
      <c r="Z143" s="1"/>
      <c r="AA143" s="1"/>
      <c r="AE143" s="1"/>
    </row>
    <row r="144" spans="9:31" x14ac:dyDescent="0.25">
      <c r="I144" s="1"/>
      <c r="J144" s="1"/>
      <c r="K144" s="1"/>
      <c r="N144" s="1"/>
      <c r="Z144" s="1"/>
      <c r="AA144" s="1"/>
      <c r="AE144" s="1"/>
    </row>
    <row r="145" spans="9:31" x14ac:dyDescent="0.25">
      <c r="I145" s="1"/>
      <c r="J145" s="1"/>
      <c r="N145" s="1"/>
      <c r="Z145" s="1"/>
      <c r="AA145" s="1"/>
      <c r="AE145" s="1"/>
    </row>
    <row r="146" spans="9:31" x14ac:dyDescent="0.25">
      <c r="I146" s="1"/>
      <c r="J146" s="1"/>
      <c r="K146" s="1"/>
      <c r="N146" s="1"/>
      <c r="Z146" s="1"/>
      <c r="AA146" s="1"/>
      <c r="AE146" s="1"/>
    </row>
    <row r="147" spans="9:31" x14ac:dyDescent="0.25">
      <c r="I147" s="1"/>
      <c r="J147" s="1"/>
      <c r="N147" s="1"/>
      <c r="Z147" s="1"/>
      <c r="AA147" s="1"/>
      <c r="AB147" s="1"/>
      <c r="AE147" s="1"/>
    </row>
    <row r="148" spans="9:31" x14ac:dyDescent="0.25">
      <c r="I148" s="1"/>
      <c r="J148" s="1"/>
      <c r="K148" s="1"/>
      <c r="N148" s="1"/>
      <c r="Z148" s="1"/>
      <c r="AA148" s="1"/>
      <c r="AE148" s="1"/>
    </row>
    <row r="149" spans="9:31" x14ac:dyDescent="0.25">
      <c r="I149" s="1"/>
      <c r="J149" s="1"/>
      <c r="N149" s="1"/>
      <c r="Z149" s="1"/>
      <c r="AA149" s="1"/>
      <c r="AE149" s="1"/>
    </row>
    <row r="150" spans="9:31" x14ac:dyDescent="0.25">
      <c r="I150" s="1"/>
      <c r="J150" s="1"/>
      <c r="N150" s="1"/>
      <c r="Z150" s="1"/>
      <c r="AA150" s="1"/>
      <c r="AE150" s="1"/>
    </row>
    <row r="151" spans="9:31" x14ac:dyDescent="0.25">
      <c r="I151" s="1"/>
      <c r="J151" s="1"/>
      <c r="N151" s="1"/>
      <c r="Z151" s="1"/>
      <c r="AA151" s="1"/>
      <c r="AE151" s="1"/>
    </row>
    <row r="152" spans="9:31" x14ac:dyDescent="0.25">
      <c r="I152" s="1"/>
      <c r="J152" s="1"/>
      <c r="N152" s="1"/>
      <c r="AE152" s="1"/>
    </row>
    <row r="153" spans="9:31" x14ac:dyDescent="0.25">
      <c r="I153" s="1"/>
      <c r="J153" s="1"/>
      <c r="K153" s="1"/>
      <c r="N153" s="1"/>
      <c r="Z153" s="1"/>
      <c r="AA153" s="1"/>
      <c r="AE153" s="1"/>
    </row>
    <row r="154" spans="9:31" x14ac:dyDescent="0.25">
      <c r="I154" s="1"/>
      <c r="J154" s="1"/>
      <c r="N154" s="1"/>
      <c r="Z154" s="1"/>
      <c r="AA154" s="1"/>
      <c r="AB154" s="1"/>
      <c r="AE154" s="1"/>
    </row>
    <row r="155" spans="9:31" x14ac:dyDescent="0.25">
      <c r="I155" s="1"/>
      <c r="J155" s="1"/>
      <c r="K155" s="1"/>
      <c r="N155" s="1"/>
      <c r="Z155" s="1"/>
      <c r="AA155" s="1"/>
      <c r="AE155" s="1"/>
    </row>
    <row r="156" spans="9:31" x14ac:dyDescent="0.25">
      <c r="I156" s="1"/>
      <c r="J156" s="1"/>
      <c r="N156" s="1"/>
      <c r="Z156" s="1"/>
      <c r="AA156" s="1"/>
      <c r="AB156" s="1"/>
      <c r="AE156" s="1"/>
    </row>
    <row r="157" spans="9:31" x14ac:dyDescent="0.25">
      <c r="I157" s="1"/>
      <c r="J157" s="1"/>
      <c r="N157" s="1"/>
      <c r="Z157" s="1"/>
      <c r="AA157" s="1"/>
      <c r="AE157" s="1"/>
    </row>
    <row r="158" spans="9:31" x14ac:dyDescent="0.25">
      <c r="I158" s="1"/>
      <c r="J158" s="1"/>
      <c r="N158" s="1"/>
      <c r="Z158" s="1"/>
      <c r="AA158" s="1"/>
      <c r="AE158" s="1"/>
    </row>
    <row r="159" spans="9:31" x14ac:dyDescent="0.25">
      <c r="I159" s="1"/>
      <c r="J159" s="1"/>
      <c r="K159" s="1"/>
      <c r="N159" s="1"/>
      <c r="Z159" s="1"/>
      <c r="AA159" s="1"/>
      <c r="AE159" s="1"/>
    </row>
    <row r="160" spans="9:31" x14ac:dyDescent="0.25">
      <c r="I160" s="1"/>
      <c r="J160" s="1"/>
      <c r="N160" s="1"/>
      <c r="Z160" s="1"/>
      <c r="AA160" s="1"/>
      <c r="AB160" s="1"/>
      <c r="AE160" s="1"/>
    </row>
    <row r="161" spans="9:31" x14ac:dyDescent="0.25">
      <c r="I161" s="1"/>
      <c r="J161" s="1"/>
      <c r="K161" s="1"/>
      <c r="N161" s="1"/>
      <c r="Z161" s="1"/>
      <c r="AA161" s="1"/>
      <c r="AE161" s="1"/>
    </row>
    <row r="162" spans="9:31" x14ac:dyDescent="0.25">
      <c r="I162" s="1"/>
      <c r="J162" s="1"/>
      <c r="N162" s="1"/>
      <c r="Z162" s="1"/>
      <c r="AA162" s="1"/>
      <c r="AE162" s="1"/>
    </row>
    <row r="163" spans="9:31" x14ac:dyDescent="0.25">
      <c r="I163" s="1"/>
      <c r="J163" s="1"/>
      <c r="N163" s="1"/>
      <c r="Z163" s="1"/>
      <c r="AA163" s="1"/>
      <c r="AE163" s="1"/>
    </row>
    <row r="164" spans="9:31" x14ac:dyDescent="0.25">
      <c r="I164" s="1"/>
      <c r="J164" s="1"/>
      <c r="N164" s="1"/>
      <c r="Z164" s="1"/>
      <c r="AA164" s="1"/>
      <c r="AE164" s="1"/>
    </row>
    <row r="165" spans="9:31" x14ac:dyDescent="0.25">
      <c r="I165" s="1"/>
      <c r="J165" s="1"/>
      <c r="K165" s="1"/>
      <c r="N165" s="1"/>
      <c r="Z165" s="1"/>
      <c r="AA165" s="1"/>
      <c r="AE165" s="1"/>
    </row>
    <row r="166" spans="9:31" x14ac:dyDescent="0.25">
      <c r="I166" s="1"/>
      <c r="J166" s="1"/>
      <c r="N166" s="1"/>
      <c r="Z166" s="1"/>
      <c r="AA166" s="1"/>
      <c r="AE166" s="1"/>
    </row>
    <row r="167" spans="9:31" x14ac:dyDescent="0.25">
      <c r="I167" s="1"/>
      <c r="J167" s="1"/>
      <c r="N167" s="1"/>
      <c r="Z167" s="1"/>
      <c r="AA167" s="1"/>
      <c r="AE167" s="1"/>
    </row>
    <row r="168" spans="9:31" x14ac:dyDescent="0.25">
      <c r="I168" s="1"/>
      <c r="J168" s="1"/>
      <c r="K168" s="1"/>
      <c r="N168" s="1"/>
      <c r="Z168" s="1"/>
      <c r="AA168" s="1"/>
      <c r="AE168" s="1"/>
    </row>
    <row r="169" spans="9:31" x14ac:dyDescent="0.25">
      <c r="I169" s="1"/>
      <c r="J169" s="1"/>
      <c r="N169" s="1"/>
      <c r="Z169" s="1"/>
      <c r="AA169" s="1"/>
      <c r="AE169" s="1"/>
    </row>
    <row r="170" spans="9:31" x14ac:dyDescent="0.25">
      <c r="I170" s="1"/>
      <c r="J170" s="1"/>
      <c r="K170" s="1"/>
      <c r="N170" s="1"/>
      <c r="Z170" s="1"/>
      <c r="AA170" s="1"/>
      <c r="AE170" s="1"/>
    </row>
    <row r="171" spans="9:31" x14ac:dyDescent="0.25">
      <c r="I171" s="1"/>
      <c r="J171" s="1"/>
      <c r="N171" s="1"/>
      <c r="Z171" s="1"/>
      <c r="AA171" s="1"/>
      <c r="AB171" s="1"/>
      <c r="AE171" s="1"/>
    </row>
    <row r="172" spans="9:31" x14ac:dyDescent="0.25">
      <c r="I172" s="1"/>
      <c r="J172" s="1"/>
      <c r="N172" s="1"/>
      <c r="Z172" s="1"/>
      <c r="AA172" s="1"/>
      <c r="AE172" s="1"/>
    </row>
    <row r="173" spans="9:31" x14ac:dyDescent="0.25">
      <c r="I173" s="1"/>
      <c r="J173" s="1"/>
      <c r="N173" s="1"/>
      <c r="Z173" s="1"/>
      <c r="AA173" s="1"/>
      <c r="AE173" s="1"/>
    </row>
    <row r="174" spans="9:31" x14ac:dyDescent="0.25">
      <c r="I174" s="1"/>
      <c r="J174" s="1"/>
      <c r="N174" s="1"/>
      <c r="AE174" s="1"/>
    </row>
    <row r="175" spans="9:31" x14ac:dyDescent="0.25">
      <c r="I175" s="1"/>
      <c r="J175" s="1"/>
      <c r="N175" s="1"/>
      <c r="Z175" s="1"/>
      <c r="AA175" s="1"/>
      <c r="AE175" s="1"/>
    </row>
    <row r="176" spans="9:31" x14ac:dyDescent="0.25">
      <c r="I176" s="1"/>
      <c r="J176" s="1"/>
      <c r="N176" s="1"/>
      <c r="Z176" s="1"/>
      <c r="AA176" s="1"/>
      <c r="AE176" s="1"/>
    </row>
    <row r="177" spans="9:31" x14ac:dyDescent="0.25">
      <c r="I177" s="1"/>
      <c r="J177" s="1"/>
      <c r="K177" s="1"/>
      <c r="N177" s="1"/>
      <c r="Z177" s="1"/>
      <c r="AA177" s="1"/>
      <c r="AE177" s="1"/>
    </row>
    <row r="178" spans="9:31" x14ac:dyDescent="0.25">
      <c r="I178" s="1"/>
      <c r="J178" s="1"/>
      <c r="N178" s="1"/>
      <c r="Z178" s="1"/>
      <c r="AA178" s="1"/>
      <c r="AB178" s="1"/>
      <c r="AE178" s="1"/>
    </row>
    <row r="179" spans="9:31" x14ac:dyDescent="0.25">
      <c r="I179" s="1"/>
      <c r="J179" s="1"/>
      <c r="N179" s="1"/>
      <c r="Z179" s="1"/>
      <c r="AA179" s="1"/>
      <c r="AE179" s="1"/>
    </row>
    <row r="180" spans="9:31" x14ac:dyDescent="0.25">
      <c r="I180" s="1"/>
      <c r="J180" s="1"/>
      <c r="N180" s="1"/>
      <c r="Z180" s="1"/>
      <c r="AA180" s="1"/>
      <c r="AE180" s="1"/>
    </row>
    <row r="181" spans="9:31" x14ac:dyDescent="0.25">
      <c r="I181" s="1"/>
      <c r="J181" s="1"/>
      <c r="N181" s="1"/>
      <c r="Z181" s="1"/>
      <c r="AA181" s="1"/>
      <c r="AE181" s="1"/>
    </row>
    <row r="182" spans="9:31" x14ac:dyDescent="0.25">
      <c r="I182" s="1"/>
      <c r="J182" s="1"/>
      <c r="N182" s="1"/>
      <c r="Z182" s="1"/>
      <c r="AA182" s="1"/>
      <c r="AE182" s="1"/>
    </row>
    <row r="183" spans="9:31" x14ac:dyDescent="0.25">
      <c r="I183" s="1"/>
      <c r="J183" s="1"/>
      <c r="N183" s="1"/>
      <c r="Z183" s="1"/>
      <c r="AA183" s="1"/>
      <c r="AE183" s="1"/>
    </row>
    <row r="184" spans="9:31" x14ac:dyDescent="0.25">
      <c r="I184" s="1"/>
      <c r="J184" s="1"/>
      <c r="K184" s="1"/>
      <c r="N184" s="1"/>
      <c r="Z184" s="1"/>
      <c r="AA184" s="1"/>
      <c r="AE184" s="1"/>
    </row>
    <row r="185" spans="9:31" x14ac:dyDescent="0.25">
      <c r="I185" s="1"/>
      <c r="J185" s="1"/>
      <c r="N185" s="1"/>
      <c r="Z185" s="1"/>
      <c r="AA185" s="1"/>
      <c r="AB185" s="1"/>
      <c r="AE185" s="1"/>
    </row>
    <row r="186" spans="9:31" x14ac:dyDescent="0.25">
      <c r="I186" s="1"/>
      <c r="J186" s="1"/>
      <c r="N186" s="1"/>
      <c r="Z186" s="1"/>
      <c r="AA186" s="1"/>
      <c r="AE186" s="1"/>
    </row>
    <row r="187" spans="9:31" x14ac:dyDescent="0.25">
      <c r="I187" s="1"/>
      <c r="J187" s="1"/>
      <c r="K187" s="1"/>
      <c r="N187" s="1"/>
      <c r="Z187" s="1"/>
      <c r="AA187" s="1"/>
      <c r="AE187" s="1"/>
    </row>
    <row r="188" spans="9:31" x14ac:dyDescent="0.25">
      <c r="I188" s="1"/>
      <c r="J188" s="1"/>
      <c r="N188" s="1"/>
      <c r="Z188" s="1"/>
      <c r="AA188" s="1"/>
      <c r="AE188" s="1"/>
    </row>
    <row r="189" spans="9:31" x14ac:dyDescent="0.25">
      <c r="I189" s="1"/>
      <c r="J189" s="1"/>
      <c r="K189" s="1"/>
      <c r="N189" s="1"/>
      <c r="Z189" s="1"/>
      <c r="AA189" s="1"/>
      <c r="AE189" s="1"/>
    </row>
    <row r="190" spans="9:31" x14ac:dyDescent="0.25">
      <c r="I190" s="1"/>
      <c r="J190" s="1"/>
      <c r="N190" s="1"/>
      <c r="Z190" s="1"/>
      <c r="AA190" s="1"/>
      <c r="AE190" s="1"/>
    </row>
    <row r="191" spans="9:31" x14ac:dyDescent="0.25">
      <c r="I191" s="1"/>
      <c r="J191" s="1"/>
      <c r="N191" s="1"/>
      <c r="Z191" s="1"/>
      <c r="AA191" s="1"/>
      <c r="AE191" s="1"/>
    </row>
    <row r="192" spans="9:31" x14ac:dyDescent="0.25">
      <c r="I192" s="1"/>
      <c r="J192" s="1"/>
      <c r="N192" s="1"/>
      <c r="Z192" s="1"/>
      <c r="AA192" s="1"/>
      <c r="AE192" s="1"/>
    </row>
    <row r="193" spans="9:31" x14ac:dyDescent="0.25">
      <c r="I193" s="1"/>
      <c r="J193" s="1"/>
      <c r="N193" s="1"/>
      <c r="Z193" s="1"/>
      <c r="AA193" s="1"/>
      <c r="AE193" s="1"/>
    </row>
    <row r="194" spans="9:31" x14ac:dyDescent="0.25">
      <c r="I194" s="1"/>
      <c r="J194" s="1"/>
      <c r="N194" s="1"/>
      <c r="Z194" s="1"/>
      <c r="AA194" s="1"/>
      <c r="AE194" s="1"/>
    </row>
    <row r="195" spans="9:31" x14ac:dyDescent="0.25">
      <c r="I195" s="1"/>
      <c r="J195" s="1"/>
      <c r="N195" s="1"/>
      <c r="Z195" s="1"/>
      <c r="AA195" s="1"/>
      <c r="AE195" s="1"/>
    </row>
    <row r="196" spans="9:31" x14ac:dyDescent="0.25">
      <c r="I196" s="1"/>
      <c r="J196" s="1"/>
      <c r="N196" s="1"/>
      <c r="Z196" s="1"/>
      <c r="AA196" s="1"/>
      <c r="AE196" s="1"/>
    </row>
    <row r="197" spans="9:31" x14ac:dyDescent="0.25">
      <c r="I197" s="1"/>
      <c r="J197" s="1"/>
      <c r="K197" s="1"/>
      <c r="N197" s="1"/>
      <c r="Z197" s="1"/>
      <c r="AA197" s="1"/>
      <c r="AE197" s="1"/>
    </row>
    <row r="198" spans="9:31" x14ac:dyDescent="0.25">
      <c r="I198" s="1"/>
      <c r="J198" s="1"/>
      <c r="N198" s="1"/>
      <c r="Z198" s="1"/>
      <c r="AA198" s="1"/>
      <c r="AB198" s="1"/>
      <c r="AE198" s="1"/>
    </row>
    <row r="199" spans="9:31" x14ac:dyDescent="0.25">
      <c r="I199" s="1"/>
      <c r="J199" s="1"/>
      <c r="N199" s="1"/>
      <c r="Z199" s="1"/>
      <c r="AA199" s="1"/>
      <c r="AE199" s="1"/>
    </row>
    <row r="200" spans="9:31" x14ac:dyDescent="0.25">
      <c r="I200" s="1"/>
      <c r="J200" s="1"/>
      <c r="N200" s="1"/>
      <c r="Z200" s="1"/>
      <c r="AA200" s="1"/>
      <c r="AE200" s="1"/>
    </row>
    <row r="201" spans="9:31" x14ac:dyDescent="0.25">
      <c r="I201" s="1"/>
      <c r="J201" s="1"/>
      <c r="N201" s="1"/>
      <c r="Z201" s="1"/>
      <c r="AA201" s="1"/>
      <c r="AE201" s="1"/>
    </row>
    <row r="202" spans="9:31" x14ac:dyDescent="0.25">
      <c r="I202" s="1"/>
      <c r="J202" s="1"/>
      <c r="K202" s="1"/>
      <c r="N202" s="1"/>
      <c r="Z202" s="1"/>
      <c r="AA202" s="1"/>
      <c r="AE202" s="1"/>
    </row>
    <row r="203" spans="9:31" x14ac:dyDescent="0.25">
      <c r="I203" s="1"/>
      <c r="J203" s="1"/>
      <c r="N203" s="1"/>
      <c r="Z203" s="1"/>
      <c r="AA203" s="1"/>
      <c r="AB203" s="1"/>
      <c r="AE203" s="1"/>
    </row>
    <row r="204" spans="9:31" x14ac:dyDescent="0.25">
      <c r="I204" s="1"/>
      <c r="J204" s="1"/>
      <c r="N204" s="1"/>
      <c r="Z204" s="1"/>
      <c r="AA204" s="1"/>
      <c r="AE204" s="1"/>
    </row>
    <row r="205" spans="9:31" x14ac:dyDescent="0.25">
      <c r="I205" s="1"/>
      <c r="J205" s="1"/>
      <c r="N205" s="1"/>
      <c r="Z205" s="1"/>
      <c r="AA205" s="1"/>
      <c r="AE205" s="1"/>
    </row>
    <row r="206" spans="9:31" x14ac:dyDescent="0.25">
      <c r="I206" s="1"/>
      <c r="J206" s="1"/>
      <c r="N206" s="1"/>
      <c r="Z206" s="1"/>
      <c r="AA206" s="1"/>
      <c r="AE206" s="1"/>
    </row>
    <row r="207" spans="9:31" x14ac:dyDescent="0.25">
      <c r="I207" s="1"/>
      <c r="J207" s="1"/>
      <c r="K207" s="1"/>
      <c r="N207" s="1"/>
      <c r="Z207" s="1"/>
      <c r="AA207" s="1"/>
      <c r="AE207" s="1"/>
    </row>
    <row r="208" spans="9:31" x14ac:dyDescent="0.25">
      <c r="I208" s="1"/>
      <c r="J208" s="1"/>
      <c r="K208" s="1"/>
      <c r="N208" s="1"/>
      <c r="Z208" s="1"/>
      <c r="AA208" s="1"/>
      <c r="AB208" s="1"/>
      <c r="AE208" s="1"/>
    </row>
    <row r="209" spans="9:31" x14ac:dyDescent="0.25">
      <c r="I209" s="1"/>
      <c r="J209" s="1"/>
      <c r="K209" s="1"/>
      <c r="N209" s="1"/>
      <c r="Z209" s="1"/>
      <c r="AA209" s="1"/>
      <c r="AE209" s="1"/>
    </row>
    <row r="210" spans="9:31" x14ac:dyDescent="0.25">
      <c r="I210" s="1"/>
      <c r="J210" s="1"/>
      <c r="N210" s="1"/>
      <c r="Z210" s="1"/>
      <c r="AA210" s="1"/>
      <c r="AB210" s="1"/>
      <c r="AE210" s="1"/>
    </row>
    <row r="211" spans="9:31" x14ac:dyDescent="0.25">
      <c r="I211" s="1"/>
      <c r="J211" s="1"/>
      <c r="N211" s="1"/>
      <c r="Z211" s="1"/>
      <c r="AA211" s="1"/>
      <c r="AE211" s="1"/>
    </row>
    <row r="212" spans="9:31" x14ac:dyDescent="0.25">
      <c r="I212" s="1"/>
      <c r="J212" s="1"/>
      <c r="N212" s="1"/>
      <c r="Z212" s="1"/>
      <c r="AA212" s="1"/>
      <c r="AE212" s="1"/>
    </row>
    <row r="213" spans="9:31" x14ac:dyDescent="0.25">
      <c r="I213" s="1"/>
      <c r="J213" s="1"/>
      <c r="N213" s="1"/>
      <c r="Z213" s="1"/>
      <c r="AA213" s="1"/>
      <c r="AE213" s="1"/>
    </row>
    <row r="214" spans="9:31" x14ac:dyDescent="0.25">
      <c r="I214" s="1"/>
      <c r="J214" s="1"/>
      <c r="K214" s="1"/>
      <c r="N214" s="1"/>
      <c r="Z214" s="1"/>
      <c r="AA214" s="1"/>
      <c r="AE214" s="1"/>
    </row>
    <row r="215" spans="9:31" x14ac:dyDescent="0.25">
      <c r="I215" s="1"/>
      <c r="J215" s="1"/>
      <c r="N215" s="1"/>
      <c r="Z215" s="1"/>
      <c r="AA215" s="1"/>
      <c r="AB215" s="1"/>
      <c r="AE215" s="1"/>
    </row>
    <row r="216" spans="9:31" x14ac:dyDescent="0.25">
      <c r="I216" s="1"/>
      <c r="J216" s="1"/>
      <c r="N216" s="1"/>
      <c r="Z216" s="1"/>
      <c r="AA216" s="1"/>
      <c r="AE216" s="1"/>
    </row>
    <row r="217" spans="9:31" x14ac:dyDescent="0.25">
      <c r="I217" s="1"/>
      <c r="J217" s="1"/>
      <c r="N217" s="1"/>
      <c r="Z217" s="1"/>
      <c r="AA217" s="1"/>
      <c r="AE217" s="1"/>
    </row>
    <row r="218" spans="9:31" x14ac:dyDescent="0.25">
      <c r="I218" s="1"/>
      <c r="J218" s="1"/>
      <c r="N218" s="1"/>
      <c r="Z218" s="1"/>
      <c r="AA218" s="1"/>
      <c r="AE218" s="1"/>
    </row>
    <row r="219" spans="9:31" x14ac:dyDescent="0.25">
      <c r="I219" s="1"/>
      <c r="J219" s="1"/>
      <c r="N219" s="1"/>
      <c r="Z219" s="1"/>
      <c r="AA219" s="1"/>
      <c r="AE219" s="1"/>
    </row>
    <row r="220" spans="9:31" x14ac:dyDescent="0.25">
      <c r="I220" s="1"/>
      <c r="J220" s="1"/>
      <c r="K220" s="1"/>
      <c r="N220" s="1"/>
      <c r="Z220" s="1"/>
      <c r="AA220" s="1"/>
      <c r="AE220" s="1"/>
    </row>
    <row r="221" spans="9:31" x14ac:dyDescent="0.25">
      <c r="I221" s="1"/>
      <c r="J221" s="1"/>
      <c r="N221" s="1"/>
      <c r="Z221" s="1"/>
      <c r="AA221" s="1"/>
      <c r="AB221" s="1"/>
      <c r="AE221" s="1"/>
    </row>
    <row r="222" spans="9:31" x14ac:dyDescent="0.25">
      <c r="I222" s="1"/>
      <c r="J222" s="1"/>
      <c r="N222" s="1"/>
      <c r="Z222" s="1"/>
      <c r="AA222" s="1"/>
      <c r="AE222" s="1"/>
    </row>
    <row r="223" spans="9:31" x14ac:dyDescent="0.25">
      <c r="I223" s="1"/>
      <c r="J223" s="1"/>
      <c r="N223" s="1"/>
      <c r="Z223" s="1"/>
      <c r="AA223" s="1"/>
      <c r="AE223" s="1"/>
    </row>
    <row r="224" spans="9:31" x14ac:dyDescent="0.25">
      <c r="I224" s="1"/>
      <c r="J224" s="1"/>
      <c r="K224" s="1"/>
      <c r="N224" s="1"/>
      <c r="Z224" s="1"/>
      <c r="AA224" s="1"/>
      <c r="AE224" s="1"/>
    </row>
    <row r="225" spans="9:31" x14ac:dyDescent="0.25">
      <c r="I225" s="1"/>
      <c r="J225" s="1"/>
      <c r="N225" s="1"/>
      <c r="Z225" s="1"/>
      <c r="AA225" s="1"/>
      <c r="AE225" s="1"/>
    </row>
    <row r="226" spans="9:31" x14ac:dyDescent="0.25">
      <c r="I226" s="1"/>
      <c r="J226" s="1"/>
      <c r="N226" s="1"/>
      <c r="Z226" s="1"/>
      <c r="AA226" s="1"/>
      <c r="AE226" s="1"/>
    </row>
    <row r="227" spans="9:31" x14ac:dyDescent="0.25">
      <c r="I227" s="1"/>
      <c r="J227" s="1"/>
      <c r="N227" s="1"/>
      <c r="Z227" s="1"/>
      <c r="AA227" s="1"/>
      <c r="AE227" s="1"/>
    </row>
    <row r="228" spans="9:31" x14ac:dyDescent="0.25">
      <c r="I228" s="1"/>
      <c r="J228" s="1"/>
      <c r="N228" s="1"/>
      <c r="Z228" s="1"/>
      <c r="AA228" s="1"/>
      <c r="AE228" s="1"/>
    </row>
    <row r="229" spans="9:31" x14ac:dyDescent="0.25">
      <c r="I229" s="1"/>
      <c r="J229" s="1"/>
      <c r="N229" s="1"/>
      <c r="Z229" s="1"/>
      <c r="AA229" s="1"/>
      <c r="AE229" s="1"/>
    </row>
    <row r="230" spans="9:31" x14ac:dyDescent="0.25">
      <c r="I230" s="1"/>
      <c r="J230" s="1"/>
      <c r="N230" s="1"/>
      <c r="Z230" s="1"/>
      <c r="AA230" s="1"/>
      <c r="AE230" s="1"/>
    </row>
    <row r="231" spans="9:31" x14ac:dyDescent="0.25">
      <c r="I231" s="1"/>
      <c r="J231" s="1"/>
      <c r="N231" s="1"/>
      <c r="Z231" s="1"/>
      <c r="AA231" s="1"/>
      <c r="AE231" s="1"/>
    </row>
    <row r="232" spans="9:31" x14ac:dyDescent="0.25">
      <c r="I232" s="1"/>
      <c r="J232" s="1"/>
      <c r="N232" s="1"/>
      <c r="Z232" s="1"/>
      <c r="AA232" s="1"/>
      <c r="AE232" s="1"/>
    </row>
    <row r="233" spans="9:31" x14ac:dyDescent="0.25">
      <c r="I233" s="1"/>
      <c r="J233" s="1"/>
      <c r="N233" s="1"/>
      <c r="Z233" s="1"/>
      <c r="AA233" s="1"/>
      <c r="AE233" s="1"/>
    </row>
    <row r="234" spans="9:31" x14ac:dyDescent="0.25">
      <c r="I234" s="1"/>
      <c r="J234" s="1"/>
      <c r="N234" s="1"/>
      <c r="Z234" s="1"/>
      <c r="AA234" s="1"/>
      <c r="AE234" s="1"/>
    </row>
    <row r="235" spans="9:31" x14ac:dyDescent="0.25">
      <c r="I235" s="1"/>
      <c r="J235" s="1"/>
      <c r="K235" s="1"/>
      <c r="N235" s="1"/>
      <c r="Z235" s="1"/>
      <c r="AA235" s="1"/>
      <c r="AE235" s="1"/>
    </row>
    <row r="236" spans="9:31" x14ac:dyDescent="0.25">
      <c r="I236" s="1"/>
      <c r="J236" s="1"/>
      <c r="N236" s="1"/>
      <c r="Z236" s="1"/>
      <c r="AA236" s="1"/>
      <c r="AE236" s="1"/>
    </row>
    <row r="237" spans="9:31" x14ac:dyDescent="0.25">
      <c r="I237" s="1"/>
      <c r="J237" s="1"/>
      <c r="N237" s="1"/>
      <c r="Z237" s="1"/>
      <c r="AA237" s="1"/>
      <c r="AE237" s="1"/>
    </row>
    <row r="238" spans="9:31" x14ac:dyDescent="0.25">
      <c r="I238" s="1"/>
      <c r="J238" s="1"/>
      <c r="N238" s="1"/>
      <c r="Z238" s="1"/>
      <c r="AA238" s="1"/>
      <c r="AE238" s="1"/>
    </row>
    <row r="239" spans="9:31" x14ac:dyDescent="0.25">
      <c r="I239" s="1"/>
      <c r="J239" s="1"/>
      <c r="N239" s="1"/>
      <c r="Z239" s="1"/>
      <c r="AA239" s="1"/>
      <c r="AE239" s="1"/>
    </row>
    <row r="240" spans="9:31" x14ac:dyDescent="0.25">
      <c r="I240" s="1"/>
      <c r="J240" s="1"/>
      <c r="N240" s="1"/>
      <c r="Z240" s="1"/>
      <c r="AA240" s="1"/>
      <c r="AE240" s="1"/>
    </row>
    <row r="241" spans="9:31" x14ac:dyDescent="0.25">
      <c r="I241" s="1"/>
      <c r="J241" s="1"/>
      <c r="N241" s="1"/>
      <c r="Z241" s="1"/>
      <c r="AA241" s="1"/>
      <c r="AE241" s="1"/>
    </row>
    <row r="242" spans="9:31" x14ac:dyDescent="0.25">
      <c r="I242" s="1"/>
      <c r="J242" s="1"/>
      <c r="K242" s="1"/>
      <c r="N242" s="1"/>
      <c r="Z242" s="1"/>
      <c r="AA242" s="1"/>
      <c r="AE242" s="1"/>
    </row>
    <row r="243" spans="9:31" x14ac:dyDescent="0.25">
      <c r="I243" s="1"/>
      <c r="J243" s="1"/>
      <c r="N243" s="1"/>
      <c r="Z243" s="1"/>
      <c r="AA243" s="1"/>
      <c r="AB243" s="1"/>
      <c r="AE243" s="1"/>
    </row>
    <row r="244" spans="9:31" x14ac:dyDescent="0.25">
      <c r="I244" s="1"/>
      <c r="J244" s="1"/>
      <c r="N244" s="1"/>
      <c r="Z244" s="1"/>
      <c r="AA244" s="1"/>
      <c r="AE244" s="1"/>
    </row>
    <row r="245" spans="9:31" x14ac:dyDescent="0.25">
      <c r="I245" s="1"/>
      <c r="J245" s="1"/>
      <c r="N245" s="1"/>
      <c r="Z245" s="1"/>
      <c r="AA245" s="1"/>
      <c r="AE245" s="1"/>
    </row>
    <row r="246" spans="9:31" x14ac:dyDescent="0.25">
      <c r="I246" s="1"/>
      <c r="J246" s="1"/>
      <c r="N246" s="1"/>
      <c r="Z246" s="1"/>
      <c r="AA246" s="1"/>
      <c r="AE246" s="1"/>
    </row>
    <row r="247" spans="9:31" x14ac:dyDescent="0.25">
      <c r="I247" s="1"/>
      <c r="J247" s="1"/>
      <c r="N247" s="1"/>
      <c r="Z247" s="1"/>
      <c r="AA247" s="1"/>
      <c r="AE247" s="1"/>
    </row>
    <row r="248" spans="9:31" x14ac:dyDescent="0.25">
      <c r="I248" s="1"/>
      <c r="J248" s="1"/>
      <c r="N248" s="1"/>
      <c r="Z248" s="1"/>
      <c r="AA248" s="1"/>
      <c r="AE248" s="1"/>
    </row>
    <row r="249" spans="9:31" x14ac:dyDescent="0.25">
      <c r="I249" s="1"/>
      <c r="J249" s="1"/>
      <c r="N249" s="1"/>
      <c r="Z249" s="1"/>
      <c r="AA249" s="1"/>
      <c r="AE249" s="1"/>
    </row>
    <row r="250" spans="9:31" x14ac:dyDescent="0.25">
      <c r="I250" s="1"/>
      <c r="J250" s="1"/>
      <c r="N250" s="1"/>
      <c r="Z250" s="1"/>
      <c r="AA250" s="1"/>
      <c r="AE250" s="1"/>
    </row>
    <row r="251" spans="9:31" x14ac:dyDescent="0.25">
      <c r="I251" s="1"/>
      <c r="J251" s="1"/>
      <c r="N251" s="1"/>
      <c r="Z251" s="1"/>
      <c r="AA251" s="1"/>
      <c r="AE251" s="1"/>
    </row>
    <row r="252" spans="9:31" x14ac:dyDescent="0.25">
      <c r="I252" s="1"/>
      <c r="J252" s="1"/>
      <c r="N252" s="1"/>
      <c r="Z252" s="1"/>
      <c r="AA252" s="1"/>
      <c r="AE252" s="1"/>
    </row>
    <row r="253" spans="9:31" x14ac:dyDescent="0.25">
      <c r="I253" s="1"/>
      <c r="J253" s="1"/>
      <c r="N253" s="1"/>
      <c r="Z253" s="1"/>
      <c r="AA253" s="1"/>
      <c r="AE253" s="1"/>
    </row>
    <row r="254" spans="9:31" x14ac:dyDescent="0.25">
      <c r="I254" s="1"/>
      <c r="J254" s="1"/>
      <c r="N254" s="1"/>
      <c r="Z254" s="1"/>
      <c r="AA254" s="1"/>
      <c r="AE254" s="1"/>
    </row>
    <row r="255" spans="9:31" x14ac:dyDescent="0.25">
      <c r="I255" s="1"/>
      <c r="J255" s="1"/>
      <c r="N255" s="1"/>
      <c r="Z255" s="1"/>
      <c r="AA255" s="1"/>
      <c r="AE255" s="1"/>
    </row>
    <row r="256" spans="9:31" x14ac:dyDescent="0.25">
      <c r="I256" s="1"/>
      <c r="J256" s="1"/>
      <c r="N256" s="1"/>
      <c r="Z256" s="1"/>
      <c r="AA256" s="1"/>
      <c r="AE256" s="1"/>
    </row>
    <row r="257" spans="9:31" x14ac:dyDescent="0.25">
      <c r="I257" s="1"/>
      <c r="J257" s="1"/>
      <c r="N257" s="1"/>
      <c r="Z257" s="1"/>
      <c r="AA257" s="1"/>
      <c r="AE257" s="1"/>
    </row>
    <row r="258" spans="9:31" x14ac:dyDescent="0.25">
      <c r="I258" s="1"/>
      <c r="J258" s="1"/>
      <c r="N258" s="1"/>
      <c r="Z258" s="1"/>
      <c r="AA258" s="1"/>
      <c r="AE258" s="1"/>
    </row>
    <row r="259" spans="9:31" x14ac:dyDescent="0.25">
      <c r="I259" s="1"/>
      <c r="J259" s="1"/>
      <c r="N259" s="1"/>
      <c r="Z259" s="1"/>
      <c r="AA259" s="1"/>
      <c r="AE259" s="1"/>
    </row>
    <row r="260" spans="9:31" x14ac:dyDescent="0.25">
      <c r="I260" s="1"/>
      <c r="J260" s="1"/>
      <c r="N260" s="1"/>
      <c r="Z260" s="1"/>
      <c r="AA260" s="1"/>
      <c r="AE260" s="1"/>
    </row>
    <row r="261" spans="9:31" x14ac:dyDescent="0.25">
      <c r="I261" s="1"/>
      <c r="J261" s="1"/>
      <c r="N261" s="1"/>
      <c r="Z261" s="1"/>
      <c r="AA261" s="1"/>
      <c r="AE261" s="1"/>
    </row>
    <row r="262" spans="9:31" x14ac:dyDescent="0.25">
      <c r="I262" s="1"/>
      <c r="J262" s="1"/>
      <c r="N262" s="1"/>
      <c r="Z262" s="1"/>
      <c r="AA262" s="1"/>
      <c r="AE262" s="1"/>
    </row>
    <row r="263" spans="9:31" x14ac:dyDescent="0.25">
      <c r="I263" s="1"/>
      <c r="J263" s="1"/>
      <c r="N263" s="1"/>
      <c r="Z263" s="1"/>
      <c r="AA263" s="1"/>
      <c r="AE263" s="1"/>
    </row>
    <row r="264" spans="9:31" x14ac:dyDescent="0.25">
      <c r="I264" s="1"/>
      <c r="J264" s="1"/>
      <c r="N264" s="1"/>
      <c r="Z264" s="1"/>
      <c r="AA264" s="1"/>
      <c r="AE264" s="1"/>
    </row>
    <row r="265" spans="9:31" x14ac:dyDescent="0.25">
      <c r="I265" s="1"/>
      <c r="J265" s="1"/>
      <c r="N265" s="1"/>
      <c r="Z265" s="1"/>
      <c r="AA265" s="1"/>
      <c r="AE265" s="1"/>
    </row>
    <row r="266" spans="9:31" x14ac:dyDescent="0.25">
      <c r="I266" s="1"/>
      <c r="J266" s="1"/>
      <c r="K266" s="1"/>
      <c r="N266" s="1"/>
      <c r="Z266" s="1"/>
      <c r="AA266" s="1"/>
      <c r="AE266" s="1"/>
    </row>
    <row r="267" spans="9:31" x14ac:dyDescent="0.25">
      <c r="I267" s="1"/>
      <c r="J267" s="1"/>
      <c r="N267" s="1"/>
      <c r="Z267" s="1"/>
      <c r="AA267" s="1"/>
      <c r="AE267" s="1"/>
    </row>
    <row r="268" spans="9:31" x14ac:dyDescent="0.25">
      <c r="I268" s="1"/>
      <c r="J268" s="1"/>
      <c r="N268" s="1"/>
      <c r="Z268" s="1"/>
      <c r="AA268" s="1"/>
      <c r="AE268" s="1"/>
    </row>
    <row r="269" spans="9:31" x14ac:dyDescent="0.25">
      <c r="I269" s="1"/>
      <c r="J269" s="1"/>
      <c r="N269" s="1"/>
      <c r="Z269" s="1"/>
      <c r="AA269" s="1"/>
      <c r="AE269" s="1"/>
    </row>
    <row r="270" spans="9:31" x14ac:dyDescent="0.25">
      <c r="I270" s="1"/>
      <c r="J270" s="1"/>
      <c r="N270" s="1"/>
      <c r="Z270" s="1"/>
      <c r="AA270" s="1"/>
      <c r="AE270" s="1"/>
    </row>
    <row r="271" spans="9:31" x14ac:dyDescent="0.25">
      <c r="I271" s="1"/>
      <c r="J271" s="1"/>
      <c r="N271" s="1"/>
      <c r="Z271" s="1"/>
      <c r="AA271" s="1"/>
      <c r="AE271" s="1"/>
    </row>
    <row r="272" spans="9:31" x14ac:dyDescent="0.25">
      <c r="I272" s="1"/>
      <c r="J272" s="1"/>
      <c r="N272" s="1"/>
      <c r="Z272" s="1"/>
      <c r="AA272" s="1"/>
      <c r="AE272" s="1"/>
    </row>
    <row r="273" spans="9:31" x14ac:dyDescent="0.25">
      <c r="I273" s="1"/>
      <c r="J273" s="1"/>
      <c r="N273" s="1"/>
      <c r="Z273" s="1"/>
      <c r="AA273" s="1"/>
      <c r="AE273" s="1"/>
    </row>
    <row r="274" spans="9:31" x14ac:dyDescent="0.25">
      <c r="I274" s="1"/>
      <c r="J274" s="1"/>
      <c r="N274" s="1"/>
      <c r="Z274" s="1"/>
      <c r="AA274" s="1"/>
      <c r="AE274" s="1"/>
    </row>
    <row r="275" spans="9:31" x14ac:dyDescent="0.25">
      <c r="I275" s="1"/>
      <c r="J275" s="1"/>
      <c r="N275" s="1"/>
      <c r="Z275" s="1"/>
      <c r="AA275" s="1"/>
      <c r="AE275" s="1"/>
    </row>
    <row r="276" spans="9:31" x14ac:dyDescent="0.25">
      <c r="I276" s="1"/>
      <c r="J276" s="1"/>
      <c r="N276" s="1"/>
      <c r="AE276" s="1"/>
    </row>
    <row r="277" spans="9:31" x14ac:dyDescent="0.25">
      <c r="I277" s="1"/>
      <c r="J277" s="1"/>
      <c r="N277" s="1"/>
      <c r="Z277" s="1"/>
      <c r="AA277" s="1"/>
      <c r="AE277" s="1"/>
    </row>
    <row r="278" spans="9:31" x14ac:dyDescent="0.25">
      <c r="I278" s="1"/>
      <c r="J278" s="1"/>
      <c r="N278" s="1"/>
      <c r="Z278" s="1"/>
      <c r="AA278" s="1"/>
      <c r="AE278" s="1"/>
    </row>
    <row r="279" spans="9:31" x14ac:dyDescent="0.25">
      <c r="I279" s="1"/>
      <c r="J279" s="1"/>
      <c r="N279" s="1"/>
      <c r="Z279" s="1"/>
      <c r="AA279" s="1"/>
      <c r="AE279" s="1"/>
    </row>
    <row r="280" spans="9:31" x14ac:dyDescent="0.25">
      <c r="I280" s="1"/>
      <c r="J280" s="1"/>
      <c r="N280" s="1"/>
      <c r="Z280" s="1"/>
      <c r="AA280" s="1"/>
      <c r="AE280" s="1"/>
    </row>
    <row r="281" spans="9:31" x14ac:dyDescent="0.25">
      <c r="I281" s="1"/>
      <c r="J281" s="1"/>
      <c r="N281" s="1"/>
      <c r="Z281" s="1"/>
      <c r="AA281" s="1"/>
      <c r="AE281" s="1"/>
    </row>
    <row r="282" spans="9:31" x14ac:dyDescent="0.25">
      <c r="I282" s="1"/>
      <c r="J282" s="1"/>
      <c r="N282" s="1"/>
      <c r="Z282" s="1"/>
      <c r="AA282" s="1"/>
      <c r="AE282" s="1"/>
    </row>
    <row r="283" spans="9:31" x14ac:dyDescent="0.25">
      <c r="I283" s="1"/>
      <c r="J283" s="1"/>
      <c r="N283" s="1"/>
      <c r="Z283" s="1"/>
      <c r="AA283" s="1"/>
      <c r="AE283" s="1"/>
    </row>
    <row r="284" spans="9:31" x14ac:dyDescent="0.25">
      <c r="I284" s="1"/>
      <c r="J284" s="1"/>
      <c r="N284" s="1"/>
      <c r="Z284" s="1"/>
      <c r="AA284" s="1"/>
      <c r="AE284" s="1"/>
    </row>
    <row r="285" spans="9:31" x14ac:dyDescent="0.25">
      <c r="I285" s="1"/>
      <c r="J285" s="1"/>
      <c r="N285" s="1"/>
      <c r="Z285" s="1"/>
      <c r="AA285" s="1"/>
      <c r="AE285" s="1"/>
    </row>
    <row r="286" spans="9:31" x14ac:dyDescent="0.25">
      <c r="I286" s="1"/>
      <c r="J286" s="1"/>
      <c r="N286" s="1"/>
      <c r="Z286" s="1"/>
      <c r="AA286" s="1"/>
      <c r="AE286" s="1"/>
    </row>
    <row r="287" spans="9:31" x14ac:dyDescent="0.25">
      <c r="I287" s="1"/>
      <c r="J287" s="1"/>
      <c r="N287" s="1"/>
      <c r="Z287" s="1"/>
      <c r="AA287" s="1"/>
      <c r="AE287" s="1"/>
    </row>
    <row r="288" spans="9:31" x14ac:dyDescent="0.25">
      <c r="I288" s="1"/>
      <c r="J288" s="1"/>
      <c r="N288" s="1"/>
      <c r="Z288" s="1"/>
      <c r="AA288" s="1"/>
      <c r="AE288" s="1"/>
    </row>
    <row r="289" spans="9:31" x14ac:dyDescent="0.25">
      <c r="I289" s="1"/>
      <c r="J289" s="1"/>
      <c r="N289" s="1"/>
      <c r="Z289" s="1"/>
      <c r="AA289" s="1"/>
      <c r="AE289" s="1"/>
    </row>
    <row r="290" spans="9:31" x14ac:dyDescent="0.25">
      <c r="I290" s="1"/>
      <c r="J290" s="1"/>
      <c r="N290" s="1"/>
      <c r="Z290" s="1"/>
      <c r="AA290" s="1"/>
      <c r="AE290" s="1"/>
    </row>
    <row r="291" spans="9:31" x14ac:dyDescent="0.25">
      <c r="I291" s="1"/>
      <c r="J291" s="1"/>
      <c r="N291" s="1"/>
      <c r="Z291" s="1"/>
      <c r="AA291" s="1"/>
      <c r="AE291" s="1"/>
    </row>
    <row r="292" spans="9:31" x14ac:dyDescent="0.25">
      <c r="I292" s="1"/>
      <c r="J292" s="1"/>
      <c r="N292" s="1"/>
      <c r="Z292" s="1"/>
      <c r="AA292" s="1"/>
      <c r="AE292" s="1"/>
    </row>
    <row r="293" spans="9:31" x14ac:dyDescent="0.25">
      <c r="I293" s="1"/>
      <c r="J293" s="1"/>
      <c r="N293" s="1"/>
      <c r="Z293" s="1"/>
      <c r="AA293" s="1"/>
      <c r="AE293" s="1"/>
    </row>
    <row r="294" spans="9:31" x14ac:dyDescent="0.25">
      <c r="I294" s="1"/>
      <c r="J294" s="1"/>
      <c r="N294" s="1"/>
      <c r="Z294" s="1"/>
      <c r="AA294" s="1"/>
      <c r="AE294" s="1"/>
    </row>
    <row r="295" spans="9:31" x14ac:dyDescent="0.25">
      <c r="I295" s="1"/>
      <c r="J295" s="1"/>
      <c r="N295" s="1"/>
      <c r="Z295" s="1"/>
      <c r="AA295" s="1"/>
      <c r="AE295" s="1"/>
    </row>
    <row r="296" spans="9:31" x14ac:dyDescent="0.25">
      <c r="I296" s="1"/>
      <c r="J296" s="1"/>
      <c r="N296" s="1"/>
      <c r="AE296" s="1"/>
    </row>
    <row r="297" spans="9:31" x14ac:dyDescent="0.25">
      <c r="I297" s="1"/>
      <c r="J297" s="1"/>
      <c r="N297" s="1"/>
      <c r="Z297" s="1"/>
      <c r="AA297" s="1"/>
      <c r="AE297" s="1"/>
    </row>
    <row r="298" spans="9:31" x14ac:dyDescent="0.25">
      <c r="I298" s="1"/>
      <c r="J298" s="1"/>
      <c r="N298" s="1"/>
      <c r="Z298" s="1"/>
      <c r="AA298" s="1"/>
      <c r="AE298" s="1"/>
    </row>
    <row r="299" spans="9:31" x14ac:dyDescent="0.25">
      <c r="I299" s="1"/>
      <c r="J299" s="1"/>
      <c r="N299" s="1"/>
      <c r="Z299" s="1"/>
      <c r="AA299" s="1"/>
      <c r="AE299" s="1"/>
    </row>
    <row r="300" spans="9:31" x14ac:dyDescent="0.25">
      <c r="I300" s="1"/>
      <c r="J300" s="1"/>
      <c r="N300" s="1"/>
      <c r="Z300" s="1"/>
      <c r="AA300" s="1"/>
      <c r="AE300" s="1"/>
    </row>
    <row r="301" spans="9:31" x14ac:dyDescent="0.25">
      <c r="I301" s="1"/>
      <c r="J301" s="1"/>
      <c r="K301" s="1"/>
      <c r="N301" s="1"/>
      <c r="Z301" s="1"/>
      <c r="AA301" s="1"/>
      <c r="AE301" s="1"/>
    </row>
    <row r="302" spans="9:31" x14ac:dyDescent="0.25">
      <c r="I302" s="1"/>
      <c r="J302" s="1"/>
      <c r="N302" s="1"/>
      <c r="Z302" s="1"/>
      <c r="AA302" s="1"/>
      <c r="AE302" s="1"/>
    </row>
    <row r="303" spans="9:31" x14ac:dyDescent="0.25">
      <c r="I303" s="1"/>
      <c r="J303" s="1"/>
      <c r="N303" s="1"/>
      <c r="Z303" s="1"/>
      <c r="AA303" s="1"/>
      <c r="AE303" s="1"/>
    </row>
    <row r="304" spans="9:31" x14ac:dyDescent="0.25">
      <c r="I304" s="1"/>
      <c r="J304" s="1"/>
      <c r="N304" s="1"/>
      <c r="Z304" s="1"/>
      <c r="AA304" s="1"/>
      <c r="AE304" s="1"/>
    </row>
    <row r="305" spans="9:31" x14ac:dyDescent="0.25">
      <c r="I305" s="1"/>
      <c r="J305" s="1"/>
      <c r="N305" s="1"/>
      <c r="Z305" s="1"/>
      <c r="AA305" s="1"/>
      <c r="AE305" s="1"/>
    </row>
    <row r="306" spans="9:31" x14ac:dyDescent="0.25">
      <c r="I306" s="1"/>
      <c r="J306" s="1"/>
      <c r="N306" s="1"/>
      <c r="Z306" s="1"/>
      <c r="AA306" s="1"/>
      <c r="AE306" s="1"/>
    </row>
    <row r="307" spans="9:31" x14ac:dyDescent="0.25">
      <c r="I307" s="1"/>
      <c r="J307" s="1"/>
      <c r="N307" s="1"/>
      <c r="Z307" s="1"/>
      <c r="AA307" s="1"/>
      <c r="AE307" s="1"/>
    </row>
    <row r="308" spans="9:31" x14ac:dyDescent="0.25">
      <c r="I308" s="1"/>
      <c r="J308" s="1"/>
      <c r="N308" s="1"/>
      <c r="Z308" s="1"/>
      <c r="AA308" s="1"/>
      <c r="AE308" s="1"/>
    </row>
    <row r="309" spans="9:31" x14ac:dyDescent="0.25">
      <c r="I309" s="1"/>
      <c r="J309" s="1"/>
      <c r="N309" s="1"/>
      <c r="Z309" s="1"/>
      <c r="AA309" s="1"/>
      <c r="AE309" s="1"/>
    </row>
    <row r="310" spans="9:31" x14ac:dyDescent="0.25">
      <c r="I310" s="1"/>
      <c r="J310" s="1"/>
      <c r="N310" s="1"/>
      <c r="Z310" s="1"/>
      <c r="AA310" s="1"/>
      <c r="AE310" s="1"/>
    </row>
    <row r="311" spans="9:31" x14ac:dyDescent="0.25">
      <c r="I311" s="1"/>
      <c r="J311" s="1"/>
      <c r="N311" s="1"/>
      <c r="Z311" s="1"/>
      <c r="AA311" s="1"/>
      <c r="AE311" s="1"/>
    </row>
    <row r="312" spans="9:31" x14ac:dyDescent="0.25">
      <c r="I312" s="1"/>
      <c r="J312" s="1"/>
      <c r="N312" s="1"/>
      <c r="Z312" s="1"/>
      <c r="AA312" s="1"/>
      <c r="AE312" s="1"/>
    </row>
    <row r="313" spans="9:31" x14ac:dyDescent="0.25">
      <c r="I313" s="1"/>
      <c r="J313" s="1"/>
      <c r="N313" s="1"/>
      <c r="Z313" s="1"/>
      <c r="AA313" s="1"/>
      <c r="AE313" s="1"/>
    </row>
    <row r="314" spans="9:31" x14ac:dyDescent="0.25">
      <c r="I314" s="1"/>
      <c r="J314" s="1"/>
      <c r="N314" s="1"/>
      <c r="Z314" s="1"/>
      <c r="AA314" s="1"/>
      <c r="AE314" s="1"/>
    </row>
    <row r="315" spans="9:31" x14ac:dyDescent="0.25">
      <c r="I315" s="1"/>
      <c r="J315" s="1"/>
      <c r="N315" s="1"/>
      <c r="Z315" s="1"/>
      <c r="AA315" s="1"/>
      <c r="AE315" s="1"/>
    </row>
    <row r="316" spans="9:31" x14ac:dyDescent="0.25">
      <c r="I316" s="1"/>
      <c r="J316" s="1"/>
      <c r="K316" s="1"/>
      <c r="N316" s="1"/>
      <c r="Z316" s="1"/>
      <c r="AA316" s="1"/>
      <c r="AE316" s="1"/>
    </row>
    <row r="317" spans="9:31" x14ac:dyDescent="0.25">
      <c r="I317" s="1"/>
      <c r="J317" s="1"/>
      <c r="N317" s="1"/>
      <c r="Z317" s="1"/>
      <c r="AA317" s="1"/>
      <c r="AE317" s="1"/>
    </row>
    <row r="318" spans="9:31" x14ac:dyDescent="0.25">
      <c r="I318" s="1"/>
      <c r="J318" s="1"/>
      <c r="K318" s="1"/>
      <c r="N318" s="1"/>
      <c r="Z318" s="1"/>
      <c r="AA318" s="1"/>
      <c r="AE318" s="1"/>
    </row>
    <row r="319" spans="9:31" x14ac:dyDescent="0.25">
      <c r="I319" s="1"/>
      <c r="J319" s="1"/>
      <c r="N319" s="1"/>
      <c r="Z319" s="1"/>
      <c r="AA319" s="1"/>
      <c r="AE319" s="1"/>
    </row>
    <row r="320" spans="9:31" x14ac:dyDescent="0.25">
      <c r="I320" s="1"/>
      <c r="J320" s="1"/>
      <c r="N320" s="1"/>
      <c r="Z320" s="1"/>
      <c r="AA320" s="1"/>
      <c r="AE320" s="1"/>
    </row>
    <row r="321" spans="9:31" x14ac:dyDescent="0.25">
      <c r="I321" s="1"/>
      <c r="J321" s="1"/>
      <c r="N321" s="1"/>
      <c r="Z321" s="1"/>
      <c r="AA321" s="1"/>
      <c r="AE321" s="1"/>
    </row>
    <row r="322" spans="9:31" x14ac:dyDescent="0.25">
      <c r="I322" s="1"/>
      <c r="J322" s="1"/>
      <c r="N322" s="1"/>
      <c r="Z322" s="1"/>
      <c r="AA322" s="1"/>
      <c r="AE322" s="1"/>
    </row>
    <row r="323" spans="9:31" x14ac:dyDescent="0.25">
      <c r="I323" s="1"/>
      <c r="J323" s="1"/>
      <c r="N323" s="1"/>
      <c r="Z323" s="1"/>
      <c r="AA323" s="1"/>
      <c r="AE323" s="1"/>
    </row>
    <row r="324" spans="9:31" x14ac:dyDescent="0.25">
      <c r="I324" s="1"/>
      <c r="J324" s="1"/>
      <c r="K324" s="1"/>
      <c r="N324" s="1"/>
      <c r="Z324" s="1"/>
      <c r="AA324" s="1"/>
      <c r="AE324" s="1"/>
    </row>
    <row r="325" spans="9:31" x14ac:dyDescent="0.25">
      <c r="I325" s="1"/>
      <c r="J325" s="1"/>
      <c r="N325" s="1"/>
      <c r="Z325" s="1"/>
      <c r="AA325" s="1"/>
      <c r="AE325" s="1"/>
    </row>
    <row r="326" spans="9:31" x14ac:dyDescent="0.25">
      <c r="I326" s="1"/>
      <c r="J326" s="1"/>
      <c r="N326" s="1"/>
      <c r="Z326" s="1"/>
      <c r="AA326" s="1"/>
      <c r="AE326" s="1"/>
    </row>
    <row r="327" spans="9:31" x14ac:dyDescent="0.25">
      <c r="I327" s="1"/>
      <c r="J327" s="1"/>
      <c r="K327" s="1"/>
      <c r="N327" s="1"/>
      <c r="Z327" s="1"/>
      <c r="AA327" s="1"/>
      <c r="AE327" s="1"/>
    </row>
    <row r="328" spans="9:31" x14ac:dyDescent="0.25">
      <c r="I328" s="1"/>
      <c r="J328" s="1"/>
      <c r="N328" s="1"/>
      <c r="Z328" s="1"/>
      <c r="AA328" s="1"/>
      <c r="AB328" s="1"/>
      <c r="AE328" s="1"/>
    </row>
    <row r="329" spans="9:31" x14ac:dyDescent="0.25">
      <c r="I329" s="1"/>
      <c r="J329" s="1"/>
      <c r="K329" s="1"/>
      <c r="N329" s="1"/>
      <c r="Z329" s="1"/>
      <c r="AA329" s="1"/>
      <c r="AE329" s="1"/>
    </row>
    <row r="330" spans="9:31" x14ac:dyDescent="0.25">
      <c r="I330" s="1"/>
      <c r="J330" s="1"/>
      <c r="N330" s="1"/>
      <c r="Z330" s="1"/>
      <c r="AA330" s="1"/>
      <c r="AB330" s="1"/>
      <c r="AE330" s="1"/>
    </row>
    <row r="331" spans="9:31" x14ac:dyDescent="0.25">
      <c r="I331" s="1"/>
      <c r="J331" s="1"/>
      <c r="N331" s="1"/>
      <c r="Z331" s="1"/>
      <c r="AA331" s="1"/>
      <c r="AE331" s="1"/>
    </row>
    <row r="332" spans="9:31" x14ac:dyDescent="0.25">
      <c r="I332" s="1"/>
      <c r="J332" s="1"/>
      <c r="N332" s="1"/>
      <c r="Z332" s="1"/>
      <c r="AA332" s="1"/>
      <c r="AE332" s="1"/>
    </row>
    <row r="333" spans="9:31" x14ac:dyDescent="0.25">
      <c r="I333" s="1"/>
      <c r="J333" s="1"/>
      <c r="K333" s="1"/>
      <c r="N333" s="1"/>
      <c r="Z333" s="1"/>
      <c r="AA333" s="1"/>
      <c r="AE333" s="1"/>
    </row>
    <row r="334" spans="9:31" x14ac:dyDescent="0.25">
      <c r="I334" s="1"/>
      <c r="J334" s="1"/>
      <c r="N334" s="1"/>
      <c r="Z334" s="1"/>
      <c r="AA334" s="1"/>
      <c r="AE334" s="1"/>
    </row>
    <row r="335" spans="9:31" x14ac:dyDescent="0.25">
      <c r="I335" s="1"/>
      <c r="J335" s="1"/>
      <c r="N335" s="1"/>
      <c r="Z335" s="1"/>
      <c r="AA335" s="1"/>
      <c r="AE335" s="1"/>
    </row>
    <row r="336" spans="9:31" x14ac:dyDescent="0.25">
      <c r="I336" s="1"/>
      <c r="J336" s="1"/>
      <c r="N336" s="1"/>
      <c r="Z336" s="1"/>
      <c r="AA336" s="1"/>
      <c r="AE336" s="1"/>
    </row>
    <row r="337" spans="9:31" x14ac:dyDescent="0.25">
      <c r="I337" s="1"/>
      <c r="J337" s="1"/>
      <c r="N337" s="1"/>
      <c r="Z337" s="1"/>
      <c r="AA337" s="1"/>
      <c r="AE337" s="1"/>
    </row>
    <row r="338" spans="9:31" x14ac:dyDescent="0.25">
      <c r="I338" s="1"/>
      <c r="J338" s="1"/>
      <c r="N338" s="1"/>
      <c r="Z338" s="1"/>
      <c r="AA338" s="1"/>
      <c r="AE338" s="1"/>
    </row>
    <row r="339" spans="9:31" x14ac:dyDescent="0.25">
      <c r="I339" s="1"/>
      <c r="J339" s="1"/>
      <c r="N339" s="1"/>
      <c r="Z339" s="1"/>
      <c r="AA339" s="1"/>
      <c r="AE339" s="1"/>
    </row>
    <row r="340" spans="9:31" x14ac:dyDescent="0.25">
      <c r="I340" s="1"/>
      <c r="J340" s="1"/>
      <c r="N340" s="1"/>
      <c r="Z340" s="1"/>
      <c r="AA340" s="1"/>
      <c r="AE340" s="1"/>
    </row>
    <row r="341" spans="9:31" x14ac:dyDescent="0.25">
      <c r="I341" s="1"/>
      <c r="J341" s="1"/>
      <c r="K341" s="1"/>
      <c r="N341" s="1"/>
      <c r="Z341" s="1"/>
      <c r="AA341" s="1"/>
      <c r="AE341" s="1"/>
    </row>
    <row r="342" spans="9:31" x14ac:dyDescent="0.25">
      <c r="I342" s="1"/>
      <c r="J342" s="1"/>
      <c r="N342" s="1"/>
      <c r="Z342" s="1"/>
      <c r="AA342" s="1"/>
      <c r="AE342" s="1"/>
    </row>
    <row r="343" spans="9:31" x14ac:dyDescent="0.25">
      <c r="I343" s="1"/>
      <c r="J343" s="1"/>
      <c r="K343" s="1"/>
      <c r="N343" s="1"/>
      <c r="Z343" s="1"/>
      <c r="AA343" s="1"/>
      <c r="AE343" s="1"/>
    </row>
    <row r="344" spans="9:31" x14ac:dyDescent="0.25">
      <c r="I344" s="1"/>
      <c r="J344" s="1"/>
      <c r="N344" s="1"/>
      <c r="Z344" s="1"/>
      <c r="AA344" s="1"/>
      <c r="AB344" s="1"/>
      <c r="AE344" s="1"/>
    </row>
    <row r="345" spans="9:31" x14ac:dyDescent="0.25">
      <c r="I345" s="1"/>
      <c r="J345" s="1"/>
      <c r="N345" s="1"/>
      <c r="Z345" s="1"/>
      <c r="AA345" s="1"/>
      <c r="AE345" s="1"/>
    </row>
    <row r="346" spans="9:31" x14ac:dyDescent="0.25">
      <c r="I346" s="1"/>
      <c r="J346" s="1"/>
      <c r="N346" s="1"/>
      <c r="Z346" s="1"/>
      <c r="AA346" s="1"/>
      <c r="AE346" s="1"/>
    </row>
    <row r="347" spans="9:31" x14ac:dyDescent="0.25">
      <c r="I347" s="1"/>
      <c r="J347" s="1"/>
      <c r="N347" s="1"/>
      <c r="Z347" s="1"/>
      <c r="AA347" s="1"/>
      <c r="AE347" s="1"/>
    </row>
    <row r="348" spans="9:31" x14ac:dyDescent="0.25">
      <c r="I348" s="1"/>
      <c r="J348" s="1"/>
      <c r="N348" s="1"/>
      <c r="Z348" s="1"/>
      <c r="AA348" s="1"/>
      <c r="AE348" s="1"/>
    </row>
    <row r="349" spans="9:31" x14ac:dyDescent="0.25">
      <c r="I349" s="1"/>
      <c r="J349" s="1"/>
      <c r="N349" s="1"/>
      <c r="Z349" s="1"/>
      <c r="AA349" s="1"/>
      <c r="AE349" s="1"/>
    </row>
    <row r="350" spans="9:31" x14ac:dyDescent="0.25">
      <c r="I350" s="1"/>
      <c r="J350" s="1"/>
      <c r="N350" s="1"/>
      <c r="Z350" s="1"/>
      <c r="AA350" s="1"/>
      <c r="AE350" s="1"/>
    </row>
    <row r="351" spans="9:31" x14ac:dyDescent="0.25">
      <c r="I351" s="1"/>
      <c r="J351" s="1"/>
      <c r="K351" s="1"/>
      <c r="N351" s="1"/>
      <c r="Z351" s="1"/>
      <c r="AA351" s="1"/>
      <c r="AE351" s="1"/>
    </row>
    <row r="352" spans="9:31" x14ac:dyDescent="0.25">
      <c r="I352" s="1"/>
      <c r="J352" s="1"/>
      <c r="N352" s="1"/>
      <c r="Z352" s="1"/>
      <c r="AA352" s="1"/>
      <c r="AB352" s="1"/>
      <c r="AE352" s="1"/>
    </row>
    <row r="353" spans="9:31" x14ac:dyDescent="0.25">
      <c r="I353" s="1"/>
      <c r="J353" s="1"/>
      <c r="N353" s="1"/>
      <c r="Z353" s="1"/>
      <c r="AA353" s="1"/>
      <c r="AE353" s="1"/>
    </row>
    <row r="354" spans="9:31" x14ac:dyDescent="0.25">
      <c r="I354" s="1"/>
      <c r="J354" s="1"/>
      <c r="N354" s="1"/>
      <c r="Z354" s="1"/>
      <c r="AA354" s="1"/>
      <c r="AE354" s="1"/>
    </row>
    <row r="355" spans="9:31" x14ac:dyDescent="0.25">
      <c r="I355" s="1"/>
      <c r="J355" s="1"/>
      <c r="N355" s="1"/>
      <c r="Z355" s="1"/>
      <c r="AA355" s="1"/>
      <c r="AE355" s="1"/>
    </row>
    <row r="356" spans="9:31" x14ac:dyDescent="0.25">
      <c r="I356" s="1"/>
      <c r="J356" s="1"/>
      <c r="N356" s="1"/>
      <c r="Z356" s="1"/>
      <c r="AA356" s="1"/>
      <c r="AE356" s="1"/>
    </row>
    <row r="357" spans="9:31" x14ac:dyDescent="0.25">
      <c r="I357" s="1"/>
      <c r="J357" s="1"/>
      <c r="K357" s="1"/>
      <c r="N357" s="1"/>
      <c r="Z357" s="1"/>
      <c r="AA357" s="1"/>
      <c r="AE357" s="1"/>
    </row>
    <row r="358" spans="9:31" x14ac:dyDescent="0.25">
      <c r="I358" s="1"/>
      <c r="J358" s="1"/>
      <c r="N358" s="1"/>
      <c r="Z358" s="1"/>
      <c r="AA358" s="1"/>
      <c r="AE358" s="1"/>
    </row>
    <row r="359" spans="9:31" x14ac:dyDescent="0.25">
      <c r="I359" s="1"/>
      <c r="J359" s="1"/>
      <c r="K359" s="1"/>
      <c r="N359" s="1"/>
      <c r="Z359" s="1"/>
      <c r="AA359" s="1"/>
      <c r="AE359" s="1"/>
    </row>
    <row r="360" spans="9:31" x14ac:dyDescent="0.25">
      <c r="I360" s="1"/>
      <c r="J360" s="1"/>
      <c r="K360" s="1"/>
      <c r="N360" s="1"/>
      <c r="Z360" s="1"/>
      <c r="AA360" s="1"/>
      <c r="AB360" s="1"/>
      <c r="AE360" s="1"/>
    </row>
    <row r="361" spans="9:31" x14ac:dyDescent="0.25">
      <c r="I361" s="1"/>
      <c r="J361" s="1"/>
      <c r="N361" s="1"/>
      <c r="Z361" s="1"/>
      <c r="AA361" s="1"/>
      <c r="AE361" s="1"/>
    </row>
    <row r="362" spans="9:31" x14ac:dyDescent="0.25">
      <c r="I362" s="1"/>
      <c r="J362" s="1"/>
      <c r="N362" s="1"/>
      <c r="Z362" s="1"/>
      <c r="AA362" s="1"/>
      <c r="AE362" s="1"/>
    </row>
    <row r="363" spans="9:31" x14ac:dyDescent="0.25">
      <c r="I363" s="1"/>
      <c r="J363" s="1"/>
      <c r="N363" s="1"/>
      <c r="Z363" s="1"/>
      <c r="AA363" s="1"/>
      <c r="AE363" s="1"/>
    </row>
    <row r="364" spans="9:31" x14ac:dyDescent="0.25">
      <c r="I364" s="1"/>
      <c r="J364" s="1"/>
      <c r="N364" s="1"/>
      <c r="Z364" s="1"/>
      <c r="AA364" s="1"/>
      <c r="AE364" s="1"/>
    </row>
    <row r="365" spans="9:31" x14ac:dyDescent="0.25">
      <c r="I365" s="1"/>
      <c r="J365" s="1"/>
      <c r="K365" s="1"/>
      <c r="N365" s="1"/>
      <c r="Z365" s="1"/>
      <c r="AA365" s="1"/>
      <c r="AE365" s="1"/>
    </row>
    <row r="366" spans="9:31" x14ac:dyDescent="0.25">
      <c r="I366" s="1"/>
      <c r="J366" s="1"/>
      <c r="N366" s="1"/>
      <c r="Z366" s="1"/>
      <c r="AA366" s="1"/>
      <c r="AB366" s="1"/>
      <c r="AE366" s="1"/>
    </row>
    <row r="367" spans="9:31" x14ac:dyDescent="0.25">
      <c r="I367" s="1"/>
      <c r="J367" s="1"/>
      <c r="N367" s="1"/>
      <c r="Z367" s="1"/>
      <c r="AA367" s="1"/>
      <c r="AE367" s="1"/>
    </row>
    <row r="368" spans="9:31" x14ac:dyDescent="0.25">
      <c r="I368" s="1"/>
      <c r="J368" s="1"/>
      <c r="N368" s="1"/>
      <c r="Z368" s="1"/>
      <c r="AA368" s="1"/>
      <c r="AE368" s="1"/>
    </row>
    <row r="369" spans="9:31" x14ac:dyDescent="0.25">
      <c r="I369" s="1"/>
      <c r="J369" s="1"/>
      <c r="N369" s="1"/>
      <c r="Z369" s="1"/>
      <c r="AA369" s="1"/>
      <c r="AE369" s="1"/>
    </row>
    <row r="370" spans="9:31" x14ac:dyDescent="0.25">
      <c r="I370" s="1"/>
      <c r="J370" s="1"/>
      <c r="N370" s="1"/>
      <c r="Z370" s="1"/>
      <c r="AA370" s="1"/>
      <c r="AE370" s="1"/>
    </row>
    <row r="371" spans="9:31" x14ac:dyDescent="0.25">
      <c r="I371" s="1"/>
      <c r="J371" s="1"/>
      <c r="N371" s="1"/>
      <c r="Z371" s="1"/>
      <c r="AA371" s="1"/>
      <c r="AE371" s="1"/>
    </row>
    <row r="372" spans="9:31" x14ac:dyDescent="0.25">
      <c r="I372" s="1"/>
      <c r="J372" s="1"/>
      <c r="N372" s="1"/>
      <c r="Z372" s="1"/>
      <c r="AA372" s="1"/>
      <c r="AE372" s="1"/>
    </row>
    <row r="373" spans="9:31" x14ac:dyDescent="0.25">
      <c r="I373" s="1"/>
      <c r="J373" s="1"/>
      <c r="N373" s="1"/>
      <c r="Z373" s="1"/>
      <c r="AA373" s="1"/>
      <c r="AE373" s="1"/>
    </row>
    <row r="374" spans="9:31" x14ac:dyDescent="0.25">
      <c r="I374" s="1"/>
      <c r="J374" s="1"/>
      <c r="N374" s="1"/>
      <c r="Z374" s="1"/>
      <c r="AA374" s="1"/>
      <c r="AE374" s="1"/>
    </row>
    <row r="375" spans="9:31" x14ac:dyDescent="0.25">
      <c r="I375" s="1"/>
      <c r="J375" s="1"/>
      <c r="N375" s="1"/>
      <c r="Z375" s="1"/>
      <c r="AA375" s="1"/>
      <c r="AE375" s="1"/>
    </row>
    <row r="376" spans="9:31" x14ac:dyDescent="0.25">
      <c r="I376" s="1"/>
      <c r="J376" s="1"/>
      <c r="N376" s="1"/>
      <c r="Z376" s="1"/>
      <c r="AA376" s="1"/>
      <c r="AE376" s="1"/>
    </row>
    <row r="377" spans="9:31" x14ac:dyDescent="0.25">
      <c r="I377" s="1"/>
      <c r="J377" s="1"/>
      <c r="N377" s="1"/>
      <c r="AE377" s="1"/>
    </row>
    <row r="378" spans="9:31" x14ac:dyDescent="0.25">
      <c r="I378" s="1"/>
      <c r="J378" s="1"/>
      <c r="N378" s="1"/>
      <c r="Z378" s="1"/>
      <c r="AA378" s="1"/>
      <c r="AE378" s="1"/>
    </row>
    <row r="379" spans="9:31" x14ac:dyDescent="0.25">
      <c r="I379" s="1"/>
      <c r="J379" s="1"/>
      <c r="N379" s="1"/>
      <c r="Z379" s="1"/>
      <c r="AA379" s="1"/>
      <c r="AE379" s="1"/>
    </row>
    <row r="380" spans="9:31" x14ac:dyDescent="0.25">
      <c r="I380" s="1"/>
      <c r="J380" s="1"/>
      <c r="N380" s="1"/>
      <c r="Z380" s="1"/>
      <c r="AA380" s="1"/>
      <c r="AE380" s="1"/>
    </row>
    <row r="381" spans="9:31" x14ac:dyDescent="0.25">
      <c r="I381" s="1"/>
      <c r="J381" s="1"/>
      <c r="N381" s="1"/>
      <c r="Z381" s="1"/>
      <c r="AA381" s="1"/>
      <c r="AE381" s="1"/>
    </row>
    <row r="382" spans="9:31" x14ac:dyDescent="0.25">
      <c r="I382" s="1"/>
      <c r="J382" s="1"/>
      <c r="N382" s="1"/>
      <c r="AE382" s="1"/>
    </row>
    <row r="383" spans="9:31" x14ac:dyDescent="0.25">
      <c r="I383" s="1"/>
      <c r="J383" s="1"/>
      <c r="N383" s="1"/>
      <c r="Z383" s="1"/>
      <c r="AA383" s="1"/>
      <c r="AE383" s="1"/>
    </row>
    <row r="384" spans="9:31" x14ac:dyDescent="0.25">
      <c r="I384" s="1"/>
      <c r="J384" s="1"/>
      <c r="N384" s="1"/>
      <c r="Z384" s="1"/>
      <c r="AA384" s="1"/>
      <c r="AE384" s="1"/>
    </row>
    <row r="385" spans="9:31" x14ac:dyDescent="0.25">
      <c r="I385" s="1"/>
      <c r="J385" s="1"/>
      <c r="N385" s="1"/>
      <c r="Z385" s="1"/>
      <c r="AA385" s="1"/>
      <c r="AE385" s="1"/>
    </row>
    <row r="386" spans="9:31" x14ac:dyDescent="0.25">
      <c r="I386" s="1"/>
      <c r="J386" s="1"/>
      <c r="N386" s="1"/>
      <c r="Z386" s="1"/>
      <c r="AA386" s="1"/>
      <c r="AE386" s="1"/>
    </row>
    <row r="387" spans="9:31" x14ac:dyDescent="0.25">
      <c r="I387" s="1"/>
      <c r="J387" s="1"/>
      <c r="N387" s="1"/>
      <c r="Z387" s="1"/>
      <c r="AA387" s="1"/>
      <c r="AE387" s="1"/>
    </row>
    <row r="388" spans="9:31" x14ac:dyDescent="0.25">
      <c r="I388" s="1"/>
      <c r="J388" s="1"/>
      <c r="N388" s="1"/>
      <c r="Z388" s="1"/>
      <c r="AA388" s="1"/>
      <c r="AE388" s="1"/>
    </row>
    <row r="389" spans="9:31" x14ac:dyDescent="0.25">
      <c r="I389" s="1"/>
      <c r="J389" s="1"/>
      <c r="N389" s="1"/>
      <c r="Z389" s="1"/>
      <c r="AA389" s="1"/>
      <c r="AE389" s="1"/>
    </row>
    <row r="390" spans="9:31" x14ac:dyDescent="0.25">
      <c r="I390" s="1"/>
      <c r="J390" s="1"/>
      <c r="N390" s="1"/>
      <c r="Z390" s="1"/>
      <c r="AA390" s="1"/>
      <c r="AE390" s="1"/>
    </row>
    <row r="391" spans="9:31" x14ac:dyDescent="0.25">
      <c r="I391" s="1"/>
      <c r="J391" s="1"/>
      <c r="N391" s="1"/>
      <c r="Z391" s="1"/>
      <c r="AA391" s="1"/>
      <c r="AE391" s="1"/>
    </row>
    <row r="392" spans="9:31" x14ac:dyDescent="0.25">
      <c r="I392" s="1"/>
      <c r="J392" s="1"/>
      <c r="N392" s="1"/>
      <c r="Z392" s="1"/>
      <c r="AA392" s="1"/>
      <c r="AE392" s="1"/>
    </row>
    <row r="393" spans="9:31" x14ac:dyDescent="0.25">
      <c r="I393" s="1"/>
      <c r="J393" s="1"/>
      <c r="N393" s="1"/>
      <c r="Z393" s="1"/>
      <c r="AA393" s="1"/>
      <c r="AE393" s="1"/>
    </row>
    <row r="394" spans="9:31" x14ac:dyDescent="0.25">
      <c r="I394" s="1"/>
      <c r="J394" s="1"/>
      <c r="N394" s="1"/>
      <c r="Z394" s="1"/>
      <c r="AA394" s="1"/>
      <c r="AE394" s="1"/>
    </row>
    <row r="395" spans="9:31" x14ac:dyDescent="0.25">
      <c r="I395" s="1"/>
      <c r="J395" s="1"/>
      <c r="N395" s="1"/>
      <c r="Z395" s="1"/>
      <c r="AA395" s="1"/>
      <c r="AE395" s="1"/>
    </row>
    <row r="396" spans="9:31" x14ac:dyDescent="0.25">
      <c r="I396" s="1"/>
      <c r="J396" s="1"/>
      <c r="N396" s="1"/>
      <c r="Z396" s="1"/>
      <c r="AA396" s="1"/>
      <c r="AE396" s="1"/>
    </row>
    <row r="397" spans="9:31" x14ac:dyDescent="0.25">
      <c r="I397" s="1"/>
      <c r="J397" s="1"/>
      <c r="N397" s="1"/>
      <c r="Z397" s="1"/>
      <c r="AA397" s="1"/>
      <c r="AE397" s="1"/>
    </row>
    <row r="398" spans="9:31" x14ac:dyDescent="0.25">
      <c r="I398" s="1"/>
      <c r="J398" s="1"/>
      <c r="N398" s="1"/>
      <c r="Z398" s="1"/>
      <c r="AA398" s="1"/>
      <c r="AE398" s="1"/>
    </row>
    <row r="399" spans="9:31" x14ac:dyDescent="0.25">
      <c r="I399" s="1"/>
      <c r="J399" s="1"/>
      <c r="N399" s="1"/>
      <c r="Z399" s="1"/>
      <c r="AA399" s="1"/>
      <c r="AE399" s="1"/>
    </row>
    <row r="400" spans="9:31" x14ac:dyDescent="0.25">
      <c r="I400" s="1"/>
      <c r="J400" s="1"/>
      <c r="K400" s="1"/>
      <c r="N400" s="1"/>
      <c r="Z400" s="1"/>
      <c r="AA400" s="1"/>
      <c r="AE400" s="1"/>
    </row>
    <row r="401" spans="9:31" x14ac:dyDescent="0.25">
      <c r="I401" s="1"/>
      <c r="J401" s="1"/>
      <c r="N401" s="1"/>
      <c r="Z401" s="1"/>
      <c r="AA401" s="1"/>
      <c r="AE401" s="1"/>
    </row>
    <row r="402" spans="9:31" x14ac:dyDescent="0.25">
      <c r="I402" s="1"/>
      <c r="J402" s="1"/>
      <c r="N402" s="1"/>
      <c r="Z402" s="1"/>
      <c r="AA402" s="1"/>
      <c r="AE402" s="1"/>
    </row>
    <row r="403" spans="9:31" x14ac:dyDescent="0.25">
      <c r="I403" s="1"/>
      <c r="J403" s="1"/>
      <c r="N403" s="1"/>
      <c r="Z403" s="1"/>
      <c r="AA403" s="1"/>
      <c r="AE403" s="1"/>
    </row>
    <row r="404" spans="9:31" x14ac:dyDescent="0.25">
      <c r="I404" s="1"/>
      <c r="J404" s="1"/>
      <c r="N404" s="1"/>
      <c r="Z404" s="1"/>
      <c r="AA404" s="1"/>
      <c r="AE404" s="1"/>
    </row>
    <row r="405" spans="9:31" x14ac:dyDescent="0.25">
      <c r="I405" s="1"/>
      <c r="J405" s="1"/>
      <c r="N405" s="1"/>
      <c r="Z405" s="1"/>
      <c r="AA405" s="1"/>
      <c r="AE405" s="1"/>
    </row>
    <row r="406" spans="9:31" x14ac:dyDescent="0.25">
      <c r="I406" s="1"/>
      <c r="J406" s="1"/>
      <c r="K406" s="1"/>
      <c r="N406" s="1"/>
      <c r="Z406" s="1"/>
      <c r="AA406" s="1"/>
      <c r="AE406" s="1"/>
    </row>
    <row r="407" spans="9:31" x14ac:dyDescent="0.25">
      <c r="I407" s="1"/>
      <c r="J407" s="1"/>
      <c r="N407" s="1"/>
      <c r="Z407" s="1"/>
      <c r="AA407" s="1"/>
      <c r="AB407" s="1"/>
      <c r="AE407" s="1"/>
    </row>
    <row r="408" spans="9:31" x14ac:dyDescent="0.25">
      <c r="I408" s="1"/>
      <c r="J408" s="1"/>
      <c r="N408" s="1"/>
      <c r="Z408" s="1"/>
      <c r="AA408" s="1"/>
      <c r="AE408" s="1"/>
    </row>
    <row r="409" spans="9:31" x14ac:dyDescent="0.25">
      <c r="I409" s="1"/>
      <c r="J409" s="1"/>
      <c r="N409" s="1"/>
      <c r="Z409" s="1"/>
      <c r="AA409" s="1"/>
      <c r="AE409" s="1"/>
    </row>
    <row r="410" spans="9:31" x14ac:dyDescent="0.25">
      <c r="I410" s="1"/>
      <c r="J410" s="1"/>
      <c r="K410" s="1"/>
      <c r="N410" s="1"/>
      <c r="Z410" s="1"/>
      <c r="AA410" s="1"/>
      <c r="AE410" s="1"/>
    </row>
    <row r="411" spans="9:31" x14ac:dyDescent="0.25">
      <c r="I411" s="1"/>
      <c r="J411" s="1"/>
      <c r="N411" s="1"/>
      <c r="Z411" s="1"/>
      <c r="AA411" s="1"/>
      <c r="AB411" s="1"/>
      <c r="AE411" s="1"/>
    </row>
    <row r="412" spans="9:31" x14ac:dyDescent="0.25">
      <c r="I412" s="1"/>
      <c r="J412" s="1"/>
      <c r="K412" s="1"/>
      <c r="N412" s="1"/>
      <c r="Z412" s="1"/>
      <c r="AA412" s="1"/>
      <c r="AE412" s="1"/>
    </row>
    <row r="413" spans="9:31" x14ac:dyDescent="0.25">
      <c r="I413" s="1"/>
      <c r="J413" s="1"/>
      <c r="K413" s="1"/>
      <c r="N413" s="1"/>
      <c r="Z413" s="1"/>
      <c r="AA413" s="1"/>
      <c r="AE413" s="1"/>
    </row>
    <row r="414" spans="9:31" x14ac:dyDescent="0.25">
      <c r="I414" s="1"/>
      <c r="J414" s="1"/>
      <c r="N414" s="1"/>
      <c r="Z414" s="1"/>
      <c r="AA414" s="1"/>
      <c r="AB414" s="1"/>
      <c r="AE414" s="1"/>
    </row>
    <row r="415" spans="9:31" x14ac:dyDescent="0.25">
      <c r="I415" s="1"/>
      <c r="J415" s="1"/>
      <c r="K415" s="1"/>
      <c r="N415" s="1"/>
      <c r="Z415" s="1"/>
      <c r="AA415" s="1"/>
      <c r="AE415" s="1"/>
    </row>
    <row r="416" spans="9:31" x14ac:dyDescent="0.25">
      <c r="I416" s="1"/>
      <c r="J416" s="1"/>
      <c r="K416" s="1"/>
      <c r="N416" s="1"/>
      <c r="Z416" s="1"/>
      <c r="AA416" s="1"/>
      <c r="AB416" s="1"/>
      <c r="AE416" s="1"/>
    </row>
    <row r="417" spans="9:31" x14ac:dyDescent="0.25">
      <c r="I417" s="1"/>
      <c r="J417" s="1"/>
      <c r="N417" s="1"/>
      <c r="Z417" s="1"/>
      <c r="AA417" s="1"/>
      <c r="AB417" s="1"/>
      <c r="AE417" s="1"/>
    </row>
    <row r="418" spans="9:31" x14ac:dyDescent="0.25">
      <c r="I418" s="1"/>
      <c r="J418" s="1"/>
      <c r="N418" s="1"/>
      <c r="Z418" s="1"/>
      <c r="AA418" s="1"/>
      <c r="AE418" s="1"/>
    </row>
    <row r="419" spans="9:31" x14ac:dyDescent="0.25">
      <c r="I419" s="1"/>
      <c r="J419" s="1"/>
      <c r="N419" s="1"/>
      <c r="Z419" s="1"/>
      <c r="AA419" s="1"/>
      <c r="AE419" s="1"/>
    </row>
    <row r="420" spans="9:31" x14ac:dyDescent="0.25">
      <c r="I420" s="1"/>
      <c r="J420" s="1"/>
      <c r="N420" s="1"/>
      <c r="Z420" s="1"/>
      <c r="AA420" s="1"/>
      <c r="AE420" s="1"/>
    </row>
    <row r="421" spans="9:31" x14ac:dyDescent="0.25">
      <c r="I421" s="1"/>
      <c r="J421" s="1"/>
      <c r="N421" s="1"/>
      <c r="AE421" s="1"/>
    </row>
    <row r="422" spans="9:31" x14ac:dyDescent="0.25">
      <c r="I422" s="1"/>
      <c r="J422" s="1"/>
      <c r="N422" s="1"/>
      <c r="Z422" s="1"/>
      <c r="AA422" s="1"/>
      <c r="AE422" s="1"/>
    </row>
    <row r="423" spans="9:31" x14ac:dyDescent="0.25">
      <c r="I423" s="1"/>
      <c r="J423" s="1"/>
      <c r="N423" s="1"/>
      <c r="Z423" s="1"/>
      <c r="AA423" s="1"/>
      <c r="AE423" s="1"/>
    </row>
    <row r="424" spans="9:31" x14ac:dyDescent="0.25">
      <c r="I424" s="1"/>
      <c r="J424" s="1"/>
      <c r="K424" s="1"/>
      <c r="N424" s="1"/>
      <c r="Z424" s="1"/>
      <c r="AA424" s="1"/>
      <c r="AE424" s="1"/>
    </row>
    <row r="425" spans="9:31" x14ac:dyDescent="0.25">
      <c r="I425" s="1"/>
      <c r="J425" s="1"/>
      <c r="N425" s="1"/>
      <c r="Z425" s="1"/>
      <c r="AA425" s="1"/>
      <c r="AB425" s="1"/>
      <c r="AE425" s="1"/>
    </row>
    <row r="426" spans="9:31" x14ac:dyDescent="0.25">
      <c r="I426" s="1"/>
      <c r="J426" s="1"/>
      <c r="N426" s="1"/>
      <c r="Z426" s="1"/>
      <c r="AA426" s="1"/>
      <c r="AE426" s="1"/>
    </row>
    <row r="427" spans="9:31" x14ac:dyDescent="0.25">
      <c r="I427" s="1"/>
      <c r="J427" s="1"/>
      <c r="N427" s="1"/>
      <c r="Z427" s="1"/>
      <c r="AA427" s="1"/>
      <c r="AE427" s="1"/>
    </row>
    <row r="428" spans="9:31" x14ac:dyDescent="0.25">
      <c r="I428" s="1"/>
      <c r="J428" s="1"/>
      <c r="K428" s="1"/>
      <c r="N428" s="1"/>
      <c r="Z428" s="1"/>
      <c r="AA428" s="1"/>
      <c r="AE428" s="1"/>
    </row>
    <row r="429" spans="9:31" x14ac:dyDescent="0.25">
      <c r="I429" s="1"/>
      <c r="J429" s="1"/>
      <c r="N429" s="1"/>
      <c r="Z429" s="1"/>
      <c r="AA429" s="1"/>
      <c r="AB429" s="1"/>
      <c r="AE429" s="1"/>
    </row>
    <row r="430" spans="9:31" x14ac:dyDescent="0.25">
      <c r="I430" s="1"/>
      <c r="J430" s="1"/>
      <c r="N430" s="1"/>
      <c r="Z430" s="1"/>
      <c r="AA430" s="1"/>
      <c r="AE430" s="1"/>
    </row>
    <row r="431" spans="9:31" x14ac:dyDescent="0.25">
      <c r="I431" s="1"/>
      <c r="J431" s="1"/>
      <c r="N431" s="1"/>
      <c r="AE431" s="1"/>
    </row>
    <row r="432" spans="9:31" x14ac:dyDescent="0.25">
      <c r="I432" s="1"/>
      <c r="J432" s="1"/>
      <c r="N432" s="1"/>
      <c r="Z432" s="1"/>
      <c r="AA432" s="1"/>
      <c r="AE432" s="1"/>
    </row>
    <row r="433" spans="9:31" x14ac:dyDescent="0.25">
      <c r="I433" s="1"/>
      <c r="J433" s="1"/>
      <c r="N433" s="1"/>
      <c r="Z433" s="1"/>
      <c r="AA433" s="1"/>
      <c r="AE433" s="1"/>
    </row>
    <row r="434" spans="9:31" x14ac:dyDescent="0.25">
      <c r="I434" s="1"/>
      <c r="J434" s="1"/>
      <c r="N434" s="1"/>
      <c r="Z434" s="1"/>
      <c r="AA434" s="1"/>
      <c r="AE434" s="1"/>
    </row>
    <row r="435" spans="9:31" x14ac:dyDescent="0.25">
      <c r="I435" s="1"/>
      <c r="J435" s="1"/>
      <c r="N435" s="1"/>
      <c r="Z435" s="1"/>
      <c r="AA435" s="1"/>
      <c r="AE435" s="1"/>
    </row>
    <row r="436" spans="9:31" x14ac:dyDescent="0.25">
      <c r="I436" s="1"/>
      <c r="J436" s="1"/>
      <c r="N436" s="1"/>
      <c r="Z436" s="1"/>
      <c r="AA436" s="1"/>
      <c r="AE436" s="1"/>
    </row>
    <row r="437" spans="9:31" x14ac:dyDescent="0.25">
      <c r="I437" s="1"/>
      <c r="J437" s="1"/>
      <c r="K437" s="1"/>
      <c r="N437" s="1"/>
      <c r="AE437" s="1"/>
    </row>
    <row r="438" spans="9:31" x14ac:dyDescent="0.25">
      <c r="I438" s="1"/>
      <c r="J438" s="1"/>
      <c r="N438" s="1"/>
      <c r="Z438" s="1"/>
      <c r="AA438" s="1"/>
      <c r="AB438" s="1"/>
      <c r="AE438" s="1"/>
    </row>
    <row r="439" spans="9:31" x14ac:dyDescent="0.25">
      <c r="I439" s="1"/>
      <c r="J439" s="1"/>
      <c r="N439" s="1"/>
      <c r="Z439" s="1"/>
      <c r="AA439" s="1"/>
      <c r="AE439" s="1"/>
    </row>
    <row r="440" spans="9:31" x14ac:dyDescent="0.25">
      <c r="I440" s="1"/>
      <c r="J440" s="1"/>
      <c r="K440" s="1"/>
      <c r="N440" s="1"/>
      <c r="Z440" s="1"/>
      <c r="AA440" s="1"/>
      <c r="AE440" s="1"/>
    </row>
    <row r="441" spans="9:31" x14ac:dyDescent="0.25">
      <c r="I441" s="1"/>
      <c r="J441" s="1"/>
      <c r="N441" s="1"/>
      <c r="Z441" s="1"/>
      <c r="AA441" s="1"/>
      <c r="AE441" s="1"/>
    </row>
    <row r="442" spans="9:31" x14ac:dyDescent="0.25">
      <c r="I442" s="1"/>
      <c r="J442" s="1"/>
      <c r="N442" s="1"/>
      <c r="Z442" s="1"/>
      <c r="AA442" s="1"/>
      <c r="AE442" s="1"/>
    </row>
    <row r="443" spans="9:31" x14ac:dyDescent="0.25">
      <c r="I443" s="1"/>
      <c r="J443" s="1"/>
      <c r="K443" s="1"/>
      <c r="N443" s="1"/>
      <c r="Z443" s="1"/>
      <c r="AA443" s="1"/>
      <c r="AE443" s="1"/>
    </row>
    <row r="444" spans="9:31" x14ac:dyDescent="0.25">
      <c r="I444" s="1"/>
      <c r="J444" s="1"/>
      <c r="N444" s="1"/>
      <c r="Z444" s="1"/>
      <c r="AA444" s="1"/>
      <c r="AB444" s="1"/>
      <c r="AE444" s="1"/>
    </row>
    <row r="445" spans="9:31" x14ac:dyDescent="0.25">
      <c r="I445" s="1"/>
      <c r="J445" s="1"/>
      <c r="N445" s="1"/>
      <c r="Z445" s="1"/>
      <c r="AA445" s="1"/>
      <c r="AE445" s="1"/>
    </row>
    <row r="446" spans="9:31" x14ac:dyDescent="0.25">
      <c r="I446" s="1"/>
      <c r="J446" s="1"/>
      <c r="N446" s="1"/>
      <c r="Z446" s="1"/>
      <c r="AA446" s="1"/>
      <c r="AE446" s="1"/>
    </row>
    <row r="447" spans="9:31" x14ac:dyDescent="0.25">
      <c r="I447" s="1"/>
      <c r="J447" s="1"/>
      <c r="K447" s="1"/>
      <c r="N447" s="1"/>
      <c r="Z447" s="1"/>
      <c r="AA447" s="1"/>
      <c r="AE447" s="1"/>
    </row>
    <row r="448" spans="9:31" x14ac:dyDescent="0.25">
      <c r="I448" s="1"/>
      <c r="J448" s="1"/>
      <c r="N448" s="1"/>
      <c r="Z448" s="1"/>
      <c r="AA448" s="1"/>
      <c r="AB448" s="1"/>
      <c r="AE448" s="1"/>
    </row>
    <row r="449" spans="9:31" x14ac:dyDescent="0.25">
      <c r="I449" s="1"/>
      <c r="J449" s="1"/>
      <c r="N449" s="1"/>
      <c r="Z449" s="1"/>
      <c r="AA449" s="1"/>
      <c r="AE449" s="1"/>
    </row>
    <row r="450" spans="9:31" x14ac:dyDescent="0.25">
      <c r="I450" s="1"/>
      <c r="J450" s="1"/>
      <c r="N450" s="1"/>
      <c r="Z450" s="1"/>
      <c r="AA450" s="1"/>
      <c r="AE450" s="1"/>
    </row>
    <row r="451" spans="9:31" x14ac:dyDescent="0.25">
      <c r="I451" s="1"/>
      <c r="J451" s="1"/>
      <c r="N451" s="1"/>
      <c r="Z451" s="1"/>
      <c r="AA451" s="1"/>
      <c r="AE451" s="1"/>
    </row>
    <row r="452" spans="9:31" x14ac:dyDescent="0.25">
      <c r="I452" s="1"/>
      <c r="J452" s="1"/>
      <c r="N452" s="1"/>
      <c r="Z452" s="1"/>
      <c r="AA452" s="1"/>
      <c r="AE452" s="1"/>
    </row>
    <row r="453" spans="9:31" x14ac:dyDescent="0.25">
      <c r="I453" s="1"/>
      <c r="J453" s="1"/>
      <c r="K453" s="1"/>
      <c r="N453" s="1"/>
      <c r="Z453" s="1"/>
      <c r="AA453" s="1"/>
      <c r="AE453" s="1"/>
    </row>
    <row r="454" spans="9:31" x14ac:dyDescent="0.25">
      <c r="I454" s="1"/>
      <c r="J454" s="1"/>
      <c r="N454" s="1"/>
      <c r="Z454" s="1"/>
      <c r="AA454" s="1"/>
      <c r="AB454" s="1"/>
      <c r="AE454" s="1"/>
    </row>
    <row r="455" spans="9:31" x14ac:dyDescent="0.25">
      <c r="I455" s="1"/>
      <c r="J455" s="1"/>
      <c r="N455" s="1"/>
      <c r="Z455" s="1"/>
      <c r="AA455" s="1"/>
      <c r="AE455" s="1"/>
    </row>
    <row r="456" spans="9:31" x14ac:dyDescent="0.25">
      <c r="I456" s="1"/>
      <c r="J456" s="1"/>
      <c r="N456" s="1"/>
      <c r="Z456" s="1"/>
      <c r="AA456" s="1"/>
      <c r="AE456" s="1"/>
    </row>
    <row r="457" spans="9:31" x14ac:dyDescent="0.25">
      <c r="I457" s="1"/>
      <c r="J457" s="1"/>
      <c r="N457" s="1"/>
      <c r="Z457" s="1"/>
      <c r="AA457" s="1"/>
      <c r="AE457" s="1"/>
    </row>
    <row r="458" spans="9:31" x14ac:dyDescent="0.25">
      <c r="I458" s="1"/>
      <c r="J458" s="1"/>
      <c r="N458" s="1"/>
      <c r="Z458" s="1"/>
      <c r="AA458" s="1"/>
      <c r="AE458" s="1"/>
    </row>
    <row r="459" spans="9:31" x14ac:dyDescent="0.25">
      <c r="I459" s="1"/>
      <c r="J459" s="1"/>
      <c r="N459" s="1"/>
      <c r="Z459" s="1"/>
      <c r="AA459" s="1"/>
      <c r="AE459" s="1"/>
    </row>
    <row r="460" spans="9:31" x14ac:dyDescent="0.25">
      <c r="I460" s="1"/>
      <c r="J460" s="1"/>
      <c r="N460" s="1"/>
      <c r="Z460" s="1"/>
      <c r="AA460" s="1"/>
      <c r="AE460" s="1"/>
    </row>
    <row r="461" spans="9:31" x14ac:dyDescent="0.25">
      <c r="I461" s="1"/>
      <c r="J461" s="1"/>
      <c r="N461" s="1"/>
      <c r="Z461" s="1"/>
      <c r="AA461" s="1"/>
      <c r="AE461" s="1"/>
    </row>
    <row r="462" spans="9:31" x14ac:dyDescent="0.25">
      <c r="I462" s="1"/>
      <c r="J462" s="1"/>
      <c r="N462" s="1"/>
      <c r="Z462" s="1"/>
      <c r="AA462" s="1"/>
      <c r="AE462" s="1"/>
    </row>
    <row r="463" spans="9:31" x14ac:dyDescent="0.25">
      <c r="I463" s="1"/>
      <c r="J463" s="1"/>
      <c r="N463" s="1"/>
      <c r="Z463" s="1"/>
      <c r="AA463" s="1"/>
      <c r="AE463" s="1"/>
    </row>
    <row r="464" spans="9:31" x14ac:dyDescent="0.25">
      <c r="I464" s="1"/>
      <c r="J464" s="1"/>
      <c r="N464" s="1"/>
      <c r="Z464" s="1"/>
      <c r="AA464" s="1"/>
      <c r="AE464" s="1"/>
    </row>
    <row r="465" spans="9:31" x14ac:dyDescent="0.25">
      <c r="I465" s="1"/>
      <c r="J465" s="1"/>
      <c r="N465" s="1"/>
      <c r="Z465" s="1"/>
      <c r="AA465" s="1"/>
      <c r="AE465" s="1"/>
    </row>
    <row r="466" spans="9:31" x14ac:dyDescent="0.25">
      <c r="I466" s="1"/>
      <c r="J466" s="1"/>
      <c r="K466" s="1"/>
      <c r="N466" s="1"/>
      <c r="Z466" s="1"/>
      <c r="AA466" s="1"/>
      <c r="AE466" s="1"/>
    </row>
    <row r="467" spans="9:31" x14ac:dyDescent="0.25">
      <c r="I467" s="1"/>
      <c r="J467" s="1"/>
      <c r="N467" s="1"/>
      <c r="Z467" s="1"/>
      <c r="AA467" s="1"/>
      <c r="AE467" s="1"/>
    </row>
    <row r="468" spans="9:31" x14ac:dyDescent="0.25">
      <c r="I468" s="1"/>
      <c r="J468" s="1"/>
      <c r="N468" s="1"/>
      <c r="Z468" s="1"/>
      <c r="AA468" s="1"/>
      <c r="AE468" s="1"/>
    </row>
    <row r="469" spans="9:31" x14ac:dyDescent="0.25">
      <c r="I469" s="1"/>
      <c r="J469" s="1"/>
      <c r="N469" s="1"/>
      <c r="Z469" s="1"/>
      <c r="AA469" s="1"/>
      <c r="AE469" s="1"/>
    </row>
    <row r="470" spans="9:31" x14ac:dyDescent="0.25">
      <c r="I470" s="1"/>
      <c r="J470" s="1"/>
      <c r="N470" s="1"/>
      <c r="Z470" s="1"/>
      <c r="AA470" s="1"/>
      <c r="AE470" s="1"/>
    </row>
    <row r="471" spans="9:31" x14ac:dyDescent="0.25">
      <c r="I471" s="1"/>
      <c r="J471" s="1"/>
      <c r="N471" s="1"/>
      <c r="Z471" s="1"/>
      <c r="AA471" s="1"/>
      <c r="AE471" s="1"/>
    </row>
    <row r="472" spans="9:31" x14ac:dyDescent="0.25">
      <c r="I472" s="1"/>
      <c r="J472" s="1"/>
      <c r="N472" s="1"/>
      <c r="Z472" s="1"/>
      <c r="AA472" s="1"/>
      <c r="AE472" s="1"/>
    </row>
    <row r="473" spans="9:31" x14ac:dyDescent="0.25">
      <c r="I473" s="1"/>
      <c r="J473" s="1"/>
      <c r="N473" s="1"/>
      <c r="Z473" s="1"/>
      <c r="AA473" s="1"/>
      <c r="AE473" s="1"/>
    </row>
    <row r="474" spans="9:31" x14ac:dyDescent="0.25">
      <c r="I474" s="1"/>
      <c r="J474" s="1"/>
      <c r="N474" s="1"/>
      <c r="Z474" s="1"/>
      <c r="AA474" s="1"/>
      <c r="AE474" s="1"/>
    </row>
    <row r="475" spans="9:31" x14ac:dyDescent="0.25">
      <c r="I475" s="1"/>
      <c r="J475" s="1"/>
      <c r="N475" s="1"/>
      <c r="Z475" s="1"/>
      <c r="AA475" s="1"/>
      <c r="AE475" s="1"/>
    </row>
    <row r="476" spans="9:31" x14ac:dyDescent="0.25">
      <c r="I476" s="1"/>
      <c r="J476" s="1"/>
      <c r="K476" s="1"/>
      <c r="N476" s="1"/>
      <c r="Z476" s="1"/>
      <c r="AA476" s="1"/>
      <c r="AE476" s="1"/>
    </row>
    <row r="477" spans="9:31" x14ac:dyDescent="0.25">
      <c r="I477" s="1"/>
      <c r="J477" s="1"/>
      <c r="N477" s="1"/>
      <c r="Z477" s="1"/>
      <c r="AA477" s="1"/>
      <c r="AE477" s="1"/>
    </row>
    <row r="478" spans="9:31" x14ac:dyDescent="0.25">
      <c r="I478" s="1"/>
      <c r="J478" s="1"/>
      <c r="N478" s="1"/>
      <c r="Z478" s="1"/>
      <c r="AA478" s="1"/>
      <c r="AE478" s="1"/>
    </row>
    <row r="479" spans="9:31" x14ac:dyDescent="0.25">
      <c r="I479" s="1"/>
      <c r="J479" s="1"/>
      <c r="N479" s="1"/>
      <c r="Z479" s="1"/>
      <c r="AA479" s="1"/>
      <c r="AE479" s="1"/>
    </row>
    <row r="480" spans="9:31" x14ac:dyDescent="0.25">
      <c r="I480" s="1"/>
      <c r="J480" s="1"/>
      <c r="N480" s="1"/>
      <c r="Z480" s="1"/>
      <c r="AA480" s="1"/>
      <c r="AE480" s="1"/>
    </row>
    <row r="481" spans="9:31" x14ac:dyDescent="0.25">
      <c r="I481" s="1"/>
      <c r="J481" s="1"/>
      <c r="N481" s="1"/>
      <c r="Z481" s="1"/>
      <c r="AA481" s="1"/>
      <c r="AE481" s="1"/>
    </row>
    <row r="482" spans="9:31" x14ac:dyDescent="0.25">
      <c r="I482" s="1"/>
      <c r="J482" s="1"/>
      <c r="K482" s="1"/>
      <c r="N482" s="1"/>
      <c r="Z482" s="1"/>
      <c r="AA482" s="1"/>
      <c r="AE482" s="1"/>
    </row>
    <row r="483" spans="9:31" x14ac:dyDescent="0.25">
      <c r="I483" s="1"/>
      <c r="J483" s="1"/>
      <c r="N483" s="1"/>
      <c r="Z483" s="1"/>
      <c r="AA483" s="1"/>
      <c r="AE483" s="1"/>
    </row>
    <row r="484" spans="9:31" x14ac:dyDescent="0.25">
      <c r="I484" s="1"/>
      <c r="J484" s="1"/>
      <c r="N484" s="1"/>
      <c r="Z484" s="1"/>
      <c r="AA484" s="1"/>
      <c r="AE484" s="1"/>
    </row>
    <row r="485" spans="9:31" x14ac:dyDescent="0.25">
      <c r="I485" s="1"/>
      <c r="J485" s="1"/>
      <c r="N485" s="1"/>
      <c r="Z485" s="1"/>
      <c r="AA485" s="1"/>
      <c r="AE485" s="1"/>
    </row>
    <row r="486" spans="9:31" x14ac:dyDescent="0.25">
      <c r="I486" s="1"/>
      <c r="J486" s="1"/>
      <c r="N486" s="1"/>
      <c r="Z486" s="1"/>
      <c r="AA486" s="1"/>
      <c r="AE486" s="1"/>
    </row>
    <row r="487" spans="9:31" x14ac:dyDescent="0.25">
      <c r="I487" s="1"/>
      <c r="J487" s="1"/>
      <c r="N487" s="1"/>
      <c r="Z487" s="1"/>
      <c r="AA487" s="1"/>
      <c r="AE487" s="1"/>
    </row>
    <row r="488" spans="9:31" x14ac:dyDescent="0.25">
      <c r="I488" s="1"/>
      <c r="J488" s="1"/>
      <c r="N488" s="1"/>
      <c r="Z488" s="1"/>
      <c r="AA488" s="1"/>
      <c r="AE488" s="1"/>
    </row>
    <row r="489" spans="9:31" x14ac:dyDescent="0.25">
      <c r="I489" s="1"/>
      <c r="J489" s="1"/>
      <c r="N489" s="1"/>
      <c r="Z489" s="1"/>
      <c r="AA489" s="1"/>
      <c r="AE489" s="1"/>
    </row>
    <row r="490" spans="9:31" x14ac:dyDescent="0.25">
      <c r="I490" s="1"/>
      <c r="J490" s="1"/>
      <c r="N490" s="1"/>
      <c r="Z490" s="1"/>
      <c r="AA490" s="1"/>
      <c r="AE490" s="1"/>
    </row>
    <row r="491" spans="9:31" x14ac:dyDescent="0.25">
      <c r="I491" s="1"/>
      <c r="J491" s="1"/>
      <c r="N491" s="1"/>
      <c r="Z491" s="1"/>
      <c r="AA491" s="1"/>
      <c r="AE491" s="1"/>
    </row>
    <row r="492" spans="9:31" x14ac:dyDescent="0.25">
      <c r="I492" s="1"/>
      <c r="J492" s="1"/>
      <c r="N492" s="1"/>
      <c r="Z492" s="1"/>
      <c r="AA492" s="1"/>
      <c r="AE492" s="1"/>
    </row>
    <row r="493" spans="9:31" x14ac:dyDescent="0.25">
      <c r="I493" s="1"/>
      <c r="J493" s="1"/>
      <c r="N493" s="1"/>
      <c r="Z493" s="1"/>
      <c r="AA493" s="1"/>
      <c r="AE493" s="1"/>
    </row>
    <row r="494" spans="9:31" x14ac:dyDescent="0.25">
      <c r="I494" s="1"/>
      <c r="J494" s="1"/>
      <c r="N494" s="1"/>
      <c r="Z494" s="1"/>
      <c r="AA494" s="1"/>
      <c r="AE494" s="1"/>
    </row>
    <row r="495" spans="9:31" x14ac:dyDescent="0.25">
      <c r="I495" s="1"/>
      <c r="J495" s="1"/>
      <c r="N495" s="1"/>
      <c r="Z495" s="1"/>
      <c r="AA495" s="1"/>
      <c r="AE495" s="1"/>
    </row>
    <row r="496" spans="9:31" x14ac:dyDescent="0.25">
      <c r="I496" s="1"/>
      <c r="J496" s="1"/>
      <c r="N496" s="1"/>
      <c r="Z496" s="1"/>
      <c r="AA496" s="1"/>
      <c r="AE496" s="1"/>
    </row>
    <row r="497" spans="9:31" x14ac:dyDescent="0.25">
      <c r="I497" s="1"/>
      <c r="J497" s="1"/>
      <c r="N497" s="1"/>
      <c r="Z497" s="1"/>
      <c r="AA497" s="1"/>
      <c r="AE497" s="1"/>
    </row>
    <row r="498" spans="9:31" x14ac:dyDescent="0.25">
      <c r="I498" s="1"/>
      <c r="J498" s="1"/>
      <c r="N498" s="1"/>
      <c r="Z498" s="1"/>
      <c r="AA498" s="1"/>
      <c r="AE498" s="1"/>
    </row>
    <row r="499" spans="9:31" x14ac:dyDescent="0.25">
      <c r="I499" s="1"/>
      <c r="J499" s="1"/>
      <c r="N499" s="1"/>
      <c r="Z499" s="1"/>
      <c r="AA499" s="1"/>
      <c r="AE499" s="1"/>
    </row>
    <row r="500" spans="9:31" x14ac:dyDescent="0.25">
      <c r="I500" s="1"/>
      <c r="J500" s="1"/>
      <c r="K500" s="1"/>
      <c r="N500" s="1"/>
      <c r="Z500" s="1"/>
      <c r="AA500" s="1"/>
      <c r="AE500" s="1"/>
    </row>
    <row r="501" spans="9:31" x14ac:dyDescent="0.25">
      <c r="I501" s="1"/>
      <c r="J501" s="1"/>
      <c r="N501" s="1"/>
      <c r="Z501" s="1"/>
      <c r="AA501" s="1"/>
      <c r="AE501" s="1"/>
    </row>
    <row r="502" spans="9:31" x14ac:dyDescent="0.25">
      <c r="I502" s="1"/>
      <c r="J502" s="1"/>
      <c r="N502" s="1"/>
      <c r="Z502" s="1"/>
      <c r="AA502" s="1"/>
      <c r="AE502" s="1"/>
    </row>
    <row r="503" spans="9:31" x14ac:dyDescent="0.25">
      <c r="I503" s="1"/>
      <c r="J503" s="1"/>
      <c r="N503" s="1"/>
      <c r="Z503" s="1"/>
      <c r="AA503" s="1"/>
      <c r="AE503" s="1"/>
    </row>
    <row r="504" spans="9:31" x14ac:dyDescent="0.25">
      <c r="I504" s="1"/>
      <c r="J504" s="1"/>
      <c r="N504" s="1"/>
      <c r="AE504" s="1"/>
    </row>
    <row r="505" spans="9:31" x14ac:dyDescent="0.25">
      <c r="I505" s="1"/>
      <c r="J505" s="1"/>
      <c r="K505" s="1"/>
      <c r="N505" s="1"/>
      <c r="Z505" s="1"/>
      <c r="AA505" s="1"/>
      <c r="AE505" s="1"/>
    </row>
    <row r="506" spans="9:31" x14ac:dyDescent="0.25">
      <c r="I506" s="1"/>
      <c r="J506" s="1"/>
      <c r="N506" s="1"/>
      <c r="Z506" s="1"/>
      <c r="AA506" s="1"/>
      <c r="AE506" s="1"/>
    </row>
    <row r="507" spans="9:31" x14ac:dyDescent="0.25">
      <c r="I507" s="1"/>
      <c r="J507" s="1"/>
      <c r="K507" s="1"/>
      <c r="N507" s="1"/>
      <c r="Z507" s="1"/>
      <c r="AA507" s="1"/>
      <c r="AE507" s="1"/>
    </row>
    <row r="508" spans="9:31" x14ac:dyDescent="0.25">
      <c r="I508" s="1"/>
      <c r="J508" s="1"/>
      <c r="N508" s="1"/>
      <c r="Z508" s="1"/>
      <c r="AA508" s="1"/>
      <c r="AB508" s="1"/>
      <c r="AE508" s="1"/>
    </row>
    <row r="509" spans="9:31" x14ac:dyDescent="0.25">
      <c r="I509" s="1"/>
      <c r="J509" s="1"/>
      <c r="N509" s="1"/>
      <c r="Z509" s="1"/>
      <c r="AA509" s="1"/>
      <c r="AE509" s="1"/>
    </row>
    <row r="510" spans="9:31" x14ac:dyDescent="0.25">
      <c r="I510" s="1"/>
      <c r="J510" s="1"/>
      <c r="N510" s="1"/>
      <c r="Z510" s="1"/>
      <c r="AA510" s="1"/>
      <c r="AE510" s="1"/>
    </row>
    <row r="511" spans="9:31" x14ac:dyDescent="0.25">
      <c r="I511" s="1"/>
      <c r="J511" s="1"/>
      <c r="N511" s="1"/>
      <c r="Z511" s="1"/>
      <c r="AA511" s="1"/>
      <c r="AE511" s="1"/>
    </row>
    <row r="512" spans="9:31" x14ac:dyDescent="0.25">
      <c r="I512" s="1"/>
      <c r="J512" s="1"/>
      <c r="N512" s="1"/>
      <c r="Z512" s="1"/>
      <c r="AA512" s="1"/>
      <c r="AE512" s="1"/>
    </row>
    <row r="513" spans="9:31" x14ac:dyDescent="0.25">
      <c r="I513" s="1"/>
      <c r="J513" s="1"/>
      <c r="N513" s="1"/>
      <c r="Z513" s="1"/>
      <c r="AA513" s="1"/>
      <c r="AE513" s="1"/>
    </row>
    <row r="514" spans="9:31" x14ac:dyDescent="0.25">
      <c r="I514" s="1"/>
      <c r="J514" s="1"/>
      <c r="N514" s="1"/>
      <c r="Z514" s="1"/>
      <c r="AA514" s="1"/>
      <c r="AE514" s="1"/>
    </row>
    <row r="515" spans="9:31" x14ac:dyDescent="0.25">
      <c r="I515" s="1"/>
      <c r="J515" s="1"/>
      <c r="N515" s="1"/>
      <c r="Z515" s="1"/>
      <c r="AA515" s="1"/>
      <c r="AE515" s="1"/>
    </row>
    <row r="516" spans="9:31" x14ac:dyDescent="0.25">
      <c r="I516" s="1"/>
      <c r="J516" s="1"/>
      <c r="N516" s="1"/>
      <c r="Z516" s="1"/>
      <c r="AA516" s="1"/>
      <c r="AE516" s="1"/>
    </row>
    <row r="517" spans="9:31" x14ac:dyDescent="0.25">
      <c r="I517" s="1"/>
      <c r="J517" s="1"/>
      <c r="N517" s="1"/>
      <c r="Z517" s="1"/>
      <c r="AA517" s="1"/>
      <c r="AE517" s="1"/>
    </row>
    <row r="518" spans="9:31" x14ac:dyDescent="0.25">
      <c r="I518" s="1"/>
      <c r="J518" s="1"/>
      <c r="N518" s="1"/>
      <c r="Z518" s="1"/>
      <c r="AA518" s="1"/>
      <c r="AE518" s="1"/>
    </row>
    <row r="519" spans="9:31" x14ac:dyDescent="0.25">
      <c r="I519" s="1"/>
      <c r="J519" s="1"/>
      <c r="K519" s="1"/>
      <c r="N519" s="1"/>
      <c r="Z519" s="1"/>
      <c r="AA519" s="1"/>
      <c r="AE519" s="1"/>
    </row>
    <row r="520" spans="9:31" x14ac:dyDescent="0.25">
      <c r="I520" s="1"/>
      <c r="J520" s="1"/>
      <c r="N520" s="1"/>
      <c r="Z520" s="1"/>
      <c r="AA520" s="1"/>
      <c r="AE520" s="1"/>
    </row>
    <row r="521" spans="9:31" x14ac:dyDescent="0.25">
      <c r="I521" s="1"/>
      <c r="J521" s="1"/>
      <c r="K521" s="1"/>
      <c r="N521" s="1"/>
      <c r="Z521" s="1"/>
      <c r="AA521" s="1"/>
      <c r="AE521" s="1"/>
    </row>
    <row r="522" spans="9:31" x14ac:dyDescent="0.25">
      <c r="I522" s="1"/>
      <c r="J522" s="1"/>
      <c r="N522" s="1"/>
      <c r="Z522" s="1"/>
      <c r="AA522" s="1"/>
      <c r="AB522" s="1"/>
      <c r="AE522" s="1"/>
    </row>
    <row r="523" spans="9:31" x14ac:dyDescent="0.25">
      <c r="I523" s="1"/>
      <c r="J523" s="1"/>
      <c r="K523" s="1"/>
      <c r="N523" s="1"/>
      <c r="Z523" s="1"/>
      <c r="AA523" s="1"/>
      <c r="AE523" s="1"/>
    </row>
    <row r="524" spans="9:31" x14ac:dyDescent="0.25">
      <c r="I524" s="1"/>
      <c r="J524" s="1"/>
      <c r="K524" s="1"/>
      <c r="N524" s="1"/>
      <c r="Z524" s="1"/>
      <c r="AA524" s="1"/>
      <c r="AB524" s="1"/>
      <c r="AE524" s="1"/>
    </row>
    <row r="525" spans="9:31" x14ac:dyDescent="0.25">
      <c r="I525" s="1"/>
      <c r="J525" s="1"/>
      <c r="K525" s="1"/>
      <c r="N525" s="1"/>
      <c r="Z525" s="1"/>
      <c r="AA525" s="1"/>
      <c r="AE525" s="1"/>
    </row>
    <row r="526" spans="9:31" x14ac:dyDescent="0.25">
      <c r="I526" s="1"/>
      <c r="J526" s="1"/>
      <c r="K526" s="1"/>
      <c r="N526" s="1"/>
      <c r="Z526" s="1"/>
      <c r="AA526" s="1"/>
      <c r="AB526" s="1"/>
      <c r="AE526" s="1"/>
    </row>
    <row r="527" spans="9:31" x14ac:dyDescent="0.25">
      <c r="I527" s="1"/>
      <c r="J527" s="1"/>
      <c r="K527" s="1"/>
      <c r="N527" s="1"/>
      <c r="Z527" s="1"/>
      <c r="AA527" s="1"/>
      <c r="AB527" s="1"/>
      <c r="AE527" s="1"/>
    </row>
    <row r="528" spans="9:31" x14ac:dyDescent="0.25">
      <c r="I528" s="1"/>
      <c r="J528" s="1"/>
      <c r="K528" s="1"/>
      <c r="N528" s="1"/>
      <c r="Z528" s="1"/>
      <c r="AA528" s="1"/>
      <c r="AE528" s="1"/>
    </row>
    <row r="529" spans="9:31" x14ac:dyDescent="0.25">
      <c r="I529" s="1"/>
      <c r="J529" s="1"/>
      <c r="N529" s="1"/>
      <c r="Z529" s="1"/>
      <c r="AA529" s="1"/>
      <c r="AE529" s="1"/>
    </row>
    <row r="530" spans="9:31" x14ac:dyDescent="0.25">
      <c r="I530" s="1"/>
      <c r="J530" s="1"/>
      <c r="N530" s="1"/>
      <c r="Z530" s="1"/>
      <c r="AA530" s="1"/>
      <c r="AE530" s="1"/>
    </row>
    <row r="531" spans="9:31" x14ac:dyDescent="0.25">
      <c r="I531" s="1"/>
      <c r="J531" s="1"/>
      <c r="N531" s="1"/>
      <c r="Z531" s="1"/>
      <c r="AA531" s="1"/>
      <c r="AE531" s="1"/>
    </row>
    <row r="532" spans="9:31" x14ac:dyDescent="0.25">
      <c r="I532" s="1"/>
      <c r="J532" s="1"/>
      <c r="N532" s="1"/>
      <c r="Z532" s="1"/>
      <c r="AA532" s="1"/>
      <c r="AE532" s="1"/>
    </row>
    <row r="533" spans="9:31" x14ac:dyDescent="0.25">
      <c r="I533" s="1"/>
      <c r="J533" s="1"/>
      <c r="N533" s="1"/>
      <c r="Z533" s="1"/>
      <c r="AA533" s="1"/>
      <c r="AE533" s="1"/>
    </row>
    <row r="534" spans="9:31" x14ac:dyDescent="0.25">
      <c r="I534" s="1"/>
      <c r="J534" s="1"/>
      <c r="N534" s="1"/>
      <c r="Z534" s="1"/>
      <c r="AA534" s="1"/>
      <c r="AE534" s="1"/>
    </row>
    <row r="535" spans="9:31" x14ac:dyDescent="0.25">
      <c r="I535" s="1"/>
      <c r="J535" s="1"/>
      <c r="N535" s="1"/>
      <c r="Z535" s="1"/>
      <c r="AA535" s="1"/>
      <c r="AE535" s="1"/>
    </row>
    <row r="536" spans="9:31" x14ac:dyDescent="0.25">
      <c r="I536" s="1"/>
      <c r="J536" s="1"/>
      <c r="N536" s="1"/>
      <c r="Z536" s="1"/>
      <c r="AA536" s="1"/>
      <c r="AE536" s="1"/>
    </row>
    <row r="537" spans="9:31" x14ac:dyDescent="0.25">
      <c r="I537" s="1"/>
      <c r="J537" s="1"/>
      <c r="N537" s="1"/>
      <c r="Z537" s="1"/>
      <c r="AA537" s="1"/>
      <c r="AE537" s="1"/>
    </row>
    <row r="538" spans="9:31" x14ac:dyDescent="0.25">
      <c r="I538" s="1"/>
      <c r="J538" s="1"/>
      <c r="K538" s="1"/>
      <c r="N538" s="1"/>
      <c r="Z538" s="1"/>
      <c r="AA538" s="1"/>
      <c r="AE538" s="1"/>
    </row>
    <row r="539" spans="9:31" x14ac:dyDescent="0.25">
      <c r="I539" s="1"/>
      <c r="J539" s="1"/>
      <c r="N539" s="1"/>
      <c r="Z539" s="1"/>
      <c r="AA539" s="1"/>
      <c r="AB539" s="1"/>
      <c r="AE539" s="1"/>
    </row>
    <row r="540" spans="9:31" x14ac:dyDescent="0.25">
      <c r="I540" s="1"/>
      <c r="J540" s="1"/>
      <c r="N540" s="1"/>
      <c r="Z540" s="1"/>
      <c r="AA540" s="1"/>
      <c r="AE540" s="1"/>
    </row>
    <row r="541" spans="9:31" x14ac:dyDescent="0.25">
      <c r="I541" s="1"/>
      <c r="J541" s="1"/>
      <c r="N541" s="1"/>
      <c r="Z541" s="1"/>
      <c r="AA541" s="1"/>
      <c r="AE541" s="1"/>
    </row>
    <row r="542" spans="9:31" x14ac:dyDescent="0.25">
      <c r="I542" s="1"/>
      <c r="J542" s="1"/>
      <c r="N542" s="1"/>
      <c r="Z542" s="1"/>
      <c r="AA542" s="1"/>
      <c r="AE542" s="1"/>
    </row>
    <row r="543" spans="9:31" x14ac:dyDescent="0.25">
      <c r="I543" s="1"/>
      <c r="J543" s="1"/>
      <c r="K543" s="1"/>
      <c r="N543" s="1"/>
      <c r="Z543" s="1"/>
      <c r="AA543" s="1"/>
      <c r="AE543" s="1"/>
    </row>
    <row r="544" spans="9:31" x14ac:dyDescent="0.25">
      <c r="I544" s="1"/>
      <c r="J544" s="1"/>
      <c r="N544" s="1"/>
      <c r="Z544" s="1"/>
      <c r="AA544" s="1"/>
      <c r="AE544" s="1"/>
    </row>
    <row r="545" spans="9:31" x14ac:dyDescent="0.25">
      <c r="I545" s="1"/>
      <c r="J545" s="1"/>
      <c r="N545" s="1"/>
      <c r="Z545" s="1"/>
      <c r="AA545" s="1"/>
      <c r="AE545" s="1"/>
    </row>
    <row r="546" spans="9:31" x14ac:dyDescent="0.25">
      <c r="I546" s="1"/>
      <c r="J546" s="1"/>
      <c r="N546" s="1"/>
      <c r="Z546" s="1"/>
      <c r="AA546" s="1"/>
      <c r="AE546" s="1"/>
    </row>
    <row r="547" spans="9:31" x14ac:dyDescent="0.25">
      <c r="I547" s="1"/>
      <c r="J547" s="1"/>
      <c r="N547" s="1"/>
      <c r="Z547" s="1"/>
      <c r="AA547" s="1"/>
      <c r="AE547" s="1"/>
    </row>
    <row r="548" spans="9:31" x14ac:dyDescent="0.25">
      <c r="I548" s="1"/>
      <c r="J548" s="1"/>
      <c r="N548" s="1"/>
      <c r="Z548" s="1"/>
      <c r="AA548" s="1"/>
      <c r="AE548" s="1"/>
    </row>
    <row r="549" spans="9:31" x14ac:dyDescent="0.25">
      <c r="I549" s="1"/>
      <c r="J549" s="1"/>
      <c r="N549" s="1"/>
      <c r="Z549" s="1"/>
      <c r="AA549" s="1"/>
      <c r="AE549" s="1"/>
    </row>
    <row r="550" spans="9:31" x14ac:dyDescent="0.25">
      <c r="I550" s="1"/>
      <c r="J550" s="1"/>
      <c r="N550" s="1"/>
      <c r="Z550" s="1"/>
      <c r="AA550" s="1"/>
      <c r="AE550" s="1"/>
    </row>
    <row r="551" spans="9:31" x14ac:dyDescent="0.25">
      <c r="I551" s="1"/>
      <c r="J551" s="1"/>
      <c r="N551" s="1"/>
      <c r="Z551" s="1"/>
      <c r="AA551" s="1"/>
      <c r="AE551" s="1"/>
    </row>
    <row r="552" spans="9:31" x14ac:dyDescent="0.25">
      <c r="I552" s="1"/>
      <c r="J552" s="1"/>
      <c r="N552" s="1"/>
      <c r="Z552" s="1"/>
      <c r="AA552" s="1"/>
      <c r="AE552" s="1"/>
    </row>
    <row r="553" spans="9:31" x14ac:dyDescent="0.25">
      <c r="I553" s="1"/>
      <c r="J553" s="1"/>
      <c r="N553" s="1"/>
      <c r="Z553" s="1"/>
      <c r="AA553" s="1"/>
      <c r="AE553" s="1"/>
    </row>
    <row r="554" spans="9:31" x14ac:dyDescent="0.25">
      <c r="I554" s="1"/>
      <c r="J554" s="1"/>
      <c r="N554" s="1"/>
      <c r="Z554" s="1"/>
      <c r="AA554" s="1"/>
      <c r="AE554" s="1"/>
    </row>
    <row r="555" spans="9:31" x14ac:dyDescent="0.25">
      <c r="I555" s="1"/>
      <c r="J555" s="1"/>
      <c r="N555" s="1"/>
      <c r="Z555" s="1"/>
      <c r="AA555" s="1"/>
      <c r="AE555" s="1"/>
    </row>
    <row r="556" spans="9:31" x14ac:dyDescent="0.25">
      <c r="I556" s="1"/>
      <c r="J556" s="1"/>
      <c r="N556" s="1"/>
      <c r="Z556" s="1"/>
      <c r="AA556" s="1"/>
      <c r="AE556" s="1"/>
    </row>
    <row r="557" spans="9:31" x14ac:dyDescent="0.25">
      <c r="I557" s="1"/>
      <c r="J557" s="1"/>
      <c r="N557" s="1"/>
      <c r="Z557" s="1"/>
      <c r="AA557" s="1"/>
      <c r="AE557" s="1"/>
    </row>
    <row r="558" spans="9:31" x14ac:dyDescent="0.25">
      <c r="I558" s="1"/>
      <c r="J558" s="1"/>
      <c r="N558" s="1"/>
      <c r="Z558" s="1"/>
      <c r="AA558" s="1"/>
      <c r="AE558" s="1"/>
    </row>
    <row r="559" spans="9:31" x14ac:dyDescent="0.25">
      <c r="I559" s="1"/>
      <c r="J559" s="1"/>
      <c r="K559" s="1"/>
      <c r="N559" s="1"/>
      <c r="Z559" s="1"/>
      <c r="AA559" s="1"/>
      <c r="AE559" s="1"/>
    </row>
    <row r="560" spans="9:31" x14ac:dyDescent="0.25">
      <c r="I560" s="1"/>
      <c r="J560" s="1"/>
      <c r="N560" s="1"/>
      <c r="Z560" s="1"/>
      <c r="AA560" s="1"/>
      <c r="AE560" s="1"/>
    </row>
    <row r="561" spans="9:31" x14ac:dyDescent="0.25">
      <c r="I561" s="1"/>
      <c r="J561" s="1"/>
      <c r="N561" s="1"/>
      <c r="Z561" s="1"/>
      <c r="AA561" s="1"/>
      <c r="AE561" s="1"/>
    </row>
    <row r="562" spans="9:31" x14ac:dyDescent="0.25">
      <c r="I562" s="1"/>
      <c r="J562" s="1"/>
      <c r="N562" s="1"/>
      <c r="Z562" s="1"/>
      <c r="AA562" s="1"/>
      <c r="AE562" s="1"/>
    </row>
    <row r="563" spans="9:31" x14ac:dyDescent="0.25">
      <c r="I563" s="1"/>
      <c r="J563" s="1"/>
      <c r="N563" s="1"/>
      <c r="Z563" s="1"/>
      <c r="AA563" s="1"/>
      <c r="AE563" s="1"/>
    </row>
    <row r="564" spans="9:31" x14ac:dyDescent="0.25">
      <c r="I564" s="1"/>
      <c r="J564" s="1"/>
      <c r="N564" s="1"/>
      <c r="Z564" s="1"/>
      <c r="AA564" s="1"/>
      <c r="AE564" s="1"/>
    </row>
    <row r="565" spans="9:31" x14ac:dyDescent="0.25">
      <c r="I565" s="1"/>
      <c r="J565" s="1"/>
      <c r="N565" s="1"/>
      <c r="Z565" s="1"/>
      <c r="AA565" s="1"/>
      <c r="AE565" s="1"/>
    </row>
    <row r="566" spans="9:31" x14ac:dyDescent="0.25">
      <c r="I566" s="1"/>
      <c r="J566" s="1"/>
      <c r="N566" s="1"/>
      <c r="Z566" s="1"/>
      <c r="AA566" s="1"/>
      <c r="AE566" s="1"/>
    </row>
    <row r="567" spans="9:31" x14ac:dyDescent="0.25">
      <c r="I567" s="1"/>
      <c r="J567" s="1"/>
      <c r="N567" s="1"/>
      <c r="Z567" s="1"/>
      <c r="AA567" s="1"/>
      <c r="AE567" s="1"/>
    </row>
    <row r="568" spans="9:31" x14ac:dyDescent="0.25">
      <c r="I568" s="1"/>
      <c r="J568" s="1"/>
      <c r="N568" s="1"/>
      <c r="Z568" s="1"/>
      <c r="AA568" s="1"/>
      <c r="AE568" s="1"/>
    </row>
    <row r="569" spans="9:31" x14ac:dyDescent="0.25">
      <c r="I569" s="1"/>
      <c r="J569" s="1"/>
      <c r="N569" s="1"/>
      <c r="Z569" s="1"/>
      <c r="AA569" s="1"/>
      <c r="AE569" s="1"/>
    </row>
    <row r="570" spans="9:31" x14ac:dyDescent="0.25">
      <c r="I570" s="1"/>
      <c r="J570" s="1"/>
      <c r="N570" s="1"/>
      <c r="Z570" s="1"/>
      <c r="AA570" s="1"/>
      <c r="AE570" s="1"/>
    </row>
    <row r="571" spans="9:31" x14ac:dyDescent="0.25">
      <c r="I571" s="1"/>
      <c r="J571" s="1"/>
      <c r="K571" s="1"/>
      <c r="N571" s="1"/>
      <c r="Z571" s="1"/>
      <c r="AA571" s="1"/>
      <c r="AE571" s="1"/>
    </row>
    <row r="572" spans="9:31" x14ac:dyDescent="0.25">
      <c r="I572" s="1"/>
      <c r="J572" s="1"/>
      <c r="N572" s="1"/>
      <c r="Z572" s="1"/>
      <c r="AA572" s="1"/>
      <c r="AE572" s="1"/>
    </row>
    <row r="573" spans="9:31" x14ac:dyDescent="0.25">
      <c r="I573" s="1"/>
      <c r="J573" s="1"/>
      <c r="K573" s="1"/>
      <c r="N573" s="1"/>
      <c r="Z573" s="1"/>
      <c r="AA573" s="1"/>
      <c r="AE573" s="1"/>
    </row>
    <row r="574" spans="9:31" x14ac:dyDescent="0.25">
      <c r="I574" s="1"/>
      <c r="J574" s="1"/>
      <c r="K574" s="1"/>
      <c r="N574" s="1"/>
      <c r="Z574" s="1"/>
      <c r="AA574" s="1"/>
      <c r="AB574" s="1"/>
      <c r="AE574" s="1"/>
    </row>
    <row r="575" spans="9:31" x14ac:dyDescent="0.25">
      <c r="I575" s="1"/>
      <c r="J575" s="1"/>
      <c r="N575" s="1"/>
      <c r="Z575" s="1"/>
      <c r="AA575" s="1"/>
      <c r="AE575" s="1"/>
    </row>
    <row r="576" spans="9:31" x14ac:dyDescent="0.25">
      <c r="I576" s="1"/>
      <c r="J576" s="1"/>
      <c r="N576" s="1"/>
      <c r="Z576" s="1"/>
      <c r="AA576" s="1"/>
      <c r="AE576" s="1"/>
    </row>
    <row r="577" spans="9:31" x14ac:dyDescent="0.25">
      <c r="I577" s="1"/>
      <c r="J577" s="1"/>
      <c r="N577" s="1"/>
      <c r="Z577" s="1"/>
      <c r="AA577" s="1"/>
      <c r="AE577" s="1"/>
    </row>
    <row r="578" spans="9:31" x14ac:dyDescent="0.25">
      <c r="I578" s="1"/>
      <c r="J578" s="1"/>
      <c r="N578" s="1"/>
      <c r="Z578" s="1"/>
      <c r="AA578" s="1"/>
      <c r="AE578" s="1"/>
    </row>
    <row r="579" spans="9:31" x14ac:dyDescent="0.25">
      <c r="I579" s="1"/>
      <c r="J579" s="1"/>
      <c r="N579" s="1"/>
      <c r="Z579" s="1"/>
      <c r="AA579" s="1"/>
      <c r="AE579" s="1"/>
    </row>
    <row r="580" spans="9:31" x14ac:dyDescent="0.25">
      <c r="I580" s="1"/>
      <c r="J580" s="1"/>
      <c r="N580" s="1"/>
      <c r="Z580" s="1"/>
      <c r="AA580" s="1"/>
      <c r="AE580" s="1"/>
    </row>
    <row r="581" spans="9:31" x14ac:dyDescent="0.25">
      <c r="I581" s="1"/>
      <c r="J581" s="1"/>
      <c r="N581" s="1"/>
      <c r="Z581" s="1"/>
      <c r="AA581" s="1"/>
      <c r="AE581" s="1"/>
    </row>
    <row r="582" spans="9:31" x14ac:dyDescent="0.25">
      <c r="I582" s="1"/>
      <c r="J582" s="1"/>
      <c r="N582" s="1"/>
      <c r="Z582" s="1"/>
      <c r="AA582" s="1"/>
      <c r="AE582" s="1"/>
    </row>
    <row r="583" spans="9:31" x14ac:dyDescent="0.25">
      <c r="I583" s="1"/>
      <c r="J583" s="1"/>
      <c r="N583" s="1"/>
      <c r="Z583" s="1"/>
      <c r="AA583" s="1"/>
      <c r="AE583" s="1"/>
    </row>
    <row r="584" spans="9:31" x14ac:dyDescent="0.25">
      <c r="I584" s="1"/>
      <c r="J584" s="1"/>
      <c r="N584" s="1"/>
      <c r="Z584" s="1"/>
      <c r="AA584" s="1"/>
      <c r="AE584" s="1"/>
    </row>
    <row r="585" spans="9:31" x14ac:dyDescent="0.25">
      <c r="I585" s="1"/>
      <c r="J585" s="1"/>
      <c r="N585" s="1"/>
      <c r="Z585" s="1"/>
      <c r="AA585" s="1"/>
      <c r="AE585" s="1"/>
    </row>
    <row r="586" spans="9:31" x14ac:dyDescent="0.25">
      <c r="I586" s="1"/>
      <c r="J586" s="1"/>
      <c r="K586" s="1"/>
      <c r="N586" s="1"/>
      <c r="Z586" s="1"/>
      <c r="AA586" s="1"/>
      <c r="AE586" s="1"/>
    </row>
    <row r="587" spans="9:31" x14ac:dyDescent="0.25">
      <c r="I587" s="1"/>
      <c r="J587" s="1"/>
      <c r="N587" s="1"/>
      <c r="Z587" s="1"/>
      <c r="AA587" s="1"/>
      <c r="AE587" s="1"/>
    </row>
    <row r="588" spans="9:31" x14ac:dyDescent="0.25">
      <c r="I588" s="1"/>
      <c r="J588" s="1"/>
      <c r="K588" s="1"/>
      <c r="N588" s="1"/>
      <c r="Z588" s="1"/>
      <c r="AA588" s="1"/>
      <c r="AE588" s="1"/>
    </row>
    <row r="589" spans="9:31" x14ac:dyDescent="0.25">
      <c r="I589" s="1"/>
      <c r="J589" s="1"/>
      <c r="N589" s="1"/>
      <c r="Z589" s="1"/>
      <c r="AA589" s="1"/>
      <c r="AB589" s="1"/>
      <c r="AE589" s="1"/>
    </row>
    <row r="590" spans="9:31" x14ac:dyDescent="0.25">
      <c r="I590" s="1"/>
      <c r="J590" s="1"/>
      <c r="K590" s="1"/>
      <c r="N590" s="1"/>
      <c r="Z590" s="1"/>
      <c r="AA590" s="1"/>
      <c r="AE590" s="1"/>
    </row>
    <row r="591" spans="9:31" x14ac:dyDescent="0.25">
      <c r="I591" s="1"/>
      <c r="J591" s="1"/>
      <c r="N591" s="1"/>
      <c r="Z591" s="1"/>
      <c r="AA591" s="1"/>
      <c r="AB591" s="1"/>
      <c r="AE591" s="1"/>
    </row>
    <row r="592" spans="9:31" x14ac:dyDescent="0.25">
      <c r="I592" s="1"/>
      <c r="J592" s="1"/>
      <c r="N592" s="1"/>
      <c r="Z592" s="1"/>
      <c r="AA592" s="1"/>
      <c r="AE592" s="1"/>
    </row>
    <row r="593" spans="9:31" x14ac:dyDescent="0.25">
      <c r="I593" s="1"/>
      <c r="J593" s="1"/>
      <c r="N593" s="1"/>
      <c r="Z593" s="1"/>
      <c r="AA593" s="1"/>
      <c r="AE593" s="1"/>
    </row>
    <row r="594" spans="9:31" x14ac:dyDescent="0.25">
      <c r="I594" s="1"/>
      <c r="J594" s="1"/>
      <c r="N594" s="1"/>
      <c r="Z594" s="1"/>
      <c r="AA594" s="1"/>
      <c r="AE594" s="1"/>
    </row>
    <row r="595" spans="9:31" x14ac:dyDescent="0.25">
      <c r="I595" s="1"/>
      <c r="J595" s="1"/>
      <c r="K595" s="1"/>
      <c r="N595" s="1"/>
      <c r="Z595" s="1"/>
      <c r="AA595" s="1"/>
      <c r="AE595" s="1"/>
    </row>
    <row r="596" spans="9:31" x14ac:dyDescent="0.25">
      <c r="I596" s="1"/>
      <c r="J596" s="1"/>
      <c r="N596" s="1"/>
      <c r="Z596" s="1"/>
      <c r="AA596" s="1"/>
      <c r="AB596" s="1"/>
      <c r="AE596" s="1"/>
    </row>
    <row r="597" spans="9:31" x14ac:dyDescent="0.25">
      <c r="I597" s="1"/>
      <c r="J597" s="1"/>
      <c r="N597" s="1"/>
      <c r="Z597" s="1"/>
      <c r="AA597" s="1"/>
      <c r="AE597" s="1"/>
    </row>
    <row r="598" spans="9:31" x14ac:dyDescent="0.25">
      <c r="I598" s="1"/>
      <c r="J598" s="1"/>
      <c r="K598" s="1"/>
      <c r="N598" s="1"/>
      <c r="Z598" s="1"/>
      <c r="AA598" s="1"/>
      <c r="AE598" s="1"/>
    </row>
    <row r="599" spans="9:31" x14ac:dyDescent="0.25">
      <c r="I599" s="1"/>
      <c r="J599" s="1"/>
      <c r="N599" s="1"/>
      <c r="Z599" s="1"/>
      <c r="AA599" s="1"/>
      <c r="AE599" s="1"/>
    </row>
    <row r="600" spans="9:31" x14ac:dyDescent="0.25">
      <c r="I600" s="1"/>
      <c r="J600" s="1"/>
      <c r="N600" s="1"/>
      <c r="Z600" s="1"/>
      <c r="AA600" s="1"/>
      <c r="AE600" s="1"/>
    </row>
    <row r="601" spans="9:31" x14ac:dyDescent="0.25">
      <c r="I601" s="1"/>
      <c r="J601" s="1"/>
      <c r="N601" s="1"/>
      <c r="Z601" s="1"/>
      <c r="AA601" s="1"/>
      <c r="AE601" s="1"/>
    </row>
    <row r="602" spans="9:31" x14ac:dyDescent="0.25">
      <c r="I602" s="1"/>
      <c r="J602" s="1"/>
      <c r="N602" s="1"/>
      <c r="Z602" s="1"/>
      <c r="AA602" s="1"/>
      <c r="AE602" s="1"/>
    </row>
    <row r="603" spans="9:31" x14ac:dyDescent="0.25">
      <c r="I603" s="1"/>
      <c r="J603" s="1"/>
      <c r="K603" s="1"/>
      <c r="N603" s="1"/>
      <c r="Z603" s="1"/>
      <c r="AA603" s="1"/>
      <c r="AE603" s="1"/>
    </row>
    <row r="604" spans="9:31" x14ac:dyDescent="0.25">
      <c r="I604" s="1"/>
      <c r="J604" s="1"/>
      <c r="N604" s="1"/>
      <c r="Z604" s="1"/>
      <c r="AA604" s="1"/>
      <c r="AB604" s="1"/>
      <c r="AE604" s="1"/>
    </row>
    <row r="605" spans="9:31" x14ac:dyDescent="0.25">
      <c r="I605" s="1"/>
      <c r="J605" s="1"/>
      <c r="N605" s="1"/>
      <c r="Z605" s="1"/>
      <c r="AA605" s="1"/>
      <c r="AE605" s="1"/>
    </row>
    <row r="606" spans="9:31" x14ac:dyDescent="0.25">
      <c r="I606" s="1"/>
      <c r="J606" s="1"/>
      <c r="N606" s="1"/>
      <c r="Z606" s="1"/>
      <c r="AA606" s="1"/>
      <c r="AE606" s="1"/>
    </row>
    <row r="607" spans="9:31" x14ac:dyDescent="0.25">
      <c r="I607" s="1"/>
      <c r="J607" s="1"/>
      <c r="N607" s="1"/>
      <c r="Z607" s="1"/>
      <c r="AA607" s="1"/>
      <c r="AE607" s="1"/>
    </row>
    <row r="608" spans="9:31" x14ac:dyDescent="0.25">
      <c r="I608" s="1"/>
      <c r="J608" s="1"/>
      <c r="N608" s="1"/>
      <c r="Z608" s="1"/>
      <c r="AA608" s="1"/>
      <c r="AE608" s="1"/>
    </row>
    <row r="609" spans="9:31" x14ac:dyDescent="0.25">
      <c r="I609" s="1"/>
      <c r="J609" s="1"/>
      <c r="N609" s="1"/>
      <c r="Z609" s="1"/>
      <c r="AA609" s="1"/>
      <c r="AE609" s="1"/>
    </row>
    <row r="610" spans="9:31" x14ac:dyDescent="0.25">
      <c r="I610" s="1"/>
      <c r="J610" s="1"/>
      <c r="N610" s="1"/>
      <c r="Z610" s="1"/>
      <c r="AA610" s="1"/>
      <c r="AE610" s="1"/>
    </row>
    <row r="611" spans="9:31" x14ac:dyDescent="0.25">
      <c r="I611" s="1"/>
      <c r="J611" s="1"/>
      <c r="K611" s="1"/>
      <c r="N611" s="1"/>
      <c r="Z611" s="1"/>
      <c r="AA611" s="1"/>
      <c r="AE611" s="1"/>
    </row>
    <row r="612" spans="9:31" x14ac:dyDescent="0.25">
      <c r="I612" s="1"/>
      <c r="J612" s="1"/>
      <c r="N612" s="1"/>
      <c r="Z612" s="1"/>
      <c r="AA612" s="1"/>
      <c r="AB612" s="1"/>
      <c r="AE612" s="1"/>
    </row>
    <row r="613" spans="9:31" x14ac:dyDescent="0.25">
      <c r="I613" s="1"/>
      <c r="J613" s="1"/>
      <c r="N613" s="1"/>
      <c r="Z613" s="1"/>
      <c r="AA613" s="1"/>
      <c r="AE613" s="1"/>
    </row>
    <row r="614" spans="9:31" x14ac:dyDescent="0.25">
      <c r="I614" s="1"/>
      <c r="J614" s="1"/>
      <c r="N614" s="1"/>
      <c r="Z614" s="1"/>
      <c r="AA614" s="1"/>
      <c r="AE614" s="1"/>
    </row>
    <row r="615" spans="9:31" x14ac:dyDescent="0.25">
      <c r="I615" s="1"/>
      <c r="J615" s="1"/>
      <c r="N615" s="1"/>
      <c r="Z615" s="1"/>
      <c r="AA615" s="1"/>
      <c r="AE615" s="1"/>
    </row>
    <row r="616" spans="9:31" x14ac:dyDescent="0.25">
      <c r="I616" s="1"/>
      <c r="J616" s="1"/>
      <c r="N616" s="1"/>
      <c r="Z616" s="1"/>
      <c r="AA616" s="1"/>
      <c r="AE616" s="1"/>
    </row>
    <row r="617" spans="9:31" x14ac:dyDescent="0.25">
      <c r="I617" s="1"/>
      <c r="J617" s="1"/>
      <c r="N617" s="1"/>
      <c r="Z617" s="1"/>
      <c r="AA617" s="1"/>
      <c r="AE617" s="1"/>
    </row>
    <row r="618" spans="9:31" x14ac:dyDescent="0.25">
      <c r="I618" s="1"/>
      <c r="J618" s="1"/>
      <c r="N618" s="1"/>
      <c r="Z618" s="1"/>
      <c r="AA618" s="1"/>
      <c r="AE618" s="1"/>
    </row>
    <row r="619" spans="9:31" x14ac:dyDescent="0.25">
      <c r="I619" s="1"/>
      <c r="J619" s="1"/>
      <c r="N619" s="1"/>
      <c r="Z619" s="1"/>
      <c r="AA619" s="1"/>
      <c r="AE619" s="1"/>
    </row>
    <row r="620" spans="9:31" x14ac:dyDescent="0.25">
      <c r="I620" s="1"/>
      <c r="J620" s="1"/>
      <c r="N620" s="1"/>
      <c r="Z620" s="1"/>
      <c r="AA620" s="1"/>
      <c r="AE620" s="1"/>
    </row>
    <row r="621" spans="9:31" x14ac:dyDescent="0.25">
      <c r="I621" s="1"/>
      <c r="J621" s="1"/>
      <c r="K621" s="1"/>
      <c r="N621" s="1"/>
      <c r="Z621" s="1"/>
      <c r="AA621" s="1"/>
      <c r="AE621" s="1"/>
    </row>
    <row r="622" spans="9:31" x14ac:dyDescent="0.25">
      <c r="I622" s="1"/>
      <c r="J622" s="1"/>
      <c r="N622" s="1"/>
      <c r="Z622" s="1"/>
      <c r="AA622" s="1"/>
      <c r="AB622" s="1"/>
      <c r="AE622" s="1"/>
    </row>
    <row r="623" spans="9:31" x14ac:dyDescent="0.25">
      <c r="I623" s="1"/>
      <c r="J623" s="1"/>
      <c r="N623" s="1"/>
      <c r="Z623" s="1"/>
      <c r="AA623" s="1"/>
      <c r="AE623" s="1"/>
    </row>
    <row r="624" spans="9:31" x14ac:dyDescent="0.25">
      <c r="I624" s="1"/>
      <c r="J624" s="1"/>
      <c r="N624" s="1"/>
      <c r="Z624" s="1"/>
      <c r="AA624" s="1"/>
      <c r="AE624" s="1"/>
    </row>
    <row r="625" spans="9:31" x14ac:dyDescent="0.25">
      <c r="I625" s="1"/>
      <c r="J625" s="1"/>
      <c r="N625" s="1"/>
      <c r="Z625" s="1"/>
      <c r="AA625" s="1"/>
      <c r="AE625" s="1"/>
    </row>
    <row r="626" spans="9:31" x14ac:dyDescent="0.25">
      <c r="I626" s="1"/>
      <c r="J626" s="1"/>
      <c r="N626" s="1"/>
      <c r="Z626" s="1"/>
      <c r="AA626" s="1"/>
      <c r="AE626" s="1"/>
    </row>
    <row r="627" spans="9:31" x14ac:dyDescent="0.25">
      <c r="I627" s="1"/>
      <c r="J627" s="1"/>
      <c r="N627" s="1"/>
      <c r="Z627" s="1"/>
      <c r="AA627" s="1"/>
      <c r="AE627" s="1"/>
    </row>
    <row r="628" spans="9:31" x14ac:dyDescent="0.25">
      <c r="I628" s="1"/>
      <c r="J628" s="1"/>
      <c r="N628" s="1"/>
      <c r="Z628" s="1"/>
      <c r="AA628" s="1"/>
      <c r="AE628" s="1"/>
    </row>
    <row r="629" spans="9:31" x14ac:dyDescent="0.25">
      <c r="I629" s="1"/>
      <c r="J629" s="1"/>
      <c r="N629" s="1"/>
      <c r="Z629" s="1"/>
      <c r="AA629" s="1"/>
      <c r="AE629" s="1"/>
    </row>
    <row r="630" spans="9:31" x14ac:dyDescent="0.25">
      <c r="I630" s="1"/>
      <c r="J630" s="1"/>
      <c r="N630" s="1"/>
      <c r="Z630" s="1"/>
      <c r="AA630" s="1"/>
      <c r="AE630" s="1"/>
    </row>
    <row r="631" spans="9:31" x14ac:dyDescent="0.25">
      <c r="I631" s="1"/>
      <c r="J631" s="1"/>
      <c r="K631" s="1"/>
      <c r="N631" s="1"/>
      <c r="Z631" s="1"/>
      <c r="AA631" s="1"/>
      <c r="AE631" s="1"/>
    </row>
    <row r="632" spans="9:31" x14ac:dyDescent="0.25">
      <c r="I632" s="1"/>
      <c r="J632" s="1"/>
      <c r="N632" s="1"/>
      <c r="Z632" s="1"/>
      <c r="AA632" s="1"/>
      <c r="AB632" s="1"/>
      <c r="AE632" s="1"/>
    </row>
    <row r="633" spans="9:31" x14ac:dyDescent="0.25">
      <c r="I633" s="1"/>
      <c r="J633" s="1"/>
      <c r="K633" s="1"/>
      <c r="N633" s="1"/>
      <c r="Z633" s="1"/>
      <c r="AA633" s="1"/>
      <c r="AE633" s="1"/>
    </row>
    <row r="634" spans="9:31" x14ac:dyDescent="0.25">
      <c r="I634" s="1"/>
      <c r="J634" s="1"/>
      <c r="N634" s="1"/>
      <c r="Z634" s="1"/>
      <c r="AA634" s="1"/>
      <c r="AB634" s="1"/>
      <c r="AE634" s="1"/>
    </row>
    <row r="635" spans="9:31" x14ac:dyDescent="0.25">
      <c r="I635" s="1"/>
      <c r="J635" s="1"/>
      <c r="N635" s="1"/>
      <c r="Z635" s="1"/>
      <c r="AA635" s="1"/>
      <c r="AE635" s="1"/>
    </row>
    <row r="636" spans="9:31" x14ac:dyDescent="0.25">
      <c r="I636" s="1"/>
      <c r="J636" s="1"/>
      <c r="N636" s="1"/>
      <c r="Z636" s="1"/>
      <c r="AA636" s="1"/>
      <c r="AE636" s="1"/>
    </row>
    <row r="637" spans="9:31" x14ac:dyDescent="0.25">
      <c r="I637" s="1"/>
      <c r="J637" s="1"/>
      <c r="N637" s="1"/>
      <c r="Z637" s="1"/>
      <c r="AA637" s="1"/>
      <c r="AE637" s="1"/>
    </row>
    <row r="638" spans="9:31" x14ac:dyDescent="0.25">
      <c r="I638" s="1"/>
      <c r="N638" s="1"/>
      <c r="Z638" s="1"/>
      <c r="AA638" s="1"/>
      <c r="AE638" s="1"/>
    </row>
    <row r="639" spans="9:31" x14ac:dyDescent="0.25">
      <c r="I639" s="1"/>
      <c r="J639" s="1"/>
      <c r="N639" s="1"/>
      <c r="AE639" s="1"/>
    </row>
    <row r="640" spans="9:31" x14ac:dyDescent="0.25">
      <c r="N640" s="1"/>
      <c r="AE640" s="1"/>
    </row>
    <row r="641" spans="9:31" x14ac:dyDescent="0.25">
      <c r="I641" s="1"/>
      <c r="J641" s="1"/>
      <c r="N641" s="1"/>
      <c r="AE641" s="1"/>
    </row>
    <row r="642" spans="9:31" x14ac:dyDescent="0.25">
      <c r="N642" s="1"/>
      <c r="AE642" s="1"/>
    </row>
    <row r="643" spans="9:31" x14ac:dyDescent="0.25">
      <c r="N643" s="1"/>
      <c r="AE643" s="1"/>
    </row>
    <row r="644" spans="9:31" x14ac:dyDescent="0.25">
      <c r="I644" s="1"/>
      <c r="J644" s="1"/>
      <c r="N644" s="1"/>
      <c r="AE644" s="1"/>
    </row>
    <row r="645" spans="9:31" x14ac:dyDescent="0.25">
      <c r="I645" s="1"/>
      <c r="J645" s="1"/>
      <c r="N645" s="1"/>
      <c r="AE645" s="1"/>
    </row>
    <row r="646" spans="9:31" x14ac:dyDescent="0.25">
      <c r="N646" s="1"/>
      <c r="Z646" s="1"/>
      <c r="AA646" s="1"/>
      <c r="AE646" s="1"/>
    </row>
    <row r="647" spans="9:31" x14ac:dyDescent="0.25">
      <c r="N647" s="1"/>
      <c r="AE647" s="1"/>
    </row>
    <row r="648" spans="9:31" x14ac:dyDescent="0.25">
      <c r="I648" s="1"/>
      <c r="J648" s="1"/>
      <c r="N648" s="1"/>
      <c r="AE648" s="1"/>
    </row>
    <row r="649" spans="9:31" x14ac:dyDescent="0.25">
      <c r="N649" s="1"/>
      <c r="AE649" s="1"/>
    </row>
    <row r="650" spans="9:31" x14ac:dyDescent="0.25">
      <c r="N650" s="1"/>
      <c r="AE650" s="1"/>
    </row>
    <row r="651" spans="9:31" x14ac:dyDescent="0.25">
      <c r="N651" s="1"/>
      <c r="AE651" s="1"/>
    </row>
    <row r="652" spans="9:31" x14ac:dyDescent="0.25">
      <c r="N652" s="1"/>
      <c r="AE652" s="1"/>
    </row>
    <row r="653" spans="9:31" x14ac:dyDescent="0.25">
      <c r="I653" s="1"/>
      <c r="J653" s="1"/>
      <c r="N653" s="1"/>
      <c r="AE653" s="1"/>
    </row>
    <row r="654" spans="9:31" x14ac:dyDescent="0.25">
      <c r="N654" s="1"/>
      <c r="AE654" s="1"/>
    </row>
    <row r="655" spans="9:31" x14ac:dyDescent="0.25">
      <c r="N655" s="1"/>
      <c r="AE655" s="1"/>
    </row>
    <row r="656" spans="9:31" x14ac:dyDescent="0.25">
      <c r="N656" s="1"/>
      <c r="AE656" s="1"/>
    </row>
    <row r="657" spans="9:31" x14ac:dyDescent="0.25">
      <c r="N657" s="1"/>
      <c r="AE657" s="1"/>
    </row>
    <row r="658" spans="9:31" x14ac:dyDescent="0.25">
      <c r="I658" s="1"/>
      <c r="N658" s="1"/>
      <c r="AE658" s="1"/>
    </row>
    <row r="659" spans="9:31" x14ac:dyDescent="0.25">
      <c r="N659" s="1"/>
      <c r="Z659" s="1"/>
      <c r="AE659" s="1"/>
    </row>
    <row r="660" spans="9:31" x14ac:dyDescent="0.25">
      <c r="N660" s="1"/>
      <c r="AE660" s="1"/>
    </row>
    <row r="661" spans="9:31" x14ac:dyDescent="0.25">
      <c r="I661" s="1"/>
      <c r="J661" s="1"/>
      <c r="N661" s="1"/>
      <c r="AE661" s="1"/>
    </row>
    <row r="662" spans="9:31" x14ac:dyDescent="0.25">
      <c r="N662" s="1"/>
      <c r="Z662" s="1"/>
      <c r="AE662" s="1"/>
    </row>
    <row r="663" spans="9:31" x14ac:dyDescent="0.25">
      <c r="N663" s="1"/>
      <c r="AE663" s="1"/>
    </row>
    <row r="664" spans="9:31" x14ac:dyDescent="0.25">
      <c r="N664" s="1"/>
      <c r="AE664" s="1"/>
    </row>
    <row r="665" spans="9:31" x14ac:dyDescent="0.25">
      <c r="N665" s="1"/>
      <c r="AE665" s="1"/>
    </row>
    <row r="666" spans="9:31" x14ac:dyDescent="0.25">
      <c r="I666" s="1"/>
      <c r="J666" s="1"/>
      <c r="N666" s="1"/>
      <c r="AE666" s="1"/>
    </row>
    <row r="667" spans="9:31" x14ac:dyDescent="0.25">
      <c r="N667" s="1"/>
      <c r="Z667" s="1"/>
      <c r="AA667" s="1"/>
      <c r="AE667" s="1"/>
    </row>
    <row r="668" spans="9:31" x14ac:dyDescent="0.25">
      <c r="N668" s="1"/>
      <c r="AE668" s="1"/>
    </row>
    <row r="669" spans="9:31" x14ac:dyDescent="0.25">
      <c r="I669" s="1"/>
      <c r="J669" s="1"/>
      <c r="N669" s="1"/>
      <c r="AE669" s="1"/>
    </row>
    <row r="670" spans="9:31" x14ac:dyDescent="0.25">
      <c r="I670" s="1"/>
      <c r="J670" s="1"/>
      <c r="N670" s="1"/>
      <c r="AE670" s="1"/>
    </row>
    <row r="671" spans="9:31" x14ac:dyDescent="0.25">
      <c r="I671" s="1"/>
      <c r="J671" s="1"/>
      <c r="N671" s="1"/>
      <c r="Z671" s="1"/>
      <c r="AA671" s="1"/>
      <c r="AE671" s="1"/>
    </row>
    <row r="672" spans="9:31" x14ac:dyDescent="0.25">
      <c r="I672" s="1"/>
      <c r="J672" s="1"/>
      <c r="N672" s="1"/>
      <c r="AE672" s="1"/>
    </row>
    <row r="673" spans="9:31" x14ac:dyDescent="0.25">
      <c r="I673" s="1"/>
      <c r="J673" s="1"/>
      <c r="N673" s="1"/>
      <c r="Z673" s="1"/>
      <c r="AA673" s="1"/>
      <c r="AE673" s="1"/>
    </row>
    <row r="674" spans="9:31" x14ac:dyDescent="0.25">
      <c r="N674" s="1"/>
      <c r="Z674" s="1"/>
      <c r="AA674" s="1"/>
      <c r="AE674" s="1"/>
    </row>
    <row r="675" spans="9:31" x14ac:dyDescent="0.25">
      <c r="I675" s="1"/>
      <c r="J675" s="1"/>
      <c r="N675" s="1"/>
      <c r="AE675" s="1"/>
    </row>
    <row r="676" spans="9:31" x14ac:dyDescent="0.25">
      <c r="N676" s="1"/>
      <c r="AE676" s="1"/>
    </row>
    <row r="677" spans="9:31" x14ac:dyDescent="0.25">
      <c r="N677" s="1"/>
      <c r="AE677" s="1"/>
    </row>
    <row r="678" spans="9:31" x14ac:dyDescent="0.25">
      <c r="N678" s="1"/>
      <c r="AE678" s="1"/>
    </row>
    <row r="679" spans="9:31" x14ac:dyDescent="0.25">
      <c r="N679" s="1"/>
      <c r="AE679" s="1"/>
    </row>
    <row r="680" spans="9:31" x14ac:dyDescent="0.25">
      <c r="I680" s="1"/>
      <c r="J680" s="1"/>
      <c r="N680" s="1"/>
      <c r="AE680" s="1"/>
    </row>
    <row r="681" spans="9:31" x14ac:dyDescent="0.25">
      <c r="N681" s="1"/>
      <c r="Z681" s="1"/>
      <c r="AA681" s="1"/>
      <c r="AE681" s="1"/>
    </row>
    <row r="682" spans="9:31" x14ac:dyDescent="0.25">
      <c r="I682" s="1"/>
      <c r="J682" s="1"/>
      <c r="N682" s="1"/>
      <c r="AE682" s="1"/>
    </row>
    <row r="683" spans="9:31" x14ac:dyDescent="0.25">
      <c r="N683" s="1"/>
      <c r="Z683" s="1"/>
      <c r="AA683" s="1"/>
      <c r="AE683" s="1"/>
    </row>
    <row r="684" spans="9:31" x14ac:dyDescent="0.25">
      <c r="N684" s="1"/>
      <c r="AE684" s="1"/>
    </row>
    <row r="685" spans="9:31" x14ac:dyDescent="0.25">
      <c r="I685" s="1"/>
      <c r="J685" s="1"/>
      <c r="N685" s="1"/>
      <c r="AE685" s="1"/>
    </row>
    <row r="686" spans="9:31" x14ac:dyDescent="0.25">
      <c r="I686" s="1"/>
      <c r="J686" s="1"/>
      <c r="N686" s="1"/>
      <c r="Z686" s="1"/>
      <c r="AA686" s="1"/>
      <c r="AE686" s="1"/>
    </row>
    <row r="687" spans="9:31" x14ac:dyDescent="0.25">
      <c r="N687" s="1"/>
      <c r="Z687" s="1"/>
      <c r="AA687" s="1"/>
      <c r="AE687" s="1"/>
    </row>
    <row r="688" spans="9:31" x14ac:dyDescent="0.25">
      <c r="N688" s="1"/>
      <c r="AE688" s="1"/>
    </row>
    <row r="689" spans="9:31" x14ac:dyDescent="0.25">
      <c r="N689" s="1"/>
      <c r="AE689" s="1"/>
    </row>
    <row r="690" spans="9:31" x14ac:dyDescent="0.25">
      <c r="I690" s="1"/>
      <c r="J690" s="1"/>
      <c r="N690" s="1"/>
      <c r="AE690" s="1"/>
    </row>
    <row r="691" spans="9:31" x14ac:dyDescent="0.25">
      <c r="I691" s="1"/>
      <c r="J691" s="1"/>
      <c r="N691" s="1"/>
      <c r="Z691" s="1"/>
      <c r="AE691" s="1"/>
    </row>
    <row r="692" spans="9:31" x14ac:dyDescent="0.25">
      <c r="N692" s="1"/>
      <c r="AE692" s="1"/>
    </row>
    <row r="693" spans="9:31" x14ac:dyDescent="0.25">
      <c r="N693" s="1"/>
      <c r="AE693" s="1"/>
    </row>
    <row r="694" spans="9:31" x14ac:dyDescent="0.25">
      <c r="N694" s="1"/>
      <c r="AE694" s="1"/>
    </row>
    <row r="695" spans="9:31" x14ac:dyDescent="0.25">
      <c r="N695" s="1"/>
      <c r="AE695" s="1"/>
    </row>
    <row r="696" spans="9:31" x14ac:dyDescent="0.25">
      <c r="I696" s="1"/>
      <c r="J696" s="1"/>
      <c r="N696" s="1"/>
      <c r="AE696" s="1"/>
    </row>
    <row r="697" spans="9:31" x14ac:dyDescent="0.25">
      <c r="N697" s="1"/>
      <c r="Z697" s="1"/>
      <c r="AA697" s="1"/>
      <c r="AE697" s="1"/>
    </row>
    <row r="698" spans="9:31" x14ac:dyDescent="0.25">
      <c r="I698" s="1"/>
      <c r="J698" s="1"/>
      <c r="N698" s="1"/>
      <c r="AE698" s="1"/>
    </row>
    <row r="699" spans="9:31" x14ac:dyDescent="0.25">
      <c r="I699" s="1"/>
      <c r="J699" s="1"/>
      <c r="N699" s="1"/>
      <c r="AE699" s="1"/>
    </row>
    <row r="700" spans="9:31" x14ac:dyDescent="0.25">
      <c r="I700" s="1"/>
      <c r="J700" s="1"/>
      <c r="N700" s="1"/>
      <c r="Z700" s="1"/>
      <c r="AA700" s="1"/>
      <c r="AE700" s="1"/>
    </row>
    <row r="701" spans="9:31" x14ac:dyDescent="0.25">
      <c r="N701" s="1"/>
      <c r="AE701" s="1"/>
    </row>
    <row r="702" spans="9:31" x14ac:dyDescent="0.25">
      <c r="N702" s="1"/>
      <c r="AE702" s="1"/>
    </row>
    <row r="703" spans="9:31" x14ac:dyDescent="0.25">
      <c r="N703" s="1"/>
      <c r="AE703" s="1"/>
    </row>
    <row r="704" spans="9:31" x14ac:dyDescent="0.25">
      <c r="I704" s="1"/>
      <c r="J704" s="1"/>
      <c r="N704" s="1"/>
      <c r="AE704" s="1"/>
    </row>
    <row r="705" spans="9:31" x14ac:dyDescent="0.25">
      <c r="I705" s="1"/>
      <c r="J705" s="1"/>
      <c r="N705" s="1"/>
      <c r="AE705" s="1"/>
    </row>
    <row r="706" spans="9:31" x14ac:dyDescent="0.25">
      <c r="N706" s="1"/>
      <c r="AE706" s="1"/>
    </row>
    <row r="707" spans="9:31" x14ac:dyDescent="0.25">
      <c r="I707" s="1"/>
      <c r="N707" s="1"/>
      <c r="AE707" s="1"/>
    </row>
    <row r="708" spans="9:31" x14ac:dyDescent="0.25">
      <c r="I708" s="1"/>
      <c r="J708" s="1"/>
      <c r="N708" s="1"/>
      <c r="Z708" s="1"/>
      <c r="AE708" s="1"/>
    </row>
    <row r="709" spans="9:31" x14ac:dyDescent="0.25">
      <c r="I709" s="1"/>
      <c r="N709" s="1"/>
      <c r="AE709" s="1"/>
    </row>
    <row r="710" spans="9:31" x14ac:dyDescent="0.25">
      <c r="I710" s="1"/>
      <c r="J710" s="1"/>
      <c r="N710" s="1"/>
      <c r="Z710" s="1"/>
      <c r="AE710" s="1"/>
    </row>
    <row r="711" spans="9:31" x14ac:dyDescent="0.25">
      <c r="N711" s="1"/>
      <c r="Z711" s="1"/>
      <c r="AA711" s="1"/>
      <c r="AE711" s="1"/>
    </row>
    <row r="712" spans="9:31" x14ac:dyDescent="0.25">
      <c r="I712" s="1"/>
      <c r="J712" s="1"/>
      <c r="N712" s="1"/>
      <c r="AE712" s="1"/>
    </row>
    <row r="713" spans="9:31" x14ac:dyDescent="0.25">
      <c r="N713" s="1"/>
      <c r="Z713" s="1"/>
      <c r="AA713" s="1"/>
      <c r="AE713" s="1"/>
    </row>
    <row r="714" spans="9:31" x14ac:dyDescent="0.25">
      <c r="I714" s="1"/>
      <c r="J714" s="1"/>
      <c r="N714" s="1"/>
      <c r="AE714" s="1"/>
    </row>
    <row r="715" spans="9:31" x14ac:dyDescent="0.25">
      <c r="N715" s="1"/>
      <c r="Z715" s="1"/>
      <c r="AE715" s="1"/>
    </row>
    <row r="716" spans="9:31" x14ac:dyDescent="0.25">
      <c r="I716" s="1"/>
      <c r="N716" s="1"/>
      <c r="AE716" s="1"/>
    </row>
    <row r="717" spans="9:31" x14ac:dyDescent="0.25">
      <c r="I717" s="1"/>
      <c r="J717" s="1"/>
      <c r="N717" s="1"/>
      <c r="AE717" s="1"/>
    </row>
    <row r="718" spans="9:31" x14ac:dyDescent="0.25">
      <c r="N718" s="1"/>
      <c r="Z718" s="1"/>
      <c r="AA718" s="1"/>
      <c r="AE718" s="1"/>
    </row>
    <row r="719" spans="9:31" x14ac:dyDescent="0.25">
      <c r="I719" s="1"/>
      <c r="J719" s="1"/>
      <c r="N719" s="1"/>
      <c r="AE719" s="1"/>
    </row>
    <row r="720" spans="9:31" x14ac:dyDescent="0.25">
      <c r="N720" s="1"/>
      <c r="Z720" s="1"/>
      <c r="AE720" s="1"/>
    </row>
    <row r="721" spans="9:31" x14ac:dyDescent="0.25">
      <c r="N721" s="1"/>
      <c r="AE721" s="1"/>
    </row>
    <row r="722" spans="9:31" x14ac:dyDescent="0.25">
      <c r="I722" s="1"/>
      <c r="J722" s="1"/>
      <c r="N722" s="1"/>
      <c r="AE722" s="1"/>
    </row>
    <row r="723" spans="9:31" x14ac:dyDescent="0.25">
      <c r="I723" s="1"/>
      <c r="J723" s="1"/>
      <c r="N723" s="1"/>
      <c r="AE723" s="1"/>
    </row>
    <row r="724" spans="9:31" x14ac:dyDescent="0.25">
      <c r="N724" s="1"/>
      <c r="Z724" s="1"/>
      <c r="AA724" s="1"/>
      <c r="AE724" s="1"/>
    </row>
    <row r="725" spans="9:31" x14ac:dyDescent="0.25">
      <c r="N725" s="1"/>
      <c r="AE725" s="1"/>
    </row>
    <row r="726" spans="9:31" x14ac:dyDescent="0.25">
      <c r="N726" s="1"/>
      <c r="AE726" s="1"/>
    </row>
    <row r="727" spans="9:31" x14ac:dyDescent="0.25">
      <c r="N727" s="1"/>
      <c r="AE727" s="1"/>
    </row>
    <row r="728" spans="9:31" x14ac:dyDescent="0.25">
      <c r="I728" s="1"/>
      <c r="J728" s="1"/>
      <c r="N728" s="1"/>
      <c r="AE728" s="1"/>
    </row>
    <row r="729" spans="9:31" x14ac:dyDescent="0.25">
      <c r="I729" s="1"/>
      <c r="J729" s="1"/>
      <c r="N729" s="1"/>
      <c r="Z729" s="1"/>
      <c r="AA729" s="1"/>
      <c r="AE729" s="1"/>
    </row>
    <row r="730" spans="9:31" x14ac:dyDescent="0.25">
      <c r="N730" s="1"/>
      <c r="AE730" s="1"/>
    </row>
    <row r="731" spans="9:31" x14ac:dyDescent="0.25">
      <c r="N731" s="1"/>
      <c r="AE731" s="1"/>
    </row>
    <row r="732" spans="9:31" x14ac:dyDescent="0.25">
      <c r="I732" s="1"/>
      <c r="J732" s="1"/>
      <c r="N732" s="1"/>
      <c r="AE732" s="1"/>
    </row>
    <row r="733" spans="9:31" x14ac:dyDescent="0.25">
      <c r="I733" s="1"/>
      <c r="J733" s="1"/>
      <c r="N733" s="1"/>
      <c r="Z733" s="1"/>
      <c r="AA733" s="1"/>
      <c r="AE733" s="1"/>
    </row>
    <row r="734" spans="9:31" x14ac:dyDescent="0.25">
      <c r="I734" s="1"/>
      <c r="J734" s="1"/>
      <c r="N734" s="1"/>
      <c r="AE734" s="1"/>
    </row>
    <row r="735" spans="9:31" x14ac:dyDescent="0.25">
      <c r="N735" s="1"/>
      <c r="Z735" s="1"/>
      <c r="AA735" s="1"/>
      <c r="AE735" s="1"/>
    </row>
    <row r="736" spans="9:31" x14ac:dyDescent="0.25">
      <c r="N736" s="1"/>
      <c r="AE736" s="1"/>
    </row>
    <row r="737" spans="9:31" x14ac:dyDescent="0.25">
      <c r="I737" s="1"/>
      <c r="J737" s="1"/>
      <c r="N737" s="1"/>
      <c r="AE737" s="1"/>
    </row>
    <row r="738" spans="9:31" x14ac:dyDescent="0.25">
      <c r="I738" s="1"/>
      <c r="J738" s="1"/>
      <c r="N738" s="1"/>
      <c r="Z738" s="1"/>
      <c r="AA738" s="1"/>
      <c r="AE738" s="1"/>
    </row>
    <row r="739" spans="9:31" x14ac:dyDescent="0.25">
      <c r="N739" s="1"/>
      <c r="AE739" s="1"/>
    </row>
    <row r="740" spans="9:31" x14ac:dyDescent="0.25">
      <c r="I740" s="1"/>
      <c r="J740" s="1"/>
      <c r="N740" s="1"/>
      <c r="AE740" s="1"/>
    </row>
    <row r="741" spans="9:31" x14ac:dyDescent="0.25">
      <c r="I741" s="1"/>
      <c r="J741" s="1"/>
      <c r="N741" s="1"/>
      <c r="Z741" s="1"/>
      <c r="AA741" s="1"/>
      <c r="AE741" s="1"/>
    </row>
    <row r="742" spans="9:31" x14ac:dyDescent="0.25">
      <c r="N742" s="1"/>
      <c r="AE742" s="1"/>
    </row>
    <row r="743" spans="9:31" x14ac:dyDescent="0.25">
      <c r="N743" s="1"/>
      <c r="AE743" s="1"/>
    </row>
    <row r="744" spans="9:31" x14ac:dyDescent="0.25">
      <c r="N744" s="1"/>
      <c r="AE744" s="1"/>
    </row>
    <row r="745" spans="9:31" x14ac:dyDescent="0.25">
      <c r="I745" s="1"/>
      <c r="J745" s="1"/>
      <c r="N745" s="1"/>
      <c r="AE745" s="1"/>
    </row>
    <row r="746" spans="9:31" x14ac:dyDescent="0.25">
      <c r="N746" s="1"/>
      <c r="Z746" s="1"/>
      <c r="AA746" s="1"/>
      <c r="AE746" s="1"/>
    </row>
    <row r="747" spans="9:31" x14ac:dyDescent="0.25">
      <c r="I747" s="1"/>
      <c r="J747" s="1"/>
      <c r="N747" s="1"/>
      <c r="AE747" s="1"/>
    </row>
    <row r="748" spans="9:31" x14ac:dyDescent="0.25">
      <c r="I748" s="1"/>
      <c r="N748" s="1"/>
      <c r="AE748" s="1"/>
    </row>
    <row r="749" spans="9:31" x14ac:dyDescent="0.25">
      <c r="I749" s="1"/>
      <c r="J749" s="1"/>
      <c r="N749" s="1"/>
      <c r="AE749" s="1"/>
    </row>
    <row r="750" spans="9:31" x14ac:dyDescent="0.25">
      <c r="I750" s="1"/>
      <c r="J750" s="1"/>
      <c r="N750" s="1"/>
      <c r="Z750" s="1"/>
      <c r="AA750" s="1"/>
      <c r="AE750" s="1"/>
    </row>
    <row r="751" spans="9:31" x14ac:dyDescent="0.25">
      <c r="N751" s="1"/>
      <c r="Z751" s="1"/>
      <c r="AA751" s="1"/>
      <c r="AE751" s="1"/>
    </row>
    <row r="752" spans="9:31" x14ac:dyDescent="0.25">
      <c r="I752" s="1"/>
      <c r="J752" s="1"/>
      <c r="N752" s="1"/>
      <c r="AE752" s="1"/>
    </row>
    <row r="753" spans="9:31" x14ac:dyDescent="0.25">
      <c r="N753" s="1"/>
      <c r="Z753" s="1"/>
      <c r="AA753" s="1"/>
      <c r="AE753" s="1"/>
    </row>
    <row r="754" spans="9:31" x14ac:dyDescent="0.25">
      <c r="N754" s="1"/>
      <c r="AE754" s="1"/>
    </row>
    <row r="755" spans="9:31" x14ac:dyDescent="0.25">
      <c r="N755" s="1"/>
      <c r="AE755" s="1"/>
    </row>
    <row r="756" spans="9:31" x14ac:dyDescent="0.25">
      <c r="N756" s="1"/>
      <c r="AE756" s="1"/>
    </row>
    <row r="757" spans="9:31" x14ac:dyDescent="0.25">
      <c r="I757" s="1"/>
      <c r="J757" s="1"/>
      <c r="N757" s="1"/>
      <c r="AE757" s="1"/>
    </row>
    <row r="758" spans="9:31" x14ac:dyDescent="0.25">
      <c r="I758" s="1"/>
      <c r="J758" s="1"/>
      <c r="N758" s="1"/>
      <c r="Z758" s="1"/>
      <c r="AA758" s="1"/>
      <c r="AE758" s="1"/>
    </row>
    <row r="759" spans="9:31" x14ac:dyDescent="0.25">
      <c r="I759" s="1"/>
      <c r="J759" s="1"/>
      <c r="N759" s="1"/>
      <c r="AE759" s="1"/>
    </row>
    <row r="760" spans="9:31" x14ac:dyDescent="0.25">
      <c r="I760" s="1"/>
      <c r="N760" s="1"/>
      <c r="AE760" s="1"/>
    </row>
    <row r="761" spans="9:31" x14ac:dyDescent="0.25">
      <c r="I761" s="1"/>
      <c r="J761" s="1"/>
      <c r="N761" s="1"/>
      <c r="Z761" s="1"/>
      <c r="AE761" s="1"/>
    </row>
    <row r="762" spans="9:31" x14ac:dyDescent="0.25">
      <c r="I762" s="1"/>
      <c r="J762" s="1"/>
      <c r="N762" s="1"/>
      <c r="Z762" s="1"/>
      <c r="AA762" s="1"/>
      <c r="AE762" s="1"/>
    </row>
    <row r="763" spans="9:31" x14ac:dyDescent="0.25">
      <c r="I763" s="1"/>
      <c r="J763" s="1"/>
      <c r="N763" s="1"/>
      <c r="AE763" s="1"/>
    </row>
    <row r="764" spans="9:31" x14ac:dyDescent="0.25">
      <c r="I764" s="1"/>
      <c r="J764" s="1"/>
      <c r="N764" s="1"/>
      <c r="Z764" s="1"/>
      <c r="AA764" s="1"/>
      <c r="AE764" s="1"/>
    </row>
    <row r="765" spans="9:31" x14ac:dyDescent="0.25">
      <c r="N765" s="1"/>
      <c r="AE765" s="1"/>
    </row>
    <row r="766" spans="9:31" x14ac:dyDescent="0.25">
      <c r="I766" s="1"/>
      <c r="J766" s="1"/>
      <c r="N766" s="1"/>
      <c r="AE766" s="1"/>
    </row>
    <row r="767" spans="9:31" x14ac:dyDescent="0.25">
      <c r="N767" s="1"/>
      <c r="AE767" s="1"/>
    </row>
    <row r="768" spans="9:31" x14ac:dyDescent="0.25">
      <c r="N768" s="1"/>
      <c r="AE768" s="1"/>
    </row>
    <row r="769" spans="9:31" x14ac:dyDescent="0.25">
      <c r="I769" s="1"/>
      <c r="J769" s="1"/>
      <c r="N769" s="1"/>
      <c r="AE769" s="1"/>
    </row>
    <row r="770" spans="9:31" x14ac:dyDescent="0.25">
      <c r="I770" s="1"/>
      <c r="J770" s="1"/>
      <c r="N770" s="1"/>
      <c r="AE770" s="1"/>
    </row>
    <row r="771" spans="9:31" x14ac:dyDescent="0.25">
      <c r="N771" s="1"/>
      <c r="AE771" s="1"/>
    </row>
    <row r="772" spans="9:31" x14ac:dyDescent="0.25">
      <c r="N772" s="1"/>
      <c r="AE772" s="1"/>
    </row>
    <row r="773" spans="9:31" x14ac:dyDescent="0.25">
      <c r="I773" s="1"/>
      <c r="J773" s="1"/>
      <c r="N773" s="1"/>
      <c r="AE773" s="1"/>
    </row>
    <row r="774" spans="9:31" x14ac:dyDescent="0.25">
      <c r="N774" s="1"/>
      <c r="AE774" s="1"/>
    </row>
    <row r="775" spans="9:31" x14ac:dyDescent="0.25">
      <c r="I775" s="1"/>
      <c r="J775" s="1"/>
      <c r="N775" s="1"/>
      <c r="AE775" s="1"/>
    </row>
    <row r="776" spans="9:31" x14ac:dyDescent="0.25">
      <c r="I776" s="1"/>
      <c r="J776" s="1"/>
      <c r="N776" s="1"/>
      <c r="AE776" s="1"/>
    </row>
    <row r="777" spans="9:31" x14ac:dyDescent="0.25">
      <c r="I777" s="1"/>
      <c r="J777" s="1"/>
      <c r="N777" s="1"/>
      <c r="AE777" s="1"/>
    </row>
    <row r="778" spans="9:31" x14ac:dyDescent="0.25">
      <c r="I778" s="1"/>
      <c r="J778" s="1"/>
      <c r="N778" s="1"/>
      <c r="Z778" s="1"/>
      <c r="AA778" s="1"/>
      <c r="AE778" s="1"/>
    </row>
    <row r="779" spans="9:31" x14ac:dyDescent="0.25">
      <c r="I779" s="1"/>
      <c r="J779" s="1"/>
      <c r="N779" s="1"/>
      <c r="Z779" s="1"/>
      <c r="AA779" s="1"/>
      <c r="AE779" s="1"/>
    </row>
    <row r="780" spans="9:31" x14ac:dyDescent="0.25">
      <c r="I780" s="1"/>
      <c r="J780" s="1"/>
      <c r="N780" s="1"/>
      <c r="AE780" s="1"/>
    </row>
    <row r="781" spans="9:31" x14ac:dyDescent="0.25">
      <c r="I781" s="1"/>
      <c r="N781" s="1"/>
      <c r="AE781" s="1"/>
    </row>
    <row r="782" spans="9:31" x14ac:dyDescent="0.25">
      <c r="N782" s="1"/>
      <c r="AE782" s="1"/>
    </row>
    <row r="783" spans="9:31" x14ac:dyDescent="0.25">
      <c r="I783" s="1"/>
      <c r="J783" s="1"/>
      <c r="N783" s="1"/>
      <c r="AE783" s="1"/>
    </row>
    <row r="784" spans="9:31" x14ac:dyDescent="0.25">
      <c r="I784" s="1"/>
      <c r="J784" s="1"/>
      <c r="N784" s="1"/>
      <c r="Z784" s="1"/>
      <c r="AA784" s="1"/>
      <c r="AE784" s="1"/>
    </row>
    <row r="785" spans="9:31" x14ac:dyDescent="0.25">
      <c r="I785" s="1"/>
      <c r="J785" s="1"/>
      <c r="N785" s="1"/>
      <c r="Z785" s="1"/>
      <c r="AA785" s="1"/>
      <c r="AE785" s="1"/>
    </row>
    <row r="786" spans="9:31" x14ac:dyDescent="0.25">
      <c r="I786" s="1"/>
      <c r="J786" s="1"/>
      <c r="N786" s="1"/>
      <c r="Z786" s="1"/>
      <c r="AA786" s="1"/>
      <c r="AE786" s="1"/>
    </row>
    <row r="787" spans="9:31" x14ac:dyDescent="0.25">
      <c r="I787" s="1"/>
      <c r="J787" s="1"/>
      <c r="N787" s="1"/>
      <c r="Z787" s="1"/>
      <c r="AA787" s="1"/>
      <c r="AE787" s="1"/>
    </row>
    <row r="788" spans="9:31" x14ac:dyDescent="0.25">
      <c r="N788" s="1"/>
      <c r="Z788" s="1"/>
      <c r="AA788" s="1"/>
      <c r="AE788" s="1"/>
    </row>
    <row r="789" spans="9:31" x14ac:dyDescent="0.25">
      <c r="I789" s="1"/>
      <c r="J789" s="1"/>
      <c r="N789" s="1"/>
      <c r="AE789" s="1"/>
    </row>
    <row r="790" spans="9:31" x14ac:dyDescent="0.25">
      <c r="N790" s="1"/>
      <c r="AE790" s="1"/>
    </row>
    <row r="791" spans="9:31" x14ac:dyDescent="0.25">
      <c r="N791" s="1"/>
      <c r="AE791" s="1"/>
    </row>
    <row r="792" spans="9:31" x14ac:dyDescent="0.25">
      <c r="I792" s="1"/>
      <c r="J792" s="1"/>
      <c r="N792" s="1"/>
      <c r="AE792" s="1"/>
    </row>
    <row r="793" spans="9:31" x14ac:dyDescent="0.25">
      <c r="I793" s="1"/>
      <c r="J793" s="1"/>
      <c r="N793" s="1"/>
      <c r="Z793" s="1"/>
      <c r="AA793" s="1"/>
      <c r="AE793" s="1"/>
    </row>
    <row r="794" spans="9:31" x14ac:dyDescent="0.25">
      <c r="I794" s="1"/>
      <c r="J794" s="1"/>
      <c r="N794" s="1"/>
      <c r="Z794" s="1"/>
      <c r="AA794" s="1"/>
      <c r="AE794" s="1"/>
    </row>
    <row r="795" spans="9:31" x14ac:dyDescent="0.25">
      <c r="N795" s="1"/>
      <c r="Z795" s="1"/>
      <c r="AA795" s="1"/>
      <c r="AE795" s="1"/>
    </row>
    <row r="796" spans="9:31" x14ac:dyDescent="0.25">
      <c r="N796" s="1"/>
      <c r="AE796" s="1"/>
    </row>
    <row r="797" spans="9:31" x14ac:dyDescent="0.25">
      <c r="I797" s="1"/>
      <c r="J797" s="1"/>
      <c r="N797" s="1"/>
      <c r="AE797" s="1"/>
    </row>
    <row r="798" spans="9:31" x14ac:dyDescent="0.25">
      <c r="N798" s="1"/>
      <c r="AE798" s="1"/>
    </row>
    <row r="799" spans="9:31" x14ac:dyDescent="0.25">
      <c r="I799" s="1"/>
      <c r="J799" s="1"/>
      <c r="N799" s="1"/>
      <c r="AE799" s="1"/>
    </row>
    <row r="800" spans="9:31" x14ac:dyDescent="0.25">
      <c r="I800" s="1"/>
      <c r="J800" s="1"/>
      <c r="N800" s="1"/>
      <c r="Z800" s="1"/>
      <c r="AA800" s="1"/>
      <c r="AE800" s="1"/>
    </row>
    <row r="801" spans="9:31" x14ac:dyDescent="0.25">
      <c r="N801" s="1"/>
      <c r="Z801" s="1"/>
      <c r="AA801" s="1"/>
      <c r="AE801" s="1"/>
    </row>
    <row r="802" spans="9:31" x14ac:dyDescent="0.25">
      <c r="I802" s="1"/>
      <c r="J802" s="1"/>
      <c r="N802" s="1"/>
      <c r="AE802" s="1"/>
    </row>
    <row r="803" spans="9:31" x14ac:dyDescent="0.25">
      <c r="I803" s="1"/>
      <c r="J803" s="1"/>
      <c r="N803" s="1"/>
      <c r="Z803" s="1"/>
      <c r="AA803" s="1"/>
      <c r="AE803" s="1"/>
    </row>
    <row r="804" spans="9:31" x14ac:dyDescent="0.25">
      <c r="N804" s="1"/>
      <c r="Z804" s="1"/>
      <c r="AA804" s="1"/>
      <c r="AE804" s="1"/>
    </row>
    <row r="805" spans="9:31" x14ac:dyDescent="0.25">
      <c r="I805" s="1"/>
      <c r="J805" s="1"/>
      <c r="N805" s="1"/>
      <c r="AE805" s="1"/>
    </row>
    <row r="806" spans="9:31" x14ac:dyDescent="0.25">
      <c r="N806" s="1"/>
      <c r="Z806" s="1"/>
      <c r="AA806" s="1"/>
      <c r="AE806" s="1"/>
    </row>
    <row r="807" spans="9:31" x14ac:dyDescent="0.25">
      <c r="N807" s="1"/>
      <c r="AE807" s="1"/>
    </row>
    <row r="808" spans="9:31" x14ac:dyDescent="0.25">
      <c r="I808" s="1"/>
      <c r="J808" s="1"/>
      <c r="N808" s="1"/>
      <c r="AE808" s="1"/>
    </row>
    <row r="809" spans="9:31" x14ac:dyDescent="0.25">
      <c r="N809" s="1"/>
      <c r="Z809" s="1"/>
      <c r="AA809" s="1"/>
      <c r="AE809" s="1"/>
    </row>
    <row r="810" spans="9:31" x14ac:dyDescent="0.25">
      <c r="I810" s="1"/>
      <c r="J810" s="1"/>
      <c r="N810" s="1"/>
      <c r="AE810" s="1"/>
    </row>
    <row r="811" spans="9:31" x14ac:dyDescent="0.25">
      <c r="I811" s="1"/>
      <c r="J811" s="1"/>
      <c r="N811" s="1"/>
      <c r="AE811" s="1"/>
    </row>
    <row r="812" spans="9:31" x14ac:dyDescent="0.25">
      <c r="I812" s="1"/>
      <c r="J812" s="1"/>
      <c r="N812" s="1"/>
      <c r="Z812" s="1"/>
      <c r="AA812" s="1"/>
      <c r="AE812" s="1"/>
    </row>
    <row r="813" spans="9:31" x14ac:dyDescent="0.25">
      <c r="I813" s="1"/>
      <c r="J813" s="1"/>
      <c r="N813" s="1"/>
      <c r="Z813" s="1"/>
      <c r="AA813" s="1"/>
      <c r="AE813" s="1"/>
    </row>
    <row r="814" spans="9:31" x14ac:dyDescent="0.25">
      <c r="N814" s="1"/>
      <c r="Z814" s="1"/>
      <c r="AA814" s="1"/>
      <c r="AE814" s="1"/>
    </row>
    <row r="815" spans="9:31" x14ac:dyDescent="0.25">
      <c r="N815" s="1"/>
      <c r="AE815" s="1"/>
    </row>
    <row r="816" spans="9:31" x14ac:dyDescent="0.25">
      <c r="I816" s="1"/>
      <c r="J816" s="1"/>
      <c r="N816" s="1"/>
      <c r="AE816" s="1"/>
    </row>
    <row r="817" spans="9:31" x14ac:dyDescent="0.25">
      <c r="N817" s="1"/>
      <c r="Z817" s="1"/>
      <c r="AA817" s="1"/>
      <c r="AE817" s="1"/>
    </row>
    <row r="818" spans="9:31" x14ac:dyDescent="0.25">
      <c r="N818" s="1"/>
      <c r="AE818" s="1"/>
    </row>
    <row r="819" spans="9:31" x14ac:dyDescent="0.25">
      <c r="I819" s="1"/>
      <c r="J819" s="1"/>
      <c r="N819" s="1"/>
      <c r="AE819" s="1"/>
    </row>
    <row r="820" spans="9:31" x14ac:dyDescent="0.25">
      <c r="N820" s="1"/>
      <c r="Z820" s="1"/>
      <c r="AA820" s="1"/>
      <c r="AE820" s="1"/>
    </row>
    <row r="821" spans="9:31" x14ac:dyDescent="0.25">
      <c r="I821" s="1"/>
      <c r="J821" s="1"/>
      <c r="N821" s="1"/>
      <c r="AE821" s="1"/>
    </row>
    <row r="822" spans="9:31" x14ac:dyDescent="0.25">
      <c r="I822" s="1"/>
      <c r="J822" s="1"/>
      <c r="N822" s="1"/>
      <c r="AE822" s="1"/>
    </row>
    <row r="823" spans="9:31" x14ac:dyDescent="0.25">
      <c r="I823" s="1"/>
      <c r="J823" s="1"/>
      <c r="N823" s="1"/>
      <c r="AE823" s="1"/>
    </row>
    <row r="824" spans="9:31" x14ac:dyDescent="0.25">
      <c r="I824" s="1"/>
      <c r="J824" s="1"/>
      <c r="N824" s="1"/>
      <c r="Z824" s="1"/>
      <c r="AA824" s="1"/>
      <c r="AE824" s="1"/>
    </row>
    <row r="825" spans="9:31" x14ac:dyDescent="0.25">
      <c r="I825" s="1"/>
      <c r="J825" s="1"/>
      <c r="N825" s="1"/>
      <c r="Z825" s="1"/>
      <c r="AA825" s="1"/>
      <c r="AE825" s="1"/>
    </row>
    <row r="826" spans="9:31" x14ac:dyDescent="0.25">
      <c r="I826" s="1"/>
      <c r="J826" s="1"/>
      <c r="N826" s="1"/>
      <c r="AE826" s="1"/>
    </row>
    <row r="827" spans="9:31" x14ac:dyDescent="0.25">
      <c r="I827" s="1"/>
      <c r="J827" s="1"/>
      <c r="N827" s="1"/>
      <c r="AE827" s="1"/>
    </row>
    <row r="828" spans="9:31" x14ac:dyDescent="0.25">
      <c r="N828" s="1"/>
      <c r="AE828" s="1"/>
    </row>
    <row r="829" spans="9:31" x14ac:dyDescent="0.25">
      <c r="I829" s="1"/>
      <c r="J829" s="1"/>
      <c r="N829" s="1"/>
      <c r="AE829" s="1"/>
    </row>
    <row r="830" spans="9:31" x14ac:dyDescent="0.25">
      <c r="I830" s="1"/>
      <c r="J830" s="1"/>
      <c r="N830" s="1"/>
      <c r="Z830" s="1"/>
      <c r="AA830" s="1"/>
      <c r="AE830" s="1"/>
    </row>
    <row r="831" spans="9:31" x14ac:dyDescent="0.25">
      <c r="N831" s="1"/>
      <c r="Z831" s="1"/>
      <c r="AA831" s="1"/>
      <c r="AE831" s="1"/>
    </row>
    <row r="832" spans="9:31" x14ac:dyDescent="0.25">
      <c r="N832" s="1"/>
      <c r="AE832" s="1"/>
    </row>
    <row r="833" spans="9:31" x14ac:dyDescent="0.25">
      <c r="N833" s="1"/>
      <c r="AE833" s="1"/>
    </row>
    <row r="834" spans="9:31" x14ac:dyDescent="0.25">
      <c r="N834" s="1"/>
      <c r="AE834" s="1"/>
    </row>
    <row r="835" spans="9:31" x14ac:dyDescent="0.25">
      <c r="N835" s="1"/>
      <c r="AE835" s="1"/>
    </row>
    <row r="836" spans="9:31" x14ac:dyDescent="0.25">
      <c r="N836" s="1"/>
      <c r="AE836" s="1"/>
    </row>
    <row r="837" spans="9:31" x14ac:dyDescent="0.25">
      <c r="N837" s="1"/>
      <c r="AE837" s="1"/>
    </row>
    <row r="838" spans="9:31" x14ac:dyDescent="0.25">
      <c r="N838" s="1"/>
      <c r="AE838" s="1"/>
    </row>
    <row r="839" spans="9:31" x14ac:dyDescent="0.25">
      <c r="I839" s="1"/>
      <c r="J839" s="1"/>
      <c r="N839" s="1"/>
      <c r="AE839" s="1"/>
    </row>
    <row r="840" spans="9:31" x14ac:dyDescent="0.25">
      <c r="I840" s="1"/>
      <c r="N840" s="1"/>
      <c r="Z840" s="1"/>
      <c r="AA840" s="1"/>
      <c r="AE840" s="1"/>
    </row>
    <row r="841" spans="9:31" x14ac:dyDescent="0.25">
      <c r="N841" s="1"/>
      <c r="AE841" s="1"/>
    </row>
    <row r="842" spans="9:31" x14ac:dyDescent="0.25">
      <c r="I842" s="1"/>
      <c r="N842" s="1"/>
      <c r="AE842" s="1"/>
    </row>
    <row r="843" spans="9:31" x14ac:dyDescent="0.25">
      <c r="I843" s="1"/>
      <c r="J843" s="1"/>
      <c r="N843" s="1"/>
      <c r="Z843" s="1"/>
      <c r="AE843" s="1"/>
    </row>
    <row r="844" spans="9:31" x14ac:dyDescent="0.25">
      <c r="N844" s="1"/>
      <c r="Z844" s="1"/>
      <c r="AA844" s="1"/>
      <c r="AE844" s="1"/>
    </row>
    <row r="845" spans="9:31" x14ac:dyDescent="0.25">
      <c r="I845" s="1"/>
      <c r="J845" s="1"/>
      <c r="N845" s="1"/>
      <c r="AE845" s="1"/>
    </row>
    <row r="846" spans="9:31" x14ac:dyDescent="0.25">
      <c r="I846" s="1"/>
      <c r="J846" s="1"/>
      <c r="N846" s="1"/>
      <c r="Z846" s="1"/>
      <c r="AA846" s="1"/>
      <c r="AE846" s="1"/>
    </row>
    <row r="847" spans="9:31" x14ac:dyDescent="0.25">
      <c r="N847" s="1"/>
      <c r="Z847" s="1"/>
      <c r="AA847" s="1"/>
      <c r="AE847" s="1"/>
    </row>
    <row r="848" spans="9:31" x14ac:dyDescent="0.25">
      <c r="N848" s="1"/>
      <c r="AE848" s="1"/>
    </row>
    <row r="849" spans="9:31" x14ac:dyDescent="0.25">
      <c r="I849" s="1"/>
      <c r="J849" s="1"/>
      <c r="N849" s="1"/>
      <c r="AE849" s="1"/>
    </row>
    <row r="850" spans="9:31" x14ac:dyDescent="0.25">
      <c r="I850" s="1"/>
      <c r="J850" s="1"/>
      <c r="N850" s="1"/>
      <c r="Z850" s="1"/>
      <c r="AA850" s="1"/>
      <c r="AE850" s="1"/>
    </row>
    <row r="851" spans="9:31" x14ac:dyDescent="0.25">
      <c r="I851" s="1"/>
      <c r="J851" s="1"/>
      <c r="N851" s="1"/>
      <c r="Z851" s="1"/>
      <c r="AA851" s="1"/>
      <c r="AE851" s="1"/>
    </row>
    <row r="852" spans="9:31" x14ac:dyDescent="0.25">
      <c r="I852" s="1"/>
      <c r="J852" s="1"/>
      <c r="N852" s="1"/>
      <c r="Z852" s="1"/>
      <c r="AA852" s="1"/>
      <c r="AE852" s="1"/>
    </row>
    <row r="853" spans="9:31" x14ac:dyDescent="0.25">
      <c r="I853" s="1"/>
      <c r="J853" s="1"/>
      <c r="N853" s="1"/>
      <c r="Z853" s="1"/>
      <c r="AE853" s="1"/>
    </row>
    <row r="854" spans="9:31" x14ac:dyDescent="0.25">
      <c r="N854" s="1"/>
      <c r="Z854" s="1"/>
      <c r="AA854" s="1"/>
      <c r="AE854" s="1"/>
    </row>
    <row r="855" spans="9:31" x14ac:dyDescent="0.25">
      <c r="N855" s="1"/>
      <c r="AE855" s="1"/>
    </row>
    <row r="856" spans="9:31" x14ac:dyDescent="0.25">
      <c r="I856" s="1"/>
      <c r="J856" s="1"/>
      <c r="N856" s="1"/>
      <c r="AE856" s="1"/>
    </row>
    <row r="857" spans="9:31" x14ac:dyDescent="0.25">
      <c r="N857" s="1"/>
      <c r="Z857" s="1"/>
      <c r="AA857" s="1"/>
      <c r="AE857" s="1"/>
    </row>
    <row r="858" spans="9:31" x14ac:dyDescent="0.25">
      <c r="I858" s="1"/>
      <c r="J858" s="1"/>
      <c r="N858" s="1"/>
      <c r="AE858" s="1"/>
    </row>
    <row r="859" spans="9:31" x14ac:dyDescent="0.25">
      <c r="I859" s="1"/>
      <c r="J859" s="1"/>
      <c r="N859" s="1"/>
      <c r="Z859" s="1"/>
      <c r="AA859" s="1"/>
      <c r="AE859" s="1"/>
    </row>
    <row r="860" spans="9:31" x14ac:dyDescent="0.25">
      <c r="I860" s="1"/>
      <c r="J860" s="1"/>
      <c r="N860" s="1"/>
      <c r="AE860" s="1"/>
    </row>
    <row r="861" spans="9:31" x14ac:dyDescent="0.25">
      <c r="I861" s="1"/>
      <c r="J861" s="1"/>
      <c r="N861" s="1"/>
      <c r="Z861" s="1"/>
      <c r="AA861" s="1"/>
      <c r="AE861" s="1"/>
    </row>
    <row r="862" spans="9:31" x14ac:dyDescent="0.25">
      <c r="I862" s="1"/>
      <c r="J862" s="1"/>
      <c r="N862" s="1"/>
      <c r="Z862" s="1"/>
      <c r="AA862" s="1"/>
      <c r="AE862" s="1"/>
    </row>
    <row r="863" spans="9:31" x14ac:dyDescent="0.25">
      <c r="I863" s="1"/>
      <c r="J863" s="1"/>
      <c r="N863" s="1"/>
      <c r="Z863" s="1"/>
      <c r="AA863" s="1"/>
      <c r="AE863" s="1"/>
    </row>
    <row r="864" spans="9:31" x14ac:dyDescent="0.25">
      <c r="N864" s="1"/>
      <c r="Z864" s="1"/>
      <c r="AA864" s="1"/>
      <c r="AE864" s="1"/>
    </row>
    <row r="865" spans="9:31" x14ac:dyDescent="0.25">
      <c r="I865" s="1"/>
      <c r="J865" s="1"/>
      <c r="N865" s="1"/>
      <c r="AE865" s="1"/>
    </row>
    <row r="866" spans="9:31" x14ac:dyDescent="0.25">
      <c r="I866" s="1"/>
      <c r="J866" s="1"/>
      <c r="N866" s="1"/>
      <c r="Z866" s="1"/>
      <c r="AA866" s="1"/>
      <c r="AE866" s="1"/>
    </row>
    <row r="867" spans="9:31" x14ac:dyDescent="0.25">
      <c r="I867" s="1"/>
      <c r="J867" s="1"/>
      <c r="N867" s="1"/>
      <c r="Z867" s="1"/>
      <c r="AA867" s="1"/>
      <c r="AE867" s="1"/>
    </row>
    <row r="868" spans="9:31" x14ac:dyDescent="0.25">
      <c r="N868" s="1"/>
      <c r="Z868" s="1"/>
      <c r="AA868" s="1"/>
      <c r="AE868" s="1"/>
    </row>
    <row r="869" spans="9:31" x14ac:dyDescent="0.25">
      <c r="N869" s="1"/>
      <c r="AE869" s="1"/>
    </row>
    <row r="870" spans="9:31" x14ac:dyDescent="0.25">
      <c r="I870" s="1"/>
      <c r="J870" s="1"/>
      <c r="N870" s="1"/>
      <c r="AE870" s="1"/>
    </row>
    <row r="871" spans="9:31" x14ac:dyDescent="0.25">
      <c r="I871" s="1"/>
      <c r="J871" s="1"/>
      <c r="N871" s="1"/>
      <c r="AE871" s="1"/>
    </row>
    <row r="872" spans="9:31" x14ac:dyDescent="0.25">
      <c r="I872" s="1"/>
      <c r="J872" s="1"/>
      <c r="N872" s="1"/>
      <c r="Z872" s="1"/>
      <c r="AA872" s="1"/>
      <c r="AE872" s="1"/>
    </row>
    <row r="873" spans="9:31" x14ac:dyDescent="0.25">
      <c r="I873" s="1"/>
      <c r="J873" s="1"/>
      <c r="N873" s="1"/>
      <c r="Z873" s="1"/>
      <c r="AA873" s="1"/>
      <c r="AE873" s="1"/>
    </row>
    <row r="874" spans="9:31" x14ac:dyDescent="0.25">
      <c r="I874" s="1"/>
      <c r="J874" s="1"/>
      <c r="N874" s="1"/>
      <c r="Z874" s="1"/>
      <c r="AA874" s="1"/>
      <c r="AE874" s="1"/>
    </row>
    <row r="875" spans="9:31" x14ac:dyDescent="0.25">
      <c r="I875" s="1"/>
      <c r="J875" s="1"/>
      <c r="N875" s="1"/>
      <c r="Z875" s="1"/>
      <c r="AA875" s="1"/>
      <c r="AE875" s="1"/>
    </row>
    <row r="876" spans="9:31" x14ac:dyDescent="0.25">
      <c r="N876" s="1"/>
      <c r="Z876" s="1"/>
      <c r="AA876" s="1"/>
      <c r="AE876" s="1"/>
    </row>
    <row r="877" spans="9:31" x14ac:dyDescent="0.25">
      <c r="N877" s="1"/>
      <c r="AE877" s="1"/>
    </row>
    <row r="878" spans="9:31" x14ac:dyDescent="0.25">
      <c r="N878" s="1"/>
      <c r="AE878" s="1"/>
    </row>
    <row r="879" spans="9:31" x14ac:dyDescent="0.25">
      <c r="N879" s="1"/>
      <c r="AE879" s="1"/>
    </row>
    <row r="880" spans="9:31" x14ac:dyDescent="0.25">
      <c r="N880" s="1"/>
      <c r="AE880" s="1"/>
    </row>
    <row r="881" spans="9:31" x14ac:dyDescent="0.25">
      <c r="I881" s="1"/>
      <c r="J881" s="1"/>
      <c r="N881" s="1"/>
      <c r="AE881" s="1"/>
    </row>
    <row r="882" spans="9:31" x14ac:dyDescent="0.25">
      <c r="I882" s="1"/>
      <c r="J882" s="1"/>
      <c r="N882" s="1"/>
      <c r="Z882" s="1"/>
      <c r="AA882" s="1"/>
      <c r="AE882" s="1"/>
    </row>
    <row r="883" spans="9:31" x14ac:dyDescent="0.25">
      <c r="I883" s="1"/>
      <c r="J883" s="1"/>
      <c r="N883" s="1"/>
      <c r="Z883" s="1"/>
      <c r="AA883" s="1"/>
      <c r="AE883" s="1"/>
    </row>
    <row r="884" spans="9:31" x14ac:dyDescent="0.25">
      <c r="N884" s="1"/>
      <c r="Z884" s="1"/>
      <c r="AA884" s="1"/>
      <c r="AE884" s="1"/>
    </row>
    <row r="885" spans="9:31" x14ac:dyDescent="0.25">
      <c r="I885" s="1"/>
      <c r="J885" s="1"/>
      <c r="N885" s="1"/>
      <c r="AE885" s="1"/>
    </row>
    <row r="886" spans="9:31" x14ac:dyDescent="0.25">
      <c r="I886" s="1"/>
      <c r="J886" s="1"/>
      <c r="N886" s="1"/>
      <c r="Z886" s="1"/>
      <c r="AA886" s="1"/>
      <c r="AE886" s="1"/>
    </row>
    <row r="887" spans="9:31" x14ac:dyDescent="0.25">
      <c r="N887" s="1"/>
      <c r="Z887" s="1"/>
      <c r="AA887" s="1"/>
      <c r="AE887" s="1"/>
    </row>
    <row r="888" spans="9:31" x14ac:dyDescent="0.25">
      <c r="I888" s="1"/>
      <c r="J888" s="1"/>
      <c r="N888" s="1"/>
      <c r="AE888" s="1"/>
    </row>
    <row r="889" spans="9:31" x14ac:dyDescent="0.25">
      <c r="I889" s="1"/>
      <c r="J889" s="1"/>
      <c r="N889" s="1"/>
      <c r="Z889" s="1"/>
      <c r="AA889" s="1"/>
      <c r="AE889" s="1"/>
    </row>
    <row r="890" spans="9:31" x14ac:dyDescent="0.25">
      <c r="I890" s="1"/>
      <c r="J890" s="1"/>
      <c r="N890" s="1"/>
      <c r="Z890" s="1"/>
      <c r="AA890" s="1"/>
      <c r="AE890" s="1"/>
    </row>
    <row r="891" spans="9:31" x14ac:dyDescent="0.25">
      <c r="I891" s="1"/>
      <c r="J891" s="1"/>
      <c r="N891" s="1"/>
      <c r="Z891" s="1"/>
      <c r="AA891" s="1"/>
      <c r="AE891" s="1"/>
    </row>
    <row r="892" spans="9:31" x14ac:dyDescent="0.25">
      <c r="I892" s="1"/>
      <c r="J892" s="1"/>
      <c r="N892" s="1"/>
      <c r="AE892" s="1"/>
    </row>
    <row r="893" spans="9:31" x14ac:dyDescent="0.25">
      <c r="N893" s="1"/>
      <c r="AE893" s="1"/>
    </row>
    <row r="894" spans="9:31" x14ac:dyDescent="0.25">
      <c r="N894" s="1"/>
      <c r="AE894" s="1"/>
    </row>
    <row r="895" spans="9:31" x14ac:dyDescent="0.25">
      <c r="I895" s="1"/>
      <c r="J895" s="1"/>
      <c r="N895" s="1"/>
      <c r="AE895" s="1"/>
    </row>
    <row r="896" spans="9:31" x14ac:dyDescent="0.25">
      <c r="I896" s="1"/>
      <c r="J896" s="1"/>
      <c r="N896" s="1"/>
      <c r="Z896" s="1"/>
      <c r="AA896" s="1"/>
      <c r="AE896" s="1"/>
    </row>
    <row r="897" spans="9:31" x14ac:dyDescent="0.25">
      <c r="I897" s="1"/>
      <c r="J897" s="1"/>
      <c r="N897" s="1"/>
      <c r="Z897" s="1"/>
      <c r="AA897" s="1"/>
      <c r="AE897" s="1"/>
    </row>
    <row r="898" spans="9:31" x14ac:dyDescent="0.25">
      <c r="I898" s="1"/>
      <c r="J898" s="1"/>
      <c r="N898" s="1"/>
      <c r="Z898" s="1"/>
      <c r="AA898" s="1"/>
      <c r="AE898" s="1"/>
    </row>
    <row r="899" spans="9:31" x14ac:dyDescent="0.25">
      <c r="I899" s="1"/>
      <c r="J899" s="1"/>
      <c r="N899" s="1"/>
      <c r="Z899" s="1"/>
      <c r="AA899" s="1"/>
      <c r="AE899" s="1"/>
    </row>
    <row r="900" spans="9:31" x14ac:dyDescent="0.25">
      <c r="N900" s="1"/>
      <c r="Z900" s="1"/>
      <c r="AA900" s="1"/>
      <c r="AE900" s="1"/>
    </row>
    <row r="901" spans="9:31" x14ac:dyDescent="0.25">
      <c r="I901" s="1"/>
      <c r="J901" s="1"/>
      <c r="N901" s="1"/>
      <c r="AE901" s="1"/>
    </row>
    <row r="902" spans="9:31" x14ac:dyDescent="0.25">
      <c r="I902" s="1"/>
      <c r="J902" s="1"/>
      <c r="N902" s="1"/>
      <c r="AE902" s="1"/>
    </row>
    <row r="903" spans="9:31" x14ac:dyDescent="0.25">
      <c r="I903" s="1"/>
      <c r="J903" s="1"/>
      <c r="N903" s="1"/>
      <c r="Z903" s="1"/>
      <c r="AA903" s="1"/>
      <c r="AE903" s="1"/>
    </row>
    <row r="904" spans="9:31" x14ac:dyDescent="0.25">
      <c r="I904" s="1"/>
      <c r="J904" s="1"/>
      <c r="N904" s="1"/>
      <c r="Z904" s="1"/>
      <c r="AA904" s="1"/>
      <c r="AE904" s="1"/>
    </row>
    <row r="905" spans="9:31" x14ac:dyDescent="0.25">
      <c r="I905" s="1"/>
      <c r="J905" s="1"/>
      <c r="N905" s="1"/>
      <c r="AE905" s="1"/>
    </row>
    <row r="906" spans="9:31" x14ac:dyDescent="0.25">
      <c r="N906" s="1"/>
      <c r="AE906" s="1"/>
    </row>
    <row r="907" spans="9:31" x14ac:dyDescent="0.25">
      <c r="I907" s="1"/>
      <c r="J907" s="1"/>
      <c r="N907" s="1"/>
      <c r="AE907" s="1"/>
    </row>
    <row r="908" spans="9:31" x14ac:dyDescent="0.25">
      <c r="I908" s="1"/>
      <c r="J908" s="1"/>
      <c r="N908" s="1"/>
      <c r="Z908" s="1"/>
      <c r="AA908" s="1"/>
      <c r="AE908" s="1"/>
    </row>
    <row r="909" spans="9:31" x14ac:dyDescent="0.25">
      <c r="I909" s="1"/>
      <c r="J909" s="1"/>
      <c r="N909" s="1"/>
      <c r="Z909" s="1"/>
      <c r="AA909" s="1"/>
      <c r="AE909" s="1"/>
    </row>
    <row r="910" spans="9:31" x14ac:dyDescent="0.25">
      <c r="N910" s="1"/>
      <c r="Z910" s="1"/>
      <c r="AA910" s="1"/>
      <c r="AE910" s="1"/>
    </row>
    <row r="911" spans="9:31" x14ac:dyDescent="0.25">
      <c r="N911" s="1"/>
      <c r="AE911" s="1"/>
    </row>
    <row r="912" spans="9:31" x14ac:dyDescent="0.25">
      <c r="I912" s="1"/>
      <c r="J912" s="1"/>
      <c r="N912" s="1"/>
      <c r="AE912" s="1"/>
    </row>
    <row r="913" spans="9:31" x14ac:dyDescent="0.25">
      <c r="I913" s="1"/>
      <c r="J913" s="1"/>
      <c r="N913" s="1"/>
      <c r="Z913" s="1"/>
      <c r="AA913" s="1"/>
      <c r="AE913" s="1"/>
    </row>
    <row r="914" spans="9:31" x14ac:dyDescent="0.25">
      <c r="I914" s="1"/>
      <c r="J914" s="1"/>
      <c r="N914" s="1"/>
      <c r="Z914" s="1"/>
      <c r="AA914" s="1"/>
      <c r="AE914" s="1"/>
    </row>
    <row r="915" spans="9:31" x14ac:dyDescent="0.25">
      <c r="N915" s="1"/>
      <c r="Z915" s="1"/>
      <c r="AA915" s="1"/>
      <c r="AE915" s="1"/>
    </row>
    <row r="916" spans="9:31" x14ac:dyDescent="0.25">
      <c r="I916" s="1"/>
      <c r="J916" s="1"/>
      <c r="N916" s="1"/>
      <c r="AE916" s="1"/>
    </row>
    <row r="917" spans="9:31" x14ac:dyDescent="0.25">
      <c r="N917" s="1"/>
      <c r="Z917" s="1"/>
      <c r="AA917" s="1"/>
      <c r="AE917" s="1"/>
    </row>
    <row r="918" spans="9:31" x14ac:dyDescent="0.25">
      <c r="N918" s="1"/>
      <c r="AE918" s="1"/>
    </row>
    <row r="919" spans="9:31" x14ac:dyDescent="0.25">
      <c r="I919" s="1"/>
      <c r="J919" s="1"/>
      <c r="N919" s="1"/>
      <c r="AE919" s="1"/>
    </row>
    <row r="920" spans="9:31" x14ac:dyDescent="0.25">
      <c r="I920" s="1"/>
      <c r="J920" s="1"/>
      <c r="N920" s="1"/>
      <c r="Z920" s="1"/>
      <c r="AA920" s="1"/>
      <c r="AE920" s="1"/>
    </row>
    <row r="921" spans="9:31" x14ac:dyDescent="0.25">
      <c r="N921" s="1"/>
      <c r="Z921" s="1"/>
      <c r="AA921" s="1"/>
      <c r="AE921" s="1"/>
    </row>
    <row r="922" spans="9:31" x14ac:dyDescent="0.25">
      <c r="I922" s="1"/>
      <c r="J922" s="1"/>
      <c r="N922" s="1"/>
      <c r="AE922" s="1"/>
    </row>
    <row r="923" spans="9:31" x14ac:dyDescent="0.25">
      <c r="I923" s="1"/>
      <c r="J923" s="1"/>
      <c r="N923" s="1"/>
      <c r="Z923" s="1"/>
      <c r="AA923" s="1"/>
      <c r="AE923" s="1"/>
    </row>
    <row r="924" spans="9:31" x14ac:dyDescent="0.25">
      <c r="I924" s="1"/>
      <c r="J924" s="1"/>
      <c r="N924" s="1"/>
      <c r="Z924" s="1"/>
      <c r="AA924" s="1"/>
      <c r="AE924" s="1"/>
    </row>
    <row r="925" spans="9:31" x14ac:dyDescent="0.25">
      <c r="I925" s="1"/>
      <c r="J925" s="1"/>
      <c r="N925" s="1"/>
      <c r="AE925" s="1"/>
    </row>
    <row r="926" spans="9:31" x14ac:dyDescent="0.25">
      <c r="I926" s="1"/>
      <c r="J926" s="1"/>
      <c r="N926" s="1"/>
      <c r="Z926" s="1"/>
      <c r="AA926" s="1"/>
      <c r="AE926" s="1"/>
    </row>
    <row r="927" spans="9:31" x14ac:dyDescent="0.25">
      <c r="I927" s="1"/>
      <c r="J927" s="1"/>
      <c r="N927" s="1"/>
      <c r="Z927" s="1"/>
      <c r="AA927" s="1"/>
      <c r="AE927" s="1"/>
    </row>
    <row r="928" spans="9:31" x14ac:dyDescent="0.25">
      <c r="I928" s="1"/>
      <c r="J928" s="1"/>
      <c r="N928" s="1"/>
      <c r="Z928" s="1"/>
      <c r="AA928" s="1"/>
      <c r="AE928" s="1"/>
    </row>
    <row r="929" spans="9:31" x14ac:dyDescent="0.25">
      <c r="I929" s="1"/>
      <c r="J929" s="1"/>
      <c r="N929" s="1"/>
      <c r="Z929" s="1"/>
      <c r="AA929" s="1"/>
      <c r="AE929" s="1"/>
    </row>
    <row r="930" spans="9:31" x14ac:dyDescent="0.25">
      <c r="I930" s="1"/>
      <c r="J930" s="1"/>
      <c r="N930" s="1"/>
      <c r="Z930" s="1"/>
      <c r="AA930" s="1"/>
      <c r="AE930" s="1"/>
    </row>
    <row r="931" spans="9:31" x14ac:dyDescent="0.25">
      <c r="I931" s="1"/>
      <c r="J931" s="1"/>
      <c r="N931" s="1"/>
      <c r="Z931" s="1"/>
      <c r="AA931" s="1"/>
      <c r="AE931" s="1"/>
    </row>
    <row r="932" spans="9:31" x14ac:dyDescent="0.25">
      <c r="I932" s="1"/>
      <c r="J932" s="1"/>
      <c r="N932" s="1"/>
      <c r="Z932" s="1"/>
      <c r="AA932" s="1"/>
      <c r="AE932" s="1"/>
    </row>
    <row r="933" spans="9:31" x14ac:dyDescent="0.25">
      <c r="I933" s="1"/>
      <c r="N933" s="1"/>
      <c r="Z933" s="1"/>
      <c r="AA933" s="1"/>
      <c r="AE933" s="1"/>
    </row>
    <row r="934" spans="9:31" x14ac:dyDescent="0.25">
      <c r="I934" s="1"/>
      <c r="J934" s="1"/>
      <c r="N934" s="1"/>
      <c r="Z934" s="1"/>
      <c r="AE934" s="1"/>
    </row>
    <row r="935" spans="9:31" x14ac:dyDescent="0.25">
      <c r="N935" s="1"/>
      <c r="Z935" s="1"/>
      <c r="AA935" s="1"/>
      <c r="AE935" s="1"/>
    </row>
    <row r="936" spans="9:31" x14ac:dyDescent="0.25">
      <c r="N936" s="1"/>
      <c r="AE936" s="1"/>
    </row>
    <row r="937" spans="9:31" x14ac:dyDescent="0.25">
      <c r="N937" s="1"/>
      <c r="AE937" s="1"/>
    </row>
    <row r="938" spans="9:31" x14ac:dyDescent="0.25">
      <c r="I938" s="1"/>
      <c r="J938" s="1"/>
      <c r="N938" s="1"/>
      <c r="AE938" s="1"/>
    </row>
    <row r="939" spans="9:31" x14ac:dyDescent="0.25">
      <c r="I939" s="1"/>
      <c r="J939" s="1"/>
      <c r="N939" s="1"/>
      <c r="Z939" s="1"/>
      <c r="AA939" s="1"/>
      <c r="AE939" s="1"/>
    </row>
    <row r="940" spans="9:31" x14ac:dyDescent="0.25">
      <c r="I940" s="1"/>
      <c r="J940" s="1"/>
      <c r="N940" s="1"/>
      <c r="Z940" s="1"/>
      <c r="AA940" s="1"/>
      <c r="AE940" s="1"/>
    </row>
    <row r="941" spans="9:31" x14ac:dyDescent="0.25">
      <c r="N941" s="1"/>
      <c r="Z941" s="1"/>
      <c r="AA941" s="1"/>
      <c r="AE941" s="1"/>
    </row>
    <row r="942" spans="9:31" x14ac:dyDescent="0.25">
      <c r="I942" s="1"/>
      <c r="J942" s="1"/>
      <c r="N942" s="1"/>
      <c r="AE942" s="1"/>
    </row>
    <row r="943" spans="9:31" x14ac:dyDescent="0.25">
      <c r="N943" s="1"/>
      <c r="AE943" s="1"/>
    </row>
    <row r="944" spans="9:31" x14ac:dyDescent="0.25">
      <c r="I944" s="1"/>
      <c r="J944" s="1"/>
      <c r="N944" s="1"/>
      <c r="AE944" s="1"/>
    </row>
    <row r="945" spans="9:31" x14ac:dyDescent="0.25">
      <c r="I945" s="1"/>
      <c r="J945" s="1"/>
      <c r="N945" s="1"/>
      <c r="Z945" s="1"/>
      <c r="AA945" s="1"/>
      <c r="AE945" s="1"/>
    </row>
    <row r="946" spans="9:31" x14ac:dyDescent="0.25">
      <c r="I946" s="1"/>
      <c r="J946" s="1"/>
      <c r="N946" s="1"/>
      <c r="Z946" s="1"/>
      <c r="AA946" s="1"/>
      <c r="AE946" s="1"/>
    </row>
    <row r="947" spans="9:31" x14ac:dyDescent="0.25">
      <c r="I947" s="1"/>
      <c r="J947" s="1"/>
      <c r="N947" s="1"/>
      <c r="Z947" s="1"/>
      <c r="AA947" s="1"/>
      <c r="AE947" s="1"/>
    </row>
    <row r="948" spans="9:31" x14ac:dyDescent="0.25">
      <c r="I948" s="1"/>
      <c r="J948" s="1"/>
      <c r="N948" s="1"/>
      <c r="Z948" s="1"/>
      <c r="AA948" s="1"/>
      <c r="AE948" s="1"/>
    </row>
    <row r="949" spans="9:31" x14ac:dyDescent="0.25">
      <c r="I949" s="1"/>
      <c r="J949" s="1"/>
      <c r="N949" s="1"/>
      <c r="Z949" s="1"/>
      <c r="AA949" s="1"/>
      <c r="AE949" s="1"/>
    </row>
    <row r="950" spans="9:31" x14ac:dyDescent="0.25">
      <c r="I950" s="1"/>
      <c r="J950" s="1"/>
      <c r="N950" s="1"/>
      <c r="Z950" s="1"/>
      <c r="AA950" s="1"/>
      <c r="AE950" s="1"/>
    </row>
    <row r="951" spans="9:31" x14ac:dyDescent="0.25">
      <c r="I951" s="1"/>
      <c r="J951" s="1"/>
      <c r="N951" s="1"/>
      <c r="Z951" s="1"/>
      <c r="AA951" s="1"/>
      <c r="AE951" s="1"/>
    </row>
    <row r="952" spans="9:31" x14ac:dyDescent="0.25">
      <c r="I952" s="1"/>
      <c r="J952" s="1"/>
      <c r="N952" s="1"/>
      <c r="Z952" s="1"/>
      <c r="AA952" s="1"/>
      <c r="AE952" s="1"/>
    </row>
    <row r="953" spans="9:31" x14ac:dyDescent="0.25">
      <c r="I953" s="1"/>
      <c r="J953" s="1"/>
      <c r="N953" s="1"/>
      <c r="Z953" s="1"/>
      <c r="AA953" s="1"/>
      <c r="AE953" s="1"/>
    </row>
    <row r="954" spans="9:31" x14ac:dyDescent="0.25">
      <c r="I954" s="1"/>
      <c r="J954" s="1"/>
      <c r="N954" s="1"/>
      <c r="Z954" s="1"/>
      <c r="AA954" s="1"/>
      <c r="AE954" s="1"/>
    </row>
    <row r="955" spans="9:31" x14ac:dyDescent="0.25">
      <c r="I955" s="1"/>
      <c r="J955" s="1"/>
      <c r="N955" s="1"/>
      <c r="Z955" s="1"/>
      <c r="AA955" s="1"/>
      <c r="AE955" s="1"/>
    </row>
    <row r="956" spans="9:31" x14ac:dyDescent="0.25">
      <c r="I956" s="1"/>
      <c r="J956" s="1"/>
      <c r="N956" s="1"/>
      <c r="Z956" s="1"/>
      <c r="AA956" s="1"/>
      <c r="AE956" s="1"/>
    </row>
    <row r="957" spans="9:31" x14ac:dyDescent="0.25">
      <c r="N957" s="1"/>
      <c r="Z957" s="1"/>
      <c r="AA957" s="1"/>
      <c r="AE957" s="1"/>
    </row>
    <row r="958" spans="9:31" x14ac:dyDescent="0.25">
      <c r="I958" s="1"/>
      <c r="J958" s="1"/>
      <c r="N958" s="1"/>
      <c r="AE958" s="1"/>
    </row>
    <row r="959" spans="9:31" x14ac:dyDescent="0.25">
      <c r="I959" s="1"/>
      <c r="J959" s="1"/>
      <c r="N959" s="1"/>
      <c r="Z959" s="1"/>
      <c r="AA959" s="1"/>
      <c r="AE959" s="1"/>
    </row>
    <row r="960" spans="9:31" x14ac:dyDescent="0.25">
      <c r="I960" s="1"/>
      <c r="J960" s="1"/>
      <c r="N960" s="1"/>
      <c r="Z960" s="1"/>
      <c r="AA960" s="1"/>
      <c r="AE960" s="1"/>
    </row>
    <row r="961" spans="9:31" x14ac:dyDescent="0.25">
      <c r="I961" s="1"/>
      <c r="J961" s="1"/>
      <c r="N961" s="1"/>
      <c r="Z961" s="1"/>
      <c r="AA961" s="1"/>
      <c r="AE961" s="1"/>
    </row>
    <row r="962" spans="9:31" x14ac:dyDescent="0.25">
      <c r="I962" s="1"/>
      <c r="J962" s="1"/>
      <c r="N962" s="1"/>
      <c r="Z962" s="1"/>
      <c r="AA962" s="1"/>
      <c r="AE962" s="1"/>
    </row>
    <row r="963" spans="9:31" x14ac:dyDescent="0.25">
      <c r="I963" s="1"/>
      <c r="J963" s="1"/>
      <c r="N963" s="1"/>
      <c r="AE963" s="1"/>
    </row>
    <row r="964" spans="9:31" x14ac:dyDescent="0.25">
      <c r="I964" s="1"/>
      <c r="J964" s="1"/>
      <c r="N964" s="1"/>
      <c r="Z964" s="1"/>
      <c r="AA964" s="1"/>
      <c r="AE964" s="1"/>
    </row>
    <row r="965" spans="9:31" x14ac:dyDescent="0.25">
      <c r="I965" s="1"/>
      <c r="J965" s="1"/>
      <c r="N965" s="1"/>
      <c r="Z965" s="1"/>
      <c r="AA965" s="1"/>
      <c r="AE965" s="1"/>
    </row>
    <row r="966" spans="9:31" x14ac:dyDescent="0.25">
      <c r="I966" s="1"/>
      <c r="J966" s="1"/>
      <c r="N966" s="1"/>
      <c r="AE966" s="1"/>
    </row>
    <row r="967" spans="9:31" x14ac:dyDescent="0.25">
      <c r="N967" s="1"/>
      <c r="Z967" s="1"/>
      <c r="AA967" s="1"/>
      <c r="AE967" s="1"/>
    </row>
    <row r="968" spans="9:31" x14ac:dyDescent="0.25">
      <c r="I968" s="1"/>
      <c r="J968" s="1"/>
      <c r="N968" s="1"/>
      <c r="AE968" s="1"/>
    </row>
    <row r="969" spans="9:31" x14ac:dyDescent="0.25">
      <c r="I969" s="1"/>
      <c r="J969" s="1"/>
      <c r="N969" s="1"/>
      <c r="Z969" s="1"/>
      <c r="AA969" s="1"/>
      <c r="AE969" s="1"/>
    </row>
    <row r="970" spans="9:31" x14ac:dyDescent="0.25">
      <c r="I970" s="1"/>
      <c r="J970" s="1"/>
      <c r="N970" s="1"/>
      <c r="Z970" s="1"/>
      <c r="AA970" s="1"/>
      <c r="AE970" s="1"/>
    </row>
    <row r="971" spans="9:31" x14ac:dyDescent="0.25">
      <c r="I971" s="1"/>
      <c r="J971" s="1"/>
      <c r="N971" s="1"/>
      <c r="Z971" s="1"/>
      <c r="AA971" s="1"/>
      <c r="AE971" s="1"/>
    </row>
    <row r="972" spans="9:31" x14ac:dyDescent="0.25">
      <c r="I972" s="1"/>
      <c r="J972" s="1"/>
      <c r="N972" s="1"/>
      <c r="AE972" s="1"/>
    </row>
    <row r="973" spans="9:31" x14ac:dyDescent="0.25">
      <c r="I973" s="1"/>
      <c r="J973" s="1"/>
      <c r="N973" s="1"/>
      <c r="Z973" s="1"/>
      <c r="AA973" s="1"/>
      <c r="AE973" s="1"/>
    </row>
    <row r="974" spans="9:31" x14ac:dyDescent="0.25">
      <c r="I974" s="1"/>
      <c r="J974" s="1"/>
      <c r="N974" s="1"/>
      <c r="Z974" s="1"/>
      <c r="AA974" s="1"/>
      <c r="AE974" s="1"/>
    </row>
    <row r="975" spans="9:31" x14ac:dyDescent="0.25">
      <c r="I975" s="1"/>
      <c r="J975" s="1"/>
      <c r="N975" s="1"/>
      <c r="Z975" s="1"/>
      <c r="AA975" s="1"/>
      <c r="AE975" s="1"/>
    </row>
    <row r="976" spans="9:31" x14ac:dyDescent="0.25">
      <c r="I976" s="1"/>
      <c r="J976" s="1"/>
      <c r="N976" s="1"/>
      <c r="Z976" s="1"/>
      <c r="AA976" s="1"/>
      <c r="AE976" s="1"/>
    </row>
    <row r="977" spans="9:31" x14ac:dyDescent="0.25">
      <c r="I977" s="1"/>
      <c r="J977" s="1"/>
      <c r="N977" s="1"/>
      <c r="Z977" s="1"/>
      <c r="AA977" s="1"/>
      <c r="AE977" s="1"/>
    </row>
    <row r="978" spans="9:31" x14ac:dyDescent="0.25">
      <c r="I978" s="1"/>
      <c r="J978" s="1"/>
      <c r="N978" s="1"/>
      <c r="Z978" s="1"/>
      <c r="AA978" s="1"/>
      <c r="AE978" s="1"/>
    </row>
    <row r="979" spans="9:31" x14ac:dyDescent="0.25">
      <c r="I979" s="1"/>
      <c r="J979" s="1"/>
      <c r="N979" s="1"/>
      <c r="Z979" s="1"/>
      <c r="AA979" s="1"/>
      <c r="AE979" s="1"/>
    </row>
    <row r="980" spans="9:31" x14ac:dyDescent="0.25">
      <c r="I980" s="1"/>
      <c r="J980" s="1"/>
      <c r="N980" s="1"/>
      <c r="Z980" s="1"/>
      <c r="AA980" s="1"/>
      <c r="AE980" s="1"/>
    </row>
    <row r="981" spans="9:31" x14ac:dyDescent="0.25">
      <c r="I981" s="1"/>
      <c r="J981" s="1"/>
      <c r="N981" s="1"/>
      <c r="Z981" s="1"/>
      <c r="AA981" s="1"/>
      <c r="AE981" s="1"/>
    </row>
    <row r="982" spans="9:31" x14ac:dyDescent="0.25">
      <c r="I982" s="1"/>
      <c r="J982" s="1"/>
      <c r="N982" s="1"/>
      <c r="Z982" s="1"/>
      <c r="AA982" s="1"/>
      <c r="AE982" s="1"/>
    </row>
    <row r="983" spans="9:31" x14ac:dyDescent="0.25">
      <c r="I983" s="1"/>
      <c r="J983" s="1"/>
      <c r="N983" s="1"/>
      <c r="Z983" s="1"/>
      <c r="AA983" s="1"/>
      <c r="AE983" s="1"/>
    </row>
    <row r="984" spans="9:31" x14ac:dyDescent="0.25">
      <c r="I984" s="1"/>
      <c r="J984" s="1"/>
      <c r="N984" s="1"/>
      <c r="Z984" s="1"/>
      <c r="AA984" s="1"/>
      <c r="AE984" s="1"/>
    </row>
    <row r="985" spans="9:31" x14ac:dyDescent="0.25">
      <c r="I985" s="1"/>
      <c r="J985" s="1"/>
      <c r="N985" s="1"/>
      <c r="Z985" s="1"/>
      <c r="AA985" s="1"/>
      <c r="AE985" s="1"/>
    </row>
    <row r="986" spans="9:31" x14ac:dyDescent="0.25">
      <c r="I986" s="1"/>
      <c r="J986" s="1"/>
      <c r="N986" s="1"/>
      <c r="Z986" s="1"/>
      <c r="AA986" s="1"/>
      <c r="AE986" s="1"/>
    </row>
    <row r="987" spans="9:31" x14ac:dyDescent="0.25">
      <c r="I987" s="1"/>
      <c r="J987" s="1"/>
      <c r="N987" s="1"/>
      <c r="Z987" s="1"/>
      <c r="AA987" s="1"/>
      <c r="AE987" s="1"/>
    </row>
    <row r="988" spans="9:31" x14ac:dyDescent="0.25">
      <c r="I988" s="1"/>
      <c r="J988" s="1"/>
      <c r="N988" s="1"/>
      <c r="Z988" s="1"/>
      <c r="AA988" s="1"/>
      <c r="AE988" s="1"/>
    </row>
    <row r="989" spans="9:31" x14ac:dyDescent="0.25">
      <c r="I989" s="1"/>
      <c r="J989" s="1"/>
      <c r="N989" s="1"/>
      <c r="Z989" s="1"/>
      <c r="AA989" s="1"/>
      <c r="AE989" s="1"/>
    </row>
    <row r="990" spans="9:31" x14ac:dyDescent="0.25">
      <c r="I990" s="1"/>
      <c r="J990" s="1"/>
      <c r="N990" s="1"/>
      <c r="Z990" s="1"/>
      <c r="AA990" s="1"/>
      <c r="AE990" s="1"/>
    </row>
    <row r="991" spans="9:31" x14ac:dyDescent="0.25">
      <c r="I991" s="1"/>
      <c r="J991" s="1"/>
      <c r="N991" s="1"/>
      <c r="Z991" s="1"/>
      <c r="AA991" s="1"/>
      <c r="AE991" s="1"/>
    </row>
    <row r="992" spans="9:31" x14ac:dyDescent="0.25">
      <c r="I992" s="1"/>
      <c r="J992" s="1"/>
      <c r="N992" s="1"/>
      <c r="Z992" s="1"/>
      <c r="AA992" s="1"/>
      <c r="AE992" s="1"/>
    </row>
    <row r="993" spans="9:31" x14ac:dyDescent="0.25">
      <c r="I993" s="1"/>
      <c r="J993" s="1"/>
      <c r="N993" s="1"/>
      <c r="Z993" s="1"/>
      <c r="AA993" s="1"/>
      <c r="AE993" s="1"/>
    </row>
    <row r="994" spans="9:31" x14ac:dyDescent="0.25">
      <c r="I994" s="1"/>
      <c r="J994" s="1"/>
      <c r="N994" s="1"/>
      <c r="Z994" s="1"/>
      <c r="AA994" s="1"/>
      <c r="AE994" s="1"/>
    </row>
    <row r="995" spans="9:31" x14ac:dyDescent="0.25">
      <c r="I995" s="1"/>
      <c r="J995" s="1"/>
      <c r="N995" s="1"/>
      <c r="Z995" s="1"/>
      <c r="AA995" s="1"/>
      <c r="AE995" s="1"/>
    </row>
    <row r="996" spans="9:31" x14ac:dyDescent="0.25">
      <c r="I996" s="1"/>
      <c r="J996" s="1"/>
      <c r="N996" s="1"/>
      <c r="Z996" s="1"/>
      <c r="AA996" s="1"/>
      <c r="AE996" s="1"/>
    </row>
    <row r="997" spans="9:31" x14ac:dyDescent="0.25">
      <c r="I997" s="1"/>
      <c r="J997" s="1"/>
      <c r="N997" s="1"/>
      <c r="Z997" s="1"/>
      <c r="AA997" s="1"/>
      <c r="AE997" s="1"/>
    </row>
    <row r="998" spans="9:31" x14ac:dyDescent="0.25">
      <c r="I998" s="1"/>
      <c r="J998" s="1"/>
      <c r="N998" s="1"/>
      <c r="Z998" s="1"/>
      <c r="AA998" s="1"/>
      <c r="AE998" s="1"/>
    </row>
    <row r="999" spans="9:31" x14ac:dyDescent="0.25">
      <c r="N999" s="1"/>
      <c r="Z999" s="1"/>
      <c r="AA999" s="1"/>
      <c r="AE999" s="1"/>
    </row>
    <row r="1000" spans="9:31" x14ac:dyDescent="0.25">
      <c r="N1000" s="1"/>
      <c r="AE1000" s="1"/>
    </row>
    <row r="1001" spans="9:31" x14ac:dyDescent="0.25">
      <c r="I1001" s="1"/>
      <c r="J1001" s="1"/>
      <c r="N1001" s="1"/>
      <c r="AE1001" s="1"/>
    </row>
    <row r="1002" spans="9:31" x14ac:dyDescent="0.25">
      <c r="I1002" s="1"/>
      <c r="J1002" s="1"/>
      <c r="N1002" s="1"/>
      <c r="Z1002" s="1"/>
      <c r="AA1002" s="1"/>
      <c r="AE1002" s="1"/>
    </row>
    <row r="1003" spans="9:31" x14ac:dyDescent="0.25">
      <c r="I1003" s="1"/>
      <c r="J1003" s="1"/>
      <c r="N1003" s="1"/>
      <c r="Z1003" s="1"/>
      <c r="AA1003" s="1"/>
      <c r="AE1003" s="1"/>
    </row>
    <row r="1004" spans="9:31" x14ac:dyDescent="0.25">
      <c r="N1004" s="1"/>
      <c r="AE1004" s="1"/>
    </row>
    <row r="1005" spans="9:31" x14ac:dyDescent="0.25">
      <c r="I1005" s="1"/>
      <c r="J1005" s="1"/>
      <c r="N1005" s="1"/>
      <c r="AE1005" s="1"/>
    </row>
    <row r="1006" spans="9:31" x14ac:dyDescent="0.25">
      <c r="I1006" s="1"/>
      <c r="J1006" s="1"/>
      <c r="N1006" s="1"/>
      <c r="Z1006" s="1"/>
      <c r="AA1006" s="1"/>
      <c r="AE1006" s="1"/>
    </row>
    <row r="1007" spans="9:31" x14ac:dyDescent="0.25">
      <c r="I1007" s="1"/>
      <c r="J1007" s="1"/>
      <c r="N1007" s="1"/>
      <c r="Z1007" s="1"/>
      <c r="AA1007" s="1"/>
      <c r="AE1007" s="1"/>
    </row>
    <row r="1008" spans="9:31" x14ac:dyDescent="0.25">
      <c r="I1008" s="1"/>
      <c r="J1008" s="1"/>
      <c r="N1008" s="1"/>
      <c r="Z1008" s="1"/>
      <c r="AA1008" s="1"/>
      <c r="AE1008" s="1"/>
    </row>
    <row r="1009" spans="9:31" x14ac:dyDescent="0.25">
      <c r="I1009" s="1"/>
      <c r="J1009" s="1"/>
      <c r="N1009" s="1"/>
      <c r="Z1009" s="1"/>
      <c r="AA1009" s="1"/>
      <c r="AE1009" s="1"/>
    </row>
    <row r="1010" spans="9:31" x14ac:dyDescent="0.25">
      <c r="I1010" s="1"/>
      <c r="J1010" s="1"/>
      <c r="N1010" s="1"/>
      <c r="Z1010" s="1"/>
      <c r="AA1010" s="1"/>
      <c r="AE1010" s="1"/>
    </row>
    <row r="1011" spans="9:31" x14ac:dyDescent="0.25">
      <c r="N1011" s="1"/>
      <c r="Z1011" s="1"/>
      <c r="AA1011" s="1"/>
      <c r="AE1011" s="1"/>
    </row>
    <row r="1012" spans="9:31" x14ac:dyDescent="0.25">
      <c r="I1012" s="1"/>
      <c r="J1012" s="1"/>
      <c r="N1012" s="1"/>
      <c r="AE1012" s="1"/>
    </row>
    <row r="1013" spans="9:31" x14ac:dyDescent="0.25">
      <c r="I1013" s="1"/>
      <c r="J1013" s="1"/>
      <c r="N1013" s="1"/>
      <c r="Z1013" s="1"/>
      <c r="AA1013" s="1"/>
      <c r="AE1013" s="1"/>
    </row>
    <row r="1014" spans="9:31" x14ac:dyDescent="0.25">
      <c r="I1014" s="1"/>
      <c r="J1014" s="1"/>
      <c r="N1014" s="1"/>
      <c r="Z1014" s="1"/>
      <c r="AA1014" s="1"/>
      <c r="AE1014" s="1"/>
    </row>
    <row r="1015" spans="9:31" x14ac:dyDescent="0.25">
      <c r="I1015" s="1"/>
      <c r="J1015" s="1"/>
      <c r="N1015" s="1"/>
      <c r="Z1015" s="1"/>
      <c r="AA1015" s="1"/>
      <c r="AE1015" s="1"/>
    </row>
    <row r="1016" spans="9:31" x14ac:dyDescent="0.25">
      <c r="N1016" s="1"/>
      <c r="Z1016" s="1"/>
      <c r="AA1016" s="1"/>
      <c r="AE1016" s="1"/>
    </row>
    <row r="1017" spans="9:31" x14ac:dyDescent="0.25">
      <c r="I1017" s="1"/>
      <c r="J1017" s="1"/>
      <c r="N1017" s="1"/>
      <c r="AE1017" s="1"/>
    </row>
    <row r="1018" spans="9:31" x14ac:dyDescent="0.25">
      <c r="I1018" s="1"/>
      <c r="J1018" s="1"/>
      <c r="N1018" s="1"/>
      <c r="Z1018" s="1"/>
      <c r="AA1018" s="1"/>
      <c r="AE1018" s="1"/>
    </row>
    <row r="1019" spans="9:31" x14ac:dyDescent="0.25">
      <c r="I1019" s="1"/>
      <c r="J1019" s="1"/>
      <c r="N1019" s="1"/>
      <c r="Z1019" s="1"/>
      <c r="AA1019" s="1"/>
      <c r="AE1019" s="1"/>
    </row>
    <row r="1020" spans="9:31" x14ac:dyDescent="0.25">
      <c r="N1020" s="1"/>
      <c r="Z1020" s="1"/>
      <c r="AA1020" s="1"/>
      <c r="AE1020" s="1"/>
    </row>
    <row r="1021" spans="9:31" x14ac:dyDescent="0.25">
      <c r="I1021" s="1"/>
      <c r="J1021" s="1"/>
      <c r="N1021" s="1"/>
      <c r="AE1021" s="1"/>
    </row>
    <row r="1022" spans="9:31" x14ac:dyDescent="0.25">
      <c r="I1022" s="1"/>
      <c r="J1022" s="1"/>
      <c r="N1022" s="1"/>
      <c r="Z1022" s="1"/>
      <c r="AA1022" s="1"/>
      <c r="AE1022" s="1"/>
    </row>
    <row r="1023" spans="9:31" x14ac:dyDescent="0.25">
      <c r="N1023" s="1"/>
      <c r="Z1023" s="1"/>
      <c r="AA1023" s="1"/>
      <c r="AE1023" s="1"/>
    </row>
    <row r="1024" spans="9:31" x14ac:dyDescent="0.25">
      <c r="I1024" s="1"/>
      <c r="J1024" s="1"/>
      <c r="N1024" s="1"/>
      <c r="AE1024" s="1"/>
    </row>
    <row r="1025" spans="9:31" x14ac:dyDescent="0.25">
      <c r="I1025" s="1"/>
      <c r="J1025" s="1"/>
      <c r="N1025" s="1"/>
      <c r="Z1025" s="1"/>
      <c r="AA1025" s="1"/>
      <c r="AE1025" s="1"/>
    </row>
    <row r="1026" spans="9:31" x14ac:dyDescent="0.25">
      <c r="I1026" s="1"/>
      <c r="J1026" s="1"/>
      <c r="N1026" s="1"/>
      <c r="Z1026" s="1"/>
      <c r="AA1026" s="1"/>
      <c r="AE1026" s="1"/>
    </row>
    <row r="1027" spans="9:31" x14ac:dyDescent="0.25">
      <c r="I1027" s="1"/>
      <c r="J1027" s="1"/>
      <c r="N1027" s="1"/>
      <c r="Z1027" s="1"/>
      <c r="AA1027" s="1"/>
      <c r="AE1027" s="1"/>
    </row>
    <row r="1028" spans="9:31" x14ac:dyDescent="0.25">
      <c r="I1028" s="1"/>
      <c r="J1028" s="1"/>
      <c r="N1028" s="1"/>
      <c r="Z1028" s="1"/>
      <c r="AA1028" s="1"/>
      <c r="AE1028" s="1"/>
    </row>
    <row r="1029" spans="9:31" x14ac:dyDescent="0.25">
      <c r="I1029" s="1"/>
      <c r="J1029" s="1"/>
      <c r="N1029" s="1"/>
      <c r="Z1029" s="1"/>
      <c r="AA1029" s="1"/>
      <c r="AE1029" s="1"/>
    </row>
    <row r="1030" spans="9:31" x14ac:dyDescent="0.25">
      <c r="I1030" s="1"/>
      <c r="J1030" s="1"/>
      <c r="N1030" s="1"/>
      <c r="Z1030" s="1"/>
      <c r="AA1030" s="1"/>
      <c r="AE1030" s="1"/>
    </row>
    <row r="1031" spans="9:31" x14ac:dyDescent="0.25">
      <c r="I1031" s="1"/>
      <c r="J1031" s="1"/>
      <c r="N1031" s="1"/>
      <c r="Z1031" s="1"/>
      <c r="AA1031" s="1"/>
      <c r="AE1031" s="1"/>
    </row>
    <row r="1032" spans="9:31" x14ac:dyDescent="0.25">
      <c r="I1032" s="1"/>
      <c r="J1032" s="1"/>
      <c r="N1032" s="1"/>
      <c r="Z1032" s="1"/>
      <c r="AA1032" s="1"/>
      <c r="AE1032" s="1"/>
    </row>
    <row r="1033" spans="9:31" x14ac:dyDescent="0.25">
      <c r="I1033" s="1"/>
      <c r="J1033" s="1"/>
      <c r="N1033" s="1"/>
      <c r="AE1033" s="1"/>
    </row>
    <row r="1034" spans="9:31" x14ac:dyDescent="0.25">
      <c r="I1034" s="1"/>
      <c r="J1034" s="1"/>
      <c r="N1034" s="1"/>
      <c r="Z1034" s="1"/>
      <c r="AA1034" s="1"/>
      <c r="AE1034" s="1"/>
    </row>
    <row r="1035" spans="9:31" x14ac:dyDescent="0.25">
      <c r="I1035" s="1"/>
      <c r="J1035" s="1"/>
      <c r="N1035" s="1"/>
      <c r="Z1035" s="1"/>
      <c r="AA1035" s="1"/>
      <c r="AE1035" s="1"/>
    </row>
    <row r="1036" spans="9:31" x14ac:dyDescent="0.25">
      <c r="I1036" s="1"/>
      <c r="J1036" s="1"/>
      <c r="N1036" s="1"/>
      <c r="Z1036" s="1"/>
      <c r="AA1036" s="1"/>
      <c r="AE1036" s="1"/>
    </row>
    <row r="1037" spans="9:31" x14ac:dyDescent="0.25">
      <c r="I1037" s="1"/>
      <c r="J1037" s="1"/>
      <c r="N1037" s="1"/>
      <c r="Z1037" s="1"/>
      <c r="AA1037" s="1"/>
      <c r="AE1037" s="1"/>
    </row>
    <row r="1038" spans="9:31" x14ac:dyDescent="0.25">
      <c r="I1038" s="1"/>
      <c r="J1038" s="1"/>
      <c r="N1038" s="1"/>
      <c r="Z1038" s="1"/>
      <c r="AA1038" s="1"/>
      <c r="AE1038" s="1"/>
    </row>
    <row r="1039" spans="9:31" x14ac:dyDescent="0.25">
      <c r="I1039" s="1"/>
      <c r="J1039" s="1"/>
      <c r="N1039" s="1"/>
      <c r="Z1039" s="1"/>
      <c r="AA1039" s="1"/>
      <c r="AE1039" s="1"/>
    </row>
    <row r="1040" spans="9:31" x14ac:dyDescent="0.25">
      <c r="I1040" s="1"/>
      <c r="J1040" s="1"/>
      <c r="N1040" s="1"/>
      <c r="Z1040" s="1"/>
      <c r="AA1040" s="1"/>
      <c r="AE1040" s="1"/>
    </row>
    <row r="1041" spans="9:31" x14ac:dyDescent="0.25">
      <c r="N1041" s="1"/>
      <c r="Z1041" s="1"/>
      <c r="AA1041" s="1"/>
      <c r="AE1041" s="1"/>
    </row>
    <row r="1042" spans="9:31" x14ac:dyDescent="0.25">
      <c r="I1042" s="1"/>
      <c r="J1042" s="1"/>
      <c r="N1042" s="1"/>
      <c r="AE1042" s="1"/>
    </row>
    <row r="1043" spans="9:31" x14ac:dyDescent="0.25">
      <c r="I1043" s="1"/>
      <c r="J1043" s="1"/>
      <c r="N1043" s="1"/>
      <c r="Z1043" s="1"/>
      <c r="AA1043" s="1"/>
      <c r="AE1043" s="1"/>
    </row>
    <row r="1044" spans="9:31" x14ac:dyDescent="0.25">
      <c r="I1044" s="1"/>
      <c r="J1044" s="1"/>
      <c r="N1044" s="1"/>
      <c r="Z1044" s="1"/>
      <c r="AA1044" s="1"/>
      <c r="AE1044" s="1"/>
    </row>
    <row r="1045" spans="9:31" x14ac:dyDescent="0.25">
      <c r="I1045" s="1"/>
      <c r="J1045" s="1"/>
      <c r="N1045" s="1"/>
      <c r="Z1045" s="1"/>
      <c r="AA1045" s="1"/>
      <c r="AE1045" s="1"/>
    </row>
    <row r="1046" spans="9:31" x14ac:dyDescent="0.25">
      <c r="I1046" s="1"/>
      <c r="J1046" s="1"/>
      <c r="N1046" s="1"/>
      <c r="Z1046" s="1"/>
      <c r="AA1046" s="1"/>
      <c r="AE1046" s="1"/>
    </row>
    <row r="1047" spans="9:31" x14ac:dyDescent="0.25">
      <c r="I1047" s="1"/>
      <c r="J1047" s="1"/>
      <c r="N1047" s="1"/>
      <c r="Z1047" s="1"/>
      <c r="AA1047" s="1"/>
      <c r="AE1047" s="1"/>
    </row>
    <row r="1048" spans="9:31" x14ac:dyDescent="0.25">
      <c r="I1048" s="1"/>
      <c r="J1048" s="1"/>
      <c r="N1048" s="1"/>
      <c r="Z1048" s="1"/>
      <c r="AA1048" s="1"/>
      <c r="AE1048" s="1"/>
    </row>
    <row r="1049" spans="9:31" x14ac:dyDescent="0.25">
      <c r="I1049" s="1"/>
      <c r="J1049" s="1"/>
      <c r="N1049" s="1"/>
      <c r="Z1049" s="1"/>
      <c r="AA1049" s="1"/>
      <c r="AE1049" s="1"/>
    </row>
    <row r="1050" spans="9:31" x14ac:dyDescent="0.25">
      <c r="I1050" s="1"/>
      <c r="J1050" s="1"/>
      <c r="N1050" s="1"/>
      <c r="Z1050" s="1"/>
      <c r="AA1050" s="1"/>
      <c r="AE1050" s="1"/>
    </row>
    <row r="1051" spans="9:31" x14ac:dyDescent="0.25">
      <c r="I1051" s="1"/>
      <c r="J1051" s="1"/>
      <c r="N1051" s="1"/>
      <c r="Z1051" s="1"/>
      <c r="AA1051" s="1"/>
      <c r="AE1051" s="1"/>
    </row>
    <row r="1052" spans="9:31" x14ac:dyDescent="0.25">
      <c r="I1052" s="1"/>
      <c r="J1052" s="1"/>
      <c r="N1052" s="1"/>
      <c r="Z1052" s="1"/>
      <c r="AA1052" s="1"/>
      <c r="AE1052" s="1"/>
    </row>
    <row r="1053" spans="9:31" x14ac:dyDescent="0.25">
      <c r="I1053" s="1"/>
      <c r="J1053" s="1"/>
      <c r="N1053" s="1"/>
      <c r="Z1053" s="1"/>
      <c r="AA1053" s="1"/>
      <c r="AE1053" s="1"/>
    </row>
    <row r="1054" spans="9:31" x14ac:dyDescent="0.25">
      <c r="N1054" s="1"/>
      <c r="Z1054" s="1"/>
      <c r="AA1054" s="1"/>
      <c r="AE1054" s="1"/>
    </row>
    <row r="1055" spans="9:31" x14ac:dyDescent="0.25">
      <c r="I1055" s="1"/>
      <c r="J1055" s="1"/>
      <c r="N1055" s="1"/>
      <c r="AE1055" s="1"/>
    </row>
    <row r="1056" spans="9:31" x14ac:dyDescent="0.25">
      <c r="I1056" s="1"/>
      <c r="J1056" s="1"/>
      <c r="N1056" s="1"/>
      <c r="Z1056" s="1"/>
      <c r="AA1056" s="1"/>
      <c r="AE1056" s="1"/>
    </row>
    <row r="1057" spans="9:31" x14ac:dyDescent="0.25">
      <c r="I1057" s="1"/>
      <c r="J1057" s="1"/>
      <c r="N1057" s="1"/>
      <c r="Z1057" s="1"/>
      <c r="AA1057" s="1"/>
      <c r="AE1057" s="1"/>
    </row>
    <row r="1058" spans="9:31" x14ac:dyDescent="0.25">
      <c r="I1058" s="1"/>
      <c r="J1058" s="1"/>
      <c r="N1058" s="1"/>
      <c r="Z1058" s="1"/>
      <c r="AA1058" s="1"/>
      <c r="AE1058" s="1"/>
    </row>
    <row r="1059" spans="9:31" x14ac:dyDescent="0.25">
      <c r="I1059" s="1"/>
      <c r="J1059" s="1"/>
      <c r="N1059" s="1"/>
      <c r="Z1059" s="1"/>
      <c r="AA1059" s="1"/>
      <c r="AE1059" s="1"/>
    </row>
    <row r="1060" spans="9:31" x14ac:dyDescent="0.25">
      <c r="I1060" s="1"/>
      <c r="J1060" s="1"/>
      <c r="N1060" s="1"/>
      <c r="Z1060" s="1"/>
      <c r="AA1060" s="1"/>
      <c r="AE1060" s="1"/>
    </row>
    <row r="1061" spans="9:31" x14ac:dyDescent="0.25">
      <c r="I1061" s="1"/>
      <c r="J1061" s="1"/>
      <c r="N1061" s="1"/>
      <c r="Z1061" s="1"/>
      <c r="AA1061" s="1"/>
      <c r="AE1061" s="1"/>
    </row>
    <row r="1062" spans="9:31" x14ac:dyDescent="0.25">
      <c r="I1062" s="1"/>
      <c r="J1062" s="1"/>
      <c r="N1062" s="1"/>
      <c r="Z1062" s="1"/>
      <c r="AA1062" s="1"/>
      <c r="AE1062" s="1"/>
    </row>
    <row r="1063" spans="9:31" x14ac:dyDescent="0.25">
      <c r="I1063" s="1"/>
      <c r="J1063" s="1"/>
      <c r="N1063" s="1"/>
      <c r="Z1063" s="1"/>
      <c r="AA1063" s="1"/>
      <c r="AE1063" s="1"/>
    </row>
    <row r="1064" spans="9:31" x14ac:dyDescent="0.25">
      <c r="N1064" s="1"/>
      <c r="Z1064" s="1"/>
      <c r="AA1064" s="1"/>
      <c r="AE1064" s="1"/>
    </row>
    <row r="1065" spans="9:31" x14ac:dyDescent="0.25">
      <c r="I1065" s="1"/>
      <c r="J1065" s="1"/>
      <c r="N1065" s="1"/>
      <c r="AE1065" s="1"/>
    </row>
    <row r="1066" spans="9:31" x14ac:dyDescent="0.25">
      <c r="I1066" s="1"/>
      <c r="J1066" s="1"/>
      <c r="N1066" s="1"/>
      <c r="Z1066" s="1"/>
      <c r="AA1066" s="1"/>
      <c r="AE1066" s="1"/>
    </row>
    <row r="1067" spans="9:31" x14ac:dyDescent="0.25">
      <c r="I1067" s="1"/>
      <c r="J1067" s="1"/>
      <c r="N1067" s="1"/>
      <c r="Z1067" s="1"/>
      <c r="AA1067" s="1"/>
      <c r="AE1067" s="1"/>
    </row>
    <row r="1068" spans="9:31" x14ac:dyDescent="0.25">
      <c r="I1068" s="1"/>
      <c r="J1068" s="1"/>
      <c r="N1068" s="1"/>
      <c r="Z1068" s="1"/>
      <c r="AA1068" s="1"/>
      <c r="AE1068" s="1"/>
    </row>
    <row r="1069" spans="9:31" x14ac:dyDescent="0.25">
      <c r="I1069" s="1"/>
      <c r="J1069" s="1"/>
      <c r="N1069" s="1"/>
      <c r="Z1069" s="1"/>
      <c r="AA1069" s="1"/>
      <c r="AE1069" s="1"/>
    </row>
    <row r="1070" spans="9:31" x14ac:dyDescent="0.25">
      <c r="I1070" s="1"/>
      <c r="J1070" s="1"/>
      <c r="N1070" s="1"/>
      <c r="Z1070" s="1"/>
      <c r="AA1070" s="1"/>
      <c r="AE1070" s="1"/>
    </row>
    <row r="1071" spans="9:31" x14ac:dyDescent="0.25">
      <c r="I1071" s="1"/>
      <c r="J1071" s="1"/>
      <c r="N1071" s="1"/>
      <c r="Z1071" s="1"/>
      <c r="AA1071" s="1"/>
      <c r="AE1071" s="1"/>
    </row>
    <row r="1072" spans="9:31" x14ac:dyDescent="0.25">
      <c r="I1072" s="1"/>
      <c r="J1072" s="1"/>
      <c r="N1072" s="1"/>
      <c r="Z1072" s="1"/>
      <c r="AA1072" s="1"/>
      <c r="AE1072" s="1"/>
    </row>
    <row r="1073" spans="9:31" x14ac:dyDescent="0.25">
      <c r="I1073" s="1"/>
      <c r="J1073" s="1"/>
      <c r="N1073" s="1"/>
      <c r="Z1073" s="1"/>
      <c r="AA1073" s="1"/>
      <c r="AE1073" s="1"/>
    </row>
    <row r="1074" spans="9:31" x14ac:dyDescent="0.25">
      <c r="I1074" s="1"/>
      <c r="J1074" s="1"/>
      <c r="N1074" s="1"/>
      <c r="Z1074" s="1"/>
      <c r="AA1074" s="1"/>
      <c r="AE1074" s="1"/>
    </row>
    <row r="1075" spans="9:31" x14ac:dyDescent="0.25">
      <c r="I1075" s="1"/>
      <c r="J1075" s="1"/>
      <c r="N1075" s="1"/>
      <c r="Z1075" s="1"/>
      <c r="AA1075" s="1"/>
      <c r="AE1075" s="1"/>
    </row>
    <row r="1076" spans="9:31" x14ac:dyDescent="0.25">
      <c r="I1076" s="1"/>
      <c r="J1076" s="1"/>
      <c r="N1076" s="1"/>
      <c r="Z1076" s="1"/>
      <c r="AA1076" s="1"/>
      <c r="AE1076" s="1"/>
    </row>
    <row r="1077" spans="9:31" x14ac:dyDescent="0.25">
      <c r="I1077" s="1"/>
      <c r="J1077" s="1"/>
      <c r="N1077" s="1"/>
      <c r="Z1077" s="1"/>
      <c r="AA1077" s="1"/>
      <c r="AE1077" s="1"/>
    </row>
    <row r="1078" spans="9:31" x14ac:dyDescent="0.25">
      <c r="I1078" s="1"/>
      <c r="J1078" s="1"/>
      <c r="N1078" s="1"/>
      <c r="Z1078" s="1"/>
      <c r="AA1078" s="1"/>
      <c r="AE1078" s="1"/>
    </row>
    <row r="1079" spans="9:31" x14ac:dyDescent="0.25">
      <c r="I1079" s="1"/>
      <c r="J1079" s="1"/>
      <c r="N1079" s="1"/>
      <c r="Z1079" s="1"/>
      <c r="AA1079" s="1"/>
      <c r="AE1079" s="1"/>
    </row>
    <row r="1080" spans="9:31" x14ac:dyDescent="0.25">
      <c r="N1080" s="1"/>
      <c r="Z1080" s="1"/>
      <c r="AA1080" s="1"/>
      <c r="AE1080" s="1"/>
    </row>
    <row r="1081" spans="9:31" x14ac:dyDescent="0.25">
      <c r="I1081" s="1"/>
      <c r="J1081" s="1"/>
      <c r="N1081" s="1"/>
      <c r="AE1081" s="1"/>
    </row>
    <row r="1082" spans="9:31" x14ac:dyDescent="0.25">
      <c r="I1082" s="1"/>
      <c r="J1082" s="1"/>
      <c r="N1082" s="1"/>
      <c r="Z1082" s="1"/>
      <c r="AA1082" s="1"/>
      <c r="AE1082" s="1"/>
    </row>
    <row r="1083" spans="9:31" x14ac:dyDescent="0.25">
      <c r="I1083" s="1"/>
      <c r="J1083" s="1"/>
      <c r="N1083" s="1"/>
      <c r="Z1083" s="1"/>
      <c r="AA1083" s="1"/>
      <c r="AE1083" s="1"/>
    </row>
    <row r="1084" spans="9:31" x14ac:dyDescent="0.25">
      <c r="I1084" s="1"/>
      <c r="J1084" s="1"/>
      <c r="N1084" s="1"/>
      <c r="Z1084" s="1"/>
      <c r="AA1084" s="1"/>
      <c r="AE1084" s="1"/>
    </row>
    <row r="1085" spans="9:31" x14ac:dyDescent="0.25">
      <c r="I1085" s="1"/>
      <c r="J1085" s="1"/>
      <c r="N1085" s="1"/>
      <c r="Z1085" s="1"/>
      <c r="AA1085" s="1"/>
      <c r="AE1085" s="1"/>
    </row>
    <row r="1086" spans="9:31" x14ac:dyDescent="0.25">
      <c r="I1086" s="1"/>
      <c r="J1086" s="1"/>
      <c r="N1086" s="1"/>
      <c r="Z1086" s="1"/>
      <c r="AA1086" s="1"/>
      <c r="AE1086" s="1"/>
    </row>
    <row r="1087" spans="9:31" x14ac:dyDescent="0.25">
      <c r="I1087" s="1"/>
      <c r="J1087" s="1"/>
      <c r="N1087" s="1"/>
      <c r="Z1087" s="1"/>
      <c r="AA1087" s="1"/>
      <c r="AE1087" s="1"/>
    </row>
    <row r="1088" spans="9:31" x14ac:dyDescent="0.25">
      <c r="I1088" s="1"/>
      <c r="J1088" s="1"/>
      <c r="N1088" s="1"/>
      <c r="Z1088" s="1"/>
      <c r="AA1088" s="1"/>
      <c r="AE1088" s="1"/>
    </row>
    <row r="1089" spans="9:31" x14ac:dyDescent="0.25">
      <c r="I1089" s="1"/>
      <c r="J1089" s="1"/>
      <c r="N1089" s="1"/>
      <c r="Z1089" s="1"/>
      <c r="AA1089" s="1"/>
      <c r="AE1089" s="1"/>
    </row>
    <row r="1090" spans="9:31" x14ac:dyDescent="0.25">
      <c r="I1090" s="1"/>
      <c r="J1090" s="1"/>
      <c r="N1090" s="1"/>
      <c r="Z1090" s="1"/>
      <c r="AA1090" s="1"/>
      <c r="AE1090" s="1"/>
    </row>
    <row r="1091" spans="9:31" x14ac:dyDescent="0.25">
      <c r="I1091" s="1"/>
      <c r="J1091" s="1"/>
      <c r="N1091" s="1"/>
      <c r="Z1091" s="1"/>
      <c r="AA1091" s="1"/>
      <c r="AE1091" s="1"/>
    </row>
    <row r="1092" spans="9:31" x14ac:dyDescent="0.25">
      <c r="I1092" s="1"/>
      <c r="J1092" s="1"/>
      <c r="N1092" s="1"/>
      <c r="Z1092" s="1"/>
      <c r="AA1092" s="1"/>
      <c r="AE1092" s="1"/>
    </row>
    <row r="1093" spans="9:31" x14ac:dyDescent="0.25">
      <c r="I1093" s="1"/>
      <c r="J1093" s="1"/>
      <c r="N1093" s="1"/>
      <c r="Z1093" s="1"/>
      <c r="AA1093" s="1"/>
      <c r="AE1093" s="1"/>
    </row>
    <row r="1094" spans="9:31" x14ac:dyDescent="0.25">
      <c r="I1094" s="1"/>
      <c r="J1094" s="1"/>
      <c r="N1094" s="1"/>
      <c r="Z1094" s="1"/>
      <c r="AA1094" s="1"/>
      <c r="AE1094" s="1"/>
    </row>
    <row r="1095" spans="9:31" x14ac:dyDescent="0.25">
      <c r="I1095" s="1"/>
      <c r="J1095" s="1"/>
      <c r="N1095" s="1"/>
      <c r="Z1095" s="1"/>
      <c r="AA1095" s="1"/>
      <c r="AE1095" s="1"/>
    </row>
    <row r="1096" spans="9:31" x14ac:dyDescent="0.25">
      <c r="I1096" s="1"/>
      <c r="J1096" s="1"/>
      <c r="N1096" s="1"/>
      <c r="AE1096" s="1"/>
    </row>
    <row r="1097" spans="9:31" x14ac:dyDescent="0.25">
      <c r="I1097" s="1"/>
      <c r="J1097" s="1"/>
      <c r="N1097" s="1"/>
      <c r="Z1097" s="1"/>
      <c r="AA1097" s="1"/>
      <c r="AE1097" s="1"/>
    </row>
    <row r="1098" spans="9:31" x14ac:dyDescent="0.25">
      <c r="I1098" s="1"/>
      <c r="J1098" s="1"/>
      <c r="N1098" s="1"/>
      <c r="Z1098" s="1"/>
      <c r="AA1098" s="1"/>
      <c r="AE1098" s="1"/>
    </row>
    <row r="1099" spans="9:31" x14ac:dyDescent="0.25">
      <c r="I1099" s="1"/>
      <c r="J1099" s="1"/>
      <c r="N1099" s="1"/>
      <c r="Z1099" s="1"/>
      <c r="AA1099" s="1"/>
      <c r="AE1099" s="1"/>
    </row>
    <row r="1100" spans="9:31" x14ac:dyDescent="0.25">
      <c r="I1100" s="1"/>
      <c r="J1100" s="1"/>
      <c r="N1100" s="1"/>
      <c r="Z1100" s="1"/>
      <c r="AA1100" s="1"/>
      <c r="AE1100" s="1"/>
    </row>
    <row r="1101" spans="9:31" x14ac:dyDescent="0.25">
      <c r="N1101" s="1"/>
      <c r="Z1101" s="1"/>
      <c r="AA1101" s="1"/>
      <c r="AE1101" s="1"/>
    </row>
    <row r="1102" spans="9:31" x14ac:dyDescent="0.25">
      <c r="I1102" s="1"/>
      <c r="J1102" s="1"/>
      <c r="N1102" s="1"/>
      <c r="AE1102" s="1"/>
    </row>
    <row r="1103" spans="9:31" x14ac:dyDescent="0.25">
      <c r="I1103" s="1"/>
      <c r="J1103" s="1"/>
      <c r="N1103" s="1"/>
      <c r="Z1103" s="1"/>
      <c r="AA1103" s="1"/>
      <c r="AE1103" s="1"/>
    </row>
    <row r="1104" spans="9:31" x14ac:dyDescent="0.25">
      <c r="I1104" s="1"/>
      <c r="J1104" s="1"/>
      <c r="N1104" s="1"/>
      <c r="Z1104" s="1"/>
      <c r="AA1104" s="1"/>
      <c r="AE1104" s="1"/>
    </row>
    <row r="1105" spans="9:31" x14ac:dyDescent="0.25">
      <c r="I1105" s="1"/>
      <c r="J1105" s="1"/>
      <c r="N1105" s="1"/>
      <c r="Z1105" s="1"/>
      <c r="AA1105" s="1"/>
      <c r="AE1105" s="1"/>
    </row>
    <row r="1106" spans="9:31" x14ac:dyDescent="0.25">
      <c r="I1106" s="1"/>
      <c r="J1106" s="1"/>
      <c r="N1106" s="1"/>
      <c r="Z1106" s="1"/>
      <c r="AA1106" s="1"/>
      <c r="AE1106" s="1"/>
    </row>
    <row r="1107" spans="9:31" x14ac:dyDescent="0.25">
      <c r="I1107" s="1"/>
      <c r="J1107" s="1"/>
      <c r="N1107" s="1"/>
      <c r="Z1107" s="1"/>
      <c r="AA1107" s="1"/>
      <c r="AE1107" s="1"/>
    </row>
    <row r="1108" spans="9:31" x14ac:dyDescent="0.25">
      <c r="I1108" s="1"/>
      <c r="J1108" s="1"/>
      <c r="N1108" s="1"/>
      <c r="AE1108" s="1"/>
    </row>
    <row r="1109" spans="9:31" x14ac:dyDescent="0.25">
      <c r="I1109" s="1"/>
      <c r="J1109" s="1"/>
      <c r="N1109" s="1"/>
      <c r="Z1109" s="1"/>
      <c r="AA1109" s="1"/>
      <c r="AE1109" s="1"/>
    </row>
    <row r="1110" spans="9:31" x14ac:dyDescent="0.25">
      <c r="I1110" s="1"/>
      <c r="J1110" s="1"/>
      <c r="N1110" s="1"/>
      <c r="Z1110" s="1"/>
      <c r="AA1110" s="1"/>
      <c r="AE1110" s="1"/>
    </row>
    <row r="1111" spans="9:31" x14ac:dyDescent="0.25">
      <c r="N1111" s="1"/>
      <c r="Z1111" s="1"/>
      <c r="AA1111" s="1"/>
      <c r="AE1111" s="1"/>
    </row>
    <row r="1112" spans="9:31" x14ac:dyDescent="0.25">
      <c r="I1112" s="1"/>
      <c r="J1112" s="1"/>
      <c r="N1112" s="1"/>
      <c r="AE1112" s="1"/>
    </row>
    <row r="1113" spans="9:31" x14ac:dyDescent="0.25">
      <c r="I1113" s="1"/>
      <c r="J1113" s="1"/>
      <c r="N1113" s="1"/>
      <c r="Z1113" s="1"/>
      <c r="AA1113" s="1"/>
      <c r="AE1113" s="1"/>
    </row>
    <row r="1114" spans="9:31" x14ac:dyDescent="0.25">
      <c r="I1114" s="1"/>
      <c r="J1114" s="1"/>
      <c r="N1114" s="1"/>
      <c r="AE1114" s="1"/>
    </row>
    <row r="1115" spans="9:31" x14ac:dyDescent="0.25">
      <c r="I1115" s="1"/>
      <c r="J1115" s="1"/>
      <c r="N1115" s="1"/>
      <c r="Z1115" s="1"/>
      <c r="AA1115" s="1"/>
      <c r="AE1115" s="1"/>
    </row>
    <row r="1116" spans="9:31" x14ac:dyDescent="0.25">
      <c r="I1116" s="1"/>
      <c r="J1116" s="1"/>
      <c r="N1116" s="1"/>
      <c r="Z1116" s="1"/>
      <c r="AA1116" s="1"/>
      <c r="AE1116" s="1"/>
    </row>
    <row r="1117" spans="9:31" x14ac:dyDescent="0.25">
      <c r="I1117" s="1"/>
      <c r="J1117" s="1"/>
      <c r="N1117" s="1"/>
      <c r="Z1117" s="1"/>
      <c r="AA1117" s="1"/>
      <c r="AE1117" s="1"/>
    </row>
    <row r="1118" spans="9:31" x14ac:dyDescent="0.25">
      <c r="I1118" s="1"/>
      <c r="J1118" s="1"/>
      <c r="N1118" s="1"/>
      <c r="AE1118" s="1"/>
    </row>
    <row r="1119" spans="9:31" x14ac:dyDescent="0.25">
      <c r="I1119" s="1"/>
      <c r="J1119" s="1"/>
      <c r="N1119" s="1"/>
      <c r="Z1119" s="1"/>
      <c r="AA1119" s="1"/>
      <c r="AE1119" s="1"/>
    </row>
    <row r="1120" spans="9:31" x14ac:dyDescent="0.25">
      <c r="I1120" s="1"/>
      <c r="J1120" s="1"/>
      <c r="N1120" s="1"/>
      <c r="Z1120" s="1"/>
      <c r="AA1120" s="1"/>
      <c r="AE1120" s="1"/>
    </row>
    <row r="1121" spans="9:31" x14ac:dyDescent="0.25">
      <c r="I1121" s="1"/>
      <c r="J1121" s="1"/>
      <c r="N1121" s="1"/>
      <c r="Z1121" s="1"/>
      <c r="AA1121" s="1"/>
      <c r="AE1121" s="1"/>
    </row>
    <row r="1122" spans="9:31" x14ac:dyDescent="0.25">
      <c r="I1122" s="1"/>
      <c r="J1122" s="1"/>
      <c r="N1122" s="1"/>
      <c r="Z1122" s="1"/>
      <c r="AA1122" s="1"/>
      <c r="AE1122" s="1"/>
    </row>
    <row r="1123" spans="9:31" x14ac:dyDescent="0.25">
      <c r="I1123" s="1"/>
      <c r="J1123" s="1"/>
      <c r="N1123" s="1"/>
      <c r="Z1123" s="1"/>
      <c r="AA1123" s="1"/>
      <c r="AE1123" s="1"/>
    </row>
    <row r="1124" spans="9:31" x14ac:dyDescent="0.25">
      <c r="I1124" s="1"/>
      <c r="J1124" s="1"/>
      <c r="N1124" s="1"/>
      <c r="Z1124" s="1"/>
      <c r="AA1124" s="1"/>
      <c r="AE1124" s="1"/>
    </row>
    <row r="1125" spans="9:31" x14ac:dyDescent="0.25">
      <c r="I1125" s="1"/>
      <c r="J1125" s="1"/>
      <c r="N1125" s="1"/>
      <c r="Z1125" s="1"/>
      <c r="AA1125" s="1"/>
      <c r="AE1125" s="1"/>
    </row>
    <row r="1126" spans="9:31" x14ac:dyDescent="0.25">
      <c r="I1126" s="1"/>
      <c r="J1126" s="1"/>
      <c r="N1126" s="1"/>
      <c r="Z1126" s="1"/>
      <c r="AA1126" s="1"/>
      <c r="AE1126" s="1"/>
    </row>
    <row r="1127" spans="9:31" x14ac:dyDescent="0.25">
      <c r="I1127" s="1"/>
      <c r="J1127" s="1"/>
      <c r="N1127" s="1"/>
      <c r="Z1127" s="1"/>
      <c r="AA1127" s="1"/>
      <c r="AE1127" s="1"/>
    </row>
    <row r="1128" spans="9:31" x14ac:dyDescent="0.25">
      <c r="I1128" s="1"/>
      <c r="J1128" s="1"/>
      <c r="N1128" s="1"/>
      <c r="Z1128" s="1"/>
      <c r="AA1128" s="1"/>
      <c r="AE1128" s="1"/>
    </row>
    <row r="1129" spans="9:31" x14ac:dyDescent="0.25">
      <c r="I1129" s="1"/>
      <c r="J1129" s="1"/>
      <c r="N1129" s="1"/>
      <c r="Z1129" s="1"/>
      <c r="AA1129" s="1"/>
      <c r="AE1129" s="1"/>
    </row>
    <row r="1130" spans="9:31" x14ac:dyDescent="0.25">
      <c r="I1130" s="1"/>
      <c r="J1130" s="1"/>
      <c r="N1130" s="1"/>
      <c r="Z1130" s="1"/>
      <c r="AA1130" s="1"/>
      <c r="AE1130" s="1"/>
    </row>
    <row r="1131" spans="9:31" x14ac:dyDescent="0.25">
      <c r="I1131" s="1"/>
      <c r="J1131" s="1"/>
      <c r="N1131" s="1"/>
      <c r="Z1131" s="1"/>
      <c r="AA1131" s="1"/>
      <c r="AE1131" s="1"/>
    </row>
    <row r="1132" spans="9:31" x14ac:dyDescent="0.25">
      <c r="I1132" s="1"/>
      <c r="J1132" s="1"/>
      <c r="N1132" s="1"/>
      <c r="Z1132" s="1"/>
      <c r="AA1132" s="1"/>
      <c r="AE1132" s="1"/>
    </row>
    <row r="1133" spans="9:31" x14ac:dyDescent="0.25">
      <c r="I1133" s="1"/>
      <c r="J1133" s="1"/>
      <c r="N1133" s="1"/>
      <c r="Z1133" s="1"/>
      <c r="AA1133" s="1"/>
      <c r="AE1133" s="1"/>
    </row>
    <row r="1134" spans="9:31" x14ac:dyDescent="0.25">
      <c r="I1134" s="1"/>
      <c r="J1134" s="1"/>
      <c r="N1134" s="1"/>
      <c r="Z1134" s="1"/>
      <c r="AA1134" s="1"/>
      <c r="AE1134" s="1"/>
    </row>
    <row r="1135" spans="9:31" x14ac:dyDescent="0.25">
      <c r="I1135" s="1"/>
      <c r="J1135" s="1"/>
      <c r="N1135" s="1"/>
      <c r="Z1135" s="1"/>
      <c r="AA1135" s="1"/>
      <c r="AE1135" s="1"/>
    </row>
    <row r="1136" spans="9:31" x14ac:dyDescent="0.25">
      <c r="I1136" s="1"/>
      <c r="J1136" s="1"/>
      <c r="N1136" s="1"/>
      <c r="Z1136" s="1"/>
      <c r="AA1136" s="1"/>
      <c r="AE1136" s="1"/>
    </row>
    <row r="1137" spans="9:31" x14ac:dyDescent="0.25">
      <c r="I1137" s="1"/>
      <c r="J1137" s="1"/>
      <c r="N1137" s="1"/>
      <c r="Z1137" s="1"/>
      <c r="AA1137" s="1"/>
      <c r="AE1137" s="1"/>
    </row>
    <row r="1138" spans="9:31" x14ac:dyDescent="0.25">
      <c r="I1138" s="1"/>
      <c r="J1138" s="1"/>
      <c r="N1138" s="1"/>
      <c r="Z1138" s="1"/>
      <c r="AA1138" s="1"/>
      <c r="AE1138" s="1"/>
    </row>
    <row r="1139" spans="9:31" x14ac:dyDescent="0.25">
      <c r="I1139" s="1"/>
      <c r="J1139" s="1"/>
      <c r="N1139" s="1"/>
      <c r="Z1139" s="1"/>
      <c r="AA1139" s="1"/>
      <c r="AE1139" s="1"/>
    </row>
    <row r="1140" spans="9:31" x14ac:dyDescent="0.25">
      <c r="I1140" s="1"/>
      <c r="J1140" s="1"/>
      <c r="N1140" s="1"/>
      <c r="Z1140" s="1"/>
      <c r="AA1140" s="1"/>
      <c r="AE1140" s="1"/>
    </row>
    <row r="1141" spans="9:31" x14ac:dyDescent="0.25">
      <c r="I1141" s="1"/>
      <c r="J1141" s="1"/>
      <c r="N1141" s="1"/>
      <c r="Z1141" s="1"/>
      <c r="AA1141" s="1"/>
      <c r="AE1141" s="1"/>
    </row>
    <row r="1142" spans="9:31" x14ac:dyDescent="0.25">
      <c r="I1142" s="1"/>
      <c r="J1142" s="1"/>
      <c r="N1142" s="1"/>
      <c r="Z1142" s="1"/>
      <c r="AA1142" s="1"/>
      <c r="AE1142" s="1"/>
    </row>
    <row r="1143" spans="9:31" x14ac:dyDescent="0.25">
      <c r="I1143" s="1"/>
      <c r="J1143" s="1"/>
      <c r="N1143" s="1"/>
      <c r="Z1143" s="1"/>
      <c r="AA1143" s="1"/>
      <c r="AE1143" s="1"/>
    </row>
    <row r="1144" spans="9:31" x14ac:dyDescent="0.25">
      <c r="I1144" s="1"/>
      <c r="J1144" s="1"/>
      <c r="N1144" s="1"/>
      <c r="Z1144" s="1"/>
      <c r="AA1144" s="1"/>
      <c r="AE1144" s="1"/>
    </row>
    <row r="1145" spans="9:31" x14ac:dyDescent="0.25">
      <c r="I1145" s="1"/>
      <c r="J1145" s="1"/>
      <c r="N1145" s="1"/>
      <c r="Z1145" s="1"/>
      <c r="AA1145" s="1"/>
      <c r="AE1145" s="1"/>
    </row>
    <row r="1146" spans="9:31" x14ac:dyDescent="0.25">
      <c r="I1146" s="1"/>
      <c r="J1146" s="1"/>
      <c r="N1146" s="1"/>
      <c r="Z1146" s="1"/>
      <c r="AA1146" s="1"/>
      <c r="AE1146" s="1"/>
    </row>
    <row r="1147" spans="9:31" x14ac:dyDescent="0.25">
      <c r="I1147" s="1"/>
      <c r="J1147" s="1"/>
      <c r="N1147" s="1"/>
      <c r="Z1147" s="1"/>
      <c r="AA1147" s="1"/>
      <c r="AE1147" s="1"/>
    </row>
    <row r="1148" spans="9:31" x14ac:dyDescent="0.25">
      <c r="I1148" s="1"/>
      <c r="J1148" s="1"/>
      <c r="N1148" s="1"/>
      <c r="Z1148" s="1"/>
      <c r="AA1148" s="1"/>
      <c r="AE1148" s="1"/>
    </row>
    <row r="1149" spans="9:31" x14ac:dyDescent="0.25">
      <c r="I1149" s="1"/>
      <c r="J1149" s="1"/>
      <c r="N1149" s="1"/>
      <c r="Z1149" s="1"/>
      <c r="AA1149" s="1"/>
      <c r="AE1149" s="1"/>
    </row>
    <row r="1150" spans="9:31" x14ac:dyDescent="0.25">
      <c r="I1150" s="1"/>
      <c r="J1150" s="1"/>
      <c r="N1150" s="1"/>
      <c r="Z1150" s="1"/>
      <c r="AA1150" s="1"/>
      <c r="AE1150" s="1"/>
    </row>
    <row r="1151" spans="9:31" x14ac:dyDescent="0.25">
      <c r="I1151" s="1"/>
      <c r="J1151" s="1"/>
      <c r="N1151" s="1"/>
      <c r="Z1151" s="1"/>
      <c r="AA1151" s="1"/>
      <c r="AE1151" s="1"/>
    </row>
    <row r="1152" spans="9:31" x14ac:dyDescent="0.25">
      <c r="I1152" s="1"/>
      <c r="J1152" s="1"/>
      <c r="N1152" s="1"/>
      <c r="Z1152" s="1"/>
      <c r="AA1152" s="1"/>
      <c r="AE1152" s="1"/>
    </row>
    <row r="1153" spans="9:31" x14ac:dyDescent="0.25">
      <c r="I1153" s="1"/>
      <c r="J1153" s="1"/>
      <c r="N1153" s="1"/>
      <c r="Z1153" s="1"/>
      <c r="AA1153" s="1"/>
      <c r="AE1153" s="1"/>
    </row>
    <row r="1154" spans="9:31" x14ac:dyDescent="0.25">
      <c r="I1154" s="1"/>
      <c r="J1154" s="1"/>
      <c r="N1154" s="1"/>
      <c r="AE1154" s="1"/>
    </row>
    <row r="1155" spans="9:31" x14ac:dyDescent="0.25">
      <c r="I1155" s="1"/>
      <c r="J1155" s="1"/>
      <c r="N1155" s="1"/>
      <c r="Z1155" s="1"/>
      <c r="AA1155" s="1"/>
      <c r="AE1155" s="1"/>
    </row>
    <row r="1156" spans="9:31" x14ac:dyDescent="0.25">
      <c r="I1156" s="1"/>
      <c r="J1156" s="1"/>
      <c r="N1156" s="1"/>
      <c r="Z1156" s="1"/>
      <c r="AA1156" s="1"/>
      <c r="AE1156" s="1"/>
    </row>
    <row r="1157" spans="9:31" x14ac:dyDescent="0.25">
      <c r="I1157" s="1"/>
      <c r="J1157" s="1"/>
      <c r="N1157" s="1"/>
      <c r="Z1157" s="1"/>
      <c r="AA1157" s="1"/>
      <c r="AE1157" s="1"/>
    </row>
    <row r="1158" spans="9:31" x14ac:dyDescent="0.25">
      <c r="I1158" s="1"/>
      <c r="J1158" s="1"/>
      <c r="N1158" s="1"/>
      <c r="Z1158" s="1"/>
      <c r="AA1158" s="1"/>
      <c r="AE1158" s="1"/>
    </row>
    <row r="1159" spans="9:31" x14ac:dyDescent="0.25">
      <c r="I1159" s="1"/>
      <c r="J1159" s="1"/>
      <c r="N1159" s="1"/>
      <c r="Z1159" s="1"/>
      <c r="AA1159" s="1"/>
      <c r="AE1159" s="1"/>
    </row>
    <row r="1160" spans="9:31" x14ac:dyDescent="0.25">
      <c r="I1160" s="1"/>
      <c r="J1160" s="1"/>
      <c r="N1160" s="1"/>
      <c r="Z1160" s="1"/>
      <c r="AE1160" s="1"/>
    </row>
    <row r="1161" spans="9:31" x14ac:dyDescent="0.25">
      <c r="I1161" s="1"/>
      <c r="J1161" s="1"/>
      <c r="N1161" s="1"/>
      <c r="Z1161" s="1"/>
      <c r="AA1161" s="1"/>
      <c r="AE1161" s="1"/>
    </row>
    <row r="1162" spans="9:31" x14ac:dyDescent="0.25">
      <c r="I1162" s="1"/>
      <c r="J1162" s="1"/>
      <c r="N1162" s="1"/>
      <c r="Z1162" s="1"/>
      <c r="AA1162" s="1"/>
      <c r="AE1162" s="1"/>
    </row>
    <row r="1163" spans="9:31" x14ac:dyDescent="0.25">
      <c r="I1163" s="1"/>
      <c r="J1163" s="1"/>
      <c r="N1163" s="1"/>
      <c r="Z1163" s="1"/>
      <c r="AA1163" s="1"/>
      <c r="AE1163" s="1"/>
    </row>
    <row r="1164" spans="9:31" x14ac:dyDescent="0.25">
      <c r="I1164" s="1"/>
      <c r="J1164" s="1"/>
      <c r="N1164" s="1"/>
      <c r="AE1164" s="1"/>
    </row>
    <row r="1165" spans="9:31" x14ac:dyDescent="0.25">
      <c r="I1165" s="1"/>
      <c r="J1165" s="1"/>
      <c r="N1165" s="1"/>
      <c r="Z1165" s="1"/>
      <c r="AA1165" s="1"/>
      <c r="AE1165" s="1"/>
    </row>
    <row r="1166" spans="9:31" x14ac:dyDescent="0.25">
      <c r="I1166" s="1"/>
      <c r="J1166" s="1"/>
      <c r="N1166" s="1"/>
      <c r="Z1166" s="1"/>
      <c r="AA1166" s="1"/>
      <c r="AE1166" s="1"/>
    </row>
    <row r="1167" spans="9:31" x14ac:dyDescent="0.25">
      <c r="I1167" s="1"/>
      <c r="J1167" s="1"/>
      <c r="N1167" s="1"/>
      <c r="Z1167" s="1"/>
      <c r="AA1167" s="1"/>
      <c r="AE1167" s="1"/>
    </row>
    <row r="1168" spans="9:31" x14ac:dyDescent="0.25">
      <c r="I1168" s="1"/>
      <c r="J1168" s="1"/>
      <c r="N1168" s="1"/>
      <c r="Z1168" s="1"/>
      <c r="AA1168" s="1"/>
      <c r="AE1168" s="1"/>
    </row>
    <row r="1169" spans="9:31" x14ac:dyDescent="0.25">
      <c r="I1169" s="1"/>
      <c r="J1169" s="1"/>
      <c r="N1169" s="1"/>
      <c r="Z1169" s="1"/>
      <c r="AA1169" s="1"/>
      <c r="AE1169" s="1"/>
    </row>
    <row r="1170" spans="9:31" x14ac:dyDescent="0.25">
      <c r="N1170" s="1"/>
      <c r="Z1170" s="1"/>
      <c r="AA1170" s="1"/>
      <c r="AE1170" s="1"/>
    </row>
    <row r="1171" spans="9:31" x14ac:dyDescent="0.25">
      <c r="I1171" s="1"/>
      <c r="J1171" s="1"/>
      <c r="N1171" s="1"/>
      <c r="AE1171" s="1"/>
    </row>
    <row r="1172" spans="9:31" x14ac:dyDescent="0.25">
      <c r="I1172" s="1"/>
      <c r="J1172" s="1"/>
      <c r="N1172" s="1"/>
      <c r="Z1172" s="1"/>
      <c r="AA1172" s="1"/>
      <c r="AE1172" s="1"/>
    </row>
    <row r="1173" spans="9:31" x14ac:dyDescent="0.25">
      <c r="I1173" s="1"/>
      <c r="J1173" s="1"/>
      <c r="N1173" s="1"/>
      <c r="Z1173" s="1"/>
      <c r="AA1173" s="1"/>
      <c r="AE1173" s="1"/>
    </row>
    <row r="1174" spans="9:31" x14ac:dyDescent="0.25">
      <c r="N1174" s="1"/>
      <c r="Z1174" s="1"/>
      <c r="AA1174" s="1"/>
      <c r="AE1174" s="1"/>
    </row>
    <row r="1175" spans="9:31" x14ac:dyDescent="0.25">
      <c r="I1175" s="1"/>
      <c r="J1175" s="1"/>
      <c r="N1175" s="1"/>
      <c r="AE1175" s="1"/>
    </row>
    <row r="1176" spans="9:31" x14ac:dyDescent="0.25">
      <c r="I1176" s="1"/>
      <c r="J1176" s="1"/>
      <c r="N1176" s="1"/>
      <c r="Z1176" s="1"/>
      <c r="AA1176" s="1"/>
      <c r="AE1176" s="1"/>
    </row>
    <row r="1177" spans="9:31" x14ac:dyDescent="0.25">
      <c r="I1177" s="1"/>
      <c r="J1177" s="1"/>
      <c r="N1177" s="1"/>
      <c r="Z1177" s="1"/>
      <c r="AA1177" s="1"/>
      <c r="AE1177" s="1"/>
    </row>
    <row r="1178" spans="9:31" x14ac:dyDescent="0.25">
      <c r="N1178" s="1"/>
      <c r="Z1178" s="1"/>
      <c r="AA1178" s="1"/>
      <c r="AE1178" s="1"/>
    </row>
    <row r="1179" spans="9:31" x14ac:dyDescent="0.25">
      <c r="I1179" s="1"/>
      <c r="J1179" s="1"/>
      <c r="N1179" s="1"/>
      <c r="AE1179" s="1"/>
    </row>
    <row r="1180" spans="9:31" x14ac:dyDescent="0.25">
      <c r="I1180" s="1"/>
      <c r="J1180" s="1"/>
      <c r="N1180" s="1"/>
      <c r="Z1180" s="1"/>
      <c r="AA1180" s="1"/>
      <c r="AE1180" s="1"/>
    </row>
    <row r="1181" spans="9:31" x14ac:dyDescent="0.25">
      <c r="I1181" s="1"/>
      <c r="J1181" s="1"/>
      <c r="N1181" s="1"/>
      <c r="Z1181" s="1"/>
      <c r="AA1181" s="1"/>
      <c r="AE1181" s="1"/>
    </row>
    <row r="1182" spans="9:31" x14ac:dyDescent="0.25">
      <c r="I1182" s="1"/>
      <c r="J1182" s="1"/>
      <c r="N1182" s="1"/>
      <c r="Z1182" s="1"/>
      <c r="AA1182" s="1"/>
      <c r="AE1182" s="1"/>
    </row>
    <row r="1183" spans="9:31" x14ac:dyDescent="0.25">
      <c r="I1183" s="1"/>
      <c r="J1183" s="1"/>
      <c r="N1183" s="1"/>
      <c r="Z1183" s="1"/>
      <c r="AA1183" s="1"/>
      <c r="AE1183" s="1"/>
    </row>
    <row r="1184" spans="9:31" x14ac:dyDescent="0.25">
      <c r="I1184" s="1"/>
      <c r="J1184" s="1"/>
      <c r="N1184" s="1"/>
      <c r="Z1184" s="1"/>
      <c r="AA1184" s="1"/>
      <c r="AE1184" s="1"/>
    </row>
    <row r="1185" spans="9:31" x14ac:dyDescent="0.25">
      <c r="I1185" s="1"/>
      <c r="J1185" s="1"/>
      <c r="N1185" s="1"/>
      <c r="Z1185" s="1"/>
      <c r="AA1185" s="1"/>
      <c r="AE1185" s="1"/>
    </row>
    <row r="1186" spans="9:31" x14ac:dyDescent="0.25">
      <c r="I1186" s="1"/>
      <c r="J1186" s="1"/>
      <c r="N1186" s="1"/>
      <c r="Z1186" s="1"/>
      <c r="AA1186" s="1"/>
      <c r="AE1186" s="1"/>
    </row>
    <row r="1187" spans="9:31" x14ac:dyDescent="0.25">
      <c r="I1187" s="1"/>
      <c r="J1187" s="1"/>
      <c r="N1187" s="1"/>
      <c r="Z1187" s="1"/>
      <c r="AA1187" s="1"/>
      <c r="AE1187" s="1"/>
    </row>
    <row r="1188" spans="9:31" x14ac:dyDescent="0.25">
      <c r="I1188" s="1"/>
      <c r="J1188" s="1"/>
      <c r="N1188" s="1"/>
      <c r="Z1188" s="1"/>
      <c r="AA1188" s="1"/>
      <c r="AE1188" s="1"/>
    </row>
    <row r="1189" spans="9:31" x14ac:dyDescent="0.25">
      <c r="I1189" s="1"/>
      <c r="J1189" s="1"/>
      <c r="N1189" s="1"/>
      <c r="Z1189" s="1"/>
      <c r="AA1189" s="1"/>
      <c r="AE1189" s="1"/>
    </row>
    <row r="1190" spans="9:31" x14ac:dyDescent="0.25">
      <c r="I1190" s="1"/>
      <c r="J1190" s="1"/>
      <c r="N1190" s="1"/>
      <c r="Z1190" s="1"/>
      <c r="AA1190" s="1"/>
      <c r="AE1190" s="1"/>
    </row>
    <row r="1191" spans="9:31" x14ac:dyDescent="0.25">
      <c r="I1191" s="1"/>
      <c r="J1191" s="1"/>
      <c r="N1191" s="1"/>
      <c r="Z1191" s="1"/>
      <c r="AA1191" s="1"/>
      <c r="AE1191" s="1"/>
    </row>
    <row r="1192" spans="9:31" x14ac:dyDescent="0.25">
      <c r="I1192" s="1"/>
      <c r="J1192" s="1"/>
      <c r="N1192" s="1"/>
      <c r="Z1192" s="1"/>
      <c r="AA1192" s="1"/>
      <c r="AE1192" s="1"/>
    </row>
    <row r="1193" spans="9:31" x14ac:dyDescent="0.25">
      <c r="I1193" s="1"/>
      <c r="J1193" s="1"/>
      <c r="N1193" s="1"/>
      <c r="Z1193" s="1"/>
      <c r="AA1193" s="1"/>
      <c r="AE1193" s="1"/>
    </row>
    <row r="1194" spans="9:31" x14ac:dyDescent="0.25">
      <c r="I1194" s="1"/>
      <c r="J1194" s="1"/>
      <c r="N1194" s="1"/>
      <c r="Z1194" s="1"/>
      <c r="AA1194" s="1"/>
      <c r="AE1194" s="1"/>
    </row>
    <row r="1195" spans="9:31" x14ac:dyDescent="0.25">
      <c r="I1195" s="1"/>
      <c r="J1195" s="1"/>
      <c r="N1195" s="1"/>
      <c r="Z1195" s="1"/>
      <c r="AA1195" s="1"/>
      <c r="AE1195" s="1"/>
    </row>
    <row r="1196" spans="9:31" x14ac:dyDescent="0.25">
      <c r="I1196" s="1"/>
      <c r="J1196" s="1"/>
      <c r="N1196" s="1"/>
      <c r="Z1196" s="1"/>
      <c r="AA1196" s="1"/>
      <c r="AE1196" s="1"/>
    </row>
    <row r="1197" spans="9:31" x14ac:dyDescent="0.25">
      <c r="N1197" s="1"/>
      <c r="Z1197" s="1"/>
      <c r="AA1197" s="1"/>
      <c r="AE1197" s="1"/>
    </row>
    <row r="1198" spans="9:31" x14ac:dyDescent="0.25">
      <c r="I1198" s="1"/>
      <c r="J1198" s="1"/>
      <c r="N1198" s="1"/>
      <c r="AE1198" s="1"/>
    </row>
    <row r="1199" spans="9:31" x14ac:dyDescent="0.25">
      <c r="I1199" s="1"/>
      <c r="J1199" s="1"/>
      <c r="N1199" s="1"/>
      <c r="Z1199" s="1"/>
      <c r="AA1199" s="1"/>
      <c r="AE1199" s="1"/>
    </row>
    <row r="1200" spans="9:31" x14ac:dyDescent="0.25">
      <c r="I1200" s="1"/>
      <c r="J1200" s="1"/>
      <c r="N1200" s="1"/>
      <c r="Z1200" s="1"/>
      <c r="AA1200" s="1"/>
      <c r="AE1200" s="1"/>
    </row>
    <row r="1201" spans="9:31" x14ac:dyDescent="0.25">
      <c r="I1201" s="1"/>
      <c r="J1201" s="1"/>
      <c r="N1201" s="1"/>
      <c r="Z1201" s="1"/>
      <c r="AA1201" s="1"/>
      <c r="AE1201" s="1"/>
    </row>
    <row r="1202" spans="9:31" x14ac:dyDescent="0.25">
      <c r="I1202" s="1"/>
      <c r="J1202" s="1"/>
      <c r="N1202" s="1"/>
      <c r="Z1202" s="1"/>
      <c r="AA1202" s="1"/>
      <c r="AE1202" s="1"/>
    </row>
    <row r="1203" spans="9:31" x14ac:dyDescent="0.25">
      <c r="I1203" s="1"/>
      <c r="J1203" s="1"/>
      <c r="N1203" s="1"/>
      <c r="Z1203" s="1"/>
      <c r="AA1203" s="1"/>
      <c r="AE1203" s="1"/>
    </row>
    <row r="1204" spans="9:31" x14ac:dyDescent="0.25">
      <c r="I1204" s="1"/>
      <c r="J1204" s="1"/>
      <c r="N1204" s="1"/>
      <c r="Z1204" s="1"/>
      <c r="AA1204" s="1"/>
      <c r="AE1204" s="1"/>
    </row>
    <row r="1205" spans="9:31" x14ac:dyDescent="0.25">
      <c r="I1205" s="1"/>
      <c r="J1205" s="1"/>
      <c r="N1205" s="1"/>
      <c r="Z1205" s="1"/>
      <c r="AA1205" s="1"/>
      <c r="AE1205" s="1"/>
    </row>
    <row r="1206" spans="9:31" x14ac:dyDescent="0.25">
      <c r="I1206" s="1"/>
      <c r="J1206" s="1"/>
      <c r="N1206" s="1"/>
      <c r="Z1206" s="1"/>
      <c r="AA1206" s="1"/>
      <c r="AE1206" s="1"/>
    </row>
    <row r="1207" spans="9:31" x14ac:dyDescent="0.25">
      <c r="I1207" s="1"/>
      <c r="J1207" s="1"/>
      <c r="N1207" s="1"/>
      <c r="Z1207" s="1"/>
      <c r="AA1207" s="1"/>
      <c r="AE1207" s="1"/>
    </row>
    <row r="1208" spans="9:31" x14ac:dyDescent="0.25">
      <c r="I1208" s="1"/>
      <c r="J1208" s="1"/>
      <c r="N1208" s="1"/>
      <c r="Z1208" s="1"/>
      <c r="AA1208" s="1"/>
      <c r="AE1208" s="1"/>
    </row>
    <row r="1209" spans="9:31" x14ac:dyDescent="0.25">
      <c r="I1209" s="1"/>
      <c r="J1209" s="1"/>
      <c r="N1209" s="1"/>
      <c r="Z1209" s="1"/>
      <c r="AA1209" s="1"/>
      <c r="AE1209" s="1"/>
    </row>
    <row r="1210" spans="9:31" x14ac:dyDescent="0.25">
      <c r="I1210" s="1"/>
      <c r="J1210" s="1"/>
      <c r="N1210" s="1"/>
      <c r="Z1210" s="1"/>
      <c r="AA1210" s="1"/>
      <c r="AE1210" s="1"/>
    </row>
    <row r="1211" spans="9:31" x14ac:dyDescent="0.25">
      <c r="I1211" s="1"/>
      <c r="J1211" s="1"/>
      <c r="N1211" s="1"/>
      <c r="Z1211" s="1"/>
      <c r="AA1211" s="1"/>
      <c r="AE1211" s="1"/>
    </row>
    <row r="1212" spans="9:31" x14ac:dyDescent="0.25">
      <c r="I1212" s="1"/>
      <c r="J1212" s="1"/>
      <c r="N1212" s="1"/>
      <c r="Z1212" s="1"/>
      <c r="AA1212" s="1"/>
      <c r="AE1212" s="1"/>
    </row>
    <row r="1213" spans="9:31" x14ac:dyDescent="0.25">
      <c r="I1213" s="1"/>
      <c r="J1213" s="1"/>
      <c r="N1213" s="1"/>
      <c r="AE1213" s="1"/>
    </row>
    <row r="1214" spans="9:31" x14ac:dyDescent="0.25">
      <c r="I1214" s="1"/>
      <c r="J1214" s="1"/>
      <c r="N1214" s="1"/>
      <c r="Z1214" s="1"/>
      <c r="AA1214" s="1"/>
      <c r="AE1214" s="1"/>
    </row>
    <row r="1215" spans="9:31" x14ac:dyDescent="0.25">
      <c r="I1215" s="1"/>
      <c r="J1215" s="1"/>
      <c r="N1215" s="1"/>
      <c r="Z1215" s="1"/>
      <c r="AA1215" s="1"/>
      <c r="AE1215" s="1"/>
    </row>
    <row r="1216" spans="9:31" x14ac:dyDescent="0.25">
      <c r="I1216" s="1"/>
      <c r="J1216" s="1"/>
      <c r="N1216" s="1"/>
      <c r="AE1216" s="1"/>
    </row>
    <row r="1217" spans="9:31" x14ac:dyDescent="0.25">
      <c r="I1217" s="1"/>
      <c r="J1217" s="1"/>
      <c r="N1217" s="1"/>
      <c r="Z1217" s="1"/>
      <c r="AA1217" s="1"/>
      <c r="AE1217" s="1"/>
    </row>
    <row r="1218" spans="9:31" x14ac:dyDescent="0.25">
      <c r="I1218" s="1"/>
      <c r="J1218" s="1"/>
      <c r="N1218" s="1"/>
      <c r="AE1218" s="1"/>
    </row>
    <row r="1219" spans="9:31" x14ac:dyDescent="0.25">
      <c r="I1219" s="1"/>
      <c r="J1219" s="1"/>
      <c r="N1219" s="1"/>
      <c r="Z1219" s="1"/>
      <c r="AA1219" s="1"/>
      <c r="AE1219" s="1"/>
    </row>
    <row r="1220" spans="9:31" x14ac:dyDescent="0.25">
      <c r="I1220" s="1"/>
      <c r="J1220" s="1"/>
      <c r="N1220" s="1"/>
      <c r="Z1220" s="1"/>
      <c r="AA1220" s="1"/>
      <c r="AE1220" s="1"/>
    </row>
    <row r="1221" spans="9:31" x14ac:dyDescent="0.25">
      <c r="N1221" s="1"/>
      <c r="Z1221" s="1"/>
      <c r="AA1221" s="1"/>
      <c r="AE1221" s="1"/>
    </row>
    <row r="1222" spans="9:31" x14ac:dyDescent="0.25">
      <c r="N1222" s="1"/>
      <c r="AE1222" s="1"/>
    </row>
    <row r="1223" spans="9:31" x14ac:dyDescent="0.25">
      <c r="I1223" s="1"/>
      <c r="J1223" s="1"/>
      <c r="N1223" s="1"/>
      <c r="AE1223" s="1"/>
    </row>
    <row r="1224" spans="9:31" x14ac:dyDescent="0.25">
      <c r="I1224" s="1"/>
      <c r="J1224" s="1"/>
      <c r="N1224" s="1"/>
      <c r="Z1224" s="1"/>
      <c r="AA1224" s="1"/>
      <c r="AE1224" s="1"/>
    </row>
    <row r="1225" spans="9:31" x14ac:dyDescent="0.25">
      <c r="N1225" s="1"/>
      <c r="Z1225" s="1"/>
      <c r="AA1225" s="1"/>
      <c r="AE1225" s="1"/>
    </row>
    <row r="1226" spans="9:31" x14ac:dyDescent="0.25">
      <c r="N1226" s="1"/>
      <c r="AE1226" s="1"/>
    </row>
    <row r="1227" spans="9:31" x14ac:dyDescent="0.25">
      <c r="I1227" s="1"/>
      <c r="J1227" s="1"/>
      <c r="N1227" s="1"/>
      <c r="AE1227" s="1"/>
    </row>
    <row r="1228" spans="9:31" x14ac:dyDescent="0.25">
      <c r="N1228" s="1"/>
      <c r="Z1228" s="1"/>
      <c r="AA1228" s="1"/>
      <c r="AE1228" s="1"/>
    </row>
    <row r="1229" spans="9:31" x14ac:dyDescent="0.25">
      <c r="I1229" s="1"/>
      <c r="J1229" s="1"/>
      <c r="N1229" s="1"/>
      <c r="AE1229" s="1"/>
    </row>
    <row r="1230" spans="9:31" x14ac:dyDescent="0.25">
      <c r="N1230" s="1"/>
      <c r="AE1230" s="1"/>
    </row>
    <row r="1231" spans="9:31" x14ac:dyDescent="0.25">
      <c r="N1231" s="1"/>
      <c r="AE1231" s="1"/>
    </row>
    <row r="1232" spans="9:31" x14ac:dyDescent="0.25">
      <c r="N1232" s="1"/>
      <c r="AE1232" s="1"/>
    </row>
    <row r="1233" spans="9:31" x14ac:dyDescent="0.25">
      <c r="N1233" s="1"/>
      <c r="AE1233" s="1"/>
    </row>
    <row r="1234" spans="9:31" x14ac:dyDescent="0.25">
      <c r="I1234" s="1"/>
      <c r="J1234" s="1"/>
      <c r="N1234" s="1"/>
      <c r="AE1234" s="1"/>
    </row>
    <row r="1235" spans="9:31" x14ac:dyDescent="0.25">
      <c r="N1235" s="1"/>
      <c r="Z1235" s="1"/>
      <c r="AA1235" s="1"/>
      <c r="AE1235" s="1"/>
    </row>
    <row r="1236" spans="9:31" x14ac:dyDescent="0.25">
      <c r="N1236" s="1"/>
      <c r="AE1236" s="1"/>
    </row>
    <row r="1237" spans="9:31" x14ac:dyDescent="0.25">
      <c r="N1237" s="1"/>
      <c r="AE1237" s="1"/>
    </row>
    <row r="1238" spans="9:31" x14ac:dyDescent="0.25">
      <c r="N1238" s="1"/>
      <c r="AE1238" s="1"/>
    </row>
    <row r="1239" spans="9:31" x14ac:dyDescent="0.25">
      <c r="N1239" s="1"/>
      <c r="AE1239" s="1"/>
    </row>
    <row r="1240" spans="9:31" x14ac:dyDescent="0.25">
      <c r="N1240" s="1"/>
      <c r="AE1240" s="1"/>
    </row>
    <row r="1241" spans="9:31" x14ac:dyDescent="0.25">
      <c r="I1241" s="1"/>
      <c r="J1241" s="1"/>
      <c r="N1241" s="1"/>
      <c r="AE1241" s="1"/>
    </row>
    <row r="1242" spans="9:31" x14ac:dyDescent="0.25">
      <c r="I1242" s="1"/>
      <c r="J1242" s="1"/>
      <c r="N1242" s="1"/>
      <c r="Z1242" s="1"/>
      <c r="AA1242" s="1"/>
      <c r="AE1242" s="1"/>
    </row>
    <row r="1243" spans="9:31" x14ac:dyDescent="0.25">
      <c r="I1243" s="1"/>
      <c r="J1243" s="1"/>
      <c r="N1243" s="1"/>
      <c r="Z1243" s="1"/>
      <c r="AA1243" s="1"/>
      <c r="AE1243" s="1"/>
    </row>
    <row r="1244" spans="9:31" x14ac:dyDescent="0.25">
      <c r="I1244" s="1"/>
      <c r="J1244" s="1"/>
      <c r="N1244" s="1"/>
      <c r="Z1244" s="1"/>
      <c r="AA1244" s="1"/>
      <c r="AE1244" s="1"/>
    </row>
    <row r="1245" spans="9:31" x14ac:dyDescent="0.25">
      <c r="I1245" s="1"/>
      <c r="J1245" s="1"/>
      <c r="N1245" s="1"/>
      <c r="Z1245" s="1"/>
      <c r="AA1245" s="1"/>
      <c r="AE1245" s="1"/>
    </row>
    <row r="1246" spans="9:31" x14ac:dyDescent="0.25">
      <c r="I1246" s="1"/>
      <c r="J1246" s="1"/>
      <c r="N1246" s="1"/>
      <c r="Z1246" s="1"/>
      <c r="AA1246" s="1"/>
      <c r="AE1246" s="1"/>
    </row>
    <row r="1247" spans="9:31" x14ac:dyDescent="0.25">
      <c r="N1247" s="1"/>
      <c r="AE1247" s="1"/>
    </row>
    <row r="1248" spans="9:31" x14ac:dyDescent="0.25">
      <c r="N1248" s="1"/>
      <c r="AE1248" s="1"/>
    </row>
    <row r="1249" spans="9:31" x14ac:dyDescent="0.25">
      <c r="N1249" s="1"/>
      <c r="AE1249" s="1"/>
    </row>
    <row r="1250" spans="9:31" x14ac:dyDescent="0.25">
      <c r="I1250" s="1"/>
      <c r="J1250" s="1"/>
      <c r="N1250" s="1"/>
      <c r="AE1250" s="1"/>
    </row>
    <row r="1251" spans="9:31" x14ac:dyDescent="0.25">
      <c r="I1251" s="1"/>
      <c r="J1251" s="1"/>
      <c r="N1251" s="1"/>
      <c r="Z1251" s="1"/>
      <c r="AA1251" s="1"/>
      <c r="AE1251" s="1"/>
    </row>
    <row r="1252" spans="9:31" x14ac:dyDescent="0.25">
      <c r="N1252" s="1"/>
      <c r="Z1252" s="1"/>
      <c r="AA1252" s="1"/>
      <c r="AE1252" s="1"/>
    </row>
    <row r="1253" spans="9:31" x14ac:dyDescent="0.25">
      <c r="I1253" s="1"/>
      <c r="J1253" s="1"/>
      <c r="N1253" s="1"/>
      <c r="AE1253" s="1"/>
    </row>
    <row r="1254" spans="9:31" x14ac:dyDescent="0.25">
      <c r="N1254" s="1"/>
      <c r="AE1254" s="1"/>
    </row>
    <row r="1255" spans="9:31" x14ac:dyDescent="0.25">
      <c r="N1255" s="1"/>
      <c r="AE1255" s="1"/>
    </row>
    <row r="1256" spans="9:31" x14ac:dyDescent="0.25">
      <c r="I1256" s="1"/>
      <c r="J1256" s="1"/>
      <c r="N1256" s="1"/>
      <c r="AE1256" s="1"/>
    </row>
    <row r="1257" spans="9:31" x14ac:dyDescent="0.25">
      <c r="I1257" s="1"/>
      <c r="N1257" s="1"/>
      <c r="AE1257" s="1"/>
    </row>
    <row r="1258" spans="9:31" x14ac:dyDescent="0.25">
      <c r="N1258" s="1"/>
      <c r="AE1258" s="1"/>
    </row>
    <row r="1259" spans="9:31" x14ac:dyDescent="0.25">
      <c r="N1259" s="1"/>
      <c r="AE1259" s="1"/>
    </row>
    <row r="1260" spans="9:31" x14ac:dyDescent="0.25">
      <c r="N1260" s="1"/>
      <c r="AE1260" s="1"/>
    </row>
    <row r="1261" spans="9:31" x14ac:dyDescent="0.25">
      <c r="I1261" s="1"/>
      <c r="J1261" s="1"/>
      <c r="N1261" s="1"/>
      <c r="AE1261" s="1"/>
    </row>
    <row r="1262" spans="9:31" x14ac:dyDescent="0.25">
      <c r="N1262" s="1"/>
      <c r="Z1262" s="1"/>
      <c r="AA1262" s="1"/>
      <c r="AE1262" s="1"/>
    </row>
    <row r="1263" spans="9:31" x14ac:dyDescent="0.25">
      <c r="N1263" s="1"/>
      <c r="AE1263" s="1"/>
    </row>
    <row r="1264" spans="9:31" x14ac:dyDescent="0.25">
      <c r="I1264" s="1"/>
      <c r="J1264" s="1"/>
      <c r="N1264" s="1"/>
      <c r="AE1264" s="1"/>
    </row>
    <row r="1265" spans="9:31" x14ac:dyDescent="0.25">
      <c r="I1265" s="1"/>
      <c r="J1265" s="1"/>
      <c r="N1265" s="1"/>
      <c r="AE1265" s="1"/>
    </row>
    <row r="1266" spans="9:31" x14ac:dyDescent="0.25">
      <c r="I1266" s="1"/>
      <c r="J1266" s="1"/>
      <c r="N1266" s="1"/>
      <c r="AE1266" s="1"/>
    </row>
    <row r="1267" spans="9:31" x14ac:dyDescent="0.25">
      <c r="I1267" s="1"/>
      <c r="J1267" s="1"/>
      <c r="N1267" s="1"/>
      <c r="AE1267" s="1"/>
    </row>
    <row r="1268" spans="9:31" x14ac:dyDescent="0.25">
      <c r="N1268" s="1"/>
      <c r="Z1268" s="1"/>
      <c r="AA1268" s="1"/>
      <c r="AE1268" s="1"/>
    </row>
    <row r="1269" spans="9:31" x14ac:dyDescent="0.25">
      <c r="I1269" s="1"/>
      <c r="J1269" s="1"/>
      <c r="N1269" s="1"/>
      <c r="AE1269" s="1"/>
    </row>
    <row r="1270" spans="9:31" x14ac:dyDescent="0.25">
      <c r="N1270" s="1"/>
      <c r="AE1270" s="1"/>
    </row>
    <row r="1271" spans="9:31" x14ac:dyDescent="0.25">
      <c r="N1271" s="1"/>
      <c r="AE1271" s="1"/>
    </row>
    <row r="1272" spans="9:31" x14ac:dyDescent="0.25">
      <c r="N1272" s="1"/>
      <c r="AE1272" s="1"/>
    </row>
    <row r="1273" spans="9:31" x14ac:dyDescent="0.25">
      <c r="N1273" s="1"/>
      <c r="AE1273" s="1"/>
    </row>
    <row r="1274" spans="9:31" x14ac:dyDescent="0.25">
      <c r="N1274" s="1"/>
      <c r="AE1274" s="1"/>
    </row>
    <row r="1275" spans="9:31" x14ac:dyDescent="0.25">
      <c r="N1275" s="1"/>
      <c r="AE1275" s="1"/>
    </row>
    <row r="1276" spans="9:31" x14ac:dyDescent="0.25">
      <c r="I1276" s="1"/>
      <c r="J1276" s="1"/>
      <c r="N1276" s="1"/>
      <c r="AE1276" s="1"/>
    </row>
    <row r="1277" spans="9:31" x14ac:dyDescent="0.25">
      <c r="N1277" s="1"/>
      <c r="Z1277" s="1"/>
      <c r="AE1277" s="1"/>
    </row>
    <row r="1278" spans="9:31" x14ac:dyDescent="0.25">
      <c r="I1278" s="1"/>
      <c r="J1278" s="1"/>
      <c r="N1278" s="1"/>
      <c r="AE1278" s="1"/>
    </row>
    <row r="1279" spans="9:31" x14ac:dyDescent="0.25">
      <c r="I1279" s="1"/>
      <c r="J1279" s="1"/>
      <c r="N1279" s="1"/>
      <c r="Z1279" s="1"/>
      <c r="AA1279" s="1"/>
      <c r="AE1279" s="1"/>
    </row>
    <row r="1280" spans="9:31" x14ac:dyDescent="0.25">
      <c r="N1280" s="1"/>
      <c r="AE1280" s="1"/>
    </row>
    <row r="1281" spans="9:31" x14ac:dyDescent="0.25">
      <c r="I1281" s="1"/>
      <c r="J1281" s="1"/>
      <c r="N1281" s="1"/>
      <c r="AE1281" s="1"/>
    </row>
    <row r="1282" spans="9:31" x14ac:dyDescent="0.25">
      <c r="I1282" s="1"/>
      <c r="J1282" s="1"/>
      <c r="N1282" s="1"/>
      <c r="Z1282" s="1"/>
      <c r="AA1282" s="1"/>
      <c r="AE1282" s="1"/>
    </row>
    <row r="1283" spans="9:31" x14ac:dyDescent="0.25">
      <c r="I1283" s="1"/>
      <c r="N1283" s="1"/>
      <c r="Z1283" s="1"/>
      <c r="AA1283" s="1"/>
      <c r="AE1283" s="1"/>
    </row>
    <row r="1284" spans="9:31" x14ac:dyDescent="0.25">
      <c r="I1284" s="1"/>
      <c r="J1284" s="1"/>
      <c r="N1284" s="1"/>
      <c r="Z1284" s="1"/>
      <c r="AE1284" s="1"/>
    </row>
    <row r="1285" spans="9:31" x14ac:dyDescent="0.25">
      <c r="N1285" s="1"/>
      <c r="Z1285" s="1"/>
      <c r="AA1285" s="1"/>
      <c r="AE1285" s="1"/>
    </row>
    <row r="1286" spans="9:31" x14ac:dyDescent="0.25">
      <c r="I1286" s="1"/>
      <c r="J1286" s="1"/>
      <c r="N1286" s="1"/>
      <c r="AE1286" s="1"/>
    </row>
    <row r="1287" spans="9:31" x14ac:dyDescent="0.25">
      <c r="N1287" s="1"/>
      <c r="Z1287" s="1"/>
      <c r="AA1287" s="1"/>
      <c r="AE1287" s="1"/>
    </row>
    <row r="1288" spans="9:31" x14ac:dyDescent="0.25">
      <c r="I1288" s="1"/>
      <c r="J1288" s="1"/>
      <c r="N1288" s="1"/>
      <c r="AE1288" s="1"/>
    </row>
    <row r="1289" spans="9:31" x14ac:dyDescent="0.25">
      <c r="I1289" s="1"/>
      <c r="J1289" s="1"/>
      <c r="N1289" s="1"/>
      <c r="AE1289" s="1"/>
    </row>
    <row r="1290" spans="9:31" x14ac:dyDescent="0.25">
      <c r="I1290" s="1"/>
      <c r="J1290" s="1"/>
      <c r="N1290" s="1"/>
      <c r="AE1290" s="1"/>
    </row>
    <row r="1291" spans="9:31" x14ac:dyDescent="0.25">
      <c r="I1291" s="1"/>
      <c r="J1291" s="1"/>
      <c r="N1291" s="1"/>
      <c r="AE1291" s="1"/>
    </row>
    <row r="1292" spans="9:31" x14ac:dyDescent="0.25">
      <c r="I1292" s="1"/>
      <c r="J1292" s="1"/>
      <c r="N1292" s="1"/>
      <c r="Z1292" s="1"/>
      <c r="AA1292" s="1"/>
      <c r="AE1292" s="1"/>
    </row>
    <row r="1293" spans="9:31" x14ac:dyDescent="0.25">
      <c r="I1293" s="1"/>
      <c r="N1293" s="1"/>
      <c r="AE1293" s="1"/>
    </row>
    <row r="1294" spans="9:31" x14ac:dyDescent="0.25">
      <c r="I1294" s="1"/>
      <c r="N1294" s="1"/>
      <c r="Z1294" s="1"/>
      <c r="AE1294" s="1"/>
    </row>
    <row r="1295" spans="9:31" x14ac:dyDescent="0.25">
      <c r="I1295" s="1"/>
      <c r="J1295" s="1"/>
      <c r="N1295" s="1"/>
      <c r="Z1295" s="1"/>
      <c r="AE1295" s="1"/>
    </row>
    <row r="1296" spans="9:31" x14ac:dyDescent="0.25">
      <c r="N1296" s="1"/>
      <c r="Z1296" s="1"/>
      <c r="AA1296" s="1"/>
      <c r="AE1296" s="1"/>
    </row>
    <row r="1297" spans="9:31" x14ac:dyDescent="0.25">
      <c r="N1297" s="1"/>
      <c r="AE1297" s="1"/>
    </row>
    <row r="1298" spans="9:31" x14ac:dyDescent="0.25">
      <c r="I1298" s="1"/>
      <c r="J1298" s="1"/>
      <c r="N1298" s="1"/>
      <c r="AE1298" s="1"/>
    </row>
    <row r="1299" spans="9:31" x14ac:dyDescent="0.25">
      <c r="I1299" s="1"/>
      <c r="J1299" s="1"/>
      <c r="N1299" s="1"/>
      <c r="AE1299" s="1"/>
    </row>
    <row r="1300" spans="9:31" x14ac:dyDescent="0.25">
      <c r="N1300" s="1"/>
      <c r="AE1300" s="1"/>
    </row>
    <row r="1301" spans="9:31" x14ac:dyDescent="0.25">
      <c r="I1301" s="1"/>
      <c r="J1301" s="1"/>
      <c r="N1301" s="1"/>
      <c r="AE1301" s="1"/>
    </row>
    <row r="1302" spans="9:31" x14ac:dyDescent="0.25">
      <c r="N1302" s="1"/>
      <c r="Z1302" s="1"/>
      <c r="AA1302" s="1"/>
      <c r="AE1302" s="1"/>
    </row>
    <row r="1303" spans="9:31" x14ac:dyDescent="0.25">
      <c r="N1303" s="1"/>
      <c r="AE1303" s="1"/>
    </row>
    <row r="1304" spans="9:31" x14ac:dyDescent="0.25">
      <c r="N1304" s="1"/>
      <c r="AE1304" s="1"/>
    </row>
    <row r="1305" spans="9:31" x14ac:dyDescent="0.25">
      <c r="N1305" s="1"/>
      <c r="AE1305" s="1"/>
    </row>
    <row r="1306" spans="9:31" x14ac:dyDescent="0.25">
      <c r="I1306" s="1"/>
      <c r="J1306" s="1"/>
      <c r="N1306" s="1"/>
      <c r="AE1306" s="1"/>
    </row>
    <row r="1307" spans="9:31" x14ac:dyDescent="0.25">
      <c r="I1307" s="1"/>
      <c r="J1307" s="1"/>
      <c r="N1307" s="1"/>
      <c r="Z1307" s="1"/>
      <c r="AA1307" s="1"/>
      <c r="AE1307" s="1"/>
    </row>
    <row r="1308" spans="9:31" x14ac:dyDescent="0.25">
      <c r="I1308" s="1"/>
      <c r="J1308" s="1"/>
      <c r="N1308" s="1"/>
      <c r="Z1308" s="1"/>
      <c r="AA1308" s="1"/>
      <c r="AE1308" s="1"/>
    </row>
    <row r="1309" spans="9:31" x14ac:dyDescent="0.25">
      <c r="N1309" s="1"/>
      <c r="AE1309" s="1"/>
    </row>
    <row r="1310" spans="9:31" x14ac:dyDescent="0.25">
      <c r="I1310" s="1"/>
      <c r="J1310" s="1"/>
      <c r="N1310" s="1"/>
      <c r="AE1310" s="1"/>
    </row>
    <row r="1311" spans="9:31" x14ac:dyDescent="0.25">
      <c r="I1311" s="1"/>
      <c r="J1311" s="1"/>
      <c r="N1311" s="1"/>
      <c r="AE1311" s="1"/>
    </row>
    <row r="1312" spans="9:31" x14ac:dyDescent="0.25">
      <c r="I1312" s="1"/>
      <c r="J1312" s="1"/>
      <c r="N1312" s="1"/>
      <c r="Z1312" s="1"/>
      <c r="AA1312" s="1"/>
      <c r="AE1312" s="1"/>
    </row>
    <row r="1313" spans="9:31" x14ac:dyDescent="0.25">
      <c r="N1313" s="1"/>
      <c r="Z1313" s="1"/>
      <c r="AA1313" s="1"/>
      <c r="AE1313" s="1"/>
    </row>
    <row r="1314" spans="9:31" x14ac:dyDescent="0.25">
      <c r="I1314" s="1"/>
      <c r="N1314" s="1"/>
      <c r="AE1314" s="1"/>
    </row>
    <row r="1315" spans="9:31" x14ac:dyDescent="0.25">
      <c r="N1315" s="1"/>
      <c r="Z1315" s="1"/>
      <c r="AE1315" s="1"/>
    </row>
    <row r="1316" spans="9:31" x14ac:dyDescent="0.25">
      <c r="I1316" s="1"/>
      <c r="J1316" s="1"/>
      <c r="N1316" s="1"/>
      <c r="AE1316" s="1"/>
    </row>
    <row r="1317" spans="9:31" x14ac:dyDescent="0.25">
      <c r="N1317" s="1"/>
      <c r="Z1317" s="1"/>
      <c r="AA1317" s="1"/>
      <c r="AE1317" s="1"/>
    </row>
    <row r="1318" spans="9:31" x14ac:dyDescent="0.25">
      <c r="I1318" s="1"/>
      <c r="J1318" s="1"/>
      <c r="N1318" s="1"/>
      <c r="AE1318" s="1"/>
    </row>
    <row r="1319" spans="9:31" x14ac:dyDescent="0.25">
      <c r="I1319" s="1"/>
      <c r="J1319" s="1"/>
      <c r="N1319" s="1"/>
      <c r="Z1319" s="1"/>
      <c r="AA1319" s="1"/>
      <c r="AE1319" s="1"/>
    </row>
    <row r="1320" spans="9:31" x14ac:dyDescent="0.25">
      <c r="I1320" s="1"/>
      <c r="J1320" s="1"/>
      <c r="N1320" s="1"/>
      <c r="AE1320" s="1"/>
    </row>
    <row r="1321" spans="9:31" x14ac:dyDescent="0.25">
      <c r="I1321" s="1"/>
      <c r="J1321" s="1"/>
      <c r="N1321" s="1"/>
      <c r="Z1321" s="1"/>
      <c r="AA1321" s="1"/>
      <c r="AE1321" s="1"/>
    </row>
    <row r="1322" spans="9:31" x14ac:dyDescent="0.25">
      <c r="N1322" s="1"/>
      <c r="AE1322" s="1"/>
    </row>
    <row r="1323" spans="9:31" x14ac:dyDescent="0.25">
      <c r="I1323" s="1"/>
      <c r="J1323" s="1"/>
      <c r="N1323" s="1"/>
      <c r="AE1323" s="1"/>
    </row>
    <row r="1324" spans="9:31" x14ac:dyDescent="0.25">
      <c r="N1324" s="1"/>
      <c r="AE1324" s="1"/>
    </row>
    <row r="1325" spans="9:31" x14ac:dyDescent="0.25">
      <c r="I1325" s="1"/>
      <c r="J1325" s="1"/>
      <c r="N1325" s="1"/>
      <c r="AE1325" s="1"/>
    </row>
    <row r="1326" spans="9:31" x14ac:dyDescent="0.25">
      <c r="N1326" s="1"/>
      <c r="Z1326" s="1"/>
      <c r="AA1326" s="1"/>
      <c r="AE1326" s="1"/>
    </row>
    <row r="1327" spans="9:31" x14ac:dyDescent="0.25">
      <c r="N1327" s="1"/>
      <c r="AE1327" s="1"/>
    </row>
    <row r="1328" spans="9:31" x14ac:dyDescent="0.25">
      <c r="I1328" s="1"/>
      <c r="J1328" s="1"/>
      <c r="N1328" s="1"/>
      <c r="AE1328" s="1"/>
    </row>
    <row r="1329" spans="9:31" x14ac:dyDescent="0.25">
      <c r="I1329" s="1"/>
      <c r="J1329" s="1"/>
      <c r="N1329" s="1"/>
      <c r="Z1329" s="1"/>
      <c r="AA1329" s="1"/>
      <c r="AE1329" s="1"/>
    </row>
    <row r="1330" spans="9:31" x14ac:dyDescent="0.25">
      <c r="I1330" s="1"/>
      <c r="J1330" s="1"/>
      <c r="N1330" s="1"/>
      <c r="Z1330" s="1"/>
      <c r="AA1330" s="1"/>
      <c r="AE1330" s="1"/>
    </row>
    <row r="1331" spans="9:31" x14ac:dyDescent="0.25">
      <c r="N1331" s="1"/>
      <c r="AE1331" s="1"/>
    </row>
    <row r="1332" spans="9:31" x14ac:dyDescent="0.25">
      <c r="I1332" s="1"/>
      <c r="J1332" s="1"/>
      <c r="N1332" s="1"/>
      <c r="AE1332" s="1"/>
    </row>
    <row r="1333" spans="9:31" x14ac:dyDescent="0.25">
      <c r="I1333" s="1"/>
      <c r="J1333" s="1"/>
      <c r="N1333" s="1"/>
      <c r="Z1333" s="1"/>
      <c r="AA1333" s="1"/>
      <c r="AE1333" s="1"/>
    </row>
    <row r="1334" spans="9:31" x14ac:dyDescent="0.25">
      <c r="I1334" s="1"/>
      <c r="J1334" s="1"/>
      <c r="N1334" s="1"/>
      <c r="Z1334" s="1"/>
      <c r="AA1334" s="1"/>
      <c r="AE1334" s="1"/>
    </row>
    <row r="1335" spans="9:31" x14ac:dyDescent="0.25">
      <c r="N1335" s="1"/>
      <c r="Z1335" s="1"/>
      <c r="AA1335" s="1"/>
      <c r="AE1335" s="1"/>
    </row>
    <row r="1336" spans="9:31" x14ac:dyDescent="0.25">
      <c r="I1336" s="1"/>
      <c r="J1336" s="1"/>
      <c r="N1336" s="1"/>
      <c r="AE1336" s="1"/>
    </row>
    <row r="1337" spans="9:31" x14ac:dyDescent="0.25">
      <c r="I1337" s="1"/>
      <c r="J1337" s="1"/>
      <c r="N1337" s="1"/>
      <c r="AE1337" s="1"/>
    </row>
    <row r="1338" spans="9:31" x14ac:dyDescent="0.25">
      <c r="I1338" s="1"/>
      <c r="J1338" s="1"/>
      <c r="N1338" s="1"/>
      <c r="AE1338" s="1"/>
    </row>
    <row r="1339" spans="9:31" x14ac:dyDescent="0.25">
      <c r="I1339" s="1"/>
      <c r="J1339" s="1"/>
      <c r="N1339" s="1"/>
      <c r="Z1339" s="1"/>
      <c r="AA1339" s="1"/>
      <c r="AE1339" s="1"/>
    </row>
    <row r="1340" spans="9:31" x14ac:dyDescent="0.25">
      <c r="I1340" s="1"/>
      <c r="J1340" s="1"/>
      <c r="N1340" s="1"/>
      <c r="Z1340" s="1"/>
      <c r="AA1340" s="1"/>
      <c r="AE1340" s="1"/>
    </row>
    <row r="1341" spans="9:31" x14ac:dyDescent="0.25">
      <c r="I1341" s="1"/>
      <c r="J1341" s="1"/>
      <c r="N1341" s="1"/>
      <c r="Z1341" s="1"/>
      <c r="AA1341" s="1"/>
      <c r="AE1341" s="1"/>
    </row>
    <row r="1342" spans="9:31" x14ac:dyDescent="0.25">
      <c r="I1342" s="1"/>
      <c r="J1342" s="1"/>
      <c r="N1342" s="1"/>
      <c r="AE1342" s="1"/>
    </row>
    <row r="1343" spans="9:31" x14ac:dyDescent="0.25">
      <c r="I1343" s="1"/>
      <c r="J1343" s="1"/>
      <c r="N1343" s="1"/>
      <c r="AE1343" s="1"/>
    </row>
    <row r="1344" spans="9:31" x14ac:dyDescent="0.25">
      <c r="I1344" s="1"/>
      <c r="J1344" s="1"/>
      <c r="N1344" s="1"/>
      <c r="Z1344" s="1"/>
      <c r="AA1344" s="1"/>
      <c r="AE1344" s="1"/>
    </row>
    <row r="1345" spans="9:31" x14ac:dyDescent="0.25">
      <c r="N1345" s="1"/>
      <c r="Z1345" s="1"/>
      <c r="AA1345" s="1"/>
      <c r="AE1345" s="1"/>
    </row>
    <row r="1346" spans="9:31" x14ac:dyDescent="0.25">
      <c r="N1346" s="1"/>
      <c r="AE1346" s="1"/>
    </row>
    <row r="1347" spans="9:31" x14ac:dyDescent="0.25">
      <c r="I1347" s="1"/>
      <c r="J1347" s="1"/>
      <c r="N1347" s="1"/>
      <c r="AE1347" s="1"/>
    </row>
    <row r="1348" spans="9:31" x14ac:dyDescent="0.25">
      <c r="N1348" s="1"/>
      <c r="AE1348" s="1"/>
    </row>
    <row r="1349" spans="9:31" x14ac:dyDescent="0.25">
      <c r="I1349" s="1"/>
      <c r="J1349" s="1"/>
      <c r="N1349" s="1"/>
      <c r="AE1349" s="1"/>
    </row>
    <row r="1350" spans="9:31" x14ac:dyDescent="0.25">
      <c r="I1350" s="1"/>
      <c r="J1350" s="1"/>
      <c r="N1350" s="1"/>
      <c r="Z1350" s="1"/>
      <c r="AA1350" s="1"/>
      <c r="AE1350" s="1"/>
    </row>
    <row r="1351" spans="9:31" x14ac:dyDescent="0.25">
      <c r="I1351" s="1"/>
      <c r="J1351" s="1"/>
      <c r="N1351" s="1"/>
      <c r="AE1351" s="1"/>
    </row>
    <row r="1352" spans="9:31" x14ac:dyDescent="0.25">
      <c r="I1352" s="1"/>
      <c r="J1352" s="1"/>
      <c r="N1352" s="1"/>
      <c r="Z1352" s="1"/>
      <c r="AA1352" s="1"/>
      <c r="AE1352" s="1"/>
    </row>
    <row r="1353" spans="9:31" x14ac:dyDescent="0.25">
      <c r="I1353" s="1"/>
      <c r="J1353" s="1"/>
      <c r="N1353" s="1"/>
      <c r="Z1353" s="1"/>
      <c r="AA1353" s="1"/>
      <c r="AE1353" s="1"/>
    </row>
    <row r="1354" spans="9:31" x14ac:dyDescent="0.25">
      <c r="N1354" s="1"/>
      <c r="Z1354" s="1"/>
      <c r="AA1354" s="1"/>
      <c r="AE1354" s="1"/>
    </row>
    <row r="1355" spans="9:31" x14ac:dyDescent="0.25">
      <c r="N1355" s="1"/>
      <c r="AE1355" s="1"/>
    </row>
    <row r="1356" spans="9:31" x14ac:dyDescent="0.25">
      <c r="I1356" s="1"/>
      <c r="J1356" s="1"/>
      <c r="N1356" s="1"/>
      <c r="AE1356" s="1"/>
    </row>
    <row r="1357" spans="9:31" x14ac:dyDescent="0.25">
      <c r="I1357" s="1"/>
      <c r="J1357" s="1"/>
      <c r="N1357" s="1"/>
      <c r="AE1357" s="1"/>
    </row>
    <row r="1358" spans="9:31" x14ac:dyDescent="0.25">
      <c r="I1358" s="1"/>
      <c r="J1358" s="1"/>
      <c r="N1358" s="1"/>
      <c r="AE1358" s="1"/>
    </row>
    <row r="1359" spans="9:31" x14ac:dyDescent="0.25">
      <c r="N1359" s="1"/>
      <c r="Z1359" s="1"/>
      <c r="AA1359" s="1"/>
      <c r="AE1359" s="1"/>
    </row>
    <row r="1360" spans="9:31" x14ac:dyDescent="0.25">
      <c r="N1360" s="1"/>
      <c r="AE1360" s="1"/>
    </row>
    <row r="1361" spans="9:31" x14ac:dyDescent="0.25">
      <c r="I1361" s="1"/>
      <c r="J1361" s="1"/>
      <c r="N1361" s="1"/>
      <c r="AE1361" s="1"/>
    </row>
    <row r="1362" spans="9:31" x14ac:dyDescent="0.25">
      <c r="N1362" s="1"/>
      <c r="AE1362" s="1"/>
    </row>
    <row r="1363" spans="9:31" x14ac:dyDescent="0.25">
      <c r="N1363" s="1"/>
      <c r="AE1363" s="1"/>
    </row>
    <row r="1364" spans="9:31" x14ac:dyDescent="0.25">
      <c r="N1364" s="1"/>
      <c r="AE1364" s="1"/>
    </row>
    <row r="1365" spans="9:31" x14ac:dyDescent="0.25">
      <c r="I1365" s="1"/>
      <c r="J1365" s="1"/>
      <c r="N1365" s="1"/>
      <c r="AE1365" s="1"/>
    </row>
    <row r="1366" spans="9:31" x14ac:dyDescent="0.25">
      <c r="I1366" s="1"/>
      <c r="J1366" s="1"/>
      <c r="N1366" s="1"/>
      <c r="AE1366" s="1"/>
    </row>
    <row r="1367" spans="9:31" x14ac:dyDescent="0.25">
      <c r="I1367" s="1"/>
      <c r="N1367" s="1"/>
      <c r="Z1367" s="1"/>
      <c r="AA1367" s="1"/>
      <c r="AE1367" s="1"/>
    </row>
    <row r="1368" spans="9:31" x14ac:dyDescent="0.25">
      <c r="I1368" s="1"/>
      <c r="J1368" s="1"/>
      <c r="N1368" s="1"/>
      <c r="Z1368" s="1"/>
      <c r="AE1368" s="1"/>
    </row>
    <row r="1369" spans="9:31" x14ac:dyDescent="0.25">
      <c r="I1369" s="1"/>
      <c r="J1369" s="1"/>
      <c r="N1369" s="1"/>
      <c r="AE1369" s="1"/>
    </row>
    <row r="1370" spans="9:31" x14ac:dyDescent="0.25">
      <c r="I1370" s="1"/>
      <c r="J1370" s="1"/>
      <c r="N1370" s="1"/>
      <c r="AE1370" s="1"/>
    </row>
    <row r="1371" spans="9:31" x14ac:dyDescent="0.25">
      <c r="N1371" s="1"/>
      <c r="AE1371" s="1"/>
    </row>
    <row r="1372" spans="9:31" x14ac:dyDescent="0.25">
      <c r="I1372" s="1"/>
      <c r="J1372" s="1"/>
      <c r="N1372" s="1"/>
      <c r="AE1372" s="1"/>
    </row>
    <row r="1373" spans="9:31" x14ac:dyDescent="0.25">
      <c r="I1373" s="1"/>
      <c r="J1373" s="1"/>
      <c r="N1373" s="1"/>
      <c r="AE1373" s="1"/>
    </row>
    <row r="1374" spans="9:31" x14ac:dyDescent="0.25">
      <c r="I1374" s="1"/>
      <c r="J1374" s="1"/>
      <c r="N1374" s="1"/>
      <c r="AE1374" s="1"/>
    </row>
    <row r="1375" spans="9:31" x14ac:dyDescent="0.25">
      <c r="I1375" s="1"/>
      <c r="J1375" s="1"/>
      <c r="N1375" s="1"/>
      <c r="AE1375" s="1"/>
    </row>
    <row r="1376" spans="9:31" x14ac:dyDescent="0.25">
      <c r="I1376" s="1"/>
      <c r="J1376" s="1"/>
      <c r="N1376" s="1"/>
      <c r="AE1376" s="1"/>
    </row>
    <row r="1377" spans="9:31" x14ac:dyDescent="0.25">
      <c r="I1377" s="1"/>
      <c r="J1377" s="1"/>
      <c r="N1377" s="1"/>
      <c r="AE1377" s="1"/>
    </row>
    <row r="1378" spans="9:31" x14ac:dyDescent="0.25">
      <c r="I1378" s="1"/>
      <c r="J1378" s="1"/>
      <c r="N1378" s="1"/>
      <c r="AE1378" s="1"/>
    </row>
    <row r="1379" spans="9:31" x14ac:dyDescent="0.25">
      <c r="I1379" s="1"/>
      <c r="J1379" s="1"/>
      <c r="N1379" s="1"/>
      <c r="AE1379" s="1"/>
    </row>
    <row r="1380" spans="9:31" x14ac:dyDescent="0.25">
      <c r="N1380" s="1"/>
      <c r="AE1380" s="1"/>
    </row>
    <row r="1381" spans="9:31" x14ac:dyDescent="0.25">
      <c r="N1381" s="1"/>
      <c r="AE1381" s="1"/>
    </row>
    <row r="1382" spans="9:31" x14ac:dyDescent="0.25">
      <c r="I1382" s="1"/>
      <c r="J1382" s="1"/>
      <c r="N1382" s="1"/>
      <c r="AE1382" s="1"/>
    </row>
    <row r="1383" spans="9:31" x14ac:dyDescent="0.25">
      <c r="N1383" s="1"/>
      <c r="Z1383" s="1"/>
      <c r="AA1383" s="1"/>
      <c r="AE1383" s="1"/>
    </row>
    <row r="1384" spans="9:31" x14ac:dyDescent="0.25">
      <c r="I1384" s="1"/>
      <c r="J1384" s="1"/>
      <c r="N1384" s="1"/>
      <c r="AE1384" s="1"/>
    </row>
    <row r="1385" spans="9:31" x14ac:dyDescent="0.25">
      <c r="I1385" s="1"/>
      <c r="J1385" s="1"/>
      <c r="N1385" s="1"/>
      <c r="AE1385" s="1"/>
    </row>
    <row r="1386" spans="9:31" x14ac:dyDescent="0.25">
      <c r="I1386" s="1"/>
      <c r="J1386" s="1"/>
      <c r="N1386" s="1"/>
      <c r="AE1386" s="1"/>
    </row>
    <row r="1387" spans="9:31" x14ac:dyDescent="0.25">
      <c r="I1387" s="1"/>
      <c r="J1387" s="1"/>
      <c r="N1387" s="1"/>
      <c r="Z1387" s="1"/>
      <c r="AA1387" s="1"/>
      <c r="AE1387" s="1"/>
    </row>
    <row r="1388" spans="9:31" x14ac:dyDescent="0.25">
      <c r="I1388" s="1"/>
      <c r="J1388" s="1"/>
      <c r="N1388" s="1"/>
      <c r="Z1388" s="1"/>
      <c r="AA1388" s="1"/>
      <c r="AE1388" s="1"/>
    </row>
    <row r="1389" spans="9:31" x14ac:dyDescent="0.25">
      <c r="I1389" s="1"/>
      <c r="J1389" s="1"/>
      <c r="N1389" s="1"/>
      <c r="AE1389" s="1"/>
    </row>
    <row r="1390" spans="9:31" x14ac:dyDescent="0.25">
      <c r="N1390" s="1"/>
      <c r="Z1390" s="1"/>
      <c r="AA1390" s="1"/>
      <c r="AE1390" s="1"/>
    </row>
    <row r="1391" spans="9:31" x14ac:dyDescent="0.25">
      <c r="I1391" s="1"/>
      <c r="J1391" s="1"/>
      <c r="N1391" s="1"/>
      <c r="AE1391" s="1"/>
    </row>
    <row r="1392" spans="9:31" x14ac:dyDescent="0.25">
      <c r="I1392" s="1"/>
      <c r="J1392" s="1"/>
      <c r="N1392" s="1"/>
      <c r="Z1392" s="1"/>
      <c r="AA1392" s="1"/>
      <c r="AE1392" s="1"/>
    </row>
    <row r="1393" spans="9:31" x14ac:dyDescent="0.25">
      <c r="I1393" s="1"/>
      <c r="J1393" s="1"/>
      <c r="N1393" s="1"/>
      <c r="Z1393" s="1"/>
      <c r="AA1393" s="1"/>
      <c r="AE1393" s="1"/>
    </row>
    <row r="1394" spans="9:31" x14ac:dyDescent="0.25">
      <c r="N1394" s="1"/>
      <c r="AE1394" s="1"/>
    </row>
    <row r="1395" spans="9:31" x14ac:dyDescent="0.25">
      <c r="I1395" s="1"/>
      <c r="J1395" s="1"/>
      <c r="N1395" s="1"/>
      <c r="AE1395" s="1"/>
    </row>
    <row r="1396" spans="9:31" x14ac:dyDescent="0.25">
      <c r="I1396" s="1"/>
      <c r="J1396" s="1"/>
      <c r="N1396" s="1"/>
      <c r="AE1396" s="1"/>
    </row>
    <row r="1397" spans="9:31" x14ac:dyDescent="0.25">
      <c r="N1397" s="1"/>
      <c r="AE1397" s="1"/>
    </row>
    <row r="1398" spans="9:31" x14ac:dyDescent="0.25">
      <c r="I1398" s="1"/>
      <c r="J1398" s="1"/>
      <c r="N1398" s="1"/>
      <c r="AE1398" s="1"/>
    </row>
    <row r="1399" spans="9:31" x14ac:dyDescent="0.25">
      <c r="N1399" s="1"/>
      <c r="AE1399" s="1"/>
    </row>
    <row r="1400" spans="9:31" x14ac:dyDescent="0.25">
      <c r="N1400" s="1"/>
      <c r="AE1400" s="1"/>
    </row>
    <row r="1401" spans="9:31" x14ac:dyDescent="0.25">
      <c r="I1401" s="1"/>
      <c r="J1401" s="1"/>
      <c r="N1401" s="1"/>
      <c r="AE1401" s="1"/>
    </row>
    <row r="1402" spans="9:31" x14ac:dyDescent="0.25">
      <c r="N1402" s="1"/>
      <c r="Z1402" s="1"/>
      <c r="AA1402" s="1"/>
      <c r="AE1402" s="1"/>
    </row>
    <row r="1403" spans="9:31" x14ac:dyDescent="0.25">
      <c r="I1403" s="1"/>
      <c r="J1403" s="1"/>
      <c r="N1403" s="1"/>
      <c r="AE1403" s="1"/>
    </row>
    <row r="1404" spans="9:31" x14ac:dyDescent="0.25">
      <c r="I1404" s="1"/>
      <c r="J1404" s="1"/>
      <c r="N1404" s="1"/>
      <c r="Z1404" s="1"/>
      <c r="AA1404" s="1"/>
      <c r="AE1404" s="1"/>
    </row>
    <row r="1405" spans="9:31" x14ac:dyDescent="0.25">
      <c r="I1405" s="1"/>
      <c r="J1405" s="1"/>
      <c r="N1405" s="1"/>
      <c r="AE1405" s="1"/>
    </row>
    <row r="1406" spans="9:31" x14ac:dyDescent="0.25">
      <c r="I1406" s="1"/>
      <c r="J1406" s="1"/>
      <c r="N1406" s="1"/>
      <c r="Z1406" s="1"/>
      <c r="AA1406" s="1"/>
      <c r="AE1406" s="1"/>
    </row>
    <row r="1407" spans="9:31" x14ac:dyDescent="0.25">
      <c r="I1407" s="1"/>
      <c r="J1407" s="1"/>
      <c r="N1407" s="1"/>
      <c r="AE1407" s="1"/>
    </row>
    <row r="1408" spans="9:31" x14ac:dyDescent="0.25">
      <c r="I1408" s="1"/>
      <c r="J1408" s="1"/>
      <c r="N1408" s="1"/>
      <c r="Z1408" s="1"/>
      <c r="AA1408" s="1"/>
      <c r="AE1408" s="1"/>
    </row>
    <row r="1409" spans="9:31" x14ac:dyDescent="0.25">
      <c r="N1409" s="1"/>
      <c r="AE1409" s="1"/>
    </row>
    <row r="1410" spans="9:31" x14ac:dyDescent="0.25">
      <c r="I1410" s="1"/>
      <c r="J1410" s="1"/>
      <c r="N1410" s="1"/>
      <c r="AE1410" s="1"/>
    </row>
    <row r="1411" spans="9:31" x14ac:dyDescent="0.25">
      <c r="I1411" s="1"/>
      <c r="J1411" s="1"/>
      <c r="N1411" s="1"/>
      <c r="Z1411" s="1"/>
      <c r="AA1411" s="1"/>
      <c r="AE1411" s="1"/>
    </row>
    <row r="1412" spans="9:31" x14ac:dyDescent="0.25">
      <c r="I1412" s="1"/>
      <c r="J1412" s="1"/>
      <c r="N1412" s="1"/>
      <c r="AE1412" s="1"/>
    </row>
    <row r="1413" spans="9:31" x14ac:dyDescent="0.25">
      <c r="N1413" s="1"/>
      <c r="Z1413" s="1"/>
      <c r="AA1413" s="1"/>
      <c r="AE1413" s="1"/>
    </row>
    <row r="1414" spans="9:31" x14ac:dyDescent="0.25">
      <c r="I1414" s="1"/>
      <c r="J1414" s="1"/>
      <c r="N1414" s="1"/>
      <c r="AE1414" s="1"/>
    </row>
    <row r="1415" spans="9:31" x14ac:dyDescent="0.25">
      <c r="N1415" s="1"/>
      <c r="Z1415" s="1"/>
      <c r="AA1415" s="1"/>
      <c r="AE1415" s="1"/>
    </row>
    <row r="1416" spans="9:31" x14ac:dyDescent="0.25">
      <c r="I1416" s="1"/>
      <c r="J1416" s="1"/>
      <c r="N1416" s="1"/>
      <c r="AE1416" s="1"/>
    </row>
    <row r="1417" spans="9:31" x14ac:dyDescent="0.25">
      <c r="I1417" s="1"/>
      <c r="J1417" s="1"/>
      <c r="N1417" s="1"/>
      <c r="AE1417" s="1"/>
    </row>
    <row r="1418" spans="9:31" x14ac:dyDescent="0.25">
      <c r="I1418" s="1"/>
      <c r="J1418" s="1"/>
      <c r="N1418" s="1"/>
      <c r="AE1418" s="1"/>
    </row>
    <row r="1419" spans="9:31" x14ac:dyDescent="0.25">
      <c r="I1419" s="1"/>
      <c r="J1419" s="1"/>
      <c r="N1419" s="1"/>
      <c r="Z1419" s="1"/>
      <c r="AA1419" s="1"/>
      <c r="AE1419" s="1"/>
    </row>
    <row r="1420" spans="9:31" x14ac:dyDescent="0.25">
      <c r="I1420" s="1"/>
      <c r="J1420" s="1"/>
      <c r="N1420" s="1"/>
      <c r="AE1420" s="1"/>
    </row>
    <row r="1421" spans="9:31" x14ac:dyDescent="0.25">
      <c r="N1421" s="1"/>
      <c r="Z1421" s="1"/>
      <c r="AA1421" s="1"/>
      <c r="AE1421" s="1"/>
    </row>
    <row r="1422" spans="9:31" x14ac:dyDescent="0.25">
      <c r="I1422" s="1"/>
      <c r="J1422" s="1"/>
      <c r="N1422" s="1"/>
      <c r="AE1422" s="1"/>
    </row>
    <row r="1423" spans="9:31" x14ac:dyDescent="0.25">
      <c r="I1423" s="1"/>
      <c r="J1423" s="1"/>
      <c r="N1423" s="1"/>
      <c r="Z1423" s="1"/>
      <c r="AA1423" s="1"/>
      <c r="AE1423" s="1"/>
    </row>
    <row r="1424" spans="9:31" x14ac:dyDescent="0.25">
      <c r="I1424" s="1"/>
      <c r="J1424" s="1"/>
      <c r="N1424" s="1"/>
      <c r="AE1424" s="1"/>
    </row>
    <row r="1425" spans="9:31" x14ac:dyDescent="0.25">
      <c r="I1425" s="1"/>
      <c r="J1425" s="1"/>
      <c r="N1425" s="1"/>
      <c r="Z1425" s="1"/>
      <c r="AE1425" s="1"/>
    </row>
    <row r="1426" spans="9:31" x14ac:dyDescent="0.25">
      <c r="I1426" s="1"/>
      <c r="J1426" s="1"/>
      <c r="N1426" s="1"/>
      <c r="AE1426" s="1"/>
    </row>
    <row r="1427" spans="9:31" x14ac:dyDescent="0.25">
      <c r="N1427" s="1"/>
      <c r="AE1427" s="1"/>
    </row>
    <row r="1428" spans="9:31" x14ac:dyDescent="0.25">
      <c r="N1428" s="1"/>
      <c r="AE1428" s="1"/>
    </row>
    <row r="1429" spans="9:31" x14ac:dyDescent="0.25">
      <c r="I1429" s="1"/>
      <c r="J1429" s="1"/>
      <c r="N1429" s="1"/>
      <c r="AE1429" s="1"/>
    </row>
    <row r="1430" spans="9:31" x14ac:dyDescent="0.25">
      <c r="I1430" s="1"/>
      <c r="J1430" s="1"/>
      <c r="N1430" s="1"/>
      <c r="AE1430" s="1"/>
    </row>
    <row r="1431" spans="9:31" x14ac:dyDescent="0.25">
      <c r="I1431" s="1"/>
      <c r="J1431" s="1"/>
      <c r="N1431" s="1"/>
      <c r="Z1431" s="1"/>
      <c r="AA1431" s="1"/>
      <c r="AE1431" s="1"/>
    </row>
    <row r="1432" spans="9:31" x14ac:dyDescent="0.25">
      <c r="I1432" s="1"/>
      <c r="J1432" s="1"/>
      <c r="N1432" s="1"/>
      <c r="AE1432" s="1"/>
    </row>
    <row r="1433" spans="9:31" x14ac:dyDescent="0.25">
      <c r="I1433" s="1"/>
      <c r="J1433" s="1"/>
      <c r="N1433" s="1"/>
      <c r="AE1433" s="1"/>
    </row>
    <row r="1434" spans="9:31" x14ac:dyDescent="0.25">
      <c r="N1434" s="1"/>
      <c r="Z1434" s="1"/>
      <c r="AA1434" s="1"/>
      <c r="AE1434" s="1"/>
    </row>
    <row r="1435" spans="9:31" x14ac:dyDescent="0.25">
      <c r="I1435" s="1"/>
      <c r="J1435" s="1"/>
      <c r="N1435" s="1"/>
      <c r="AE1435" s="1"/>
    </row>
    <row r="1436" spans="9:31" x14ac:dyDescent="0.25">
      <c r="I1436" s="1"/>
      <c r="J1436" s="1"/>
      <c r="N1436" s="1"/>
      <c r="Z1436" s="1"/>
      <c r="AA1436" s="1"/>
      <c r="AE1436" s="1"/>
    </row>
    <row r="1437" spans="9:31" x14ac:dyDescent="0.25">
      <c r="I1437" s="1"/>
      <c r="J1437" s="1"/>
      <c r="N1437" s="1"/>
      <c r="Z1437" s="1"/>
      <c r="AA1437" s="1"/>
      <c r="AE1437" s="1"/>
    </row>
    <row r="1438" spans="9:31" x14ac:dyDescent="0.25">
      <c r="I1438" s="1"/>
      <c r="J1438" s="1"/>
      <c r="N1438" s="1"/>
      <c r="AE1438" s="1"/>
    </row>
    <row r="1439" spans="9:31" x14ac:dyDescent="0.25">
      <c r="I1439" s="1"/>
      <c r="J1439" s="1"/>
      <c r="N1439" s="1"/>
      <c r="AE1439" s="1"/>
    </row>
    <row r="1440" spans="9:31" x14ac:dyDescent="0.25">
      <c r="I1440" s="1"/>
      <c r="J1440" s="1"/>
      <c r="N1440" s="1"/>
      <c r="Z1440" s="1"/>
      <c r="AA1440" s="1"/>
      <c r="AE1440" s="1"/>
    </row>
    <row r="1441" spans="9:31" x14ac:dyDescent="0.25">
      <c r="I1441" s="1"/>
      <c r="J1441" s="1"/>
      <c r="N1441" s="1"/>
      <c r="AE1441" s="1"/>
    </row>
    <row r="1442" spans="9:31" x14ac:dyDescent="0.25">
      <c r="N1442" s="1"/>
      <c r="Z1442" s="1"/>
      <c r="AA1442" s="1"/>
      <c r="AE1442" s="1"/>
    </row>
    <row r="1443" spans="9:31" x14ac:dyDescent="0.25">
      <c r="I1443" s="1"/>
      <c r="J1443" s="1"/>
      <c r="N1443" s="1"/>
      <c r="AE1443" s="1"/>
    </row>
    <row r="1444" spans="9:31" x14ac:dyDescent="0.25">
      <c r="I1444" s="1"/>
      <c r="J1444" s="1"/>
      <c r="N1444" s="1"/>
      <c r="AE1444" s="1"/>
    </row>
    <row r="1445" spans="9:31" x14ac:dyDescent="0.25">
      <c r="I1445" s="1"/>
      <c r="J1445" s="1"/>
      <c r="N1445" s="1"/>
      <c r="AE1445" s="1"/>
    </row>
    <row r="1446" spans="9:31" x14ac:dyDescent="0.25">
      <c r="I1446" s="1"/>
      <c r="J1446" s="1"/>
      <c r="N1446" s="1"/>
      <c r="AE1446" s="1"/>
    </row>
    <row r="1447" spans="9:31" x14ac:dyDescent="0.25">
      <c r="I1447" s="1"/>
      <c r="J1447" s="1"/>
      <c r="N1447" s="1"/>
      <c r="AE1447" s="1"/>
    </row>
    <row r="1448" spans="9:31" x14ac:dyDescent="0.25">
      <c r="I1448" s="1"/>
      <c r="J1448" s="1"/>
      <c r="N1448" s="1"/>
      <c r="AE1448" s="1"/>
    </row>
    <row r="1449" spans="9:31" x14ac:dyDescent="0.25">
      <c r="I1449" s="1"/>
      <c r="J1449" s="1"/>
      <c r="N1449" s="1"/>
      <c r="AE1449" s="1"/>
    </row>
    <row r="1450" spans="9:31" x14ac:dyDescent="0.25">
      <c r="I1450" s="1"/>
      <c r="J1450" s="1"/>
      <c r="N1450" s="1"/>
      <c r="AE1450" s="1"/>
    </row>
    <row r="1451" spans="9:31" x14ac:dyDescent="0.25">
      <c r="I1451" s="1"/>
      <c r="J1451" s="1"/>
      <c r="N1451" s="1"/>
      <c r="AE1451" s="1"/>
    </row>
    <row r="1452" spans="9:31" x14ac:dyDescent="0.25">
      <c r="I1452" s="1"/>
      <c r="J1452" s="1"/>
      <c r="N1452" s="1"/>
      <c r="AE1452" s="1"/>
    </row>
    <row r="1453" spans="9:31" x14ac:dyDescent="0.25">
      <c r="I1453" s="1"/>
      <c r="J1453" s="1"/>
      <c r="N1453" s="1"/>
      <c r="AE1453" s="1"/>
    </row>
    <row r="1454" spans="9:31" x14ac:dyDescent="0.25">
      <c r="I1454" s="1"/>
      <c r="J1454" s="1"/>
      <c r="N1454" s="1"/>
      <c r="Z1454" s="1"/>
      <c r="AA1454" s="1"/>
      <c r="AE1454" s="1"/>
    </row>
    <row r="1455" spans="9:31" x14ac:dyDescent="0.25">
      <c r="I1455" s="1"/>
      <c r="J1455" s="1"/>
      <c r="N1455" s="1"/>
      <c r="AE1455" s="1"/>
    </row>
    <row r="1456" spans="9:31" x14ac:dyDescent="0.25">
      <c r="I1456" s="1"/>
      <c r="J1456" s="1"/>
      <c r="N1456" s="1"/>
      <c r="Z1456" s="1"/>
      <c r="AA1456" s="1"/>
      <c r="AE1456" s="1"/>
    </row>
    <row r="1457" spans="9:31" x14ac:dyDescent="0.25">
      <c r="I1457" s="1"/>
      <c r="J1457" s="1"/>
      <c r="N1457" s="1"/>
      <c r="AE1457" s="1"/>
    </row>
    <row r="1458" spans="9:31" x14ac:dyDescent="0.25">
      <c r="I1458" s="1"/>
      <c r="J1458" s="1"/>
      <c r="N1458" s="1"/>
      <c r="Z1458" s="1"/>
      <c r="AA1458" s="1"/>
      <c r="AE1458" s="1"/>
    </row>
    <row r="1459" spans="9:31" x14ac:dyDescent="0.25">
      <c r="I1459" s="1"/>
      <c r="J1459" s="1"/>
      <c r="N1459" s="1"/>
      <c r="AE1459" s="1"/>
    </row>
    <row r="1460" spans="9:31" x14ac:dyDescent="0.25">
      <c r="N1460" s="1"/>
      <c r="Z1460" s="1"/>
      <c r="AA1460" s="1"/>
      <c r="AE1460" s="1"/>
    </row>
    <row r="1461" spans="9:31" x14ac:dyDescent="0.25">
      <c r="I1461" s="1"/>
      <c r="J1461" s="1"/>
      <c r="N1461" s="1"/>
      <c r="AE1461" s="1"/>
    </row>
    <row r="1462" spans="9:31" x14ac:dyDescent="0.25">
      <c r="I1462" s="1"/>
      <c r="J1462" s="1"/>
      <c r="N1462" s="1"/>
      <c r="Z1462" s="1"/>
      <c r="AA1462" s="1"/>
      <c r="AE1462" s="1"/>
    </row>
    <row r="1463" spans="9:31" x14ac:dyDescent="0.25">
      <c r="I1463" s="1"/>
      <c r="J1463" s="1"/>
      <c r="N1463" s="1"/>
      <c r="AE1463" s="1"/>
    </row>
    <row r="1464" spans="9:31" x14ac:dyDescent="0.25">
      <c r="N1464" s="1"/>
      <c r="AE1464" s="1"/>
    </row>
    <row r="1465" spans="9:31" x14ac:dyDescent="0.25">
      <c r="I1465" s="1"/>
      <c r="J1465" s="1"/>
      <c r="N1465" s="1"/>
      <c r="AE1465" s="1"/>
    </row>
    <row r="1466" spans="9:31" x14ac:dyDescent="0.25">
      <c r="I1466" s="1"/>
      <c r="J1466" s="1"/>
      <c r="N1466" s="1"/>
      <c r="Z1466" s="1"/>
      <c r="AA1466" s="1"/>
      <c r="AE1466" s="1"/>
    </row>
    <row r="1467" spans="9:31" x14ac:dyDescent="0.25">
      <c r="I1467" s="1"/>
      <c r="J1467" s="1"/>
      <c r="N1467" s="1"/>
      <c r="AE1467" s="1"/>
    </row>
    <row r="1468" spans="9:31" x14ac:dyDescent="0.25">
      <c r="I1468" s="1"/>
      <c r="J1468" s="1"/>
      <c r="N1468" s="1"/>
      <c r="Z1468" s="1"/>
      <c r="AA1468" s="1"/>
      <c r="AE1468" s="1"/>
    </row>
    <row r="1469" spans="9:31" x14ac:dyDescent="0.25">
      <c r="I1469" s="1"/>
      <c r="J1469" s="1"/>
      <c r="N1469" s="1"/>
      <c r="Z1469" s="1"/>
      <c r="AA1469" s="1"/>
      <c r="AE1469" s="1"/>
    </row>
    <row r="1470" spans="9:31" x14ac:dyDescent="0.25">
      <c r="I1470" s="1"/>
      <c r="J1470" s="1"/>
      <c r="N1470" s="1"/>
      <c r="Z1470" s="1"/>
      <c r="AA1470" s="1"/>
      <c r="AE1470" s="1"/>
    </row>
    <row r="1471" spans="9:31" x14ac:dyDescent="0.25">
      <c r="I1471" s="1"/>
      <c r="J1471" s="1"/>
      <c r="N1471" s="1"/>
      <c r="Z1471" s="1"/>
      <c r="AA1471" s="1"/>
      <c r="AE1471" s="1"/>
    </row>
    <row r="1472" spans="9:31" x14ac:dyDescent="0.25">
      <c r="N1472" s="1"/>
      <c r="Z1472" s="1"/>
      <c r="AA1472" s="1"/>
      <c r="AE1472" s="1"/>
    </row>
    <row r="1473" spans="9:31" x14ac:dyDescent="0.25">
      <c r="I1473" s="1"/>
      <c r="J1473" s="1"/>
      <c r="N1473" s="1"/>
      <c r="AE1473" s="1"/>
    </row>
    <row r="1474" spans="9:31" x14ac:dyDescent="0.25">
      <c r="I1474" s="1"/>
      <c r="J1474" s="1"/>
      <c r="N1474" s="1"/>
      <c r="Z1474" s="1"/>
      <c r="AA1474" s="1"/>
      <c r="AE1474" s="1"/>
    </row>
    <row r="1475" spans="9:31" x14ac:dyDescent="0.25">
      <c r="N1475" s="1"/>
      <c r="AE1475" s="1"/>
    </row>
    <row r="1476" spans="9:31" x14ac:dyDescent="0.25">
      <c r="N1476" s="1"/>
      <c r="AE1476" s="1"/>
    </row>
    <row r="1477" spans="9:31" x14ac:dyDescent="0.25">
      <c r="I1477" s="1"/>
      <c r="J1477" s="1"/>
      <c r="N1477" s="1"/>
      <c r="AE1477" s="1"/>
    </row>
    <row r="1478" spans="9:31" x14ac:dyDescent="0.25">
      <c r="I1478" s="1"/>
      <c r="J1478" s="1"/>
      <c r="N1478" s="1"/>
      <c r="Z1478" s="1"/>
      <c r="AA1478" s="1"/>
      <c r="AE1478" s="1"/>
    </row>
    <row r="1479" spans="9:31" x14ac:dyDescent="0.25">
      <c r="N1479" s="1"/>
      <c r="Z1479" s="1"/>
      <c r="AA1479" s="1"/>
      <c r="AE1479" s="1"/>
    </row>
    <row r="1480" spans="9:31" x14ac:dyDescent="0.25">
      <c r="N1480" s="1"/>
      <c r="AE1480" s="1"/>
    </row>
    <row r="1481" spans="9:31" x14ac:dyDescent="0.25">
      <c r="I1481" s="1"/>
      <c r="J1481" s="1"/>
      <c r="N1481" s="1"/>
      <c r="AE1481" s="1"/>
    </row>
    <row r="1482" spans="9:31" x14ac:dyDescent="0.25">
      <c r="N1482" s="1"/>
      <c r="Z1482" s="1"/>
      <c r="AA1482" s="1"/>
      <c r="AE1482" s="1"/>
    </row>
    <row r="1483" spans="9:31" x14ac:dyDescent="0.25">
      <c r="I1483" s="1"/>
      <c r="J1483" s="1"/>
      <c r="N1483" s="1"/>
      <c r="AE1483" s="1"/>
    </row>
    <row r="1484" spans="9:31" x14ac:dyDescent="0.25">
      <c r="I1484" s="1"/>
      <c r="J1484" s="1"/>
      <c r="N1484" s="1"/>
      <c r="AE1484" s="1"/>
    </row>
    <row r="1485" spans="9:31" x14ac:dyDescent="0.25">
      <c r="I1485" s="1"/>
      <c r="J1485" s="1"/>
      <c r="N1485" s="1"/>
      <c r="Z1485" s="1"/>
      <c r="AE1485" s="1"/>
    </row>
    <row r="1486" spans="9:31" x14ac:dyDescent="0.25">
      <c r="I1486" s="1"/>
      <c r="J1486" s="1"/>
      <c r="N1486" s="1"/>
      <c r="AE1486" s="1"/>
    </row>
    <row r="1487" spans="9:31" x14ac:dyDescent="0.25">
      <c r="I1487" s="1"/>
      <c r="J1487" s="1"/>
      <c r="N1487" s="1"/>
      <c r="AE1487" s="1"/>
    </row>
    <row r="1488" spans="9:31" x14ac:dyDescent="0.25">
      <c r="I1488" s="1"/>
      <c r="J1488" s="1"/>
      <c r="N1488" s="1"/>
      <c r="Z1488" s="1"/>
      <c r="AA1488" s="1"/>
      <c r="AE1488" s="1"/>
    </row>
    <row r="1489" spans="9:31" x14ac:dyDescent="0.25">
      <c r="N1489" s="1"/>
      <c r="Z1489" s="1"/>
      <c r="AA1489" s="1"/>
      <c r="AE1489" s="1"/>
    </row>
    <row r="1490" spans="9:31" x14ac:dyDescent="0.25">
      <c r="N1490" s="1"/>
      <c r="AE1490" s="1"/>
    </row>
    <row r="1491" spans="9:31" x14ac:dyDescent="0.25">
      <c r="I1491" s="1"/>
      <c r="J1491" s="1"/>
      <c r="N1491" s="1"/>
      <c r="AE1491" s="1"/>
    </row>
    <row r="1492" spans="9:31" x14ac:dyDescent="0.25">
      <c r="I1492" s="1"/>
      <c r="J1492" s="1"/>
      <c r="N1492" s="1"/>
      <c r="Z1492" s="1"/>
      <c r="AA1492" s="1"/>
      <c r="AE1492" s="1"/>
    </row>
    <row r="1493" spans="9:31" x14ac:dyDescent="0.25">
      <c r="I1493" s="1"/>
      <c r="J1493" s="1"/>
      <c r="N1493" s="1"/>
      <c r="AE1493" s="1"/>
    </row>
    <row r="1494" spans="9:31" x14ac:dyDescent="0.25">
      <c r="N1494" s="1"/>
      <c r="Z1494" s="1"/>
      <c r="AA1494" s="1"/>
      <c r="AE1494" s="1"/>
    </row>
    <row r="1495" spans="9:31" x14ac:dyDescent="0.25">
      <c r="I1495" s="1"/>
      <c r="J1495" s="1"/>
      <c r="N1495" s="1"/>
      <c r="AE1495" s="1"/>
    </row>
    <row r="1496" spans="9:31" x14ac:dyDescent="0.25">
      <c r="I1496" s="1"/>
      <c r="J1496" s="1"/>
      <c r="N1496" s="1"/>
      <c r="AE1496" s="1"/>
    </row>
    <row r="1497" spans="9:31" x14ac:dyDescent="0.25">
      <c r="I1497" s="1"/>
      <c r="J1497" s="1"/>
      <c r="N1497" s="1"/>
      <c r="AE1497" s="1"/>
    </row>
    <row r="1498" spans="9:31" x14ac:dyDescent="0.25">
      <c r="I1498" s="1"/>
      <c r="J1498" s="1"/>
      <c r="N1498" s="1"/>
      <c r="Z1498" s="1"/>
      <c r="AA1498" s="1"/>
      <c r="AE1498" s="1"/>
    </row>
    <row r="1499" spans="9:31" x14ac:dyDescent="0.25">
      <c r="N1499" s="1"/>
      <c r="AE1499" s="1"/>
    </row>
    <row r="1500" spans="9:31" x14ac:dyDescent="0.25">
      <c r="N1500" s="1"/>
      <c r="AE1500" s="1"/>
    </row>
    <row r="1501" spans="9:31" x14ac:dyDescent="0.25">
      <c r="N1501" s="1"/>
      <c r="AE1501" s="1"/>
    </row>
    <row r="1502" spans="9:31" x14ac:dyDescent="0.25">
      <c r="N1502" s="1"/>
      <c r="AE1502" s="1"/>
    </row>
    <row r="1503" spans="9:31" x14ac:dyDescent="0.25">
      <c r="I1503" s="1"/>
      <c r="J1503" s="1"/>
      <c r="N1503" s="1"/>
      <c r="AE1503" s="1"/>
    </row>
    <row r="1504" spans="9:31" x14ac:dyDescent="0.25">
      <c r="N1504" s="1"/>
      <c r="Z1504" s="1"/>
      <c r="AA1504" s="1"/>
      <c r="AE1504" s="1"/>
    </row>
    <row r="1505" spans="9:31" x14ac:dyDescent="0.25">
      <c r="N1505" s="1"/>
      <c r="AE1505" s="1"/>
    </row>
    <row r="1506" spans="9:31" x14ac:dyDescent="0.25">
      <c r="I1506" s="1"/>
      <c r="J1506" s="1"/>
      <c r="N1506" s="1"/>
      <c r="AE1506" s="1"/>
    </row>
    <row r="1507" spans="9:31" x14ac:dyDescent="0.25">
      <c r="I1507" s="1"/>
      <c r="J1507" s="1"/>
      <c r="N1507" s="1"/>
      <c r="Z1507" s="1"/>
      <c r="AA1507" s="1"/>
      <c r="AE1507" s="1"/>
    </row>
    <row r="1508" spans="9:31" x14ac:dyDescent="0.25">
      <c r="I1508" s="1"/>
      <c r="J1508" s="1"/>
      <c r="N1508" s="1"/>
      <c r="Z1508" s="1"/>
      <c r="AA1508" s="1"/>
      <c r="AE1508" s="1"/>
    </row>
    <row r="1509" spans="9:31" x14ac:dyDescent="0.25">
      <c r="I1509" s="1"/>
      <c r="J1509" s="1"/>
      <c r="N1509" s="1"/>
      <c r="Z1509" s="1"/>
      <c r="AA1509" s="1"/>
      <c r="AE1509" s="1"/>
    </row>
    <row r="1510" spans="9:31" x14ac:dyDescent="0.25">
      <c r="I1510" s="1"/>
      <c r="J1510" s="1"/>
      <c r="N1510" s="1"/>
      <c r="Z1510" s="1"/>
      <c r="AA1510" s="1"/>
      <c r="AE1510" s="1"/>
    </row>
    <row r="1511" spans="9:31" x14ac:dyDescent="0.25">
      <c r="I1511" s="1"/>
      <c r="J1511" s="1"/>
      <c r="N1511" s="1"/>
      <c r="AE1511" s="1"/>
    </row>
    <row r="1512" spans="9:31" x14ac:dyDescent="0.25">
      <c r="I1512" s="1"/>
      <c r="J1512" s="1"/>
      <c r="N1512" s="1"/>
      <c r="AE1512" s="1"/>
    </row>
    <row r="1513" spans="9:31" x14ac:dyDescent="0.25">
      <c r="I1513" s="1"/>
      <c r="J1513" s="1"/>
      <c r="N1513" s="1"/>
      <c r="Z1513" s="1"/>
      <c r="AA1513" s="1"/>
      <c r="AE1513" s="1"/>
    </row>
    <row r="1514" spans="9:31" x14ac:dyDescent="0.25">
      <c r="I1514" s="1"/>
      <c r="J1514" s="1"/>
      <c r="N1514" s="1"/>
      <c r="Z1514" s="1"/>
      <c r="AA1514" s="1"/>
      <c r="AE1514" s="1"/>
    </row>
    <row r="1515" spans="9:31" x14ac:dyDescent="0.25">
      <c r="N1515" s="1"/>
      <c r="AE1515" s="1"/>
    </row>
    <row r="1516" spans="9:31" x14ac:dyDescent="0.25">
      <c r="N1516" s="1"/>
      <c r="AE1516" s="1"/>
    </row>
    <row r="1517" spans="9:31" x14ac:dyDescent="0.25">
      <c r="I1517" s="1"/>
      <c r="J1517" s="1"/>
      <c r="N1517" s="1"/>
      <c r="AE1517" s="1"/>
    </row>
    <row r="1518" spans="9:31" x14ac:dyDescent="0.25">
      <c r="I1518" s="1"/>
      <c r="J1518" s="1"/>
      <c r="N1518" s="1"/>
      <c r="Z1518" s="1"/>
      <c r="AA1518" s="1"/>
      <c r="AE1518" s="1"/>
    </row>
    <row r="1519" spans="9:31" x14ac:dyDescent="0.25">
      <c r="I1519" s="1"/>
      <c r="J1519" s="1"/>
      <c r="N1519" s="1"/>
      <c r="Z1519" s="1"/>
      <c r="AA1519" s="1"/>
      <c r="AE1519" s="1"/>
    </row>
    <row r="1520" spans="9:31" x14ac:dyDescent="0.25">
      <c r="I1520" s="1"/>
      <c r="J1520" s="1"/>
      <c r="N1520" s="1"/>
      <c r="Z1520" s="1"/>
      <c r="AA1520" s="1"/>
      <c r="AE1520" s="1"/>
    </row>
    <row r="1521" spans="9:31" x14ac:dyDescent="0.25">
      <c r="N1521" s="1"/>
      <c r="Z1521" s="1"/>
      <c r="AA1521" s="1"/>
      <c r="AE1521" s="1"/>
    </row>
    <row r="1522" spans="9:31" x14ac:dyDescent="0.25">
      <c r="I1522" s="1"/>
      <c r="J1522" s="1"/>
      <c r="N1522" s="1"/>
      <c r="AE1522" s="1"/>
    </row>
    <row r="1523" spans="9:31" x14ac:dyDescent="0.25">
      <c r="N1523" s="1"/>
      <c r="Z1523" s="1"/>
      <c r="AA1523" s="1"/>
      <c r="AE1523" s="1"/>
    </row>
    <row r="1524" spans="9:31" x14ac:dyDescent="0.25">
      <c r="I1524" s="1"/>
      <c r="J1524" s="1"/>
      <c r="N1524" s="1"/>
      <c r="AE1524" s="1"/>
    </row>
    <row r="1525" spans="9:31" x14ac:dyDescent="0.25">
      <c r="I1525" s="1"/>
      <c r="J1525" s="1"/>
      <c r="N1525" s="1"/>
      <c r="AE1525" s="1"/>
    </row>
    <row r="1526" spans="9:31" x14ac:dyDescent="0.25">
      <c r="N1526" s="1"/>
      <c r="Z1526" s="1"/>
      <c r="AA1526" s="1"/>
      <c r="AE1526" s="1"/>
    </row>
    <row r="1527" spans="9:31" x14ac:dyDescent="0.25">
      <c r="I1527" s="1"/>
      <c r="J1527" s="1"/>
      <c r="N1527" s="1"/>
      <c r="AE1527" s="1"/>
    </row>
    <row r="1528" spans="9:31" x14ac:dyDescent="0.25">
      <c r="I1528" s="1"/>
      <c r="J1528" s="1"/>
      <c r="N1528" s="1"/>
      <c r="Z1528" s="1"/>
      <c r="AA1528" s="1"/>
      <c r="AE1528" s="1"/>
    </row>
    <row r="1529" spans="9:31" x14ac:dyDescent="0.25">
      <c r="I1529" s="1"/>
      <c r="J1529" s="1"/>
      <c r="N1529" s="1"/>
      <c r="AE1529" s="1"/>
    </row>
    <row r="1530" spans="9:31" x14ac:dyDescent="0.25">
      <c r="I1530" s="1"/>
      <c r="J1530" s="1"/>
      <c r="N1530" s="1"/>
      <c r="Z1530" s="1"/>
      <c r="AA1530" s="1"/>
      <c r="AE1530" s="1"/>
    </row>
    <row r="1531" spans="9:31" x14ac:dyDescent="0.25">
      <c r="I1531" s="1"/>
      <c r="J1531" s="1"/>
      <c r="N1531" s="1"/>
      <c r="Z1531" s="1"/>
      <c r="AA1531" s="1"/>
      <c r="AE1531" s="1"/>
    </row>
    <row r="1532" spans="9:31" x14ac:dyDescent="0.25">
      <c r="N1532" s="1"/>
      <c r="Z1532" s="1"/>
      <c r="AA1532" s="1"/>
      <c r="AE1532" s="1"/>
    </row>
    <row r="1533" spans="9:31" x14ac:dyDescent="0.25">
      <c r="I1533" s="1"/>
      <c r="J1533" s="1"/>
      <c r="N1533" s="1"/>
      <c r="AE1533" s="1"/>
    </row>
    <row r="1534" spans="9:31" x14ac:dyDescent="0.25">
      <c r="N1534" s="1"/>
      <c r="Z1534" s="1"/>
      <c r="AA1534" s="1"/>
      <c r="AE1534" s="1"/>
    </row>
    <row r="1535" spans="9:31" x14ac:dyDescent="0.25">
      <c r="I1535" s="1"/>
      <c r="J1535" s="1"/>
      <c r="N1535" s="1"/>
      <c r="AE1535" s="1"/>
    </row>
    <row r="1536" spans="9:31" x14ac:dyDescent="0.25">
      <c r="I1536" s="1"/>
      <c r="J1536" s="1"/>
      <c r="N1536" s="1"/>
      <c r="AE1536" s="1"/>
    </row>
    <row r="1537" spans="9:31" x14ac:dyDescent="0.25">
      <c r="I1537" s="1"/>
      <c r="J1537" s="1"/>
      <c r="N1537" s="1"/>
      <c r="Z1537" s="1"/>
      <c r="AA1537" s="1"/>
      <c r="AE1537" s="1"/>
    </row>
    <row r="1538" spans="9:31" x14ac:dyDescent="0.25">
      <c r="I1538" s="1"/>
      <c r="J1538" s="1"/>
      <c r="N1538" s="1"/>
      <c r="Z1538" s="1"/>
      <c r="AA1538" s="1"/>
      <c r="AE1538" s="1"/>
    </row>
    <row r="1539" spans="9:31" x14ac:dyDescent="0.25">
      <c r="I1539" s="1"/>
      <c r="J1539" s="1"/>
      <c r="N1539" s="1"/>
      <c r="Z1539" s="1"/>
      <c r="AE1539" s="1"/>
    </row>
    <row r="1540" spans="9:31" x14ac:dyDescent="0.25">
      <c r="I1540" s="1"/>
      <c r="J1540" s="1"/>
      <c r="N1540" s="1"/>
      <c r="Z1540" s="1"/>
      <c r="AA1540" s="1"/>
      <c r="AE1540" s="1"/>
    </row>
    <row r="1541" spans="9:31" x14ac:dyDescent="0.25">
      <c r="N1541" s="1"/>
      <c r="Z1541" s="1"/>
      <c r="AA1541" s="1"/>
      <c r="AE1541" s="1"/>
    </row>
    <row r="1542" spans="9:31" x14ac:dyDescent="0.25">
      <c r="I1542" s="1"/>
      <c r="J1542" s="1"/>
      <c r="N1542" s="1"/>
      <c r="AE1542" s="1"/>
    </row>
    <row r="1543" spans="9:31" x14ac:dyDescent="0.25">
      <c r="N1543" s="1"/>
      <c r="AE1543" s="1"/>
    </row>
    <row r="1544" spans="9:31" x14ac:dyDescent="0.25">
      <c r="N1544" s="1"/>
      <c r="AE1544" s="1"/>
    </row>
    <row r="1545" spans="9:31" x14ac:dyDescent="0.25">
      <c r="I1545" s="1"/>
      <c r="J1545" s="1"/>
      <c r="N1545" s="1"/>
      <c r="AE1545" s="1"/>
    </row>
    <row r="1546" spans="9:31" x14ac:dyDescent="0.25">
      <c r="N1546" s="1"/>
      <c r="AE1546" s="1"/>
    </row>
    <row r="1547" spans="9:31" x14ac:dyDescent="0.25">
      <c r="I1547" s="1"/>
      <c r="J1547" s="1"/>
      <c r="N1547" s="1"/>
      <c r="AE1547" s="1"/>
    </row>
    <row r="1548" spans="9:31" x14ac:dyDescent="0.25">
      <c r="I1548" s="1"/>
      <c r="J1548" s="1"/>
      <c r="N1548" s="1"/>
      <c r="AE1548" s="1"/>
    </row>
    <row r="1549" spans="9:31" x14ac:dyDescent="0.25">
      <c r="I1549" s="1"/>
      <c r="J1549" s="1"/>
      <c r="N1549" s="1"/>
      <c r="AE1549" s="1"/>
    </row>
    <row r="1550" spans="9:31" x14ac:dyDescent="0.25">
      <c r="N1550" s="1"/>
      <c r="AE1550" s="1"/>
    </row>
    <row r="1551" spans="9:31" x14ac:dyDescent="0.25">
      <c r="I1551" s="1"/>
      <c r="J1551" s="1"/>
      <c r="N1551" s="1"/>
      <c r="AE1551" s="1"/>
    </row>
    <row r="1552" spans="9:31" x14ac:dyDescent="0.25">
      <c r="I1552" s="1"/>
      <c r="J1552" s="1"/>
      <c r="N1552" s="1"/>
      <c r="AE1552" s="1"/>
    </row>
    <row r="1553" spans="9:31" x14ac:dyDescent="0.25">
      <c r="N1553" s="1"/>
      <c r="AE1553" s="1"/>
    </row>
    <row r="1554" spans="9:31" x14ac:dyDescent="0.25">
      <c r="I1554" s="1"/>
      <c r="J1554" s="1"/>
      <c r="N1554" s="1"/>
      <c r="AE1554" s="1"/>
    </row>
    <row r="1555" spans="9:31" x14ac:dyDescent="0.25">
      <c r="I1555" s="1"/>
      <c r="J1555" s="1"/>
      <c r="N1555" s="1"/>
      <c r="Z1555" s="1"/>
      <c r="AA1555" s="1"/>
      <c r="AE1555" s="1"/>
    </row>
    <row r="1556" spans="9:31" x14ac:dyDescent="0.25">
      <c r="N1556" s="1"/>
      <c r="AE1556" s="1"/>
    </row>
    <row r="1557" spans="9:31" x14ac:dyDescent="0.25">
      <c r="N1557" s="1"/>
      <c r="AE1557" s="1"/>
    </row>
    <row r="1558" spans="9:31" x14ac:dyDescent="0.25">
      <c r="I1558" s="1"/>
      <c r="J1558" s="1"/>
      <c r="N1558" s="1"/>
      <c r="AE1558" s="1"/>
    </row>
    <row r="1559" spans="9:31" x14ac:dyDescent="0.25">
      <c r="I1559" s="1"/>
      <c r="J1559" s="1"/>
      <c r="N1559" s="1"/>
      <c r="Z1559" s="1"/>
      <c r="AA1559" s="1"/>
      <c r="AE1559" s="1"/>
    </row>
    <row r="1560" spans="9:31" x14ac:dyDescent="0.25">
      <c r="I1560" s="1"/>
      <c r="J1560" s="1"/>
      <c r="N1560" s="1"/>
      <c r="AE1560" s="1"/>
    </row>
    <row r="1561" spans="9:31" x14ac:dyDescent="0.25">
      <c r="N1561" s="1"/>
      <c r="AE1561" s="1"/>
    </row>
    <row r="1562" spans="9:31" x14ac:dyDescent="0.25">
      <c r="N1562" s="1"/>
      <c r="AE1562" s="1"/>
    </row>
    <row r="1563" spans="9:31" x14ac:dyDescent="0.25">
      <c r="N1563" s="1"/>
      <c r="AE1563" s="1"/>
    </row>
    <row r="1564" spans="9:31" x14ac:dyDescent="0.25">
      <c r="N1564" s="1"/>
      <c r="AE1564" s="1"/>
    </row>
    <row r="1565" spans="9:31" x14ac:dyDescent="0.25">
      <c r="N1565" s="1"/>
      <c r="AE1565" s="1"/>
    </row>
    <row r="1566" spans="9:31" x14ac:dyDescent="0.25">
      <c r="I1566" s="1"/>
      <c r="J1566" s="1"/>
      <c r="N1566" s="1"/>
      <c r="AE1566" s="1"/>
    </row>
    <row r="1567" spans="9:31" x14ac:dyDescent="0.25">
      <c r="I1567" s="1"/>
      <c r="J1567" s="1"/>
      <c r="N1567" s="1"/>
      <c r="AE1567" s="1"/>
    </row>
    <row r="1568" spans="9:31" x14ac:dyDescent="0.25">
      <c r="N1568" s="1"/>
      <c r="AE1568" s="1"/>
    </row>
    <row r="1569" spans="9:31" x14ac:dyDescent="0.25">
      <c r="N1569" s="1"/>
      <c r="AE1569" s="1"/>
    </row>
    <row r="1570" spans="9:31" x14ac:dyDescent="0.25">
      <c r="I1570" s="1"/>
      <c r="J1570" s="1"/>
      <c r="N1570" s="1"/>
      <c r="AE1570" s="1"/>
    </row>
    <row r="1571" spans="9:31" x14ac:dyDescent="0.25">
      <c r="I1571" s="1"/>
      <c r="J1571" s="1"/>
      <c r="N1571" s="1"/>
      <c r="AE1571" s="1"/>
    </row>
    <row r="1572" spans="9:31" x14ac:dyDescent="0.25">
      <c r="I1572" s="1"/>
      <c r="J1572" s="1"/>
      <c r="N1572" s="1"/>
      <c r="AE1572" s="1"/>
    </row>
    <row r="1573" spans="9:31" x14ac:dyDescent="0.25">
      <c r="I1573" s="1"/>
      <c r="J1573" s="1"/>
      <c r="N1573" s="1"/>
      <c r="AE1573" s="1"/>
    </row>
    <row r="1574" spans="9:31" x14ac:dyDescent="0.25">
      <c r="I1574" s="1"/>
      <c r="J1574" s="1"/>
      <c r="N1574" s="1"/>
      <c r="Z1574" s="1"/>
      <c r="AA1574" s="1"/>
      <c r="AE1574" s="1"/>
    </row>
    <row r="1575" spans="9:31" x14ac:dyDescent="0.25">
      <c r="I1575" s="1"/>
      <c r="J1575" s="1"/>
      <c r="N1575" s="1"/>
      <c r="AE1575" s="1"/>
    </row>
    <row r="1576" spans="9:31" x14ac:dyDescent="0.25">
      <c r="N1576" s="1"/>
      <c r="Z1576" s="1"/>
      <c r="AA1576" s="1"/>
      <c r="AE1576" s="1"/>
    </row>
    <row r="1577" spans="9:31" x14ac:dyDescent="0.25">
      <c r="I1577" s="1"/>
      <c r="J1577" s="1"/>
      <c r="N1577" s="1"/>
      <c r="AE1577" s="1"/>
    </row>
    <row r="1578" spans="9:31" x14ac:dyDescent="0.25">
      <c r="I1578" s="1"/>
      <c r="J1578" s="1"/>
      <c r="N1578" s="1"/>
      <c r="Z1578" s="1"/>
      <c r="AA1578" s="1"/>
      <c r="AE1578" s="1"/>
    </row>
    <row r="1579" spans="9:31" x14ac:dyDescent="0.25">
      <c r="I1579" s="1"/>
      <c r="J1579" s="1"/>
      <c r="N1579" s="1"/>
      <c r="Z1579" s="1"/>
      <c r="AA1579" s="1"/>
      <c r="AE1579" s="1"/>
    </row>
    <row r="1580" spans="9:31" x14ac:dyDescent="0.25">
      <c r="N1580" s="1"/>
      <c r="Z1580" s="1"/>
      <c r="AA1580" s="1"/>
      <c r="AE1580" s="1"/>
    </row>
    <row r="1581" spans="9:31" x14ac:dyDescent="0.25">
      <c r="I1581" s="1"/>
      <c r="J1581" s="1"/>
      <c r="N1581" s="1"/>
      <c r="AE1581" s="1"/>
    </row>
    <row r="1582" spans="9:31" x14ac:dyDescent="0.25">
      <c r="N1582" s="1"/>
      <c r="AE1582" s="1"/>
    </row>
    <row r="1583" spans="9:31" x14ac:dyDescent="0.25">
      <c r="N1583" s="1"/>
      <c r="AE1583" s="1"/>
    </row>
    <row r="1584" spans="9:31" x14ac:dyDescent="0.25">
      <c r="I1584" s="1"/>
      <c r="J1584" s="1"/>
      <c r="N1584" s="1"/>
      <c r="AE1584" s="1"/>
    </row>
    <row r="1585" spans="9:31" x14ac:dyDescent="0.25">
      <c r="N1585" s="1"/>
      <c r="AE1585" s="1"/>
    </row>
    <row r="1586" spans="9:31" x14ac:dyDescent="0.25">
      <c r="I1586" s="1"/>
      <c r="J1586" s="1"/>
      <c r="N1586" s="1"/>
      <c r="AE1586" s="1"/>
    </row>
    <row r="1587" spans="9:31" x14ac:dyDescent="0.25">
      <c r="I1587" s="1"/>
      <c r="J1587" s="1"/>
      <c r="N1587" s="1"/>
      <c r="AE1587" s="1"/>
    </row>
    <row r="1588" spans="9:31" x14ac:dyDescent="0.25">
      <c r="I1588" s="1"/>
      <c r="N1588" s="1"/>
      <c r="AE1588" s="1"/>
    </row>
    <row r="1589" spans="9:31" x14ac:dyDescent="0.25">
      <c r="I1589" s="1"/>
      <c r="J1589" s="1"/>
      <c r="N1589" s="1"/>
      <c r="Z1589" s="1"/>
      <c r="AE1589" s="1"/>
    </row>
    <row r="1590" spans="9:31" x14ac:dyDescent="0.25">
      <c r="I1590" s="1"/>
      <c r="J1590" s="1"/>
      <c r="N1590" s="1"/>
      <c r="AE1590" s="1"/>
    </row>
    <row r="1591" spans="9:31" x14ac:dyDescent="0.25">
      <c r="I1591" s="1"/>
      <c r="J1591" s="1"/>
      <c r="N1591" s="1"/>
      <c r="AE1591" s="1"/>
    </row>
    <row r="1592" spans="9:31" x14ac:dyDescent="0.25">
      <c r="I1592" s="1"/>
      <c r="J1592" s="1"/>
      <c r="N1592" s="1"/>
      <c r="Z1592" s="1"/>
      <c r="AA1592" s="1"/>
      <c r="AE1592" s="1"/>
    </row>
    <row r="1593" spans="9:31" x14ac:dyDescent="0.25">
      <c r="I1593" s="1"/>
      <c r="J1593" s="1"/>
      <c r="N1593" s="1"/>
      <c r="AE1593" s="1"/>
    </row>
    <row r="1594" spans="9:31" x14ac:dyDescent="0.25">
      <c r="N1594" s="1"/>
      <c r="AE1594" s="1"/>
    </row>
    <row r="1595" spans="9:31" x14ac:dyDescent="0.25">
      <c r="N1595" s="1"/>
      <c r="AE1595" s="1"/>
    </row>
    <row r="1596" spans="9:31" x14ac:dyDescent="0.25">
      <c r="I1596" s="1"/>
      <c r="J1596" s="1"/>
      <c r="N1596" s="1"/>
      <c r="AE1596" s="1"/>
    </row>
    <row r="1597" spans="9:31" x14ac:dyDescent="0.25">
      <c r="I1597" s="1"/>
      <c r="J1597" s="1"/>
      <c r="N1597" s="1"/>
      <c r="Z1597" s="1"/>
      <c r="AA1597" s="1"/>
      <c r="AE1597" s="1"/>
    </row>
    <row r="1598" spans="9:31" x14ac:dyDescent="0.25">
      <c r="I1598" s="1"/>
      <c r="J1598" s="1"/>
      <c r="N1598" s="1"/>
      <c r="Z1598" s="1"/>
      <c r="AA1598" s="1"/>
      <c r="AE1598" s="1"/>
    </row>
    <row r="1599" spans="9:31" x14ac:dyDescent="0.25">
      <c r="I1599" s="1"/>
      <c r="J1599" s="1"/>
      <c r="N1599" s="1"/>
      <c r="Z1599" s="1"/>
      <c r="AA1599" s="1"/>
      <c r="AE1599" s="1"/>
    </row>
    <row r="1600" spans="9:31" x14ac:dyDescent="0.25">
      <c r="I1600" s="1"/>
      <c r="J1600" s="1"/>
      <c r="N1600" s="1"/>
      <c r="AE1600" s="1"/>
    </row>
    <row r="1601" spans="9:31" x14ac:dyDescent="0.25">
      <c r="I1601" s="1"/>
      <c r="J1601" s="1"/>
      <c r="N1601" s="1"/>
      <c r="AE1601" s="1"/>
    </row>
    <row r="1602" spans="9:31" x14ac:dyDescent="0.25">
      <c r="I1602" s="1"/>
      <c r="J1602" s="1"/>
      <c r="N1602" s="1"/>
      <c r="Z1602" s="1"/>
      <c r="AA1602" s="1"/>
      <c r="AE1602" s="1"/>
    </row>
    <row r="1603" spans="9:31" x14ac:dyDescent="0.25">
      <c r="I1603" s="1"/>
      <c r="J1603" s="1"/>
      <c r="N1603" s="1"/>
      <c r="Z1603" s="1"/>
      <c r="AA1603" s="1"/>
      <c r="AE1603" s="1"/>
    </row>
    <row r="1604" spans="9:31" x14ac:dyDescent="0.25">
      <c r="I1604" s="1"/>
      <c r="J1604" s="1"/>
      <c r="N1604" s="1"/>
      <c r="Z1604" s="1"/>
      <c r="AA1604" s="1"/>
      <c r="AE1604" s="1"/>
    </row>
    <row r="1605" spans="9:31" x14ac:dyDescent="0.25">
      <c r="I1605" s="1"/>
      <c r="J1605" s="1"/>
      <c r="N1605" s="1"/>
      <c r="Z1605" s="1"/>
      <c r="AA1605" s="1"/>
      <c r="AE1605" s="1"/>
    </row>
    <row r="1606" spans="9:31" x14ac:dyDescent="0.25">
      <c r="I1606" s="1"/>
      <c r="J1606" s="1"/>
      <c r="N1606" s="1"/>
      <c r="Z1606" s="1"/>
      <c r="AA1606" s="1"/>
      <c r="AE1606" s="1"/>
    </row>
    <row r="1607" spans="9:31" x14ac:dyDescent="0.25">
      <c r="I1607" s="1"/>
      <c r="J1607" s="1"/>
      <c r="N1607" s="1"/>
      <c r="AE1607" s="1"/>
    </row>
    <row r="1608" spans="9:31" x14ac:dyDescent="0.25">
      <c r="I1608" s="1"/>
      <c r="J1608" s="1"/>
      <c r="N1608" s="1"/>
      <c r="AE1608" s="1"/>
    </row>
    <row r="1609" spans="9:31" x14ac:dyDescent="0.25">
      <c r="N1609" s="1"/>
      <c r="Z1609" s="1"/>
      <c r="AA1609" s="1"/>
      <c r="AE1609" s="1"/>
    </row>
    <row r="1610" spans="9:31" x14ac:dyDescent="0.25">
      <c r="N1610" s="1"/>
      <c r="AE1610" s="1"/>
    </row>
    <row r="1611" spans="9:31" x14ac:dyDescent="0.25">
      <c r="I1611" s="1"/>
      <c r="J1611" s="1"/>
      <c r="N1611" s="1"/>
      <c r="AE1611" s="1"/>
    </row>
    <row r="1612" spans="9:31" x14ac:dyDescent="0.25">
      <c r="I1612" s="1"/>
      <c r="J1612" s="1"/>
      <c r="N1612" s="1"/>
      <c r="Z1612" s="1"/>
      <c r="AA1612" s="1"/>
      <c r="AE1612" s="1"/>
    </row>
    <row r="1613" spans="9:31" x14ac:dyDescent="0.25">
      <c r="I1613" s="1"/>
      <c r="J1613" s="1"/>
      <c r="N1613" s="1"/>
      <c r="Z1613" s="1"/>
      <c r="AA1613" s="1"/>
      <c r="AE1613" s="1"/>
    </row>
    <row r="1614" spans="9:31" x14ac:dyDescent="0.25">
      <c r="N1614" s="1"/>
      <c r="Z1614" s="1"/>
      <c r="AA1614" s="1"/>
      <c r="AE1614" s="1"/>
    </row>
    <row r="1615" spans="9:31" x14ac:dyDescent="0.25">
      <c r="I1615" s="1"/>
      <c r="J1615" s="1"/>
      <c r="N1615" s="1"/>
      <c r="AE1615" s="1"/>
    </row>
    <row r="1616" spans="9:31" x14ac:dyDescent="0.25">
      <c r="I1616" s="1"/>
      <c r="J1616" s="1"/>
      <c r="N1616" s="1"/>
      <c r="Z1616" s="1"/>
      <c r="AA1616" s="1"/>
      <c r="AE1616" s="1"/>
    </row>
    <row r="1617" spans="9:31" x14ac:dyDescent="0.25">
      <c r="I1617" s="1"/>
      <c r="J1617" s="1"/>
      <c r="N1617" s="1"/>
      <c r="Z1617" s="1"/>
      <c r="AA1617" s="1"/>
      <c r="AE1617" s="1"/>
    </row>
    <row r="1618" spans="9:31" x14ac:dyDescent="0.25">
      <c r="I1618" s="1"/>
      <c r="J1618" s="1"/>
      <c r="N1618" s="1"/>
      <c r="AE1618" s="1"/>
    </row>
    <row r="1619" spans="9:31" x14ac:dyDescent="0.25">
      <c r="I1619" s="1"/>
      <c r="J1619" s="1"/>
      <c r="N1619" s="1"/>
      <c r="Z1619" s="1"/>
      <c r="AA1619" s="1"/>
      <c r="AE1619" s="1"/>
    </row>
    <row r="1620" spans="9:31" x14ac:dyDescent="0.25">
      <c r="I1620" s="1"/>
      <c r="J1620" s="1"/>
      <c r="N1620" s="1"/>
      <c r="AE1620" s="1"/>
    </row>
    <row r="1621" spans="9:31" x14ac:dyDescent="0.25">
      <c r="I1621" s="1"/>
      <c r="J1621" s="1"/>
      <c r="N1621" s="1"/>
      <c r="Z1621" s="1"/>
      <c r="AA1621" s="1"/>
      <c r="AE1621" s="1"/>
    </row>
    <row r="1622" spans="9:31" x14ac:dyDescent="0.25">
      <c r="I1622" s="1"/>
      <c r="J1622" s="1"/>
      <c r="N1622" s="1"/>
      <c r="Z1622" s="1"/>
      <c r="AA1622" s="1"/>
      <c r="AE1622" s="1"/>
    </row>
    <row r="1623" spans="9:31" x14ac:dyDescent="0.25">
      <c r="I1623" s="1"/>
      <c r="J1623" s="1"/>
      <c r="N1623" s="1"/>
      <c r="Z1623" s="1"/>
      <c r="AA1623" s="1"/>
      <c r="AE1623" s="1"/>
    </row>
    <row r="1624" spans="9:31" x14ac:dyDescent="0.25">
      <c r="I1624" s="1"/>
      <c r="J1624" s="1"/>
      <c r="N1624" s="1"/>
      <c r="Z1624" s="1"/>
      <c r="AA1624" s="1"/>
      <c r="AE1624" s="1"/>
    </row>
    <row r="1625" spans="9:31" x14ac:dyDescent="0.25">
      <c r="I1625" s="1"/>
      <c r="J1625" s="1"/>
      <c r="N1625" s="1"/>
      <c r="Z1625" s="1"/>
      <c r="AE1625" s="1"/>
    </row>
    <row r="1626" spans="9:31" x14ac:dyDescent="0.25">
      <c r="N1626" s="1"/>
      <c r="Z1626" s="1"/>
      <c r="AA1626" s="1"/>
      <c r="AE1626" s="1"/>
    </row>
    <row r="1627" spans="9:31" x14ac:dyDescent="0.25">
      <c r="I1627" s="1"/>
      <c r="J1627" s="1"/>
      <c r="N1627" s="1"/>
      <c r="AE1627" s="1"/>
    </row>
    <row r="1628" spans="9:31" x14ac:dyDescent="0.25">
      <c r="I1628" s="1"/>
      <c r="N1628" s="1"/>
      <c r="Z1628" s="1"/>
      <c r="AA1628" s="1"/>
      <c r="AE1628" s="1"/>
    </row>
    <row r="1629" spans="9:31" x14ac:dyDescent="0.25">
      <c r="I1629" s="1"/>
      <c r="J1629" s="1"/>
      <c r="N1629" s="1"/>
      <c r="AE1629" s="1"/>
    </row>
    <row r="1630" spans="9:31" x14ac:dyDescent="0.25">
      <c r="N1630" s="1"/>
      <c r="AE1630" s="1"/>
    </row>
    <row r="1631" spans="9:31" x14ac:dyDescent="0.25">
      <c r="N1631" s="1"/>
      <c r="AE1631" s="1"/>
    </row>
    <row r="1632" spans="9:31" x14ac:dyDescent="0.25">
      <c r="I1632" s="1"/>
      <c r="J1632" s="1"/>
      <c r="N1632" s="1"/>
      <c r="AE1632" s="1"/>
    </row>
    <row r="1633" spans="9:31" x14ac:dyDescent="0.25">
      <c r="N1633" s="1"/>
      <c r="Z1633" s="1"/>
      <c r="AA1633" s="1"/>
      <c r="AE1633" s="1"/>
    </row>
    <row r="1634" spans="9:31" x14ac:dyDescent="0.25">
      <c r="I1634" s="1"/>
      <c r="J1634" s="1"/>
      <c r="N1634" s="1"/>
      <c r="AE1634" s="1"/>
    </row>
    <row r="1635" spans="9:31" x14ac:dyDescent="0.25">
      <c r="I1635" s="1"/>
      <c r="J1635" s="1"/>
      <c r="N1635" s="1"/>
      <c r="AE1635" s="1"/>
    </row>
    <row r="1636" spans="9:31" x14ac:dyDescent="0.25">
      <c r="I1636" s="1"/>
      <c r="J1636" s="1"/>
      <c r="N1636" s="1"/>
      <c r="AE1636" s="1"/>
    </row>
    <row r="1637" spans="9:31" x14ac:dyDescent="0.25">
      <c r="N1637" s="1"/>
      <c r="AE1637" s="1"/>
    </row>
    <row r="1638" spans="9:31" x14ac:dyDescent="0.25">
      <c r="N1638" s="1"/>
      <c r="AE1638" s="1"/>
    </row>
    <row r="1639" spans="9:31" x14ac:dyDescent="0.25">
      <c r="I1639" s="1"/>
      <c r="J1639" s="1"/>
      <c r="N1639" s="1"/>
      <c r="AE1639" s="1"/>
    </row>
    <row r="1640" spans="9:31" x14ac:dyDescent="0.25">
      <c r="N1640" s="1"/>
      <c r="Z1640" s="1"/>
      <c r="AA1640" s="1"/>
      <c r="AE1640" s="1"/>
    </row>
    <row r="1641" spans="9:31" x14ac:dyDescent="0.25">
      <c r="I1641" s="1"/>
      <c r="J1641" s="1"/>
      <c r="N1641" s="1"/>
      <c r="AE1641" s="1"/>
    </row>
    <row r="1642" spans="9:31" x14ac:dyDescent="0.25">
      <c r="I1642" s="1"/>
      <c r="J1642" s="1"/>
      <c r="N1642" s="1"/>
      <c r="Z1642" s="1"/>
      <c r="AA1642" s="1"/>
      <c r="AE1642" s="1"/>
    </row>
    <row r="1643" spans="9:31" x14ac:dyDescent="0.25">
      <c r="I1643" s="1"/>
      <c r="J1643" s="1"/>
      <c r="N1643" s="1"/>
      <c r="Z1643" s="1"/>
      <c r="AA1643" s="1"/>
      <c r="AE1643" s="1"/>
    </row>
    <row r="1644" spans="9:31" x14ac:dyDescent="0.25">
      <c r="N1644" s="1"/>
      <c r="AE1644" s="1"/>
    </row>
    <row r="1645" spans="9:31" x14ac:dyDescent="0.25">
      <c r="I1645" s="1"/>
      <c r="J1645" s="1"/>
      <c r="N1645" s="1"/>
      <c r="AE1645" s="1"/>
    </row>
    <row r="1646" spans="9:31" x14ac:dyDescent="0.25">
      <c r="I1646" s="1"/>
      <c r="J1646" s="1"/>
      <c r="N1646" s="1"/>
      <c r="AE1646" s="1"/>
    </row>
    <row r="1647" spans="9:31" x14ac:dyDescent="0.25">
      <c r="N1647" s="1"/>
      <c r="AE1647" s="1"/>
    </row>
    <row r="1648" spans="9:31" x14ac:dyDescent="0.25">
      <c r="I1648" s="1"/>
      <c r="J1648" s="1"/>
      <c r="N1648" s="1"/>
      <c r="AE1648" s="1"/>
    </row>
    <row r="1649" spans="9:31" x14ac:dyDescent="0.25">
      <c r="I1649" s="1"/>
      <c r="J1649" s="1"/>
      <c r="N1649" s="1"/>
      <c r="AE1649" s="1"/>
    </row>
    <row r="1650" spans="9:31" x14ac:dyDescent="0.25">
      <c r="I1650" s="1"/>
      <c r="J1650" s="1"/>
      <c r="N1650" s="1"/>
      <c r="AE1650" s="1"/>
    </row>
    <row r="1651" spans="9:31" x14ac:dyDescent="0.25">
      <c r="I1651" s="1"/>
      <c r="J1651" s="1"/>
      <c r="N1651" s="1"/>
      <c r="AE1651" s="1"/>
    </row>
    <row r="1652" spans="9:31" x14ac:dyDescent="0.25">
      <c r="I1652" s="1"/>
      <c r="J1652" s="1"/>
      <c r="N1652" s="1"/>
      <c r="AE1652" s="1"/>
    </row>
    <row r="1653" spans="9:31" x14ac:dyDescent="0.25">
      <c r="N1653" s="1"/>
      <c r="AE1653" s="1"/>
    </row>
    <row r="1654" spans="9:31" x14ac:dyDescent="0.25">
      <c r="N1654" s="1"/>
      <c r="AE1654" s="1"/>
    </row>
    <row r="1655" spans="9:31" x14ac:dyDescent="0.25">
      <c r="I1655" s="1"/>
      <c r="J1655" s="1"/>
      <c r="N1655" s="1"/>
      <c r="AE1655" s="1"/>
    </row>
    <row r="1656" spans="9:31" x14ac:dyDescent="0.25">
      <c r="N1656" s="1"/>
      <c r="AE1656" s="1"/>
    </row>
    <row r="1657" spans="9:31" x14ac:dyDescent="0.25">
      <c r="I1657" s="1"/>
      <c r="J1657" s="1"/>
      <c r="N1657" s="1"/>
      <c r="AE1657" s="1"/>
    </row>
    <row r="1658" spans="9:31" x14ac:dyDescent="0.25">
      <c r="I1658" s="1"/>
      <c r="J1658" s="1"/>
      <c r="N1658" s="1"/>
      <c r="Z1658" s="1"/>
      <c r="AA1658" s="1"/>
      <c r="AE1658" s="1"/>
    </row>
    <row r="1659" spans="9:31" x14ac:dyDescent="0.25">
      <c r="I1659" s="1"/>
      <c r="J1659" s="1"/>
      <c r="N1659" s="1"/>
      <c r="Z1659" s="1"/>
      <c r="AA1659" s="1"/>
      <c r="AE1659" s="1"/>
    </row>
    <row r="1660" spans="9:31" x14ac:dyDescent="0.25">
      <c r="I1660" s="1"/>
      <c r="J1660" s="1"/>
      <c r="N1660" s="1"/>
      <c r="Z1660" s="1"/>
      <c r="AE1660" s="1"/>
    </row>
    <row r="1661" spans="9:31" x14ac:dyDescent="0.25">
      <c r="I1661" s="1"/>
      <c r="J1661" s="1"/>
      <c r="N1661" s="1"/>
      <c r="Z1661" s="1"/>
      <c r="AA1661" s="1"/>
      <c r="AE1661" s="1"/>
    </row>
    <row r="1662" spans="9:31" x14ac:dyDescent="0.25">
      <c r="N1662" s="1"/>
      <c r="AE1662" s="1"/>
    </row>
    <row r="1663" spans="9:31" x14ac:dyDescent="0.25">
      <c r="N1663" s="1"/>
      <c r="AE1663" s="1"/>
    </row>
    <row r="1664" spans="9:31" x14ac:dyDescent="0.25">
      <c r="I1664" s="1"/>
      <c r="J1664" s="1"/>
      <c r="N1664" s="1"/>
      <c r="AE1664" s="1"/>
    </row>
    <row r="1665" spans="9:31" x14ac:dyDescent="0.25">
      <c r="I1665" s="1"/>
      <c r="J1665" s="1"/>
      <c r="N1665" s="1"/>
      <c r="Z1665" s="1"/>
      <c r="AA1665" s="1"/>
      <c r="AE1665" s="1"/>
    </row>
    <row r="1666" spans="9:31" x14ac:dyDescent="0.25">
      <c r="I1666" s="1"/>
      <c r="J1666" s="1"/>
      <c r="N1666" s="1"/>
      <c r="Z1666" s="1"/>
      <c r="AA1666" s="1"/>
      <c r="AE1666" s="1"/>
    </row>
    <row r="1667" spans="9:31" x14ac:dyDescent="0.25">
      <c r="N1667" s="1"/>
      <c r="AE1667" s="1"/>
    </row>
    <row r="1668" spans="9:31" x14ac:dyDescent="0.25">
      <c r="I1668" s="1"/>
      <c r="J1668" s="1"/>
      <c r="N1668" s="1"/>
      <c r="AE1668" s="1"/>
    </row>
    <row r="1669" spans="9:31" x14ac:dyDescent="0.25">
      <c r="N1669" s="1"/>
      <c r="AE1669" s="1"/>
    </row>
    <row r="1670" spans="9:31" x14ac:dyDescent="0.25">
      <c r="N1670" s="1"/>
      <c r="AE1670" s="1"/>
    </row>
    <row r="1671" spans="9:31" x14ac:dyDescent="0.25">
      <c r="N1671" s="1"/>
      <c r="AE1671" s="1"/>
    </row>
    <row r="1672" spans="9:31" x14ac:dyDescent="0.25">
      <c r="I1672" s="1"/>
      <c r="J1672" s="1"/>
      <c r="N1672" s="1"/>
      <c r="AE1672" s="1"/>
    </row>
    <row r="1673" spans="9:31" x14ac:dyDescent="0.25">
      <c r="N1673" s="1"/>
      <c r="Z1673" s="1"/>
      <c r="AA1673" s="1"/>
      <c r="AE1673" s="1"/>
    </row>
    <row r="1674" spans="9:31" x14ac:dyDescent="0.25">
      <c r="I1674" s="1"/>
      <c r="J1674" s="1"/>
      <c r="N1674" s="1"/>
      <c r="AE1674" s="1"/>
    </row>
    <row r="1675" spans="9:31" x14ac:dyDescent="0.25">
      <c r="I1675" s="1"/>
      <c r="J1675" s="1"/>
      <c r="N1675" s="1"/>
      <c r="AE1675" s="1"/>
    </row>
    <row r="1676" spans="9:31" x14ac:dyDescent="0.25">
      <c r="N1676" s="1"/>
      <c r="Z1676" s="1"/>
      <c r="AA1676" s="1"/>
      <c r="AE1676" s="1"/>
    </row>
    <row r="1677" spans="9:31" x14ac:dyDescent="0.25">
      <c r="N1677" s="1"/>
      <c r="AE1677" s="1"/>
    </row>
    <row r="1678" spans="9:31" x14ac:dyDescent="0.25">
      <c r="I1678" s="1"/>
      <c r="J1678" s="1"/>
      <c r="N1678" s="1"/>
      <c r="AE1678" s="1"/>
    </row>
    <row r="1679" spans="9:31" x14ac:dyDescent="0.25">
      <c r="I1679" s="1"/>
      <c r="J1679" s="1"/>
      <c r="N1679" s="1"/>
      <c r="Z1679" s="1"/>
      <c r="AA1679" s="1"/>
      <c r="AE1679" s="1"/>
    </row>
    <row r="1680" spans="9:31" x14ac:dyDescent="0.25">
      <c r="I1680" s="1"/>
      <c r="J1680" s="1"/>
      <c r="N1680" s="1"/>
      <c r="AE1680" s="1"/>
    </row>
    <row r="1681" spans="9:31" x14ac:dyDescent="0.25">
      <c r="I1681" s="1"/>
      <c r="J1681" s="1"/>
      <c r="N1681" s="1"/>
      <c r="Z1681" s="1"/>
      <c r="AA1681" s="1"/>
      <c r="AE1681" s="1"/>
    </row>
    <row r="1682" spans="9:31" x14ac:dyDescent="0.25">
      <c r="I1682" s="1"/>
      <c r="J1682" s="1"/>
      <c r="N1682" s="1"/>
      <c r="AE1682" s="1"/>
    </row>
    <row r="1683" spans="9:31" x14ac:dyDescent="0.25">
      <c r="I1683" s="1"/>
      <c r="J1683" s="1"/>
      <c r="N1683" s="1"/>
      <c r="AE1683" s="1"/>
    </row>
    <row r="1684" spans="9:31" x14ac:dyDescent="0.25">
      <c r="I1684" s="1"/>
      <c r="J1684" s="1"/>
      <c r="N1684" s="1"/>
      <c r="AE1684" s="1"/>
    </row>
    <row r="1685" spans="9:31" x14ac:dyDescent="0.25">
      <c r="N1685" s="1"/>
      <c r="Z1685" s="1"/>
      <c r="AA1685" s="1"/>
      <c r="AE1685" s="1"/>
    </row>
    <row r="1686" spans="9:31" x14ac:dyDescent="0.25">
      <c r="N1686" s="1"/>
      <c r="AE1686" s="1"/>
    </row>
    <row r="1687" spans="9:31" x14ac:dyDescent="0.25">
      <c r="I1687" s="1"/>
      <c r="J1687" s="1"/>
      <c r="N1687" s="1"/>
      <c r="AE1687" s="1"/>
    </row>
    <row r="1688" spans="9:31" x14ac:dyDescent="0.25">
      <c r="N1688" s="1"/>
      <c r="AE1688" s="1"/>
    </row>
    <row r="1689" spans="9:31" x14ac:dyDescent="0.25">
      <c r="I1689" s="1"/>
      <c r="J1689" s="1"/>
      <c r="N1689" s="1"/>
      <c r="AE1689" s="1"/>
    </row>
    <row r="1690" spans="9:31" x14ac:dyDescent="0.25">
      <c r="I1690" s="1"/>
      <c r="J1690" s="1"/>
      <c r="N1690" s="1"/>
      <c r="AE1690" s="1"/>
    </row>
    <row r="1691" spans="9:31" x14ac:dyDescent="0.25">
      <c r="I1691" s="1"/>
      <c r="J1691" s="1"/>
      <c r="N1691" s="1"/>
      <c r="AE1691" s="1"/>
    </row>
    <row r="1692" spans="9:31" x14ac:dyDescent="0.25">
      <c r="I1692" s="1"/>
      <c r="J1692" s="1"/>
      <c r="N1692" s="1"/>
      <c r="AE1692" s="1"/>
    </row>
    <row r="1693" spans="9:31" x14ac:dyDescent="0.25">
      <c r="I1693" s="1"/>
      <c r="J1693" s="1"/>
      <c r="N1693" s="1"/>
      <c r="Z1693" s="1"/>
      <c r="AA1693" s="1"/>
      <c r="AE1693" s="1"/>
    </row>
    <row r="1694" spans="9:31" x14ac:dyDescent="0.25">
      <c r="I1694" s="1"/>
      <c r="J1694" s="1"/>
      <c r="N1694" s="1"/>
      <c r="AE1694" s="1"/>
    </row>
    <row r="1695" spans="9:31" x14ac:dyDescent="0.25">
      <c r="I1695" s="1"/>
      <c r="J1695" s="1"/>
      <c r="N1695" s="1"/>
      <c r="AE1695" s="1"/>
    </row>
    <row r="1696" spans="9:31" x14ac:dyDescent="0.25">
      <c r="N1696" s="1"/>
      <c r="AE1696" s="1"/>
    </row>
    <row r="1697" spans="9:31" x14ac:dyDescent="0.25">
      <c r="N1697" s="1"/>
      <c r="AE1697" s="1"/>
    </row>
    <row r="1698" spans="9:31" x14ac:dyDescent="0.25">
      <c r="I1698" s="1"/>
      <c r="J1698" s="1"/>
      <c r="N1698" s="1"/>
      <c r="AE1698" s="1"/>
    </row>
    <row r="1699" spans="9:31" x14ac:dyDescent="0.25">
      <c r="I1699" s="1"/>
      <c r="J1699" s="1"/>
      <c r="N1699" s="1"/>
      <c r="AE1699" s="1"/>
    </row>
    <row r="1700" spans="9:31" x14ac:dyDescent="0.25">
      <c r="I1700" s="1"/>
      <c r="J1700" s="1"/>
      <c r="N1700" s="1"/>
      <c r="AE1700" s="1"/>
    </row>
    <row r="1701" spans="9:31" x14ac:dyDescent="0.25">
      <c r="N1701" s="1"/>
      <c r="AE1701" s="1"/>
    </row>
    <row r="1702" spans="9:31" x14ac:dyDescent="0.25">
      <c r="I1702" s="1"/>
      <c r="J1702" s="1"/>
      <c r="N1702" s="1"/>
      <c r="AE1702" s="1"/>
    </row>
    <row r="1703" spans="9:31" x14ac:dyDescent="0.25">
      <c r="I1703" s="1"/>
      <c r="J1703" s="1"/>
      <c r="N1703" s="1"/>
      <c r="AE1703" s="1"/>
    </row>
    <row r="1704" spans="9:31" x14ac:dyDescent="0.25">
      <c r="I1704" s="1"/>
      <c r="J1704" s="1"/>
      <c r="N1704" s="1"/>
      <c r="Z1704" s="1"/>
      <c r="AA1704" s="1"/>
      <c r="AE1704" s="1"/>
    </row>
    <row r="1705" spans="9:31" x14ac:dyDescent="0.25">
      <c r="I1705" s="1"/>
      <c r="J1705" s="1"/>
      <c r="N1705" s="1"/>
      <c r="Z1705" s="1"/>
      <c r="AA1705" s="1"/>
      <c r="AE1705" s="1"/>
    </row>
    <row r="1706" spans="9:31" x14ac:dyDescent="0.25">
      <c r="N1706" s="1"/>
      <c r="AE1706" s="1"/>
    </row>
    <row r="1707" spans="9:31" x14ac:dyDescent="0.25">
      <c r="I1707" s="1"/>
      <c r="J1707" s="1"/>
      <c r="N1707" s="1"/>
      <c r="AE1707" s="1"/>
    </row>
    <row r="1708" spans="9:31" x14ac:dyDescent="0.25">
      <c r="I1708" s="1"/>
      <c r="J1708" s="1"/>
      <c r="N1708" s="1"/>
      <c r="Z1708" s="1"/>
      <c r="AA1708" s="1"/>
      <c r="AE1708" s="1"/>
    </row>
    <row r="1709" spans="9:31" x14ac:dyDescent="0.25">
      <c r="I1709" s="1"/>
      <c r="J1709" s="1"/>
      <c r="N1709" s="1"/>
      <c r="Z1709" s="1"/>
      <c r="AA1709" s="1"/>
      <c r="AE1709" s="1"/>
    </row>
    <row r="1710" spans="9:31" x14ac:dyDescent="0.25">
      <c r="N1710" s="1"/>
      <c r="Z1710" s="1"/>
      <c r="AA1710" s="1"/>
      <c r="AE1710" s="1"/>
    </row>
    <row r="1711" spans="9:31" x14ac:dyDescent="0.25">
      <c r="N1711" s="1"/>
      <c r="AE1711" s="1"/>
    </row>
    <row r="1712" spans="9:31" x14ac:dyDescent="0.25">
      <c r="N1712" s="1"/>
      <c r="AE1712" s="1"/>
    </row>
    <row r="1713" spans="9:31" x14ac:dyDescent="0.25">
      <c r="I1713" s="1"/>
      <c r="J1713" s="1"/>
      <c r="N1713" s="1"/>
      <c r="AE1713" s="1"/>
    </row>
    <row r="1714" spans="9:31" x14ac:dyDescent="0.25">
      <c r="I1714" s="1"/>
      <c r="J1714" s="1"/>
      <c r="N1714" s="1"/>
      <c r="Z1714" s="1"/>
      <c r="AA1714" s="1"/>
      <c r="AE1714" s="1"/>
    </row>
    <row r="1715" spans="9:31" x14ac:dyDescent="0.25">
      <c r="I1715" s="1"/>
      <c r="J1715" s="1"/>
      <c r="N1715" s="1"/>
      <c r="AE1715" s="1"/>
    </row>
    <row r="1716" spans="9:31" x14ac:dyDescent="0.25">
      <c r="N1716" s="1"/>
      <c r="AE1716" s="1"/>
    </row>
    <row r="1717" spans="9:31" x14ac:dyDescent="0.25">
      <c r="N1717" s="1"/>
      <c r="AE1717" s="1"/>
    </row>
    <row r="1718" spans="9:31" x14ac:dyDescent="0.25">
      <c r="I1718" s="1"/>
      <c r="J1718" s="1"/>
      <c r="N1718" s="1"/>
      <c r="AE1718" s="1"/>
    </row>
    <row r="1719" spans="9:31" x14ac:dyDescent="0.25">
      <c r="N1719" s="1"/>
      <c r="AE1719" s="1"/>
    </row>
    <row r="1720" spans="9:31" x14ac:dyDescent="0.25">
      <c r="N1720" s="1"/>
      <c r="AE1720" s="1"/>
    </row>
    <row r="1721" spans="9:31" x14ac:dyDescent="0.25">
      <c r="I1721" s="1"/>
      <c r="J1721" s="1"/>
      <c r="N1721" s="1"/>
      <c r="AE1721" s="1"/>
    </row>
    <row r="1722" spans="9:31" x14ac:dyDescent="0.25">
      <c r="I1722" s="1"/>
      <c r="J1722" s="1"/>
      <c r="N1722" s="1"/>
      <c r="AE1722" s="1"/>
    </row>
    <row r="1723" spans="9:31" x14ac:dyDescent="0.25">
      <c r="I1723" s="1"/>
      <c r="J1723" s="1"/>
      <c r="N1723" s="1"/>
      <c r="AE1723" s="1"/>
    </row>
    <row r="1724" spans="9:31" x14ac:dyDescent="0.25">
      <c r="I1724" s="1"/>
      <c r="J1724" s="1"/>
      <c r="N1724" s="1"/>
      <c r="AE1724" s="1"/>
    </row>
    <row r="1725" spans="9:31" x14ac:dyDescent="0.25">
      <c r="I1725" s="1"/>
      <c r="J1725" s="1"/>
      <c r="N1725" s="1"/>
      <c r="AE1725" s="1"/>
    </row>
    <row r="1726" spans="9:31" x14ac:dyDescent="0.25">
      <c r="I1726" s="1"/>
      <c r="J1726" s="1"/>
      <c r="N1726" s="1"/>
      <c r="Z1726" s="1"/>
      <c r="AA1726" s="1"/>
      <c r="AE1726" s="1"/>
    </row>
    <row r="1727" spans="9:31" x14ac:dyDescent="0.25">
      <c r="I1727" s="1"/>
      <c r="J1727" s="1"/>
      <c r="N1727" s="1"/>
      <c r="Z1727" s="1"/>
      <c r="AA1727" s="1"/>
      <c r="AE1727" s="1"/>
    </row>
    <row r="1728" spans="9:31" x14ac:dyDescent="0.25">
      <c r="I1728" s="1"/>
      <c r="J1728" s="1"/>
      <c r="N1728" s="1"/>
      <c r="Z1728" s="1"/>
      <c r="AA1728" s="1"/>
      <c r="AE1728" s="1"/>
    </row>
    <row r="1729" spans="9:31" x14ac:dyDescent="0.25">
      <c r="I1729" s="1"/>
      <c r="J1729" s="1"/>
      <c r="N1729" s="1"/>
      <c r="AE1729" s="1"/>
    </row>
    <row r="1730" spans="9:31" x14ac:dyDescent="0.25">
      <c r="I1730" s="1"/>
      <c r="J1730" s="1"/>
      <c r="N1730" s="1"/>
      <c r="AE1730" s="1"/>
    </row>
    <row r="1731" spans="9:31" x14ac:dyDescent="0.25">
      <c r="I1731" s="1"/>
      <c r="J1731" s="1"/>
      <c r="N1731" s="1"/>
      <c r="AE1731" s="1"/>
    </row>
    <row r="1732" spans="9:31" x14ac:dyDescent="0.25">
      <c r="I1732" s="1"/>
      <c r="J1732" s="1"/>
      <c r="N1732" s="1"/>
      <c r="Z1732" s="1"/>
      <c r="AA1732" s="1"/>
      <c r="AE1732" s="1"/>
    </row>
    <row r="1733" spans="9:31" x14ac:dyDescent="0.25">
      <c r="I1733" s="1"/>
      <c r="J1733" s="1"/>
      <c r="N1733" s="1"/>
      <c r="Z1733" s="1"/>
      <c r="AA1733" s="1"/>
      <c r="AE1733" s="1"/>
    </row>
    <row r="1734" spans="9:31" x14ac:dyDescent="0.25">
      <c r="I1734" s="1"/>
      <c r="J1734" s="1"/>
      <c r="N1734" s="1"/>
      <c r="Z1734" s="1"/>
      <c r="AA1734" s="1"/>
      <c r="AE1734" s="1"/>
    </row>
    <row r="1735" spans="9:31" x14ac:dyDescent="0.25">
      <c r="I1735" s="1"/>
      <c r="J1735" s="1"/>
      <c r="N1735" s="1"/>
      <c r="AE1735" s="1"/>
    </row>
    <row r="1736" spans="9:31" x14ac:dyDescent="0.25">
      <c r="I1736" s="1"/>
      <c r="J1736" s="1"/>
      <c r="N1736" s="1"/>
      <c r="Z1736" s="1"/>
      <c r="AA1736" s="1"/>
      <c r="AE1736" s="1"/>
    </row>
    <row r="1737" spans="9:31" x14ac:dyDescent="0.25">
      <c r="I1737" s="1"/>
      <c r="J1737" s="1"/>
      <c r="N1737" s="1"/>
      <c r="Z1737" s="1"/>
      <c r="AA1737" s="1"/>
      <c r="AE1737" s="1"/>
    </row>
    <row r="1738" spans="9:31" x14ac:dyDescent="0.25">
      <c r="I1738" s="1"/>
      <c r="J1738" s="1"/>
      <c r="N1738" s="1"/>
      <c r="AE1738" s="1"/>
    </row>
    <row r="1739" spans="9:31" x14ac:dyDescent="0.25">
      <c r="N1739" s="1"/>
      <c r="AE1739" s="1"/>
    </row>
    <row r="1740" spans="9:31" x14ac:dyDescent="0.25">
      <c r="I1740" s="1"/>
      <c r="J1740" s="1"/>
      <c r="N1740" s="1"/>
      <c r="AE1740" s="1"/>
    </row>
    <row r="1741" spans="9:31" x14ac:dyDescent="0.25">
      <c r="N1741" s="1"/>
      <c r="Z1741" s="1"/>
      <c r="AA1741" s="1"/>
      <c r="AE1741" s="1"/>
    </row>
    <row r="1742" spans="9:31" x14ac:dyDescent="0.25">
      <c r="I1742" s="1"/>
      <c r="J1742" s="1"/>
      <c r="N1742" s="1"/>
      <c r="AE1742" s="1"/>
    </row>
    <row r="1743" spans="9:31" x14ac:dyDescent="0.25">
      <c r="I1743" s="1"/>
      <c r="J1743" s="1"/>
      <c r="N1743" s="1"/>
      <c r="AE1743" s="1"/>
    </row>
    <row r="1744" spans="9:31" x14ac:dyDescent="0.25">
      <c r="I1744" s="1"/>
      <c r="J1744" s="1"/>
      <c r="N1744" s="1"/>
      <c r="AE1744" s="1"/>
    </row>
    <row r="1745" spans="9:31" x14ac:dyDescent="0.25">
      <c r="I1745" s="1"/>
      <c r="J1745" s="1"/>
      <c r="N1745" s="1"/>
      <c r="AE1745" s="1"/>
    </row>
    <row r="1746" spans="9:31" x14ac:dyDescent="0.25">
      <c r="N1746" s="1"/>
      <c r="AE1746" s="1"/>
    </row>
    <row r="1747" spans="9:31" x14ac:dyDescent="0.25">
      <c r="N1747" s="1"/>
      <c r="AE1747" s="1"/>
    </row>
    <row r="1748" spans="9:31" x14ac:dyDescent="0.25">
      <c r="N1748" s="1"/>
      <c r="AE1748" s="1"/>
    </row>
    <row r="1749" spans="9:31" x14ac:dyDescent="0.25">
      <c r="I1749" s="1"/>
      <c r="J1749" s="1"/>
      <c r="N1749" s="1"/>
      <c r="AE1749" s="1"/>
    </row>
    <row r="1750" spans="9:31" x14ac:dyDescent="0.25">
      <c r="I1750" s="1"/>
      <c r="J1750" s="1"/>
      <c r="N1750" s="1"/>
      <c r="AE1750" s="1"/>
    </row>
    <row r="1751" spans="9:31" x14ac:dyDescent="0.25">
      <c r="I1751" s="1"/>
      <c r="J1751" s="1"/>
      <c r="N1751" s="1"/>
      <c r="AE1751" s="1"/>
    </row>
    <row r="1752" spans="9:31" x14ac:dyDescent="0.25">
      <c r="I1752" s="1"/>
      <c r="J1752" s="1"/>
      <c r="N1752" s="1"/>
      <c r="Z1752" s="1"/>
      <c r="AA1752" s="1"/>
      <c r="AE1752" s="1"/>
    </row>
    <row r="1753" spans="9:31" x14ac:dyDescent="0.25">
      <c r="I1753" s="1"/>
      <c r="J1753" s="1"/>
      <c r="N1753" s="1"/>
      <c r="AE1753" s="1"/>
    </row>
    <row r="1754" spans="9:31" x14ac:dyDescent="0.25">
      <c r="I1754" s="1"/>
      <c r="J1754" s="1"/>
      <c r="N1754" s="1"/>
      <c r="AE1754" s="1"/>
    </row>
    <row r="1755" spans="9:31" x14ac:dyDescent="0.25">
      <c r="I1755" s="1"/>
      <c r="J1755" s="1"/>
      <c r="N1755" s="1"/>
      <c r="AE1755" s="1"/>
    </row>
    <row r="1756" spans="9:31" x14ac:dyDescent="0.25">
      <c r="I1756" s="1"/>
      <c r="J1756" s="1"/>
      <c r="N1756" s="1"/>
      <c r="Z1756" s="1"/>
      <c r="AA1756" s="1"/>
      <c r="AE1756" s="1"/>
    </row>
    <row r="1757" spans="9:31" x14ac:dyDescent="0.25">
      <c r="I1757" s="1"/>
      <c r="J1757" s="1"/>
      <c r="N1757" s="1"/>
      <c r="Z1757" s="1"/>
      <c r="AA1757" s="1"/>
      <c r="AE1757" s="1"/>
    </row>
    <row r="1758" spans="9:31" x14ac:dyDescent="0.25">
      <c r="I1758" s="1"/>
      <c r="J1758" s="1"/>
      <c r="N1758" s="1"/>
      <c r="AE1758" s="1"/>
    </row>
    <row r="1759" spans="9:31" x14ac:dyDescent="0.25">
      <c r="I1759" s="1"/>
      <c r="J1759" s="1"/>
      <c r="N1759" s="1"/>
      <c r="Z1759" s="1"/>
      <c r="AA1759" s="1"/>
      <c r="AE1759" s="1"/>
    </row>
    <row r="1760" spans="9:31" x14ac:dyDescent="0.25">
      <c r="I1760" s="1"/>
      <c r="J1760" s="1"/>
      <c r="N1760" s="1"/>
      <c r="AE1760" s="1"/>
    </row>
    <row r="1761" spans="9:31" x14ac:dyDescent="0.25">
      <c r="I1761" s="1"/>
      <c r="J1761" s="1"/>
      <c r="N1761" s="1"/>
      <c r="AE1761" s="1"/>
    </row>
    <row r="1762" spans="9:31" x14ac:dyDescent="0.25">
      <c r="I1762" s="1"/>
      <c r="J1762" s="1"/>
      <c r="N1762" s="1"/>
      <c r="AE1762" s="1"/>
    </row>
    <row r="1763" spans="9:31" x14ac:dyDescent="0.25">
      <c r="N1763" s="1"/>
      <c r="Z1763" s="1"/>
      <c r="AA1763" s="1"/>
      <c r="AE1763" s="1"/>
    </row>
    <row r="1764" spans="9:31" x14ac:dyDescent="0.25">
      <c r="I1764" s="1"/>
      <c r="J1764" s="1"/>
      <c r="N1764" s="1"/>
      <c r="AE1764" s="1"/>
    </row>
    <row r="1765" spans="9:31" x14ac:dyDescent="0.25">
      <c r="I1765" s="1"/>
      <c r="J1765" s="1"/>
      <c r="N1765" s="1"/>
      <c r="Z1765" s="1"/>
      <c r="AA1765" s="1"/>
      <c r="AE1765" s="1"/>
    </row>
    <row r="1766" spans="9:31" x14ac:dyDescent="0.25">
      <c r="I1766" s="1"/>
      <c r="J1766" s="1"/>
      <c r="N1766" s="1"/>
      <c r="Z1766" s="1"/>
      <c r="AA1766" s="1"/>
      <c r="AE1766" s="1"/>
    </row>
    <row r="1767" spans="9:31" x14ac:dyDescent="0.25">
      <c r="I1767" s="1"/>
      <c r="J1767" s="1"/>
      <c r="N1767" s="1"/>
      <c r="Z1767" s="1"/>
      <c r="AA1767" s="1"/>
      <c r="AE1767" s="1"/>
    </row>
    <row r="1768" spans="9:31" x14ac:dyDescent="0.25">
      <c r="I1768" s="1"/>
      <c r="J1768" s="1"/>
      <c r="N1768" s="1"/>
      <c r="Z1768" s="1"/>
      <c r="AA1768" s="1"/>
      <c r="AE1768" s="1"/>
    </row>
    <row r="1769" spans="9:31" x14ac:dyDescent="0.25">
      <c r="I1769" s="1"/>
      <c r="J1769" s="1"/>
      <c r="N1769" s="1"/>
      <c r="Z1769" s="1"/>
      <c r="AA1769" s="1"/>
      <c r="AE1769" s="1"/>
    </row>
    <row r="1770" spans="9:31" x14ac:dyDescent="0.25">
      <c r="I1770" s="1"/>
      <c r="J1770" s="1"/>
      <c r="N1770" s="1"/>
      <c r="Z1770" s="1"/>
      <c r="AA1770" s="1"/>
      <c r="AE1770" s="1"/>
    </row>
    <row r="1771" spans="9:31" x14ac:dyDescent="0.25">
      <c r="I1771" s="1"/>
      <c r="J1771" s="1"/>
      <c r="N1771" s="1"/>
      <c r="AE1771" s="1"/>
    </row>
    <row r="1772" spans="9:31" x14ac:dyDescent="0.25">
      <c r="I1772" s="1"/>
      <c r="J1772" s="1"/>
      <c r="N1772" s="1"/>
      <c r="AE1772" s="1"/>
    </row>
    <row r="1773" spans="9:31" x14ac:dyDescent="0.25">
      <c r="I1773" s="1"/>
      <c r="J1773" s="1"/>
      <c r="N1773" s="1"/>
      <c r="Z1773" s="1"/>
      <c r="AA1773" s="1"/>
      <c r="AE1773" s="1"/>
    </row>
    <row r="1774" spans="9:31" x14ac:dyDescent="0.25">
      <c r="I1774" s="1"/>
      <c r="J1774" s="1"/>
      <c r="N1774" s="1"/>
      <c r="AE1774" s="1"/>
    </row>
    <row r="1775" spans="9:31" x14ac:dyDescent="0.25">
      <c r="I1775" s="1"/>
      <c r="J1775" s="1"/>
      <c r="N1775" s="1"/>
      <c r="AE1775" s="1"/>
    </row>
    <row r="1776" spans="9:31" x14ac:dyDescent="0.25">
      <c r="N1776" s="1"/>
      <c r="AE1776" s="1"/>
    </row>
    <row r="1777" spans="9:31" x14ac:dyDescent="0.25">
      <c r="I1777" s="1"/>
      <c r="J1777" s="1"/>
      <c r="N1777" s="1"/>
      <c r="AE1777" s="1"/>
    </row>
    <row r="1778" spans="9:31" x14ac:dyDescent="0.25">
      <c r="I1778" s="1"/>
      <c r="J1778" s="1"/>
      <c r="N1778" s="1"/>
      <c r="Z1778" s="1"/>
      <c r="AA1778" s="1"/>
      <c r="AE1778" s="1"/>
    </row>
    <row r="1779" spans="9:31" x14ac:dyDescent="0.25">
      <c r="N1779" s="1"/>
      <c r="Z1779" s="1"/>
      <c r="AA1779" s="1"/>
      <c r="AE1779" s="1"/>
    </row>
    <row r="1780" spans="9:31" x14ac:dyDescent="0.25">
      <c r="I1780" s="1"/>
      <c r="J1780" s="1"/>
      <c r="N1780" s="1"/>
      <c r="AE1780" s="1"/>
    </row>
    <row r="1781" spans="9:31" x14ac:dyDescent="0.25">
      <c r="N1781" s="1"/>
      <c r="Z1781" s="1"/>
      <c r="AA1781" s="1"/>
      <c r="AE1781" s="1"/>
    </row>
    <row r="1782" spans="9:31" x14ac:dyDescent="0.25">
      <c r="N1782" s="1"/>
      <c r="AE1782" s="1"/>
    </row>
    <row r="1783" spans="9:31" x14ac:dyDescent="0.25">
      <c r="I1783" s="1"/>
      <c r="J1783" s="1"/>
      <c r="N1783" s="1"/>
      <c r="AE1783" s="1"/>
    </row>
    <row r="1784" spans="9:31" x14ac:dyDescent="0.25">
      <c r="I1784" s="1"/>
      <c r="J1784" s="1"/>
      <c r="N1784" s="1"/>
      <c r="Z1784" s="1"/>
      <c r="AA1784" s="1"/>
      <c r="AE1784" s="1"/>
    </row>
    <row r="1785" spans="9:31" x14ac:dyDescent="0.25">
      <c r="N1785" s="1"/>
      <c r="Z1785" s="1"/>
      <c r="AA1785" s="1"/>
      <c r="AE1785" s="1"/>
    </row>
    <row r="1786" spans="9:31" x14ac:dyDescent="0.25">
      <c r="I1786" s="1"/>
      <c r="J1786" s="1"/>
      <c r="N1786" s="1"/>
      <c r="AE1786" s="1"/>
    </row>
    <row r="1787" spans="9:31" x14ac:dyDescent="0.25">
      <c r="I1787" s="1"/>
      <c r="J1787" s="1"/>
      <c r="N1787" s="1"/>
      <c r="AE1787" s="1"/>
    </row>
    <row r="1788" spans="9:31" x14ac:dyDescent="0.25">
      <c r="N1788" s="1"/>
      <c r="AE1788" s="1"/>
    </row>
    <row r="1789" spans="9:31" x14ac:dyDescent="0.25">
      <c r="I1789" s="1"/>
      <c r="J1789" s="1"/>
      <c r="N1789" s="1"/>
      <c r="AE1789" s="1"/>
    </row>
    <row r="1790" spans="9:31" x14ac:dyDescent="0.25">
      <c r="I1790" s="1"/>
      <c r="J1790" s="1"/>
      <c r="N1790" s="1"/>
      <c r="AE1790" s="1"/>
    </row>
    <row r="1791" spans="9:31" x14ac:dyDescent="0.25">
      <c r="I1791" s="1"/>
      <c r="J1791" s="1"/>
      <c r="N1791" s="1"/>
      <c r="AE1791" s="1"/>
    </row>
    <row r="1792" spans="9:31" x14ac:dyDescent="0.25">
      <c r="N1792" s="1"/>
      <c r="AE1792" s="1"/>
    </row>
    <row r="1793" spans="9:31" x14ac:dyDescent="0.25">
      <c r="I1793" s="1"/>
      <c r="J1793" s="1"/>
      <c r="N1793" s="1"/>
      <c r="AE1793" s="1"/>
    </row>
    <row r="1794" spans="9:31" x14ac:dyDescent="0.25">
      <c r="I1794" s="1"/>
      <c r="J1794" s="1"/>
      <c r="N1794" s="1"/>
      <c r="Z1794" s="1"/>
      <c r="AA1794" s="1"/>
      <c r="AE1794" s="1"/>
    </row>
    <row r="1795" spans="9:31" x14ac:dyDescent="0.25">
      <c r="N1795" s="1"/>
      <c r="Z1795" s="1"/>
      <c r="AA1795" s="1"/>
      <c r="AE1795" s="1"/>
    </row>
    <row r="1796" spans="9:31" x14ac:dyDescent="0.25">
      <c r="I1796" s="1"/>
      <c r="J1796" s="1"/>
      <c r="N1796" s="1"/>
      <c r="AE1796" s="1"/>
    </row>
    <row r="1797" spans="9:31" x14ac:dyDescent="0.25">
      <c r="I1797" s="1"/>
      <c r="J1797" s="1"/>
      <c r="N1797" s="1"/>
      <c r="Z1797" s="1"/>
      <c r="AA1797" s="1"/>
      <c r="AE1797" s="1"/>
    </row>
    <row r="1798" spans="9:31" x14ac:dyDescent="0.25">
      <c r="N1798" s="1"/>
      <c r="Z1798" s="1"/>
      <c r="AA1798" s="1"/>
      <c r="AE1798" s="1"/>
    </row>
    <row r="1799" spans="9:31" x14ac:dyDescent="0.25">
      <c r="I1799" s="1"/>
      <c r="J1799" s="1"/>
      <c r="N1799" s="1"/>
      <c r="AE1799" s="1"/>
    </row>
    <row r="1800" spans="9:31" x14ac:dyDescent="0.25">
      <c r="N1800" s="1"/>
      <c r="AE1800" s="1"/>
    </row>
    <row r="1801" spans="9:31" x14ac:dyDescent="0.25">
      <c r="I1801" s="1"/>
      <c r="J1801" s="1"/>
      <c r="N1801" s="1"/>
      <c r="AE1801" s="1"/>
    </row>
    <row r="1802" spans="9:31" x14ac:dyDescent="0.25">
      <c r="I1802" s="1"/>
      <c r="J1802" s="1"/>
      <c r="N1802" s="1"/>
      <c r="AE1802" s="1"/>
    </row>
    <row r="1803" spans="9:31" x14ac:dyDescent="0.25">
      <c r="I1803" s="1"/>
      <c r="J1803" s="1"/>
      <c r="N1803" s="1"/>
      <c r="AE1803" s="1"/>
    </row>
    <row r="1804" spans="9:31" x14ac:dyDescent="0.25">
      <c r="I1804" s="1"/>
      <c r="J1804" s="1"/>
      <c r="N1804" s="1"/>
      <c r="AE1804" s="1"/>
    </row>
    <row r="1805" spans="9:31" x14ac:dyDescent="0.25">
      <c r="I1805" s="1"/>
      <c r="J1805" s="1"/>
      <c r="N1805" s="1"/>
      <c r="Z1805" s="1"/>
      <c r="AA1805" s="1"/>
      <c r="AE1805" s="1"/>
    </row>
    <row r="1806" spans="9:31" x14ac:dyDescent="0.25">
      <c r="I1806" s="1"/>
      <c r="J1806" s="1"/>
      <c r="N1806" s="1"/>
      <c r="AE1806" s="1"/>
    </row>
    <row r="1807" spans="9:31" x14ac:dyDescent="0.25">
      <c r="N1807" s="1"/>
      <c r="AE1807" s="1"/>
    </row>
    <row r="1808" spans="9:31" x14ac:dyDescent="0.25">
      <c r="I1808" s="1"/>
      <c r="J1808" s="1"/>
      <c r="N1808" s="1"/>
      <c r="AE1808" s="1"/>
    </row>
    <row r="1809" spans="9:31" x14ac:dyDescent="0.25">
      <c r="I1809" s="1"/>
      <c r="J1809" s="1"/>
      <c r="N1809" s="1"/>
      <c r="Z1809" s="1"/>
      <c r="AA1809" s="1"/>
      <c r="AE1809" s="1"/>
    </row>
    <row r="1810" spans="9:31" x14ac:dyDescent="0.25">
      <c r="I1810" s="1"/>
      <c r="J1810" s="1"/>
      <c r="N1810" s="1"/>
      <c r="AE1810" s="1"/>
    </row>
    <row r="1811" spans="9:31" x14ac:dyDescent="0.25">
      <c r="I1811" s="1"/>
      <c r="J1811" s="1"/>
      <c r="N1811" s="1"/>
      <c r="Z1811" s="1"/>
      <c r="AA1811" s="1"/>
      <c r="AE1811" s="1"/>
    </row>
    <row r="1812" spans="9:31" x14ac:dyDescent="0.25">
      <c r="I1812" s="1"/>
      <c r="J1812" s="1"/>
      <c r="N1812" s="1"/>
      <c r="AE1812" s="1"/>
    </row>
    <row r="1813" spans="9:31" x14ac:dyDescent="0.25">
      <c r="I1813" s="1"/>
      <c r="J1813" s="1"/>
      <c r="N1813" s="1"/>
      <c r="Z1813" s="1"/>
      <c r="AA1813" s="1"/>
      <c r="AE1813" s="1"/>
    </row>
    <row r="1814" spans="9:31" x14ac:dyDescent="0.25">
      <c r="I1814" s="1"/>
      <c r="J1814" s="1"/>
      <c r="N1814" s="1"/>
      <c r="Z1814" s="1"/>
      <c r="AA1814" s="1"/>
      <c r="AE1814" s="1"/>
    </row>
    <row r="1815" spans="9:31" x14ac:dyDescent="0.25">
      <c r="I1815" s="1"/>
      <c r="J1815" s="1"/>
      <c r="N1815" s="1"/>
      <c r="AE1815" s="1"/>
    </row>
    <row r="1816" spans="9:31" x14ac:dyDescent="0.25">
      <c r="I1816" s="1"/>
      <c r="J1816" s="1"/>
      <c r="N1816" s="1"/>
      <c r="AE1816" s="1"/>
    </row>
    <row r="1817" spans="9:31" x14ac:dyDescent="0.25">
      <c r="I1817" s="1"/>
      <c r="J1817" s="1"/>
      <c r="N1817" s="1"/>
      <c r="AE1817" s="1"/>
    </row>
    <row r="1818" spans="9:31" x14ac:dyDescent="0.25">
      <c r="I1818" s="1"/>
      <c r="J1818" s="1"/>
      <c r="N1818" s="1"/>
      <c r="AE1818" s="1"/>
    </row>
    <row r="1819" spans="9:31" x14ac:dyDescent="0.25">
      <c r="I1819" s="1"/>
      <c r="J1819" s="1"/>
      <c r="N1819" s="1"/>
      <c r="AE1819" s="1"/>
    </row>
    <row r="1820" spans="9:31" x14ac:dyDescent="0.25">
      <c r="N1820" s="1"/>
      <c r="AE1820" s="1"/>
    </row>
    <row r="1821" spans="9:31" x14ac:dyDescent="0.25">
      <c r="I1821" s="1"/>
      <c r="J1821" s="1"/>
      <c r="N1821" s="1"/>
      <c r="AE1821" s="1"/>
    </row>
    <row r="1822" spans="9:31" x14ac:dyDescent="0.25">
      <c r="I1822" s="1"/>
      <c r="J1822" s="1"/>
      <c r="N1822" s="1"/>
      <c r="Z1822" s="1"/>
      <c r="AA1822" s="1"/>
      <c r="AE1822" s="1"/>
    </row>
    <row r="1823" spans="9:31" x14ac:dyDescent="0.25">
      <c r="I1823" s="1"/>
      <c r="J1823" s="1"/>
      <c r="N1823" s="1"/>
      <c r="AE1823" s="1"/>
    </row>
    <row r="1824" spans="9:31" x14ac:dyDescent="0.25">
      <c r="N1824" s="1"/>
      <c r="Z1824" s="1"/>
      <c r="AA1824" s="1"/>
      <c r="AE1824" s="1"/>
    </row>
    <row r="1825" spans="9:31" x14ac:dyDescent="0.25">
      <c r="I1825" s="1"/>
      <c r="J1825" s="1"/>
      <c r="N1825" s="1"/>
      <c r="AE1825" s="1"/>
    </row>
    <row r="1826" spans="9:31" x14ac:dyDescent="0.25">
      <c r="I1826" s="1"/>
      <c r="J1826" s="1"/>
      <c r="N1826" s="1"/>
      <c r="AE1826" s="1"/>
    </row>
    <row r="1827" spans="9:31" x14ac:dyDescent="0.25">
      <c r="I1827" s="1"/>
      <c r="J1827" s="1"/>
      <c r="N1827" s="1"/>
      <c r="Z1827" s="1"/>
      <c r="AA1827" s="1"/>
      <c r="AE1827" s="1"/>
    </row>
    <row r="1828" spans="9:31" x14ac:dyDescent="0.25">
      <c r="N1828" s="1"/>
      <c r="AE1828" s="1"/>
    </row>
    <row r="1829" spans="9:31" x14ac:dyDescent="0.25">
      <c r="I1829" s="1"/>
      <c r="J1829" s="1"/>
      <c r="N1829" s="1"/>
      <c r="AE1829" s="1"/>
    </row>
    <row r="1830" spans="9:31" x14ac:dyDescent="0.25">
      <c r="I1830" s="1"/>
      <c r="J1830" s="1"/>
      <c r="N1830" s="1"/>
      <c r="Z1830" s="1"/>
      <c r="AA1830" s="1"/>
      <c r="AE1830" s="1"/>
    </row>
    <row r="1831" spans="9:31" x14ac:dyDescent="0.25">
      <c r="I1831" s="1"/>
      <c r="J1831" s="1"/>
      <c r="N1831" s="1"/>
      <c r="Z1831" s="1"/>
      <c r="AA1831" s="1"/>
      <c r="AE1831" s="1"/>
    </row>
    <row r="1832" spans="9:31" x14ac:dyDescent="0.25">
      <c r="I1832" s="1"/>
      <c r="J1832" s="1"/>
      <c r="N1832" s="1"/>
      <c r="AE1832" s="1"/>
    </row>
    <row r="1833" spans="9:31" x14ac:dyDescent="0.25">
      <c r="I1833" s="1"/>
      <c r="J1833" s="1"/>
      <c r="N1833" s="1"/>
      <c r="Z1833" s="1"/>
      <c r="AA1833" s="1"/>
      <c r="AE1833" s="1"/>
    </row>
    <row r="1834" spans="9:31" x14ac:dyDescent="0.25">
      <c r="N1834" s="1"/>
      <c r="Z1834" s="1"/>
      <c r="AA1834" s="1"/>
      <c r="AE1834" s="1"/>
    </row>
    <row r="1835" spans="9:31" x14ac:dyDescent="0.25">
      <c r="I1835" s="1"/>
      <c r="J1835" s="1"/>
      <c r="N1835" s="1"/>
      <c r="AE1835" s="1"/>
    </row>
    <row r="1836" spans="9:31" x14ac:dyDescent="0.25">
      <c r="I1836" s="1"/>
      <c r="J1836" s="1"/>
      <c r="N1836" s="1"/>
      <c r="Z1836" s="1"/>
      <c r="AA1836" s="1"/>
      <c r="AE1836" s="1"/>
    </row>
    <row r="1837" spans="9:31" x14ac:dyDescent="0.25">
      <c r="I1837" s="1"/>
      <c r="J1837" s="1"/>
      <c r="N1837" s="1"/>
      <c r="AE1837" s="1"/>
    </row>
    <row r="1838" spans="9:31" x14ac:dyDescent="0.25">
      <c r="N1838" s="1"/>
      <c r="Z1838" s="1"/>
      <c r="AA1838" s="1"/>
      <c r="AE1838" s="1"/>
    </row>
    <row r="1839" spans="9:31" x14ac:dyDescent="0.25">
      <c r="N1839" s="1"/>
      <c r="AE1839" s="1"/>
    </row>
    <row r="1840" spans="9:31" x14ac:dyDescent="0.25">
      <c r="I1840" s="1"/>
      <c r="J1840" s="1"/>
      <c r="N1840" s="1"/>
      <c r="AE1840" s="1"/>
    </row>
    <row r="1841" spans="9:31" x14ac:dyDescent="0.25">
      <c r="I1841" s="1"/>
      <c r="J1841" s="1"/>
      <c r="N1841" s="1"/>
      <c r="Z1841" s="1"/>
      <c r="AA1841" s="1"/>
      <c r="AE1841" s="1"/>
    </row>
    <row r="1842" spans="9:31" x14ac:dyDescent="0.25">
      <c r="I1842" s="1"/>
      <c r="J1842" s="1"/>
      <c r="N1842" s="1"/>
      <c r="AE1842" s="1"/>
    </row>
    <row r="1843" spans="9:31" x14ac:dyDescent="0.25">
      <c r="I1843" s="1"/>
      <c r="J1843" s="1"/>
      <c r="N1843" s="1"/>
      <c r="Z1843" s="1"/>
      <c r="AE1843" s="1"/>
    </row>
    <row r="1844" spans="9:31" x14ac:dyDescent="0.25">
      <c r="N1844" s="1"/>
      <c r="Z1844" s="1"/>
      <c r="AA1844" s="1"/>
      <c r="AE1844" s="1"/>
    </row>
    <row r="1845" spans="9:31" x14ac:dyDescent="0.25">
      <c r="I1845" s="1"/>
      <c r="J1845" s="1"/>
      <c r="N1845" s="1"/>
      <c r="AE1845" s="1"/>
    </row>
    <row r="1846" spans="9:31" x14ac:dyDescent="0.25">
      <c r="I1846" s="1"/>
      <c r="J1846" s="1"/>
      <c r="N1846" s="1"/>
      <c r="Z1846" s="1"/>
      <c r="AA1846" s="1"/>
      <c r="AE1846" s="1"/>
    </row>
    <row r="1847" spans="9:31" x14ac:dyDescent="0.25">
      <c r="I1847" s="1"/>
      <c r="J1847" s="1"/>
      <c r="N1847" s="1"/>
      <c r="Z1847" s="1"/>
      <c r="AA1847" s="1"/>
      <c r="AE1847" s="1"/>
    </row>
    <row r="1848" spans="9:31" x14ac:dyDescent="0.25">
      <c r="I1848" s="1"/>
      <c r="J1848" s="1"/>
      <c r="N1848" s="1"/>
      <c r="AE1848" s="1"/>
    </row>
    <row r="1849" spans="9:31" x14ac:dyDescent="0.25">
      <c r="N1849" s="1"/>
      <c r="Z1849" s="1"/>
      <c r="AA1849" s="1"/>
      <c r="AE1849" s="1"/>
    </row>
    <row r="1850" spans="9:31" x14ac:dyDescent="0.25">
      <c r="I1850" s="1"/>
      <c r="J1850" s="1"/>
      <c r="N1850" s="1"/>
      <c r="AE1850" s="1"/>
    </row>
    <row r="1851" spans="9:31" x14ac:dyDescent="0.25">
      <c r="N1851" s="1"/>
      <c r="Z1851" s="1"/>
      <c r="AA1851" s="1"/>
      <c r="AE1851" s="1"/>
    </row>
    <row r="1852" spans="9:31" x14ac:dyDescent="0.25">
      <c r="I1852" s="1"/>
      <c r="J1852" s="1"/>
      <c r="N1852" s="1"/>
      <c r="AE1852" s="1"/>
    </row>
    <row r="1853" spans="9:31" x14ac:dyDescent="0.25">
      <c r="I1853" s="1"/>
      <c r="J1853" s="1"/>
      <c r="N1853" s="1"/>
      <c r="AE1853" s="1"/>
    </row>
    <row r="1854" spans="9:31" x14ac:dyDescent="0.25">
      <c r="I1854" s="1"/>
      <c r="J1854" s="1"/>
      <c r="N1854" s="1"/>
      <c r="Z1854" s="1"/>
      <c r="AA1854" s="1"/>
      <c r="AE1854" s="1"/>
    </row>
    <row r="1855" spans="9:31" x14ac:dyDescent="0.25">
      <c r="I1855" s="1"/>
      <c r="J1855" s="1"/>
      <c r="N1855" s="1"/>
      <c r="AE1855" s="1"/>
    </row>
    <row r="1856" spans="9:31" x14ac:dyDescent="0.25">
      <c r="N1856" s="1"/>
      <c r="Z1856" s="1"/>
      <c r="AA1856" s="1"/>
      <c r="AE1856" s="1"/>
    </row>
    <row r="1857" spans="9:31" x14ac:dyDescent="0.25">
      <c r="N1857" s="1"/>
      <c r="AE1857" s="1"/>
    </row>
    <row r="1858" spans="9:31" x14ac:dyDescent="0.25">
      <c r="I1858" s="1"/>
      <c r="J1858" s="1"/>
      <c r="N1858" s="1"/>
      <c r="AE1858" s="1"/>
    </row>
    <row r="1859" spans="9:31" x14ac:dyDescent="0.25">
      <c r="I1859" s="1"/>
      <c r="J1859" s="1"/>
      <c r="N1859" s="1"/>
      <c r="Z1859" s="1"/>
      <c r="AA1859" s="1"/>
      <c r="AE1859" s="1"/>
    </row>
    <row r="1860" spans="9:31" x14ac:dyDescent="0.25">
      <c r="N1860" s="1"/>
      <c r="AE1860" s="1"/>
    </row>
    <row r="1861" spans="9:31" x14ac:dyDescent="0.25">
      <c r="N1861" s="1"/>
      <c r="AE1861" s="1"/>
    </row>
    <row r="1862" spans="9:31" x14ac:dyDescent="0.25">
      <c r="I1862" s="1"/>
      <c r="J1862" s="1"/>
      <c r="N1862" s="1"/>
      <c r="AE1862" s="1"/>
    </row>
    <row r="1863" spans="9:31" x14ac:dyDescent="0.25">
      <c r="I1863" s="1"/>
      <c r="J1863" s="1"/>
      <c r="N1863" s="1"/>
      <c r="Z1863" s="1"/>
      <c r="AA1863" s="1"/>
      <c r="AE1863" s="1"/>
    </row>
    <row r="1864" spans="9:31" x14ac:dyDescent="0.25">
      <c r="N1864" s="1"/>
      <c r="Z1864" s="1"/>
      <c r="AA1864" s="1"/>
      <c r="AE1864" s="1"/>
    </row>
    <row r="1865" spans="9:31" x14ac:dyDescent="0.25">
      <c r="I1865" s="1"/>
      <c r="J1865" s="1"/>
      <c r="N1865" s="1"/>
      <c r="AE1865" s="1"/>
    </row>
    <row r="1866" spans="9:31" x14ac:dyDescent="0.25">
      <c r="I1866" s="1"/>
      <c r="J1866" s="1"/>
      <c r="N1866" s="1"/>
      <c r="AE1866" s="1"/>
    </row>
    <row r="1867" spans="9:31" x14ac:dyDescent="0.25">
      <c r="N1867" s="1"/>
      <c r="AE1867" s="1"/>
    </row>
    <row r="1868" spans="9:31" x14ac:dyDescent="0.25">
      <c r="I1868" s="1"/>
      <c r="J1868" s="1"/>
      <c r="N1868" s="1"/>
      <c r="AE1868" s="1"/>
    </row>
    <row r="1869" spans="9:31" x14ac:dyDescent="0.25">
      <c r="I1869" s="1"/>
      <c r="J1869" s="1"/>
      <c r="N1869" s="1"/>
      <c r="Z1869" s="1"/>
      <c r="AA1869" s="1"/>
      <c r="AE1869" s="1"/>
    </row>
    <row r="1870" spans="9:31" x14ac:dyDescent="0.25">
      <c r="I1870" s="1"/>
      <c r="J1870" s="1"/>
      <c r="N1870" s="1"/>
      <c r="Z1870" s="1"/>
      <c r="AA1870" s="1"/>
      <c r="AE1870" s="1"/>
    </row>
    <row r="1871" spans="9:31" x14ac:dyDescent="0.25">
      <c r="N1871" s="1"/>
      <c r="AE1871" s="1"/>
    </row>
    <row r="1872" spans="9:31" x14ac:dyDescent="0.25">
      <c r="I1872" s="1"/>
      <c r="J1872" s="1"/>
      <c r="N1872" s="1"/>
      <c r="AE1872" s="1"/>
    </row>
    <row r="1873" spans="9:31" x14ac:dyDescent="0.25">
      <c r="N1873" s="1"/>
      <c r="Z1873" s="1"/>
      <c r="AA1873" s="1"/>
      <c r="AE1873" s="1"/>
    </row>
    <row r="1874" spans="9:31" x14ac:dyDescent="0.25">
      <c r="N1874" s="1"/>
      <c r="AE1874" s="1"/>
    </row>
    <row r="1875" spans="9:31" x14ac:dyDescent="0.25">
      <c r="I1875" s="1"/>
      <c r="J1875" s="1"/>
      <c r="N1875" s="1"/>
      <c r="AE1875" s="1"/>
    </row>
    <row r="1876" spans="9:31" x14ac:dyDescent="0.25">
      <c r="I1876" s="1"/>
      <c r="J1876" s="1"/>
      <c r="N1876" s="1"/>
      <c r="AE1876" s="1"/>
    </row>
    <row r="1877" spans="9:31" x14ac:dyDescent="0.25">
      <c r="I1877" s="1"/>
      <c r="J1877" s="1"/>
      <c r="N1877" s="1"/>
      <c r="Z1877" s="1"/>
      <c r="AE1877" s="1"/>
    </row>
    <row r="1878" spans="9:31" x14ac:dyDescent="0.25">
      <c r="I1878" s="1"/>
      <c r="J1878" s="1"/>
      <c r="N1878" s="1"/>
      <c r="AE1878" s="1"/>
    </row>
    <row r="1879" spans="9:31" x14ac:dyDescent="0.25">
      <c r="I1879" s="1"/>
      <c r="J1879" s="1"/>
      <c r="N1879" s="1"/>
      <c r="Z1879" s="1"/>
      <c r="AE1879" s="1"/>
    </row>
    <row r="1880" spans="9:31" x14ac:dyDescent="0.25">
      <c r="N1880" s="1"/>
      <c r="AE1880" s="1"/>
    </row>
    <row r="1881" spans="9:31" x14ac:dyDescent="0.25">
      <c r="N1881" s="1"/>
      <c r="AE1881" s="1"/>
    </row>
    <row r="1882" spans="9:31" x14ac:dyDescent="0.25">
      <c r="N1882" s="1"/>
      <c r="AE1882" s="1"/>
    </row>
    <row r="1883" spans="9:31" x14ac:dyDescent="0.25">
      <c r="N1883" s="1"/>
      <c r="AE1883" s="1"/>
    </row>
    <row r="1884" spans="9:31" x14ac:dyDescent="0.25">
      <c r="N1884" s="1"/>
      <c r="AE1884" s="1"/>
    </row>
    <row r="1885" spans="9:31" x14ac:dyDescent="0.25">
      <c r="N1885" s="1"/>
      <c r="AE1885" s="1"/>
    </row>
    <row r="1886" spans="9:31" x14ac:dyDescent="0.25">
      <c r="I1886" s="1"/>
      <c r="J1886" s="1"/>
      <c r="N1886" s="1"/>
      <c r="AE1886" s="1"/>
    </row>
    <row r="1887" spans="9:31" x14ac:dyDescent="0.25">
      <c r="I1887" s="1"/>
      <c r="J1887" s="1"/>
      <c r="N1887" s="1"/>
      <c r="AE1887" s="1"/>
    </row>
    <row r="1888" spans="9:31" x14ac:dyDescent="0.25">
      <c r="N1888" s="1"/>
      <c r="AE1888" s="1"/>
    </row>
    <row r="1889" spans="9:31" x14ac:dyDescent="0.25">
      <c r="I1889" s="1"/>
      <c r="J1889" s="1"/>
      <c r="N1889" s="1"/>
      <c r="AE1889" s="1"/>
    </row>
    <row r="1890" spans="9:31" x14ac:dyDescent="0.25">
      <c r="I1890" s="1"/>
      <c r="J1890" s="1"/>
      <c r="N1890" s="1"/>
      <c r="Z1890" s="1"/>
      <c r="AA1890" s="1"/>
      <c r="AE1890" s="1"/>
    </row>
    <row r="1891" spans="9:31" x14ac:dyDescent="0.25">
      <c r="N1891" s="1"/>
      <c r="Z1891" s="1"/>
      <c r="AA1891" s="1"/>
      <c r="AE1891" s="1"/>
    </row>
    <row r="1892" spans="9:31" x14ac:dyDescent="0.25">
      <c r="N1892" s="1"/>
      <c r="AE1892" s="1"/>
    </row>
    <row r="1893" spans="9:31" x14ac:dyDescent="0.25">
      <c r="I1893" s="1"/>
      <c r="J1893" s="1"/>
      <c r="N1893" s="1"/>
      <c r="AE1893" s="1"/>
    </row>
    <row r="1894" spans="9:31" x14ac:dyDescent="0.25">
      <c r="I1894" s="1"/>
      <c r="J1894" s="1"/>
      <c r="N1894" s="1"/>
      <c r="Z1894" s="1"/>
      <c r="AA1894" s="1"/>
      <c r="AE1894" s="1"/>
    </row>
    <row r="1895" spans="9:31" x14ac:dyDescent="0.25">
      <c r="N1895" s="1"/>
      <c r="Z1895" s="1"/>
      <c r="AA1895" s="1"/>
      <c r="AE1895" s="1"/>
    </row>
    <row r="1896" spans="9:31" x14ac:dyDescent="0.25">
      <c r="I1896" s="1"/>
      <c r="J1896" s="1"/>
      <c r="N1896" s="1"/>
      <c r="AE1896" s="1"/>
    </row>
    <row r="1897" spans="9:31" x14ac:dyDescent="0.25">
      <c r="N1897" s="1"/>
      <c r="Z1897" s="1"/>
      <c r="AA1897" s="1"/>
      <c r="AE1897" s="1"/>
    </row>
    <row r="1898" spans="9:31" x14ac:dyDescent="0.25">
      <c r="I1898" s="1"/>
      <c r="J1898" s="1"/>
      <c r="N1898" s="1"/>
      <c r="AE1898" s="1"/>
    </row>
    <row r="1899" spans="9:31" x14ac:dyDescent="0.25">
      <c r="N1899" s="1"/>
      <c r="Z1899" s="1"/>
      <c r="AA1899" s="1"/>
      <c r="AE1899" s="1"/>
    </row>
    <row r="1900" spans="9:31" x14ac:dyDescent="0.25">
      <c r="I1900" s="1"/>
      <c r="J1900" s="1"/>
      <c r="N1900" s="1"/>
      <c r="AE1900" s="1"/>
    </row>
    <row r="1901" spans="9:31" x14ac:dyDescent="0.25">
      <c r="I1901" s="1"/>
      <c r="J1901" s="1"/>
      <c r="N1901" s="1"/>
      <c r="Z1901" s="1"/>
      <c r="AA1901" s="1"/>
      <c r="AE1901" s="1"/>
    </row>
    <row r="1902" spans="9:31" x14ac:dyDescent="0.25">
      <c r="I1902" s="1"/>
      <c r="J1902" s="1"/>
      <c r="N1902" s="1"/>
      <c r="Z1902" s="1"/>
      <c r="AA1902" s="1"/>
      <c r="AE1902" s="1"/>
    </row>
    <row r="1903" spans="9:31" x14ac:dyDescent="0.25">
      <c r="I1903" s="1"/>
      <c r="J1903" s="1"/>
      <c r="N1903" s="1"/>
      <c r="Z1903" s="1"/>
      <c r="AA1903" s="1"/>
      <c r="AE1903" s="1"/>
    </row>
    <row r="1904" spans="9:31" x14ac:dyDescent="0.25">
      <c r="N1904" s="1"/>
      <c r="Z1904" s="1"/>
      <c r="AA1904" s="1"/>
      <c r="AE1904" s="1"/>
    </row>
    <row r="1905" spans="9:31" x14ac:dyDescent="0.25">
      <c r="I1905" s="1"/>
      <c r="J1905" s="1"/>
      <c r="N1905" s="1"/>
      <c r="AE1905" s="1"/>
    </row>
    <row r="1906" spans="9:31" x14ac:dyDescent="0.25">
      <c r="I1906" s="1"/>
      <c r="J1906" s="1"/>
      <c r="N1906" s="1"/>
      <c r="AE1906" s="1"/>
    </row>
    <row r="1907" spans="9:31" x14ac:dyDescent="0.25">
      <c r="N1907" s="1"/>
      <c r="AE1907" s="1"/>
    </row>
    <row r="1908" spans="9:31" x14ac:dyDescent="0.25">
      <c r="N1908" s="1"/>
      <c r="AE1908" s="1"/>
    </row>
    <row r="1909" spans="9:31" x14ac:dyDescent="0.25">
      <c r="I1909" s="1"/>
      <c r="J1909" s="1"/>
      <c r="N1909" s="1"/>
      <c r="AE1909" s="1"/>
    </row>
    <row r="1910" spans="9:31" x14ac:dyDescent="0.25">
      <c r="I1910" s="1"/>
      <c r="J1910" s="1"/>
      <c r="N1910" s="1"/>
      <c r="AE1910" s="1"/>
    </row>
    <row r="1911" spans="9:31" x14ac:dyDescent="0.25">
      <c r="N1911" s="1"/>
      <c r="Z1911" s="1"/>
      <c r="AA1911" s="1"/>
      <c r="AE1911" s="1"/>
    </row>
    <row r="1912" spans="9:31" x14ac:dyDescent="0.25">
      <c r="I1912" s="1"/>
      <c r="J1912" s="1"/>
      <c r="N1912" s="1"/>
      <c r="AE1912" s="1"/>
    </row>
    <row r="1913" spans="9:31" x14ac:dyDescent="0.25">
      <c r="N1913" s="1"/>
      <c r="Z1913" s="1"/>
      <c r="AA1913" s="1"/>
      <c r="AE1913" s="1"/>
    </row>
    <row r="1914" spans="9:31" x14ac:dyDescent="0.25">
      <c r="I1914" s="1"/>
      <c r="J1914" s="1"/>
      <c r="N1914" s="1"/>
      <c r="AE1914" s="1"/>
    </row>
    <row r="1915" spans="9:31" x14ac:dyDescent="0.25">
      <c r="I1915" s="1"/>
      <c r="J1915" s="1"/>
      <c r="N1915" s="1"/>
      <c r="AE1915" s="1"/>
    </row>
    <row r="1916" spans="9:31" x14ac:dyDescent="0.25">
      <c r="I1916" s="1"/>
      <c r="J1916" s="1"/>
      <c r="N1916" s="1"/>
      <c r="AE1916" s="1"/>
    </row>
    <row r="1917" spans="9:31" x14ac:dyDescent="0.25">
      <c r="I1917" s="1"/>
      <c r="J1917" s="1"/>
      <c r="N1917" s="1"/>
      <c r="Z1917" s="1"/>
      <c r="AA1917" s="1"/>
      <c r="AE1917" s="1"/>
    </row>
    <row r="1918" spans="9:31" x14ac:dyDescent="0.25">
      <c r="I1918" s="1"/>
      <c r="J1918" s="1"/>
      <c r="N1918" s="1"/>
      <c r="Z1918" s="1"/>
      <c r="AA1918" s="1"/>
      <c r="AE1918" s="1"/>
    </row>
    <row r="1919" spans="9:31" x14ac:dyDescent="0.25">
      <c r="I1919" s="1"/>
      <c r="J1919" s="1"/>
      <c r="N1919" s="1"/>
      <c r="AE1919" s="1"/>
    </row>
    <row r="1920" spans="9:31" x14ac:dyDescent="0.25">
      <c r="I1920" s="1"/>
      <c r="J1920" s="1"/>
      <c r="N1920" s="1"/>
      <c r="Z1920" s="1"/>
      <c r="AA1920" s="1"/>
      <c r="AE1920" s="1"/>
    </row>
    <row r="1921" spans="9:31" x14ac:dyDescent="0.25">
      <c r="I1921" s="1"/>
      <c r="J1921" s="1"/>
      <c r="N1921" s="1"/>
      <c r="Z1921" s="1"/>
      <c r="AA1921" s="1"/>
      <c r="AE1921" s="1"/>
    </row>
    <row r="1922" spans="9:31" x14ac:dyDescent="0.25">
      <c r="I1922" s="1"/>
      <c r="J1922" s="1"/>
      <c r="N1922" s="1"/>
      <c r="Z1922" s="1"/>
      <c r="AA1922" s="1"/>
      <c r="AE1922" s="1"/>
    </row>
    <row r="1923" spans="9:31" x14ac:dyDescent="0.25">
      <c r="I1923" s="1"/>
      <c r="J1923" s="1"/>
      <c r="N1923" s="1"/>
      <c r="AE1923" s="1"/>
    </row>
    <row r="1924" spans="9:31" x14ac:dyDescent="0.25">
      <c r="I1924" s="1"/>
      <c r="J1924" s="1"/>
      <c r="N1924" s="1"/>
      <c r="Z1924" s="1"/>
      <c r="AA1924" s="1"/>
      <c r="AE1924" s="1"/>
    </row>
    <row r="1925" spans="9:31" x14ac:dyDescent="0.25">
      <c r="I1925" s="1"/>
      <c r="J1925" s="1"/>
      <c r="N1925" s="1"/>
      <c r="Z1925" s="1"/>
      <c r="AA1925" s="1"/>
      <c r="AE1925" s="1"/>
    </row>
    <row r="1926" spans="9:31" x14ac:dyDescent="0.25">
      <c r="I1926" s="1"/>
      <c r="J1926" s="1"/>
      <c r="N1926" s="1"/>
      <c r="Z1926" s="1"/>
      <c r="AA1926" s="1"/>
      <c r="AE1926" s="1"/>
    </row>
    <row r="1927" spans="9:31" x14ac:dyDescent="0.25">
      <c r="I1927" s="1"/>
      <c r="J1927" s="1"/>
      <c r="N1927" s="1"/>
      <c r="Z1927" s="1"/>
      <c r="AA1927" s="1"/>
      <c r="AE1927" s="1"/>
    </row>
    <row r="1928" spans="9:31" x14ac:dyDescent="0.25">
      <c r="I1928" s="1"/>
      <c r="J1928" s="1"/>
      <c r="N1928" s="1"/>
      <c r="AE1928" s="1"/>
    </row>
    <row r="1929" spans="9:31" x14ac:dyDescent="0.25">
      <c r="I1929" s="1"/>
      <c r="J1929" s="1"/>
      <c r="N1929" s="1"/>
      <c r="Z1929" s="1"/>
      <c r="AA1929" s="1"/>
      <c r="AE1929" s="1"/>
    </row>
    <row r="1930" spans="9:31" x14ac:dyDescent="0.25">
      <c r="I1930" s="1"/>
      <c r="J1930" s="1"/>
      <c r="N1930" s="1"/>
      <c r="Z1930" s="1"/>
      <c r="AA1930" s="1"/>
      <c r="AE1930" s="1"/>
    </row>
    <row r="1931" spans="9:31" x14ac:dyDescent="0.25">
      <c r="I1931" s="1"/>
      <c r="N1931" s="1"/>
      <c r="AE1931" s="1"/>
    </row>
    <row r="1932" spans="9:31" x14ac:dyDescent="0.25">
      <c r="I1932" s="1"/>
      <c r="J1932" s="1"/>
      <c r="N1932" s="1"/>
      <c r="Z1932" s="1"/>
      <c r="AE1932" s="1"/>
    </row>
    <row r="1933" spans="9:31" x14ac:dyDescent="0.25">
      <c r="I1933" s="1"/>
      <c r="J1933" s="1"/>
      <c r="N1933" s="1"/>
      <c r="Z1933" s="1"/>
      <c r="AA1933" s="1"/>
      <c r="AE1933" s="1"/>
    </row>
    <row r="1934" spans="9:31" x14ac:dyDescent="0.25">
      <c r="I1934" s="1"/>
      <c r="J1934" s="1"/>
      <c r="N1934" s="1"/>
      <c r="AE1934" s="1"/>
    </row>
    <row r="1935" spans="9:31" x14ac:dyDescent="0.25">
      <c r="N1935" s="1"/>
      <c r="Z1935" s="1"/>
      <c r="AA1935" s="1"/>
      <c r="AE1935" s="1"/>
    </row>
    <row r="1936" spans="9:31" x14ac:dyDescent="0.25">
      <c r="I1936" s="1"/>
      <c r="J1936" s="1"/>
      <c r="N1936" s="1"/>
      <c r="AE1936" s="1"/>
    </row>
    <row r="1937" spans="9:31" x14ac:dyDescent="0.25">
      <c r="I1937" s="1"/>
      <c r="J1937" s="1"/>
      <c r="N1937" s="1"/>
      <c r="AE1937" s="1"/>
    </row>
    <row r="1938" spans="9:31" x14ac:dyDescent="0.25">
      <c r="N1938" s="1"/>
      <c r="AE1938" s="1"/>
    </row>
    <row r="1939" spans="9:31" x14ac:dyDescent="0.25">
      <c r="I1939" s="1"/>
      <c r="J1939" s="1"/>
      <c r="N1939" s="1"/>
      <c r="AE1939" s="1"/>
    </row>
    <row r="1940" spans="9:31" x14ac:dyDescent="0.25">
      <c r="N1940" s="1"/>
      <c r="AE1940" s="1"/>
    </row>
    <row r="1941" spans="9:31" x14ac:dyDescent="0.25">
      <c r="I1941" s="1"/>
      <c r="J1941" s="1"/>
      <c r="N1941" s="1"/>
      <c r="AE1941" s="1"/>
    </row>
    <row r="1942" spans="9:31" x14ac:dyDescent="0.25">
      <c r="I1942" s="1"/>
      <c r="J1942" s="1"/>
      <c r="N1942" s="1"/>
      <c r="AE1942" s="1"/>
    </row>
    <row r="1943" spans="9:31" x14ac:dyDescent="0.25">
      <c r="I1943" s="1"/>
      <c r="J1943" s="1"/>
      <c r="N1943" s="1"/>
      <c r="AE1943" s="1"/>
    </row>
    <row r="1944" spans="9:31" x14ac:dyDescent="0.25">
      <c r="N1944" s="1"/>
      <c r="Z1944" s="1"/>
      <c r="AA1944" s="1"/>
      <c r="AE1944" s="1"/>
    </row>
    <row r="1945" spans="9:31" x14ac:dyDescent="0.25">
      <c r="I1945" s="1"/>
      <c r="J1945" s="1"/>
      <c r="N1945" s="1"/>
      <c r="AE1945" s="1"/>
    </row>
    <row r="1946" spans="9:31" x14ac:dyDescent="0.25">
      <c r="I1946" s="1"/>
      <c r="J1946" s="1"/>
      <c r="N1946" s="1"/>
      <c r="Z1946" s="1"/>
      <c r="AA1946" s="1"/>
      <c r="AE1946" s="1"/>
    </row>
    <row r="1947" spans="9:31" x14ac:dyDescent="0.25">
      <c r="I1947" s="1"/>
      <c r="J1947" s="1"/>
      <c r="N1947" s="1"/>
      <c r="Z1947" s="1"/>
      <c r="AA1947" s="1"/>
      <c r="AE1947" s="1"/>
    </row>
    <row r="1948" spans="9:31" x14ac:dyDescent="0.25">
      <c r="I1948" s="1"/>
      <c r="J1948" s="1"/>
      <c r="N1948" s="1"/>
      <c r="Z1948" s="1"/>
      <c r="AA1948" s="1"/>
      <c r="AE1948" s="1"/>
    </row>
    <row r="1949" spans="9:31" x14ac:dyDescent="0.25">
      <c r="I1949" s="1"/>
      <c r="J1949" s="1"/>
      <c r="N1949" s="1"/>
      <c r="AE1949" s="1"/>
    </row>
    <row r="1950" spans="9:31" x14ac:dyDescent="0.25">
      <c r="I1950" s="1"/>
      <c r="J1950" s="1"/>
      <c r="N1950" s="1"/>
      <c r="Z1950" s="1"/>
      <c r="AA1950" s="1"/>
      <c r="AE1950" s="1"/>
    </row>
    <row r="1951" spans="9:31" x14ac:dyDescent="0.25">
      <c r="I1951" s="1"/>
      <c r="J1951" s="1"/>
      <c r="N1951" s="1"/>
      <c r="AE1951" s="1"/>
    </row>
    <row r="1952" spans="9:31" x14ac:dyDescent="0.25">
      <c r="I1952" s="1"/>
      <c r="J1952" s="1"/>
      <c r="N1952" s="1"/>
      <c r="Z1952" s="1"/>
      <c r="AA1952" s="1"/>
      <c r="AE1952" s="1"/>
    </row>
    <row r="1953" spans="9:31" x14ac:dyDescent="0.25">
      <c r="I1953" s="1"/>
      <c r="J1953" s="1"/>
      <c r="N1953" s="1"/>
      <c r="AE1953" s="1"/>
    </row>
    <row r="1954" spans="9:31" x14ac:dyDescent="0.25">
      <c r="I1954" s="1"/>
      <c r="J1954" s="1"/>
      <c r="N1954" s="1"/>
      <c r="Z1954" s="1"/>
      <c r="AA1954" s="1"/>
      <c r="AE1954" s="1"/>
    </row>
    <row r="1955" spans="9:31" x14ac:dyDescent="0.25">
      <c r="I1955" s="1"/>
      <c r="J1955" s="1"/>
      <c r="N1955" s="1"/>
      <c r="Z1955" s="1"/>
      <c r="AA1955" s="1"/>
      <c r="AE1955" s="1"/>
    </row>
    <row r="1956" spans="9:31" x14ac:dyDescent="0.25">
      <c r="I1956" s="1"/>
      <c r="J1956" s="1"/>
      <c r="N1956" s="1"/>
      <c r="AE1956" s="1"/>
    </row>
    <row r="1957" spans="9:31" x14ac:dyDescent="0.25">
      <c r="I1957" s="1"/>
      <c r="J1957" s="1"/>
      <c r="N1957" s="1"/>
      <c r="AE1957" s="1"/>
    </row>
    <row r="1958" spans="9:31" x14ac:dyDescent="0.25">
      <c r="I1958" s="1"/>
      <c r="J1958" s="1"/>
      <c r="N1958" s="1"/>
      <c r="Z1958" s="1"/>
      <c r="AE1958" s="1"/>
    </row>
    <row r="1959" spans="9:31" x14ac:dyDescent="0.25">
      <c r="N1959" s="1"/>
      <c r="Z1959" s="1"/>
      <c r="AA1959" s="1"/>
      <c r="AE1959" s="1"/>
    </row>
    <row r="1960" spans="9:31" x14ac:dyDescent="0.25">
      <c r="N1960" s="1"/>
      <c r="AE1960" s="1"/>
    </row>
    <row r="1961" spans="9:31" x14ac:dyDescent="0.25">
      <c r="I1961" s="1"/>
      <c r="J1961" s="1"/>
      <c r="N1961" s="1"/>
      <c r="AE1961" s="1"/>
    </row>
    <row r="1962" spans="9:31" x14ac:dyDescent="0.25">
      <c r="N1962" s="1"/>
      <c r="AE1962" s="1"/>
    </row>
    <row r="1963" spans="9:31" x14ac:dyDescent="0.25">
      <c r="I1963" s="1"/>
      <c r="J1963" s="1"/>
      <c r="N1963" s="1"/>
      <c r="AE1963" s="1"/>
    </row>
    <row r="1964" spans="9:31" x14ac:dyDescent="0.25">
      <c r="I1964" s="1"/>
      <c r="J1964" s="1"/>
      <c r="N1964" s="1"/>
      <c r="AE1964" s="1"/>
    </row>
    <row r="1965" spans="9:31" x14ac:dyDescent="0.25">
      <c r="I1965" s="1"/>
      <c r="J1965" s="1"/>
      <c r="N1965" s="1"/>
      <c r="Z1965" s="1"/>
      <c r="AA1965" s="1"/>
      <c r="AE1965" s="1"/>
    </row>
    <row r="1966" spans="9:31" x14ac:dyDescent="0.25">
      <c r="I1966" s="1"/>
      <c r="J1966" s="1"/>
      <c r="N1966" s="1"/>
      <c r="AE1966" s="1"/>
    </row>
    <row r="1967" spans="9:31" x14ac:dyDescent="0.25">
      <c r="I1967" s="1"/>
      <c r="J1967" s="1"/>
      <c r="N1967" s="1"/>
      <c r="Z1967" s="1"/>
      <c r="AA1967" s="1"/>
      <c r="AE1967" s="1"/>
    </row>
    <row r="1968" spans="9:31" x14ac:dyDescent="0.25">
      <c r="N1968" s="1"/>
      <c r="AE1968" s="1"/>
    </row>
    <row r="1969" spans="9:31" x14ac:dyDescent="0.25">
      <c r="I1969" s="1"/>
      <c r="J1969" s="1"/>
      <c r="N1969" s="1"/>
      <c r="AE1969" s="1"/>
    </row>
    <row r="1970" spans="9:31" x14ac:dyDescent="0.25">
      <c r="I1970" s="1"/>
      <c r="J1970" s="1"/>
      <c r="N1970" s="1"/>
      <c r="Z1970" s="1"/>
      <c r="AE1970" s="1"/>
    </row>
    <row r="1971" spans="9:31" x14ac:dyDescent="0.25">
      <c r="I1971" s="1"/>
      <c r="J1971" s="1"/>
      <c r="N1971" s="1"/>
      <c r="Z1971" s="1"/>
      <c r="AA1971" s="1"/>
      <c r="AE1971" s="1"/>
    </row>
    <row r="1972" spans="9:31" x14ac:dyDescent="0.25">
      <c r="I1972" s="1"/>
      <c r="J1972" s="1"/>
      <c r="N1972" s="1"/>
      <c r="AE1972" s="1"/>
    </row>
    <row r="1973" spans="9:31" x14ac:dyDescent="0.25">
      <c r="I1973" s="1"/>
      <c r="J1973" s="1"/>
      <c r="N1973" s="1"/>
      <c r="Z1973" s="1"/>
      <c r="AA1973" s="1"/>
      <c r="AE1973" s="1"/>
    </row>
    <row r="1974" spans="9:31" x14ac:dyDescent="0.25">
      <c r="I1974" s="1"/>
      <c r="J1974" s="1"/>
      <c r="N1974" s="1"/>
      <c r="Z1974" s="1"/>
      <c r="AA1974" s="1"/>
      <c r="AE1974" s="1"/>
    </row>
    <row r="1975" spans="9:31" x14ac:dyDescent="0.25">
      <c r="I1975" s="1"/>
      <c r="J1975" s="1"/>
      <c r="N1975" s="1"/>
      <c r="AE1975" s="1"/>
    </row>
    <row r="1976" spans="9:31" x14ac:dyDescent="0.25">
      <c r="I1976" s="1"/>
      <c r="J1976" s="1"/>
      <c r="N1976" s="1"/>
      <c r="AE1976" s="1"/>
    </row>
    <row r="1977" spans="9:31" x14ac:dyDescent="0.25">
      <c r="I1977" s="1"/>
      <c r="J1977" s="1"/>
      <c r="N1977" s="1"/>
      <c r="AE1977" s="1"/>
    </row>
    <row r="1978" spans="9:31" x14ac:dyDescent="0.25">
      <c r="I1978" s="1"/>
      <c r="J1978" s="1"/>
      <c r="N1978" s="1"/>
      <c r="AE1978" s="1"/>
    </row>
    <row r="1979" spans="9:31" x14ac:dyDescent="0.25">
      <c r="I1979" s="1"/>
      <c r="J1979" s="1"/>
      <c r="N1979" s="1"/>
      <c r="AE1979" s="1"/>
    </row>
    <row r="1980" spans="9:31" x14ac:dyDescent="0.25">
      <c r="I1980" s="1"/>
      <c r="J1980" s="1"/>
      <c r="N1980" s="1"/>
      <c r="Z1980" s="1"/>
      <c r="AA1980" s="1"/>
      <c r="AE1980" s="1"/>
    </row>
    <row r="1981" spans="9:31" x14ac:dyDescent="0.25">
      <c r="I1981" s="1"/>
      <c r="J1981" s="1"/>
      <c r="N1981" s="1"/>
      <c r="AE1981" s="1"/>
    </row>
    <row r="1982" spans="9:31" x14ac:dyDescent="0.25">
      <c r="I1982" s="1"/>
      <c r="J1982" s="1"/>
      <c r="N1982" s="1"/>
      <c r="Z1982" s="1"/>
      <c r="AA1982" s="1"/>
      <c r="AE1982" s="1"/>
    </row>
    <row r="1983" spans="9:31" x14ac:dyDescent="0.25">
      <c r="I1983" s="1"/>
      <c r="J1983" s="1"/>
      <c r="N1983" s="1"/>
      <c r="AE1983" s="1"/>
    </row>
    <row r="1984" spans="9:31" x14ac:dyDescent="0.25">
      <c r="I1984" s="1"/>
      <c r="J1984" s="1"/>
      <c r="N1984" s="1"/>
      <c r="AE1984" s="1"/>
    </row>
    <row r="1985" spans="9:31" x14ac:dyDescent="0.25">
      <c r="I1985" s="1"/>
      <c r="J1985" s="1"/>
      <c r="N1985" s="1"/>
      <c r="AE1985" s="1"/>
    </row>
    <row r="1986" spans="9:31" x14ac:dyDescent="0.25">
      <c r="I1986" s="1"/>
      <c r="J1986" s="1"/>
      <c r="N1986" s="1"/>
      <c r="Z1986" s="1"/>
      <c r="AA1986" s="1"/>
      <c r="AE1986" s="1"/>
    </row>
    <row r="1987" spans="9:31" x14ac:dyDescent="0.25">
      <c r="I1987" s="1"/>
      <c r="J1987" s="1"/>
      <c r="N1987" s="1"/>
      <c r="Z1987" s="1"/>
      <c r="AA1987" s="1"/>
      <c r="AE1987" s="1"/>
    </row>
    <row r="1988" spans="9:31" x14ac:dyDescent="0.25">
      <c r="I1988" s="1"/>
      <c r="J1988" s="1"/>
      <c r="N1988" s="1"/>
      <c r="Z1988" s="1"/>
      <c r="AA1988" s="1"/>
      <c r="AE1988" s="1"/>
    </row>
    <row r="1989" spans="9:31" x14ac:dyDescent="0.25">
      <c r="I1989" s="1"/>
      <c r="J1989" s="1"/>
      <c r="N1989" s="1"/>
      <c r="AE1989" s="1"/>
    </row>
    <row r="1990" spans="9:31" x14ac:dyDescent="0.25">
      <c r="I1990" s="1"/>
      <c r="J1990" s="1"/>
      <c r="N1990" s="1"/>
      <c r="Z1990" s="1"/>
      <c r="AA1990" s="1"/>
      <c r="AE1990" s="1"/>
    </row>
    <row r="1991" spans="9:31" x14ac:dyDescent="0.25">
      <c r="I1991" s="1"/>
      <c r="J1991" s="1"/>
      <c r="N1991" s="1"/>
      <c r="AE1991" s="1"/>
    </row>
    <row r="1992" spans="9:31" x14ac:dyDescent="0.25">
      <c r="N1992" s="1"/>
      <c r="AE1992" s="1"/>
    </row>
    <row r="1993" spans="9:31" x14ac:dyDescent="0.25">
      <c r="N1993" s="1"/>
      <c r="AE1993" s="1"/>
    </row>
    <row r="1994" spans="9:31" x14ac:dyDescent="0.25">
      <c r="I1994" s="1"/>
      <c r="J1994" s="1"/>
      <c r="N1994" s="1"/>
      <c r="AE1994" s="1"/>
    </row>
    <row r="1995" spans="9:31" x14ac:dyDescent="0.25">
      <c r="I1995" s="1"/>
      <c r="J1995" s="1"/>
      <c r="N1995" s="1"/>
      <c r="Z1995" s="1"/>
      <c r="AA1995" s="1"/>
      <c r="AE1995" s="1"/>
    </row>
    <row r="1996" spans="9:31" x14ac:dyDescent="0.25">
      <c r="I1996" s="1"/>
      <c r="J1996" s="1"/>
      <c r="N1996" s="1"/>
      <c r="Z1996" s="1"/>
      <c r="AA1996" s="1"/>
      <c r="AE1996" s="1"/>
    </row>
    <row r="1997" spans="9:31" x14ac:dyDescent="0.25">
      <c r="N1997" s="1"/>
      <c r="Z1997" s="1"/>
      <c r="AA1997" s="1"/>
      <c r="AE1997" s="1"/>
    </row>
    <row r="1998" spans="9:31" x14ac:dyDescent="0.25">
      <c r="I1998" s="1"/>
      <c r="J1998" s="1"/>
      <c r="N1998" s="1"/>
      <c r="AE1998" s="1"/>
    </row>
    <row r="1999" spans="9:31" x14ac:dyDescent="0.25">
      <c r="I1999" s="1"/>
      <c r="J1999" s="1"/>
      <c r="N1999" s="1"/>
      <c r="Z1999" s="1"/>
      <c r="AA1999" s="1"/>
      <c r="AE1999" s="1"/>
    </row>
    <row r="2000" spans="9:31" x14ac:dyDescent="0.25">
      <c r="I2000" s="1"/>
      <c r="J2000" s="1"/>
      <c r="N2000" s="1"/>
      <c r="Z2000" s="1"/>
      <c r="AA2000" s="1"/>
      <c r="AE2000" s="1"/>
    </row>
    <row r="2001" spans="9:31" x14ac:dyDescent="0.25">
      <c r="I2001" s="1"/>
      <c r="J2001" s="1"/>
      <c r="N2001" s="1"/>
      <c r="AE2001" s="1"/>
    </row>
    <row r="2002" spans="9:31" x14ac:dyDescent="0.25">
      <c r="N2002" s="1"/>
      <c r="Z2002" s="1"/>
      <c r="AA2002" s="1"/>
      <c r="AE2002" s="1"/>
    </row>
    <row r="2003" spans="9:31" x14ac:dyDescent="0.25">
      <c r="I2003" s="1"/>
      <c r="J2003" s="1"/>
      <c r="N2003" s="1"/>
      <c r="AE2003" s="1"/>
    </row>
    <row r="2004" spans="9:31" x14ac:dyDescent="0.25">
      <c r="N2004" s="1"/>
      <c r="AE2004" s="1"/>
    </row>
    <row r="2005" spans="9:31" x14ac:dyDescent="0.25">
      <c r="I2005" s="1"/>
      <c r="J2005" s="1"/>
      <c r="N2005" s="1"/>
      <c r="AE2005" s="1"/>
    </row>
    <row r="2006" spans="9:31" x14ac:dyDescent="0.25">
      <c r="I2006" s="1"/>
      <c r="J2006" s="1"/>
      <c r="N2006" s="1"/>
      <c r="Z2006" s="1"/>
      <c r="AA2006" s="1"/>
      <c r="AE2006" s="1"/>
    </row>
    <row r="2007" spans="9:31" x14ac:dyDescent="0.25">
      <c r="I2007" s="1"/>
      <c r="J2007" s="1"/>
      <c r="N2007" s="1"/>
      <c r="Z2007" s="1"/>
      <c r="AE2007" s="1"/>
    </row>
    <row r="2008" spans="9:31" x14ac:dyDescent="0.25">
      <c r="N2008" s="1"/>
      <c r="AE2008" s="1"/>
    </row>
    <row r="2009" spans="9:31" x14ac:dyDescent="0.25">
      <c r="I2009" s="1"/>
      <c r="J2009" s="1"/>
      <c r="N2009" s="1"/>
      <c r="AE2009" s="1"/>
    </row>
    <row r="2010" spans="9:31" x14ac:dyDescent="0.25">
      <c r="I2010" s="1"/>
      <c r="J2010" s="1"/>
      <c r="N2010" s="1"/>
      <c r="AE2010" s="1"/>
    </row>
    <row r="2011" spans="9:31" x14ac:dyDescent="0.25">
      <c r="I2011" s="1"/>
      <c r="J2011" s="1"/>
      <c r="N2011" s="1"/>
      <c r="Z2011" s="1"/>
      <c r="AA2011" s="1"/>
      <c r="AE2011" s="1"/>
    </row>
    <row r="2012" spans="9:31" x14ac:dyDescent="0.25">
      <c r="N2012" s="1"/>
      <c r="Z2012" s="1"/>
      <c r="AA2012" s="1"/>
      <c r="AE2012" s="1"/>
    </row>
    <row r="2013" spans="9:31" x14ac:dyDescent="0.25">
      <c r="I2013" s="1"/>
      <c r="J2013" s="1"/>
      <c r="N2013" s="1"/>
      <c r="AE2013" s="1"/>
    </row>
    <row r="2014" spans="9:31" x14ac:dyDescent="0.25">
      <c r="I2014" s="1"/>
      <c r="J2014" s="1"/>
      <c r="N2014" s="1"/>
      <c r="AE2014" s="1"/>
    </row>
    <row r="2015" spans="9:31" x14ac:dyDescent="0.25">
      <c r="I2015" s="1"/>
      <c r="J2015" s="1"/>
      <c r="N2015" s="1"/>
      <c r="AE2015" s="1"/>
    </row>
    <row r="2016" spans="9:31" x14ac:dyDescent="0.25">
      <c r="N2016" s="1"/>
      <c r="AE2016" s="1"/>
    </row>
    <row r="2017" spans="9:31" x14ac:dyDescent="0.25">
      <c r="N2017" s="1"/>
      <c r="AE2017" s="1"/>
    </row>
    <row r="2018" spans="9:31" x14ac:dyDescent="0.25">
      <c r="I2018" s="1"/>
      <c r="J2018" s="1"/>
      <c r="N2018" s="1"/>
      <c r="AE2018" s="1"/>
    </row>
    <row r="2019" spans="9:31" x14ac:dyDescent="0.25">
      <c r="I2019" s="1"/>
      <c r="J2019" s="1"/>
      <c r="N2019" s="1"/>
      <c r="Z2019" s="1"/>
      <c r="AA2019" s="1"/>
      <c r="AE2019" s="1"/>
    </row>
    <row r="2020" spans="9:31" x14ac:dyDescent="0.25">
      <c r="I2020" s="1"/>
      <c r="J2020" s="1"/>
      <c r="N2020" s="1"/>
      <c r="AE2020" s="1"/>
    </row>
    <row r="2021" spans="9:31" x14ac:dyDescent="0.25">
      <c r="I2021" s="1"/>
      <c r="J2021" s="1"/>
      <c r="N2021" s="1"/>
      <c r="Z2021" s="1"/>
      <c r="AE2021" s="1"/>
    </row>
    <row r="2022" spans="9:31" x14ac:dyDescent="0.25">
      <c r="N2022" s="1"/>
      <c r="AE2022" s="1"/>
    </row>
    <row r="2023" spans="9:31" x14ac:dyDescent="0.25">
      <c r="I2023" s="1"/>
      <c r="J2023" s="1"/>
      <c r="N2023" s="1"/>
      <c r="AE2023" s="1"/>
    </row>
    <row r="2024" spans="9:31" x14ac:dyDescent="0.25">
      <c r="I2024" s="1"/>
      <c r="J2024" s="1"/>
      <c r="N2024" s="1"/>
      <c r="Z2024" s="1"/>
      <c r="AA2024" s="1"/>
      <c r="AE2024" s="1"/>
    </row>
    <row r="2025" spans="9:31" x14ac:dyDescent="0.25">
      <c r="I2025" s="1"/>
      <c r="J2025" s="1"/>
      <c r="N2025" s="1"/>
      <c r="Z2025" s="1"/>
      <c r="AA2025" s="1"/>
      <c r="AE2025" s="1"/>
    </row>
    <row r="2026" spans="9:31" x14ac:dyDescent="0.25">
      <c r="I2026" s="1"/>
      <c r="J2026" s="1"/>
      <c r="N2026" s="1"/>
      <c r="AE2026" s="1"/>
    </row>
    <row r="2027" spans="9:31" x14ac:dyDescent="0.25">
      <c r="I2027" s="1"/>
      <c r="J2027" s="1"/>
      <c r="N2027" s="1"/>
      <c r="Z2027" s="1"/>
      <c r="AA2027" s="1"/>
      <c r="AE2027" s="1"/>
    </row>
    <row r="2028" spans="9:31" x14ac:dyDescent="0.25">
      <c r="I2028" s="1"/>
      <c r="J2028" s="1"/>
      <c r="N2028" s="1"/>
      <c r="Z2028" s="1"/>
      <c r="AA2028" s="1"/>
      <c r="AE2028" s="1"/>
    </row>
    <row r="2029" spans="9:31" x14ac:dyDescent="0.25">
      <c r="I2029" s="1"/>
      <c r="J2029" s="1"/>
      <c r="N2029" s="1"/>
      <c r="Z2029" s="1"/>
      <c r="AA2029" s="1"/>
      <c r="AE2029" s="1"/>
    </row>
    <row r="2030" spans="9:31" x14ac:dyDescent="0.25">
      <c r="N2030" s="1"/>
      <c r="AE2030" s="1"/>
    </row>
    <row r="2031" spans="9:31" x14ac:dyDescent="0.25">
      <c r="N2031" s="1"/>
      <c r="AE2031" s="1"/>
    </row>
    <row r="2032" spans="9:31" x14ac:dyDescent="0.25">
      <c r="I2032" s="1"/>
      <c r="J2032" s="1"/>
      <c r="N2032" s="1"/>
      <c r="AE2032" s="1"/>
    </row>
    <row r="2033" spans="9:31" x14ac:dyDescent="0.25">
      <c r="I2033" s="1"/>
      <c r="J2033" s="1"/>
      <c r="N2033" s="1"/>
      <c r="AE2033" s="1"/>
    </row>
    <row r="2034" spans="9:31" x14ac:dyDescent="0.25">
      <c r="I2034" s="1"/>
      <c r="J2034" s="1"/>
      <c r="N2034" s="1"/>
      <c r="Z2034" s="1"/>
      <c r="AA2034" s="1"/>
      <c r="AE2034" s="1"/>
    </row>
    <row r="2035" spans="9:31" x14ac:dyDescent="0.25">
      <c r="I2035" s="1"/>
      <c r="J2035" s="1"/>
      <c r="N2035" s="1"/>
      <c r="Z2035" s="1"/>
      <c r="AA2035" s="1"/>
      <c r="AE2035" s="1"/>
    </row>
    <row r="2036" spans="9:31" x14ac:dyDescent="0.25">
      <c r="N2036" s="1"/>
      <c r="AE2036" s="1"/>
    </row>
    <row r="2037" spans="9:31" x14ac:dyDescent="0.25">
      <c r="N2037" s="1"/>
      <c r="AE2037" s="1"/>
    </row>
    <row r="2038" spans="9:31" x14ac:dyDescent="0.25">
      <c r="I2038" s="1"/>
      <c r="J2038" s="1"/>
      <c r="N2038" s="1"/>
      <c r="AE2038" s="1"/>
    </row>
    <row r="2039" spans="9:31" x14ac:dyDescent="0.25">
      <c r="I2039" s="1"/>
      <c r="J2039" s="1"/>
      <c r="N2039" s="1"/>
      <c r="AE2039" s="1"/>
    </row>
    <row r="2040" spans="9:31" x14ac:dyDescent="0.25">
      <c r="I2040" s="1"/>
      <c r="J2040" s="1"/>
      <c r="N2040" s="1"/>
      <c r="AE2040" s="1"/>
    </row>
    <row r="2041" spans="9:31" x14ac:dyDescent="0.25">
      <c r="I2041" s="1"/>
      <c r="J2041" s="1"/>
      <c r="N2041" s="1"/>
      <c r="AE2041" s="1"/>
    </row>
    <row r="2042" spans="9:31" x14ac:dyDescent="0.25">
      <c r="I2042" s="1"/>
      <c r="J2042" s="1"/>
      <c r="N2042" s="1"/>
      <c r="Z2042" s="1"/>
      <c r="AA2042" s="1"/>
      <c r="AE2042" s="1"/>
    </row>
    <row r="2043" spans="9:31" x14ac:dyDescent="0.25">
      <c r="I2043" s="1"/>
      <c r="J2043" s="1"/>
      <c r="N2043" s="1"/>
      <c r="Z2043" s="1"/>
      <c r="AA2043" s="1"/>
      <c r="AE2043" s="1"/>
    </row>
    <row r="2044" spans="9:31" x14ac:dyDescent="0.25">
      <c r="I2044" s="1"/>
      <c r="J2044" s="1"/>
      <c r="N2044" s="1"/>
      <c r="Z2044" s="1"/>
      <c r="AA2044" s="1"/>
      <c r="AE2044" s="1"/>
    </row>
    <row r="2045" spans="9:31" x14ac:dyDescent="0.25">
      <c r="I2045" s="1"/>
      <c r="J2045" s="1"/>
      <c r="N2045" s="1"/>
      <c r="Z2045" s="1"/>
      <c r="AA2045" s="1"/>
      <c r="AE2045" s="1"/>
    </row>
    <row r="2046" spans="9:31" x14ac:dyDescent="0.25">
      <c r="I2046" s="1"/>
      <c r="J2046" s="1"/>
      <c r="N2046" s="1"/>
      <c r="Z2046" s="1"/>
      <c r="AA2046" s="1"/>
      <c r="AE2046" s="1"/>
    </row>
    <row r="2047" spans="9:31" x14ac:dyDescent="0.25">
      <c r="I2047" s="1"/>
      <c r="J2047" s="1"/>
      <c r="N2047" s="1"/>
      <c r="AE2047" s="1"/>
    </row>
    <row r="2048" spans="9:31" x14ac:dyDescent="0.25">
      <c r="I2048" s="1"/>
      <c r="J2048" s="1"/>
      <c r="N2048" s="1"/>
      <c r="AE2048" s="1"/>
    </row>
    <row r="2049" spans="9:31" x14ac:dyDescent="0.25">
      <c r="I2049" s="1"/>
      <c r="J2049" s="1"/>
      <c r="N2049" s="1"/>
      <c r="Z2049" s="1"/>
      <c r="AA2049" s="1"/>
      <c r="AE2049" s="1"/>
    </row>
    <row r="2050" spans="9:31" x14ac:dyDescent="0.25">
      <c r="I2050" s="1"/>
      <c r="J2050" s="1"/>
      <c r="N2050" s="1"/>
      <c r="Z2050" s="1"/>
      <c r="AA2050" s="1"/>
      <c r="AE2050" s="1"/>
    </row>
    <row r="2051" spans="9:31" x14ac:dyDescent="0.25">
      <c r="I2051" s="1"/>
      <c r="J2051" s="1"/>
      <c r="N2051" s="1"/>
      <c r="AE2051" s="1"/>
    </row>
    <row r="2052" spans="9:31" x14ac:dyDescent="0.25">
      <c r="I2052" s="1"/>
      <c r="J2052" s="1"/>
      <c r="N2052" s="1"/>
      <c r="AE2052" s="1"/>
    </row>
    <row r="2053" spans="9:31" x14ac:dyDescent="0.25">
      <c r="I2053" s="1"/>
      <c r="J2053" s="1"/>
      <c r="N2053" s="1"/>
      <c r="AE2053" s="1"/>
    </row>
    <row r="2054" spans="9:31" x14ac:dyDescent="0.25">
      <c r="N2054" s="1"/>
      <c r="AE2054" s="1"/>
    </row>
    <row r="2055" spans="9:31" x14ac:dyDescent="0.25">
      <c r="N2055" s="1"/>
      <c r="AE2055" s="1"/>
    </row>
    <row r="2056" spans="9:31" x14ac:dyDescent="0.25">
      <c r="I2056" s="1"/>
      <c r="J2056" s="1"/>
      <c r="N2056" s="1"/>
      <c r="AE2056" s="1"/>
    </row>
    <row r="2057" spans="9:31" x14ac:dyDescent="0.25">
      <c r="I2057" s="1"/>
      <c r="J2057" s="1"/>
      <c r="N2057" s="1"/>
      <c r="Z2057" s="1"/>
      <c r="AA2057" s="1"/>
      <c r="AE2057" s="1"/>
    </row>
    <row r="2058" spans="9:31" x14ac:dyDescent="0.25">
      <c r="I2058" s="1"/>
      <c r="J2058" s="1"/>
      <c r="N2058" s="1"/>
      <c r="AE2058" s="1"/>
    </row>
    <row r="2059" spans="9:31" x14ac:dyDescent="0.25">
      <c r="I2059" s="1"/>
      <c r="J2059" s="1"/>
      <c r="N2059" s="1"/>
      <c r="AE2059" s="1"/>
    </row>
    <row r="2060" spans="9:31" x14ac:dyDescent="0.25">
      <c r="I2060" s="1"/>
      <c r="J2060" s="1"/>
      <c r="N2060" s="1"/>
      <c r="Z2060" s="1"/>
      <c r="AA2060" s="1"/>
      <c r="AE2060" s="1"/>
    </row>
    <row r="2061" spans="9:31" x14ac:dyDescent="0.25">
      <c r="I2061" s="1"/>
      <c r="J2061" s="1"/>
      <c r="N2061" s="1"/>
      <c r="AE2061" s="1"/>
    </row>
    <row r="2062" spans="9:31" x14ac:dyDescent="0.25">
      <c r="I2062" s="1"/>
      <c r="J2062" s="1"/>
      <c r="N2062" s="1"/>
      <c r="AE2062" s="1"/>
    </row>
    <row r="2063" spans="9:31" x14ac:dyDescent="0.25">
      <c r="I2063" s="1"/>
      <c r="J2063" s="1"/>
      <c r="N2063" s="1"/>
      <c r="Z2063" s="1"/>
      <c r="AA2063" s="1"/>
      <c r="AE2063" s="1"/>
    </row>
    <row r="2064" spans="9:31" x14ac:dyDescent="0.25">
      <c r="I2064" s="1"/>
      <c r="J2064" s="1"/>
      <c r="N2064" s="1"/>
      <c r="AE2064" s="1"/>
    </row>
    <row r="2065" spans="9:31" x14ac:dyDescent="0.25">
      <c r="I2065" s="1"/>
      <c r="J2065" s="1"/>
      <c r="N2065" s="1"/>
      <c r="Z2065" s="1"/>
      <c r="AA2065" s="1"/>
      <c r="AE2065" s="1"/>
    </row>
    <row r="2066" spans="9:31" x14ac:dyDescent="0.25">
      <c r="I2066" s="1"/>
      <c r="J2066" s="1"/>
      <c r="N2066" s="1"/>
      <c r="Z2066" s="1"/>
      <c r="AE2066" s="1"/>
    </row>
    <row r="2067" spans="9:31" x14ac:dyDescent="0.25">
      <c r="I2067" s="1"/>
      <c r="J2067" s="1"/>
      <c r="N2067" s="1"/>
      <c r="Z2067" s="1"/>
      <c r="AA2067" s="1"/>
      <c r="AE2067" s="1"/>
    </row>
    <row r="2068" spans="9:31" x14ac:dyDescent="0.25">
      <c r="N2068" s="1"/>
      <c r="AE2068" s="1"/>
    </row>
    <row r="2069" spans="9:31" x14ac:dyDescent="0.25">
      <c r="I2069" s="1"/>
      <c r="J2069" s="1"/>
      <c r="N2069" s="1"/>
      <c r="AE2069" s="1"/>
    </row>
    <row r="2070" spans="9:31" x14ac:dyDescent="0.25">
      <c r="I2070" s="1"/>
      <c r="J2070" s="1"/>
      <c r="N2070" s="1"/>
      <c r="AE2070" s="1"/>
    </row>
    <row r="2071" spans="9:31" x14ac:dyDescent="0.25">
      <c r="I2071" s="1"/>
      <c r="J2071" s="1"/>
      <c r="N2071" s="1"/>
      <c r="AE2071" s="1"/>
    </row>
    <row r="2072" spans="9:31" x14ac:dyDescent="0.25">
      <c r="I2072" s="1"/>
      <c r="J2072" s="1"/>
      <c r="N2072" s="1"/>
      <c r="Z2072" s="1"/>
      <c r="AA2072" s="1"/>
      <c r="AE2072" s="1"/>
    </row>
    <row r="2073" spans="9:31" x14ac:dyDescent="0.25">
      <c r="I2073" s="1"/>
      <c r="J2073" s="1"/>
      <c r="N2073" s="1"/>
      <c r="Z2073" s="1"/>
      <c r="AA2073" s="1"/>
      <c r="AE2073" s="1"/>
    </row>
    <row r="2074" spans="9:31" x14ac:dyDescent="0.25">
      <c r="I2074" s="1"/>
      <c r="J2074" s="1"/>
      <c r="N2074" s="1"/>
      <c r="AE2074" s="1"/>
    </row>
    <row r="2075" spans="9:31" x14ac:dyDescent="0.25">
      <c r="I2075" s="1"/>
      <c r="J2075" s="1"/>
      <c r="N2075" s="1"/>
      <c r="AE2075" s="1"/>
    </row>
    <row r="2076" spans="9:31" x14ac:dyDescent="0.25">
      <c r="I2076" s="1"/>
      <c r="J2076" s="1"/>
      <c r="N2076" s="1"/>
      <c r="Z2076" s="1"/>
      <c r="AA2076" s="1"/>
      <c r="AE2076" s="1"/>
    </row>
    <row r="2077" spans="9:31" x14ac:dyDescent="0.25">
      <c r="N2077" s="1"/>
      <c r="Z2077" s="1"/>
      <c r="AA2077" s="1"/>
      <c r="AE2077" s="1"/>
    </row>
    <row r="2078" spans="9:31" x14ac:dyDescent="0.25">
      <c r="I2078" s="1"/>
      <c r="J2078" s="1"/>
      <c r="N2078" s="1"/>
      <c r="AE2078" s="1"/>
    </row>
    <row r="2079" spans="9:31" x14ac:dyDescent="0.25">
      <c r="I2079" s="1"/>
      <c r="J2079" s="1"/>
      <c r="N2079" s="1"/>
      <c r="Z2079" s="1"/>
      <c r="AA2079" s="1"/>
      <c r="AE2079" s="1"/>
    </row>
    <row r="2080" spans="9:31" x14ac:dyDescent="0.25">
      <c r="I2080" s="1"/>
      <c r="J2080" s="1"/>
      <c r="N2080" s="1"/>
      <c r="AE2080" s="1"/>
    </row>
    <row r="2081" spans="9:31" x14ac:dyDescent="0.25">
      <c r="N2081" s="1"/>
      <c r="Z2081" s="1"/>
      <c r="AA2081" s="1"/>
      <c r="AE2081" s="1"/>
    </row>
    <row r="2082" spans="9:31" x14ac:dyDescent="0.25">
      <c r="I2082" s="1"/>
      <c r="J2082" s="1"/>
      <c r="N2082" s="1"/>
      <c r="AE2082" s="1"/>
    </row>
    <row r="2083" spans="9:31" x14ac:dyDescent="0.25">
      <c r="N2083" s="1"/>
      <c r="Z2083" s="1"/>
      <c r="AA2083" s="1"/>
      <c r="AE2083" s="1"/>
    </row>
    <row r="2084" spans="9:31" x14ac:dyDescent="0.25">
      <c r="I2084" s="1"/>
      <c r="J2084" s="1"/>
      <c r="N2084" s="1"/>
      <c r="AE2084" s="1"/>
    </row>
    <row r="2085" spans="9:31" x14ac:dyDescent="0.25">
      <c r="I2085" s="1"/>
      <c r="J2085" s="1"/>
      <c r="N2085" s="1"/>
      <c r="AE2085" s="1"/>
    </row>
    <row r="2086" spans="9:31" x14ac:dyDescent="0.25">
      <c r="I2086" s="1"/>
      <c r="J2086" s="1"/>
      <c r="N2086" s="1"/>
      <c r="AE2086" s="1"/>
    </row>
    <row r="2087" spans="9:31" x14ac:dyDescent="0.25">
      <c r="I2087" s="1"/>
      <c r="J2087" s="1"/>
      <c r="N2087" s="1"/>
      <c r="Z2087" s="1"/>
      <c r="AA2087" s="1"/>
      <c r="AE2087" s="1"/>
    </row>
    <row r="2088" spans="9:31" x14ac:dyDescent="0.25">
      <c r="I2088" s="1"/>
      <c r="J2088" s="1"/>
      <c r="N2088" s="1"/>
      <c r="AE2088" s="1"/>
    </row>
    <row r="2089" spans="9:31" x14ac:dyDescent="0.25">
      <c r="I2089" s="1"/>
      <c r="J2089" s="1"/>
      <c r="N2089" s="1"/>
      <c r="AE2089" s="1"/>
    </row>
    <row r="2090" spans="9:31" x14ac:dyDescent="0.25">
      <c r="I2090" s="1"/>
      <c r="J2090" s="1"/>
      <c r="N2090" s="1"/>
      <c r="Z2090" s="1"/>
      <c r="AA2090" s="1"/>
      <c r="AE2090" s="1"/>
    </row>
    <row r="2091" spans="9:31" x14ac:dyDescent="0.25">
      <c r="I2091" s="1"/>
      <c r="J2091" s="1"/>
      <c r="N2091" s="1"/>
      <c r="AE2091" s="1"/>
    </row>
    <row r="2092" spans="9:31" x14ac:dyDescent="0.25">
      <c r="I2092" s="1"/>
      <c r="J2092" s="1"/>
      <c r="N2092" s="1"/>
      <c r="Z2092" s="1"/>
      <c r="AA2092" s="1"/>
      <c r="AE2092" s="1"/>
    </row>
    <row r="2093" spans="9:31" x14ac:dyDescent="0.25">
      <c r="I2093" s="1"/>
      <c r="J2093" s="1"/>
      <c r="N2093" s="1"/>
      <c r="AE2093" s="1"/>
    </row>
    <row r="2094" spans="9:31" x14ac:dyDescent="0.25">
      <c r="I2094" s="1"/>
      <c r="J2094" s="1"/>
      <c r="N2094" s="1"/>
      <c r="Z2094" s="1"/>
      <c r="AE2094" s="1"/>
    </row>
    <row r="2095" spans="9:31" x14ac:dyDescent="0.25">
      <c r="I2095" s="1"/>
      <c r="J2095" s="1"/>
      <c r="N2095" s="1"/>
      <c r="AE2095" s="1"/>
    </row>
    <row r="2096" spans="9:31" x14ac:dyDescent="0.25">
      <c r="I2096" s="1"/>
      <c r="J2096" s="1"/>
      <c r="N2096" s="1"/>
      <c r="AE2096" s="1"/>
    </row>
    <row r="2097" spans="9:31" x14ac:dyDescent="0.25">
      <c r="I2097" s="1"/>
      <c r="J2097" s="1"/>
      <c r="N2097" s="1"/>
      <c r="Z2097" s="1"/>
      <c r="AA2097" s="1"/>
      <c r="AE2097" s="1"/>
    </row>
    <row r="2098" spans="9:31" x14ac:dyDescent="0.25">
      <c r="N2098" s="1"/>
      <c r="Z2098" s="1"/>
      <c r="AA2098" s="1"/>
      <c r="AE2098" s="1"/>
    </row>
    <row r="2099" spans="9:31" x14ac:dyDescent="0.25">
      <c r="I2099" s="1"/>
      <c r="J2099" s="1"/>
      <c r="N2099" s="1"/>
      <c r="AE2099" s="1"/>
    </row>
    <row r="2100" spans="9:31" x14ac:dyDescent="0.25">
      <c r="I2100" s="1"/>
      <c r="J2100" s="1"/>
      <c r="N2100" s="1"/>
      <c r="AE2100" s="1"/>
    </row>
    <row r="2101" spans="9:31" x14ac:dyDescent="0.25">
      <c r="N2101" s="1"/>
      <c r="Z2101" s="1"/>
      <c r="AA2101" s="1"/>
      <c r="AE2101" s="1"/>
    </row>
    <row r="2102" spans="9:31" x14ac:dyDescent="0.25">
      <c r="I2102" s="1"/>
      <c r="J2102" s="1"/>
      <c r="N2102" s="1"/>
      <c r="AE2102" s="1"/>
    </row>
    <row r="2103" spans="9:31" x14ac:dyDescent="0.25">
      <c r="I2103" s="1"/>
      <c r="J2103" s="1"/>
      <c r="N2103" s="1"/>
      <c r="Z2103" s="1"/>
      <c r="AE2103" s="1"/>
    </row>
    <row r="2104" spans="9:31" x14ac:dyDescent="0.25">
      <c r="I2104" s="1"/>
      <c r="J2104" s="1"/>
      <c r="N2104" s="1"/>
      <c r="Z2104" s="1"/>
      <c r="AA2104" s="1"/>
      <c r="AE2104" s="1"/>
    </row>
    <row r="2105" spans="9:31" x14ac:dyDescent="0.25">
      <c r="N2105" s="1"/>
      <c r="Z2105" s="1"/>
      <c r="AA2105" s="1"/>
      <c r="AE2105" s="1"/>
    </row>
    <row r="2106" spans="9:31" x14ac:dyDescent="0.25">
      <c r="N2106" s="1"/>
      <c r="AE2106" s="1"/>
    </row>
    <row r="2107" spans="9:31" x14ac:dyDescent="0.25">
      <c r="N2107" s="1"/>
      <c r="AE2107" s="1"/>
    </row>
    <row r="2108" spans="9:31" x14ac:dyDescent="0.25">
      <c r="N2108" s="1"/>
      <c r="AE2108" s="1"/>
    </row>
    <row r="2109" spans="9:31" x14ac:dyDescent="0.25">
      <c r="N2109" s="1"/>
      <c r="AE2109" s="1"/>
    </row>
    <row r="2110" spans="9:31" x14ac:dyDescent="0.25">
      <c r="N2110" s="1"/>
      <c r="AE2110" s="1"/>
    </row>
    <row r="2111" spans="9:31" x14ac:dyDescent="0.25">
      <c r="I2111" s="1"/>
      <c r="J2111" s="1"/>
      <c r="N2111" s="1"/>
      <c r="AE2111" s="1"/>
    </row>
    <row r="2112" spans="9:31" x14ac:dyDescent="0.25">
      <c r="I2112" s="1"/>
      <c r="J2112" s="1"/>
      <c r="N2112" s="1"/>
      <c r="AE2112" s="1"/>
    </row>
    <row r="2113" spans="9:31" x14ac:dyDescent="0.25">
      <c r="I2113" s="1"/>
      <c r="J2113" s="1"/>
      <c r="N2113" s="1"/>
      <c r="AE2113" s="1"/>
    </row>
    <row r="2114" spans="9:31" x14ac:dyDescent="0.25">
      <c r="I2114" s="1"/>
      <c r="J2114" s="1"/>
      <c r="N2114" s="1"/>
      <c r="AE2114" s="1"/>
    </row>
    <row r="2115" spans="9:31" x14ac:dyDescent="0.25">
      <c r="I2115" s="1"/>
      <c r="J2115" s="1"/>
      <c r="N2115" s="1"/>
      <c r="AE2115" s="1"/>
    </row>
    <row r="2116" spans="9:31" x14ac:dyDescent="0.25">
      <c r="I2116" s="1"/>
      <c r="J2116" s="1"/>
      <c r="N2116" s="1"/>
      <c r="AE2116" s="1"/>
    </row>
    <row r="2117" spans="9:31" x14ac:dyDescent="0.25">
      <c r="I2117" s="1"/>
      <c r="J2117" s="1"/>
      <c r="N2117" s="1"/>
      <c r="AE2117" s="1"/>
    </row>
    <row r="2118" spans="9:31" x14ac:dyDescent="0.25">
      <c r="I2118" s="1"/>
      <c r="J2118" s="1"/>
      <c r="N2118" s="1"/>
      <c r="Z2118" s="1"/>
      <c r="AA2118" s="1"/>
      <c r="AE2118" s="1"/>
    </row>
    <row r="2119" spans="9:31" x14ac:dyDescent="0.25">
      <c r="I2119" s="1"/>
      <c r="J2119" s="1"/>
      <c r="N2119" s="1"/>
      <c r="AE2119" s="1"/>
    </row>
    <row r="2120" spans="9:31" x14ac:dyDescent="0.25">
      <c r="I2120" s="1"/>
      <c r="J2120" s="1"/>
      <c r="N2120" s="1"/>
      <c r="Z2120" s="1"/>
      <c r="AA2120" s="1"/>
      <c r="AE2120" s="1"/>
    </row>
    <row r="2121" spans="9:31" x14ac:dyDescent="0.25">
      <c r="I2121" s="1"/>
      <c r="J2121" s="1"/>
      <c r="N2121" s="1"/>
      <c r="AE2121" s="1"/>
    </row>
    <row r="2122" spans="9:31" x14ac:dyDescent="0.25">
      <c r="I2122" s="1"/>
      <c r="J2122" s="1"/>
      <c r="N2122" s="1"/>
      <c r="Z2122" s="1"/>
      <c r="AA2122" s="1"/>
      <c r="AE2122" s="1"/>
    </row>
    <row r="2123" spans="9:31" x14ac:dyDescent="0.25">
      <c r="I2123" s="1"/>
      <c r="J2123" s="1"/>
      <c r="N2123" s="1"/>
      <c r="AE2123" s="1"/>
    </row>
    <row r="2124" spans="9:31" x14ac:dyDescent="0.25">
      <c r="I2124" s="1"/>
      <c r="J2124" s="1"/>
      <c r="N2124" s="1"/>
      <c r="AE2124" s="1"/>
    </row>
    <row r="2125" spans="9:31" x14ac:dyDescent="0.25">
      <c r="N2125" s="1"/>
      <c r="Z2125" s="1"/>
      <c r="AA2125" s="1"/>
      <c r="AE2125" s="1"/>
    </row>
    <row r="2126" spans="9:31" x14ac:dyDescent="0.25">
      <c r="I2126" s="1"/>
      <c r="J2126" s="1"/>
      <c r="N2126" s="1"/>
      <c r="AE2126" s="1"/>
    </row>
    <row r="2127" spans="9:31" x14ac:dyDescent="0.25">
      <c r="I2127" s="1"/>
      <c r="J2127" s="1"/>
      <c r="N2127" s="1"/>
      <c r="AE2127" s="1"/>
    </row>
    <row r="2128" spans="9:31" x14ac:dyDescent="0.25">
      <c r="I2128" s="1"/>
      <c r="J2128" s="1"/>
      <c r="N2128" s="1"/>
      <c r="AE2128" s="1"/>
    </row>
    <row r="2129" spans="9:31" x14ac:dyDescent="0.25">
      <c r="N2129" s="1"/>
      <c r="Z2129" s="1"/>
      <c r="AA2129" s="1"/>
      <c r="AE2129" s="1"/>
    </row>
    <row r="2130" spans="9:31" x14ac:dyDescent="0.25">
      <c r="I2130" s="1"/>
      <c r="J2130" s="1"/>
      <c r="N2130" s="1"/>
      <c r="AE2130" s="1"/>
    </row>
    <row r="2131" spans="9:31" x14ac:dyDescent="0.25">
      <c r="I2131" s="1"/>
      <c r="J2131" s="1"/>
      <c r="N2131" s="1"/>
      <c r="AE2131" s="1"/>
    </row>
    <row r="2132" spans="9:31" x14ac:dyDescent="0.25">
      <c r="N2132" s="1"/>
      <c r="AE2132" s="1"/>
    </row>
    <row r="2133" spans="9:31" x14ac:dyDescent="0.25">
      <c r="N2133" s="1"/>
      <c r="AE2133" s="1"/>
    </row>
    <row r="2134" spans="9:31" x14ac:dyDescent="0.25">
      <c r="I2134" s="1"/>
      <c r="J2134" s="1"/>
      <c r="N2134" s="1"/>
      <c r="AE2134" s="1"/>
    </row>
    <row r="2135" spans="9:31" x14ac:dyDescent="0.25">
      <c r="I2135" s="1"/>
      <c r="J2135" s="1"/>
      <c r="N2135" s="1"/>
      <c r="AE2135" s="1"/>
    </row>
    <row r="2136" spans="9:31" x14ac:dyDescent="0.25">
      <c r="I2136" s="1"/>
      <c r="J2136" s="1"/>
      <c r="N2136" s="1"/>
      <c r="AE2136" s="1"/>
    </row>
    <row r="2137" spans="9:31" x14ac:dyDescent="0.25">
      <c r="I2137" s="1"/>
      <c r="J2137" s="1"/>
      <c r="N2137" s="1"/>
      <c r="AE2137" s="1"/>
    </row>
    <row r="2138" spans="9:31" x14ac:dyDescent="0.25">
      <c r="I2138" s="1"/>
      <c r="J2138" s="1"/>
      <c r="N2138" s="1"/>
      <c r="AE2138" s="1"/>
    </row>
    <row r="2139" spans="9:31" x14ac:dyDescent="0.25">
      <c r="I2139" s="1"/>
      <c r="J2139" s="1"/>
      <c r="N2139" s="1"/>
      <c r="Z2139" s="1"/>
      <c r="AA2139" s="1"/>
      <c r="AE2139" s="1"/>
    </row>
    <row r="2140" spans="9:31" x14ac:dyDescent="0.25">
      <c r="I2140" s="1"/>
      <c r="J2140" s="1"/>
      <c r="N2140" s="1"/>
      <c r="Z2140" s="1"/>
      <c r="AA2140" s="1"/>
      <c r="AE2140" s="1"/>
    </row>
    <row r="2141" spans="9:31" x14ac:dyDescent="0.25">
      <c r="I2141" s="1"/>
      <c r="J2141" s="1"/>
      <c r="N2141" s="1"/>
      <c r="AE2141" s="1"/>
    </row>
    <row r="2142" spans="9:31" x14ac:dyDescent="0.25">
      <c r="I2142" s="1"/>
      <c r="J2142" s="1"/>
      <c r="N2142" s="1"/>
      <c r="AE2142" s="1"/>
    </row>
    <row r="2143" spans="9:31" x14ac:dyDescent="0.25">
      <c r="I2143" s="1"/>
      <c r="J2143" s="1"/>
      <c r="N2143" s="1"/>
      <c r="Z2143" s="1"/>
      <c r="AA2143" s="1"/>
      <c r="AE2143" s="1"/>
    </row>
    <row r="2144" spans="9:31" x14ac:dyDescent="0.25">
      <c r="I2144" s="1"/>
      <c r="J2144" s="1"/>
      <c r="N2144" s="1"/>
      <c r="Z2144" s="1"/>
      <c r="AA2144" s="1"/>
      <c r="AE2144" s="1"/>
    </row>
    <row r="2145" spans="9:31" x14ac:dyDescent="0.25">
      <c r="I2145" s="1"/>
      <c r="J2145" s="1"/>
      <c r="N2145" s="1"/>
      <c r="AE2145" s="1"/>
    </row>
    <row r="2146" spans="9:31" x14ac:dyDescent="0.25">
      <c r="I2146" s="1"/>
      <c r="J2146" s="1"/>
      <c r="N2146" s="1"/>
      <c r="Z2146" s="1"/>
      <c r="AA2146" s="1"/>
      <c r="AE2146" s="1"/>
    </row>
    <row r="2147" spans="9:31" x14ac:dyDescent="0.25">
      <c r="I2147" s="1"/>
      <c r="J2147" s="1"/>
      <c r="N2147" s="1"/>
      <c r="AE2147" s="1"/>
    </row>
    <row r="2148" spans="9:31" x14ac:dyDescent="0.25">
      <c r="I2148" s="1"/>
      <c r="J2148" s="1"/>
      <c r="N2148" s="1"/>
      <c r="AE2148" s="1"/>
    </row>
    <row r="2149" spans="9:31" x14ac:dyDescent="0.25">
      <c r="I2149" s="1"/>
      <c r="J2149" s="1"/>
      <c r="N2149" s="1"/>
      <c r="Z2149" s="1"/>
      <c r="AA2149" s="1"/>
      <c r="AE2149" s="1"/>
    </row>
    <row r="2150" spans="9:31" x14ac:dyDescent="0.25">
      <c r="I2150" s="1"/>
      <c r="J2150" s="1"/>
      <c r="N2150" s="1"/>
      <c r="AE2150" s="1"/>
    </row>
    <row r="2151" spans="9:31" x14ac:dyDescent="0.25">
      <c r="I2151" s="1"/>
      <c r="J2151" s="1"/>
      <c r="N2151" s="1"/>
      <c r="Z2151" s="1"/>
      <c r="AE2151" s="1"/>
    </row>
    <row r="2152" spans="9:31" x14ac:dyDescent="0.25">
      <c r="I2152" s="1"/>
      <c r="J2152" s="1"/>
      <c r="N2152" s="1"/>
      <c r="AE2152" s="1"/>
    </row>
    <row r="2153" spans="9:31" x14ac:dyDescent="0.25">
      <c r="I2153" s="1"/>
      <c r="J2153" s="1"/>
      <c r="N2153" s="1"/>
      <c r="AE2153" s="1"/>
    </row>
    <row r="2154" spans="9:31" x14ac:dyDescent="0.25">
      <c r="I2154" s="1"/>
      <c r="J2154" s="1"/>
      <c r="N2154" s="1"/>
      <c r="AE2154" s="1"/>
    </row>
    <row r="2155" spans="9:31" x14ac:dyDescent="0.25">
      <c r="I2155" s="1"/>
      <c r="J2155" s="1"/>
      <c r="N2155" s="1"/>
      <c r="Z2155" s="1"/>
      <c r="AA2155" s="1"/>
      <c r="AE2155" s="1"/>
    </row>
    <row r="2156" spans="9:31" x14ac:dyDescent="0.25">
      <c r="I2156" s="1"/>
      <c r="J2156" s="1"/>
      <c r="N2156" s="1"/>
      <c r="Z2156" s="1"/>
      <c r="AA2156" s="1"/>
      <c r="AE2156" s="1"/>
    </row>
    <row r="2157" spans="9:31" x14ac:dyDescent="0.25">
      <c r="I2157" s="1"/>
      <c r="J2157" s="1"/>
      <c r="N2157" s="1"/>
      <c r="Z2157" s="1"/>
      <c r="AA2157" s="1"/>
      <c r="AE2157" s="1"/>
    </row>
    <row r="2158" spans="9:31" x14ac:dyDescent="0.25">
      <c r="N2158" s="1"/>
      <c r="AE2158" s="1"/>
    </row>
    <row r="2159" spans="9:31" x14ac:dyDescent="0.25">
      <c r="N2159" s="1"/>
      <c r="AE2159" s="1"/>
    </row>
    <row r="2160" spans="9:31" x14ac:dyDescent="0.25">
      <c r="I2160" s="1"/>
      <c r="N2160" s="1"/>
      <c r="AE2160" s="1"/>
    </row>
    <row r="2161" spans="9:31" x14ac:dyDescent="0.25">
      <c r="I2161" s="1"/>
      <c r="J2161" s="1"/>
      <c r="N2161" s="1"/>
      <c r="AE2161" s="1"/>
    </row>
    <row r="2162" spans="9:31" x14ac:dyDescent="0.25">
      <c r="N2162" s="1"/>
      <c r="Z2162" s="1"/>
      <c r="AA2162" s="1"/>
      <c r="AE2162" s="1"/>
    </row>
    <row r="2163" spans="9:31" x14ac:dyDescent="0.25">
      <c r="I2163" s="1"/>
      <c r="J2163" s="1"/>
      <c r="N2163" s="1"/>
      <c r="AE2163" s="1"/>
    </row>
    <row r="2164" spans="9:31" x14ac:dyDescent="0.25">
      <c r="I2164" s="1"/>
      <c r="J2164" s="1"/>
      <c r="N2164" s="1"/>
      <c r="Z2164" s="1"/>
      <c r="AA2164" s="1"/>
      <c r="AE2164" s="1"/>
    </row>
    <row r="2165" spans="9:31" x14ac:dyDescent="0.25">
      <c r="I2165" s="1"/>
      <c r="J2165" s="1"/>
      <c r="N2165" s="1"/>
      <c r="Z2165" s="1"/>
      <c r="AA2165" s="1"/>
      <c r="AE2165" s="1"/>
    </row>
    <row r="2166" spans="9:31" x14ac:dyDescent="0.25">
      <c r="N2166" s="1"/>
      <c r="AE2166" s="1"/>
    </row>
    <row r="2167" spans="9:31" x14ac:dyDescent="0.25">
      <c r="I2167" s="1"/>
      <c r="J2167" s="1"/>
      <c r="N2167" s="1"/>
      <c r="AE2167" s="1"/>
    </row>
    <row r="2168" spans="9:31" x14ac:dyDescent="0.25">
      <c r="N2168" s="1"/>
      <c r="AE2168" s="1"/>
    </row>
    <row r="2169" spans="9:31" x14ac:dyDescent="0.25">
      <c r="I2169" s="1"/>
      <c r="J2169" s="1"/>
      <c r="N2169" s="1"/>
      <c r="AE2169" s="1"/>
    </row>
    <row r="2170" spans="9:31" x14ac:dyDescent="0.25">
      <c r="I2170" s="1"/>
      <c r="J2170" s="1"/>
      <c r="N2170" s="1"/>
      <c r="AE2170" s="1"/>
    </row>
    <row r="2171" spans="9:31" x14ac:dyDescent="0.25">
      <c r="N2171" s="1"/>
      <c r="AE2171" s="1"/>
    </row>
    <row r="2172" spans="9:31" x14ac:dyDescent="0.25">
      <c r="I2172" s="1"/>
      <c r="J2172" s="1"/>
      <c r="N2172" s="1"/>
      <c r="AE2172" s="1"/>
    </row>
    <row r="2173" spans="9:31" x14ac:dyDescent="0.25">
      <c r="I2173" s="1"/>
      <c r="J2173" s="1"/>
      <c r="N2173" s="1"/>
      <c r="AE2173" s="1"/>
    </row>
    <row r="2174" spans="9:31" x14ac:dyDescent="0.25">
      <c r="I2174" s="1"/>
      <c r="J2174" s="1"/>
      <c r="N2174" s="1"/>
      <c r="AE2174" s="1"/>
    </row>
    <row r="2175" spans="9:31" x14ac:dyDescent="0.25">
      <c r="N2175" s="1"/>
      <c r="AE2175" s="1"/>
    </row>
    <row r="2176" spans="9:31" x14ac:dyDescent="0.25">
      <c r="I2176" s="1"/>
      <c r="J2176" s="1"/>
      <c r="N2176" s="1"/>
      <c r="AE2176" s="1"/>
    </row>
    <row r="2177" spans="9:31" x14ac:dyDescent="0.25">
      <c r="I2177" s="1"/>
      <c r="J2177" s="1"/>
      <c r="N2177" s="1"/>
      <c r="AE2177" s="1"/>
    </row>
    <row r="2178" spans="9:31" x14ac:dyDescent="0.25">
      <c r="I2178" s="1"/>
      <c r="J2178" s="1"/>
      <c r="N2178" s="1"/>
      <c r="Z2178" s="1"/>
      <c r="AA2178" s="1"/>
      <c r="AE2178" s="1"/>
    </row>
    <row r="2179" spans="9:31" x14ac:dyDescent="0.25">
      <c r="I2179" s="1"/>
      <c r="J2179" s="1"/>
      <c r="N2179" s="1"/>
      <c r="AE2179" s="1"/>
    </row>
    <row r="2180" spans="9:31" x14ac:dyDescent="0.25">
      <c r="I2180" s="1"/>
      <c r="J2180" s="1"/>
      <c r="N2180" s="1"/>
      <c r="Z2180" s="1"/>
      <c r="AA2180" s="1"/>
      <c r="AE2180" s="1"/>
    </row>
    <row r="2181" spans="9:31" x14ac:dyDescent="0.25">
      <c r="I2181" s="1"/>
      <c r="J2181" s="1"/>
      <c r="N2181" s="1"/>
      <c r="Z2181" s="1"/>
      <c r="AA2181" s="1"/>
      <c r="AE2181" s="1"/>
    </row>
    <row r="2182" spans="9:31" x14ac:dyDescent="0.25">
      <c r="I2182" s="1"/>
      <c r="J2182" s="1"/>
      <c r="N2182" s="1"/>
      <c r="AE2182" s="1"/>
    </row>
    <row r="2183" spans="9:31" x14ac:dyDescent="0.25">
      <c r="N2183" s="1"/>
      <c r="AE2183" s="1"/>
    </row>
    <row r="2184" spans="9:31" x14ac:dyDescent="0.25">
      <c r="I2184" s="1"/>
      <c r="J2184" s="1"/>
      <c r="N2184" s="1"/>
      <c r="AE2184" s="1"/>
    </row>
    <row r="2185" spans="9:31" x14ac:dyDescent="0.25">
      <c r="I2185" s="1"/>
      <c r="J2185" s="1"/>
      <c r="N2185" s="1"/>
      <c r="Z2185" s="1"/>
      <c r="AA2185" s="1"/>
      <c r="AE2185" s="1"/>
    </row>
    <row r="2186" spans="9:31" x14ac:dyDescent="0.25">
      <c r="I2186" s="1"/>
      <c r="J2186" s="1"/>
      <c r="N2186" s="1"/>
      <c r="AE2186" s="1"/>
    </row>
    <row r="2187" spans="9:31" x14ac:dyDescent="0.25">
      <c r="I2187" s="1"/>
      <c r="J2187" s="1"/>
      <c r="N2187" s="1"/>
      <c r="Z2187" s="1"/>
      <c r="AA2187" s="1"/>
      <c r="AE2187" s="1"/>
    </row>
    <row r="2188" spans="9:31" x14ac:dyDescent="0.25">
      <c r="I2188" s="1"/>
      <c r="J2188" s="1"/>
      <c r="N2188" s="1"/>
      <c r="Z2188" s="1"/>
      <c r="AA2188" s="1"/>
      <c r="AE2188" s="1"/>
    </row>
    <row r="2189" spans="9:31" x14ac:dyDescent="0.25">
      <c r="I2189" s="1"/>
      <c r="J2189" s="1"/>
      <c r="N2189" s="1"/>
      <c r="AE2189" s="1"/>
    </row>
    <row r="2190" spans="9:31" x14ac:dyDescent="0.25">
      <c r="I2190" s="1"/>
      <c r="J2190" s="1"/>
      <c r="N2190" s="1"/>
      <c r="AE2190" s="1"/>
    </row>
    <row r="2191" spans="9:31" x14ac:dyDescent="0.25">
      <c r="I2191" s="1"/>
      <c r="J2191" s="1"/>
      <c r="N2191" s="1"/>
      <c r="AE2191" s="1"/>
    </row>
    <row r="2192" spans="9:31" x14ac:dyDescent="0.25">
      <c r="I2192" s="1"/>
      <c r="J2192" s="1"/>
      <c r="N2192" s="1"/>
      <c r="Z2192" s="1"/>
      <c r="AA2192" s="1"/>
      <c r="AE2192" s="1"/>
    </row>
    <row r="2193" spans="9:31" x14ac:dyDescent="0.25">
      <c r="N2193" s="1"/>
      <c r="Z2193" s="1"/>
      <c r="AA2193" s="1"/>
      <c r="AE2193" s="1"/>
    </row>
    <row r="2194" spans="9:31" x14ac:dyDescent="0.25">
      <c r="I2194" s="1"/>
      <c r="J2194" s="1"/>
      <c r="N2194" s="1"/>
      <c r="AE2194" s="1"/>
    </row>
    <row r="2195" spans="9:31" x14ac:dyDescent="0.25">
      <c r="I2195" s="1"/>
      <c r="J2195" s="1"/>
      <c r="N2195" s="1"/>
      <c r="Z2195" s="1"/>
      <c r="AA2195" s="1"/>
      <c r="AE2195" s="1"/>
    </row>
    <row r="2196" spans="9:31" x14ac:dyDescent="0.25">
      <c r="I2196" s="1"/>
      <c r="J2196" s="1"/>
      <c r="N2196" s="1"/>
      <c r="Z2196" s="1"/>
      <c r="AA2196" s="1"/>
      <c r="AE2196" s="1"/>
    </row>
    <row r="2197" spans="9:31" x14ac:dyDescent="0.25">
      <c r="I2197" s="1"/>
      <c r="J2197" s="1"/>
      <c r="N2197" s="1"/>
      <c r="AE2197" s="1"/>
    </row>
    <row r="2198" spans="9:31" x14ac:dyDescent="0.25">
      <c r="I2198" s="1"/>
      <c r="J2198" s="1"/>
      <c r="N2198" s="1"/>
      <c r="AE2198" s="1"/>
    </row>
    <row r="2199" spans="9:31" x14ac:dyDescent="0.25">
      <c r="I2199" s="1"/>
      <c r="J2199" s="1"/>
      <c r="N2199" s="1"/>
      <c r="Z2199" s="1"/>
      <c r="AA2199" s="1"/>
      <c r="AE2199" s="1"/>
    </row>
    <row r="2200" spans="9:31" x14ac:dyDescent="0.25">
      <c r="N2200" s="1"/>
      <c r="Z2200" s="1"/>
      <c r="AA2200" s="1"/>
      <c r="AE2200" s="1"/>
    </row>
    <row r="2201" spans="9:31" x14ac:dyDescent="0.25">
      <c r="I2201" s="1"/>
      <c r="N2201" s="1"/>
      <c r="AE2201" s="1"/>
    </row>
    <row r="2202" spans="9:31" x14ac:dyDescent="0.25">
      <c r="I2202" s="1"/>
      <c r="J2202" s="1"/>
      <c r="N2202" s="1"/>
      <c r="Z2202" s="1"/>
      <c r="AE2202" s="1"/>
    </row>
    <row r="2203" spans="9:31" x14ac:dyDescent="0.25">
      <c r="N2203" s="1"/>
      <c r="AE2203" s="1"/>
    </row>
    <row r="2204" spans="9:31" x14ac:dyDescent="0.25">
      <c r="I2204" s="1"/>
      <c r="J2204" s="1"/>
      <c r="N2204" s="1"/>
      <c r="AE2204" s="1"/>
    </row>
    <row r="2205" spans="9:31" x14ac:dyDescent="0.25">
      <c r="N2205" s="1"/>
      <c r="AE2205" s="1"/>
    </row>
    <row r="2206" spans="9:31" x14ac:dyDescent="0.25">
      <c r="I2206" s="1"/>
      <c r="J2206" s="1"/>
      <c r="N2206" s="1"/>
      <c r="AE2206" s="1"/>
    </row>
    <row r="2207" spans="9:31" x14ac:dyDescent="0.25">
      <c r="I2207" s="1"/>
      <c r="J2207" s="1"/>
      <c r="N2207" s="1"/>
      <c r="Z2207" s="1"/>
      <c r="AA2207" s="1"/>
      <c r="AE2207" s="1"/>
    </row>
    <row r="2208" spans="9:31" x14ac:dyDescent="0.25">
      <c r="I2208" s="1"/>
      <c r="J2208" s="1"/>
      <c r="N2208" s="1"/>
      <c r="AE2208" s="1"/>
    </row>
    <row r="2209" spans="9:31" x14ac:dyDescent="0.25">
      <c r="I2209" s="1"/>
      <c r="J2209" s="1"/>
      <c r="N2209" s="1"/>
      <c r="Z2209" s="1"/>
      <c r="AA2209" s="1"/>
      <c r="AE2209" s="1"/>
    </row>
    <row r="2210" spans="9:31" x14ac:dyDescent="0.25">
      <c r="I2210" s="1"/>
      <c r="J2210" s="1"/>
      <c r="N2210" s="1"/>
      <c r="AE2210" s="1"/>
    </row>
    <row r="2211" spans="9:31" x14ac:dyDescent="0.25">
      <c r="I2211" s="1"/>
      <c r="J2211" s="1"/>
      <c r="N2211" s="1"/>
      <c r="AE2211" s="1"/>
    </row>
    <row r="2212" spans="9:31" x14ac:dyDescent="0.25">
      <c r="I2212" s="1"/>
      <c r="J2212" s="1"/>
      <c r="N2212" s="1"/>
      <c r="Z2212" s="1"/>
      <c r="AA2212" s="1"/>
      <c r="AE2212" s="1"/>
    </row>
    <row r="2213" spans="9:31" x14ac:dyDescent="0.25">
      <c r="I2213" s="1"/>
      <c r="J2213" s="1"/>
      <c r="N2213" s="1"/>
      <c r="AE2213" s="1"/>
    </row>
    <row r="2214" spans="9:31" x14ac:dyDescent="0.25">
      <c r="I2214" s="1"/>
      <c r="J2214" s="1"/>
      <c r="N2214" s="1"/>
      <c r="AE2214" s="1"/>
    </row>
    <row r="2215" spans="9:31" x14ac:dyDescent="0.25">
      <c r="I2215" s="1"/>
      <c r="J2215" s="1"/>
      <c r="N2215" s="1"/>
      <c r="Z2215" s="1"/>
      <c r="AA2215" s="1"/>
      <c r="AE2215" s="1"/>
    </row>
    <row r="2216" spans="9:31" x14ac:dyDescent="0.25">
      <c r="I2216" s="1"/>
      <c r="J2216" s="1"/>
      <c r="N2216" s="1"/>
      <c r="AE2216" s="1"/>
    </row>
    <row r="2217" spans="9:31" x14ac:dyDescent="0.25">
      <c r="I2217" s="1"/>
      <c r="J2217" s="1"/>
      <c r="N2217" s="1"/>
      <c r="Z2217" s="1"/>
      <c r="AA2217" s="1"/>
      <c r="AE2217" s="1"/>
    </row>
    <row r="2218" spans="9:31" x14ac:dyDescent="0.25">
      <c r="I2218" s="1"/>
      <c r="J2218" s="1"/>
      <c r="N2218" s="1"/>
      <c r="AE2218" s="1"/>
    </row>
    <row r="2219" spans="9:31" x14ac:dyDescent="0.25">
      <c r="I2219" s="1"/>
      <c r="J2219" s="1"/>
      <c r="N2219" s="1"/>
      <c r="Z2219" s="1"/>
      <c r="AA2219" s="1"/>
      <c r="AE2219" s="1"/>
    </row>
    <row r="2220" spans="9:31" x14ac:dyDescent="0.25">
      <c r="I2220" s="1"/>
      <c r="J2220" s="1"/>
      <c r="N2220" s="1"/>
      <c r="AE2220" s="1"/>
    </row>
    <row r="2221" spans="9:31" x14ac:dyDescent="0.25">
      <c r="I2221" s="1"/>
      <c r="J2221" s="1"/>
      <c r="N2221" s="1"/>
      <c r="AE2221" s="1"/>
    </row>
    <row r="2222" spans="9:31" x14ac:dyDescent="0.25">
      <c r="I2222" s="1"/>
      <c r="J2222" s="1"/>
      <c r="N2222" s="1"/>
      <c r="AE2222" s="1"/>
    </row>
    <row r="2223" spans="9:31" x14ac:dyDescent="0.25">
      <c r="I2223" s="1"/>
      <c r="J2223" s="1"/>
      <c r="N2223" s="1"/>
      <c r="AE2223" s="1"/>
    </row>
    <row r="2224" spans="9:31" x14ac:dyDescent="0.25">
      <c r="I2224" s="1"/>
      <c r="J2224" s="1"/>
      <c r="N2224" s="1"/>
      <c r="AE2224" s="1"/>
    </row>
    <row r="2225" spans="9:31" x14ac:dyDescent="0.25">
      <c r="N2225" s="1"/>
      <c r="AE2225" s="1"/>
    </row>
    <row r="2226" spans="9:31" x14ac:dyDescent="0.25">
      <c r="I2226" s="1"/>
      <c r="J2226" s="1"/>
      <c r="N2226" s="1"/>
      <c r="AE2226" s="1"/>
    </row>
    <row r="2227" spans="9:31" x14ac:dyDescent="0.25">
      <c r="N2227" s="1"/>
      <c r="Z2227" s="1"/>
      <c r="AA2227" s="1"/>
      <c r="AE2227" s="1"/>
    </row>
    <row r="2228" spans="9:31" x14ac:dyDescent="0.25">
      <c r="I2228" s="1"/>
      <c r="J2228" s="1"/>
      <c r="N2228" s="1"/>
      <c r="AE2228" s="1"/>
    </row>
    <row r="2229" spans="9:31" x14ac:dyDescent="0.25">
      <c r="I2229" s="1"/>
      <c r="J2229" s="1"/>
      <c r="N2229" s="1"/>
      <c r="AE2229" s="1"/>
    </row>
    <row r="2230" spans="9:31" x14ac:dyDescent="0.25">
      <c r="I2230" s="1"/>
      <c r="J2230" s="1"/>
      <c r="N2230" s="1"/>
      <c r="Z2230" s="1"/>
      <c r="AA2230" s="1"/>
      <c r="AE2230" s="1"/>
    </row>
    <row r="2231" spans="9:31" x14ac:dyDescent="0.25">
      <c r="I2231" s="1"/>
      <c r="J2231" s="1"/>
      <c r="N2231" s="1"/>
      <c r="AE2231" s="1"/>
    </row>
    <row r="2232" spans="9:31" x14ac:dyDescent="0.25">
      <c r="I2232" s="1"/>
      <c r="J2232" s="1"/>
      <c r="N2232" s="1"/>
      <c r="Z2232" s="1"/>
      <c r="AA2232" s="1"/>
      <c r="AE2232" s="1"/>
    </row>
    <row r="2233" spans="9:31" x14ac:dyDescent="0.25">
      <c r="I2233" s="1"/>
      <c r="J2233" s="1"/>
      <c r="N2233" s="1"/>
      <c r="AE2233" s="1"/>
    </row>
    <row r="2234" spans="9:31" x14ac:dyDescent="0.25">
      <c r="I2234" s="1"/>
      <c r="J2234" s="1"/>
      <c r="N2234" s="1"/>
      <c r="Z2234" s="1"/>
      <c r="AE2234" s="1"/>
    </row>
    <row r="2235" spans="9:31" x14ac:dyDescent="0.25">
      <c r="I2235" s="1"/>
      <c r="J2235" s="1"/>
      <c r="N2235" s="1"/>
      <c r="AE2235" s="1"/>
    </row>
    <row r="2236" spans="9:31" x14ac:dyDescent="0.25">
      <c r="I2236" s="1"/>
      <c r="J2236" s="1"/>
      <c r="N2236" s="1"/>
      <c r="Z2236" s="1"/>
      <c r="AA2236" s="1"/>
      <c r="AE2236" s="1"/>
    </row>
    <row r="2237" spans="9:31" x14ac:dyDescent="0.25">
      <c r="I2237" s="1"/>
      <c r="J2237" s="1"/>
      <c r="N2237" s="1"/>
      <c r="AE2237" s="1"/>
    </row>
    <row r="2238" spans="9:31" x14ac:dyDescent="0.25">
      <c r="I2238" s="1"/>
      <c r="J2238" s="1"/>
      <c r="N2238" s="1"/>
      <c r="AE2238" s="1"/>
    </row>
    <row r="2239" spans="9:31" x14ac:dyDescent="0.25">
      <c r="I2239" s="1"/>
      <c r="J2239" s="1"/>
      <c r="N2239" s="1"/>
      <c r="AE2239" s="1"/>
    </row>
    <row r="2240" spans="9:31" x14ac:dyDescent="0.25">
      <c r="I2240" s="1"/>
      <c r="J2240" s="1"/>
      <c r="N2240" s="1"/>
      <c r="Z2240" s="1"/>
      <c r="AA2240" s="1"/>
      <c r="AE2240" s="1"/>
    </row>
    <row r="2241" spans="9:31" x14ac:dyDescent="0.25">
      <c r="I2241" s="1"/>
      <c r="J2241" s="1"/>
      <c r="N2241" s="1"/>
      <c r="Z2241" s="1"/>
      <c r="AA2241" s="1"/>
      <c r="AE2241" s="1"/>
    </row>
    <row r="2242" spans="9:31" x14ac:dyDescent="0.25">
      <c r="I2242" s="1"/>
      <c r="J2242" s="1"/>
      <c r="N2242" s="1"/>
      <c r="Z2242" s="1"/>
      <c r="AA2242" s="1"/>
      <c r="AE2242" s="1"/>
    </row>
    <row r="2243" spans="9:31" x14ac:dyDescent="0.25">
      <c r="I2243" s="1"/>
      <c r="J2243" s="1"/>
      <c r="N2243" s="1"/>
      <c r="Z2243" s="1"/>
      <c r="AA2243" s="1"/>
      <c r="AE2243" s="1"/>
    </row>
    <row r="2244" spans="9:31" x14ac:dyDescent="0.25">
      <c r="I2244" s="1"/>
      <c r="J2244" s="1"/>
      <c r="N2244" s="1"/>
      <c r="Z2244" s="1"/>
      <c r="AA2244" s="1"/>
      <c r="AE2244" s="1"/>
    </row>
    <row r="2245" spans="9:31" x14ac:dyDescent="0.25">
      <c r="I2245" s="1"/>
      <c r="J2245" s="1"/>
      <c r="N2245" s="1"/>
      <c r="Z2245" s="1"/>
      <c r="AA2245" s="1"/>
      <c r="AE2245" s="1"/>
    </row>
    <row r="2246" spans="9:31" x14ac:dyDescent="0.25">
      <c r="I2246" s="1"/>
      <c r="J2246" s="1"/>
      <c r="N2246" s="1"/>
      <c r="AE2246" s="1"/>
    </row>
    <row r="2247" spans="9:31" x14ac:dyDescent="0.25">
      <c r="N2247" s="1"/>
      <c r="AE2247" s="1"/>
    </row>
    <row r="2248" spans="9:31" x14ac:dyDescent="0.25">
      <c r="I2248" s="1"/>
      <c r="J2248" s="1"/>
      <c r="N2248" s="1"/>
      <c r="AE2248" s="1"/>
    </row>
    <row r="2249" spans="9:31" x14ac:dyDescent="0.25">
      <c r="I2249" s="1"/>
      <c r="J2249" s="1"/>
      <c r="N2249" s="1"/>
      <c r="AE2249" s="1"/>
    </row>
    <row r="2250" spans="9:31" x14ac:dyDescent="0.25">
      <c r="I2250" s="1"/>
      <c r="J2250" s="1"/>
      <c r="N2250" s="1"/>
      <c r="AE2250" s="1"/>
    </row>
    <row r="2251" spans="9:31" x14ac:dyDescent="0.25">
      <c r="I2251" s="1"/>
      <c r="J2251" s="1"/>
      <c r="N2251" s="1"/>
      <c r="Z2251" s="1"/>
      <c r="AA2251" s="1"/>
      <c r="AE2251" s="1"/>
    </row>
    <row r="2252" spans="9:31" x14ac:dyDescent="0.25">
      <c r="I2252" s="1"/>
      <c r="J2252" s="1"/>
      <c r="N2252" s="1"/>
      <c r="Z2252" s="1"/>
      <c r="AA2252" s="1"/>
      <c r="AE2252" s="1"/>
    </row>
    <row r="2253" spans="9:31" x14ac:dyDescent="0.25">
      <c r="I2253" s="1"/>
      <c r="J2253" s="1"/>
      <c r="N2253" s="1"/>
      <c r="Z2253" s="1"/>
      <c r="AA2253" s="1"/>
      <c r="AE2253" s="1"/>
    </row>
    <row r="2254" spans="9:31" x14ac:dyDescent="0.25">
      <c r="N2254" s="1"/>
      <c r="AE2254" s="1"/>
    </row>
    <row r="2255" spans="9:31" x14ac:dyDescent="0.25">
      <c r="I2255" s="1"/>
      <c r="J2255" s="1"/>
      <c r="N2255" s="1"/>
      <c r="AE2255" s="1"/>
    </row>
    <row r="2256" spans="9:31" x14ac:dyDescent="0.25">
      <c r="I2256" s="1"/>
      <c r="J2256" s="1"/>
      <c r="N2256" s="1"/>
      <c r="AE2256" s="1"/>
    </row>
    <row r="2257" spans="9:31" x14ac:dyDescent="0.25">
      <c r="I2257" s="1"/>
      <c r="J2257" s="1"/>
      <c r="N2257" s="1"/>
      <c r="AE2257" s="1"/>
    </row>
    <row r="2258" spans="9:31" x14ac:dyDescent="0.25">
      <c r="I2258" s="1"/>
      <c r="J2258" s="1"/>
      <c r="N2258" s="1"/>
      <c r="Z2258" s="1"/>
      <c r="AA2258" s="1"/>
      <c r="AE2258" s="1"/>
    </row>
    <row r="2259" spans="9:31" x14ac:dyDescent="0.25">
      <c r="N2259" s="1"/>
      <c r="Z2259" s="1"/>
      <c r="AE2259" s="1"/>
    </row>
    <row r="2260" spans="9:31" x14ac:dyDescent="0.25">
      <c r="I2260" s="1"/>
      <c r="J2260" s="1"/>
      <c r="N2260" s="1"/>
      <c r="AE2260" s="1"/>
    </row>
    <row r="2261" spans="9:31" x14ac:dyDescent="0.25">
      <c r="I2261" s="1"/>
      <c r="J2261" s="1"/>
      <c r="N2261" s="1"/>
      <c r="Z2261" s="1"/>
      <c r="AA2261" s="1"/>
      <c r="AE2261" s="1"/>
    </row>
    <row r="2262" spans="9:31" x14ac:dyDescent="0.25">
      <c r="I2262" s="1"/>
      <c r="J2262" s="1"/>
      <c r="N2262" s="1"/>
      <c r="AE2262" s="1"/>
    </row>
    <row r="2263" spans="9:31" x14ac:dyDescent="0.25">
      <c r="I2263" s="1"/>
      <c r="J2263" s="1"/>
      <c r="N2263" s="1"/>
      <c r="AE2263" s="1"/>
    </row>
    <row r="2264" spans="9:31" x14ac:dyDescent="0.25">
      <c r="N2264" s="1"/>
      <c r="Z2264" s="1"/>
      <c r="AA2264" s="1"/>
      <c r="AE2264" s="1"/>
    </row>
    <row r="2265" spans="9:31" x14ac:dyDescent="0.25">
      <c r="I2265" s="1"/>
      <c r="J2265" s="1"/>
      <c r="N2265" s="1"/>
      <c r="AE2265" s="1"/>
    </row>
    <row r="2266" spans="9:31" x14ac:dyDescent="0.25">
      <c r="I2266" s="1"/>
      <c r="J2266" s="1"/>
      <c r="N2266" s="1"/>
      <c r="Z2266" s="1"/>
      <c r="AA2266" s="1"/>
      <c r="AE2266" s="1"/>
    </row>
    <row r="2267" spans="9:31" x14ac:dyDescent="0.25">
      <c r="I2267" s="1"/>
      <c r="J2267" s="1"/>
      <c r="N2267" s="1"/>
      <c r="Z2267" s="1"/>
      <c r="AA2267" s="1"/>
      <c r="AE2267" s="1"/>
    </row>
    <row r="2268" spans="9:31" x14ac:dyDescent="0.25">
      <c r="N2268" s="1"/>
      <c r="Z2268" s="1"/>
      <c r="AA2268" s="1"/>
      <c r="AE2268" s="1"/>
    </row>
    <row r="2269" spans="9:31" x14ac:dyDescent="0.25">
      <c r="I2269" s="1"/>
      <c r="J2269" s="1"/>
      <c r="N2269" s="1"/>
      <c r="AE2269" s="1"/>
    </row>
    <row r="2270" spans="9:31" x14ac:dyDescent="0.25">
      <c r="I2270" s="1"/>
      <c r="J2270" s="1"/>
      <c r="N2270" s="1"/>
      <c r="Z2270" s="1"/>
      <c r="AA2270" s="1"/>
      <c r="AE2270" s="1"/>
    </row>
    <row r="2271" spans="9:31" x14ac:dyDescent="0.25">
      <c r="I2271" s="1"/>
      <c r="J2271" s="1"/>
      <c r="N2271" s="1"/>
      <c r="Z2271" s="1"/>
      <c r="AA2271" s="1"/>
      <c r="AE2271" s="1"/>
    </row>
    <row r="2272" spans="9:31" x14ac:dyDescent="0.25">
      <c r="I2272" s="1"/>
      <c r="J2272" s="1"/>
      <c r="N2272" s="1"/>
      <c r="Z2272" s="1"/>
      <c r="AA2272" s="1"/>
      <c r="AE2272" s="1"/>
    </row>
    <row r="2273" spans="9:31" x14ac:dyDescent="0.25">
      <c r="I2273" s="1"/>
      <c r="J2273" s="1"/>
      <c r="N2273" s="1"/>
      <c r="AE2273" s="1"/>
    </row>
    <row r="2274" spans="9:31" x14ac:dyDescent="0.25">
      <c r="N2274" s="1"/>
      <c r="Z2274" s="1"/>
      <c r="AA2274" s="1"/>
      <c r="AE2274" s="1"/>
    </row>
    <row r="2275" spans="9:31" x14ac:dyDescent="0.25">
      <c r="N2275" s="1"/>
      <c r="AE2275" s="1"/>
    </row>
    <row r="2276" spans="9:31" x14ac:dyDescent="0.25">
      <c r="N2276" s="1"/>
      <c r="AE2276" s="1"/>
    </row>
    <row r="2277" spans="9:31" x14ac:dyDescent="0.25">
      <c r="N2277" s="1"/>
      <c r="AE2277" s="1"/>
    </row>
    <row r="2278" spans="9:31" x14ac:dyDescent="0.25">
      <c r="I2278" s="1"/>
      <c r="J2278" s="1"/>
      <c r="N2278" s="1"/>
      <c r="AE2278" s="1"/>
    </row>
    <row r="2279" spans="9:31" x14ac:dyDescent="0.25">
      <c r="N2279" s="1"/>
      <c r="AE2279" s="1"/>
    </row>
    <row r="2280" spans="9:31" x14ac:dyDescent="0.25">
      <c r="I2280" s="1"/>
      <c r="J2280" s="1"/>
      <c r="N2280" s="1"/>
      <c r="AE2280" s="1"/>
    </row>
    <row r="2281" spans="9:31" x14ac:dyDescent="0.25">
      <c r="I2281" s="1"/>
      <c r="J2281" s="1"/>
      <c r="N2281" s="1"/>
      <c r="AE2281" s="1"/>
    </row>
    <row r="2282" spans="9:31" x14ac:dyDescent="0.25">
      <c r="I2282" s="1"/>
      <c r="J2282" s="1"/>
      <c r="N2282" s="1"/>
      <c r="Z2282" s="1"/>
      <c r="AA2282" s="1"/>
      <c r="AE2282" s="1"/>
    </row>
    <row r="2283" spans="9:31" x14ac:dyDescent="0.25">
      <c r="I2283" s="1"/>
      <c r="J2283" s="1"/>
      <c r="N2283" s="1"/>
      <c r="AE2283" s="1"/>
    </row>
    <row r="2284" spans="9:31" x14ac:dyDescent="0.25">
      <c r="I2284" s="1"/>
      <c r="J2284" s="1"/>
      <c r="N2284" s="1"/>
      <c r="Z2284" s="1"/>
      <c r="AE2284" s="1"/>
    </row>
    <row r="2285" spans="9:31" x14ac:dyDescent="0.25">
      <c r="I2285" s="1"/>
      <c r="J2285" s="1"/>
      <c r="N2285" s="1"/>
      <c r="Z2285" s="1"/>
      <c r="AA2285" s="1"/>
      <c r="AE2285" s="1"/>
    </row>
    <row r="2286" spans="9:31" x14ac:dyDescent="0.25">
      <c r="I2286" s="1"/>
      <c r="J2286" s="1"/>
      <c r="N2286" s="1"/>
      <c r="Z2286" s="1"/>
      <c r="AA2286" s="1"/>
      <c r="AE2286" s="1"/>
    </row>
    <row r="2287" spans="9:31" x14ac:dyDescent="0.25">
      <c r="I2287" s="1"/>
      <c r="J2287" s="1"/>
      <c r="N2287" s="1"/>
      <c r="Z2287" s="1"/>
      <c r="AA2287" s="1"/>
      <c r="AE2287" s="1"/>
    </row>
    <row r="2288" spans="9:31" x14ac:dyDescent="0.25">
      <c r="I2288" s="1"/>
      <c r="J2288" s="1"/>
      <c r="N2288" s="1"/>
      <c r="Z2288" s="1"/>
      <c r="AA2288" s="1"/>
      <c r="AE2288" s="1"/>
    </row>
    <row r="2289" spans="9:31" x14ac:dyDescent="0.25">
      <c r="I2289" s="1"/>
      <c r="J2289" s="1"/>
      <c r="N2289" s="1"/>
      <c r="Z2289" s="1"/>
      <c r="AA2289" s="1"/>
      <c r="AE2289" s="1"/>
    </row>
    <row r="2290" spans="9:31" x14ac:dyDescent="0.25">
      <c r="I2290" s="1"/>
      <c r="J2290" s="1"/>
      <c r="N2290" s="1"/>
      <c r="Z2290" s="1"/>
      <c r="AA2290" s="1"/>
      <c r="AE2290" s="1"/>
    </row>
    <row r="2291" spans="9:31" x14ac:dyDescent="0.25">
      <c r="I2291" s="1"/>
      <c r="J2291" s="1"/>
      <c r="N2291" s="1"/>
      <c r="AE2291" s="1"/>
    </row>
    <row r="2292" spans="9:31" x14ac:dyDescent="0.25">
      <c r="I2292" s="1"/>
      <c r="J2292" s="1"/>
      <c r="N2292" s="1"/>
      <c r="AE2292" s="1"/>
    </row>
    <row r="2293" spans="9:31" x14ac:dyDescent="0.25">
      <c r="N2293" s="1"/>
      <c r="Z2293" s="1"/>
      <c r="AA2293" s="1"/>
      <c r="AE2293" s="1"/>
    </row>
    <row r="2294" spans="9:31" x14ac:dyDescent="0.25">
      <c r="I2294" s="1"/>
      <c r="J2294" s="1"/>
      <c r="N2294" s="1"/>
      <c r="AE2294" s="1"/>
    </row>
    <row r="2295" spans="9:31" x14ac:dyDescent="0.25">
      <c r="I2295" s="1"/>
      <c r="J2295" s="1"/>
      <c r="N2295" s="1"/>
      <c r="AE2295" s="1"/>
    </row>
    <row r="2296" spans="9:31" x14ac:dyDescent="0.25">
      <c r="I2296" s="1"/>
      <c r="J2296" s="1"/>
      <c r="N2296" s="1"/>
      <c r="Z2296" s="1"/>
      <c r="AA2296" s="1"/>
      <c r="AE2296" s="1"/>
    </row>
    <row r="2297" spans="9:31" x14ac:dyDescent="0.25">
      <c r="N2297" s="1"/>
      <c r="AE2297" s="1"/>
    </row>
    <row r="2298" spans="9:31" x14ac:dyDescent="0.25">
      <c r="I2298" s="1"/>
      <c r="J2298" s="1"/>
      <c r="N2298" s="1"/>
      <c r="AE2298" s="1"/>
    </row>
    <row r="2299" spans="9:31" x14ac:dyDescent="0.25">
      <c r="I2299" s="1"/>
      <c r="J2299" s="1"/>
      <c r="N2299" s="1"/>
      <c r="Z2299" s="1"/>
      <c r="AA2299" s="1"/>
      <c r="AE2299" s="1"/>
    </row>
    <row r="2300" spans="9:31" x14ac:dyDescent="0.25">
      <c r="I2300" s="1"/>
      <c r="J2300" s="1"/>
      <c r="N2300" s="1"/>
      <c r="Z2300" s="1"/>
      <c r="AA2300" s="1"/>
      <c r="AE2300" s="1"/>
    </row>
    <row r="2301" spans="9:31" x14ac:dyDescent="0.25">
      <c r="I2301" s="1"/>
      <c r="J2301" s="1"/>
      <c r="N2301" s="1"/>
      <c r="Z2301" s="1"/>
      <c r="AE2301" s="1"/>
    </row>
    <row r="2302" spans="9:31" x14ac:dyDescent="0.25">
      <c r="N2302" s="1"/>
      <c r="Z2302" s="1"/>
      <c r="AA2302" s="1"/>
      <c r="AE2302" s="1"/>
    </row>
    <row r="2303" spans="9:31" x14ac:dyDescent="0.25">
      <c r="N2303" s="1"/>
      <c r="AE2303" s="1"/>
    </row>
    <row r="2304" spans="9:31" x14ac:dyDescent="0.25">
      <c r="N2304" s="1"/>
      <c r="AE2304" s="1"/>
    </row>
    <row r="2305" spans="9:31" x14ac:dyDescent="0.25">
      <c r="N2305" s="1"/>
      <c r="AE2305" s="1"/>
    </row>
    <row r="2306" spans="9:31" x14ac:dyDescent="0.25">
      <c r="I2306" s="1"/>
      <c r="J2306" s="1"/>
      <c r="N2306" s="1"/>
      <c r="AE2306" s="1"/>
    </row>
    <row r="2307" spans="9:31" x14ac:dyDescent="0.25">
      <c r="I2307" s="1"/>
      <c r="J2307" s="1"/>
      <c r="N2307" s="1"/>
      <c r="Z2307" s="1"/>
      <c r="AA2307" s="1"/>
      <c r="AE2307" s="1"/>
    </row>
    <row r="2308" spans="9:31" x14ac:dyDescent="0.25">
      <c r="I2308" s="1"/>
      <c r="J2308" s="1"/>
      <c r="N2308" s="1"/>
      <c r="Z2308" s="1"/>
      <c r="AA2308" s="1"/>
      <c r="AE2308" s="1"/>
    </row>
    <row r="2309" spans="9:31" x14ac:dyDescent="0.25">
      <c r="I2309" s="1"/>
      <c r="J2309" s="1"/>
      <c r="N2309" s="1"/>
      <c r="Z2309" s="1"/>
      <c r="AE2309" s="1"/>
    </row>
    <row r="2310" spans="9:31" x14ac:dyDescent="0.25">
      <c r="I2310" s="1"/>
      <c r="J2310" s="1"/>
      <c r="N2310" s="1"/>
      <c r="Z2310" s="1"/>
      <c r="AA2310" s="1"/>
      <c r="AE2310" s="1"/>
    </row>
    <row r="2311" spans="9:31" x14ac:dyDescent="0.25">
      <c r="I2311" s="1"/>
      <c r="J2311" s="1"/>
      <c r="N2311" s="1"/>
      <c r="AE2311" s="1"/>
    </row>
    <row r="2312" spans="9:31" x14ac:dyDescent="0.25">
      <c r="I2312" s="1"/>
      <c r="J2312" s="1"/>
      <c r="N2312" s="1"/>
      <c r="Z2312" s="1"/>
      <c r="AA2312" s="1"/>
      <c r="AE2312" s="1"/>
    </row>
    <row r="2313" spans="9:31" x14ac:dyDescent="0.25">
      <c r="I2313" s="1"/>
      <c r="J2313" s="1"/>
      <c r="N2313" s="1"/>
      <c r="AE2313" s="1"/>
    </row>
    <row r="2314" spans="9:31" x14ac:dyDescent="0.25">
      <c r="I2314" s="1"/>
      <c r="J2314" s="1"/>
      <c r="N2314" s="1"/>
      <c r="Z2314" s="1"/>
      <c r="AA2314" s="1"/>
      <c r="AE2314" s="1"/>
    </row>
    <row r="2315" spans="9:31" x14ac:dyDescent="0.25">
      <c r="I2315" s="1"/>
      <c r="J2315" s="1"/>
      <c r="N2315" s="1"/>
      <c r="Z2315" s="1"/>
      <c r="AA2315" s="1"/>
      <c r="AE2315" s="1"/>
    </row>
    <row r="2316" spans="9:31" x14ac:dyDescent="0.25">
      <c r="N2316" s="1"/>
      <c r="Z2316" s="1"/>
      <c r="AA2316" s="1"/>
      <c r="AE2316" s="1"/>
    </row>
    <row r="2317" spans="9:31" x14ac:dyDescent="0.25">
      <c r="I2317" s="1"/>
      <c r="J2317" s="1"/>
      <c r="N2317" s="1"/>
      <c r="AE2317" s="1"/>
    </row>
    <row r="2318" spans="9:31" x14ac:dyDescent="0.25">
      <c r="I2318" s="1"/>
      <c r="J2318" s="1"/>
      <c r="N2318" s="1"/>
      <c r="AE2318" s="1"/>
    </row>
    <row r="2319" spans="9:31" x14ac:dyDescent="0.25">
      <c r="I2319" s="1"/>
      <c r="J2319" s="1"/>
      <c r="N2319" s="1"/>
      <c r="Z2319" s="1"/>
      <c r="AA2319" s="1"/>
      <c r="AE2319" s="1"/>
    </row>
    <row r="2320" spans="9:31" x14ac:dyDescent="0.25">
      <c r="I2320" s="1"/>
      <c r="J2320" s="1"/>
      <c r="N2320" s="1"/>
      <c r="AE2320" s="1"/>
    </row>
    <row r="2321" spans="9:31" x14ac:dyDescent="0.25">
      <c r="I2321" s="1"/>
      <c r="J2321" s="1"/>
      <c r="N2321" s="1"/>
      <c r="Z2321" s="1"/>
      <c r="AA2321" s="1"/>
      <c r="AE2321" s="1"/>
    </row>
    <row r="2322" spans="9:31" x14ac:dyDescent="0.25">
      <c r="I2322" s="1"/>
      <c r="J2322" s="1"/>
      <c r="N2322" s="1"/>
      <c r="AE2322" s="1"/>
    </row>
    <row r="2323" spans="9:31" x14ac:dyDescent="0.25">
      <c r="I2323" s="1"/>
      <c r="J2323" s="1"/>
      <c r="N2323" s="1"/>
      <c r="Z2323" s="1"/>
      <c r="AE2323" s="1"/>
    </row>
    <row r="2324" spans="9:31" x14ac:dyDescent="0.25">
      <c r="N2324" s="1"/>
      <c r="AE2324" s="1"/>
    </row>
    <row r="2325" spans="9:31" x14ac:dyDescent="0.25">
      <c r="I2325" s="1"/>
      <c r="J2325" s="1"/>
      <c r="N2325" s="1"/>
      <c r="AE2325" s="1"/>
    </row>
    <row r="2326" spans="9:31" x14ac:dyDescent="0.25">
      <c r="I2326" s="1"/>
      <c r="J2326" s="1"/>
      <c r="N2326" s="1"/>
      <c r="Z2326" s="1"/>
      <c r="AA2326" s="1"/>
      <c r="AE2326" s="1"/>
    </row>
    <row r="2327" spans="9:31" x14ac:dyDescent="0.25">
      <c r="I2327" s="1"/>
      <c r="J2327" s="1"/>
      <c r="N2327" s="1"/>
      <c r="Z2327" s="1"/>
      <c r="AA2327" s="1"/>
      <c r="AE2327" s="1"/>
    </row>
    <row r="2328" spans="9:31" x14ac:dyDescent="0.25">
      <c r="N2328" s="1"/>
      <c r="AE2328" s="1"/>
    </row>
    <row r="2329" spans="9:31" x14ac:dyDescent="0.25">
      <c r="I2329" s="1"/>
      <c r="J2329" s="1"/>
      <c r="N2329" s="1"/>
      <c r="AE2329" s="1"/>
    </row>
    <row r="2330" spans="9:31" x14ac:dyDescent="0.25">
      <c r="I2330" s="1"/>
      <c r="J2330" s="1"/>
      <c r="N2330" s="1"/>
      <c r="AE2330" s="1"/>
    </row>
    <row r="2331" spans="9:31" x14ac:dyDescent="0.25">
      <c r="I2331" s="1"/>
      <c r="J2331" s="1"/>
      <c r="N2331" s="1"/>
      <c r="Z2331" s="1"/>
      <c r="AA2331" s="1"/>
      <c r="AE2331" s="1"/>
    </row>
    <row r="2332" spans="9:31" x14ac:dyDescent="0.25">
      <c r="I2332" s="1"/>
      <c r="J2332" s="1"/>
      <c r="N2332" s="1"/>
      <c r="AE2332" s="1"/>
    </row>
    <row r="2333" spans="9:31" x14ac:dyDescent="0.25">
      <c r="I2333" s="1"/>
      <c r="J2333" s="1"/>
      <c r="N2333" s="1"/>
      <c r="Z2333" s="1"/>
      <c r="AA2333" s="1"/>
      <c r="AE2333" s="1"/>
    </row>
    <row r="2334" spans="9:31" x14ac:dyDescent="0.25">
      <c r="I2334" s="1"/>
      <c r="J2334" s="1"/>
      <c r="N2334" s="1"/>
      <c r="AE2334" s="1"/>
    </row>
    <row r="2335" spans="9:31" x14ac:dyDescent="0.25">
      <c r="N2335" s="1"/>
      <c r="AE2335" s="1"/>
    </row>
    <row r="2336" spans="9:31" x14ac:dyDescent="0.25">
      <c r="N2336" s="1"/>
      <c r="AE2336" s="1"/>
    </row>
    <row r="2337" spans="9:31" x14ac:dyDescent="0.25">
      <c r="I2337" s="1"/>
      <c r="J2337" s="1"/>
      <c r="N2337" s="1"/>
      <c r="AE2337" s="1"/>
    </row>
    <row r="2338" spans="9:31" x14ac:dyDescent="0.25">
      <c r="I2338" s="1"/>
      <c r="J2338" s="1"/>
      <c r="N2338" s="1"/>
      <c r="Z2338" s="1"/>
      <c r="AA2338" s="1"/>
      <c r="AE2338" s="1"/>
    </row>
    <row r="2339" spans="9:31" x14ac:dyDescent="0.25">
      <c r="I2339" s="1"/>
      <c r="J2339" s="1"/>
      <c r="N2339" s="1"/>
      <c r="Z2339" s="1"/>
      <c r="AA2339" s="1"/>
      <c r="AE2339" s="1"/>
    </row>
    <row r="2340" spans="9:31" x14ac:dyDescent="0.25">
      <c r="I2340" s="1"/>
      <c r="J2340" s="1"/>
      <c r="N2340" s="1"/>
      <c r="Z2340" s="1"/>
      <c r="AA2340" s="1"/>
      <c r="AE2340" s="1"/>
    </row>
    <row r="2341" spans="9:31" x14ac:dyDescent="0.25">
      <c r="I2341" s="1"/>
      <c r="J2341" s="1"/>
      <c r="N2341" s="1"/>
      <c r="Z2341" s="1"/>
      <c r="AA2341" s="1"/>
      <c r="AE2341" s="1"/>
    </row>
    <row r="2342" spans="9:31" x14ac:dyDescent="0.25">
      <c r="I2342" s="1"/>
      <c r="J2342" s="1"/>
      <c r="N2342" s="1"/>
      <c r="Z2342" s="1"/>
      <c r="AA2342" s="1"/>
      <c r="AE2342" s="1"/>
    </row>
    <row r="2343" spans="9:31" x14ac:dyDescent="0.25">
      <c r="N2343" s="1"/>
      <c r="Z2343" s="1"/>
      <c r="AA2343" s="1"/>
      <c r="AE2343" s="1"/>
    </row>
    <row r="2344" spans="9:31" x14ac:dyDescent="0.25">
      <c r="I2344" s="1"/>
      <c r="J2344" s="1"/>
      <c r="N2344" s="1"/>
      <c r="AE2344" s="1"/>
    </row>
    <row r="2345" spans="9:31" x14ac:dyDescent="0.25">
      <c r="I2345" s="1"/>
      <c r="J2345" s="1"/>
      <c r="N2345" s="1"/>
      <c r="Z2345" s="1"/>
      <c r="AA2345" s="1"/>
      <c r="AE2345" s="1"/>
    </row>
    <row r="2346" spans="9:31" x14ac:dyDescent="0.25">
      <c r="I2346" s="1"/>
      <c r="J2346" s="1"/>
      <c r="N2346" s="1"/>
      <c r="Z2346" s="1"/>
      <c r="AA2346" s="1"/>
      <c r="AE2346" s="1"/>
    </row>
    <row r="2347" spans="9:31" x14ac:dyDescent="0.25">
      <c r="I2347" s="1"/>
      <c r="J2347" s="1"/>
      <c r="N2347" s="1"/>
      <c r="AE2347" s="1"/>
    </row>
    <row r="2348" spans="9:31" x14ac:dyDescent="0.25">
      <c r="I2348" s="1"/>
      <c r="J2348" s="1"/>
      <c r="N2348" s="1"/>
      <c r="Z2348" s="1"/>
      <c r="AA2348" s="1"/>
      <c r="AE2348" s="1"/>
    </row>
    <row r="2349" spans="9:31" x14ac:dyDescent="0.25">
      <c r="I2349" s="1"/>
      <c r="J2349" s="1"/>
      <c r="N2349" s="1"/>
      <c r="Z2349" s="1"/>
      <c r="AA2349" s="1"/>
      <c r="AE2349" s="1"/>
    </row>
    <row r="2350" spans="9:31" x14ac:dyDescent="0.25">
      <c r="I2350" s="1"/>
      <c r="J2350" s="1"/>
      <c r="N2350" s="1"/>
      <c r="Z2350" s="1"/>
      <c r="AA2350" s="1"/>
      <c r="AE2350" s="1"/>
    </row>
    <row r="2351" spans="9:31" x14ac:dyDescent="0.25">
      <c r="I2351" s="1"/>
      <c r="J2351" s="1"/>
      <c r="N2351" s="1"/>
      <c r="Z2351" s="1"/>
      <c r="AA2351" s="1"/>
      <c r="AE2351" s="1"/>
    </row>
    <row r="2352" spans="9:31" x14ac:dyDescent="0.25">
      <c r="I2352" s="1"/>
      <c r="J2352" s="1"/>
      <c r="N2352" s="1"/>
      <c r="Z2352" s="1"/>
      <c r="AA2352" s="1"/>
      <c r="AE2352" s="1"/>
    </row>
    <row r="2353" spans="9:31" x14ac:dyDescent="0.25">
      <c r="I2353" s="1"/>
      <c r="J2353" s="1"/>
      <c r="N2353" s="1"/>
      <c r="Z2353" s="1"/>
      <c r="AA2353" s="1"/>
      <c r="AE2353" s="1"/>
    </row>
    <row r="2354" spans="9:31" x14ac:dyDescent="0.25">
      <c r="I2354" s="1"/>
      <c r="J2354" s="1"/>
      <c r="N2354" s="1"/>
      <c r="Z2354" s="1"/>
      <c r="AA2354" s="1"/>
      <c r="AE2354" s="1"/>
    </row>
    <row r="2355" spans="9:31" x14ac:dyDescent="0.25">
      <c r="I2355" s="1"/>
      <c r="J2355" s="1"/>
      <c r="N2355" s="1"/>
      <c r="Z2355" s="1"/>
      <c r="AA2355" s="1"/>
      <c r="AE2355" s="1"/>
    </row>
    <row r="2356" spans="9:31" x14ac:dyDescent="0.25">
      <c r="I2356" s="1"/>
      <c r="J2356" s="1"/>
      <c r="N2356" s="1"/>
      <c r="AE2356" s="1"/>
    </row>
    <row r="2357" spans="9:31" x14ac:dyDescent="0.25">
      <c r="I2357" s="1"/>
      <c r="J2357" s="1"/>
      <c r="N2357" s="1"/>
      <c r="Z2357" s="1"/>
      <c r="AA2357" s="1"/>
      <c r="AE2357" s="1"/>
    </row>
    <row r="2358" spans="9:31" x14ac:dyDescent="0.25">
      <c r="I2358" s="1"/>
      <c r="J2358" s="1"/>
      <c r="N2358" s="1"/>
      <c r="AE2358" s="1"/>
    </row>
    <row r="2359" spans="9:31" x14ac:dyDescent="0.25">
      <c r="I2359" s="1"/>
      <c r="J2359" s="1"/>
      <c r="N2359" s="1"/>
      <c r="Z2359" s="1"/>
      <c r="AA2359" s="1"/>
      <c r="AE2359" s="1"/>
    </row>
    <row r="2360" spans="9:31" x14ac:dyDescent="0.25">
      <c r="I2360" s="1"/>
      <c r="J2360" s="1"/>
      <c r="N2360" s="1"/>
      <c r="Z2360" s="1"/>
      <c r="AA2360" s="1"/>
      <c r="AE2360" s="1"/>
    </row>
    <row r="2361" spans="9:31" x14ac:dyDescent="0.25">
      <c r="I2361" s="1"/>
      <c r="J2361" s="1"/>
      <c r="N2361" s="1"/>
      <c r="Z2361" s="1"/>
      <c r="AA2361" s="1"/>
      <c r="AE2361" s="1"/>
    </row>
    <row r="2362" spans="9:31" x14ac:dyDescent="0.25">
      <c r="N2362" s="1"/>
      <c r="Z2362" s="1"/>
      <c r="AA2362" s="1"/>
      <c r="AE2362" s="1"/>
    </row>
    <row r="2363" spans="9:31" x14ac:dyDescent="0.25">
      <c r="I2363" s="1"/>
      <c r="J2363" s="1"/>
      <c r="N2363" s="1"/>
      <c r="AE2363" s="1"/>
    </row>
    <row r="2364" spans="9:31" x14ac:dyDescent="0.25">
      <c r="I2364" s="1"/>
      <c r="J2364" s="1"/>
      <c r="N2364" s="1"/>
      <c r="Z2364" s="1"/>
      <c r="AA2364" s="1"/>
      <c r="AE2364" s="1"/>
    </row>
    <row r="2365" spans="9:31" x14ac:dyDescent="0.25">
      <c r="I2365" s="1"/>
      <c r="J2365" s="1"/>
      <c r="N2365" s="1"/>
      <c r="AE2365" s="1"/>
    </row>
    <row r="2366" spans="9:31" x14ac:dyDescent="0.25">
      <c r="I2366" s="1"/>
      <c r="J2366" s="1"/>
      <c r="N2366" s="1"/>
      <c r="Z2366" s="1"/>
      <c r="AA2366" s="1"/>
      <c r="AE2366" s="1"/>
    </row>
    <row r="2367" spans="9:31" x14ac:dyDescent="0.25">
      <c r="I2367" s="1"/>
      <c r="J2367" s="1"/>
      <c r="N2367" s="1"/>
      <c r="AE2367" s="1"/>
    </row>
    <row r="2368" spans="9:31" x14ac:dyDescent="0.25">
      <c r="I2368" s="1"/>
      <c r="J2368" s="1"/>
      <c r="N2368" s="1"/>
      <c r="Z2368" s="1"/>
      <c r="AA2368" s="1"/>
      <c r="AE2368" s="1"/>
    </row>
    <row r="2369" spans="9:31" x14ac:dyDescent="0.25">
      <c r="I2369" s="1"/>
      <c r="J2369" s="1"/>
      <c r="N2369" s="1"/>
      <c r="AE2369" s="1"/>
    </row>
    <row r="2370" spans="9:31" x14ac:dyDescent="0.25">
      <c r="I2370" s="1"/>
      <c r="J2370" s="1"/>
      <c r="N2370" s="1"/>
      <c r="Z2370" s="1"/>
      <c r="AA2370" s="1"/>
      <c r="AE2370" s="1"/>
    </row>
    <row r="2371" spans="9:31" x14ac:dyDescent="0.25">
      <c r="I2371" s="1"/>
      <c r="J2371" s="1"/>
      <c r="N2371" s="1"/>
      <c r="AE2371" s="1"/>
    </row>
    <row r="2372" spans="9:31" x14ac:dyDescent="0.25">
      <c r="N2372" s="1"/>
      <c r="Z2372" s="1"/>
      <c r="AA2372" s="1"/>
      <c r="AE2372" s="1"/>
    </row>
    <row r="2373" spans="9:31" x14ac:dyDescent="0.25">
      <c r="I2373" s="1"/>
      <c r="J2373" s="1"/>
      <c r="N2373" s="1"/>
      <c r="AE2373" s="1"/>
    </row>
    <row r="2374" spans="9:31" x14ac:dyDescent="0.25">
      <c r="I2374" s="1"/>
      <c r="J2374" s="1"/>
      <c r="N2374" s="1"/>
      <c r="Z2374" s="1"/>
      <c r="AA2374" s="1"/>
      <c r="AE2374" s="1"/>
    </row>
    <row r="2375" spans="9:31" x14ac:dyDescent="0.25">
      <c r="I2375" s="1"/>
      <c r="J2375" s="1"/>
      <c r="N2375" s="1"/>
      <c r="AE2375" s="1"/>
    </row>
    <row r="2376" spans="9:31" x14ac:dyDescent="0.25">
      <c r="N2376" s="1"/>
      <c r="AE2376" s="1"/>
    </row>
    <row r="2377" spans="9:31" x14ac:dyDescent="0.25">
      <c r="N2377" s="1"/>
      <c r="AE2377" s="1"/>
    </row>
    <row r="2378" spans="9:31" x14ac:dyDescent="0.25">
      <c r="I2378" s="1"/>
      <c r="J2378" s="1"/>
      <c r="N2378" s="1"/>
      <c r="AE2378" s="1"/>
    </row>
    <row r="2379" spans="9:31" x14ac:dyDescent="0.25">
      <c r="I2379" s="1"/>
      <c r="J2379" s="1"/>
      <c r="N2379" s="1"/>
      <c r="AE2379" s="1"/>
    </row>
    <row r="2380" spans="9:31" x14ac:dyDescent="0.25">
      <c r="I2380" s="1"/>
      <c r="J2380" s="1"/>
      <c r="N2380" s="1"/>
      <c r="AE2380" s="1"/>
    </row>
    <row r="2381" spans="9:31" x14ac:dyDescent="0.25">
      <c r="I2381" s="1"/>
      <c r="J2381" s="1"/>
      <c r="N2381" s="1"/>
      <c r="Z2381" s="1"/>
      <c r="AA2381" s="1"/>
      <c r="AE2381" s="1"/>
    </row>
    <row r="2382" spans="9:31" x14ac:dyDescent="0.25">
      <c r="I2382" s="1"/>
      <c r="J2382" s="1"/>
      <c r="N2382" s="1"/>
      <c r="AE2382" s="1"/>
    </row>
    <row r="2383" spans="9:31" x14ac:dyDescent="0.25">
      <c r="N2383" s="1"/>
      <c r="Z2383" s="1"/>
      <c r="AA2383" s="1"/>
      <c r="AE2383" s="1"/>
    </row>
    <row r="2384" spans="9:31" x14ac:dyDescent="0.25">
      <c r="N2384" s="1"/>
      <c r="AE2384" s="1"/>
    </row>
    <row r="2385" spans="9:31" x14ac:dyDescent="0.25">
      <c r="I2385" s="1"/>
      <c r="J2385" s="1"/>
      <c r="N2385" s="1"/>
      <c r="AE2385" s="1"/>
    </row>
    <row r="2386" spans="9:31" x14ac:dyDescent="0.25">
      <c r="I2386" s="1"/>
      <c r="J2386" s="1"/>
      <c r="N2386" s="1"/>
      <c r="AE2386" s="1"/>
    </row>
    <row r="2387" spans="9:31" x14ac:dyDescent="0.25">
      <c r="I2387" s="1"/>
      <c r="J2387" s="1"/>
      <c r="N2387" s="1"/>
      <c r="AE2387" s="1"/>
    </row>
    <row r="2388" spans="9:31" x14ac:dyDescent="0.25">
      <c r="I2388" s="1"/>
      <c r="J2388" s="1"/>
      <c r="N2388" s="1"/>
      <c r="Z2388" s="1"/>
      <c r="AA2388" s="1"/>
      <c r="AE2388" s="1"/>
    </row>
    <row r="2389" spans="9:31" x14ac:dyDescent="0.25">
      <c r="I2389" s="1"/>
      <c r="J2389" s="1"/>
      <c r="N2389" s="1"/>
      <c r="Z2389" s="1"/>
      <c r="AA2389" s="1"/>
      <c r="AE2389" s="1"/>
    </row>
    <row r="2390" spans="9:31" x14ac:dyDescent="0.25">
      <c r="I2390" s="1"/>
      <c r="J2390" s="1"/>
      <c r="N2390" s="1"/>
      <c r="AE2390" s="1"/>
    </row>
    <row r="2391" spans="9:31" x14ac:dyDescent="0.25">
      <c r="I2391" s="1"/>
      <c r="J2391" s="1"/>
      <c r="N2391" s="1"/>
      <c r="AE2391" s="1"/>
    </row>
    <row r="2392" spans="9:31" x14ac:dyDescent="0.25">
      <c r="I2392" s="1"/>
      <c r="J2392" s="1"/>
      <c r="N2392" s="1"/>
      <c r="Z2392" s="1"/>
      <c r="AE2392" s="1"/>
    </row>
    <row r="2393" spans="9:31" x14ac:dyDescent="0.25">
      <c r="I2393" s="1"/>
      <c r="J2393" s="1"/>
      <c r="N2393" s="1"/>
      <c r="AE2393" s="1"/>
    </row>
    <row r="2394" spans="9:31" x14ac:dyDescent="0.25">
      <c r="I2394" s="1"/>
      <c r="N2394" s="1"/>
      <c r="Z2394" s="1"/>
      <c r="AA2394" s="1"/>
      <c r="AE2394" s="1"/>
    </row>
    <row r="2395" spans="9:31" x14ac:dyDescent="0.25">
      <c r="I2395" s="1"/>
      <c r="J2395" s="1"/>
      <c r="N2395" s="1"/>
      <c r="Z2395" s="1"/>
      <c r="AE2395" s="1"/>
    </row>
    <row r="2396" spans="9:31" x14ac:dyDescent="0.25">
      <c r="I2396" s="1"/>
      <c r="J2396" s="1"/>
      <c r="N2396" s="1"/>
      <c r="AE2396" s="1"/>
    </row>
    <row r="2397" spans="9:31" x14ac:dyDescent="0.25">
      <c r="I2397" s="1"/>
      <c r="J2397" s="1"/>
      <c r="N2397" s="1"/>
      <c r="Z2397" s="1"/>
      <c r="AA2397" s="1"/>
      <c r="AE2397" s="1"/>
    </row>
    <row r="2398" spans="9:31" x14ac:dyDescent="0.25">
      <c r="N2398" s="1"/>
      <c r="Z2398" s="1"/>
      <c r="AA2398" s="1"/>
      <c r="AE2398" s="1"/>
    </row>
    <row r="2399" spans="9:31" x14ac:dyDescent="0.25">
      <c r="I2399" s="1"/>
      <c r="J2399" s="1"/>
      <c r="N2399" s="1"/>
      <c r="AE2399" s="1"/>
    </row>
    <row r="2400" spans="9:31" x14ac:dyDescent="0.25">
      <c r="N2400" s="1"/>
      <c r="AE2400" s="1"/>
    </row>
    <row r="2401" spans="9:31" x14ac:dyDescent="0.25">
      <c r="I2401" s="1"/>
      <c r="J2401" s="1"/>
      <c r="N2401" s="1"/>
      <c r="AE2401" s="1"/>
    </row>
    <row r="2402" spans="9:31" x14ac:dyDescent="0.25">
      <c r="N2402" s="1"/>
      <c r="Z2402" s="1"/>
      <c r="AA2402" s="1"/>
      <c r="AE2402" s="1"/>
    </row>
    <row r="2403" spans="9:31" x14ac:dyDescent="0.25">
      <c r="N2403" s="1"/>
      <c r="AE2403" s="1"/>
    </row>
    <row r="2404" spans="9:31" x14ac:dyDescent="0.25">
      <c r="I2404" s="1"/>
      <c r="J2404" s="1"/>
      <c r="N2404" s="1"/>
      <c r="AE2404" s="1"/>
    </row>
    <row r="2405" spans="9:31" x14ac:dyDescent="0.25">
      <c r="N2405" s="1"/>
      <c r="Z2405" s="1"/>
      <c r="AA2405" s="1"/>
      <c r="AE2405" s="1"/>
    </row>
    <row r="2406" spans="9:31" x14ac:dyDescent="0.25">
      <c r="I2406" s="1"/>
      <c r="J2406" s="1"/>
      <c r="N2406" s="1"/>
      <c r="AE2406" s="1"/>
    </row>
    <row r="2407" spans="9:31" x14ac:dyDescent="0.25">
      <c r="I2407" s="1"/>
      <c r="J2407" s="1"/>
      <c r="N2407" s="1"/>
      <c r="AE2407" s="1"/>
    </row>
    <row r="2408" spans="9:31" x14ac:dyDescent="0.25">
      <c r="I2408" s="1"/>
      <c r="J2408" s="1"/>
      <c r="N2408" s="1"/>
      <c r="AE2408" s="1"/>
    </row>
    <row r="2409" spans="9:31" x14ac:dyDescent="0.25">
      <c r="I2409" s="1"/>
      <c r="J2409" s="1"/>
      <c r="N2409" s="1"/>
      <c r="Z2409" s="1"/>
      <c r="AA2409" s="1"/>
      <c r="AE2409" s="1"/>
    </row>
    <row r="2410" spans="9:31" x14ac:dyDescent="0.25">
      <c r="I2410" s="1"/>
      <c r="J2410" s="1"/>
      <c r="N2410" s="1"/>
      <c r="AE2410" s="1"/>
    </row>
    <row r="2411" spans="9:31" x14ac:dyDescent="0.25">
      <c r="I2411" s="1"/>
      <c r="J2411" s="1"/>
      <c r="N2411" s="1"/>
      <c r="AE2411" s="1"/>
    </row>
    <row r="2412" spans="9:31" x14ac:dyDescent="0.25">
      <c r="I2412" s="1"/>
      <c r="J2412" s="1"/>
      <c r="N2412" s="1"/>
      <c r="Z2412" s="1"/>
      <c r="AA2412" s="1"/>
      <c r="AE2412" s="1"/>
    </row>
    <row r="2413" spans="9:31" x14ac:dyDescent="0.25">
      <c r="I2413" s="1"/>
      <c r="J2413" s="1"/>
      <c r="N2413" s="1"/>
      <c r="Z2413" s="1"/>
      <c r="AA2413" s="1"/>
      <c r="AE2413" s="1"/>
    </row>
    <row r="2414" spans="9:31" x14ac:dyDescent="0.25">
      <c r="I2414" s="1"/>
      <c r="J2414" s="1"/>
      <c r="N2414" s="1"/>
      <c r="AE2414" s="1"/>
    </row>
    <row r="2415" spans="9:31" x14ac:dyDescent="0.25">
      <c r="I2415" s="1"/>
      <c r="J2415" s="1"/>
      <c r="N2415" s="1"/>
      <c r="Z2415" s="1"/>
      <c r="AA2415" s="1"/>
      <c r="AE2415" s="1"/>
    </row>
    <row r="2416" spans="9:31" x14ac:dyDescent="0.25">
      <c r="I2416" s="1"/>
      <c r="J2416" s="1"/>
      <c r="N2416" s="1"/>
      <c r="Z2416" s="1"/>
      <c r="AA2416" s="1"/>
      <c r="AE2416" s="1"/>
    </row>
    <row r="2417" spans="9:31" x14ac:dyDescent="0.25">
      <c r="I2417" s="1"/>
      <c r="J2417" s="1"/>
      <c r="N2417" s="1"/>
      <c r="Z2417" s="1"/>
      <c r="AA2417" s="1"/>
      <c r="AE2417" s="1"/>
    </row>
    <row r="2418" spans="9:31" x14ac:dyDescent="0.25">
      <c r="I2418" s="1"/>
      <c r="J2418" s="1"/>
      <c r="N2418" s="1"/>
      <c r="Z2418" s="1"/>
      <c r="AA2418" s="1"/>
      <c r="AE2418" s="1"/>
    </row>
    <row r="2419" spans="9:31" x14ac:dyDescent="0.25">
      <c r="I2419" s="1"/>
      <c r="J2419" s="1"/>
      <c r="N2419" s="1"/>
      <c r="Z2419" s="1"/>
      <c r="AA2419" s="1"/>
      <c r="AE2419" s="1"/>
    </row>
    <row r="2420" spans="9:31" x14ac:dyDescent="0.25">
      <c r="I2420" s="1"/>
      <c r="J2420" s="1"/>
      <c r="N2420" s="1"/>
      <c r="AE2420" s="1"/>
    </row>
    <row r="2421" spans="9:31" x14ac:dyDescent="0.25">
      <c r="I2421" s="1"/>
      <c r="J2421" s="1"/>
      <c r="N2421" s="1"/>
      <c r="AE2421" s="1"/>
    </row>
    <row r="2422" spans="9:31" x14ac:dyDescent="0.25">
      <c r="I2422" s="1"/>
      <c r="J2422" s="1"/>
      <c r="N2422" s="1"/>
      <c r="AE2422" s="1"/>
    </row>
    <row r="2423" spans="9:31" x14ac:dyDescent="0.25">
      <c r="I2423" s="1"/>
      <c r="J2423" s="1"/>
      <c r="N2423" s="1"/>
      <c r="AE2423" s="1"/>
    </row>
    <row r="2424" spans="9:31" x14ac:dyDescent="0.25">
      <c r="I2424" s="1"/>
      <c r="J2424" s="1"/>
      <c r="N2424" s="1"/>
      <c r="Z2424" s="1"/>
      <c r="AA2424" s="1"/>
      <c r="AE2424" s="1"/>
    </row>
    <row r="2425" spans="9:31" x14ac:dyDescent="0.25">
      <c r="I2425" s="1"/>
      <c r="J2425" s="1"/>
      <c r="N2425" s="1"/>
      <c r="AE2425" s="1"/>
    </row>
    <row r="2426" spans="9:31" x14ac:dyDescent="0.25">
      <c r="I2426" s="1"/>
      <c r="J2426" s="1"/>
      <c r="N2426" s="1"/>
      <c r="Z2426" s="1"/>
      <c r="AA2426" s="1"/>
      <c r="AE2426" s="1"/>
    </row>
    <row r="2427" spans="9:31" x14ac:dyDescent="0.25">
      <c r="I2427" s="1"/>
      <c r="J2427" s="1"/>
      <c r="N2427" s="1"/>
      <c r="AE2427" s="1"/>
    </row>
    <row r="2428" spans="9:31" x14ac:dyDescent="0.25">
      <c r="N2428" s="1"/>
      <c r="Z2428" s="1"/>
      <c r="AA2428" s="1"/>
      <c r="AE2428" s="1"/>
    </row>
    <row r="2429" spans="9:31" x14ac:dyDescent="0.25">
      <c r="N2429" s="1"/>
      <c r="AE2429" s="1"/>
    </row>
    <row r="2430" spans="9:31" x14ac:dyDescent="0.25">
      <c r="I2430" s="1"/>
      <c r="J2430" s="1"/>
      <c r="N2430" s="1"/>
      <c r="AE2430" s="1"/>
    </row>
    <row r="2431" spans="9:31" x14ac:dyDescent="0.25">
      <c r="I2431" s="1"/>
      <c r="J2431" s="1"/>
      <c r="N2431" s="1"/>
      <c r="AE2431" s="1"/>
    </row>
    <row r="2432" spans="9:31" x14ac:dyDescent="0.25">
      <c r="I2432" s="1"/>
      <c r="J2432" s="1"/>
      <c r="N2432" s="1"/>
      <c r="AE2432" s="1"/>
    </row>
    <row r="2433" spans="9:31" x14ac:dyDescent="0.25">
      <c r="I2433" s="1"/>
      <c r="J2433" s="1"/>
      <c r="N2433" s="1"/>
      <c r="Z2433" s="1"/>
      <c r="AA2433" s="1"/>
      <c r="AE2433" s="1"/>
    </row>
    <row r="2434" spans="9:31" x14ac:dyDescent="0.25">
      <c r="I2434" s="1"/>
      <c r="J2434" s="1"/>
      <c r="N2434" s="1"/>
      <c r="Z2434" s="1"/>
      <c r="AA2434" s="1"/>
      <c r="AE2434" s="1"/>
    </row>
    <row r="2435" spans="9:31" x14ac:dyDescent="0.25">
      <c r="I2435" s="1"/>
      <c r="J2435" s="1"/>
      <c r="N2435" s="1"/>
      <c r="Z2435" s="1"/>
      <c r="AA2435" s="1"/>
      <c r="AE2435" s="1"/>
    </row>
    <row r="2436" spans="9:31" x14ac:dyDescent="0.25">
      <c r="I2436" s="1"/>
      <c r="J2436" s="1"/>
      <c r="N2436" s="1"/>
      <c r="Z2436" s="1"/>
      <c r="AA2436" s="1"/>
      <c r="AE2436" s="1"/>
    </row>
    <row r="2437" spans="9:31" x14ac:dyDescent="0.25">
      <c r="N2437" s="1"/>
      <c r="Z2437" s="1"/>
      <c r="AA2437" s="1"/>
      <c r="AE2437" s="1"/>
    </row>
    <row r="2438" spans="9:31" x14ac:dyDescent="0.25">
      <c r="I2438" s="1"/>
      <c r="J2438" s="1"/>
      <c r="N2438" s="1"/>
      <c r="AE2438" s="1"/>
    </row>
    <row r="2439" spans="9:31" x14ac:dyDescent="0.25">
      <c r="I2439" s="1"/>
      <c r="J2439" s="1"/>
      <c r="N2439" s="1"/>
      <c r="AE2439" s="1"/>
    </row>
    <row r="2440" spans="9:31" x14ac:dyDescent="0.25">
      <c r="I2440" s="1"/>
      <c r="J2440" s="1"/>
      <c r="N2440" s="1"/>
      <c r="Z2440" s="1"/>
      <c r="AA2440" s="1"/>
      <c r="AE2440" s="1"/>
    </row>
    <row r="2441" spans="9:31" x14ac:dyDescent="0.25">
      <c r="I2441" s="1"/>
      <c r="J2441" s="1"/>
      <c r="N2441" s="1"/>
      <c r="Z2441" s="1"/>
      <c r="AA2441" s="1"/>
      <c r="AE2441" s="1"/>
    </row>
    <row r="2442" spans="9:31" x14ac:dyDescent="0.25">
      <c r="I2442" s="1"/>
      <c r="J2442" s="1"/>
      <c r="N2442" s="1"/>
      <c r="AE2442" s="1"/>
    </row>
    <row r="2443" spans="9:31" x14ac:dyDescent="0.25">
      <c r="I2443" s="1"/>
      <c r="J2443" s="1"/>
      <c r="N2443" s="1"/>
      <c r="Z2443" s="1"/>
      <c r="AA2443" s="1"/>
      <c r="AE2443" s="1"/>
    </row>
    <row r="2444" spans="9:31" x14ac:dyDescent="0.25">
      <c r="I2444" s="1"/>
      <c r="J2444" s="1"/>
      <c r="N2444" s="1"/>
      <c r="AE2444" s="1"/>
    </row>
    <row r="2445" spans="9:31" x14ac:dyDescent="0.25">
      <c r="I2445" s="1"/>
      <c r="J2445" s="1"/>
      <c r="N2445" s="1"/>
      <c r="AE2445" s="1"/>
    </row>
    <row r="2446" spans="9:31" x14ac:dyDescent="0.25">
      <c r="I2446" s="1"/>
      <c r="J2446" s="1"/>
      <c r="N2446" s="1"/>
      <c r="AE2446" s="1"/>
    </row>
    <row r="2447" spans="9:31" x14ac:dyDescent="0.25">
      <c r="I2447" s="1"/>
      <c r="J2447" s="1"/>
      <c r="N2447" s="1"/>
      <c r="AE2447" s="1"/>
    </row>
    <row r="2448" spans="9:31" x14ac:dyDescent="0.25">
      <c r="I2448" s="1"/>
      <c r="J2448" s="1"/>
      <c r="N2448" s="1"/>
      <c r="AE2448" s="1"/>
    </row>
    <row r="2449" spans="9:31" x14ac:dyDescent="0.25">
      <c r="I2449" s="1"/>
      <c r="J2449" s="1"/>
      <c r="N2449" s="1"/>
      <c r="AE2449" s="1"/>
    </row>
    <row r="2450" spans="9:31" x14ac:dyDescent="0.25">
      <c r="I2450" s="1"/>
      <c r="J2450" s="1"/>
      <c r="N2450" s="1"/>
      <c r="AE2450" s="1"/>
    </row>
    <row r="2451" spans="9:31" x14ac:dyDescent="0.25">
      <c r="I2451" s="1"/>
      <c r="J2451" s="1"/>
      <c r="N2451" s="1"/>
      <c r="Z2451" s="1"/>
      <c r="AA2451" s="1"/>
      <c r="AE2451" s="1"/>
    </row>
    <row r="2452" spans="9:31" x14ac:dyDescent="0.25">
      <c r="I2452" s="1"/>
      <c r="J2452" s="1"/>
      <c r="N2452" s="1"/>
      <c r="Z2452" s="1"/>
      <c r="AA2452" s="1"/>
      <c r="AE2452" s="1"/>
    </row>
    <row r="2453" spans="9:31" x14ac:dyDescent="0.25">
      <c r="I2453" s="1"/>
      <c r="J2453" s="1"/>
      <c r="N2453" s="1"/>
      <c r="AE2453" s="1"/>
    </row>
    <row r="2454" spans="9:31" x14ac:dyDescent="0.25">
      <c r="N2454" s="1"/>
      <c r="AE2454" s="1"/>
    </row>
    <row r="2455" spans="9:31" x14ac:dyDescent="0.25">
      <c r="I2455" s="1"/>
      <c r="J2455" s="1"/>
      <c r="N2455" s="1"/>
      <c r="AE2455" s="1"/>
    </row>
    <row r="2456" spans="9:31" x14ac:dyDescent="0.25">
      <c r="I2456" s="1"/>
      <c r="J2456" s="1"/>
      <c r="N2456" s="1"/>
      <c r="Z2456" s="1"/>
      <c r="AA2456" s="1"/>
      <c r="AE2456" s="1"/>
    </row>
    <row r="2457" spans="9:31" x14ac:dyDescent="0.25">
      <c r="I2457" s="1"/>
      <c r="J2457" s="1"/>
      <c r="N2457" s="1"/>
      <c r="Z2457" s="1"/>
      <c r="AA2457" s="1"/>
      <c r="AE2457" s="1"/>
    </row>
    <row r="2458" spans="9:31" x14ac:dyDescent="0.25">
      <c r="I2458" s="1"/>
      <c r="J2458" s="1"/>
      <c r="N2458" s="1"/>
      <c r="Z2458" s="1"/>
      <c r="AA2458" s="1"/>
      <c r="AE2458" s="1"/>
    </row>
    <row r="2459" spans="9:31" x14ac:dyDescent="0.25">
      <c r="I2459" s="1"/>
      <c r="J2459" s="1"/>
      <c r="N2459" s="1"/>
      <c r="AE2459" s="1"/>
    </row>
    <row r="2460" spans="9:31" x14ac:dyDescent="0.25">
      <c r="I2460" s="1"/>
      <c r="J2460" s="1"/>
      <c r="N2460" s="1"/>
      <c r="Z2460" s="1"/>
      <c r="AA2460" s="1"/>
      <c r="AE2460" s="1"/>
    </row>
    <row r="2461" spans="9:31" x14ac:dyDescent="0.25">
      <c r="I2461" s="1"/>
      <c r="J2461" s="1"/>
      <c r="N2461" s="1"/>
      <c r="AE2461" s="1"/>
    </row>
    <row r="2462" spans="9:31" x14ac:dyDescent="0.25">
      <c r="I2462" s="1"/>
      <c r="J2462" s="1"/>
      <c r="N2462" s="1"/>
      <c r="Z2462" s="1"/>
      <c r="AA2462" s="1"/>
      <c r="AE2462" s="1"/>
    </row>
    <row r="2463" spans="9:31" x14ac:dyDescent="0.25">
      <c r="I2463" s="1"/>
      <c r="J2463" s="1"/>
      <c r="N2463" s="1"/>
      <c r="AE2463" s="1"/>
    </row>
    <row r="2464" spans="9:31" x14ac:dyDescent="0.25">
      <c r="I2464" s="1"/>
      <c r="J2464" s="1"/>
      <c r="N2464" s="1"/>
      <c r="Z2464" s="1"/>
      <c r="AA2464" s="1"/>
      <c r="AE2464" s="1"/>
    </row>
    <row r="2465" spans="9:31" x14ac:dyDescent="0.25">
      <c r="I2465" s="1"/>
      <c r="J2465" s="1"/>
      <c r="N2465" s="1"/>
      <c r="AE2465" s="1"/>
    </row>
    <row r="2466" spans="9:31" x14ac:dyDescent="0.25">
      <c r="N2466" s="1"/>
      <c r="Z2466" s="1"/>
      <c r="AA2466" s="1"/>
      <c r="AE2466" s="1"/>
    </row>
    <row r="2467" spans="9:31" x14ac:dyDescent="0.25">
      <c r="I2467" s="1"/>
      <c r="J2467" s="1"/>
      <c r="N2467" s="1"/>
      <c r="AE2467" s="1"/>
    </row>
    <row r="2468" spans="9:31" x14ac:dyDescent="0.25">
      <c r="I2468" s="1"/>
      <c r="J2468" s="1"/>
      <c r="N2468" s="1"/>
      <c r="Z2468" s="1"/>
      <c r="AA2468" s="1"/>
      <c r="AE2468" s="1"/>
    </row>
    <row r="2469" spans="9:31" x14ac:dyDescent="0.25">
      <c r="I2469" s="1"/>
      <c r="J2469" s="1"/>
      <c r="N2469" s="1"/>
      <c r="Z2469" s="1"/>
      <c r="AA2469" s="1"/>
      <c r="AE2469" s="1"/>
    </row>
    <row r="2470" spans="9:31" x14ac:dyDescent="0.25">
      <c r="I2470" s="1"/>
      <c r="J2470" s="1"/>
      <c r="N2470" s="1"/>
      <c r="Z2470" s="1"/>
      <c r="AA2470" s="1"/>
      <c r="AE2470" s="1"/>
    </row>
    <row r="2471" spans="9:31" x14ac:dyDescent="0.25">
      <c r="I2471" s="1"/>
      <c r="J2471" s="1"/>
      <c r="N2471" s="1"/>
      <c r="Z2471" s="1"/>
      <c r="AA2471" s="1"/>
      <c r="AE2471" s="1"/>
    </row>
    <row r="2472" spans="9:31" x14ac:dyDescent="0.25">
      <c r="I2472" s="1"/>
      <c r="J2472" s="1"/>
      <c r="N2472" s="1"/>
      <c r="Z2472" s="1"/>
      <c r="AA2472" s="1"/>
      <c r="AE2472" s="1"/>
    </row>
    <row r="2473" spans="9:31" x14ac:dyDescent="0.25">
      <c r="I2473" s="1"/>
      <c r="J2473" s="1"/>
      <c r="N2473" s="1"/>
      <c r="AE2473" s="1"/>
    </row>
    <row r="2474" spans="9:31" x14ac:dyDescent="0.25">
      <c r="I2474" s="1"/>
      <c r="J2474" s="1"/>
      <c r="N2474" s="1"/>
      <c r="Z2474" s="1"/>
      <c r="AA2474" s="1"/>
      <c r="AE2474" s="1"/>
    </row>
    <row r="2475" spans="9:31" x14ac:dyDescent="0.25">
      <c r="I2475" s="1"/>
      <c r="J2475" s="1"/>
      <c r="N2475" s="1"/>
      <c r="AE2475" s="1"/>
    </row>
    <row r="2476" spans="9:31" x14ac:dyDescent="0.25">
      <c r="I2476" s="1"/>
      <c r="J2476" s="1"/>
      <c r="N2476" s="1"/>
      <c r="AE2476" s="1"/>
    </row>
    <row r="2477" spans="9:31" x14ac:dyDescent="0.25">
      <c r="I2477" s="1"/>
      <c r="J2477" s="1"/>
      <c r="N2477" s="1"/>
      <c r="Z2477" s="1"/>
      <c r="AA2477" s="1"/>
      <c r="AE2477" s="1"/>
    </row>
    <row r="2478" spans="9:31" x14ac:dyDescent="0.25">
      <c r="I2478" s="1"/>
      <c r="J2478" s="1"/>
      <c r="N2478" s="1"/>
      <c r="Z2478" s="1"/>
      <c r="AA2478" s="1"/>
      <c r="AE2478" s="1"/>
    </row>
    <row r="2479" spans="9:31" x14ac:dyDescent="0.25">
      <c r="I2479" s="1"/>
      <c r="J2479" s="1"/>
      <c r="N2479" s="1"/>
      <c r="Z2479" s="1"/>
      <c r="AA2479" s="1"/>
      <c r="AE2479" s="1"/>
    </row>
    <row r="2480" spans="9:31" x14ac:dyDescent="0.25">
      <c r="I2480" s="1"/>
      <c r="J2480" s="1"/>
      <c r="N2480" s="1"/>
      <c r="Z2480" s="1"/>
      <c r="AA2480" s="1"/>
      <c r="AE2480" s="1"/>
    </row>
    <row r="2481" spans="9:31" x14ac:dyDescent="0.25">
      <c r="I2481" s="1"/>
      <c r="J2481" s="1"/>
      <c r="N2481" s="1"/>
      <c r="Z2481" s="1"/>
      <c r="AA2481" s="1"/>
      <c r="AE2481" s="1"/>
    </row>
    <row r="2482" spans="9:31" x14ac:dyDescent="0.25">
      <c r="I2482" s="1"/>
      <c r="J2482" s="1"/>
      <c r="N2482" s="1"/>
      <c r="Z2482" s="1"/>
      <c r="AA2482" s="1"/>
      <c r="AE2482" s="1"/>
    </row>
    <row r="2483" spans="9:31" x14ac:dyDescent="0.25">
      <c r="I2483" s="1"/>
      <c r="J2483" s="1"/>
      <c r="N2483" s="1"/>
      <c r="AE2483" s="1"/>
    </row>
    <row r="2484" spans="9:31" x14ac:dyDescent="0.25">
      <c r="I2484" s="1"/>
      <c r="J2484" s="1"/>
      <c r="N2484" s="1"/>
      <c r="AE2484" s="1"/>
    </row>
    <row r="2485" spans="9:31" x14ac:dyDescent="0.25">
      <c r="I2485" s="1"/>
      <c r="J2485" s="1"/>
      <c r="N2485" s="1"/>
      <c r="AE2485" s="1"/>
    </row>
    <row r="2486" spans="9:31" x14ac:dyDescent="0.25">
      <c r="I2486" s="1"/>
      <c r="J2486" s="1"/>
      <c r="N2486" s="1"/>
      <c r="AE2486" s="1"/>
    </row>
    <row r="2487" spans="9:31" x14ac:dyDescent="0.25">
      <c r="I2487" s="1"/>
      <c r="J2487" s="1"/>
      <c r="N2487" s="1"/>
      <c r="Z2487" s="1"/>
      <c r="AA2487" s="1"/>
      <c r="AE2487" s="1"/>
    </row>
    <row r="2488" spans="9:31" x14ac:dyDescent="0.25">
      <c r="I2488" s="1"/>
      <c r="J2488" s="1"/>
      <c r="N2488" s="1"/>
      <c r="Z2488" s="1"/>
      <c r="AA2488" s="1"/>
      <c r="AE2488" s="1"/>
    </row>
    <row r="2489" spans="9:31" x14ac:dyDescent="0.25">
      <c r="I2489" s="1"/>
      <c r="J2489" s="1"/>
      <c r="N2489" s="1"/>
      <c r="AE2489" s="1"/>
    </row>
    <row r="2490" spans="9:31" x14ac:dyDescent="0.25">
      <c r="I2490" s="1"/>
      <c r="J2490" s="1"/>
      <c r="N2490" s="1"/>
      <c r="AE2490" s="1"/>
    </row>
    <row r="2491" spans="9:31" x14ac:dyDescent="0.25">
      <c r="N2491" s="1"/>
      <c r="AE2491" s="1"/>
    </row>
    <row r="2492" spans="9:31" x14ac:dyDescent="0.25">
      <c r="I2492" s="1"/>
      <c r="J2492" s="1"/>
      <c r="N2492" s="1"/>
      <c r="AE2492" s="1"/>
    </row>
    <row r="2493" spans="9:31" x14ac:dyDescent="0.25">
      <c r="I2493" s="1"/>
      <c r="J2493" s="1"/>
      <c r="N2493" s="1"/>
      <c r="Z2493" s="1"/>
      <c r="AA2493" s="1"/>
      <c r="AE2493" s="1"/>
    </row>
    <row r="2494" spans="9:31" x14ac:dyDescent="0.25">
      <c r="I2494" s="1"/>
      <c r="J2494" s="1"/>
      <c r="N2494" s="1"/>
      <c r="Z2494" s="1"/>
      <c r="AA2494" s="1"/>
      <c r="AE2494" s="1"/>
    </row>
    <row r="2495" spans="9:31" x14ac:dyDescent="0.25">
      <c r="N2495" s="1"/>
      <c r="AE2495" s="1"/>
    </row>
    <row r="2496" spans="9:31" x14ac:dyDescent="0.25">
      <c r="I2496" s="1"/>
      <c r="J2496" s="1"/>
      <c r="N2496" s="1"/>
      <c r="AE2496" s="1"/>
    </row>
    <row r="2497" spans="9:31" x14ac:dyDescent="0.25">
      <c r="I2497" s="1"/>
      <c r="J2497" s="1"/>
      <c r="N2497" s="1"/>
      <c r="AE2497" s="1"/>
    </row>
    <row r="2498" spans="9:31" x14ac:dyDescent="0.25">
      <c r="I2498" s="1"/>
      <c r="J2498" s="1"/>
      <c r="N2498" s="1"/>
      <c r="AE2498" s="1"/>
    </row>
    <row r="2499" spans="9:31" x14ac:dyDescent="0.25">
      <c r="I2499" s="1"/>
      <c r="J2499" s="1"/>
      <c r="N2499" s="1"/>
      <c r="Z2499" s="1"/>
      <c r="AA2499" s="1"/>
      <c r="AE2499" s="1"/>
    </row>
    <row r="2500" spans="9:31" x14ac:dyDescent="0.25">
      <c r="I2500" s="1"/>
      <c r="J2500" s="1"/>
      <c r="N2500" s="1"/>
      <c r="AE2500" s="1"/>
    </row>
    <row r="2501" spans="9:31" x14ac:dyDescent="0.25">
      <c r="I2501" s="1"/>
      <c r="J2501" s="1"/>
      <c r="N2501" s="1"/>
      <c r="Z2501" s="1"/>
      <c r="AA2501" s="1"/>
      <c r="AE2501" s="1"/>
    </row>
    <row r="2502" spans="9:31" x14ac:dyDescent="0.25">
      <c r="I2502" s="1"/>
      <c r="J2502" s="1"/>
      <c r="N2502" s="1"/>
      <c r="Z2502" s="1"/>
      <c r="AA2502" s="1"/>
      <c r="AE2502" s="1"/>
    </row>
    <row r="2503" spans="9:31" x14ac:dyDescent="0.25">
      <c r="I2503" s="1"/>
      <c r="J2503" s="1"/>
      <c r="N2503" s="1"/>
      <c r="AE2503" s="1"/>
    </row>
    <row r="2504" spans="9:31" x14ac:dyDescent="0.25">
      <c r="I2504" s="1"/>
      <c r="J2504" s="1"/>
      <c r="N2504" s="1"/>
      <c r="Z2504" s="1"/>
      <c r="AA2504" s="1"/>
      <c r="AE2504" s="1"/>
    </row>
    <row r="2505" spans="9:31" x14ac:dyDescent="0.25">
      <c r="I2505" s="1"/>
      <c r="J2505" s="1"/>
      <c r="N2505" s="1"/>
      <c r="Z2505" s="1"/>
      <c r="AA2505" s="1"/>
      <c r="AE2505" s="1"/>
    </row>
    <row r="2506" spans="9:31" x14ac:dyDescent="0.25">
      <c r="I2506" s="1"/>
      <c r="J2506" s="1"/>
      <c r="N2506" s="1"/>
      <c r="Z2506" s="1"/>
      <c r="AA2506" s="1"/>
      <c r="AE2506" s="1"/>
    </row>
    <row r="2507" spans="9:31" x14ac:dyDescent="0.25">
      <c r="N2507" s="1"/>
      <c r="AE2507" s="1"/>
    </row>
    <row r="2508" spans="9:31" x14ac:dyDescent="0.25">
      <c r="I2508" s="1"/>
      <c r="J2508" s="1"/>
      <c r="N2508" s="1"/>
      <c r="AE2508" s="1"/>
    </row>
    <row r="2509" spans="9:31" x14ac:dyDescent="0.25">
      <c r="I2509" s="1"/>
      <c r="J2509" s="1"/>
      <c r="N2509" s="1"/>
      <c r="Z2509" s="1"/>
      <c r="AA2509" s="1"/>
      <c r="AE2509" s="1"/>
    </row>
    <row r="2510" spans="9:31" x14ac:dyDescent="0.25">
      <c r="I2510" s="1"/>
      <c r="J2510" s="1"/>
      <c r="N2510" s="1"/>
      <c r="AE2510" s="1"/>
    </row>
    <row r="2511" spans="9:31" x14ac:dyDescent="0.25">
      <c r="I2511" s="1"/>
      <c r="J2511" s="1"/>
      <c r="N2511" s="1"/>
      <c r="AE2511" s="1"/>
    </row>
    <row r="2512" spans="9:31" x14ac:dyDescent="0.25">
      <c r="N2512" s="1"/>
      <c r="AE2512" s="1"/>
    </row>
    <row r="2513" spans="9:31" x14ac:dyDescent="0.25">
      <c r="I2513" s="1"/>
      <c r="J2513" s="1"/>
      <c r="N2513" s="1"/>
      <c r="AE2513" s="1"/>
    </row>
    <row r="2514" spans="9:31" x14ac:dyDescent="0.25">
      <c r="I2514" s="1"/>
      <c r="J2514" s="1"/>
      <c r="N2514" s="1"/>
      <c r="Z2514" s="1"/>
      <c r="AA2514" s="1"/>
      <c r="AE2514" s="1"/>
    </row>
    <row r="2515" spans="9:31" x14ac:dyDescent="0.25">
      <c r="N2515" s="1"/>
      <c r="Z2515" s="1"/>
      <c r="AA2515" s="1"/>
      <c r="AE2515" s="1"/>
    </row>
    <row r="2516" spans="9:31" x14ac:dyDescent="0.25">
      <c r="I2516" s="1"/>
      <c r="J2516" s="1"/>
      <c r="N2516" s="1"/>
      <c r="AE2516" s="1"/>
    </row>
    <row r="2517" spans="9:31" x14ac:dyDescent="0.25">
      <c r="I2517" s="1"/>
      <c r="J2517" s="1"/>
      <c r="N2517" s="1"/>
      <c r="AE2517" s="1"/>
    </row>
    <row r="2518" spans="9:31" x14ac:dyDescent="0.25">
      <c r="I2518" s="1"/>
      <c r="J2518" s="1"/>
      <c r="N2518" s="1"/>
      <c r="AE2518" s="1"/>
    </row>
    <row r="2519" spans="9:31" x14ac:dyDescent="0.25">
      <c r="I2519" s="1"/>
      <c r="J2519" s="1"/>
      <c r="N2519" s="1"/>
      <c r="AE2519" s="1"/>
    </row>
    <row r="2520" spans="9:31" x14ac:dyDescent="0.25">
      <c r="I2520" s="1"/>
      <c r="J2520" s="1"/>
      <c r="N2520" s="1"/>
      <c r="AE2520" s="1"/>
    </row>
    <row r="2521" spans="9:31" x14ac:dyDescent="0.25">
      <c r="I2521" s="1"/>
      <c r="J2521" s="1"/>
      <c r="N2521" s="1"/>
      <c r="Z2521" s="1"/>
      <c r="AA2521" s="1"/>
      <c r="AE2521" s="1"/>
    </row>
    <row r="2522" spans="9:31" x14ac:dyDescent="0.25">
      <c r="I2522" s="1"/>
      <c r="J2522" s="1"/>
      <c r="N2522" s="1"/>
      <c r="Z2522" s="1"/>
      <c r="AA2522" s="1"/>
      <c r="AE2522" s="1"/>
    </row>
    <row r="2523" spans="9:31" x14ac:dyDescent="0.25">
      <c r="I2523" s="1"/>
      <c r="J2523" s="1"/>
      <c r="N2523" s="1"/>
      <c r="Z2523" s="1"/>
      <c r="AA2523" s="1"/>
      <c r="AE2523" s="1"/>
    </row>
    <row r="2524" spans="9:31" x14ac:dyDescent="0.25">
      <c r="I2524" s="1"/>
      <c r="J2524" s="1"/>
      <c r="N2524" s="1"/>
      <c r="AE2524" s="1"/>
    </row>
    <row r="2525" spans="9:31" x14ac:dyDescent="0.25">
      <c r="I2525" s="1"/>
      <c r="J2525" s="1"/>
      <c r="N2525" s="1"/>
      <c r="Z2525" s="1"/>
      <c r="AA2525" s="1"/>
      <c r="AE2525" s="1"/>
    </row>
    <row r="2526" spans="9:31" x14ac:dyDescent="0.25">
      <c r="I2526" s="1"/>
      <c r="J2526" s="1"/>
      <c r="N2526" s="1"/>
      <c r="Z2526" s="1"/>
      <c r="AA2526" s="1"/>
      <c r="AE2526" s="1"/>
    </row>
    <row r="2527" spans="9:31" x14ac:dyDescent="0.25">
      <c r="I2527" s="1"/>
      <c r="J2527" s="1"/>
      <c r="N2527" s="1"/>
      <c r="AE2527" s="1"/>
    </row>
    <row r="2528" spans="9:31" x14ac:dyDescent="0.25">
      <c r="I2528" s="1"/>
      <c r="J2528" s="1"/>
      <c r="N2528" s="1"/>
      <c r="AE2528" s="1"/>
    </row>
    <row r="2529" spans="9:31" x14ac:dyDescent="0.25">
      <c r="I2529" s="1"/>
      <c r="J2529" s="1"/>
      <c r="N2529" s="1"/>
      <c r="Z2529" s="1"/>
      <c r="AE2529" s="1"/>
    </row>
    <row r="2530" spans="9:31" x14ac:dyDescent="0.25">
      <c r="I2530" s="1"/>
      <c r="J2530" s="1"/>
      <c r="N2530" s="1"/>
      <c r="AE2530" s="1"/>
    </row>
    <row r="2531" spans="9:31" x14ac:dyDescent="0.25">
      <c r="I2531" s="1"/>
      <c r="J2531" s="1"/>
      <c r="N2531" s="1"/>
      <c r="AE2531" s="1"/>
    </row>
    <row r="2532" spans="9:31" x14ac:dyDescent="0.25">
      <c r="I2532" s="1"/>
      <c r="J2532" s="1"/>
      <c r="N2532" s="1"/>
      <c r="AE2532" s="1"/>
    </row>
    <row r="2533" spans="9:31" x14ac:dyDescent="0.25">
      <c r="I2533" s="1"/>
      <c r="J2533" s="1"/>
      <c r="N2533" s="1"/>
      <c r="Z2533" s="1"/>
      <c r="AA2533" s="1"/>
      <c r="AE2533" s="1"/>
    </row>
    <row r="2534" spans="9:31" x14ac:dyDescent="0.25">
      <c r="I2534" s="1"/>
      <c r="J2534" s="1"/>
      <c r="N2534" s="1"/>
      <c r="AE2534" s="1"/>
    </row>
    <row r="2535" spans="9:31" x14ac:dyDescent="0.25">
      <c r="I2535" s="1"/>
      <c r="J2535" s="1"/>
      <c r="N2535" s="1"/>
      <c r="Z2535" s="1"/>
      <c r="AA2535" s="1"/>
      <c r="AE2535" s="1"/>
    </row>
    <row r="2536" spans="9:31" x14ac:dyDescent="0.25">
      <c r="N2536" s="1"/>
      <c r="Z2536" s="1"/>
      <c r="AA2536" s="1"/>
      <c r="AE2536" s="1"/>
    </row>
    <row r="2537" spans="9:31" x14ac:dyDescent="0.25">
      <c r="I2537" s="1"/>
      <c r="J2537" s="1"/>
      <c r="N2537" s="1"/>
      <c r="AE2537" s="1"/>
    </row>
    <row r="2538" spans="9:31" x14ac:dyDescent="0.25">
      <c r="I2538" s="1"/>
      <c r="J2538" s="1"/>
      <c r="N2538" s="1"/>
      <c r="Z2538" s="1"/>
      <c r="AA2538" s="1"/>
      <c r="AE2538" s="1"/>
    </row>
    <row r="2539" spans="9:31" x14ac:dyDescent="0.25">
      <c r="I2539" s="1"/>
      <c r="J2539" s="1"/>
      <c r="N2539" s="1"/>
      <c r="Z2539" s="1"/>
      <c r="AA2539" s="1"/>
      <c r="AE2539" s="1"/>
    </row>
    <row r="2540" spans="9:31" x14ac:dyDescent="0.25">
      <c r="I2540" s="1"/>
      <c r="J2540" s="1"/>
      <c r="N2540" s="1"/>
      <c r="Z2540" s="1"/>
      <c r="AA2540" s="1"/>
      <c r="AE2540" s="1"/>
    </row>
    <row r="2541" spans="9:31" x14ac:dyDescent="0.25">
      <c r="I2541" s="1"/>
      <c r="J2541" s="1"/>
      <c r="N2541" s="1"/>
      <c r="AE2541" s="1"/>
    </row>
    <row r="2542" spans="9:31" x14ac:dyDescent="0.25">
      <c r="I2542" s="1"/>
      <c r="J2542" s="1"/>
      <c r="N2542" s="1"/>
      <c r="Z2542" s="1"/>
      <c r="AA2542" s="1"/>
      <c r="AE2542" s="1"/>
    </row>
    <row r="2543" spans="9:31" x14ac:dyDescent="0.25">
      <c r="N2543" s="1"/>
      <c r="Z2543" s="1"/>
      <c r="AA2543" s="1"/>
      <c r="AE2543" s="1"/>
    </row>
    <row r="2544" spans="9:31" x14ac:dyDescent="0.25">
      <c r="I2544" s="1"/>
      <c r="J2544" s="1"/>
      <c r="N2544" s="1"/>
      <c r="AE2544" s="1"/>
    </row>
    <row r="2545" spans="9:31" x14ac:dyDescent="0.25">
      <c r="I2545" s="1"/>
      <c r="J2545" s="1"/>
      <c r="N2545" s="1"/>
      <c r="Z2545" s="1"/>
      <c r="AA2545" s="1"/>
      <c r="AE2545" s="1"/>
    </row>
    <row r="2546" spans="9:31" x14ac:dyDescent="0.25">
      <c r="I2546" s="1"/>
      <c r="J2546" s="1"/>
      <c r="N2546" s="1"/>
      <c r="Z2546" s="1"/>
      <c r="AA2546" s="1"/>
      <c r="AE2546" s="1"/>
    </row>
    <row r="2547" spans="9:31" x14ac:dyDescent="0.25">
      <c r="I2547" s="1"/>
      <c r="J2547" s="1"/>
      <c r="N2547" s="1"/>
      <c r="AE2547" s="1"/>
    </row>
    <row r="2548" spans="9:31" x14ac:dyDescent="0.25">
      <c r="I2548" s="1"/>
      <c r="J2548" s="1"/>
      <c r="N2548" s="1"/>
      <c r="Z2548" s="1"/>
      <c r="AA2548" s="1"/>
      <c r="AE2548" s="1"/>
    </row>
    <row r="2549" spans="9:31" x14ac:dyDescent="0.25">
      <c r="I2549" s="1"/>
      <c r="J2549" s="1"/>
      <c r="N2549" s="1"/>
      <c r="AE2549" s="1"/>
    </row>
    <row r="2550" spans="9:31" x14ac:dyDescent="0.25">
      <c r="I2550" s="1"/>
      <c r="J2550" s="1"/>
      <c r="N2550" s="1"/>
      <c r="AE2550" s="1"/>
    </row>
    <row r="2551" spans="9:31" x14ac:dyDescent="0.25">
      <c r="I2551" s="1"/>
      <c r="J2551" s="1"/>
      <c r="N2551" s="1"/>
      <c r="Z2551" s="1"/>
      <c r="AA2551" s="1"/>
      <c r="AE2551" s="1"/>
    </row>
    <row r="2552" spans="9:31" x14ac:dyDescent="0.25">
      <c r="I2552" s="1"/>
      <c r="J2552" s="1"/>
      <c r="N2552" s="1"/>
      <c r="Z2552" s="1"/>
      <c r="AA2552" s="1"/>
      <c r="AE2552" s="1"/>
    </row>
    <row r="2553" spans="9:31" x14ac:dyDescent="0.25">
      <c r="I2553" s="1"/>
      <c r="J2553" s="1"/>
      <c r="N2553" s="1"/>
      <c r="AE2553" s="1"/>
    </row>
    <row r="2554" spans="9:31" x14ac:dyDescent="0.25">
      <c r="I2554" s="1"/>
      <c r="J2554" s="1"/>
      <c r="N2554" s="1"/>
      <c r="Z2554" s="1"/>
      <c r="AA2554" s="1"/>
      <c r="AE2554" s="1"/>
    </row>
    <row r="2555" spans="9:31" x14ac:dyDescent="0.25">
      <c r="N2555" s="1"/>
      <c r="AE2555" s="1"/>
    </row>
    <row r="2556" spans="9:31" x14ac:dyDescent="0.25">
      <c r="I2556" s="1"/>
      <c r="J2556" s="1"/>
      <c r="N2556" s="1"/>
      <c r="AE2556" s="1"/>
    </row>
    <row r="2557" spans="9:31" x14ac:dyDescent="0.25">
      <c r="I2557" s="1"/>
      <c r="J2557" s="1"/>
      <c r="N2557" s="1"/>
      <c r="Z2557" s="1"/>
      <c r="AA2557" s="1"/>
      <c r="AE2557" s="1"/>
    </row>
    <row r="2558" spans="9:31" x14ac:dyDescent="0.25">
      <c r="I2558" s="1"/>
      <c r="J2558" s="1"/>
      <c r="N2558" s="1"/>
      <c r="AE2558" s="1"/>
    </row>
    <row r="2559" spans="9:31" x14ac:dyDescent="0.25">
      <c r="I2559" s="1"/>
      <c r="J2559" s="1"/>
      <c r="N2559" s="1"/>
      <c r="Z2559" s="1"/>
      <c r="AA2559" s="1"/>
      <c r="AE2559" s="1"/>
    </row>
    <row r="2560" spans="9:31" x14ac:dyDescent="0.25">
      <c r="N2560" s="1"/>
      <c r="AE2560" s="1"/>
    </row>
    <row r="2561" spans="9:31" x14ac:dyDescent="0.25">
      <c r="I2561" s="1"/>
      <c r="J2561" s="1"/>
      <c r="N2561" s="1"/>
      <c r="AE2561" s="1"/>
    </row>
    <row r="2562" spans="9:31" x14ac:dyDescent="0.25">
      <c r="I2562" s="1"/>
      <c r="J2562" s="1"/>
      <c r="N2562" s="1"/>
      <c r="AE2562" s="1"/>
    </row>
    <row r="2563" spans="9:31" x14ac:dyDescent="0.25">
      <c r="I2563" s="1"/>
      <c r="J2563" s="1"/>
      <c r="N2563" s="1"/>
      <c r="AE2563" s="1"/>
    </row>
    <row r="2564" spans="9:31" x14ac:dyDescent="0.25">
      <c r="I2564" s="1"/>
      <c r="J2564" s="1"/>
      <c r="N2564" s="1"/>
      <c r="AE2564" s="1"/>
    </row>
    <row r="2565" spans="9:31" x14ac:dyDescent="0.25">
      <c r="N2565" s="1"/>
      <c r="Z2565" s="1"/>
      <c r="AA2565" s="1"/>
      <c r="AE2565" s="1"/>
    </row>
    <row r="2566" spans="9:31" x14ac:dyDescent="0.25">
      <c r="I2566" s="1"/>
      <c r="J2566" s="1"/>
      <c r="N2566" s="1"/>
      <c r="AE2566" s="1"/>
    </row>
    <row r="2567" spans="9:31" x14ac:dyDescent="0.25">
      <c r="I2567" s="1"/>
      <c r="J2567" s="1"/>
      <c r="N2567" s="1"/>
      <c r="AE2567" s="1"/>
    </row>
    <row r="2568" spans="9:31" x14ac:dyDescent="0.25">
      <c r="I2568" s="1"/>
      <c r="J2568" s="1"/>
      <c r="N2568" s="1"/>
      <c r="AE2568" s="1"/>
    </row>
    <row r="2569" spans="9:31" x14ac:dyDescent="0.25">
      <c r="I2569" s="1"/>
      <c r="J2569" s="1"/>
      <c r="N2569" s="1"/>
      <c r="AE2569" s="1"/>
    </row>
    <row r="2570" spans="9:31" x14ac:dyDescent="0.25">
      <c r="I2570" s="1"/>
      <c r="J2570" s="1"/>
      <c r="N2570" s="1"/>
      <c r="AE2570" s="1"/>
    </row>
    <row r="2571" spans="9:31" x14ac:dyDescent="0.25">
      <c r="I2571" s="1"/>
      <c r="J2571" s="1"/>
      <c r="N2571" s="1"/>
      <c r="AE2571" s="1"/>
    </row>
    <row r="2572" spans="9:31" x14ac:dyDescent="0.25">
      <c r="I2572" s="1"/>
      <c r="J2572" s="1"/>
      <c r="N2572" s="1"/>
      <c r="AE2572" s="1"/>
    </row>
    <row r="2573" spans="9:31" x14ac:dyDescent="0.25">
      <c r="I2573" s="1"/>
      <c r="J2573" s="1"/>
      <c r="N2573" s="1"/>
      <c r="Z2573" s="1"/>
      <c r="AA2573" s="1"/>
      <c r="AE2573" s="1"/>
    </row>
    <row r="2574" spans="9:31" x14ac:dyDescent="0.25">
      <c r="I2574" s="1"/>
      <c r="J2574" s="1"/>
      <c r="N2574" s="1"/>
      <c r="AE2574" s="1"/>
    </row>
    <row r="2575" spans="9:31" x14ac:dyDescent="0.25">
      <c r="I2575" s="1"/>
      <c r="J2575" s="1"/>
      <c r="N2575" s="1"/>
      <c r="AE2575" s="1"/>
    </row>
    <row r="2576" spans="9:31" x14ac:dyDescent="0.25">
      <c r="I2576" s="1"/>
      <c r="J2576" s="1"/>
      <c r="N2576" s="1"/>
      <c r="Z2576" s="1"/>
      <c r="AA2576" s="1"/>
      <c r="AE2576" s="1"/>
    </row>
    <row r="2577" spans="9:31" x14ac:dyDescent="0.25">
      <c r="I2577" s="1"/>
      <c r="J2577" s="1"/>
      <c r="N2577" s="1"/>
      <c r="AE2577" s="1"/>
    </row>
    <row r="2578" spans="9:31" x14ac:dyDescent="0.25">
      <c r="I2578" s="1"/>
      <c r="J2578" s="1"/>
      <c r="N2578" s="1"/>
      <c r="Z2578" s="1"/>
      <c r="AA2578" s="1"/>
      <c r="AE2578" s="1"/>
    </row>
    <row r="2579" spans="9:31" x14ac:dyDescent="0.25">
      <c r="I2579" s="1"/>
      <c r="J2579" s="1"/>
      <c r="N2579" s="1"/>
      <c r="AE2579" s="1"/>
    </row>
    <row r="2580" spans="9:31" x14ac:dyDescent="0.25">
      <c r="I2580" s="1"/>
      <c r="J2580" s="1"/>
      <c r="N2580" s="1"/>
      <c r="Z2580" s="1"/>
      <c r="AA2580" s="1"/>
      <c r="AE2580" s="1"/>
    </row>
    <row r="2581" spans="9:31" x14ac:dyDescent="0.25">
      <c r="I2581" s="1"/>
      <c r="J2581" s="1"/>
      <c r="N2581" s="1"/>
      <c r="AE2581" s="1"/>
    </row>
    <row r="2582" spans="9:31" x14ac:dyDescent="0.25">
      <c r="I2582" s="1"/>
      <c r="J2582" s="1"/>
      <c r="N2582" s="1"/>
      <c r="AE2582" s="1"/>
    </row>
    <row r="2583" spans="9:31" x14ac:dyDescent="0.25">
      <c r="I2583" s="1"/>
      <c r="J2583" s="1"/>
      <c r="N2583" s="1"/>
      <c r="Z2583" s="1"/>
      <c r="AA2583" s="1"/>
      <c r="AE2583" s="1"/>
    </row>
    <row r="2584" spans="9:31" x14ac:dyDescent="0.25">
      <c r="I2584" s="1"/>
      <c r="J2584" s="1"/>
      <c r="N2584" s="1"/>
      <c r="Z2584" s="1"/>
      <c r="AA2584" s="1"/>
      <c r="AE2584" s="1"/>
    </row>
    <row r="2585" spans="9:31" x14ac:dyDescent="0.25">
      <c r="N2585" s="1"/>
      <c r="AE2585" s="1"/>
    </row>
    <row r="2586" spans="9:31" x14ac:dyDescent="0.25">
      <c r="I2586" s="1"/>
      <c r="J2586" s="1"/>
      <c r="N2586" s="1"/>
      <c r="AE2586" s="1"/>
    </row>
    <row r="2587" spans="9:31" x14ac:dyDescent="0.25">
      <c r="I2587" s="1"/>
      <c r="J2587" s="1"/>
      <c r="N2587" s="1"/>
      <c r="Z2587" s="1"/>
      <c r="AA2587" s="1"/>
      <c r="AE2587" s="1"/>
    </row>
    <row r="2588" spans="9:31" x14ac:dyDescent="0.25">
      <c r="I2588" s="1"/>
      <c r="J2588" s="1"/>
      <c r="N2588" s="1"/>
      <c r="AE2588" s="1"/>
    </row>
    <row r="2589" spans="9:31" x14ac:dyDescent="0.25">
      <c r="I2589" s="1"/>
      <c r="J2589" s="1"/>
      <c r="N2589" s="1"/>
      <c r="Z2589" s="1"/>
      <c r="AA2589" s="1"/>
      <c r="AE2589" s="1"/>
    </row>
    <row r="2590" spans="9:31" x14ac:dyDescent="0.25">
      <c r="I2590" s="1"/>
      <c r="J2590" s="1"/>
      <c r="N2590" s="1"/>
      <c r="Z2590" s="1"/>
      <c r="AA2590" s="1"/>
      <c r="AE2590" s="1"/>
    </row>
    <row r="2591" spans="9:31" x14ac:dyDescent="0.25">
      <c r="I2591" s="1"/>
      <c r="J2591" s="1"/>
      <c r="N2591" s="1"/>
      <c r="Z2591" s="1"/>
      <c r="AA2591" s="1"/>
      <c r="AE2591" s="1"/>
    </row>
    <row r="2592" spans="9:31" x14ac:dyDescent="0.25">
      <c r="I2592" s="1"/>
      <c r="J2592" s="1"/>
      <c r="N2592" s="1"/>
      <c r="Z2592" s="1"/>
      <c r="AA2592" s="1"/>
      <c r="AE2592" s="1"/>
    </row>
    <row r="2593" spans="9:31" x14ac:dyDescent="0.25">
      <c r="I2593" s="1"/>
      <c r="J2593" s="1"/>
      <c r="N2593" s="1"/>
      <c r="AE2593" s="1"/>
    </row>
    <row r="2594" spans="9:31" x14ac:dyDescent="0.25">
      <c r="I2594" s="1"/>
      <c r="J2594" s="1"/>
      <c r="N2594" s="1"/>
      <c r="AE2594" s="1"/>
    </row>
    <row r="2595" spans="9:31" x14ac:dyDescent="0.25">
      <c r="I2595" s="1"/>
      <c r="J2595" s="1"/>
      <c r="N2595" s="1"/>
      <c r="AE2595" s="1"/>
    </row>
    <row r="2596" spans="9:31" x14ac:dyDescent="0.25">
      <c r="N2596" s="1"/>
      <c r="AE2596" s="1"/>
    </row>
    <row r="2597" spans="9:31" x14ac:dyDescent="0.25">
      <c r="I2597" s="1"/>
      <c r="N2597" s="1"/>
      <c r="AE2597" s="1"/>
    </row>
    <row r="2598" spans="9:31" x14ac:dyDescent="0.25">
      <c r="I2598" s="1"/>
      <c r="J2598" s="1"/>
      <c r="N2598" s="1"/>
      <c r="Z2598" s="1"/>
      <c r="AE2598" s="1"/>
    </row>
    <row r="2599" spans="9:31" x14ac:dyDescent="0.25">
      <c r="I2599" s="1"/>
      <c r="J2599" s="1"/>
      <c r="N2599" s="1"/>
      <c r="AE2599" s="1"/>
    </row>
    <row r="2600" spans="9:31" x14ac:dyDescent="0.25">
      <c r="I2600" s="1"/>
      <c r="J2600" s="1"/>
      <c r="N2600" s="1"/>
      <c r="AE2600" s="1"/>
    </row>
    <row r="2601" spans="9:31" x14ac:dyDescent="0.25">
      <c r="N2601" s="1"/>
      <c r="AE2601" s="1"/>
    </row>
    <row r="2602" spans="9:31" x14ac:dyDescent="0.25">
      <c r="I2602" s="1"/>
      <c r="J2602" s="1"/>
      <c r="N2602" s="1"/>
      <c r="AE2602" s="1"/>
    </row>
    <row r="2603" spans="9:31" x14ac:dyDescent="0.25">
      <c r="I2603" s="1"/>
      <c r="J2603" s="1"/>
      <c r="N2603" s="1"/>
      <c r="Z2603" s="1"/>
      <c r="AA2603" s="1"/>
      <c r="AE2603" s="1"/>
    </row>
    <row r="2604" spans="9:31" x14ac:dyDescent="0.25">
      <c r="I2604" s="1"/>
      <c r="J2604" s="1"/>
      <c r="N2604" s="1"/>
      <c r="Z2604" s="1"/>
      <c r="AA2604" s="1"/>
      <c r="AE2604" s="1"/>
    </row>
    <row r="2605" spans="9:31" x14ac:dyDescent="0.25">
      <c r="I2605" s="1"/>
      <c r="N2605" s="1"/>
      <c r="AE2605" s="1"/>
    </row>
    <row r="2606" spans="9:31" x14ac:dyDescent="0.25">
      <c r="I2606" s="1"/>
      <c r="J2606" s="1"/>
      <c r="N2606" s="1"/>
      <c r="AE2606" s="1"/>
    </row>
    <row r="2607" spans="9:31" x14ac:dyDescent="0.25">
      <c r="I2607" s="1"/>
      <c r="J2607" s="1"/>
      <c r="N2607" s="1"/>
      <c r="AE2607" s="1"/>
    </row>
    <row r="2608" spans="9:31" x14ac:dyDescent="0.25">
      <c r="I2608" s="1"/>
      <c r="J2608" s="1"/>
      <c r="N2608" s="1"/>
      <c r="Z2608" s="1"/>
      <c r="AA2608" s="1"/>
      <c r="AE2608" s="1"/>
    </row>
    <row r="2609" spans="9:31" x14ac:dyDescent="0.25">
      <c r="N2609" s="1"/>
      <c r="AE2609" s="1"/>
    </row>
    <row r="2610" spans="9:31" x14ac:dyDescent="0.25">
      <c r="I2610" s="1"/>
      <c r="J2610" s="1"/>
      <c r="N2610" s="1"/>
      <c r="AE2610" s="1"/>
    </row>
    <row r="2611" spans="9:31" x14ac:dyDescent="0.25">
      <c r="I2611" s="1"/>
      <c r="J2611" s="1"/>
      <c r="N2611" s="1"/>
      <c r="Z2611" s="1"/>
      <c r="AA2611" s="1"/>
      <c r="AE2611" s="1"/>
    </row>
    <row r="2612" spans="9:31" x14ac:dyDescent="0.25">
      <c r="I2612" s="1"/>
      <c r="J2612" s="1"/>
      <c r="N2612" s="1"/>
      <c r="Z2612" s="1"/>
      <c r="AA2612" s="1"/>
      <c r="AE2612" s="1"/>
    </row>
    <row r="2613" spans="9:31" x14ac:dyDescent="0.25">
      <c r="I2613" s="1"/>
      <c r="J2613" s="1"/>
      <c r="N2613" s="1"/>
      <c r="AE2613" s="1"/>
    </row>
    <row r="2614" spans="9:31" x14ac:dyDescent="0.25">
      <c r="I2614" s="1"/>
      <c r="J2614" s="1"/>
      <c r="N2614" s="1"/>
      <c r="Z2614" s="1"/>
      <c r="AA2614" s="1"/>
      <c r="AE2614" s="1"/>
    </row>
    <row r="2615" spans="9:31" x14ac:dyDescent="0.25">
      <c r="I2615" s="1"/>
      <c r="J2615" s="1"/>
      <c r="N2615" s="1"/>
      <c r="AE2615" s="1"/>
    </row>
    <row r="2616" spans="9:31" x14ac:dyDescent="0.25">
      <c r="I2616" s="1"/>
      <c r="J2616" s="1"/>
      <c r="N2616" s="1"/>
      <c r="Z2616" s="1"/>
      <c r="AA2616" s="1"/>
      <c r="AE2616" s="1"/>
    </row>
    <row r="2617" spans="9:31" x14ac:dyDescent="0.25">
      <c r="I2617" s="1"/>
      <c r="J2617" s="1"/>
      <c r="N2617" s="1"/>
      <c r="AE2617" s="1"/>
    </row>
    <row r="2618" spans="9:31" x14ac:dyDescent="0.25">
      <c r="I2618" s="1"/>
      <c r="J2618" s="1"/>
      <c r="N2618" s="1"/>
      <c r="AE2618" s="1"/>
    </row>
    <row r="2619" spans="9:31" x14ac:dyDescent="0.25">
      <c r="I2619" s="1"/>
      <c r="J2619" s="1"/>
      <c r="N2619" s="1"/>
      <c r="AE2619" s="1"/>
    </row>
    <row r="2620" spans="9:31" x14ac:dyDescent="0.25">
      <c r="I2620" s="1"/>
      <c r="J2620" s="1"/>
      <c r="N2620" s="1"/>
      <c r="AE2620" s="1"/>
    </row>
    <row r="2621" spans="9:31" x14ac:dyDescent="0.25">
      <c r="I2621" s="1"/>
      <c r="J2621" s="1"/>
      <c r="N2621" s="1"/>
      <c r="Z2621" s="1"/>
      <c r="AA2621" s="1"/>
      <c r="AE2621" s="1"/>
    </row>
    <row r="2622" spans="9:31" x14ac:dyDescent="0.25">
      <c r="I2622" s="1"/>
      <c r="J2622" s="1"/>
      <c r="N2622" s="1"/>
      <c r="Z2622" s="1"/>
      <c r="AA2622" s="1"/>
      <c r="AE2622" s="1"/>
    </row>
    <row r="2623" spans="9:31" x14ac:dyDescent="0.25">
      <c r="I2623" s="1"/>
      <c r="J2623" s="1"/>
      <c r="N2623" s="1"/>
      <c r="Z2623" s="1"/>
      <c r="AA2623" s="1"/>
      <c r="AE2623" s="1"/>
    </row>
    <row r="2624" spans="9:31" x14ac:dyDescent="0.25">
      <c r="I2624" s="1"/>
      <c r="J2624" s="1"/>
      <c r="N2624" s="1"/>
      <c r="AE2624" s="1"/>
    </row>
    <row r="2625" spans="9:31" x14ac:dyDescent="0.25">
      <c r="I2625" s="1"/>
      <c r="J2625" s="1"/>
      <c r="N2625" s="1"/>
      <c r="AE2625" s="1"/>
    </row>
    <row r="2626" spans="9:31" x14ac:dyDescent="0.25">
      <c r="I2626" s="1"/>
      <c r="J2626" s="1"/>
      <c r="N2626" s="1"/>
      <c r="AE2626" s="1"/>
    </row>
    <row r="2627" spans="9:31" x14ac:dyDescent="0.25">
      <c r="I2627" s="1"/>
      <c r="J2627" s="1"/>
      <c r="N2627" s="1"/>
      <c r="Z2627" s="1"/>
      <c r="AA2627" s="1"/>
      <c r="AE2627" s="1"/>
    </row>
    <row r="2628" spans="9:31" x14ac:dyDescent="0.25">
      <c r="I2628" s="1"/>
      <c r="J2628" s="1"/>
      <c r="N2628" s="1"/>
      <c r="Z2628" s="1"/>
      <c r="AA2628" s="1"/>
      <c r="AE2628" s="1"/>
    </row>
    <row r="2629" spans="9:31" x14ac:dyDescent="0.25">
      <c r="I2629" s="1"/>
      <c r="J2629" s="1"/>
      <c r="N2629" s="1"/>
      <c r="Z2629" s="1"/>
      <c r="AA2629" s="1"/>
      <c r="AE2629" s="1"/>
    </row>
    <row r="2630" spans="9:31" x14ac:dyDescent="0.25">
      <c r="I2630" s="1"/>
      <c r="J2630" s="1"/>
      <c r="N2630" s="1"/>
      <c r="Z2630" s="1"/>
      <c r="AA2630" s="1"/>
      <c r="AE2630" s="1"/>
    </row>
    <row r="2631" spans="9:31" x14ac:dyDescent="0.25">
      <c r="I2631" s="1"/>
      <c r="J2631" s="1"/>
      <c r="N2631" s="1"/>
      <c r="Z2631" s="1"/>
      <c r="AA2631" s="1"/>
      <c r="AE2631" s="1"/>
    </row>
    <row r="2632" spans="9:31" x14ac:dyDescent="0.25">
      <c r="I2632" s="1"/>
      <c r="J2632" s="1"/>
      <c r="N2632" s="1"/>
      <c r="Z2632" s="1"/>
      <c r="AA2632" s="1"/>
      <c r="AE2632" s="1"/>
    </row>
    <row r="2633" spans="9:31" x14ac:dyDescent="0.25">
      <c r="I2633" s="1"/>
      <c r="J2633" s="1"/>
      <c r="N2633" s="1"/>
      <c r="Z2633" s="1"/>
      <c r="AA2633" s="1"/>
      <c r="AE2633" s="1"/>
    </row>
    <row r="2634" spans="9:31" x14ac:dyDescent="0.25">
      <c r="I2634" s="1"/>
      <c r="J2634" s="1"/>
      <c r="N2634" s="1"/>
      <c r="Z2634" s="1"/>
      <c r="AA2634" s="1"/>
      <c r="AE2634" s="1"/>
    </row>
    <row r="2635" spans="9:31" x14ac:dyDescent="0.25">
      <c r="I2635" s="1"/>
      <c r="J2635" s="1"/>
      <c r="N2635" s="1"/>
      <c r="AE2635" s="1"/>
    </row>
    <row r="2636" spans="9:31" x14ac:dyDescent="0.25">
      <c r="I2636" s="1"/>
      <c r="J2636" s="1"/>
      <c r="N2636" s="1"/>
      <c r="Z2636" s="1"/>
      <c r="AA2636" s="1"/>
      <c r="AE2636" s="1"/>
    </row>
    <row r="2637" spans="9:31" x14ac:dyDescent="0.25">
      <c r="I2637" s="1"/>
      <c r="J2637" s="1"/>
      <c r="N2637" s="1"/>
      <c r="Z2637" s="1"/>
      <c r="AA2637" s="1"/>
      <c r="AE2637" s="1"/>
    </row>
    <row r="2638" spans="9:31" x14ac:dyDescent="0.25">
      <c r="I2638" s="1"/>
      <c r="J2638" s="1"/>
      <c r="N2638" s="1"/>
      <c r="AE2638" s="1"/>
    </row>
    <row r="2639" spans="9:31" x14ac:dyDescent="0.25">
      <c r="I2639" s="1"/>
      <c r="J2639" s="1"/>
      <c r="N2639" s="1"/>
      <c r="Z2639" s="1"/>
      <c r="AA2639" s="1"/>
      <c r="AE2639" s="1"/>
    </row>
    <row r="2640" spans="9:31" x14ac:dyDescent="0.25">
      <c r="I2640" s="1"/>
      <c r="J2640" s="1"/>
      <c r="N2640" s="1"/>
      <c r="Z2640" s="1"/>
      <c r="AA2640" s="1"/>
      <c r="AE2640" s="1"/>
    </row>
    <row r="2641" spans="9:31" x14ac:dyDescent="0.25">
      <c r="I2641" s="1"/>
      <c r="J2641" s="1"/>
      <c r="N2641" s="1"/>
      <c r="AE2641" s="1"/>
    </row>
    <row r="2642" spans="9:31" x14ac:dyDescent="0.25">
      <c r="I2642" s="1"/>
      <c r="J2642" s="1"/>
      <c r="N2642" s="1"/>
      <c r="Z2642" s="1"/>
      <c r="AA2642" s="1"/>
      <c r="AE2642" s="1"/>
    </row>
    <row r="2643" spans="9:31" x14ac:dyDescent="0.25">
      <c r="I2643" s="1"/>
      <c r="J2643" s="1"/>
      <c r="N2643" s="1"/>
      <c r="Z2643" s="1"/>
      <c r="AA2643" s="1"/>
      <c r="AE2643" s="1"/>
    </row>
    <row r="2644" spans="9:31" x14ac:dyDescent="0.25">
      <c r="I2644" s="1"/>
      <c r="J2644" s="1"/>
      <c r="N2644" s="1"/>
      <c r="AE2644" s="1"/>
    </row>
    <row r="2645" spans="9:31" x14ac:dyDescent="0.25">
      <c r="I2645" s="1"/>
      <c r="J2645" s="1"/>
      <c r="N2645" s="1"/>
      <c r="Z2645" s="1"/>
      <c r="AA2645" s="1"/>
      <c r="AE2645" s="1"/>
    </row>
    <row r="2646" spans="9:31" x14ac:dyDescent="0.25">
      <c r="I2646" s="1"/>
      <c r="J2646" s="1"/>
      <c r="N2646" s="1"/>
      <c r="AE2646" s="1"/>
    </row>
    <row r="2647" spans="9:31" x14ac:dyDescent="0.25">
      <c r="I2647" s="1"/>
      <c r="J2647" s="1"/>
      <c r="N2647" s="1"/>
      <c r="AE2647" s="1"/>
    </row>
    <row r="2648" spans="9:31" x14ac:dyDescent="0.25">
      <c r="I2648" s="1"/>
      <c r="J2648" s="1"/>
      <c r="N2648" s="1"/>
      <c r="Z2648" s="1"/>
      <c r="AA2648" s="1"/>
      <c r="AE2648" s="1"/>
    </row>
    <row r="2649" spans="9:31" x14ac:dyDescent="0.25">
      <c r="I2649" s="1"/>
      <c r="J2649" s="1"/>
      <c r="N2649" s="1"/>
      <c r="Z2649" s="1"/>
      <c r="AA2649" s="1"/>
      <c r="AE2649" s="1"/>
    </row>
    <row r="2650" spans="9:31" x14ac:dyDescent="0.25">
      <c r="I2650" s="1"/>
      <c r="J2650" s="1"/>
      <c r="N2650" s="1"/>
      <c r="AE2650" s="1"/>
    </row>
    <row r="2651" spans="9:31" x14ac:dyDescent="0.25">
      <c r="I2651" s="1"/>
      <c r="J2651" s="1"/>
      <c r="N2651" s="1"/>
      <c r="Z2651" s="1"/>
      <c r="AA2651" s="1"/>
      <c r="AE2651" s="1"/>
    </row>
    <row r="2652" spans="9:31" x14ac:dyDescent="0.25">
      <c r="I2652" s="1"/>
      <c r="J2652" s="1"/>
      <c r="N2652" s="1"/>
      <c r="Z2652" s="1"/>
      <c r="AA2652" s="1"/>
      <c r="AE2652" s="1"/>
    </row>
    <row r="2653" spans="9:31" x14ac:dyDescent="0.25">
      <c r="I2653" s="1"/>
      <c r="J2653" s="1"/>
      <c r="N2653" s="1"/>
      <c r="Z2653" s="1"/>
      <c r="AA2653" s="1"/>
      <c r="AE2653" s="1"/>
    </row>
    <row r="2654" spans="9:31" x14ac:dyDescent="0.25">
      <c r="I2654" s="1"/>
      <c r="J2654" s="1"/>
      <c r="N2654" s="1"/>
      <c r="Z2654" s="1"/>
      <c r="AA2654" s="1"/>
      <c r="AE2654" s="1"/>
    </row>
    <row r="2655" spans="9:31" x14ac:dyDescent="0.25">
      <c r="I2655" s="1"/>
      <c r="J2655" s="1"/>
      <c r="N2655" s="1"/>
      <c r="Z2655" s="1"/>
      <c r="AA2655" s="1"/>
      <c r="AE2655" s="1"/>
    </row>
    <row r="2656" spans="9:31" x14ac:dyDescent="0.25">
      <c r="I2656" s="1"/>
      <c r="J2656" s="1"/>
      <c r="N2656" s="1"/>
      <c r="AE2656" s="1"/>
    </row>
    <row r="2657" spans="9:31" x14ac:dyDescent="0.25">
      <c r="I2657" s="1"/>
      <c r="J2657" s="1"/>
      <c r="N2657" s="1"/>
      <c r="AE2657" s="1"/>
    </row>
    <row r="2658" spans="9:31" x14ac:dyDescent="0.25">
      <c r="I2658" s="1"/>
      <c r="J2658" s="1"/>
      <c r="N2658" s="1"/>
      <c r="AE2658" s="1"/>
    </row>
    <row r="2659" spans="9:31" x14ac:dyDescent="0.25">
      <c r="I2659" s="1"/>
      <c r="J2659" s="1"/>
      <c r="N2659" s="1"/>
      <c r="Z2659" s="1"/>
      <c r="AA2659" s="1"/>
      <c r="AE2659" s="1"/>
    </row>
    <row r="2660" spans="9:31" x14ac:dyDescent="0.25">
      <c r="I2660" s="1"/>
      <c r="J2660" s="1"/>
      <c r="N2660" s="1"/>
      <c r="AE2660" s="1"/>
    </row>
    <row r="2661" spans="9:31" x14ac:dyDescent="0.25">
      <c r="I2661" s="1"/>
      <c r="J2661" s="1"/>
      <c r="N2661" s="1"/>
      <c r="AE2661" s="1"/>
    </row>
    <row r="2662" spans="9:31" x14ac:dyDescent="0.25">
      <c r="I2662" s="1"/>
      <c r="J2662" s="1"/>
      <c r="N2662" s="1"/>
      <c r="AE2662" s="1"/>
    </row>
    <row r="2663" spans="9:31" x14ac:dyDescent="0.25">
      <c r="I2663" s="1"/>
      <c r="J2663" s="1"/>
      <c r="N2663" s="1"/>
      <c r="Z2663" s="1"/>
      <c r="AA2663" s="1"/>
      <c r="AE2663" s="1"/>
    </row>
    <row r="2664" spans="9:31" x14ac:dyDescent="0.25">
      <c r="I2664" s="1"/>
      <c r="J2664" s="1"/>
      <c r="N2664" s="1"/>
      <c r="Z2664" s="1"/>
      <c r="AA2664" s="1"/>
      <c r="AE2664" s="1"/>
    </row>
    <row r="2665" spans="9:31" x14ac:dyDescent="0.25">
      <c r="I2665" s="1"/>
      <c r="J2665" s="1"/>
      <c r="N2665" s="1"/>
      <c r="AE2665" s="1"/>
    </row>
    <row r="2666" spans="9:31" x14ac:dyDescent="0.25">
      <c r="I2666" s="1"/>
      <c r="J2666" s="1"/>
      <c r="N2666" s="1"/>
      <c r="Z2666" s="1"/>
      <c r="AA2666" s="1"/>
      <c r="AE2666" s="1"/>
    </row>
    <row r="2667" spans="9:31" x14ac:dyDescent="0.25">
      <c r="I2667" s="1"/>
      <c r="J2667" s="1"/>
      <c r="N2667" s="1"/>
      <c r="AE2667" s="1"/>
    </row>
    <row r="2668" spans="9:31" x14ac:dyDescent="0.25">
      <c r="I2668" s="1"/>
      <c r="J2668" s="1"/>
      <c r="N2668" s="1"/>
      <c r="AE2668" s="1"/>
    </row>
    <row r="2669" spans="9:31" x14ac:dyDescent="0.25">
      <c r="N2669" s="1"/>
      <c r="AE2669" s="1"/>
    </row>
    <row r="2670" spans="9:31" x14ac:dyDescent="0.25">
      <c r="I2670" s="1"/>
      <c r="J2670" s="1"/>
      <c r="N2670" s="1"/>
      <c r="AE2670" s="1"/>
    </row>
    <row r="2671" spans="9:31" x14ac:dyDescent="0.25">
      <c r="I2671" s="1"/>
      <c r="J2671" s="1"/>
      <c r="N2671" s="1"/>
      <c r="Z2671" s="1"/>
      <c r="AA2671" s="1"/>
      <c r="AE2671" s="1"/>
    </row>
    <row r="2672" spans="9:31" x14ac:dyDescent="0.25">
      <c r="I2672" s="1"/>
      <c r="J2672" s="1"/>
      <c r="N2672" s="1"/>
      <c r="AE2672" s="1"/>
    </row>
    <row r="2673" spans="9:31" x14ac:dyDescent="0.25">
      <c r="I2673" s="1"/>
      <c r="J2673" s="1"/>
      <c r="N2673" s="1"/>
      <c r="Z2673" s="1"/>
      <c r="AA2673" s="1"/>
      <c r="AE2673" s="1"/>
    </row>
    <row r="2674" spans="9:31" x14ac:dyDescent="0.25">
      <c r="I2674" s="1"/>
      <c r="J2674" s="1"/>
      <c r="N2674" s="1"/>
      <c r="Z2674" s="1"/>
      <c r="AA2674" s="1"/>
      <c r="AE2674" s="1"/>
    </row>
    <row r="2675" spans="9:31" x14ac:dyDescent="0.25">
      <c r="I2675" s="1"/>
      <c r="J2675" s="1"/>
      <c r="N2675" s="1"/>
      <c r="Z2675" s="1"/>
      <c r="AA2675" s="1"/>
      <c r="AE2675" s="1"/>
    </row>
    <row r="2676" spans="9:31" x14ac:dyDescent="0.25">
      <c r="I2676" s="1"/>
      <c r="J2676" s="1"/>
      <c r="N2676" s="1"/>
      <c r="Z2676" s="1"/>
      <c r="AA2676" s="1"/>
      <c r="AE2676" s="1"/>
    </row>
    <row r="2677" spans="9:31" x14ac:dyDescent="0.25">
      <c r="I2677" s="1"/>
      <c r="J2677" s="1"/>
      <c r="N2677" s="1"/>
      <c r="AE2677" s="1"/>
    </row>
    <row r="2678" spans="9:31" x14ac:dyDescent="0.25">
      <c r="I2678" s="1"/>
      <c r="J2678" s="1"/>
      <c r="N2678" s="1"/>
      <c r="Z2678" s="1"/>
      <c r="AA2678" s="1"/>
      <c r="AE2678" s="1"/>
    </row>
    <row r="2679" spans="9:31" x14ac:dyDescent="0.25">
      <c r="I2679" s="1"/>
      <c r="J2679" s="1"/>
      <c r="N2679" s="1"/>
      <c r="AE2679" s="1"/>
    </row>
    <row r="2680" spans="9:31" x14ac:dyDescent="0.25">
      <c r="I2680" s="1"/>
      <c r="J2680" s="1"/>
      <c r="N2680" s="1"/>
      <c r="Z2680" s="1"/>
      <c r="AA2680" s="1"/>
      <c r="AE2680" s="1"/>
    </row>
    <row r="2681" spans="9:31" x14ac:dyDescent="0.25">
      <c r="I2681" s="1"/>
      <c r="J2681" s="1"/>
      <c r="N2681" s="1"/>
      <c r="AE2681" s="1"/>
    </row>
    <row r="2682" spans="9:31" x14ac:dyDescent="0.25">
      <c r="I2682" s="1"/>
      <c r="J2682" s="1"/>
      <c r="N2682" s="1"/>
      <c r="AE2682" s="1"/>
    </row>
    <row r="2683" spans="9:31" x14ac:dyDescent="0.25">
      <c r="I2683" s="1"/>
      <c r="J2683" s="1"/>
      <c r="N2683" s="1"/>
      <c r="AE2683" s="1"/>
    </row>
    <row r="2684" spans="9:31" x14ac:dyDescent="0.25">
      <c r="I2684" s="1"/>
      <c r="J2684" s="1"/>
      <c r="N2684" s="1"/>
      <c r="Z2684" s="1"/>
      <c r="AA2684" s="1"/>
      <c r="AE2684" s="1"/>
    </row>
    <row r="2685" spans="9:31" x14ac:dyDescent="0.25">
      <c r="I2685" s="1"/>
      <c r="J2685" s="1"/>
      <c r="N2685" s="1"/>
      <c r="Z2685" s="1"/>
      <c r="AA2685" s="1"/>
      <c r="AE2685" s="1"/>
    </row>
    <row r="2686" spans="9:31" x14ac:dyDescent="0.25">
      <c r="N2686" s="1"/>
      <c r="AE2686" s="1"/>
    </row>
    <row r="2687" spans="9:31" x14ac:dyDescent="0.25">
      <c r="I2687" s="1"/>
      <c r="J2687" s="1"/>
      <c r="N2687" s="1"/>
      <c r="AE2687" s="1"/>
    </row>
    <row r="2688" spans="9:31" x14ac:dyDescent="0.25">
      <c r="I2688" s="1"/>
      <c r="J2688" s="1"/>
      <c r="N2688" s="1"/>
      <c r="Z2688" s="1"/>
      <c r="AA2688" s="1"/>
      <c r="AE2688" s="1"/>
    </row>
    <row r="2689" spans="9:31" x14ac:dyDescent="0.25">
      <c r="I2689" s="1"/>
      <c r="J2689" s="1"/>
      <c r="N2689" s="1"/>
      <c r="AE2689" s="1"/>
    </row>
    <row r="2690" spans="9:31" x14ac:dyDescent="0.25">
      <c r="I2690" s="1"/>
      <c r="J2690" s="1"/>
      <c r="N2690" s="1"/>
      <c r="Z2690" s="1"/>
      <c r="AE2690" s="1"/>
    </row>
    <row r="2691" spans="9:31" x14ac:dyDescent="0.25">
      <c r="I2691" s="1"/>
      <c r="J2691" s="1"/>
      <c r="N2691" s="1"/>
      <c r="Z2691" s="1"/>
      <c r="AA2691" s="1"/>
      <c r="AE2691" s="1"/>
    </row>
    <row r="2692" spans="9:31" x14ac:dyDescent="0.25">
      <c r="I2692" s="1"/>
      <c r="J2692" s="1"/>
      <c r="N2692" s="1"/>
      <c r="Z2692" s="1"/>
      <c r="AA2692" s="1"/>
      <c r="AE2692" s="1"/>
    </row>
    <row r="2693" spans="9:31" x14ac:dyDescent="0.25">
      <c r="I2693" s="1"/>
      <c r="J2693" s="1"/>
      <c r="N2693" s="1"/>
      <c r="Z2693" s="1"/>
      <c r="AA2693" s="1"/>
      <c r="AE2693" s="1"/>
    </row>
    <row r="2694" spans="9:31" x14ac:dyDescent="0.25">
      <c r="I2694" s="1"/>
      <c r="J2694" s="1"/>
      <c r="N2694" s="1"/>
      <c r="AE2694" s="1"/>
    </row>
    <row r="2695" spans="9:31" x14ac:dyDescent="0.25">
      <c r="I2695" s="1"/>
      <c r="J2695" s="1"/>
      <c r="N2695" s="1"/>
      <c r="Z2695" s="1"/>
      <c r="AA2695" s="1"/>
      <c r="AE2695" s="1"/>
    </row>
    <row r="2696" spans="9:31" x14ac:dyDescent="0.25">
      <c r="I2696" s="1"/>
      <c r="J2696" s="1"/>
      <c r="N2696" s="1"/>
      <c r="Z2696" s="1"/>
      <c r="AA2696" s="1"/>
      <c r="AE2696" s="1"/>
    </row>
    <row r="2697" spans="9:31" x14ac:dyDescent="0.25">
      <c r="I2697" s="1"/>
      <c r="J2697" s="1"/>
      <c r="N2697" s="1"/>
      <c r="Z2697" s="1"/>
      <c r="AA2697" s="1"/>
      <c r="AE2697" s="1"/>
    </row>
    <row r="2698" spans="9:31" x14ac:dyDescent="0.25">
      <c r="I2698" s="1"/>
      <c r="J2698" s="1"/>
      <c r="N2698" s="1"/>
      <c r="Z2698" s="1"/>
      <c r="AA2698" s="1"/>
      <c r="AE2698" s="1"/>
    </row>
    <row r="2699" spans="9:31" x14ac:dyDescent="0.25">
      <c r="N2699" s="1"/>
      <c r="Z2699" s="1"/>
      <c r="AA2699" s="1"/>
      <c r="AE2699" s="1"/>
    </row>
    <row r="2700" spans="9:31" x14ac:dyDescent="0.25">
      <c r="I2700" s="1"/>
      <c r="J2700" s="1"/>
      <c r="N2700" s="1"/>
      <c r="AE2700" s="1"/>
    </row>
    <row r="2701" spans="9:31" x14ac:dyDescent="0.25">
      <c r="I2701" s="1"/>
      <c r="J2701" s="1"/>
      <c r="N2701" s="1"/>
      <c r="AE2701" s="1"/>
    </row>
    <row r="2702" spans="9:31" x14ac:dyDescent="0.25">
      <c r="I2702" s="1"/>
      <c r="J2702" s="1"/>
      <c r="N2702" s="1"/>
      <c r="AE2702" s="1"/>
    </row>
    <row r="2703" spans="9:31" x14ac:dyDescent="0.25">
      <c r="N2703" s="1"/>
      <c r="Z2703" s="1"/>
      <c r="AA2703" s="1"/>
      <c r="AE2703" s="1"/>
    </row>
    <row r="2704" spans="9:31" x14ac:dyDescent="0.25">
      <c r="I2704" s="1"/>
      <c r="J2704" s="1"/>
      <c r="N2704" s="1"/>
      <c r="AE2704" s="1"/>
    </row>
    <row r="2705" spans="9:31" x14ac:dyDescent="0.25">
      <c r="I2705" s="1"/>
      <c r="J2705" s="1"/>
      <c r="N2705" s="1"/>
      <c r="Z2705" s="1"/>
      <c r="AA2705" s="1"/>
      <c r="AE2705" s="1"/>
    </row>
    <row r="2706" spans="9:31" x14ac:dyDescent="0.25">
      <c r="I2706" s="1"/>
      <c r="J2706" s="1"/>
      <c r="N2706" s="1"/>
      <c r="AE2706" s="1"/>
    </row>
    <row r="2707" spans="9:31" x14ac:dyDescent="0.25">
      <c r="I2707" s="1"/>
      <c r="J2707" s="1"/>
      <c r="N2707" s="1"/>
      <c r="AE2707" s="1"/>
    </row>
    <row r="2708" spans="9:31" x14ac:dyDescent="0.25">
      <c r="I2708" s="1"/>
      <c r="J2708" s="1"/>
      <c r="N2708" s="1"/>
      <c r="Z2708" s="1"/>
      <c r="AA2708" s="1"/>
      <c r="AE2708" s="1"/>
    </row>
    <row r="2709" spans="9:31" x14ac:dyDescent="0.25">
      <c r="I2709" s="1"/>
      <c r="J2709" s="1"/>
      <c r="N2709" s="1"/>
      <c r="Z2709" s="1"/>
      <c r="AA2709" s="1"/>
      <c r="AE2709" s="1"/>
    </row>
    <row r="2710" spans="9:31" x14ac:dyDescent="0.25">
      <c r="I2710" s="1"/>
      <c r="N2710" s="1"/>
      <c r="AE2710" s="1"/>
    </row>
    <row r="2711" spans="9:31" x14ac:dyDescent="0.25">
      <c r="I2711" s="1"/>
      <c r="J2711" s="1"/>
      <c r="N2711" s="1"/>
      <c r="Z2711" s="1"/>
      <c r="AE2711" s="1"/>
    </row>
    <row r="2712" spans="9:31" x14ac:dyDescent="0.25">
      <c r="I2712" s="1"/>
      <c r="J2712" s="1"/>
      <c r="N2712" s="1"/>
      <c r="Z2712" s="1"/>
      <c r="AA2712" s="1"/>
      <c r="AE2712" s="1"/>
    </row>
    <row r="2713" spans="9:31" x14ac:dyDescent="0.25">
      <c r="I2713" s="1"/>
      <c r="J2713" s="1"/>
      <c r="N2713" s="1"/>
      <c r="AE2713" s="1"/>
    </row>
    <row r="2714" spans="9:31" x14ac:dyDescent="0.25">
      <c r="I2714" s="1"/>
      <c r="J2714" s="1"/>
      <c r="N2714" s="1"/>
      <c r="Z2714" s="1"/>
      <c r="AA2714" s="1"/>
      <c r="AE2714" s="1"/>
    </row>
    <row r="2715" spans="9:31" x14ac:dyDescent="0.25">
      <c r="I2715" s="1"/>
      <c r="J2715" s="1"/>
      <c r="N2715" s="1"/>
      <c r="AE2715" s="1"/>
    </row>
    <row r="2716" spans="9:31" x14ac:dyDescent="0.25">
      <c r="I2716" s="1"/>
      <c r="J2716" s="1"/>
      <c r="N2716" s="1"/>
      <c r="Z2716" s="1"/>
      <c r="AA2716" s="1"/>
      <c r="AE2716" s="1"/>
    </row>
    <row r="2717" spans="9:31" x14ac:dyDescent="0.25">
      <c r="I2717" s="1"/>
      <c r="J2717" s="1"/>
      <c r="N2717" s="1"/>
      <c r="Z2717" s="1"/>
      <c r="AA2717" s="1"/>
      <c r="AE2717" s="1"/>
    </row>
    <row r="2718" spans="9:31" x14ac:dyDescent="0.25">
      <c r="I2718" s="1"/>
      <c r="J2718" s="1"/>
      <c r="N2718" s="1"/>
      <c r="AE2718" s="1"/>
    </row>
    <row r="2719" spans="9:31" x14ac:dyDescent="0.25">
      <c r="I2719" s="1"/>
      <c r="J2719" s="1"/>
      <c r="N2719" s="1"/>
      <c r="Z2719" s="1"/>
      <c r="AA2719" s="1"/>
      <c r="AE2719" s="1"/>
    </row>
    <row r="2720" spans="9:31" x14ac:dyDescent="0.25">
      <c r="I2720" s="1"/>
      <c r="J2720" s="1"/>
      <c r="N2720" s="1"/>
      <c r="Z2720" s="1"/>
      <c r="AA2720" s="1"/>
      <c r="AE2720" s="1"/>
    </row>
    <row r="2721" spans="9:31" x14ac:dyDescent="0.25">
      <c r="I2721" s="1"/>
      <c r="J2721" s="1"/>
      <c r="N2721" s="1"/>
      <c r="Z2721" s="1"/>
      <c r="AA2721" s="1"/>
      <c r="AE2721" s="1"/>
    </row>
    <row r="2722" spans="9:31" x14ac:dyDescent="0.25">
      <c r="I2722" s="1"/>
      <c r="J2722" s="1"/>
      <c r="N2722" s="1"/>
      <c r="AE2722" s="1"/>
    </row>
    <row r="2723" spans="9:31" x14ac:dyDescent="0.25">
      <c r="I2723" s="1"/>
      <c r="J2723" s="1"/>
      <c r="N2723" s="1"/>
      <c r="AE2723" s="1"/>
    </row>
    <row r="2724" spans="9:31" x14ac:dyDescent="0.25">
      <c r="N2724" s="1"/>
      <c r="Z2724" s="1"/>
      <c r="AA2724" s="1"/>
      <c r="AE2724" s="1"/>
    </row>
    <row r="2725" spans="9:31" x14ac:dyDescent="0.25">
      <c r="I2725" s="1"/>
      <c r="J2725" s="1"/>
      <c r="N2725" s="1"/>
      <c r="AE2725" s="1"/>
    </row>
    <row r="2726" spans="9:31" x14ac:dyDescent="0.25">
      <c r="I2726" s="1"/>
      <c r="J2726" s="1"/>
      <c r="N2726" s="1"/>
      <c r="Z2726" s="1"/>
      <c r="AA2726" s="1"/>
      <c r="AE2726" s="1"/>
    </row>
    <row r="2727" spans="9:31" x14ac:dyDescent="0.25">
      <c r="I2727" s="1"/>
      <c r="J2727" s="1"/>
      <c r="N2727" s="1"/>
      <c r="AE2727" s="1"/>
    </row>
    <row r="2728" spans="9:31" x14ac:dyDescent="0.25">
      <c r="I2728" s="1"/>
      <c r="J2728" s="1"/>
      <c r="N2728" s="1"/>
      <c r="AE2728" s="1"/>
    </row>
    <row r="2729" spans="9:31" x14ac:dyDescent="0.25">
      <c r="I2729" s="1"/>
      <c r="J2729" s="1"/>
      <c r="N2729" s="1"/>
      <c r="AE2729" s="1"/>
    </row>
    <row r="2730" spans="9:31" x14ac:dyDescent="0.25">
      <c r="I2730" s="1"/>
      <c r="J2730" s="1"/>
      <c r="N2730" s="1"/>
      <c r="AE2730" s="1"/>
    </row>
    <row r="2731" spans="9:31" x14ac:dyDescent="0.25">
      <c r="I2731" s="1"/>
      <c r="J2731" s="1"/>
      <c r="N2731" s="1"/>
      <c r="AE2731" s="1"/>
    </row>
    <row r="2732" spans="9:31" x14ac:dyDescent="0.25">
      <c r="I2732" s="1"/>
      <c r="J2732" s="1"/>
      <c r="N2732" s="1"/>
      <c r="AE2732" s="1"/>
    </row>
    <row r="2733" spans="9:31" x14ac:dyDescent="0.25">
      <c r="I2733" s="1"/>
      <c r="J2733" s="1"/>
      <c r="N2733" s="1"/>
      <c r="AE2733" s="1"/>
    </row>
    <row r="2734" spans="9:31" x14ac:dyDescent="0.25">
      <c r="I2734" s="1"/>
      <c r="J2734" s="1"/>
      <c r="N2734" s="1"/>
      <c r="Z2734" s="1"/>
      <c r="AA2734" s="1"/>
      <c r="AE2734" s="1"/>
    </row>
    <row r="2735" spans="9:31" x14ac:dyDescent="0.25">
      <c r="I2735" s="1"/>
      <c r="J2735" s="1"/>
      <c r="N2735" s="1"/>
      <c r="AE2735" s="1"/>
    </row>
    <row r="2736" spans="9:31" x14ac:dyDescent="0.25">
      <c r="I2736" s="1"/>
      <c r="J2736" s="1"/>
      <c r="N2736" s="1"/>
      <c r="AE2736" s="1"/>
    </row>
    <row r="2737" spans="9:31" x14ac:dyDescent="0.25">
      <c r="I2737" s="1"/>
      <c r="J2737" s="1"/>
      <c r="N2737" s="1"/>
      <c r="Z2737" s="1"/>
      <c r="AA2737" s="1"/>
      <c r="AE2737" s="1"/>
    </row>
    <row r="2738" spans="9:31" x14ac:dyDescent="0.25">
      <c r="I2738" s="1"/>
      <c r="J2738" s="1"/>
      <c r="N2738" s="1"/>
      <c r="Z2738" s="1"/>
      <c r="AA2738" s="1"/>
      <c r="AE2738" s="1"/>
    </row>
    <row r="2739" spans="9:31" x14ac:dyDescent="0.25">
      <c r="I2739" s="1"/>
      <c r="J2739" s="1"/>
      <c r="N2739" s="1"/>
      <c r="Z2739" s="1"/>
      <c r="AA2739" s="1"/>
      <c r="AE2739" s="1"/>
    </row>
    <row r="2740" spans="9:31" x14ac:dyDescent="0.25">
      <c r="I2740" s="1"/>
      <c r="J2740" s="1"/>
      <c r="N2740" s="1"/>
      <c r="Z2740" s="1"/>
      <c r="AA2740" s="1"/>
      <c r="AE2740" s="1"/>
    </row>
    <row r="2741" spans="9:31" x14ac:dyDescent="0.25">
      <c r="I2741" s="1"/>
      <c r="J2741" s="1"/>
      <c r="N2741" s="1"/>
      <c r="Z2741" s="1"/>
      <c r="AA2741" s="1"/>
      <c r="AE2741" s="1"/>
    </row>
    <row r="2742" spans="9:31" x14ac:dyDescent="0.25">
      <c r="I2742" s="1"/>
      <c r="J2742" s="1"/>
      <c r="N2742" s="1"/>
      <c r="Z2742" s="1"/>
      <c r="AA2742" s="1"/>
      <c r="AE2742" s="1"/>
    </row>
    <row r="2743" spans="9:31" x14ac:dyDescent="0.25">
      <c r="N2743" s="1"/>
      <c r="AE2743" s="1"/>
    </row>
    <row r="2744" spans="9:31" x14ac:dyDescent="0.25">
      <c r="I2744" s="1"/>
      <c r="J2744" s="1"/>
      <c r="N2744" s="1"/>
      <c r="AE2744" s="1"/>
    </row>
    <row r="2745" spans="9:31" x14ac:dyDescent="0.25">
      <c r="I2745" s="1"/>
      <c r="J2745" s="1"/>
      <c r="N2745" s="1"/>
      <c r="Z2745" s="1"/>
      <c r="AA2745" s="1"/>
      <c r="AE2745" s="1"/>
    </row>
    <row r="2746" spans="9:31" x14ac:dyDescent="0.25">
      <c r="I2746" s="1"/>
      <c r="J2746" s="1"/>
      <c r="N2746" s="1"/>
      <c r="Z2746" s="1"/>
      <c r="AA2746" s="1"/>
      <c r="AE2746" s="1"/>
    </row>
    <row r="2747" spans="9:31" x14ac:dyDescent="0.25">
      <c r="I2747" s="1"/>
      <c r="J2747" s="1"/>
      <c r="N2747" s="1"/>
      <c r="Z2747" s="1"/>
      <c r="AA2747" s="1"/>
      <c r="AE2747" s="1"/>
    </row>
    <row r="2748" spans="9:31" x14ac:dyDescent="0.25">
      <c r="I2748" s="1"/>
      <c r="J2748" s="1"/>
      <c r="N2748" s="1"/>
      <c r="Z2748" s="1"/>
      <c r="AA2748" s="1"/>
      <c r="AE2748" s="1"/>
    </row>
    <row r="2749" spans="9:31" x14ac:dyDescent="0.25">
      <c r="I2749" s="1"/>
      <c r="J2749" s="1"/>
      <c r="N2749" s="1"/>
      <c r="AE2749" s="1"/>
    </row>
    <row r="2750" spans="9:31" x14ac:dyDescent="0.25">
      <c r="I2750" s="1"/>
      <c r="J2750" s="1"/>
      <c r="N2750" s="1"/>
      <c r="Z2750" s="1"/>
      <c r="AA2750" s="1"/>
      <c r="AE2750" s="1"/>
    </row>
    <row r="2751" spans="9:31" x14ac:dyDescent="0.25">
      <c r="I2751" s="1"/>
      <c r="J2751" s="1"/>
      <c r="N2751" s="1"/>
      <c r="AE2751" s="1"/>
    </row>
    <row r="2752" spans="9:31" x14ac:dyDescent="0.25">
      <c r="I2752" s="1"/>
      <c r="J2752" s="1"/>
      <c r="N2752" s="1"/>
      <c r="Z2752" s="1"/>
      <c r="AA2752" s="1"/>
      <c r="AE2752" s="1"/>
    </row>
    <row r="2753" spans="9:31" x14ac:dyDescent="0.25">
      <c r="N2753" s="1"/>
      <c r="Z2753" s="1"/>
      <c r="AA2753" s="1"/>
      <c r="AE2753" s="1"/>
    </row>
    <row r="2754" spans="9:31" x14ac:dyDescent="0.25">
      <c r="N2754" s="1"/>
      <c r="AE2754" s="1"/>
    </row>
    <row r="2755" spans="9:31" x14ac:dyDescent="0.25">
      <c r="I2755" s="1"/>
      <c r="J2755" s="1"/>
      <c r="N2755" s="1"/>
      <c r="AE2755" s="1"/>
    </row>
    <row r="2756" spans="9:31" x14ac:dyDescent="0.25">
      <c r="I2756" s="1"/>
      <c r="J2756" s="1"/>
      <c r="N2756" s="1"/>
      <c r="Z2756" s="1"/>
      <c r="AA2756" s="1"/>
      <c r="AE2756" s="1"/>
    </row>
    <row r="2757" spans="9:31" x14ac:dyDescent="0.25">
      <c r="I2757" s="1"/>
      <c r="J2757" s="1"/>
      <c r="N2757" s="1"/>
      <c r="AE2757" s="1"/>
    </row>
    <row r="2758" spans="9:31" x14ac:dyDescent="0.25">
      <c r="I2758" s="1"/>
      <c r="J2758" s="1"/>
      <c r="N2758" s="1"/>
      <c r="Z2758" s="1"/>
      <c r="AA2758" s="1"/>
      <c r="AE2758" s="1"/>
    </row>
    <row r="2759" spans="9:31" x14ac:dyDescent="0.25">
      <c r="I2759" s="1"/>
      <c r="J2759" s="1"/>
      <c r="N2759" s="1"/>
      <c r="AE2759" s="1"/>
    </row>
    <row r="2760" spans="9:31" x14ac:dyDescent="0.25">
      <c r="N2760" s="1"/>
      <c r="Z2760" s="1"/>
      <c r="AA2760" s="1"/>
      <c r="AE2760" s="1"/>
    </row>
    <row r="2761" spans="9:31" x14ac:dyDescent="0.25">
      <c r="I2761" s="1"/>
      <c r="J2761" s="1"/>
      <c r="N2761" s="1"/>
      <c r="AE2761" s="1"/>
    </row>
    <row r="2762" spans="9:31" x14ac:dyDescent="0.25">
      <c r="I2762" s="1"/>
      <c r="J2762" s="1"/>
      <c r="N2762" s="1"/>
      <c r="AE2762" s="1"/>
    </row>
    <row r="2763" spans="9:31" x14ac:dyDescent="0.25">
      <c r="I2763" s="1"/>
      <c r="J2763" s="1"/>
      <c r="N2763" s="1"/>
      <c r="Z2763" s="1"/>
      <c r="AA2763" s="1"/>
      <c r="AE2763" s="1"/>
    </row>
    <row r="2764" spans="9:31" x14ac:dyDescent="0.25">
      <c r="I2764" s="1"/>
      <c r="J2764" s="1"/>
      <c r="N2764" s="1"/>
      <c r="AE2764" s="1"/>
    </row>
    <row r="2765" spans="9:31" x14ac:dyDescent="0.25">
      <c r="I2765" s="1"/>
      <c r="J2765" s="1"/>
      <c r="N2765" s="1"/>
      <c r="Z2765" s="1"/>
      <c r="AA2765" s="1"/>
      <c r="AE2765" s="1"/>
    </row>
    <row r="2766" spans="9:31" x14ac:dyDescent="0.25">
      <c r="N2766" s="1"/>
      <c r="AE2766" s="1"/>
    </row>
    <row r="2767" spans="9:31" x14ac:dyDescent="0.25">
      <c r="I2767" s="1"/>
      <c r="J2767" s="1"/>
      <c r="N2767" s="1"/>
      <c r="AE2767" s="1"/>
    </row>
    <row r="2768" spans="9:31" x14ac:dyDescent="0.25">
      <c r="I2768" s="1"/>
      <c r="J2768" s="1"/>
      <c r="N2768" s="1"/>
      <c r="Z2768" s="1"/>
      <c r="AA2768" s="1"/>
      <c r="AE2768" s="1"/>
    </row>
    <row r="2769" spans="9:31" x14ac:dyDescent="0.25">
      <c r="I2769" s="1"/>
      <c r="J2769" s="1"/>
      <c r="N2769" s="1"/>
      <c r="Z2769" s="1"/>
      <c r="AA2769" s="1"/>
      <c r="AE2769" s="1"/>
    </row>
    <row r="2770" spans="9:31" x14ac:dyDescent="0.25">
      <c r="I2770" s="1"/>
      <c r="J2770" s="1"/>
      <c r="N2770" s="1"/>
      <c r="Z2770" s="1"/>
      <c r="AA2770" s="1"/>
      <c r="AE2770" s="1"/>
    </row>
    <row r="2771" spans="9:31" x14ac:dyDescent="0.25">
      <c r="I2771" s="1"/>
      <c r="J2771" s="1"/>
      <c r="N2771" s="1"/>
      <c r="Z2771" s="1"/>
      <c r="AA2771" s="1"/>
      <c r="AE2771" s="1"/>
    </row>
    <row r="2772" spans="9:31" x14ac:dyDescent="0.25">
      <c r="I2772" s="1"/>
      <c r="J2772" s="1"/>
      <c r="N2772" s="1"/>
      <c r="Z2772" s="1"/>
      <c r="AA2772" s="1"/>
      <c r="AE2772" s="1"/>
    </row>
    <row r="2773" spans="9:31" x14ac:dyDescent="0.25">
      <c r="I2773" s="1"/>
      <c r="J2773" s="1"/>
      <c r="N2773" s="1"/>
      <c r="AE2773" s="1"/>
    </row>
    <row r="2774" spans="9:31" x14ac:dyDescent="0.25">
      <c r="I2774" s="1"/>
      <c r="J2774" s="1"/>
      <c r="N2774" s="1"/>
      <c r="Z2774" s="1"/>
      <c r="AA2774" s="1"/>
      <c r="AE2774" s="1"/>
    </row>
    <row r="2775" spans="9:31" x14ac:dyDescent="0.25">
      <c r="I2775" s="1"/>
      <c r="J2775" s="1"/>
      <c r="N2775" s="1"/>
      <c r="Z2775" s="1"/>
      <c r="AA2775" s="1"/>
      <c r="AE2775" s="1"/>
    </row>
    <row r="2776" spans="9:31" x14ac:dyDescent="0.25">
      <c r="I2776" s="1"/>
      <c r="J2776" s="1"/>
      <c r="N2776" s="1"/>
      <c r="Z2776" s="1"/>
      <c r="AA2776" s="1"/>
      <c r="AE2776" s="1"/>
    </row>
    <row r="2777" spans="9:31" x14ac:dyDescent="0.25">
      <c r="I2777" s="1"/>
      <c r="J2777" s="1"/>
      <c r="N2777" s="1"/>
      <c r="Z2777" s="1"/>
      <c r="AA2777" s="1"/>
      <c r="AE2777" s="1"/>
    </row>
    <row r="2778" spans="9:31" x14ac:dyDescent="0.25">
      <c r="I2778" s="1"/>
      <c r="J2778" s="1"/>
      <c r="N2778" s="1"/>
      <c r="Z2778" s="1"/>
      <c r="AA2778" s="1"/>
      <c r="AE2778" s="1"/>
    </row>
    <row r="2779" spans="9:31" x14ac:dyDescent="0.25">
      <c r="I2779" s="1"/>
      <c r="J2779" s="1"/>
      <c r="N2779" s="1"/>
      <c r="AE2779" s="1"/>
    </row>
    <row r="2780" spans="9:31" x14ac:dyDescent="0.25">
      <c r="I2780" s="1"/>
      <c r="J2780" s="1"/>
      <c r="N2780" s="1"/>
      <c r="Z2780" s="1"/>
      <c r="AA2780" s="1"/>
      <c r="AE2780" s="1"/>
    </row>
    <row r="2781" spans="9:31" x14ac:dyDescent="0.25">
      <c r="N2781" s="1"/>
      <c r="AE2781" s="1"/>
    </row>
    <row r="2782" spans="9:31" x14ac:dyDescent="0.25">
      <c r="I2782" s="1"/>
      <c r="J2782" s="1"/>
      <c r="N2782" s="1"/>
      <c r="AE2782" s="1"/>
    </row>
    <row r="2783" spans="9:31" x14ac:dyDescent="0.25">
      <c r="I2783" s="1"/>
      <c r="J2783" s="1"/>
      <c r="N2783" s="1"/>
      <c r="Z2783" s="1"/>
      <c r="AA2783" s="1"/>
      <c r="AE2783" s="1"/>
    </row>
    <row r="2784" spans="9:31" x14ac:dyDescent="0.25">
      <c r="I2784" s="1"/>
      <c r="J2784" s="1"/>
      <c r="N2784" s="1"/>
      <c r="Z2784" s="1"/>
      <c r="AE2784" s="1"/>
    </row>
    <row r="2785" spans="9:31" x14ac:dyDescent="0.25">
      <c r="I2785" s="1"/>
      <c r="J2785" s="1"/>
      <c r="N2785" s="1"/>
      <c r="Z2785" s="1"/>
      <c r="AA2785" s="1"/>
      <c r="AE2785" s="1"/>
    </row>
    <row r="2786" spans="9:31" x14ac:dyDescent="0.25">
      <c r="I2786" s="1"/>
      <c r="J2786" s="1"/>
      <c r="N2786" s="1"/>
      <c r="AE2786" s="1"/>
    </row>
    <row r="2787" spans="9:31" x14ac:dyDescent="0.25">
      <c r="I2787" s="1"/>
      <c r="J2787" s="1"/>
      <c r="N2787" s="1"/>
      <c r="Z2787" s="1"/>
      <c r="AA2787" s="1"/>
      <c r="AE2787" s="1"/>
    </row>
    <row r="2788" spans="9:31" x14ac:dyDescent="0.25">
      <c r="I2788" s="1"/>
      <c r="J2788" s="1"/>
      <c r="N2788" s="1"/>
      <c r="Z2788" s="1"/>
      <c r="AA2788" s="1"/>
      <c r="AE2788" s="1"/>
    </row>
    <row r="2789" spans="9:31" x14ac:dyDescent="0.25">
      <c r="I2789" s="1"/>
      <c r="J2789" s="1"/>
      <c r="N2789" s="1"/>
      <c r="AE2789" s="1"/>
    </row>
    <row r="2790" spans="9:31" x14ac:dyDescent="0.25">
      <c r="I2790" s="1"/>
      <c r="J2790" s="1"/>
      <c r="N2790" s="1"/>
      <c r="Z2790" s="1"/>
      <c r="AA2790" s="1"/>
      <c r="AE2790" s="1"/>
    </row>
    <row r="2791" spans="9:31" x14ac:dyDescent="0.25">
      <c r="I2791" s="1"/>
      <c r="J2791" s="1"/>
      <c r="N2791" s="1"/>
      <c r="Z2791" s="1"/>
      <c r="AA2791" s="1"/>
      <c r="AE2791" s="1"/>
    </row>
    <row r="2792" spans="9:31" x14ac:dyDescent="0.25">
      <c r="I2792" s="1"/>
      <c r="J2792" s="1"/>
      <c r="N2792" s="1"/>
      <c r="Z2792" s="1"/>
      <c r="AA2792" s="1"/>
      <c r="AE2792" s="1"/>
    </row>
    <row r="2793" spans="9:31" x14ac:dyDescent="0.25">
      <c r="I2793" s="1"/>
      <c r="J2793" s="1"/>
      <c r="N2793" s="1"/>
      <c r="Z2793" s="1"/>
      <c r="AA2793" s="1"/>
      <c r="AE2793" s="1"/>
    </row>
    <row r="2794" spans="9:31" x14ac:dyDescent="0.25">
      <c r="I2794" s="1"/>
      <c r="J2794" s="1"/>
      <c r="N2794" s="1"/>
      <c r="AE2794" s="1"/>
    </row>
    <row r="2795" spans="9:31" x14ac:dyDescent="0.25">
      <c r="I2795" s="1"/>
      <c r="J2795" s="1"/>
      <c r="N2795" s="1"/>
      <c r="AE2795" s="1"/>
    </row>
    <row r="2796" spans="9:31" x14ac:dyDescent="0.25">
      <c r="I2796" s="1"/>
      <c r="J2796" s="1"/>
      <c r="N2796" s="1"/>
      <c r="Z2796" s="1"/>
      <c r="AA2796" s="1"/>
      <c r="AE2796" s="1"/>
    </row>
    <row r="2797" spans="9:31" x14ac:dyDescent="0.25">
      <c r="I2797" s="1"/>
      <c r="J2797" s="1"/>
      <c r="N2797" s="1"/>
      <c r="Z2797" s="1"/>
      <c r="AA2797" s="1"/>
      <c r="AE2797" s="1"/>
    </row>
    <row r="2798" spans="9:31" x14ac:dyDescent="0.25">
      <c r="I2798" s="1"/>
      <c r="J2798" s="1"/>
      <c r="N2798" s="1"/>
      <c r="AE2798" s="1"/>
    </row>
    <row r="2799" spans="9:31" x14ac:dyDescent="0.25">
      <c r="I2799" s="1"/>
      <c r="J2799" s="1"/>
      <c r="N2799" s="1"/>
      <c r="Z2799" s="1"/>
      <c r="AA2799" s="1"/>
      <c r="AE2799" s="1"/>
    </row>
    <row r="2800" spans="9:31" x14ac:dyDescent="0.25">
      <c r="I2800" s="1"/>
      <c r="J2800" s="1"/>
      <c r="N2800" s="1"/>
      <c r="Z2800" s="1"/>
      <c r="AA2800" s="1"/>
      <c r="AE2800" s="1"/>
    </row>
    <row r="2801" spans="9:31" x14ac:dyDescent="0.25">
      <c r="I2801" s="1"/>
      <c r="J2801" s="1"/>
      <c r="N2801" s="1"/>
      <c r="Z2801" s="1"/>
      <c r="AA2801" s="1"/>
      <c r="AE2801" s="1"/>
    </row>
    <row r="2802" spans="9:31" x14ac:dyDescent="0.25">
      <c r="I2802" s="1"/>
      <c r="J2802" s="1"/>
      <c r="N2802" s="1"/>
      <c r="AE2802" s="1"/>
    </row>
    <row r="2803" spans="9:31" x14ac:dyDescent="0.25">
      <c r="I2803" s="1"/>
      <c r="J2803" s="1"/>
      <c r="N2803" s="1"/>
      <c r="Z2803" s="1"/>
      <c r="AA2803" s="1"/>
      <c r="AE2803" s="1"/>
    </row>
    <row r="2804" spans="9:31" x14ac:dyDescent="0.25">
      <c r="I2804" s="1"/>
      <c r="J2804" s="1"/>
      <c r="N2804" s="1"/>
      <c r="AE2804" s="1"/>
    </row>
    <row r="2805" spans="9:31" x14ac:dyDescent="0.25">
      <c r="N2805" s="1"/>
      <c r="Z2805" s="1"/>
      <c r="AA2805" s="1"/>
      <c r="AE2805" s="1"/>
    </row>
    <row r="2806" spans="9:31" x14ac:dyDescent="0.25">
      <c r="I2806" s="1"/>
      <c r="J2806" s="1"/>
      <c r="N2806" s="1"/>
      <c r="AE2806" s="1"/>
    </row>
    <row r="2807" spans="9:31" x14ac:dyDescent="0.25">
      <c r="I2807" s="1"/>
      <c r="J2807" s="1"/>
      <c r="N2807" s="1"/>
      <c r="Z2807" s="1"/>
      <c r="AA2807" s="1"/>
      <c r="AE2807" s="1"/>
    </row>
    <row r="2808" spans="9:31" x14ac:dyDescent="0.25">
      <c r="I2808" s="1"/>
      <c r="J2808" s="1"/>
      <c r="N2808" s="1"/>
      <c r="Z2808" s="1"/>
      <c r="AA2808" s="1"/>
      <c r="AE2808" s="1"/>
    </row>
    <row r="2809" spans="9:31" x14ac:dyDescent="0.25">
      <c r="I2809" s="1"/>
      <c r="J2809" s="1"/>
      <c r="N2809" s="1"/>
      <c r="Z2809" s="1"/>
      <c r="AA2809" s="1"/>
      <c r="AE2809" s="1"/>
    </row>
    <row r="2810" spans="9:31" x14ac:dyDescent="0.25">
      <c r="I2810" s="1"/>
      <c r="J2810" s="1"/>
      <c r="N2810" s="1"/>
      <c r="AE2810" s="1"/>
    </row>
    <row r="2811" spans="9:31" x14ac:dyDescent="0.25">
      <c r="I2811" s="1"/>
      <c r="J2811" s="1"/>
      <c r="N2811" s="1"/>
      <c r="AE2811" s="1"/>
    </row>
    <row r="2812" spans="9:31" x14ac:dyDescent="0.25">
      <c r="N2812" s="1"/>
      <c r="Z2812" s="1"/>
      <c r="AA2812" s="1"/>
      <c r="AE2812" s="1"/>
    </row>
    <row r="2813" spans="9:31" x14ac:dyDescent="0.25">
      <c r="I2813" s="1"/>
      <c r="J2813" s="1"/>
      <c r="N2813" s="1"/>
      <c r="AE2813" s="1"/>
    </row>
    <row r="2814" spans="9:31" x14ac:dyDescent="0.25">
      <c r="N2814" s="1"/>
      <c r="AE2814" s="1"/>
    </row>
    <row r="2815" spans="9:31" x14ac:dyDescent="0.25">
      <c r="I2815" s="1"/>
      <c r="J2815" s="1"/>
      <c r="N2815" s="1"/>
      <c r="AE2815" s="1"/>
    </row>
    <row r="2816" spans="9:31" x14ac:dyDescent="0.25">
      <c r="I2816" s="1"/>
      <c r="J2816" s="1"/>
      <c r="N2816" s="1"/>
      <c r="Z2816" s="1"/>
      <c r="AA2816" s="1"/>
      <c r="AE2816" s="1"/>
    </row>
    <row r="2817" spans="9:31" x14ac:dyDescent="0.25">
      <c r="I2817" s="1"/>
      <c r="J2817" s="1"/>
      <c r="N2817" s="1"/>
      <c r="AE2817" s="1"/>
    </row>
    <row r="2818" spans="9:31" x14ac:dyDescent="0.25">
      <c r="I2818" s="1"/>
      <c r="J2818" s="1"/>
      <c r="N2818" s="1"/>
      <c r="Z2818" s="1"/>
      <c r="AA2818" s="1"/>
      <c r="AE2818" s="1"/>
    </row>
    <row r="2819" spans="9:31" x14ac:dyDescent="0.25">
      <c r="N2819" s="1"/>
      <c r="AE2819" s="1"/>
    </row>
    <row r="2820" spans="9:31" x14ac:dyDescent="0.25">
      <c r="I2820" s="1"/>
      <c r="J2820" s="1"/>
      <c r="N2820" s="1"/>
      <c r="AE2820" s="1"/>
    </row>
    <row r="2821" spans="9:31" x14ac:dyDescent="0.25">
      <c r="I2821" s="1"/>
      <c r="J2821" s="1"/>
      <c r="N2821" s="1"/>
      <c r="AE2821" s="1"/>
    </row>
    <row r="2822" spans="9:31" x14ac:dyDescent="0.25">
      <c r="N2822" s="1"/>
      <c r="AE2822" s="1"/>
    </row>
    <row r="2823" spans="9:31" x14ac:dyDescent="0.25">
      <c r="I2823" s="1"/>
      <c r="J2823" s="1"/>
      <c r="N2823" s="1"/>
      <c r="AE2823" s="1"/>
    </row>
    <row r="2824" spans="9:31" x14ac:dyDescent="0.25">
      <c r="I2824" s="1"/>
      <c r="J2824" s="1"/>
      <c r="N2824" s="1"/>
      <c r="Z2824" s="1"/>
      <c r="AA2824" s="1"/>
      <c r="AE2824" s="1"/>
    </row>
    <row r="2825" spans="9:31" x14ac:dyDescent="0.25">
      <c r="N2825" s="1"/>
      <c r="Z2825" s="1"/>
      <c r="AA2825" s="1"/>
      <c r="AE2825" s="1"/>
    </row>
    <row r="2826" spans="9:31" x14ac:dyDescent="0.25">
      <c r="I2826" s="1"/>
      <c r="J2826" s="1"/>
      <c r="N2826" s="1"/>
      <c r="AE2826" s="1"/>
    </row>
    <row r="2827" spans="9:31" x14ac:dyDescent="0.25">
      <c r="I2827" s="1"/>
      <c r="J2827" s="1"/>
      <c r="N2827" s="1"/>
      <c r="Z2827" s="1"/>
      <c r="AA2827" s="1"/>
      <c r="AE2827" s="1"/>
    </row>
    <row r="2828" spans="9:31" x14ac:dyDescent="0.25">
      <c r="I2828" s="1"/>
      <c r="J2828" s="1"/>
      <c r="N2828" s="1"/>
      <c r="AE2828" s="1"/>
    </row>
    <row r="2829" spans="9:31" x14ac:dyDescent="0.25">
      <c r="I2829" s="1"/>
      <c r="J2829" s="1"/>
      <c r="N2829" s="1"/>
      <c r="Z2829" s="1"/>
      <c r="AA2829" s="1"/>
      <c r="AE2829" s="1"/>
    </row>
    <row r="2830" spans="9:31" x14ac:dyDescent="0.25">
      <c r="N2830" s="1"/>
      <c r="AE2830" s="1"/>
    </row>
    <row r="2831" spans="9:31" x14ac:dyDescent="0.25">
      <c r="I2831" s="1"/>
      <c r="J2831" s="1"/>
      <c r="N2831" s="1"/>
      <c r="AE2831" s="1"/>
    </row>
    <row r="2832" spans="9:31" x14ac:dyDescent="0.25">
      <c r="N2832" s="1"/>
      <c r="AE2832" s="1"/>
    </row>
    <row r="2833" spans="9:31" x14ac:dyDescent="0.25">
      <c r="I2833" s="1"/>
      <c r="J2833" s="1"/>
      <c r="N2833" s="1"/>
      <c r="AE2833" s="1"/>
    </row>
    <row r="2834" spans="9:31" x14ac:dyDescent="0.25">
      <c r="I2834" s="1"/>
      <c r="J2834" s="1"/>
      <c r="N2834" s="1"/>
      <c r="AE2834" s="1"/>
    </row>
    <row r="2835" spans="9:31" x14ac:dyDescent="0.25">
      <c r="I2835" s="1"/>
      <c r="J2835" s="1"/>
      <c r="N2835" s="1"/>
      <c r="Z2835" s="1"/>
      <c r="AA2835" s="1"/>
      <c r="AE2835" s="1"/>
    </row>
    <row r="2836" spans="9:31" x14ac:dyDescent="0.25">
      <c r="I2836" s="1"/>
      <c r="J2836" s="1"/>
      <c r="N2836" s="1"/>
      <c r="Z2836" s="1"/>
      <c r="AA2836" s="1"/>
      <c r="AE2836" s="1"/>
    </row>
    <row r="2837" spans="9:31" x14ac:dyDescent="0.25">
      <c r="I2837" s="1"/>
      <c r="J2837" s="1"/>
      <c r="N2837" s="1"/>
      <c r="Z2837" s="1"/>
      <c r="AA2837" s="1"/>
      <c r="AE2837" s="1"/>
    </row>
    <row r="2838" spans="9:31" x14ac:dyDescent="0.25">
      <c r="I2838" s="1"/>
      <c r="J2838" s="1"/>
      <c r="N2838" s="1"/>
      <c r="Z2838" s="1"/>
      <c r="AA2838" s="1"/>
      <c r="AE2838" s="1"/>
    </row>
    <row r="2839" spans="9:31" x14ac:dyDescent="0.25">
      <c r="N2839" s="1"/>
      <c r="Z2839" s="1"/>
      <c r="AE2839" s="1"/>
    </row>
    <row r="2840" spans="9:31" x14ac:dyDescent="0.25">
      <c r="I2840" s="1"/>
      <c r="J2840" s="1"/>
      <c r="N2840" s="1"/>
      <c r="AE2840" s="1"/>
    </row>
    <row r="2841" spans="9:31" x14ac:dyDescent="0.25">
      <c r="I2841" s="1"/>
      <c r="J2841" s="1"/>
      <c r="N2841" s="1"/>
      <c r="AE2841" s="1"/>
    </row>
    <row r="2842" spans="9:31" x14ac:dyDescent="0.25">
      <c r="I2842" s="1"/>
      <c r="J2842" s="1"/>
      <c r="N2842" s="1"/>
      <c r="Z2842" s="1"/>
      <c r="AA2842" s="1"/>
      <c r="AE2842" s="1"/>
    </row>
    <row r="2843" spans="9:31" x14ac:dyDescent="0.25">
      <c r="I2843" s="1"/>
      <c r="J2843" s="1"/>
      <c r="N2843" s="1"/>
      <c r="Z2843" s="1"/>
      <c r="AA2843" s="1"/>
      <c r="AE2843" s="1"/>
    </row>
    <row r="2844" spans="9:31" x14ac:dyDescent="0.25">
      <c r="I2844" s="1"/>
      <c r="J2844" s="1"/>
      <c r="N2844" s="1"/>
      <c r="Z2844" s="1"/>
      <c r="AA2844" s="1"/>
      <c r="AE2844" s="1"/>
    </row>
    <row r="2845" spans="9:31" x14ac:dyDescent="0.25">
      <c r="I2845" s="1"/>
      <c r="J2845" s="1"/>
      <c r="N2845" s="1"/>
      <c r="Z2845" s="1"/>
      <c r="AA2845" s="1"/>
      <c r="AE2845" s="1"/>
    </row>
    <row r="2846" spans="9:31" x14ac:dyDescent="0.25">
      <c r="I2846" s="1"/>
      <c r="J2846" s="1"/>
      <c r="N2846" s="1"/>
      <c r="Z2846" s="1"/>
      <c r="AA2846" s="1"/>
      <c r="AE2846" s="1"/>
    </row>
    <row r="2847" spans="9:31" x14ac:dyDescent="0.25">
      <c r="I2847" s="1"/>
      <c r="J2847" s="1"/>
      <c r="N2847" s="1"/>
      <c r="Z2847" s="1"/>
      <c r="AA2847" s="1"/>
      <c r="AE2847" s="1"/>
    </row>
    <row r="2848" spans="9:31" x14ac:dyDescent="0.25">
      <c r="I2848" s="1"/>
      <c r="J2848" s="1"/>
      <c r="N2848" s="1"/>
      <c r="Z2848" s="1"/>
      <c r="AA2848" s="1"/>
      <c r="AE2848" s="1"/>
    </row>
    <row r="2849" spans="9:31" x14ac:dyDescent="0.25">
      <c r="I2849" s="1"/>
      <c r="J2849" s="1"/>
      <c r="N2849" s="1"/>
      <c r="Z2849" s="1"/>
      <c r="AA2849" s="1"/>
      <c r="AE2849" s="1"/>
    </row>
    <row r="2850" spans="9:31" x14ac:dyDescent="0.25">
      <c r="I2850" s="1"/>
      <c r="J2850" s="1"/>
      <c r="N2850" s="1"/>
      <c r="Z2850" s="1"/>
      <c r="AA2850" s="1"/>
      <c r="AE2850" s="1"/>
    </row>
    <row r="2851" spans="9:31" x14ac:dyDescent="0.25">
      <c r="I2851" s="1"/>
      <c r="J2851" s="1"/>
      <c r="N2851" s="1"/>
      <c r="Z2851" s="1"/>
      <c r="AA2851" s="1"/>
      <c r="AE2851" s="1"/>
    </row>
    <row r="2852" spans="9:31" x14ac:dyDescent="0.25">
      <c r="I2852" s="1"/>
      <c r="J2852" s="1"/>
      <c r="N2852" s="1"/>
      <c r="AE2852" s="1"/>
    </row>
    <row r="2853" spans="9:31" x14ac:dyDescent="0.25">
      <c r="I2853" s="1"/>
      <c r="J2853" s="1"/>
      <c r="N2853" s="1"/>
      <c r="AE2853" s="1"/>
    </row>
    <row r="2854" spans="9:31" x14ac:dyDescent="0.25">
      <c r="I2854" s="1"/>
      <c r="J2854" s="1"/>
      <c r="N2854" s="1"/>
      <c r="Z2854" s="1"/>
      <c r="AA2854" s="1"/>
      <c r="AE2854" s="1"/>
    </row>
    <row r="2855" spans="9:31" x14ac:dyDescent="0.25">
      <c r="I2855" s="1"/>
      <c r="J2855" s="1"/>
      <c r="N2855" s="1"/>
      <c r="Z2855" s="1"/>
      <c r="AA2855" s="1"/>
      <c r="AE2855" s="1"/>
    </row>
    <row r="2856" spans="9:31" x14ac:dyDescent="0.25">
      <c r="I2856" s="1"/>
      <c r="J2856" s="1"/>
      <c r="N2856" s="1"/>
      <c r="Z2856" s="1"/>
      <c r="AA2856" s="1"/>
      <c r="AE2856" s="1"/>
    </row>
    <row r="2857" spans="9:31" x14ac:dyDescent="0.25">
      <c r="I2857" s="1"/>
      <c r="J2857" s="1"/>
      <c r="N2857" s="1"/>
      <c r="AE2857" s="1"/>
    </row>
    <row r="2858" spans="9:31" x14ac:dyDescent="0.25">
      <c r="I2858" s="1"/>
      <c r="J2858" s="1"/>
      <c r="N2858" s="1"/>
      <c r="Z2858" s="1"/>
      <c r="AA2858" s="1"/>
      <c r="AE2858" s="1"/>
    </row>
    <row r="2859" spans="9:31" x14ac:dyDescent="0.25">
      <c r="I2859" s="1"/>
      <c r="J2859" s="1"/>
      <c r="N2859" s="1"/>
      <c r="Z2859" s="1"/>
      <c r="AA2859" s="1"/>
      <c r="AE2859" s="1"/>
    </row>
    <row r="2860" spans="9:31" x14ac:dyDescent="0.25">
      <c r="I2860" s="1"/>
      <c r="J2860" s="1"/>
      <c r="N2860" s="1"/>
      <c r="Z2860" s="1"/>
      <c r="AA2860" s="1"/>
      <c r="AE2860" s="1"/>
    </row>
    <row r="2861" spans="9:31" x14ac:dyDescent="0.25">
      <c r="N2861" s="1"/>
      <c r="Z2861" s="1"/>
      <c r="AA2861" s="1"/>
      <c r="AE2861" s="1"/>
    </row>
    <row r="2862" spans="9:31" x14ac:dyDescent="0.25">
      <c r="I2862" s="1"/>
      <c r="J2862" s="1"/>
      <c r="N2862" s="1"/>
      <c r="AE2862" s="1"/>
    </row>
    <row r="2863" spans="9:31" x14ac:dyDescent="0.25">
      <c r="I2863" s="1"/>
      <c r="J2863" s="1"/>
      <c r="N2863" s="1"/>
      <c r="Z2863" s="1"/>
      <c r="AA2863" s="1"/>
      <c r="AE2863" s="1"/>
    </row>
    <row r="2864" spans="9:31" x14ac:dyDescent="0.25">
      <c r="I2864" s="1"/>
      <c r="J2864" s="1"/>
      <c r="N2864" s="1"/>
      <c r="AE2864" s="1"/>
    </row>
    <row r="2865" spans="9:31" x14ac:dyDescent="0.25">
      <c r="I2865" s="1"/>
      <c r="J2865" s="1"/>
      <c r="N2865" s="1"/>
      <c r="Z2865" s="1"/>
      <c r="AA2865" s="1"/>
      <c r="AE2865" s="1"/>
    </row>
    <row r="2866" spans="9:31" x14ac:dyDescent="0.25">
      <c r="I2866" s="1"/>
      <c r="J2866" s="1"/>
      <c r="N2866" s="1"/>
      <c r="Z2866" s="1"/>
      <c r="AA2866" s="1"/>
      <c r="AE2866" s="1"/>
    </row>
    <row r="2867" spans="9:31" x14ac:dyDescent="0.25">
      <c r="I2867" s="1"/>
      <c r="J2867" s="1"/>
      <c r="N2867" s="1"/>
      <c r="Z2867" s="1"/>
      <c r="AA2867" s="1"/>
      <c r="AE2867" s="1"/>
    </row>
    <row r="2868" spans="9:31" x14ac:dyDescent="0.25">
      <c r="N2868" s="1"/>
      <c r="AE2868" s="1"/>
    </row>
    <row r="2869" spans="9:31" x14ac:dyDescent="0.25">
      <c r="I2869" s="1"/>
      <c r="J2869" s="1"/>
      <c r="N2869" s="1"/>
      <c r="AE2869" s="1"/>
    </row>
    <row r="2870" spans="9:31" x14ac:dyDescent="0.25">
      <c r="I2870" s="1"/>
      <c r="J2870" s="1"/>
      <c r="N2870" s="1"/>
      <c r="Z2870" s="1"/>
      <c r="AA2870" s="1"/>
      <c r="AE2870" s="1"/>
    </row>
    <row r="2871" spans="9:31" x14ac:dyDescent="0.25">
      <c r="I2871" s="1"/>
      <c r="J2871" s="1"/>
      <c r="N2871" s="1"/>
      <c r="AE2871" s="1"/>
    </row>
    <row r="2872" spans="9:31" x14ac:dyDescent="0.25">
      <c r="I2872" s="1"/>
      <c r="J2872" s="1"/>
      <c r="N2872" s="1"/>
      <c r="Z2872" s="1"/>
      <c r="AA2872" s="1"/>
      <c r="AE2872" s="1"/>
    </row>
    <row r="2873" spans="9:31" x14ac:dyDescent="0.25">
      <c r="N2873" s="1"/>
      <c r="Z2873" s="1"/>
      <c r="AA2873" s="1"/>
      <c r="AE2873" s="1"/>
    </row>
    <row r="2874" spans="9:31" x14ac:dyDescent="0.25">
      <c r="I2874" s="1"/>
      <c r="J2874" s="1"/>
      <c r="N2874" s="1"/>
      <c r="AE2874" s="1"/>
    </row>
    <row r="2875" spans="9:31" x14ac:dyDescent="0.25">
      <c r="I2875" s="1"/>
      <c r="J2875" s="1"/>
      <c r="N2875" s="1"/>
      <c r="Z2875" s="1"/>
      <c r="AA2875" s="1"/>
      <c r="AE2875" s="1"/>
    </row>
    <row r="2876" spans="9:31" x14ac:dyDescent="0.25">
      <c r="I2876" s="1"/>
      <c r="J2876" s="1"/>
      <c r="N2876" s="1"/>
      <c r="AE2876" s="1"/>
    </row>
    <row r="2877" spans="9:31" x14ac:dyDescent="0.25">
      <c r="N2877" s="1"/>
      <c r="AE2877" s="1"/>
    </row>
    <row r="2878" spans="9:31" x14ac:dyDescent="0.25">
      <c r="N2878" s="1"/>
      <c r="AE2878" s="1"/>
    </row>
    <row r="2879" spans="9:31" x14ac:dyDescent="0.25">
      <c r="I2879" s="1"/>
      <c r="J2879" s="1"/>
      <c r="N2879" s="1"/>
      <c r="AE2879" s="1"/>
    </row>
    <row r="2880" spans="9:31" x14ac:dyDescent="0.25">
      <c r="I2880" s="1"/>
      <c r="J2880" s="1"/>
      <c r="N2880" s="1"/>
      <c r="Z2880" s="1"/>
      <c r="AA2880" s="1"/>
      <c r="AE2880" s="1"/>
    </row>
    <row r="2881" spans="9:31" x14ac:dyDescent="0.25">
      <c r="I2881" s="1"/>
      <c r="J2881" s="1"/>
      <c r="N2881" s="1"/>
      <c r="AE2881" s="1"/>
    </row>
    <row r="2882" spans="9:31" x14ac:dyDescent="0.25">
      <c r="I2882" s="1"/>
      <c r="J2882" s="1"/>
      <c r="N2882" s="1"/>
      <c r="AE2882" s="1"/>
    </row>
    <row r="2883" spans="9:31" x14ac:dyDescent="0.25">
      <c r="I2883" s="1"/>
      <c r="J2883" s="1"/>
      <c r="N2883" s="1"/>
      <c r="Z2883" s="1"/>
      <c r="AA2883" s="1"/>
      <c r="AE2883" s="1"/>
    </row>
    <row r="2884" spans="9:31" x14ac:dyDescent="0.25">
      <c r="I2884" s="1"/>
      <c r="J2884" s="1"/>
      <c r="N2884" s="1"/>
      <c r="Z2884" s="1"/>
      <c r="AA2884" s="1"/>
      <c r="AE2884" s="1"/>
    </row>
    <row r="2885" spans="9:31" x14ac:dyDescent="0.25">
      <c r="I2885" s="1"/>
      <c r="J2885" s="1"/>
      <c r="N2885" s="1"/>
      <c r="Z2885" s="1"/>
      <c r="AA2885" s="1"/>
      <c r="AE2885" s="1"/>
    </row>
    <row r="2886" spans="9:31" x14ac:dyDescent="0.25">
      <c r="I2886" s="1"/>
      <c r="J2886" s="1"/>
      <c r="N2886" s="1"/>
      <c r="Z2886" s="1"/>
      <c r="AA2886" s="1"/>
      <c r="AE2886" s="1"/>
    </row>
    <row r="2887" spans="9:31" x14ac:dyDescent="0.25">
      <c r="I2887" s="1"/>
      <c r="J2887" s="1"/>
      <c r="N2887" s="1"/>
      <c r="Z2887" s="1"/>
      <c r="AA2887" s="1"/>
      <c r="AE2887" s="1"/>
    </row>
    <row r="2888" spans="9:31" x14ac:dyDescent="0.25">
      <c r="I2888" s="1"/>
      <c r="J2888" s="1"/>
      <c r="N2888" s="1"/>
      <c r="AE2888" s="1"/>
    </row>
    <row r="2889" spans="9:31" x14ac:dyDescent="0.25">
      <c r="I2889" s="1"/>
      <c r="J2889" s="1"/>
      <c r="N2889" s="1"/>
      <c r="Z2889" s="1"/>
      <c r="AA2889" s="1"/>
      <c r="AE2889" s="1"/>
    </row>
    <row r="2890" spans="9:31" x14ac:dyDescent="0.25">
      <c r="I2890" s="1"/>
      <c r="J2890" s="1"/>
      <c r="N2890" s="1"/>
      <c r="Z2890" s="1"/>
      <c r="AA2890" s="1"/>
      <c r="AE2890" s="1"/>
    </row>
    <row r="2891" spans="9:31" x14ac:dyDescent="0.25">
      <c r="I2891" s="1"/>
      <c r="J2891" s="1"/>
      <c r="N2891" s="1"/>
      <c r="Z2891" s="1"/>
      <c r="AA2891" s="1"/>
      <c r="AE2891" s="1"/>
    </row>
    <row r="2892" spans="9:31" x14ac:dyDescent="0.25">
      <c r="I2892" s="1"/>
      <c r="J2892" s="1"/>
      <c r="N2892" s="1"/>
      <c r="AE2892" s="1"/>
    </row>
    <row r="2893" spans="9:31" x14ac:dyDescent="0.25">
      <c r="I2893" s="1"/>
      <c r="J2893" s="1"/>
      <c r="N2893" s="1"/>
      <c r="Z2893" s="1"/>
      <c r="AA2893" s="1"/>
      <c r="AE2893" s="1"/>
    </row>
    <row r="2894" spans="9:31" x14ac:dyDescent="0.25">
      <c r="I2894" s="1"/>
      <c r="J2894" s="1"/>
      <c r="N2894" s="1"/>
      <c r="AE2894" s="1"/>
    </row>
    <row r="2895" spans="9:31" x14ac:dyDescent="0.25">
      <c r="I2895" s="1"/>
      <c r="J2895" s="1"/>
      <c r="N2895" s="1"/>
      <c r="Z2895" s="1"/>
      <c r="AA2895" s="1"/>
      <c r="AE2895" s="1"/>
    </row>
    <row r="2896" spans="9:31" x14ac:dyDescent="0.25">
      <c r="I2896" s="1"/>
      <c r="J2896" s="1"/>
      <c r="N2896" s="1"/>
      <c r="Z2896" s="1"/>
      <c r="AA2896" s="1"/>
      <c r="AE2896" s="1"/>
    </row>
    <row r="2897" spans="9:31" x14ac:dyDescent="0.25">
      <c r="I2897" s="1"/>
      <c r="J2897" s="1"/>
      <c r="N2897" s="1"/>
      <c r="Z2897" s="1"/>
      <c r="AA2897" s="1"/>
      <c r="AE2897" s="1"/>
    </row>
    <row r="2898" spans="9:31" x14ac:dyDescent="0.25">
      <c r="I2898" s="1"/>
      <c r="J2898" s="1"/>
      <c r="N2898" s="1"/>
      <c r="AE2898" s="1"/>
    </row>
    <row r="2899" spans="9:31" x14ac:dyDescent="0.25">
      <c r="I2899" s="1"/>
      <c r="J2899" s="1"/>
      <c r="N2899" s="1"/>
      <c r="AE2899" s="1"/>
    </row>
    <row r="2900" spans="9:31" x14ac:dyDescent="0.25">
      <c r="I2900" s="1"/>
      <c r="J2900" s="1"/>
      <c r="N2900" s="1"/>
      <c r="AE2900" s="1"/>
    </row>
    <row r="2901" spans="9:31" x14ac:dyDescent="0.25">
      <c r="I2901" s="1"/>
      <c r="J2901" s="1"/>
      <c r="N2901" s="1"/>
      <c r="Z2901" s="1"/>
      <c r="AA2901" s="1"/>
      <c r="AE2901" s="1"/>
    </row>
    <row r="2902" spans="9:31" x14ac:dyDescent="0.25">
      <c r="I2902" s="1"/>
      <c r="J2902" s="1"/>
      <c r="N2902" s="1"/>
      <c r="AE2902" s="1"/>
    </row>
    <row r="2903" spans="9:31" x14ac:dyDescent="0.25">
      <c r="I2903" s="1"/>
      <c r="J2903" s="1"/>
      <c r="N2903" s="1"/>
      <c r="AE2903" s="1"/>
    </row>
    <row r="2904" spans="9:31" x14ac:dyDescent="0.25">
      <c r="I2904" s="1"/>
      <c r="J2904" s="1"/>
      <c r="N2904" s="1"/>
      <c r="AE2904" s="1"/>
    </row>
    <row r="2905" spans="9:31" x14ac:dyDescent="0.25">
      <c r="I2905" s="1"/>
      <c r="J2905" s="1"/>
      <c r="N2905" s="1"/>
      <c r="Z2905" s="1"/>
      <c r="AA2905" s="1"/>
      <c r="AE2905" s="1"/>
    </row>
    <row r="2906" spans="9:31" x14ac:dyDescent="0.25">
      <c r="I2906" s="1"/>
      <c r="J2906" s="1"/>
      <c r="N2906" s="1"/>
      <c r="AE2906" s="1"/>
    </row>
    <row r="2907" spans="9:31" x14ac:dyDescent="0.25">
      <c r="I2907" s="1"/>
      <c r="J2907" s="1"/>
      <c r="N2907" s="1"/>
      <c r="Z2907" s="1"/>
      <c r="AA2907" s="1"/>
      <c r="AE2907" s="1"/>
    </row>
    <row r="2908" spans="9:31" x14ac:dyDescent="0.25">
      <c r="I2908" s="1"/>
      <c r="J2908" s="1"/>
      <c r="N2908" s="1"/>
      <c r="Z2908" s="1"/>
      <c r="AA2908" s="1"/>
      <c r="AE2908" s="1"/>
    </row>
    <row r="2909" spans="9:31" x14ac:dyDescent="0.25">
      <c r="I2909" s="1"/>
      <c r="J2909" s="1"/>
      <c r="N2909" s="1"/>
      <c r="Z2909" s="1"/>
      <c r="AE2909" s="1"/>
    </row>
    <row r="2910" spans="9:31" x14ac:dyDescent="0.25">
      <c r="I2910" s="1"/>
      <c r="J2910" s="1"/>
      <c r="N2910" s="1"/>
      <c r="AE2910" s="1"/>
    </row>
    <row r="2911" spans="9:31" x14ac:dyDescent="0.25">
      <c r="I2911" s="1"/>
      <c r="J2911" s="1"/>
      <c r="N2911" s="1"/>
      <c r="AE2911" s="1"/>
    </row>
    <row r="2912" spans="9:31" x14ac:dyDescent="0.25">
      <c r="I2912" s="1"/>
      <c r="J2912" s="1"/>
      <c r="N2912" s="1"/>
      <c r="AE2912" s="1"/>
    </row>
    <row r="2913" spans="9:31" x14ac:dyDescent="0.25">
      <c r="I2913" s="1"/>
      <c r="J2913" s="1"/>
      <c r="N2913" s="1"/>
      <c r="AE2913" s="1"/>
    </row>
    <row r="2914" spans="9:31" x14ac:dyDescent="0.25">
      <c r="I2914" s="1"/>
      <c r="J2914" s="1"/>
      <c r="N2914" s="1"/>
      <c r="AE2914" s="1"/>
    </row>
    <row r="2915" spans="9:31" x14ac:dyDescent="0.25">
      <c r="I2915" s="1"/>
      <c r="J2915" s="1"/>
      <c r="N2915" s="1"/>
      <c r="AE2915" s="1"/>
    </row>
    <row r="2916" spans="9:31" x14ac:dyDescent="0.25">
      <c r="I2916" s="1"/>
      <c r="J2916" s="1"/>
      <c r="N2916" s="1"/>
      <c r="AE2916" s="1"/>
    </row>
    <row r="2917" spans="9:31" x14ac:dyDescent="0.25">
      <c r="I2917" s="1"/>
      <c r="J2917" s="1"/>
      <c r="N2917" s="1"/>
      <c r="Z2917" s="1"/>
      <c r="AA2917" s="1"/>
      <c r="AE2917" s="1"/>
    </row>
    <row r="2918" spans="9:31" x14ac:dyDescent="0.25">
      <c r="I2918" s="1"/>
      <c r="J2918" s="1"/>
      <c r="N2918" s="1"/>
      <c r="Z2918" s="1"/>
      <c r="AA2918" s="1"/>
      <c r="AE2918" s="1"/>
    </row>
    <row r="2919" spans="9:31" x14ac:dyDescent="0.25">
      <c r="I2919" s="1"/>
      <c r="J2919" s="1"/>
      <c r="N2919" s="1"/>
      <c r="AE2919" s="1"/>
    </row>
    <row r="2920" spans="9:31" x14ac:dyDescent="0.25">
      <c r="I2920" s="1"/>
      <c r="J2920" s="1"/>
      <c r="N2920" s="1"/>
      <c r="Z2920" s="1"/>
      <c r="AA2920" s="1"/>
      <c r="AE2920" s="1"/>
    </row>
    <row r="2921" spans="9:31" x14ac:dyDescent="0.25">
      <c r="I2921" s="1"/>
      <c r="J2921" s="1"/>
      <c r="N2921" s="1"/>
      <c r="AE2921" s="1"/>
    </row>
    <row r="2922" spans="9:31" x14ac:dyDescent="0.25">
      <c r="I2922" s="1"/>
      <c r="J2922" s="1"/>
      <c r="N2922" s="1"/>
      <c r="Z2922" s="1"/>
      <c r="AA2922" s="1"/>
      <c r="AE2922" s="1"/>
    </row>
    <row r="2923" spans="9:31" x14ac:dyDescent="0.25">
      <c r="I2923" s="1"/>
      <c r="J2923" s="1"/>
      <c r="N2923" s="1"/>
      <c r="Z2923" s="1"/>
      <c r="AA2923" s="1"/>
      <c r="AE2923" s="1"/>
    </row>
    <row r="2924" spans="9:31" x14ac:dyDescent="0.25">
      <c r="I2924" s="1"/>
      <c r="J2924" s="1"/>
      <c r="N2924" s="1"/>
      <c r="Z2924" s="1"/>
      <c r="AA2924" s="1"/>
      <c r="AE2924" s="1"/>
    </row>
    <row r="2925" spans="9:31" x14ac:dyDescent="0.25">
      <c r="N2925" s="1"/>
      <c r="Z2925" s="1"/>
      <c r="AA2925" s="1"/>
      <c r="AE2925" s="1"/>
    </row>
    <row r="2926" spans="9:31" x14ac:dyDescent="0.25">
      <c r="I2926" s="1"/>
      <c r="J2926" s="1"/>
      <c r="N2926" s="1"/>
      <c r="AE2926" s="1"/>
    </row>
    <row r="2927" spans="9:31" x14ac:dyDescent="0.25">
      <c r="I2927" s="1"/>
      <c r="J2927" s="1"/>
      <c r="N2927" s="1"/>
      <c r="Z2927" s="1"/>
      <c r="AA2927" s="1"/>
      <c r="AE2927" s="1"/>
    </row>
    <row r="2928" spans="9:31" x14ac:dyDescent="0.25">
      <c r="I2928" s="1"/>
      <c r="J2928" s="1"/>
      <c r="N2928" s="1"/>
      <c r="Z2928" s="1"/>
      <c r="AA2928" s="1"/>
      <c r="AE2928" s="1"/>
    </row>
    <row r="2929" spans="9:31" x14ac:dyDescent="0.25">
      <c r="I2929" s="1"/>
      <c r="J2929" s="1"/>
      <c r="N2929" s="1"/>
      <c r="AE2929" s="1"/>
    </row>
    <row r="2930" spans="9:31" x14ac:dyDescent="0.25">
      <c r="I2930" s="1"/>
      <c r="J2930" s="1"/>
      <c r="N2930" s="1"/>
      <c r="AE2930" s="1"/>
    </row>
    <row r="2931" spans="9:31" x14ac:dyDescent="0.25">
      <c r="I2931" s="1"/>
      <c r="J2931" s="1"/>
      <c r="N2931" s="1"/>
      <c r="AE2931" s="1"/>
    </row>
    <row r="2932" spans="9:31" x14ac:dyDescent="0.25">
      <c r="I2932" s="1"/>
      <c r="J2932" s="1"/>
      <c r="N2932" s="1"/>
      <c r="AE2932" s="1"/>
    </row>
    <row r="2933" spans="9:31" x14ac:dyDescent="0.25">
      <c r="I2933" s="1"/>
      <c r="J2933" s="1"/>
      <c r="N2933" s="1"/>
      <c r="Z2933" s="1"/>
      <c r="AE2933" s="1"/>
    </row>
    <row r="2934" spans="9:31" x14ac:dyDescent="0.25">
      <c r="I2934" s="1"/>
      <c r="J2934" s="1"/>
      <c r="N2934" s="1"/>
      <c r="AE2934" s="1"/>
    </row>
    <row r="2935" spans="9:31" x14ac:dyDescent="0.25">
      <c r="I2935" s="1"/>
      <c r="J2935" s="1"/>
      <c r="N2935" s="1"/>
      <c r="AE2935" s="1"/>
    </row>
    <row r="2936" spans="9:31" x14ac:dyDescent="0.25">
      <c r="N2936" s="1"/>
      <c r="Z2936" s="1"/>
      <c r="AA2936" s="1"/>
      <c r="AE2936" s="1"/>
    </row>
    <row r="2937" spans="9:31" x14ac:dyDescent="0.25">
      <c r="I2937" s="1"/>
      <c r="J2937" s="1"/>
      <c r="N2937" s="1"/>
      <c r="AE2937" s="1"/>
    </row>
    <row r="2938" spans="9:31" x14ac:dyDescent="0.25">
      <c r="I2938" s="1"/>
      <c r="J2938" s="1"/>
      <c r="N2938" s="1"/>
      <c r="Z2938" s="1"/>
      <c r="AA2938" s="1"/>
      <c r="AE2938" s="1"/>
    </row>
    <row r="2939" spans="9:31" x14ac:dyDescent="0.25">
      <c r="I2939" s="1"/>
      <c r="J2939" s="1"/>
      <c r="N2939" s="1"/>
      <c r="Z2939" s="1"/>
      <c r="AA2939" s="1"/>
      <c r="AE2939" s="1"/>
    </row>
    <row r="2940" spans="9:31" x14ac:dyDescent="0.25">
      <c r="N2940" s="1"/>
      <c r="Z2940" s="1"/>
      <c r="AA2940" s="1"/>
      <c r="AE2940" s="1"/>
    </row>
    <row r="2941" spans="9:31" x14ac:dyDescent="0.25">
      <c r="I2941" s="1"/>
      <c r="J2941" s="1"/>
      <c r="N2941" s="1"/>
      <c r="AE2941" s="1"/>
    </row>
    <row r="2942" spans="9:31" x14ac:dyDescent="0.25">
      <c r="I2942" s="1"/>
      <c r="J2942" s="1"/>
      <c r="N2942" s="1"/>
      <c r="AE2942" s="1"/>
    </row>
    <row r="2943" spans="9:31" x14ac:dyDescent="0.25">
      <c r="I2943" s="1"/>
      <c r="J2943" s="1"/>
      <c r="N2943" s="1"/>
      <c r="AE2943" s="1"/>
    </row>
    <row r="2944" spans="9:31" x14ac:dyDescent="0.25">
      <c r="I2944" s="1"/>
      <c r="J2944" s="1"/>
      <c r="N2944" s="1"/>
      <c r="AE2944" s="1"/>
    </row>
    <row r="2945" spans="9:31" x14ac:dyDescent="0.25">
      <c r="I2945" s="1"/>
      <c r="J2945" s="1"/>
      <c r="N2945" s="1"/>
      <c r="AE2945" s="1"/>
    </row>
    <row r="2946" spans="9:31" x14ac:dyDescent="0.25">
      <c r="I2946" s="1"/>
      <c r="J2946" s="1"/>
      <c r="N2946" s="1"/>
      <c r="AE2946" s="1"/>
    </row>
    <row r="2947" spans="9:31" x14ac:dyDescent="0.25">
      <c r="I2947" s="1"/>
      <c r="J2947" s="1"/>
      <c r="N2947" s="1"/>
      <c r="Z2947" s="1"/>
      <c r="AA2947" s="1"/>
      <c r="AE2947" s="1"/>
    </row>
    <row r="2948" spans="9:31" x14ac:dyDescent="0.25">
      <c r="I2948" s="1"/>
      <c r="J2948" s="1"/>
      <c r="N2948" s="1"/>
      <c r="Z2948" s="1"/>
      <c r="AA2948" s="1"/>
      <c r="AE2948" s="1"/>
    </row>
    <row r="2949" spans="9:31" x14ac:dyDescent="0.25">
      <c r="I2949" s="1"/>
      <c r="J2949" s="1"/>
      <c r="N2949" s="1"/>
      <c r="AE2949" s="1"/>
    </row>
    <row r="2950" spans="9:31" x14ac:dyDescent="0.25">
      <c r="I2950" s="1"/>
      <c r="J2950" s="1"/>
      <c r="N2950" s="1"/>
      <c r="AE2950" s="1"/>
    </row>
    <row r="2951" spans="9:31" x14ac:dyDescent="0.25">
      <c r="I2951" s="1"/>
      <c r="J2951" s="1"/>
      <c r="N2951" s="1"/>
      <c r="AE2951" s="1"/>
    </row>
    <row r="2952" spans="9:31" x14ac:dyDescent="0.25">
      <c r="I2952" s="1"/>
      <c r="J2952" s="1"/>
      <c r="N2952" s="1"/>
      <c r="Z2952" s="1"/>
      <c r="AA2952" s="1"/>
      <c r="AE2952" s="1"/>
    </row>
    <row r="2953" spans="9:31" x14ac:dyDescent="0.25">
      <c r="I2953" s="1"/>
      <c r="J2953" s="1"/>
      <c r="N2953" s="1"/>
      <c r="Z2953" s="1"/>
      <c r="AA2953" s="1"/>
      <c r="AE2953" s="1"/>
    </row>
    <row r="2954" spans="9:31" x14ac:dyDescent="0.25">
      <c r="I2954" s="1"/>
      <c r="J2954" s="1"/>
      <c r="N2954" s="1"/>
      <c r="AE2954" s="1"/>
    </row>
    <row r="2955" spans="9:31" x14ac:dyDescent="0.25">
      <c r="I2955" s="1"/>
      <c r="J2955" s="1"/>
      <c r="N2955" s="1"/>
      <c r="AE2955" s="1"/>
    </row>
    <row r="2956" spans="9:31" x14ac:dyDescent="0.25">
      <c r="I2956" s="1"/>
      <c r="J2956" s="1"/>
      <c r="N2956" s="1"/>
      <c r="Z2956" s="1"/>
      <c r="AA2956" s="1"/>
      <c r="AE2956" s="1"/>
    </row>
    <row r="2957" spans="9:31" x14ac:dyDescent="0.25">
      <c r="I2957" s="1"/>
      <c r="J2957" s="1"/>
      <c r="N2957" s="1"/>
      <c r="Z2957" s="1"/>
      <c r="AA2957" s="1"/>
      <c r="AE2957" s="1"/>
    </row>
    <row r="2958" spans="9:31" x14ac:dyDescent="0.25">
      <c r="N2958" s="1"/>
      <c r="Z2958" s="1"/>
      <c r="AA2958" s="1"/>
      <c r="AE2958" s="1"/>
    </row>
    <row r="2959" spans="9:31" x14ac:dyDescent="0.25">
      <c r="I2959" s="1"/>
      <c r="J2959" s="1"/>
      <c r="N2959" s="1"/>
      <c r="AE2959" s="1"/>
    </row>
    <row r="2960" spans="9:31" x14ac:dyDescent="0.25">
      <c r="I2960" s="1"/>
      <c r="J2960" s="1"/>
      <c r="N2960" s="1"/>
      <c r="AE2960" s="1"/>
    </row>
    <row r="2961" spans="9:31" x14ac:dyDescent="0.25">
      <c r="I2961" s="1"/>
      <c r="J2961" s="1"/>
      <c r="N2961" s="1"/>
      <c r="AE2961" s="1"/>
    </row>
    <row r="2962" spans="9:31" x14ac:dyDescent="0.25">
      <c r="I2962" s="1"/>
      <c r="J2962" s="1"/>
      <c r="N2962" s="1"/>
      <c r="AE2962" s="1"/>
    </row>
    <row r="2963" spans="9:31" x14ac:dyDescent="0.25">
      <c r="I2963" s="1"/>
      <c r="J2963" s="1"/>
      <c r="N2963" s="1"/>
      <c r="AE2963" s="1"/>
    </row>
    <row r="2964" spans="9:31" x14ac:dyDescent="0.25">
      <c r="I2964" s="1"/>
      <c r="J2964" s="1"/>
      <c r="N2964" s="1"/>
      <c r="AE2964" s="1"/>
    </row>
    <row r="2965" spans="9:31" x14ac:dyDescent="0.25">
      <c r="I2965" s="1"/>
      <c r="J2965" s="1"/>
      <c r="N2965" s="1"/>
      <c r="AE2965" s="1"/>
    </row>
    <row r="2966" spans="9:31" x14ac:dyDescent="0.25">
      <c r="I2966" s="1"/>
      <c r="J2966" s="1"/>
      <c r="N2966" s="1"/>
      <c r="AE2966" s="1"/>
    </row>
    <row r="2967" spans="9:31" x14ac:dyDescent="0.25">
      <c r="I2967" s="1"/>
      <c r="J2967" s="1"/>
      <c r="N2967" s="1"/>
      <c r="Z2967" s="1"/>
      <c r="AA2967" s="1"/>
      <c r="AE2967" s="1"/>
    </row>
    <row r="2968" spans="9:31" x14ac:dyDescent="0.25">
      <c r="I2968" s="1"/>
      <c r="J2968" s="1"/>
      <c r="N2968" s="1"/>
      <c r="Z2968" s="1"/>
      <c r="AA2968" s="1"/>
      <c r="AE2968" s="1"/>
    </row>
    <row r="2969" spans="9:31" x14ac:dyDescent="0.25">
      <c r="I2969" s="1"/>
      <c r="J2969" s="1"/>
      <c r="N2969" s="1"/>
      <c r="Z2969" s="1"/>
      <c r="AA2969" s="1"/>
      <c r="AE2969" s="1"/>
    </row>
    <row r="2970" spans="9:31" x14ac:dyDescent="0.25">
      <c r="I2970" s="1"/>
      <c r="J2970" s="1"/>
      <c r="N2970" s="1"/>
      <c r="Z2970" s="1"/>
      <c r="AA2970" s="1"/>
      <c r="AE2970" s="1"/>
    </row>
    <row r="2971" spans="9:31" x14ac:dyDescent="0.25">
      <c r="I2971" s="1"/>
      <c r="J2971" s="1"/>
      <c r="N2971" s="1"/>
      <c r="AE2971" s="1"/>
    </row>
    <row r="2972" spans="9:31" x14ac:dyDescent="0.25">
      <c r="I2972" s="1"/>
      <c r="J2972" s="1"/>
      <c r="N2972" s="1"/>
      <c r="AE2972" s="1"/>
    </row>
    <row r="2973" spans="9:31" x14ac:dyDescent="0.25">
      <c r="I2973" s="1"/>
      <c r="J2973" s="1"/>
      <c r="N2973" s="1"/>
      <c r="AE2973" s="1"/>
    </row>
    <row r="2974" spans="9:31" x14ac:dyDescent="0.25">
      <c r="N2974" s="1"/>
      <c r="AE2974" s="1"/>
    </row>
    <row r="2975" spans="9:31" x14ac:dyDescent="0.25">
      <c r="I2975" s="1"/>
      <c r="J2975" s="1"/>
      <c r="N2975" s="1"/>
      <c r="AE2975" s="1"/>
    </row>
    <row r="2976" spans="9:31" x14ac:dyDescent="0.25">
      <c r="I2976" s="1"/>
      <c r="J2976" s="1"/>
      <c r="N2976" s="1"/>
      <c r="Z2976" s="1"/>
      <c r="AA2976" s="1"/>
      <c r="AE2976" s="1"/>
    </row>
    <row r="2977" spans="9:31" x14ac:dyDescent="0.25">
      <c r="I2977" s="1"/>
      <c r="J2977" s="1"/>
      <c r="N2977" s="1"/>
      <c r="Z2977" s="1"/>
      <c r="AA2977" s="1"/>
      <c r="AE2977" s="1"/>
    </row>
    <row r="2978" spans="9:31" x14ac:dyDescent="0.25">
      <c r="I2978" s="1"/>
      <c r="J2978" s="1"/>
      <c r="N2978" s="1"/>
      <c r="AE2978" s="1"/>
    </row>
    <row r="2979" spans="9:31" x14ac:dyDescent="0.25">
      <c r="I2979" s="1"/>
      <c r="J2979" s="1"/>
      <c r="N2979" s="1"/>
      <c r="Z2979" s="1"/>
      <c r="AA2979" s="1"/>
      <c r="AE2979" s="1"/>
    </row>
    <row r="2980" spans="9:31" x14ac:dyDescent="0.25">
      <c r="I2980" s="1"/>
      <c r="J2980" s="1"/>
      <c r="N2980" s="1"/>
      <c r="AE2980" s="1"/>
    </row>
    <row r="2981" spans="9:31" x14ac:dyDescent="0.25">
      <c r="I2981" s="1"/>
      <c r="J2981" s="1"/>
      <c r="N2981" s="1"/>
      <c r="Z2981" s="1"/>
      <c r="AA2981" s="1"/>
      <c r="AE2981" s="1"/>
    </row>
    <row r="2982" spans="9:31" x14ac:dyDescent="0.25">
      <c r="I2982" s="1"/>
      <c r="J2982" s="1"/>
      <c r="N2982" s="1"/>
      <c r="AE2982" s="1"/>
    </row>
    <row r="2983" spans="9:31" x14ac:dyDescent="0.25">
      <c r="I2983" s="1"/>
      <c r="J2983" s="1"/>
      <c r="N2983" s="1"/>
      <c r="AE2983" s="1"/>
    </row>
    <row r="2984" spans="9:31" x14ac:dyDescent="0.25">
      <c r="I2984" s="1"/>
      <c r="J2984" s="1"/>
      <c r="N2984" s="1"/>
      <c r="Z2984" s="1"/>
      <c r="AA2984" s="1"/>
      <c r="AE2984" s="1"/>
    </row>
    <row r="2985" spans="9:31" x14ac:dyDescent="0.25">
      <c r="I2985" s="1"/>
      <c r="J2985" s="1"/>
      <c r="N2985" s="1"/>
      <c r="Z2985" s="1"/>
      <c r="AA2985" s="1"/>
      <c r="AE2985" s="1"/>
    </row>
    <row r="2986" spans="9:31" x14ac:dyDescent="0.25">
      <c r="I2986" s="1"/>
      <c r="J2986" s="1"/>
      <c r="N2986" s="1"/>
      <c r="AE2986" s="1"/>
    </row>
    <row r="2987" spans="9:31" x14ac:dyDescent="0.25">
      <c r="I2987" s="1"/>
      <c r="J2987" s="1"/>
      <c r="N2987" s="1"/>
      <c r="AE2987" s="1"/>
    </row>
    <row r="2988" spans="9:31" x14ac:dyDescent="0.25">
      <c r="I2988" s="1"/>
      <c r="J2988" s="1"/>
      <c r="N2988" s="1"/>
      <c r="AE2988" s="1"/>
    </row>
    <row r="2989" spans="9:31" x14ac:dyDescent="0.25">
      <c r="I2989" s="1"/>
      <c r="J2989" s="1"/>
      <c r="N2989" s="1"/>
      <c r="AE2989" s="1"/>
    </row>
    <row r="2990" spans="9:31" x14ac:dyDescent="0.25">
      <c r="I2990" s="1"/>
      <c r="J2990" s="1"/>
      <c r="N2990" s="1"/>
      <c r="Z2990" s="1"/>
      <c r="AA2990" s="1"/>
      <c r="AE2990" s="1"/>
    </row>
    <row r="2991" spans="9:31" x14ac:dyDescent="0.25">
      <c r="I2991" s="1"/>
      <c r="J2991" s="1"/>
      <c r="N2991" s="1"/>
      <c r="AE2991" s="1"/>
    </row>
    <row r="2992" spans="9:31" x14ac:dyDescent="0.25">
      <c r="I2992" s="1"/>
      <c r="J2992" s="1"/>
      <c r="N2992" s="1"/>
      <c r="Z2992" s="1"/>
      <c r="AA2992" s="1"/>
      <c r="AE2992" s="1"/>
    </row>
    <row r="2993" spans="9:31" x14ac:dyDescent="0.25">
      <c r="I2993" s="1"/>
      <c r="J2993" s="1"/>
      <c r="N2993" s="1"/>
      <c r="Z2993" s="1"/>
      <c r="AA2993" s="1"/>
      <c r="AE2993" s="1"/>
    </row>
    <row r="2994" spans="9:31" x14ac:dyDescent="0.25">
      <c r="I2994" s="1"/>
      <c r="J2994" s="1"/>
      <c r="N2994" s="1"/>
      <c r="AE2994" s="1"/>
    </row>
    <row r="2995" spans="9:31" x14ac:dyDescent="0.25">
      <c r="I2995" s="1"/>
      <c r="J2995" s="1"/>
      <c r="N2995" s="1"/>
      <c r="AE2995" s="1"/>
    </row>
    <row r="2996" spans="9:31" x14ac:dyDescent="0.25">
      <c r="I2996" s="1"/>
      <c r="J2996" s="1"/>
      <c r="N2996" s="1"/>
      <c r="Z2996" s="1"/>
      <c r="AA2996" s="1"/>
      <c r="AE2996" s="1"/>
    </row>
    <row r="2997" spans="9:31" x14ac:dyDescent="0.25">
      <c r="I2997" s="1"/>
      <c r="J2997" s="1"/>
      <c r="N2997" s="1"/>
      <c r="AE2997" s="1"/>
    </row>
    <row r="2998" spans="9:31" x14ac:dyDescent="0.25">
      <c r="I2998" s="1"/>
      <c r="J2998" s="1"/>
      <c r="N2998" s="1"/>
      <c r="Z2998" s="1"/>
      <c r="AA2998" s="1"/>
      <c r="AE2998" s="1"/>
    </row>
    <row r="2999" spans="9:31" x14ac:dyDescent="0.25">
      <c r="I2999" s="1"/>
      <c r="J2999" s="1"/>
      <c r="N2999" s="1"/>
      <c r="Z2999" s="1"/>
      <c r="AA2999" s="1"/>
      <c r="AE2999" s="1"/>
    </row>
    <row r="3000" spans="9:31" x14ac:dyDescent="0.25">
      <c r="I3000" s="1"/>
      <c r="J3000" s="1"/>
      <c r="N3000" s="1"/>
      <c r="Z3000" s="1"/>
      <c r="AA3000" s="1"/>
      <c r="AE3000" s="1"/>
    </row>
    <row r="3001" spans="9:31" x14ac:dyDescent="0.25">
      <c r="I3001" s="1"/>
      <c r="J3001" s="1"/>
      <c r="N3001" s="1"/>
      <c r="AE3001" s="1"/>
    </row>
    <row r="3002" spans="9:31" x14ac:dyDescent="0.25">
      <c r="I3002" s="1"/>
      <c r="J3002" s="1"/>
      <c r="N3002" s="1"/>
      <c r="AE3002" s="1"/>
    </row>
    <row r="3003" spans="9:31" x14ac:dyDescent="0.25">
      <c r="I3003" s="1"/>
      <c r="J3003" s="1"/>
      <c r="N3003" s="1"/>
      <c r="Z3003" s="1"/>
      <c r="AA3003" s="1"/>
      <c r="AE3003" s="1"/>
    </row>
    <row r="3004" spans="9:31" x14ac:dyDescent="0.25">
      <c r="I3004" s="1"/>
      <c r="J3004" s="1"/>
      <c r="N3004" s="1"/>
      <c r="Z3004" s="1"/>
      <c r="AA3004" s="1"/>
      <c r="AE3004" s="1"/>
    </row>
    <row r="3005" spans="9:31" x14ac:dyDescent="0.25">
      <c r="I3005" s="1"/>
      <c r="J3005" s="1"/>
      <c r="N3005" s="1"/>
      <c r="Z3005" s="1"/>
      <c r="AA3005" s="1"/>
      <c r="AE3005" s="1"/>
    </row>
    <row r="3006" spans="9:31" x14ac:dyDescent="0.25">
      <c r="I3006" s="1"/>
      <c r="J3006" s="1"/>
      <c r="N3006" s="1"/>
      <c r="Z3006" s="1"/>
      <c r="AA3006" s="1"/>
      <c r="AE3006" s="1"/>
    </row>
    <row r="3007" spans="9:31" x14ac:dyDescent="0.25">
      <c r="I3007" s="1"/>
      <c r="J3007" s="1"/>
      <c r="N3007" s="1"/>
      <c r="AE3007" s="1"/>
    </row>
    <row r="3008" spans="9:31" x14ac:dyDescent="0.25">
      <c r="I3008" s="1"/>
      <c r="J3008" s="1"/>
      <c r="N3008" s="1"/>
      <c r="Z3008" s="1"/>
      <c r="AA3008" s="1"/>
      <c r="AE3008" s="1"/>
    </row>
    <row r="3009" spans="9:31" x14ac:dyDescent="0.25">
      <c r="I3009" s="1"/>
      <c r="J3009" s="1"/>
      <c r="N3009" s="1"/>
      <c r="AE3009" s="1"/>
    </row>
    <row r="3010" spans="9:31" x14ac:dyDescent="0.25">
      <c r="I3010" s="1"/>
      <c r="J3010" s="1"/>
      <c r="N3010" s="1"/>
      <c r="Z3010" s="1"/>
      <c r="AA3010" s="1"/>
      <c r="AE3010" s="1"/>
    </row>
    <row r="3011" spans="9:31" x14ac:dyDescent="0.25">
      <c r="I3011" s="1"/>
      <c r="J3011" s="1"/>
      <c r="N3011" s="1"/>
      <c r="Z3011" s="1"/>
      <c r="AA3011" s="1"/>
      <c r="AE3011" s="1"/>
    </row>
    <row r="3012" spans="9:31" x14ac:dyDescent="0.25">
      <c r="I3012" s="1"/>
      <c r="J3012" s="1"/>
      <c r="N3012" s="1"/>
      <c r="Z3012" s="1"/>
      <c r="AA3012" s="1"/>
      <c r="AE3012" s="1"/>
    </row>
    <row r="3013" spans="9:31" x14ac:dyDescent="0.25">
      <c r="I3013" s="1"/>
      <c r="J3013" s="1"/>
      <c r="N3013" s="1"/>
      <c r="AE3013" s="1"/>
    </row>
    <row r="3014" spans="9:31" x14ac:dyDescent="0.25">
      <c r="N3014" s="1"/>
      <c r="AE3014" s="1"/>
    </row>
    <row r="3015" spans="9:31" x14ac:dyDescent="0.25">
      <c r="I3015" s="1"/>
      <c r="J3015" s="1"/>
      <c r="N3015" s="1"/>
      <c r="AE3015" s="1"/>
    </row>
    <row r="3016" spans="9:31" x14ac:dyDescent="0.25">
      <c r="I3016" s="1"/>
      <c r="J3016" s="1"/>
      <c r="N3016" s="1"/>
      <c r="Z3016" s="1"/>
      <c r="AA3016" s="1"/>
      <c r="AE3016" s="1"/>
    </row>
    <row r="3017" spans="9:31" x14ac:dyDescent="0.25">
      <c r="I3017" s="1"/>
      <c r="J3017" s="1"/>
      <c r="N3017" s="1"/>
      <c r="Z3017" s="1"/>
      <c r="AA3017" s="1"/>
      <c r="AE3017" s="1"/>
    </row>
    <row r="3018" spans="9:31" x14ac:dyDescent="0.25">
      <c r="I3018" s="1"/>
      <c r="J3018" s="1"/>
      <c r="N3018" s="1"/>
      <c r="Z3018" s="1"/>
      <c r="AA3018" s="1"/>
      <c r="AE3018" s="1"/>
    </row>
    <row r="3019" spans="9:31" x14ac:dyDescent="0.25">
      <c r="I3019" s="1"/>
      <c r="J3019" s="1"/>
      <c r="N3019" s="1"/>
      <c r="Z3019" s="1"/>
      <c r="AA3019" s="1"/>
      <c r="AE3019" s="1"/>
    </row>
    <row r="3020" spans="9:31" x14ac:dyDescent="0.25">
      <c r="I3020" s="1"/>
      <c r="J3020" s="1"/>
      <c r="N3020" s="1"/>
      <c r="AE3020" s="1"/>
    </row>
    <row r="3021" spans="9:31" x14ac:dyDescent="0.25">
      <c r="I3021" s="1"/>
      <c r="J3021" s="1"/>
      <c r="N3021" s="1"/>
      <c r="Z3021" s="1"/>
      <c r="AA3021" s="1"/>
      <c r="AE3021" s="1"/>
    </row>
    <row r="3022" spans="9:31" x14ac:dyDescent="0.25">
      <c r="I3022" s="1"/>
      <c r="J3022" s="1"/>
      <c r="N3022" s="1"/>
      <c r="Z3022" s="1"/>
      <c r="AA3022" s="1"/>
      <c r="AE3022" s="1"/>
    </row>
    <row r="3023" spans="9:31" x14ac:dyDescent="0.25">
      <c r="I3023" s="1"/>
      <c r="J3023" s="1"/>
      <c r="N3023" s="1"/>
      <c r="Z3023" s="1"/>
      <c r="AA3023" s="1"/>
      <c r="AE3023" s="1"/>
    </row>
    <row r="3024" spans="9:31" x14ac:dyDescent="0.25">
      <c r="I3024" s="1"/>
      <c r="J3024" s="1"/>
      <c r="N3024" s="1"/>
      <c r="AE3024" s="1"/>
    </row>
    <row r="3025" spans="9:31" x14ac:dyDescent="0.25">
      <c r="I3025" s="1"/>
      <c r="J3025" s="1"/>
      <c r="N3025" s="1"/>
      <c r="Z3025" s="1"/>
      <c r="AA3025" s="1"/>
      <c r="AE3025" s="1"/>
    </row>
    <row r="3026" spans="9:31" x14ac:dyDescent="0.25">
      <c r="N3026" s="1"/>
      <c r="Z3026" s="1"/>
      <c r="AA3026" s="1"/>
      <c r="AE3026" s="1"/>
    </row>
    <row r="3027" spans="9:31" x14ac:dyDescent="0.25">
      <c r="I3027" s="1"/>
      <c r="J3027" s="1"/>
      <c r="N3027" s="1"/>
      <c r="AE3027" s="1"/>
    </row>
    <row r="3028" spans="9:31" x14ac:dyDescent="0.25">
      <c r="I3028" s="1"/>
      <c r="J3028" s="1"/>
      <c r="N3028" s="1"/>
      <c r="Z3028" s="1"/>
      <c r="AA3028" s="1"/>
      <c r="AE3028" s="1"/>
    </row>
    <row r="3029" spans="9:31" x14ac:dyDescent="0.25">
      <c r="I3029" s="1"/>
      <c r="J3029" s="1"/>
      <c r="N3029" s="1"/>
      <c r="AE3029" s="1"/>
    </row>
    <row r="3030" spans="9:31" x14ac:dyDescent="0.25">
      <c r="I3030" s="1"/>
      <c r="J3030" s="1"/>
      <c r="N3030" s="1"/>
      <c r="Z3030" s="1"/>
      <c r="AA3030" s="1"/>
      <c r="AE3030" s="1"/>
    </row>
    <row r="3031" spans="9:31" x14ac:dyDescent="0.25">
      <c r="I3031" s="1"/>
      <c r="J3031" s="1"/>
      <c r="N3031" s="1"/>
      <c r="AE3031" s="1"/>
    </row>
    <row r="3032" spans="9:31" x14ac:dyDescent="0.25">
      <c r="I3032" s="1"/>
      <c r="J3032" s="1"/>
      <c r="N3032" s="1"/>
      <c r="Z3032" s="1"/>
      <c r="AA3032" s="1"/>
      <c r="AE3032" s="1"/>
    </row>
    <row r="3033" spans="9:31" x14ac:dyDescent="0.25">
      <c r="I3033" s="1"/>
      <c r="J3033" s="1"/>
      <c r="N3033" s="1"/>
      <c r="Z3033" s="1"/>
      <c r="AA3033" s="1"/>
      <c r="AE3033" s="1"/>
    </row>
    <row r="3034" spans="9:31" x14ac:dyDescent="0.25">
      <c r="I3034" s="1"/>
      <c r="N3034" s="1"/>
      <c r="Z3034" s="1"/>
      <c r="AA3034" s="1"/>
      <c r="AE3034" s="1"/>
    </row>
    <row r="3035" spans="9:31" x14ac:dyDescent="0.25">
      <c r="I3035" s="1"/>
      <c r="J3035" s="1"/>
      <c r="N3035" s="1"/>
      <c r="Z3035" s="1"/>
      <c r="AE3035" s="1"/>
    </row>
    <row r="3036" spans="9:31" x14ac:dyDescent="0.25">
      <c r="I3036" s="1"/>
      <c r="J3036" s="1"/>
      <c r="N3036" s="1"/>
      <c r="Z3036" s="1"/>
      <c r="AA3036" s="1"/>
      <c r="AE3036" s="1"/>
    </row>
    <row r="3037" spans="9:31" x14ac:dyDescent="0.25">
      <c r="I3037" s="1"/>
      <c r="J3037" s="1"/>
      <c r="N3037" s="1"/>
      <c r="Z3037" s="1"/>
      <c r="AA3037" s="1"/>
      <c r="AE3037" s="1"/>
    </row>
    <row r="3038" spans="9:31" x14ac:dyDescent="0.25">
      <c r="I3038" s="1"/>
      <c r="J3038" s="1"/>
      <c r="N3038" s="1"/>
      <c r="Z3038" s="1"/>
      <c r="AA3038" s="1"/>
      <c r="AE3038" s="1"/>
    </row>
    <row r="3039" spans="9:31" x14ac:dyDescent="0.25">
      <c r="I3039" s="1"/>
      <c r="J3039" s="1"/>
      <c r="N3039" s="1"/>
      <c r="Z3039" s="1"/>
      <c r="AA3039" s="1"/>
      <c r="AE3039" s="1"/>
    </row>
    <row r="3040" spans="9:31" x14ac:dyDescent="0.25">
      <c r="I3040" s="1"/>
      <c r="J3040" s="1"/>
      <c r="N3040" s="1"/>
      <c r="Z3040" s="1"/>
      <c r="AA3040" s="1"/>
      <c r="AE3040" s="1"/>
    </row>
    <row r="3041" spans="9:31" x14ac:dyDescent="0.25">
      <c r="I3041" s="1"/>
      <c r="J3041" s="1"/>
      <c r="N3041" s="1"/>
      <c r="Z3041" s="1"/>
      <c r="AA3041" s="1"/>
      <c r="AE3041" s="1"/>
    </row>
    <row r="3042" spans="9:31" x14ac:dyDescent="0.25">
      <c r="I3042" s="1"/>
      <c r="J3042" s="1"/>
      <c r="N3042" s="1"/>
      <c r="AE3042" s="1"/>
    </row>
    <row r="3043" spans="9:31" x14ac:dyDescent="0.25">
      <c r="I3043" s="1"/>
      <c r="J3043" s="1"/>
      <c r="N3043" s="1"/>
      <c r="AE3043" s="1"/>
    </row>
    <row r="3044" spans="9:31" x14ac:dyDescent="0.25">
      <c r="I3044" s="1"/>
      <c r="J3044" s="1"/>
      <c r="N3044" s="1"/>
      <c r="AE3044" s="1"/>
    </row>
    <row r="3045" spans="9:31" x14ac:dyDescent="0.25">
      <c r="I3045" s="1"/>
      <c r="J3045" s="1"/>
      <c r="N3045" s="1"/>
      <c r="Z3045" s="1"/>
      <c r="AA3045" s="1"/>
      <c r="AE3045" s="1"/>
    </row>
    <row r="3046" spans="9:31" x14ac:dyDescent="0.25">
      <c r="I3046" s="1"/>
      <c r="J3046" s="1"/>
      <c r="N3046" s="1"/>
      <c r="Z3046" s="1"/>
      <c r="AA3046" s="1"/>
      <c r="AE3046" s="1"/>
    </row>
    <row r="3047" spans="9:31" x14ac:dyDescent="0.25">
      <c r="I3047" s="1"/>
      <c r="J3047" s="1"/>
      <c r="N3047" s="1"/>
      <c r="Z3047" s="1"/>
      <c r="AA3047" s="1"/>
      <c r="AE3047" s="1"/>
    </row>
    <row r="3048" spans="9:31" x14ac:dyDescent="0.25">
      <c r="I3048" s="1"/>
      <c r="J3048" s="1"/>
      <c r="N3048" s="1"/>
      <c r="AE3048" s="1"/>
    </row>
    <row r="3049" spans="9:31" x14ac:dyDescent="0.25">
      <c r="N3049" s="1"/>
      <c r="AE3049" s="1"/>
    </row>
    <row r="3050" spans="9:31" x14ac:dyDescent="0.25">
      <c r="I3050" s="1"/>
      <c r="J3050" s="1"/>
      <c r="N3050" s="1"/>
      <c r="AE3050" s="1"/>
    </row>
    <row r="3051" spans="9:31" x14ac:dyDescent="0.25">
      <c r="I3051" s="1"/>
      <c r="J3051" s="1"/>
      <c r="N3051" s="1"/>
      <c r="Z3051" s="1"/>
      <c r="AA3051" s="1"/>
      <c r="AE3051" s="1"/>
    </row>
    <row r="3052" spans="9:31" x14ac:dyDescent="0.25">
      <c r="I3052" s="1"/>
      <c r="J3052" s="1"/>
      <c r="N3052" s="1"/>
      <c r="Z3052" s="1"/>
      <c r="AA3052" s="1"/>
      <c r="AE3052" s="1"/>
    </row>
    <row r="3053" spans="9:31" x14ac:dyDescent="0.25">
      <c r="I3053" s="1"/>
      <c r="J3053" s="1"/>
      <c r="N3053" s="1"/>
      <c r="Z3053" s="1"/>
      <c r="AA3053" s="1"/>
      <c r="AE3053" s="1"/>
    </row>
    <row r="3054" spans="9:31" x14ac:dyDescent="0.25">
      <c r="I3054" s="1"/>
      <c r="J3054" s="1"/>
      <c r="N3054" s="1"/>
      <c r="Z3054" s="1"/>
      <c r="AA3054" s="1"/>
      <c r="AE3054" s="1"/>
    </row>
    <row r="3055" spans="9:31" x14ac:dyDescent="0.25">
      <c r="I3055" s="1"/>
      <c r="J3055" s="1"/>
      <c r="N3055" s="1"/>
      <c r="Z3055" s="1"/>
      <c r="AA3055" s="1"/>
      <c r="AE3055" s="1"/>
    </row>
    <row r="3056" spans="9:31" x14ac:dyDescent="0.25">
      <c r="I3056" s="1"/>
      <c r="J3056" s="1"/>
      <c r="N3056" s="1"/>
      <c r="Z3056" s="1"/>
      <c r="AA3056" s="1"/>
      <c r="AE3056" s="1"/>
    </row>
    <row r="3057" spans="9:31" x14ac:dyDescent="0.25">
      <c r="I3057" s="1"/>
      <c r="J3057" s="1"/>
      <c r="N3057" s="1"/>
      <c r="Z3057" s="1"/>
      <c r="AA3057" s="1"/>
      <c r="AE3057" s="1"/>
    </row>
    <row r="3058" spans="9:31" x14ac:dyDescent="0.25">
      <c r="I3058" s="1"/>
      <c r="J3058" s="1"/>
      <c r="N3058" s="1"/>
      <c r="Z3058" s="1"/>
      <c r="AA3058" s="1"/>
      <c r="AE3058" s="1"/>
    </row>
    <row r="3059" spans="9:31" x14ac:dyDescent="0.25">
      <c r="I3059" s="1"/>
      <c r="J3059" s="1"/>
      <c r="N3059" s="1"/>
      <c r="AE3059" s="1"/>
    </row>
    <row r="3060" spans="9:31" x14ac:dyDescent="0.25">
      <c r="I3060" s="1"/>
      <c r="J3060" s="1"/>
      <c r="N3060" s="1"/>
      <c r="Z3060" s="1"/>
      <c r="AA3060" s="1"/>
      <c r="AE3060" s="1"/>
    </row>
    <row r="3061" spans="9:31" x14ac:dyDescent="0.25">
      <c r="I3061" s="1"/>
      <c r="J3061" s="1"/>
      <c r="N3061" s="1"/>
      <c r="Z3061" s="1"/>
      <c r="AA3061" s="1"/>
      <c r="AE3061" s="1"/>
    </row>
    <row r="3062" spans="9:31" x14ac:dyDescent="0.25">
      <c r="I3062" s="1"/>
      <c r="J3062" s="1"/>
      <c r="N3062" s="1"/>
      <c r="Z3062" s="1"/>
      <c r="AA3062" s="1"/>
      <c r="AE3062" s="1"/>
    </row>
    <row r="3063" spans="9:31" x14ac:dyDescent="0.25">
      <c r="I3063" s="1"/>
      <c r="J3063" s="1"/>
      <c r="N3063" s="1"/>
      <c r="AE3063" s="1"/>
    </row>
    <row r="3064" spans="9:31" x14ac:dyDescent="0.25">
      <c r="I3064" s="1"/>
      <c r="J3064" s="1"/>
      <c r="N3064" s="1"/>
      <c r="AE3064" s="1"/>
    </row>
    <row r="3065" spans="9:31" x14ac:dyDescent="0.25">
      <c r="I3065" s="1"/>
      <c r="J3065" s="1"/>
      <c r="N3065" s="1"/>
      <c r="Z3065" s="1"/>
      <c r="AA3065" s="1"/>
      <c r="AE3065" s="1"/>
    </row>
    <row r="3066" spans="9:31" x14ac:dyDescent="0.25">
      <c r="I3066" s="1"/>
      <c r="J3066" s="1"/>
      <c r="N3066" s="1"/>
      <c r="Z3066" s="1"/>
      <c r="AA3066" s="1"/>
      <c r="AE3066" s="1"/>
    </row>
    <row r="3067" spans="9:31" x14ac:dyDescent="0.25">
      <c r="I3067" s="1"/>
      <c r="J3067" s="1"/>
      <c r="N3067" s="1"/>
      <c r="Z3067" s="1"/>
      <c r="AA3067" s="1"/>
      <c r="AE3067" s="1"/>
    </row>
    <row r="3068" spans="9:31" x14ac:dyDescent="0.25">
      <c r="I3068" s="1"/>
      <c r="J3068" s="1"/>
      <c r="N3068" s="1"/>
      <c r="AE3068" s="1"/>
    </row>
    <row r="3069" spans="9:31" x14ac:dyDescent="0.25">
      <c r="I3069" s="1"/>
      <c r="J3069" s="1"/>
      <c r="N3069" s="1"/>
      <c r="AE3069" s="1"/>
    </row>
    <row r="3070" spans="9:31" x14ac:dyDescent="0.25">
      <c r="I3070" s="1"/>
      <c r="J3070" s="1"/>
      <c r="N3070" s="1"/>
      <c r="Z3070" s="1"/>
      <c r="AA3070" s="1"/>
      <c r="AE3070" s="1"/>
    </row>
    <row r="3071" spans="9:31" x14ac:dyDescent="0.25">
      <c r="I3071" s="1"/>
      <c r="J3071" s="1"/>
      <c r="N3071" s="1"/>
      <c r="AE3071" s="1"/>
    </row>
    <row r="3072" spans="9:31" x14ac:dyDescent="0.25">
      <c r="I3072" s="1"/>
      <c r="J3072" s="1"/>
      <c r="N3072" s="1"/>
      <c r="Z3072" s="1"/>
      <c r="AA3072" s="1"/>
      <c r="AE3072" s="1"/>
    </row>
    <row r="3073" spans="9:31" x14ac:dyDescent="0.25">
      <c r="I3073" s="1"/>
      <c r="J3073" s="1"/>
      <c r="N3073" s="1"/>
      <c r="Z3073" s="1"/>
      <c r="AA3073" s="1"/>
      <c r="AE3073" s="1"/>
    </row>
    <row r="3074" spans="9:31" x14ac:dyDescent="0.25">
      <c r="I3074" s="1"/>
      <c r="J3074" s="1"/>
      <c r="N3074" s="1"/>
      <c r="AE3074" s="1"/>
    </row>
    <row r="3075" spans="9:31" x14ac:dyDescent="0.25">
      <c r="I3075" s="1"/>
      <c r="J3075" s="1"/>
      <c r="N3075" s="1"/>
      <c r="AE3075" s="1"/>
    </row>
    <row r="3076" spans="9:31" x14ac:dyDescent="0.25">
      <c r="I3076" s="1"/>
      <c r="J3076" s="1"/>
      <c r="N3076" s="1"/>
      <c r="Z3076" s="1"/>
      <c r="AA3076" s="1"/>
      <c r="AE3076" s="1"/>
    </row>
    <row r="3077" spans="9:31" x14ac:dyDescent="0.25">
      <c r="I3077" s="1"/>
      <c r="J3077" s="1"/>
      <c r="N3077" s="1"/>
      <c r="Z3077" s="1"/>
      <c r="AA3077" s="1"/>
      <c r="AE3077" s="1"/>
    </row>
    <row r="3078" spans="9:31" x14ac:dyDescent="0.25">
      <c r="I3078" s="1"/>
      <c r="J3078" s="1"/>
      <c r="N3078" s="1"/>
      <c r="Z3078" s="1"/>
      <c r="AA3078" s="1"/>
      <c r="AE3078" s="1"/>
    </row>
    <row r="3079" spans="9:31" x14ac:dyDescent="0.25">
      <c r="I3079" s="1"/>
      <c r="J3079" s="1"/>
      <c r="N3079" s="1"/>
      <c r="Z3079" s="1"/>
      <c r="AA3079" s="1"/>
      <c r="AE3079" s="1"/>
    </row>
    <row r="3080" spans="9:31" x14ac:dyDescent="0.25">
      <c r="I3080" s="1"/>
      <c r="J3080" s="1"/>
      <c r="N3080" s="1"/>
      <c r="AE3080" s="1"/>
    </row>
    <row r="3081" spans="9:31" x14ac:dyDescent="0.25">
      <c r="I3081" s="1"/>
      <c r="J3081" s="1"/>
      <c r="N3081" s="1"/>
      <c r="Z3081" s="1"/>
      <c r="AA3081" s="1"/>
      <c r="AE3081" s="1"/>
    </row>
    <row r="3082" spans="9:31" x14ac:dyDescent="0.25">
      <c r="I3082" s="1"/>
      <c r="J3082" s="1"/>
      <c r="N3082" s="1"/>
      <c r="Z3082" s="1"/>
      <c r="AA3082" s="1"/>
      <c r="AE3082" s="1"/>
    </row>
    <row r="3083" spans="9:31" x14ac:dyDescent="0.25">
      <c r="I3083" s="1"/>
      <c r="J3083" s="1"/>
      <c r="N3083" s="1"/>
      <c r="AE3083" s="1"/>
    </row>
    <row r="3084" spans="9:31" x14ac:dyDescent="0.25">
      <c r="I3084" s="1"/>
      <c r="J3084" s="1"/>
      <c r="N3084" s="1"/>
      <c r="Z3084" s="1"/>
      <c r="AA3084" s="1"/>
      <c r="AE3084" s="1"/>
    </row>
    <row r="3085" spans="9:31" x14ac:dyDescent="0.25">
      <c r="I3085" s="1"/>
      <c r="J3085" s="1"/>
      <c r="N3085" s="1"/>
      <c r="Z3085" s="1"/>
      <c r="AA3085" s="1"/>
      <c r="AE3085" s="1"/>
    </row>
    <row r="3086" spans="9:31" x14ac:dyDescent="0.25">
      <c r="I3086" s="1"/>
      <c r="J3086" s="1"/>
      <c r="N3086" s="1"/>
      <c r="Z3086" s="1"/>
      <c r="AA3086" s="1"/>
      <c r="AE3086" s="1"/>
    </row>
    <row r="3087" spans="9:31" x14ac:dyDescent="0.25">
      <c r="I3087" s="1"/>
      <c r="J3087" s="1"/>
      <c r="N3087" s="1"/>
      <c r="Z3087" s="1"/>
      <c r="AA3087" s="1"/>
      <c r="AE3087" s="1"/>
    </row>
    <row r="3088" spans="9:31" x14ac:dyDescent="0.25">
      <c r="I3088" s="1"/>
      <c r="J3088" s="1"/>
      <c r="N3088" s="1"/>
      <c r="Z3088" s="1"/>
      <c r="AA3088" s="1"/>
      <c r="AE3088" s="1"/>
    </row>
    <row r="3089" spans="9:31" x14ac:dyDescent="0.25">
      <c r="I3089" s="1"/>
      <c r="J3089" s="1"/>
      <c r="N3089" s="1"/>
      <c r="AE3089" s="1"/>
    </row>
    <row r="3090" spans="9:31" x14ac:dyDescent="0.25">
      <c r="I3090" s="1"/>
      <c r="J3090" s="1"/>
      <c r="N3090" s="1"/>
      <c r="AE3090" s="1"/>
    </row>
    <row r="3091" spans="9:31" x14ac:dyDescent="0.25">
      <c r="I3091" s="1"/>
      <c r="J3091" s="1"/>
      <c r="N3091" s="1"/>
      <c r="Z3091" s="1"/>
      <c r="AA3091" s="1"/>
      <c r="AE3091" s="1"/>
    </row>
    <row r="3092" spans="9:31" x14ac:dyDescent="0.25">
      <c r="I3092" s="1"/>
      <c r="J3092" s="1"/>
      <c r="N3092" s="1"/>
      <c r="Z3092" s="1"/>
      <c r="AA3092" s="1"/>
      <c r="AE3092" s="1"/>
    </row>
    <row r="3093" spans="9:31" x14ac:dyDescent="0.25">
      <c r="I3093" s="1"/>
      <c r="J3093" s="1"/>
      <c r="N3093" s="1"/>
      <c r="AE3093" s="1"/>
    </row>
    <row r="3094" spans="9:31" x14ac:dyDescent="0.25">
      <c r="I3094" s="1"/>
      <c r="J3094" s="1"/>
      <c r="N3094" s="1"/>
      <c r="AE3094" s="1"/>
    </row>
    <row r="3095" spans="9:31" x14ac:dyDescent="0.25">
      <c r="I3095" s="1"/>
      <c r="J3095" s="1"/>
      <c r="N3095" s="1"/>
      <c r="AE3095" s="1"/>
    </row>
    <row r="3096" spans="9:31" x14ac:dyDescent="0.25">
      <c r="I3096" s="1"/>
      <c r="J3096" s="1"/>
      <c r="N3096" s="1"/>
      <c r="Z3096" s="1"/>
      <c r="AA3096" s="1"/>
      <c r="AE3096" s="1"/>
    </row>
    <row r="3097" spans="9:31" x14ac:dyDescent="0.25">
      <c r="I3097" s="1"/>
      <c r="J3097" s="1"/>
      <c r="N3097" s="1"/>
      <c r="AE3097" s="1"/>
    </row>
    <row r="3098" spans="9:31" x14ac:dyDescent="0.25">
      <c r="I3098" s="1"/>
      <c r="J3098" s="1"/>
      <c r="N3098" s="1"/>
      <c r="AE3098" s="1"/>
    </row>
    <row r="3099" spans="9:31" x14ac:dyDescent="0.25">
      <c r="I3099" s="1"/>
      <c r="J3099" s="1"/>
      <c r="N3099" s="1"/>
      <c r="AE3099" s="1"/>
    </row>
    <row r="3100" spans="9:31" x14ac:dyDescent="0.25">
      <c r="I3100" s="1"/>
      <c r="J3100" s="1"/>
      <c r="N3100" s="1"/>
      <c r="AE3100" s="1"/>
    </row>
    <row r="3101" spans="9:31" x14ac:dyDescent="0.25">
      <c r="I3101" s="1"/>
      <c r="J3101" s="1"/>
      <c r="N3101" s="1"/>
      <c r="Z3101" s="1"/>
      <c r="AA3101" s="1"/>
      <c r="AE3101" s="1"/>
    </row>
    <row r="3102" spans="9:31" x14ac:dyDescent="0.25">
      <c r="I3102" s="1"/>
      <c r="J3102" s="1"/>
      <c r="N3102" s="1"/>
      <c r="Z3102" s="1"/>
      <c r="AA3102" s="1"/>
      <c r="AE3102" s="1"/>
    </row>
    <row r="3103" spans="9:31" x14ac:dyDescent="0.25">
      <c r="I3103" s="1"/>
      <c r="J3103" s="1"/>
      <c r="N3103" s="1"/>
      <c r="AE3103" s="1"/>
    </row>
    <row r="3104" spans="9:31" x14ac:dyDescent="0.25">
      <c r="I3104" s="1"/>
      <c r="J3104" s="1"/>
      <c r="N3104" s="1"/>
      <c r="Z3104" s="1"/>
      <c r="AA3104" s="1"/>
      <c r="AE3104" s="1"/>
    </row>
    <row r="3105" spans="9:31" x14ac:dyDescent="0.25">
      <c r="I3105" s="1"/>
      <c r="J3105" s="1"/>
      <c r="N3105" s="1"/>
      <c r="Z3105" s="1"/>
      <c r="AA3105" s="1"/>
      <c r="AE3105" s="1"/>
    </row>
    <row r="3106" spans="9:31" x14ac:dyDescent="0.25">
      <c r="I3106" s="1"/>
      <c r="J3106" s="1"/>
      <c r="N3106" s="1"/>
      <c r="Z3106" s="1"/>
      <c r="AA3106" s="1"/>
      <c r="AE3106" s="1"/>
    </row>
    <row r="3107" spans="9:31" x14ac:dyDescent="0.25">
      <c r="I3107" s="1"/>
      <c r="J3107" s="1"/>
      <c r="N3107" s="1"/>
      <c r="AE3107" s="1"/>
    </row>
    <row r="3108" spans="9:31" x14ac:dyDescent="0.25">
      <c r="I3108" s="1"/>
      <c r="J3108" s="1"/>
      <c r="N3108" s="1"/>
      <c r="Z3108" s="1"/>
      <c r="AA3108" s="1"/>
      <c r="AE3108" s="1"/>
    </row>
    <row r="3109" spans="9:31" x14ac:dyDescent="0.25">
      <c r="I3109" s="1"/>
      <c r="J3109" s="1"/>
      <c r="N3109" s="1"/>
      <c r="Z3109" s="1"/>
      <c r="AA3109" s="1"/>
      <c r="AE3109" s="1"/>
    </row>
    <row r="3110" spans="9:31" x14ac:dyDescent="0.25">
      <c r="I3110" s="1"/>
      <c r="J3110" s="1"/>
      <c r="N3110" s="1"/>
      <c r="Z3110" s="1"/>
      <c r="AA3110" s="1"/>
      <c r="AE3110" s="1"/>
    </row>
    <row r="3111" spans="9:31" x14ac:dyDescent="0.25">
      <c r="I3111" s="1"/>
      <c r="J3111" s="1"/>
      <c r="N3111" s="1"/>
      <c r="Z3111" s="1"/>
      <c r="AA3111" s="1"/>
      <c r="AE3111" s="1"/>
    </row>
    <row r="3112" spans="9:31" x14ac:dyDescent="0.25">
      <c r="I3112" s="1"/>
      <c r="J3112" s="1"/>
      <c r="N3112" s="1"/>
      <c r="AE3112" s="1"/>
    </row>
    <row r="3113" spans="9:31" x14ac:dyDescent="0.25">
      <c r="I3113" s="1"/>
      <c r="J3113" s="1"/>
      <c r="N3113" s="1"/>
      <c r="Z3113" s="1"/>
      <c r="AA3113" s="1"/>
      <c r="AE3113" s="1"/>
    </row>
    <row r="3114" spans="9:31" x14ac:dyDescent="0.25">
      <c r="I3114" s="1"/>
      <c r="J3114" s="1"/>
      <c r="N3114" s="1"/>
      <c r="AE3114" s="1"/>
    </row>
    <row r="3115" spans="9:31" x14ac:dyDescent="0.25">
      <c r="I3115" s="1"/>
      <c r="J3115" s="1"/>
      <c r="N3115" s="1"/>
      <c r="Z3115" s="1"/>
      <c r="AA3115" s="1"/>
      <c r="AE3115" s="1"/>
    </row>
    <row r="3116" spans="9:31" x14ac:dyDescent="0.25">
      <c r="I3116" s="1"/>
      <c r="J3116" s="1"/>
      <c r="N3116" s="1"/>
      <c r="Z3116" s="1"/>
      <c r="AA3116" s="1"/>
      <c r="AE3116" s="1"/>
    </row>
    <row r="3117" spans="9:31" x14ac:dyDescent="0.25">
      <c r="I3117" s="1"/>
      <c r="J3117" s="1"/>
      <c r="N3117" s="1"/>
      <c r="AE3117" s="1"/>
    </row>
    <row r="3118" spans="9:31" x14ac:dyDescent="0.25">
      <c r="I3118" s="1"/>
      <c r="J3118" s="1"/>
      <c r="N3118" s="1"/>
      <c r="Z3118" s="1"/>
      <c r="AA3118" s="1"/>
      <c r="AE3118" s="1"/>
    </row>
    <row r="3119" spans="9:31" x14ac:dyDescent="0.25">
      <c r="I3119" s="1"/>
      <c r="J3119" s="1"/>
      <c r="N3119" s="1"/>
      <c r="Z3119" s="1"/>
      <c r="AA3119" s="1"/>
      <c r="AE3119" s="1"/>
    </row>
    <row r="3120" spans="9:31" x14ac:dyDescent="0.25">
      <c r="I3120" s="1"/>
      <c r="J3120" s="1"/>
      <c r="N3120" s="1"/>
      <c r="Z3120" s="1"/>
      <c r="AA3120" s="1"/>
      <c r="AE3120" s="1"/>
    </row>
    <row r="3121" spans="9:31" x14ac:dyDescent="0.25">
      <c r="N3121" s="1"/>
      <c r="Z3121" s="1"/>
      <c r="AA3121" s="1"/>
      <c r="AE3121" s="1"/>
    </row>
    <row r="3122" spans="9:31" x14ac:dyDescent="0.25">
      <c r="I3122" s="1"/>
      <c r="J3122" s="1"/>
      <c r="N3122" s="1"/>
      <c r="AE3122" s="1"/>
    </row>
    <row r="3123" spans="9:31" x14ac:dyDescent="0.25">
      <c r="I3123" s="1"/>
      <c r="J3123" s="1"/>
      <c r="N3123" s="1"/>
      <c r="Z3123" s="1"/>
      <c r="AA3123" s="1"/>
      <c r="AE3123" s="1"/>
    </row>
    <row r="3124" spans="9:31" x14ac:dyDescent="0.25">
      <c r="I3124" s="1"/>
      <c r="J3124" s="1"/>
      <c r="N3124" s="1"/>
      <c r="Z3124" s="1"/>
      <c r="AA3124" s="1"/>
      <c r="AE3124" s="1"/>
    </row>
    <row r="3125" spans="9:31" x14ac:dyDescent="0.25">
      <c r="I3125" s="1"/>
      <c r="J3125" s="1"/>
      <c r="N3125" s="1"/>
      <c r="Z3125" s="1"/>
      <c r="AA3125" s="1"/>
      <c r="AE3125" s="1"/>
    </row>
    <row r="3126" spans="9:31" x14ac:dyDescent="0.25">
      <c r="I3126" s="1"/>
      <c r="J3126" s="1"/>
      <c r="N3126" s="1"/>
      <c r="Z3126" s="1"/>
      <c r="AA3126" s="1"/>
      <c r="AE3126" s="1"/>
    </row>
    <row r="3127" spans="9:31" x14ac:dyDescent="0.25">
      <c r="I3127" s="1"/>
      <c r="J3127" s="1"/>
      <c r="N3127" s="1"/>
      <c r="Z3127" s="1"/>
      <c r="AA3127" s="1"/>
      <c r="AE3127" s="1"/>
    </row>
    <row r="3128" spans="9:31" x14ac:dyDescent="0.25">
      <c r="I3128" s="1"/>
      <c r="J3128" s="1"/>
      <c r="N3128" s="1"/>
      <c r="Z3128" s="1"/>
      <c r="AA3128" s="1"/>
      <c r="AE3128" s="1"/>
    </row>
    <row r="3129" spans="9:31" x14ac:dyDescent="0.25">
      <c r="I3129" s="1"/>
      <c r="J3129" s="1"/>
      <c r="N3129" s="1"/>
      <c r="Z3129" s="1"/>
      <c r="AA3129" s="1"/>
      <c r="AE3129" s="1"/>
    </row>
    <row r="3130" spans="9:31" x14ac:dyDescent="0.25">
      <c r="I3130" s="1"/>
      <c r="J3130" s="1"/>
      <c r="N3130" s="1"/>
      <c r="AE3130" s="1"/>
    </row>
    <row r="3131" spans="9:31" x14ac:dyDescent="0.25">
      <c r="I3131" s="1"/>
      <c r="J3131" s="1"/>
      <c r="N3131" s="1"/>
      <c r="Z3131" s="1"/>
      <c r="AA3131" s="1"/>
      <c r="AE3131" s="1"/>
    </row>
    <row r="3132" spans="9:31" x14ac:dyDescent="0.25">
      <c r="I3132" s="1"/>
      <c r="J3132" s="1"/>
      <c r="N3132" s="1"/>
      <c r="Z3132" s="1"/>
      <c r="AA3132" s="1"/>
      <c r="AE3132" s="1"/>
    </row>
    <row r="3133" spans="9:31" x14ac:dyDescent="0.25">
      <c r="I3133" s="1"/>
      <c r="J3133" s="1"/>
      <c r="N3133" s="1"/>
      <c r="Z3133" s="1"/>
      <c r="AA3133" s="1"/>
      <c r="AE3133" s="1"/>
    </row>
    <row r="3134" spans="9:31" x14ac:dyDescent="0.25">
      <c r="I3134" s="1"/>
      <c r="J3134" s="1"/>
      <c r="N3134" s="1"/>
      <c r="Z3134" s="1"/>
      <c r="AA3134" s="1"/>
      <c r="AE3134" s="1"/>
    </row>
    <row r="3135" spans="9:31" x14ac:dyDescent="0.25">
      <c r="I3135" s="1"/>
      <c r="J3135" s="1"/>
      <c r="N3135" s="1"/>
      <c r="AE3135" s="1"/>
    </row>
    <row r="3136" spans="9:31" x14ac:dyDescent="0.25">
      <c r="I3136" s="1"/>
      <c r="J3136" s="1"/>
      <c r="N3136" s="1"/>
      <c r="Z3136" s="1"/>
      <c r="AA3136" s="1"/>
      <c r="AE3136" s="1"/>
    </row>
    <row r="3137" spans="9:31" x14ac:dyDescent="0.25">
      <c r="I3137" s="1"/>
      <c r="J3137" s="1"/>
      <c r="N3137" s="1"/>
      <c r="AE3137" s="1"/>
    </row>
    <row r="3138" spans="9:31" x14ac:dyDescent="0.25">
      <c r="I3138" s="1"/>
      <c r="J3138" s="1"/>
      <c r="N3138" s="1"/>
      <c r="AE3138" s="1"/>
    </row>
    <row r="3139" spans="9:31" x14ac:dyDescent="0.25">
      <c r="I3139" s="1"/>
      <c r="J3139" s="1"/>
      <c r="N3139" s="1"/>
      <c r="Z3139" s="1"/>
      <c r="AA3139" s="1"/>
      <c r="AE3139" s="1"/>
    </row>
    <row r="3140" spans="9:31" x14ac:dyDescent="0.25">
      <c r="I3140" s="1"/>
      <c r="J3140" s="1"/>
      <c r="N3140" s="1"/>
      <c r="Z3140" s="1"/>
      <c r="AA3140" s="1"/>
      <c r="AE3140" s="1"/>
    </row>
    <row r="3141" spans="9:31" x14ac:dyDescent="0.25">
      <c r="I3141" s="1"/>
      <c r="J3141" s="1"/>
      <c r="N3141" s="1"/>
      <c r="Z3141" s="1"/>
      <c r="AA3141" s="1"/>
      <c r="AE3141" s="1"/>
    </row>
    <row r="3142" spans="9:31" x14ac:dyDescent="0.25">
      <c r="I3142" s="1"/>
      <c r="J3142" s="1"/>
      <c r="N3142" s="1"/>
      <c r="Z3142" s="1"/>
      <c r="AA3142" s="1"/>
      <c r="AE3142" s="1"/>
    </row>
    <row r="3143" spans="9:31" x14ac:dyDescent="0.25">
      <c r="I3143" s="1"/>
      <c r="J3143" s="1"/>
      <c r="N3143" s="1"/>
      <c r="Z3143" s="1"/>
      <c r="AA3143" s="1"/>
      <c r="AE3143" s="1"/>
    </row>
    <row r="3144" spans="9:31" x14ac:dyDescent="0.25">
      <c r="I3144" s="1"/>
      <c r="J3144" s="1"/>
      <c r="N3144" s="1"/>
      <c r="Z3144" s="1"/>
      <c r="AA3144" s="1"/>
      <c r="AE3144" s="1"/>
    </row>
    <row r="3145" spans="9:31" x14ac:dyDescent="0.25">
      <c r="I3145" s="1"/>
      <c r="J3145" s="1"/>
      <c r="N3145" s="1"/>
      <c r="Z3145" s="1"/>
      <c r="AA3145" s="1"/>
      <c r="AE3145" s="1"/>
    </row>
    <row r="3146" spans="9:31" x14ac:dyDescent="0.25">
      <c r="I3146" s="1"/>
      <c r="J3146" s="1"/>
      <c r="N3146" s="1"/>
      <c r="Z3146" s="1"/>
      <c r="AA3146" s="1"/>
      <c r="AE3146" s="1"/>
    </row>
    <row r="3147" spans="9:31" x14ac:dyDescent="0.25">
      <c r="I3147" s="1"/>
      <c r="J3147" s="1"/>
      <c r="N3147" s="1"/>
      <c r="AE3147" s="1"/>
    </row>
    <row r="3148" spans="9:31" x14ac:dyDescent="0.25">
      <c r="I3148" s="1"/>
      <c r="J3148" s="1"/>
      <c r="N3148" s="1"/>
      <c r="AE3148" s="1"/>
    </row>
    <row r="3149" spans="9:31" x14ac:dyDescent="0.25">
      <c r="I3149" s="1"/>
      <c r="J3149" s="1"/>
      <c r="N3149" s="1"/>
      <c r="Z3149" s="1"/>
      <c r="AA3149" s="1"/>
      <c r="AE3149" s="1"/>
    </row>
    <row r="3150" spans="9:31" x14ac:dyDescent="0.25">
      <c r="I3150" s="1"/>
      <c r="J3150" s="1"/>
      <c r="N3150" s="1"/>
      <c r="AE3150" s="1"/>
    </row>
    <row r="3151" spans="9:31" x14ac:dyDescent="0.25">
      <c r="I3151" s="1"/>
      <c r="J3151" s="1"/>
      <c r="N3151" s="1"/>
      <c r="Z3151" s="1"/>
      <c r="AA3151" s="1"/>
      <c r="AE3151" s="1"/>
    </row>
    <row r="3152" spans="9:31" x14ac:dyDescent="0.25">
      <c r="I3152" s="1"/>
      <c r="J3152" s="1"/>
      <c r="N3152" s="1"/>
      <c r="Z3152" s="1"/>
      <c r="AA3152" s="1"/>
      <c r="AE3152" s="1"/>
    </row>
    <row r="3153" spans="9:31" x14ac:dyDescent="0.25">
      <c r="I3153" s="1"/>
      <c r="J3153" s="1"/>
      <c r="N3153" s="1"/>
      <c r="AE3153" s="1"/>
    </row>
    <row r="3154" spans="9:31" x14ac:dyDescent="0.25">
      <c r="I3154" s="1"/>
      <c r="J3154" s="1"/>
      <c r="N3154" s="1"/>
      <c r="Z3154" s="1"/>
      <c r="AA3154" s="1"/>
      <c r="AE3154" s="1"/>
    </row>
    <row r="3155" spans="9:31" x14ac:dyDescent="0.25">
      <c r="I3155" s="1"/>
      <c r="J3155" s="1"/>
      <c r="N3155" s="1"/>
      <c r="Z3155" s="1"/>
      <c r="AA3155" s="1"/>
      <c r="AE3155" s="1"/>
    </row>
    <row r="3156" spans="9:31" x14ac:dyDescent="0.25">
      <c r="I3156" s="1"/>
      <c r="J3156" s="1"/>
      <c r="N3156" s="1"/>
      <c r="AE3156" s="1"/>
    </row>
    <row r="3157" spans="9:31" x14ac:dyDescent="0.25">
      <c r="I3157" s="1"/>
      <c r="J3157" s="1"/>
      <c r="N3157" s="1"/>
      <c r="AE3157" s="1"/>
    </row>
    <row r="3158" spans="9:31" x14ac:dyDescent="0.25">
      <c r="I3158" s="1"/>
      <c r="J3158" s="1"/>
      <c r="N3158" s="1"/>
      <c r="Z3158" s="1"/>
      <c r="AA3158" s="1"/>
      <c r="AE3158" s="1"/>
    </row>
    <row r="3159" spans="9:31" x14ac:dyDescent="0.25">
      <c r="I3159" s="1"/>
      <c r="J3159" s="1"/>
      <c r="N3159" s="1"/>
      <c r="Z3159" s="1"/>
      <c r="AA3159" s="1"/>
      <c r="AE3159" s="1"/>
    </row>
    <row r="3160" spans="9:31" x14ac:dyDescent="0.25">
      <c r="I3160" s="1"/>
      <c r="J3160" s="1"/>
      <c r="N3160" s="1"/>
      <c r="AE3160" s="1"/>
    </row>
    <row r="3161" spans="9:31" x14ac:dyDescent="0.25">
      <c r="I3161" s="1"/>
      <c r="J3161" s="1"/>
      <c r="N3161" s="1"/>
      <c r="AE3161" s="1"/>
    </row>
    <row r="3162" spans="9:31" x14ac:dyDescent="0.25">
      <c r="I3162" s="1"/>
      <c r="J3162" s="1"/>
      <c r="N3162" s="1"/>
      <c r="Z3162" s="1"/>
      <c r="AA3162" s="1"/>
      <c r="AE3162" s="1"/>
    </row>
    <row r="3163" spans="9:31" x14ac:dyDescent="0.25">
      <c r="I3163" s="1"/>
      <c r="J3163" s="1"/>
      <c r="N3163" s="1"/>
      <c r="AE3163" s="1"/>
    </row>
    <row r="3164" spans="9:31" x14ac:dyDescent="0.25">
      <c r="I3164" s="1"/>
      <c r="J3164" s="1"/>
      <c r="N3164" s="1"/>
      <c r="Z3164" s="1"/>
      <c r="AA3164" s="1"/>
      <c r="AE3164" s="1"/>
    </row>
    <row r="3165" spans="9:31" x14ac:dyDescent="0.25">
      <c r="I3165" s="1"/>
      <c r="J3165" s="1"/>
      <c r="N3165" s="1"/>
      <c r="AE3165" s="1"/>
    </row>
    <row r="3166" spans="9:31" x14ac:dyDescent="0.25">
      <c r="I3166" s="1"/>
      <c r="J3166" s="1"/>
      <c r="N3166" s="1"/>
      <c r="Z3166" s="1"/>
      <c r="AA3166" s="1"/>
      <c r="AE3166" s="1"/>
    </row>
    <row r="3167" spans="9:31" x14ac:dyDescent="0.25">
      <c r="I3167" s="1"/>
      <c r="J3167" s="1"/>
      <c r="N3167" s="1"/>
      <c r="Z3167" s="1"/>
      <c r="AA3167" s="1"/>
      <c r="AE3167" s="1"/>
    </row>
    <row r="3168" spans="9:31" x14ac:dyDescent="0.25">
      <c r="I3168" s="1"/>
      <c r="J3168" s="1"/>
      <c r="N3168" s="1"/>
      <c r="Z3168" s="1"/>
      <c r="AA3168" s="1"/>
      <c r="AE3168" s="1"/>
    </row>
    <row r="3169" spans="9:31" x14ac:dyDescent="0.25">
      <c r="I3169" s="1"/>
      <c r="J3169" s="1"/>
      <c r="N3169" s="1"/>
      <c r="Z3169" s="1"/>
      <c r="AA3169" s="1"/>
      <c r="AE3169" s="1"/>
    </row>
    <row r="3170" spans="9:31" x14ac:dyDescent="0.25">
      <c r="I3170" s="1"/>
      <c r="J3170" s="1"/>
      <c r="N3170" s="1"/>
      <c r="Z3170" s="1"/>
      <c r="AA3170" s="1"/>
      <c r="AE3170" s="1"/>
    </row>
    <row r="3171" spans="9:31" x14ac:dyDescent="0.25">
      <c r="I3171" s="1"/>
      <c r="J3171" s="1"/>
      <c r="N3171" s="1"/>
      <c r="AE3171" s="1"/>
    </row>
    <row r="3172" spans="9:31" x14ac:dyDescent="0.25">
      <c r="I3172" s="1"/>
      <c r="J3172" s="1"/>
      <c r="N3172" s="1"/>
      <c r="Z3172" s="1"/>
      <c r="AA3172" s="1"/>
      <c r="AE3172" s="1"/>
    </row>
    <row r="3173" spans="9:31" x14ac:dyDescent="0.25">
      <c r="I3173" s="1"/>
      <c r="J3173" s="1"/>
      <c r="N3173" s="1"/>
      <c r="AE3173" s="1"/>
    </row>
    <row r="3174" spans="9:31" x14ac:dyDescent="0.25">
      <c r="N3174" s="1"/>
      <c r="Z3174" s="1"/>
      <c r="AA3174" s="1"/>
      <c r="AE3174" s="1"/>
    </row>
    <row r="3175" spans="9:31" x14ac:dyDescent="0.25">
      <c r="I3175" s="1"/>
      <c r="J3175" s="1"/>
      <c r="N3175" s="1"/>
      <c r="AE3175" s="1"/>
    </row>
    <row r="3176" spans="9:31" x14ac:dyDescent="0.25">
      <c r="I3176" s="1"/>
      <c r="J3176" s="1"/>
      <c r="N3176" s="1"/>
      <c r="Z3176" s="1"/>
      <c r="AA3176" s="1"/>
      <c r="AE3176" s="1"/>
    </row>
    <row r="3177" spans="9:31" x14ac:dyDescent="0.25">
      <c r="I3177" s="1"/>
      <c r="J3177" s="1"/>
      <c r="N3177" s="1"/>
      <c r="Z3177" s="1"/>
      <c r="AA3177" s="1"/>
      <c r="AE3177" s="1"/>
    </row>
    <row r="3178" spans="9:31" x14ac:dyDescent="0.25">
      <c r="I3178" s="1"/>
      <c r="J3178" s="1"/>
      <c r="N3178" s="1"/>
      <c r="Z3178" s="1"/>
      <c r="AA3178" s="1"/>
      <c r="AE3178" s="1"/>
    </row>
    <row r="3179" spans="9:31" x14ac:dyDescent="0.25">
      <c r="I3179" s="1"/>
      <c r="J3179" s="1"/>
      <c r="N3179" s="1"/>
      <c r="AE3179" s="1"/>
    </row>
    <row r="3180" spans="9:31" x14ac:dyDescent="0.25">
      <c r="I3180" s="1"/>
      <c r="J3180" s="1"/>
      <c r="N3180" s="1"/>
      <c r="Z3180" s="1"/>
      <c r="AA3180" s="1"/>
      <c r="AE3180" s="1"/>
    </row>
    <row r="3181" spans="9:31" x14ac:dyDescent="0.25">
      <c r="I3181" s="1"/>
      <c r="J3181" s="1"/>
      <c r="N3181" s="1"/>
      <c r="AE3181" s="1"/>
    </row>
    <row r="3182" spans="9:31" x14ac:dyDescent="0.25">
      <c r="I3182" s="1"/>
      <c r="J3182" s="1"/>
      <c r="N3182" s="1"/>
      <c r="AE3182" s="1"/>
    </row>
    <row r="3183" spans="9:31" x14ac:dyDescent="0.25">
      <c r="I3183" s="1"/>
      <c r="J3183" s="1"/>
      <c r="N3183" s="1"/>
      <c r="Z3183" s="1"/>
      <c r="AA3183" s="1"/>
      <c r="AE3183" s="1"/>
    </row>
    <row r="3184" spans="9:31" x14ac:dyDescent="0.25">
      <c r="I3184" s="1"/>
      <c r="J3184" s="1"/>
      <c r="N3184" s="1"/>
      <c r="Z3184" s="1"/>
      <c r="AA3184" s="1"/>
      <c r="AE3184" s="1"/>
    </row>
    <row r="3185" spans="9:31" x14ac:dyDescent="0.25">
      <c r="I3185" s="1"/>
      <c r="J3185" s="1"/>
      <c r="N3185" s="1"/>
      <c r="Z3185" s="1"/>
      <c r="AA3185" s="1"/>
      <c r="AE3185" s="1"/>
    </row>
    <row r="3186" spans="9:31" x14ac:dyDescent="0.25">
      <c r="I3186" s="1"/>
      <c r="J3186" s="1"/>
      <c r="N3186" s="1"/>
      <c r="Z3186" s="1"/>
      <c r="AA3186" s="1"/>
      <c r="AE3186" s="1"/>
    </row>
    <row r="3187" spans="9:31" x14ac:dyDescent="0.25">
      <c r="I3187" s="1"/>
      <c r="J3187" s="1"/>
      <c r="N3187" s="1"/>
      <c r="Z3187" s="1"/>
      <c r="AA3187" s="1"/>
      <c r="AE3187" s="1"/>
    </row>
    <row r="3188" spans="9:31" x14ac:dyDescent="0.25">
      <c r="I3188" s="1"/>
      <c r="J3188" s="1"/>
      <c r="N3188" s="1"/>
      <c r="Z3188" s="1"/>
      <c r="AA3188" s="1"/>
      <c r="AE3188" s="1"/>
    </row>
    <row r="3189" spans="9:31" x14ac:dyDescent="0.25">
      <c r="I3189" s="1"/>
      <c r="J3189" s="1"/>
      <c r="N3189" s="1"/>
      <c r="Z3189" s="1"/>
      <c r="AA3189" s="1"/>
      <c r="AE3189" s="1"/>
    </row>
    <row r="3190" spans="9:31" x14ac:dyDescent="0.25">
      <c r="I3190" s="1"/>
      <c r="J3190" s="1"/>
      <c r="N3190" s="1"/>
      <c r="AE3190" s="1"/>
    </row>
    <row r="3191" spans="9:31" x14ac:dyDescent="0.25">
      <c r="I3191" s="1"/>
      <c r="J3191" s="1"/>
      <c r="N3191" s="1"/>
      <c r="Z3191" s="1"/>
      <c r="AA3191" s="1"/>
      <c r="AE3191" s="1"/>
    </row>
    <row r="3192" spans="9:31" x14ac:dyDescent="0.25">
      <c r="N3192" s="1"/>
      <c r="Z3192" s="1"/>
      <c r="AA3192" s="1"/>
      <c r="AE3192" s="1"/>
    </row>
    <row r="3193" spans="9:31" x14ac:dyDescent="0.25">
      <c r="I3193" s="1"/>
      <c r="J3193" s="1"/>
      <c r="N3193" s="1"/>
      <c r="AE3193" s="1"/>
    </row>
    <row r="3194" spans="9:31" x14ac:dyDescent="0.25">
      <c r="I3194" s="1"/>
      <c r="J3194" s="1"/>
      <c r="N3194" s="1"/>
      <c r="AE3194" s="1"/>
    </row>
    <row r="3195" spans="9:31" x14ac:dyDescent="0.25">
      <c r="I3195" s="1"/>
      <c r="J3195" s="1"/>
      <c r="N3195" s="1"/>
      <c r="Z3195" s="1"/>
      <c r="AA3195" s="1"/>
      <c r="AE3195" s="1"/>
    </row>
    <row r="3196" spans="9:31" x14ac:dyDescent="0.25">
      <c r="I3196" s="1"/>
      <c r="J3196" s="1"/>
      <c r="N3196" s="1"/>
      <c r="AE3196" s="1"/>
    </row>
    <row r="3197" spans="9:31" x14ac:dyDescent="0.25">
      <c r="I3197" s="1"/>
      <c r="J3197" s="1"/>
      <c r="N3197" s="1"/>
      <c r="AE3197" s="1"/>
    </row>
    <row r="3198" spans="9:31" x14ac:dyDescent="0.25">
      <c r="I3198" s="1"/>
      <c r="J3198" s="1"/>
      <c r="N3198" s="1"/>
      <c r="Z3198" s="1"/>
      <c r="AA3198" s="1"/>
      <c r="AE3198" s="1"/>
    </row>
    <row r="3199" spans="9:31" x14ac:dyDescent="0.25">
      <c r="I3199" s="1"/>
      <c r="J3199" s="1"/>
      <c r="N3199" s="1"/>
      <c r="Z3199" s="1"/>
      <c r="AA3199" s="1"/>
      <c r="AE3199" s="1"/>
    </row>
    <row r="3200" spans="9:31" x14ac:dyDescent="0.25">
      <c r="I3200" s="1"/>
      <c r="J3200" s="1"/>
      <c r="N3200" s="1"/>
      <c r="Z3200" s="1"/>
      <c r="AA3200" s="1"/>
      <c r="AE3200" s="1"/>
    </row>
    <row r="3201" spans="9:31" x14ac:dyDescent="0.25">
      <c r="I3201" s="1"/>
      <c r="J3201" s="1"/>
      <c r="N3201" s="1"/>
      <c r="Z3201" s="1"/>
      <c r="AA3201" s="1"/>
      <c r="AE3201" s="1"/>
    </row>
    <row r="3202" spans="9:31" x14ac:dyDescent="0.25">
      <c r="I3202" s="1"/>
      <c r="J3202" s="1"/>
      <c r="N3202" s="1"/>
      <c r="Z3202" s="1"/>
      <c r="AA3202" s="1"/>
      <c r="AE3202" s="1"/>
    </row>
    <row r="3203" spans="9:31" x14ac:dyDescent="0.25">
      <c r="I3203" s="1"/>
      <c r="J3203" s="1"/>
      <c r="N3203" s="1"/>
      <c r="AE3203" s="1"/>
    </row>
    <row r="3204" spans="9:31" x14ac:dyDescent="0.25">
      <c r="I3204" s="1"/>
      <c r="J3204" s="1"/>
      <c r="N3204" s="1"/>
      <c r="Z3204" s="1"/>
      <c r="AA3204" s="1"/>
      <c r="AE3204" s="1"/>
    </row>
    <row r="3205" spans="9:31" x14ac:dyDescent="0.25">
      <c r="I3205" s="1"/>
      <c r="J3205" s="1"/>
      <c r="N3205" s="1"/>
      <c r="AE3205" s="1"/>
    </row>
    <row r="3206" spans="9:31" x14ac:dyDescent="0.25">
      <c r="I3206" s="1"/>
      <c r="J3206" s="1"/>
      <c r="N3206" s="1"/>
      <c r="Z3206" s="1"/>
      <c r="AA3206" s="1"/>
      <c r="AE3206" s="1"/>
    </row>
    <row r="3207" spans="9:31" x14ac:dyDescent="0.25">
      <c r="I3207" s="1"/>
      <c r="J3207" s="1"/>
      <c r="N3207" s="1"/>
      <c r="Z3207" s="1"/>
      <c r="AA3207" s="1"/>
      <c r="AE3207" s="1"/>
    </row>
    <row r="3208" spans="9:31" x14ac:dyDescent="0.25">
      <c r="I3208" s="1"/>
      <c r="J3208" s="1"/>
      <c r="N3208" s="1"/>
      <c r="AE3208" s="1"/>
    </row>
    <row r="3209" spans="9:31" x14ac:dyDescent="0.25">
      <c r="I3209" s="1"/>
      <c r="J3209" s="1"/>
      <c r="N3209" s="1"/>
      <c r="Z3209" s="1"/>
      <c r="AA3209" s="1"/>
      <c r="AE3209" s="1"/>
    </row>
    <row r="3210" spans="9:31" x14ac:dyDescent="0.25">
      <c r="I3210" s="1"/>
      <c r="J3210" s="1"/>
      <c r="N3210" s="1"/>
      <c r="Z3210" s="1"/>
      <c r="AA3210" s="1"/>
      <c r="AE3210" s="1"/>
    </row>
    <row r="3211" spans="9:31" x14ac:dyDescent="0.25">
      <c r="I3211" s="1"/>
      <c r="J3211" s="1"/>
      <c r="N3211" s="1"/>
      <c r="Z3211" s="1"/>
      <c r="AA3211" s="1"/>
      <c r="AE3211" s="1"/>
    </row>
    <row r="3212" spans="9:31" x14ac:dyDescent="0.25">
      <c r="I3212" s="1"/>
      <c r="J3212" s="1"/>
      <c r="N3212" s="1"/>
      <c r="Z3212" s="1"/>
      <c r="AA3212" s="1"/>
      <c r="AE3212" s="1"/>
    </row>
    <row r="3213" spans="9:31" x14ac:dyDescent="0.25">
      <c r="I3213" s="1"/>
      <c r="J3213" s="1"/>
      <c r="N3213" s="1"/>
      <c r="Z3213" s="1"/>
      <c r="AA3213" s="1"/>
      <c r="AE3213" s="1"/>
    </row>
    <row r="3214" spans="9:31" x14ac:dyDescent="0.25">
      <c r="I3214" s="1"/>
      <c r="J3214" s="1"/>
      <c r="N3214" s="1"/>
      <c r="AE3214" s="1"/>
    </row>
    <row r="3215" spans="9:31" x14ac:dyDescent="0.25">
      <c r="I3215" s="1"/>
      <c r="J3215" s="1"/>
      <c r="N3215" s="1"/>
      <c r="Z3215" s="1"/>
      <c r="AA3215" s="1"/>
      <c r="AE3215" s="1"/>
    </row>
    <row r="3216" spans="9:31" x14ac:dyDescent="0.25">
      <c r="I3216" s="1"/>
      <c r="J3216" s="1"/>
      <c r="N3216" s="1"/>
      <c r="Z3216" s="1"/>
      <c r="AA3216" s="1"/>
      <c r="AE3216" s="1"/>
    </row>
    <row r="3217" spans="9:31" x14ac:dyDescent="0.25">
      <c r="I3217" s="1"/>
      <c r="J3217" s="1"/>
      <c r="N3217" s="1"/>
      <c r="Z3217" s="1"/>
      <c r="AA3217" s="1"/>
      <c r="AE3217" s="1"/>
    </row>
    <row r="3218" spans="9:31" x14ac:dyDescent="0.25">
      <c r="I3218" s="1"/>
      <c r="J3218" s="1"/>
      <c r="N3218" s="1"/>
      <c r="Z3218" s="1"/>
      <c r="AA3218" s="1"/>
      <c r="AE3218" s="1"/>
    </row>
    <row r="3219" spans="9:31" x14ac:dyDescent="0.25">
      <c r="I3219" s="1"/>
      <c r="J3219" s="1"/>
      <c r="N3219" s="1"/>
      <c r="Z3219" s="1"/>
      <c r="AA3219" s="1"/>
      <c r="AE3219" s="1"/>
    </row>
    <row r="3220" spans="9:31" x14ac:dyDescent="0.25">
      <c r="I3220" s="1"/>
      <c r="J3220" s="1"/>
      <c r="N3220" s="1"/>
      <c r="Z3220" s="1"/>
      <c r="AA3220" s="1"/>
      <c r="AE3220" s="1"/>
    </row>
    <row r="3221" spans="9:31" x14ac:dyDescent="0.25">
      <c r="I3221" s="1"/>
      <c r="J3221" s="1"/>
      <c r="N3221" s="1"/>
      <c r="Z3221" s="1"/>
      <c r="AA3221" s="1"/>
      <c r="AE3221" s="1"/>
    </row>
    <row r="3222" spans="9:31" x14ac:dyDescent="0.25">
      <c r="I3222" s="1"/>
      <c r="J3222" s="1"/>
      <c r="N3222" s="1"/>
      <c r="Z3222" s="1"/>
      <c r="AA3222" s="1"/>
      <c r="AE3222" s="1"/>
    </row>
    <row r="3223" spans="9:31" x14ac:dyDescent="0.25">
      <c r="I3223" s="1"/>
      <c r="J3223" s="1"/>
      <c r="N3223" s="1"/>
      <c r="Z3223" s="1"/>
      <c r="AA3223" s="1"/>
      <c r="AE3223" s="1"/>
    </row>
    <row r="3224" spans="9:31" x14ac:dyDescent="0.25">
      <c r="I3224" s="1"/>
      <c r="J3224" s="1"/>
      <c r="N3224" s="1"/>
      <c r="Z3224" s="1"/>
      <c r="AA3224" s="1"/>
      <c r="AE3224" s="1"/>
    </row>
    <row r="3225" spans="9:31" x14ac:dyDescent="0.25">
      <c r="I3225" s="1"/>
      <c r="J3225" s="1"/>
      <c r="N3225" s="1"/>
      <c r="Z3225" s="1"/>
      <c r="AA3225" s="1"/>
      <c r="AE3225" s="1"/>
    </row>
    <row r="3226" spans="9:31" x14ac:dyDescent="0.25">
      <c r="I3226" s="1"/>
      <c r="J3226" s="1"/>
      <c r="N3226" s="1"/>
      <c r="Z3226" s="1"/>
      <c r="AA3226" s="1"/>
      <c r="AE3226" s="1"/>
    </row>
    <row r="3227" spans="9:31" x14ac:dyDescent="0.25">
      <c r="I3227" s="1"/>
      <c r="J3227" s="1"/>
      <c r="N3227" s="1"/>
      <c r="Z3227" s="1"/>
      <c r="AA3227" s="1"/>
      <c r="AE3227" s="1"/>
    </row>
    <row r="3228" spans="9:31" x14ac:dyDescent="0.25">
      <c r="I3228" s="1"/>
      <c r="J3228" s="1"/>
      <c r="N3228" s="1"/>
      <c r="AE3228" s="1"/>
    </row>
    <row r="3229" spans="9:31" x14ac:dyDescent="0.25">
      <c r="I3229" s="1"/>
      <c r="J3229" s="1"/>
      <c r="N3229" s="1"/>
      <c r="Z3229" s="1"/>
      <c r="AA3229" s="1"/>
      <c r="AE3229" s="1"/>
    </row>
    <row r="3230" spans="9:31" x14ac:dyDescent="0.25">
      <c r="I3230" s="1"/>
      <c r="J3230" s="1"/>
      <c r="N3230" s="1"/>
      <c r="Z3230" s="1"/>
      <c r="AA3230" s="1"/>
      <c r="AE3230" s="1"/>
    </row>
    <row r="3231" spans="9:31" x14ac:dyDescent="0.25">
      <c r="I3231" s="1"/>
      <c r="J3231" s="1"/>
      <c r="N3231" s="1"/>
      <c r="Z3231" s="1"/>
      <c r="AA3231" s="1"/>
      <c r="AE3231" s="1"/>
    </row>
    <row r="3232" spans="9:31" x14ac:dyDescent="0.25">
      <c r="I3232" s="1"/>
      <c r="J3232" s="1"/>
      <c r="N3232" s="1"/>
      <c r="Z3232" s="1"/>
      <c r="AA3232" s="1"/>
      <c r="AE3232" s="1"/>
    </row>
    <row r="3233" spans="9:31" x14ac:dyDescent="0.25">
      <c r="I3233" s="1"/>
      <c r="J3233" s="1"/>
      <c r="N3233" s="1"/>
      <c r="AE3233" s="1"/>
    </row>
    <row r="3234" spans="9:31" x14ac:dyDescent="0.25">
      <c r="I3234" s="1"/>
      <c r="J3234" s="1"/>
      <c r="N3234" s="1"/>
      <c r="AE3234" s="1"/>
    </row>
    <row r="3235" spans="9:31" x14ac:dyDescent="0.25">
      <c r="I3235" s="1"/>
      <c r="J3235" s="1"/>
      <c r="N3235" s="1"/>
      <c r="Z3235" s="1"/>
      <c r="AA3235" s="1"/>
      <c r="AE3235" s="1"/>
    </row>
    <row r="3236" spans="9:31" x14ac:dyDescent="0.25">
      <c r="I3236" s="1"/>
      <c r="J3236" s="1"/>
      <c r="N3236" s="1"/>
      <c r="Z3236" s="1"/>
      <c r="AA3236" s="1"/>
      <c r="AE3236" s="1"/>
    </row>
    <row r="3237" spans="9:31" x14ac:dyDescent="0.25">
      <c r="I3237" s="1"/>
      <c r="J3237" s="1"/>
      <c r="N3237" s="1"/>
      <c r="AE3237" s="1"/>
    </row>
    <row r="3238" spans="9:31" x14ac:dyDescent="0.25">
      <c r="I3238" s="1"/>
      <c r="J3238" s="1"/>
      <c r="N3238" s="1"/>
      <c r="AE3238" s="1"/>
    </row>
    <row r="3239" spans="9:31" x14ac:dyDescent="0.25">
      <c r="I3239" s="1"/>
      <c r="J3239" s="1"/>
      <c r="N3239" s="1"/>
      <c r="Z3239" s="1"/>
      <c r="AA3239" s="1"/>
      <c r="AE3239" s="1"/>
    </row>
    <row r="3240" spans="9:31" x14ac:dyDescent="0.25">
      <c r="I3240" s="1"/>
      <c r="J3240" s="1"/>
      <c r="N3240" s="1"/>
      <c r="AE3240" s="1"/>
    </row>
    <row r="3241" spans="9:31" x14ac:dyDescent="0.25">
      <c r="I3241" s="1"/>
      <c r="J3241" s="1"/>
      <c r="N3241" s="1"/>
      <c r="AE3241" s="1"/>
    </row>
    <row r="3242" spans="9:31" x14ac:dyDescent="0.25">
      <c r="I3242" s="1"/>
      <c r="J3242" s="1"/>
      <c r="N3242" s="1"/>
      <c r="Z3242" s="1"/>
      <c r="AA3242" s="1"/>
      <c r="AE3242" s="1"/>
    </row>
    <row r="3243" spans="9:31" x14ac:dyDescent="0.25">
      <c r="I3243" s="1"/>
      <c r="J3243" s="1"/>
      <c r="N3243" s="1"/>
      <c r="Z3243" s="1"/>
      <c r="AA3243" s="1"/>
      <c r="AE3243" s="1"/>
    </row>
    <row r="3244" spans="9:31" x14ac:dyDescent="0.25">
      <c r="I3244" s="1"/>
      <c r="J3244" s="1"/>
      <c r="N3244" s="1"/>
      <c r="AE3244" s="1"/>
    </row>
    <row r="3245" spans="9:31" x14ac:dyDescent="0.25">
      <c r="I3245" s="1"/>
      <c r="J3245" s="1"/>
      <c r="N3245" s="1"/>
      <c r="Z3245" s="1"/>
      <c r="AA3245" s="1"/>
      <c r="AE3245" s="1"/>
    </row>
    <row r="3246" spans="9:31" x14ac:dyDescent="0.25">
      <c r="I3246" s="1"/>
      <c r="J3246" s="1"/>
      <c r="N3246" s="1"/>
      <c r="Z3246" s="1"/>
      <c r="AA3246" s="1"/>
      <c r="AE3246" s="1"/>
    </row>
    <row r="3247" spans="9:31" x14ac:dyDescent="0.25">
      <c r="I3247" s="1"/>
      <c r="J3247" s="1"/>
      <c r="N3247" s="1"/>
      <c r="Z3247" s="1"/>
      <c r="AA3247" s="1"/>
      <c r="AE3247" s="1"/>
    </row>
    <row r="3248" spans="9:31" x14ac:dyDescent="0.25">
      <c r="I3248" s="1"/>
      <c r="J3248" s="1"/>
      <c r="N3248" s="1"/>
      <c r="Z3248" s="1"/>
      <c r="AA3248" s="1"/>
      <c r="AE3248" s="1"/>
    </row>
    <row r="3249" spans="9:31" x14ac:dyDescent="0.25">
      <c r="I3249" s="1"/>
      <c r="J3249" s="1"/>
      <c r="N3249" s="1"/>
      <c r="Z3249" s="1"/>
      <c r="AA3249" s="1"/>
      <c r="AE3249" s="1"/>
    </row>
    <row r="3250" spans="9:31" x14ac:dyDescent="0.25">
      <c r="I3250" s="1"/>
      <c r="J3250" s="1"/>
      <c r="N3250" s="1"/>
      <c r="AE3250" s="1"/>
    </row>
    <row r="3251" spans="9:31" x14ac:dyDescent="0.25">
      <c r="I3251" s="1"/>
      <c r="J3251" s="1"/>
      <c r="N3251" s="1"/>
      <c r="Z3251" s="1"/>
      <c r="AA3251" s="1"/>
      <c r="AE3251" s="1"/>
    </row>
    <row r="3252" spans="9:31" x14ac:dyDescent="0.25">
      <c r="I3252" s="1"/>
      <c r="J3252" s="1"/>
      <c r="N3252" s="1"/>
      <c r="Z3252" s="1"/>
      <c r="AA3252" s="1"/>
      <c r="AE3252" s="1"/>
    </row>
    <row r="3253" spans="9:31" x14ac:dyDescent="0.25">
      <c r="I3253" s="1"/>
      <c r="J3253" s="1"/>
      <c r="N3253" s="1"/>
      <c r="Z3253" s="1"/>
      <c r="AA3253" s="1"/>
      <c r="AE3253" s="1"/>
    </row>
    <row r="3254" spans="9:31" x14ac:dyDescent="0.25">
      <c r="I3254" s="1"/>
      <c r="J3254" s="1"/>
      <c r="N3254" s="1"/>
      <c r="Z3254" s="1"/>
      <c r="AA3254" s="1"/>
      <c r="AE3254" s="1"/>
    </row>
    <row r="3255" spans="9:31" x14ac:dyDescent="0.25">
      <c r="I3255" s="1"/>
      <c r="J3255" s="1"/>
      <c r="N3255" s="1"/>
      <c r="Z3255" s="1"/>
      <c r="AA3255" s="1"/>
      <c r="AE3255" s="1"/>
    </row>
    <row r="3256" spans="9:31" x14ac:dyDescent="0.25">
      <c r="I3256" s="1"/>
      <c r="J3256" s="1"/>
      <c r="N3256" s="1"/>
      <c r="AE3256" s="1"/>
    </row>
    <row r="3257" spans="9:31" x14ac:dyDescent="0.25">
      <c r="I3257" s="1"/>
      <c r="J3257" s="1"/>
      <c r="N3257" s="1"/>
      <c r="Z3257" s="1"/>
      <c r="AA3257" s="1"/>
      <c r="AE3257" s="1"/>
    </row>
    <row r="3258" spans="9:31" x14ac:dyDescent="0.25">
      <c r="I3258" s="1"/>
      <c r="J3258" s="1"/>
      <c r="N3258" s="1"/>
      <c r="Z3258" s="1"/>
      <c r="AE3258" s="1"/>
    </row>
    <row r="3259" spans="9:31" x14ac:dyDescent="0.25">
      <c r="I3259" s="1"/>
      <c r="J3259" s="1"/>
      <c r="N3259" s="1"/>
      <c r="Z3259" s="1"/>
      <c r="AA3259" s="1"/>
      <c r="AE3259" s="1"/>
    </row>
    <row r="3260" spans="9:31" x14ac:dyDescent="0.25">
      <c r="I3260" s="1"/>
      <c r="J3260" s="1"/>
      <c r="N3260" s="1"/>
      <c r="Z3260" s="1"/>
      <c r="AA3260" s="1"/>
      <c r="AE3260" s="1"/>
    </row>
    <row r="3261" spans="9:31" x14ac:dyDescent="0.25">
      <c r="I3261" s="1"/>
      <c r="J3261" s="1"/>
      <c r="N3261" s="1"/>
      <c r="Z3261" s="1"/>
      <c r="AA3261" s="1"/>
      <c r="AE3261" s="1"/>
    </row>
    <row r="3262" spans="9:31" x14ac:dyDescent="0.25">
      <c r="I3262" s="1"/>
      <c r="N3262" s="1"/>
      <c r="Z3262" s="1"/>
      <c r="AA3262" s="1"/>
      <c r="AE3262" s="1"/>
    </row>
    <row r="3263" spans="9:31" x14ac:dyDescent="0.25">
      <c r="I3263" s="1"/>
      <c r="J3263" s="1"/>
      <c r="N3263" s="1"/>
      <c r="AE3263" s="1"/>
    </row>
    <row r="3264" spans="9:31" x14ac:dyDescent="0.25">
      <c r="I3264" s="1"/>
      <c r="J3264" s="1"/>
      <c r="N3264" s="1"/>
      <c r="Z3264" s="1"/>
      <c r="AA3264" s="1"/>
      <c r="AE3264" s="1"/>
    </row>
    <row r="3265" spans="9:31" x14ac:dyDescent="0.25">
      <c r="I3265" s="1"/>
      <c r="J3265" s="1"/>
      <c r="N3265" s="1"/>
      <c r="AE3265" s="1"/>
    </row>
    <row r="3266" spans="9:31" x14ac:dyDescent="0.25">
      <c r="I3266" s="1"/>
      <c r="J3266" s="1"/>
      <c r="N3266" s="1"/>
      <c r="Z3266" s="1"/>
      <c r="AA3266" s="1"/>
      <c r="AE3266" s="1"/>
    </row>
    <row r="3267" spans="9:31" x14ac:dyDescent="0.25">
      <c r="I3267" s="1"/>
      <c r="J3267" s="1"/>
      <c r="N3267" s="1"/>
      <c r="Z3267" s="1"/>
      <c r="AA3267" s="1"/>
      <c r="AE3267" s="1"/>
    </row>
    <row r="3268" spans="9:31" x14ac:dyDescent="0.25">
      <c r="I3268" s="1"/>
      <c r="J3268" s="1"/>
      <c r="N3268" s="1"/>
      <c r="Z3268" s="1"/>
      <c r="AA3268" s="1"/>
      <c r="AE3268" s="1"/>
    </row>
    <row r="3269" spans="9:31" x14ac:dyDescent="0.25">
      <c r="I3269" s="1"/>
      <c r="J3269" s="1"/>
      <c r="N3269" s="1"/>
      <c r="AE3269" s="1"/>
    </row>
    <row r="3270" spans="9:31" x14ac:dyDescent="0.25">
      <c r="I3270" s="1"/>
      <c r="J3270" s="1"/>
      <c r="N3270" s="1"/>
      <c r="Z3270" s="1"/>
      <c r="AA3270" s="1"/>
      <c r="AE3270" s="1"/>
    </row>
    <row r="3271" spans="9:31" x14ac:dyDescent="0.25">
      <c r="I3271" s="1"/>
      <c r="J3271" s="1"/>
      <c r="N3271" s="1"/>
      <c r="Z3271" s="1"/>
      <c r="AA3271" s="1"/>
      <c r="AE3271" s="1"/>
    </row>
    <row r="3272" spans="9:31" x14ac:dyDescent="0.25">
      <c r="I3272" s="1"/>
      <c r="J3272" s="1"/>
      <c r="N3272" s="1"/>
      <c r="Z3272" s="1"/>
      <c r="AA3272" s="1"/>
      <c r="AE3272" s="1"/>
    </row>
    <row r="3273" spans="9:31" x14ac:dyDescent="0.25">
      <c r="I3273" s="1"/>
      <c r="J3273" s="1"/>
      <c r="N3273" s="1"/>
      <c r="Z3273" s="1"/>
      <c r="AA3273" s="1"/>
      <c r="AE3273" s="1"/>
    </row>
    <row r="3274" spans="9:31" x14ac:dyDescent="0.25">
      <c r="I3274" s="1"/>
      <c r="J3274" s="1"/>
      <c r="N3274" s="1"/>
      <c r="Z3274" s="1"/>
      <c r="AA3274" s="1"/>
      <c r="AE3274" s="1"/>
    </row>
    <row r="3275" spans="9:31" x14ac:dyDescent="0.25">
      <c r="I3275" s="1"/>
      <c r="J3275" s="1"/>
      <c r="N3275" s="1"/>
      <c r="Z3275" s="1"/>
      <c r="AA3275" s="1"/>
      <c r="AE3275" s="1"/>
    </row>
    <row r="3276" spans="9:31" x14ac:dyDescent="0.25">
      <c r="I3276" s="1"/>
      <c r="J3276" s="1"/>
      <c r="N3276" s="1"/>
      <c r="AE3276" s="1"/>
    </row>
    <row r="3277" spans="9:31" x14ac:dyDescent="0.25">
      <c r="I3277" s="1"/>
      <c r="J3277" s="1"/>
      <c r="N3277" s="1"/>
      <c r="Z3277" s="1"/>
      <c r="AA3277" s="1"/>
      <c r="AE3277" s="1"/>
    </row>
    <row r="3278" spans="9:31" x14ac:dyDescent="0.25">
      <c r="I3278" s="1"/>
      <c r="J3278" s="1"/>
      <c r="N3278" s="1"/>
      <c r="Z3278" s="1"/>
      <c r="AA3278" s="1"/>
      <c r="AE3278" s="1"/>
    </row>
    <row r="3279" spans="9:31" x14ac:dyDescent="0.25">
      <c r="I3279" s="1"/>
      <c r="J3279" s="1"/>
      <c r="N3279" s="1"/>
      <c r="Z3279" s="1"/>
      <c r="AA3279" s="1"/>
      <c r="AE3279" s="1"/>
    </row>
    <row r="3280" spans="9:31" x14ac:dyDescent="0.25">
      <c r="I3280" s="1"/>
      <c r="J3280" s="1"/>
      <c r="N3280" s="1"/>
      <c r="Z3280" s="1"/>
      <c r="AA3280" s="1"/>
      <c r="AE3280" s="1"/>
    </row>
    <row r="3281" spans="9:31" x14ac:dyDescent="0.25">
      <c r="I3281" s="1"/>
      <c r="J3281" s="1"/>
      <c r="N3281" s="1"/>
      <c r="Z3281" s="1"/>
      <c r="AA3281" s="1"/>
      <c r="AE3281" s="1"/>
    </row>
    <row r="3282" spans="9:31" x14ac:dyDescent="0.25">
      <c r="I3282" s="1"/>
      <c r="J3282" s="1"/>
      <c r="N3282" s="1"/>
      <c r="AE3282" s="1"/>
    </row>
    <row r="3283" spans="9:31" x14ac:dyDescent="0.25">
      <c r="I3283" s="1"/>
      <c r="J3283" s="1"/>
      <c r="N3283" s="1"/>
      <c r="Z3283" s="1"/>
      <c r="AE3283" s="1"/>
    </row>
    <row r="3284" spans="9:31" x14ac:dyDescent="0.25">
      <c r="I3284" s="1"/>
      <c r="J3284" s="1"/>
      <c r="N3284" s="1"/>
      <c r="Z3284" s="1"/>
      <c r="AA3284" s="1"/>
      <c r="AE3284" s="1"/>
    </row>
    <row r="3285" spans="9:31" x14ac:dyDescent="0.25">
      <c r="I3285" s="1"/>
      <c r="J3285" s="1"/>
      <c r="N3285" s="1"/>
      <c r="Z3285" s="1"/>
      <c r="AA3285" s="1"/>
      <c r="AE3285" s="1"/>
    </row>
    <row r="3286" spans="9:31" x14ac:dyDescent="0.25">
      <c r="I3286" s="1"/>
      <c r="J3286" s="1"/>
      <c r="N3286" s="1"/>
      <c r="Z3286" s="1"/>
      <c r="AA3286" s="1"/>
      <c r="AE3286" s="1"/>
    </row>
    <row r="3287" spans="9:31" x14ac:dyDescent="0.25">
      <c r="N3287" s="1"/>
      <c r="Z3287" s="1"/>
      <c r="AA3287" s="1"/>
      <c r="AE3287" s="1"/>
    </row>
    <row r="3288" spans="9:31" x14ac:dyDescent="0.25">
      <c r="I3288" s="1"/>
      <c r="J3288" s="1"/>
      <c r="N3288" s="1"/>
      <c r="AE3288" s="1"/>
    </row>
    <row r="3289" spans="9:31" x14ac:dyDescent="0.25">
      <c r="I3289" s="1"/>
      <c r="J3289" s="1"/>
      <c r="N3289" s="1"/>
      <c r="Z3289" s="1"/>
      <c r="AA3289" s="1"/>
      <c r="AE3289" s="1"/>
    </row>
    <row r="3290" spans="9:31" x14ac:dyDescent="0.25">
      <c r="I3290" s="1"/>
      <c r="J3290" s="1"/>
      <c r="N3290" s="1"/>
      <c r="Z3290" s="1"/>
      <c r="AA3290" s="1"/>
      <c r="AE3290" s="1"/>
    </row>
    <row r="3291" spans="9:31" x14ac:dyDescent="0.25">
      <c r="N3291" s="1"/>
      <c r="AE3291" s="1"/>
    </row>
    <row r="3292" spans="9:31" x14ac:dyDescent="0.25">
      <c r="I3292" s="1"/>
      <c r="J3292" s="1"/>
      <c r="N3292" s="1"/>
      <c r="AE3292" s="1"/>
    </row>
    <row r="3293" spans="9:31" x14ac:dyDescent="0.25">
      <c r="I3293" s="1"/>
      <c r="J3293" s="1"/>
      <c r="N3293" s="1"/>
      <c r="AE3293" s="1"/>
    </row>
    <row r="3294" spans="9:31" x14ac:dyDescent="0.25">
      <c r="N3294" s="1"/>
      <c r="Z3294" s="1"/>
      <c r="AA3294" s="1"/>
      <c r="AE3294" s="1"/>
    </row>
    <row r="3295" spans="9:31" x14ac:dyDescent="0.25">
      <c r="I3295" s="1"/>
      <c r="J3295" s="1"/>
      <c r="N3295" s="1"/>
      <c r="AE3295" s="1"/>
    </row>
    <row r="3296" spans="9:31" x14ac:dyDescent="0.25">
      <c r="I3296" s="1"/>
      <c r="J3296" s="1"/>
      <c r="N3296" s="1"/>
      <c r="Z3296" s="1"/>
      <c r="AA3296" s="1"/>
      <c r="AE3296" s="1"/>
    </row>
    <row r="3297" spans="9:31" x14ac:dyDescent="0.25">
      <c r="I3297" s="1"/>
      <c r="J3297" s="1"/>
      <c r="N3297" s="1"/>
      <c r="Z3297" s="1"/>
      <c r="AA3297" s="1"/>
      <c r="AE3297" s="1"/>
    </row>
    <row r="3298" spans="9:31" x14ac:dyDescent="0.25">
      <c r="I3298" s="1"/>
      <c r="J3298" s="1"/>
      <c r="N3298" s="1"/>
      <c r="AE3298" s="1"/>
    </row>
    <row r="3299" spans="9:31" x14ac:dyDescent="0.25">
      <c r="I3299" s="1"/>
      <c r="J3299" s="1"/>
      <c r="N3299" s="1"/>
      <c r="Z3299" s="1"/>
      <c r="AA3299" s="1"/>
      <c r="AE3299" s="1"/>
    </row>
    <row r="3300" spans="9:31" x14ac:dyDescent="0.25">
      <c r="I3300" s="1"/>
      <c r="J3300" s="1"/>
      <c r="N3300" s="1"/>
      <c r="Z3300" s="1"/>
      <c r="AA3300" s="1"/>
      <c r="AE3300" s="1"/>
    </row>
    <row r="3301" spans="9:31" x14ac:dyDescent="0.25">
      <c r="I3301" s="1"/>
      <c r="N3301" s="1"/>
      <c r="Z3301" s="1"/>
      <c r="AA3301" s="1"/>
      <c r="AE3301" s="1"/>
    </row>
    <row r="3302" spans="9:31" x14ac:dyDescent="0.25">
      <c r="I3302" s="1"/>
      <c r="J3302" s="1"/>
      <c r="N3302" s="1"/>
      <c r="Z3302" s="1"/>
      <c r="AE3302" s="1"/>
    </row>
    <row r="3303" spans="9:31" x14ac:dyDescent="0.25">
      <c r="I3303" s="1"/>
      <c r="J3303" s="1"/>
      <c r="N3303" s="1"/>
      <c r="Z3303" s="1"/>
      <c r="AA3303" s="1"/>
      <c r="AE3303" s="1"/>
    </row>
    <row r="3304" spans="9:31" x14ac:dyDescent="0.25">
      <c r="I3304" s="1"/>
      <c r="J3304" s="1"/>
      <c r="N3304" s="1"/>
      <c r="AE3304" s="1"/>
    </row>
    <row r="3305" spans="9:31" x14ac:dyDescent="0.25">
      <c r="I3305" s="1"/>
      <c r="J3305" s="1"/>
      <c r="N3305" s="1"/>
      <c r="Z3305" s="1"/>
      <c r="AA3305" s="1"/>
      <c r="AE3305" s="1"/>
    </row>
    <row r="3306" spans="9:31" x14ac:dyDescent="0.25">
      <c r="I3306" s="1"/>
      <c r="J3306" s="1"/>
      <c r="N3306" s="1"/>
      <c r="Z3306" s="1"/>
      <c r="AA3306" s="1"/>
      <c r="AE3306" s="1"/>
    </row>
    <row r="3307" spans="9:31" x14ac:dyDescent="0.25">
      <c r="I3307" s="1"/>
      <c r="J3307" s="1"/>
      <c r="N3307" s="1"/>
      <c r="Z3307" s="1"/>
      <c r="AA3307" s="1"/>
      <c r="AE3307" s="1"/>
    </row>
    <row r="3308" spans="9:31" x14ac:dyDescent="0.25">
      <c r="I3308" s="1"/>
      <c r="J3308" s="1"/>
      <c r="N3308" s="1"/>
      <c r="Z3308" s="1"/>
      <c r="AA3308" s="1"/>
      <c r="AE3308" s="1"/>
    </row>
    <row r="3309" spans="9:31" x14ac:dyDescent="0.25">
      <c r="I3309" s="1"/>
      <c r="J3309" s="1"/>
      <c r="N3309" s="1"/>
      <c r="Z3309" s="1"/>
      <c r="AA3309" s="1"/>
      <c r="AE3309" s="1"/>
    </row>
    <row r="3310" spans="9:31" x14ac:dyDescent="0.25">
      <c r="I3310" s="1"/>
      <c r="J3310" s="1"/>
      <c r="N3310" s="1"/>
      <c r="Z3310" s="1"/>
      <c r="AA3310" s="1"/>
      <c r="AE3310" s="1"/>
    </row>
    <row r="3311" spans="9:31" x14ac:dyDescent="0.25">
      <c r="I3311" s="1"/>
      <c r="J3311" s="1"/>
      <c r="N3311" s="1"/>
      <c r="AE3311" s="1"/>
    </row>
    <row r="3312" spans="9:31" x14ac:dyDescent="0.25">
      <c r="I3312" s="1"/>
      <c r="J3312" s="1"/>
      <c r="N3312" s="1"/>
      <c r="AE3312" s="1"/>
    </row>
    <row r="3313" spans="9:31" x14ac:dyDescent="0.25">
      <c r="I3313" s="1"/>
      <c r="J3313" s="1"/>
      <c r="N3313" s="1"/>
      <c r="AE3313" s="1"/>
    </row>
    <row r="3314" spans="9:31" x14ac:dyDescent="0.25">
      <c r="I3314" s="1"/>
      <c r="J3314" s="1"/>
      <c r="N3314" s="1"/>
      <c r="Z3314" s="1"/>
      <c r="AA3314" s="1"/>
      <c r="AE3314" s="1"/>
    </row>
    <row r="3315" spans="9:31" x14ac:dyDescent="0.25">
      <c r="I3315" s="1"/>
      <c r="J3315" s="1"/>
      <c r="N3315" s="1"/>
      <c r="Z3315" s="1"/>
      <c r="AA3315" s="1"/>
      <c r="AE3315" s="1"/>
    </row>
    <row r="3316" spans="9:31" x14ac:dyDescent="0.25">
      <c r="I3316" s="1"/>
      <c r="J3316" s="1"/>
      <c r="N3316" s="1"/>
      <c r="AE3316" s="1"/>
    </row>
    <row r="3317" spans="9:31" x14ac:dyDescent="0.25">
      <c r="I3317" s="1"/>
      <c r="J3317" s="1"/>
      <c r="N3317" s="1"/>
      <c r="Z3317" s="1"/>
      <c r="AA3317" s="1"/>
      <c r="AE3317" s="1"/>
    </row>
    <row r="3318" spans="9:31" x14ac:dyDescent="0.25">
      <c r="I3318" s="1"/>
      <c r="J3318" s="1"/>
      <c r="N3318" s="1"/>
      <c r="Z3318" s="1"/>
      <c r="AE3318" s="1"/>
    </row>
    <row r="3319" spans="9:31" x14ac:dyDescent="0.25">
      <c r="I3319" s="1"/>
      <c r="J3319" s="1"/>
      <c r="N3319" s="1"/>
      <c r="Z3319" s="1"/>
      <c r="AA3319" s="1"/>
      <c r="AE3319" s="1"/>
    </row>
    <row r="3320" spans="9:31" x14ac:dyDescent="0.25">
      <c r="I3320" s="1"/>
      <c r="J3320" s="1"/>
      <c r="N3320" s="1"/>
      <c r="AE3320" s="1"/>
    </row>
    <row r="3321" spans="9:31" x14ac:dyDescent="0.25">
      <c r="I3321" s="1"/>
      <c r="J3321" s="1"/>
      <c r="N3321" s="1"/>
      <c r="Z3321" s="1"/>
      <c r="AA3321" s="1"/>
      <c r="AE3321" s="1"/>
    </row>
    <row r="3322" spans="9:31" x14ac:dyDescent="0.25">
      <c r="I3322" s="1"/>
      <c r="J3322" s="1"/>
      <c r="N3322" s="1"/>
      <c r="Z3322" s="1"/>
      <c r="AA3322" s="1"/>
      <c r="AE3322" s="1"/>
    </row>
    <row r="3323" spans="9:31" x14ac:dyDescent="0.25">
      <c r="I3323" s="1"/>
      <c r="J3323" s="1"/>
      <c r="N3323" s="1"/>
      <c r="Z3323" s="1"/>
      <c r="AA3323" s="1"/>
      <c r="AE3323" s="1"/>
    </row>
    <row r="3324" spans="9:31" x14ac:dyDescent="0.25">
      <c r="I3324" s="1"/>
      <c r="J3324" s="1"/>
      <c r="N3324" s="1"/>
      <c r="Z3324" s="1"/>
      <c r="AA3324" s="1"/>
      <c r="AE3324" s="1"/>
    </row>
    <row r="3325" spans="9:31" x14ac:dyDescent="0.25">
      <c r="I3325" s="1"/>
      <c r="J3325" s="1"/>
      <c r="N3325" s="1"/>
      <c r="Z3325" s="1"/>
      <c r="AA3325" s="1"/>
      <c r="AE3325" s="1"/>
    </row>
    <row r="3326" spans="9:31" x14ac:dyDescent="0.25">
      <c r="I3326" s="1"/>
      <c r="J3326" s="1"/>
      <c r="N3326" s="1"/>
      <c r="AE3326" s="1"/>
    </row>
    <row r="3327" spans="9:31" x14ac:dyDescent="0.25">
      <c r="I3327" s="1"/>
      <c r="J3327" s="1"/>
      <c r="N3327" s="1"/>
      <c r="Z3327" s="1"/>
      <c r="AA3327" s="1"/>
      <c r="AE3327" s="1"/>
    </row>
    <row r="3328" spans="9:31" x14ac:dyDescent="0.25">
      <c r="I3328" s="1"/>
      <c r="J3328" s="1"/>
      <c r="N3328" s="1"/>
      <c r="AE3328" s="1"/>
    </row>
    <row r="3329" spans="9:31" x14ac:dyDescent="0.25">
      <c r="I3329" s="1"/>
      <c r="J3329" s="1"/>
      <c r="N3329" s="1"/>
      <c r="Z3329" s="1"/>
      <c r="AA3329" s="1"/>
      <c r="AE3329" s="1"/>
    </row>
    <row r="3330" spans="9:31" x14ac:dyDescent="0.25">
      <c r="I3330" s="1"/>
      <c r="J3330" s="1"/>
      <c r="N3330" s="1"/>
      <c r="Z3330" s="1"/>
      <c r="AA3330" s="1"/>
      <c r="AE3330" s="1"/>
    </row>
    <row r="3331" spans="9:31" x14ac:dyDescent="0.25">
      <c r="I3331" s="1"/>
      <c r="J3331" s="1"/>
      <c r="N3331" s="1"/>
      <c r="AE3331" s="1"/>
    </row>
    <row r="3332" spans="9:31" x14ac:dyDescent="0.25">
      <c r="I3332" s="1"/>
      <c r="J3332" s="1"/>
      <c r="N3332" s="1"/>
      <c r="Z3332" s="1"/>
      <c r="AA3332" s="1"/>
      <c r="AE3332" s="1"/>
    </row>
    <row r="3333" spans="9:31" x14ac:dyDescent="0.25">
      <c r="I3333" s="1"/>
      <c r="J3333" s="1"/>
      <c r="N3333" s="1"/>
      <c r="Z3333" s="1"/>
      <c r="AA3333" s="1"/>
      <c r="AE3333" s="1"/>
    </row>
    <row r="3334" spans="9:31" x14ac:dyDescent="0.25">
      <c r="I3334" s="1"/>
      <c r="J3334" s="1"/>
      <c r="N3334" s="1"/>
      <c r="AE3334" s="1"/>
    </row>
    <row r="3335" spans="9:31" x14ac:dyDescent="0.25">
      <c r="N3335" s="1"/>
      <c r="AE3335" s="1"/>
    </row>
    <row r="3336" spans="9:31" x14ac:dyDescent="0.25">
      <c r="I3336" s="1"/>
      <c r="J3336" s="1"/>
      <c r="N3336" s="1"/>
      <c r="AE3336" s="1"/>
    </row>
    <row r="3337" spans="9:31" x14ac:dyDescent="0.25">
      <c r="I3337" s="1"/>
      <c r="J3337" s="1"/>
      <c r="N3337" s="1"/>
      <c r="Z3337" s="1"/>
      <c r="AA3337" s="1"/>
      <c r="AE3337" s="1"/>
    </row>
    <row r="3338" spans="9:31" x14ac:dyDescent="0.25">
      <c r="I3338" s="1"/>
      <c r="J3338" s="1"/>
      <c r="N3338" s="1"/>
      <c r="AE3338" s="1"/>
    </row>
    <row r="3339" spans="9:31" x14ac:dyDescent="0.25">
      <c r="I3339" s="1"/>
      <c r="J3339" s="1"/>
      <c r="N3339" s="1"/>
      <c r="Z3339" s="1"/>
      <c r="AA3339" s="1"/>
      <c r="AE3339" s="1"/>
    </row>
    <row r="3340" spans="9:31" x14ac:dyDescent="0.25">
      <c r="I3340" s="1"/>
      <c r="J3340" s="1"/>
      <c r="N3340" s="1"/>
      <c r="AE3340" s="1"/>
    </row>
    <row r="3341" spans="9:31" x14ac:dyDescent="0.25">
      <c r="I3341" s="1"/>
      <c r="J3341" s="1"/>
      <c r="N3341" s="1"/>
      <c r="Z3341" s="1"/>
      <c r="AA3341" s="1"/>
      <c r="AE3341" s="1"/>
    </row>
    <row r="3342" spans="9:31" x14ac:dyDescent="0.25">
      <c r="I3342" s="1"/>
      <c r="J3342" s="1"/>
      <c r="N3342" s="1"/>
      <c r="AE3342" s="1"/>
    </row>
    <row r="3343" spans="9:31" x14ac:dyDescent="0.25">
      <c r="I3343" s="1"/>
      <c r="J3343" s="1"/>
      <c r="N3343" s="1"/>
      <c r="AE3343" s="1"/>
    </row>
    <row r="3344" spans="9:31" x14ac:dyDescent="0.25">
      <c r="N3344" s="1"/>
      <c r="Z3344" s="1"/>
      <c r="AA3344" s="1"/>
      <c r="AE3344" s="1"/>
    </row>
    <row r="3345" spans="9:31" x14ac:dyDescent="0.25">
      <c r="I3345" s="1"/>
      <c r="J3345" s="1"/>
      <c r="N3345" s="1"/>
      <c r="AE3345" s="1"/>
    </row>
    <row r="3346" spans="9:31" x14ac:dyDescent="0.25">
      <c r="I3346" s="1"/>
      <c r="J3346" s="1"/>
      <c r="N3346" s="1"/>
      <c r="Z3346" s="1"/>
      <c r="AA3346" s="1"/>
      <c r="AE3346" s="1"/>
    </row>
    <row r="3347" spans="9:31" x14ac:dyDescent="0.25">
      <c r="I3347" s="1"/>
      <c r="J3347" s="1"/>
      <c r="N3347" s="1"/>
      <c r="Z3347" s="1"/>
      <c r="AA3347" s="1"/>
      <c r="AE3347" s="1"/>
    </row>
    <row r="3348" spans="9:31" x14ac:dyDescent="0.25">
      <c r="I3348" s="1"/>
      <c r="J3348" s="1"/>
      <c r="N3348" s="1"/>
      <c r="Z3348" s="1"/>
      <c r="AA3348" s="1"/>
      <c r="AE3348" s="1"/>
    </row>
    <row r="3349" spans="9:31" x14ac:dyDescent="0.25">
      <c r="I3349" s="1"/>
      <c r="J3349" s="1"/>
      <c r="N3349" s="1"/>
      <c r="AE3349" s="1"/>
    </row>
    <row r="3350" spans="9:31" x14ac:dyDescent="0.25">
      <c r="I3350" s="1"/>
      <c r="J3350" s="1"/>
      <c r="N3350" s="1"/>
      <c r="AE3350" s="1"/>
    </row>
    <row r="3351" spans="9:31" x14ac:dyDescent="0.25">
      <c r="I3351" s="1"/>
      <c r="J3351" s="1"/>
      <c r="N3351" s="1"/>
      <c r="AE3351" s="1"/>
    </row>
    <row r="3352" spans="9:31" x14ac:dyDescent="0.25">
      <c r="I3352" s="1"/>
      <c r="J3352" s="1"/>
      <c r="N3352" s="1"/>
      <c r="Z3352" s="1"/>
      <c r="AA3352" s="1"/>
      <c r="AE3352" s="1"/>
    </row>
    <row r="3353" spans="9:31" x14ac:dyDescent="0.25">
      <c r="I3353" s="1"/>
      <c r="J3353" s="1"/>
      <c r="N3353" s="1"/>
      <c r="Z3353" s="1"/>
      <c r="AA3353" s="1"/>
      <c r="AE3353" s="1"/>
    </row>
    <row r="3354" spans="9:31" x14ac:dyDescent="0.25">
      <c r="I3354" s="1"/>
      <c r="J3354" s="1"/>
      <c r="N3354" s="1"/>
      <c r="Z3354" s="1"/>
      <c r="AA3354" s="1"/>
      <c r="AE3354" s="1"/>
    </row>
    <row r="3355" spans="9:31" x14ac:dyDescent="0.25">
      <c r="I3355" s="1"/>
      <c r="J3355" s="1"/>
      <c r="N3355" s="1"/>
      <c r="Z3355" s="1"/>
      <c r="AA3355" s="1"/>
      <c r="AE3355" s="1"/>
    </row>
    <row r="3356" spans="9:31" x14ac:dyDescent="0.25">
      <c r="I3356" s="1"/>
      <c r="J3356" s="1"/>
      <c r="N3356" s="1"/>
      <c r="Z3356" s="1"/>
      <c r="AA3356" s="1"/>
      <c r="AE3356" s="1"/>
    </row>
    <row r="3357" spans="9:31" x14ac:dyDescent="0.25">
      <c r="I3357" s="1"/>
      <c r="J3357" s="1"/>
      <c r="N3357" s="1"/>
      <c r="Z3357" s="1"/>
      <c r="AA3357" s="1"/>
      <c r="AE3357" s="1"/>
    </row>
    <row r="3358" spans="9:31" x14ac:dyDescent="0.25">
      <c r="I3358" s="1"/>
      <c r="J3358" s="1"/>
      <c r="N3358" s="1"/>
      <c r="Z3358" s="1"/>
      <c r="AA3358" s="1"/>
      <c r="AE3358" s="1"/>
    </row>
    <row r="3359" spans="9:31" x14ac:dyDescent="0.25">
      <c r="I3359" s="1"/>
      <c r="J3359" s="1"/>
      <c r="N3359" s="1"/>
      <c r="Z3359" s="1"/>
      <c r="AA3359" s="1"/>
      <c r="AE3359" s="1"/>
    </row>
    <row r="3360" spans="9:31" x14ac:dyDescent="0.25">
      <c r="I3360" s="1"/>
      <c r="J3360" s="1"/>
      <c r="N3360" s="1"/>
      <c r="AE3360" s="1"/>
    </row>
    <row r="3361" spans="9:31" x14ac:dyDescent="0.25">
      <c r="I3361" s="1"/>
      <c r="J3361" s="1"/>
      <c r="N3361" s="1"/>
      <c r="Z3361" s="1"/>
      <c r="AA3361" s="1"/>
      <c r="AE3361" s="1"/>
    </row>
    <row r="3362" spans="9:31" x14ac:dyDescent="0.25">
      <c r="I3362" s="1"/>
      <c r="J3362" s="1"/>
      <c r="N3362" s="1"/>
      <c r="Z3362" s="1"/>
      <c r="AA3362" s="1"/>
      <c r="AE3362" s="1"/>
    </row>
    <row r="3363" spans="9:31" x14ac:dyDescent="0.25">
      <c r="I3363" s="1"/>
      <c r="J3363" s="1"/>
      <c r="N3363" s="1"/>
      <c r="Z3363" s="1"/>
      <c r="AA3363" s="1"/>
      <c r="AE3363" s="1"/>
    </row>
    <row r="3364" spans="9:31" x14ac:dyDescent="0.25">
      <c r="I3364" s="1"/>
      <c r="J3364" s="1"/>
      <c r="N3364" s="1"/>
      <c r="Z3364" s="1"/>
      <c r="AA3364" s="1"/>
      <c r="AE3364" s="1"/>
    </row>
    <row r="3365" spans="9:31" x14ac:dyDescent="0.25">
      <c r="I3365" s="1"/>
      <c r="J3365" s="1"/>
      <c r="N3365" s="1"/>
      <c r="Z3365" s="1"/>
      <c r="AA3365" s="1"/>
      <c r="AE3365" s="1"/>
    </row>
    <row r="3366" spans="9:31" x14ac:dyDescent="0.25">
      <c r="I3366" s="1"/>
      <c r="J3366" s="1"/>
      <c r="N3366" s="1"/>
      <c r="AE3366" s="1"/>
    </row>
    <row r="3367" spans="9:31" x14ac:dyDescent="0.25">
      <c r="I3367" s="1"/>
      <c r="J3367" s="1"/>
      <c r="N3367" s="1"/>
      <c r="Z3367" s="1"/>
      <c r="AA3367" s="1"/>
      <c r="AE3367" s="1"/>
    </row>
    <row r="3368" spans="9:31" x14ac:dyDescent="0.25">
      <c r="I3368" s="1"/>
      <c r="N3368" s="1"/>
      <c r="Z3368" s="1"/>
      <c r="AA3368" s="1"/>
      <c r="AE3368" s="1"/>
    </row>
    <row r="3369" spans="9:31" x14ac:dyDescent="0.25">
      <c r="I3369" s="1"/>
      <c r="J3369" s="1"/>
      <c r="N3369" s="1"/>
      <c r="AE3369" s="1"/>
    </row>
    <row r="3370" spans="9:31" x14ac:dyDescent="0.25">
      <c r="I3370" s="1"/>
      <c r="J3370" s="1"/>
      <c r="N3370" s="1"/>
      <c r="AE3370" s="1"/>
    </row>
    <row r="3371" spans="9:31" x14ac:dyDescent="0.25">
      <c r="I3371" s="1"/>
      <c r="J3371" s="1"/>
      <c r="N3371" s="1"/>
      <c r="Z3371" s="1"/>
      <c r="AE3371" s="1"/>
    </row>
    <row r="3372" spans="9:31" x14ac:dyDescent="0.25">
      <c r="I3372" s="1"/>
      <c r="J3372" s="1"/>
      <c r="N3372" s="1"/>
      <c r="Z3372" s="1"/>
      <c r="AA3372" s="1"/>
      <c r="AE3372" s="1"/>
    </row>
    <row r="3373" spans="9:31" x14ac:dyDescent="0.25">
      <c r="I3373" s="1"/>
      <c r="J3373" s="1"/>
      <c r="N3373" s="1"/>
      <c r="AE3373" s="1"/>
    </row>
    <row r="3374" spans="9:31" x14ac:dyDescent="0.25">
      <c r="I3374" s="1"/>
      <c r="J3374" s="1"/>
      <c r="N3374" s="1"/>
      <c r="Z3374" s="1"/>
      <c r="AA3374" s="1"/>
      <c r="AE3374" s="1"/>
    </row>
    <row r="3375" spans="9:31" x14ac:dyDescent="0.25">
      <c r="I3375" s="1"/>
      <c r="J3375" s="1"/>
      <c r="N3375" s="1"/>
      <c r="Z3375" s="1"/>
      <c r="AA3375" s="1"/>
      <c r="AE3375" s="1"/>
    </row>
    <row r="3376" spans="9:31" x14ac:dyDescent="0.25">
      <c r="I3376" s="1"/>
      <c r="J3376" s="1"/>
      <c r="N3376" s="1"/>
      <c r="Z3376" s="1"/>
      <c r="AA3376" s="1"/>
      <c r="AE3376" s="1"/>
    </row>
    <row r="3377" spans="9:31" x14ac:dyDescent="0.25">
      <c r="I3377" s="1"/>
      <c r="J3377" s="1"/>
      <c r="N3377" s="1"/>
      <c r="AE3377" s="1"/>
    </row>
    <row r="3378" spans="9:31" x14ac:dyDescent="0.25">
      <c r="I3378" s="1"/>
      <c r="J3378" s="1"/>
      <c r="N3378" s="1"/>
      <c r="Z3378" s="1"/>
      <c r="AA3378" s="1"/>
      <c r="AE3378" s="1"/>
    </row>
    <row r="3379" spans="9:31" x14ac:dyDescent="0.25">
      <c r="I3379" s="1"/>
      <c r="J3379" s="1"/>
      <c r="N3379" s="1"/>
      <c r="Z3379" s="1"/>
      <c r="AA3379" s="1"/>
      <c r="AE3379" s="1"/>
    </row>
    <row r="3380" spans="9:31" x14ac:dyDescent="0.25">
      <c r="I3380" s="1"/>
      <c r="J3380" s="1"/>
      <c r="N3380" s="1"/>
      <c r="Z3380" s="1"/>
      <c r="AA3380" s="1"/>
      <c r="AE3380" s="1"/>
    </row>
    <row r="3381" spans="9:31" x14ac:dyDescent="0.25">
      <c r="N3381" s="1"/>
      <c r="Z3381" s="1"/>
      <c r="AA3381" s="1"/>
      <c r="AE3381" s="1"/>
    </row>
    <row r="3382" spans="9:31" x14ac:dyDescent="0.25">
      <c r="N3382" s="1"/>
      <c r="AE3382" s="1"/>
    </row>
    <row r="3383" spans="9:31" x14ac:dyDescent="0.25">
      <c r="I3383" s="1"/>
      <c r="J3383" s="1"/>
      <c r="N3383" s="1"/>
      <c r="AE3383" s="1"/>
    </row>
    <row r="3384" spans="9:31" x14ac:dyDescent="0.25">
      <c r="I3384" s="1"/>
      <c r="J3384" s="1"/>
      <c r="N3384" s="1"/>
      <c r="Z3384" s="1"/>
      <c r="AA3384" s="1"/>
      <c r="AE3384" s="1"/>
    </row>
    <row r="3385" spans="9:31" x14ac:dyDescent="0.25">
      <c r="I3385" s="1"/>
      <c r="J3385" s="1"/>
      <c r="N3385" s="1"/>
      <c r="Z3385" s="1"/>
      <c r="AA3385" s="1"/>
      <c r="AE3385" s="1"/>
    </row>
    <row r="3386" spans="9:31" x14ac:dyDescent="0.25">
      <c r="I3386" s="1"/>
      <c r="J3386" s="1"/>
      <c r="N3386" s="1"/>
      <c r="AE3386" s="1"/>
    </row>
    <row r="3387" spans="9:31" x14ac:dyDescent="0.25">
      <c r="I3387" s="1"/>
      <c r="J3387" s="1"/>
      <c r="N3387" s="1"/>
      <c r="Z3387" s="1"/>
      <c r="AA3387" s="1"/>
      <c r="AE3387" s="1"/>
    </row>
    <row r="3388" spans="9:31" x14ac:dyDescent="0.25">
      <c r="I3388" s="1"/>
      <c r="J3388" s="1"/>
      <c r="N3388" s="1"/>
      <c r="Z3388" s="1"/>
      <c r="AA3388" s="1"/>
      <c r="AE3388" s="1"/>
    </row>
    <row r="3389" spans="9:31" x14ac:dyDescent="0.25">
      <c r="I3389" s="1"/>
      <c r="J3389" s="1"/>
      <c r="N3389" s="1"/>
      <c r="Z3389" s="1"/>
      <c r="AA3389" s="1"/>
      <c r="AE3389" s="1"/>
    </row>
    <row r="3390" spans="9:31" x14ac:dyDescent="0.25">
      <c r="I3390" s="1"/>
      <c r="J3390" s="1"/>
      <c r="N3390" s="1"/>
      <c r="Z3390" s="1"/>
      <c r="AA3390" s="1"/>
      <c r="AE3390" s="1"/>
    </row>
    <row r="3391" spans="9:31" x14ac:dyDescent="0.25">
      <c r="I3391" s="1"/>
      <c r="J3391" s="1"/>
      <c r="N3391" s="1"/>
      <c r="AE3391" s="1"/>
    </row>
    <row r="3392" spans="9:31" x14ac:dyDescent="0.25">
      <c r="I3392" s="1"/>
      <c r="J3392" s="1"/>
      <c r="N3392" s="1"/>
      <c r="Z3392" s="1"/>
      <c r="AA3392" s="1"/>
      <c r="AE3392" s="1"/>
    </row>
    <row r="3393" spans="9:31" x14ac:dyDescent="0.25">
      <c r="I3393" s="1"/>
      <c r="J3393" s="1"/>
      <c r="N3393" s="1"/>
      <c r="Z3393" s="1"/>
      <c r="AA3393" s="1"/>
      <c r="AE3393" s="1"/>
    </row>
    <row r="3394" spans="9:31" x14ac:dyDescent="0.25">
      <c r="I3394" s="1"/>
      <c r="J3394" s="1"/>
      <c r="N3394" s="1"/>
      <c r="Z3394" s="1"/>
      <c r="AA3394" s="1"/>
      <c r="AE3394" s="1"/>
    </row>
    <row r="3395" spans="9:31" x14ac:dyDescent="0.25">
      <c r="I3395" s="1"/>
      <c r="J3395" s="1"/>
      <c r="N3395" s="1"/>
      <c r="Z3395" s="1"/>
      <c r="AA3395" s="1"/>
      <c r="AE3395" s="1"/>
    </row>
    <row r="3396" spans="9:31" x14ac:dyDescent="0.25">
      <c r="N3396" s="1"/>
      <c r="Z3396" s="1"/>
      <c r="AA3396" s="1"/>
      <c r="AE3396" s="1"/>
    </row>
    <row r="3397" spans="9:31" x14ac:dyDescent="0.25">
      <c r="I3397" s="1"/>
      <c r="J3397" s="1"/>
      <c r="N3397" s="1"/>
      <c r="AE3397" s="1"/>
    </row>
    <row r="3398" spans="9:31" x14ac:dyDescent="0.25">
      <c r="I3398" s="1"/>
      <c r="J3398" s="1"/>
      <c r="N3398" s="1"/>
      <c r="Z3398" s="1"/>
      <c r="AA3398" s="1"/>
      <c r="AE3398" s="1"/>
    </row>
    <row r="3399" spans="9:31" x14ac:dyDescent="0.25">
      <c r="I3399" s="1"/>
      <c r="J3399" s="1"/>
      <c r="N3399" s="1"/>
      <c r="Z3399" s="1"/>
      <c r="AA3399" s="1"/>
      <c r="AE3399" s="1"/>
    </row>
    <row r="3400" spans="9:31" x14ac:dyDescent="0.25">
      <c r="I3400" s="1"/>
      <c r="J3400" s="1"/>
      <c r="N3400" s="1"/>
      <c r="Z3400" s="1"/>
      <c r="AA3400" s="1"/>
      <c r="AE3400" s="1"/>
    </row>
    <row r="3401" spans="9:31" x14ac:dyDescent="0.25">
      <c r="I3401" s="1"/>
      <c r="J3401" s="1"/>
      <c r="N3401" s="1"/>
      <c r="Z3401" s="1"/>
      <c r="AA3401" s="1"/>
      <c r="AE3401" s="1"/>
    </row>
    <row r="3402" spans="9:31" x14ac:dyDescent="0.25">
      <c r="I3402" s="1"/>
      <c r="J3402" s="1"/>
      <c r="N3402" s="1"/>
      <c r="Z3402" s="1"/>
      <c r="AA3402" s="1"/>
      <c r="AE3402" s="1"/>
    </row>
    <row r="3403" spans="9:31" x14ac:dyDescent="0.25">
      <c r="I3403" s="1"/>
      <c r="J3403" s="1"/>
      <c r="N3403" s="1"/>
      <c r="Z3403" s="1"/>
      <c r="AA3403" s="1"/>
      <c r="AE3403" s="1"/>
    </row>
    <row r="3404" spans="9:31" x14ac:dyDescent="0.25">
      <c r="I3404" s="1"/>
      <c r="J3404" s="1"/>
      <c r="N3404" s="1"/>
      <c r="Z3404" s="1"/>
      <c r="AA3404" s="1"/>
      <c r="AE3404" s="1"/>
    </row>
    <row r="3405" spans="9:31" x14ac:dyDescent="0.25">
      <c r="I3405" s="1"/>
      <c r="J3405" s="1"/>
      <c r="N3405" s="1"/>
      <c r="AE3405" s="1"/>
    </row>
    <row r="3406" spans="9:31" x14ac:dyDescent="0.25">
      <c r="I3406" s="1"/>
      <c r="J3406" s="1"/>
      <c r="N3406" s="1"/>
      <c r="Z3406" s="1"/>
      <c r="AA3406" s="1"/>
      <c r="AE3406" s="1"/>
    </row>
    <row r="3407" spans="9:31" x14ac:dyDescent="0.25">
      <c r="N3407" s="1"/>
      <c r="Z3407" s="1"/>
      <c r="AA3407" s="1"/>
      <c r="AE3407" s="1"/>
    </row>
    <row r="3408" spans="9:31" x14ac:dyDescent="0.25">
      <c r="I3408" s="1"/>
      <c r="J3408" s="1"/>
      <c r="N3408" s="1"/>
      <c r="AE3408" s="1"/>
    </row>
    <row r="3409" spans="9:31" x14ac:dyDescent="0.25">
      <c r="N3409" s="1"/>
      <c r="Z3409" s="1"/>
      <c r="AA3409" s="1"/>
      <c r="AE3409" s="1"/>
    </row>
    <row r="3410" spans="9:31" x14ac:dyDescent="0.25">
      <c r="I3410" s="1"/>
      <c r="J3410" s="1"/>
      <c r="N3410" s="1"/>
      <c r="AE3410" s="1"/>
    </row>
    <row r="3411" spans="9:31" x14ac:dyDescent="0.25">
      <c r="I3411" s="1"/>
      <c r="J3411" s="1"/>
      <c r="N3411" s="1"/>
      <c r="Z3411" s="1"/>
      <c r="AA3411" s="1"/>
      <c r="AE3411" s="1"/>
    </row>
    <row r="3412" spans="9:31" x14ac:dyDescent="0.25">
      <c r="I3412" s="1"/>
      <c r="J3412" s="1"/>
      <c r="N3412" s="1"/>
      <c r="Z3412" s="1"/>
      <c r="AA3412" s="1"/>
      <c r="AE3412" s="1"/>
    </row>
    <row r="3413" spans="9:31" x14ac:dyDescent="0.25">
      <c r="I3413" s="1"/>
      <c r="J3413" s="1"/>
      <c r="N3413" s="1"/>
      <c r="AE3413" s="1"/>
    </row>
    <row r="3414" spans="9:31" x14ac:dyDescent="0.25">
      <c r="I3414" s="1"/>
      <c r="J3414" s="1"/>
      <c r="N3414" s="1"/>
      <c r="AE3414" s="1"/>
    </row>
    <row r="3415" spans="9:31" x14ac:dyDescent="0.25">
      <c r="I3415" s="1"/>
      <c r="J3415" s="1"/>
      <c r="N3415" s="1"/>
      <c r="AE3415" s="1"/>
    </row>
    <row r="3416" spans="9:31" x14ac:dyDescent="0.25">
      <c r="N3416" s="1"/>
      <c r="Z3416" s="1"/>
      <c r="AA3416" s="1"/>
      <c r="AE3416" s="1"/>
    </row>
    <row r="3417" spans="9:31" x14ac:dyDescent="0.25">
      <c r="I3417" s="1"/>
      <c r="J3417" s="1"/>
      <c r="N3417" s="1"/>
      <c r="AE3417" s="1"/>
    </row>
    <row r="3418" spans="9:31" x14ac:dyDescent="0.25">
      <c r="I3418" s="1"/>
      <c r="J3418" s="1"/>
      <c r="N3418" s="1"/>
      <c r="AE3418" s="1"/>
    </row>
    <row r="3419" spans="9:31" x14ac:dyDescent="0.25">
      <c r="N3419" s="1"/>
      <c r="Z3419" s="1"/>
      <c r="AA3419" s="1"/>
      <c r="AE3419" s="1"/>
    </row>
    <row r="3420" spans="9:31" x14ac:dyDescent="0.25">
      <c r="I3420" s="1"/>
      <c r="J3420" s="1"/>
      <c r="N3420" s="1"/>
      <c r="AE3420" s="1"/>
    </row>
    <row r="3421" spans="9:31" x14ac:dyDescent="0.25">
      <c r="I3421" s="1"/>
      <c r="J3421" s="1"/>
      <c r="N3421" s="1"/>
      <c r="AE3421" s="1"/>
    </row>
    <row r="3422" spans="9:31" x14ac:dyDescent="0.25">
      <c r="I3422" s="1"/>
      <c r="J3422" s="1"/>
      <c r="N3422" s="1"/>
      <c r="AE3422" s="1"/>
    </row>
    <row r="3423" spans="9:31" x14ac:dyDescent="0.25">
      <c r="I3423" s="1"/>
      <c r="J3423" s="1"/>
      <c r="N3423" s="1"/>
      <c r="Z3423" s="1"/>
      <c r="AA3423" s="1"/>
      <c r="AE3423" s="1"/>
    </row>
    <row r="3424" spans="9:31" x14ac:dyDescent="0.25">
      <c r="I3424" s="1"/>
      <c r="J3424" s="1"/>
      <c r="N3424" s="1"/>
      <c r="Z3424" s="1"/>
      <c r="AA3424" s="1"/>
      <c r="AE3424" s="1"/>
    </row>
    <row r="3425" spans="9:31" x14ac:dyDescent="0.25">
      <c r="I3425" s="1"/>
      <c r="J3425" s="1"/>
      <c r="N3425" s="1"/>
      <c r="Z3425" s="1"/>
      <c r="AA3425" s="1"/>
      <c r="AE3425" s="1"/>
    </row>
    <row r="3426" spans="9:31" x14ac:dyDescent="0.25">
      <c r="I3426" s="1"/>
      <c r="J3426" s="1"/>
      <c r="N3426" s="1"/>
      <c r="Z3426" s="1"/>
      <c r="AA3426" s="1"/>
      <c r="AE3426" s="1"/>
    </row>
    <row r="3427" spans="9:31" x14ac:dyDescent="0.25">
      <c r="I3427" s="1"/>
      <c r="J3427" s="1"/>
      <c r="N3427" s="1"/>
      <c r="Z3427" s="1"/>
      <c r="AA3427" s="1"/>
      <c r="AE3427" s="1"/>
    </row>
    <row r="3428" spans="9:31" x14ac:dyDescent="0.25">
      <c r="I3428" s="1"/>
      <c r="J3428" s="1"/>
      <c r="N3428" s="1"/>
      <c r="Z3428" s="1"/>
      <c r="AA3428" s="1"/>
      <c r="AE3428" s="1"/>
    </row>
    <row r="3429" spans="9:31" x14ac:dyDescent="0.25">
      <c r="I3429" s="1"/>
      <c r="J3429" s="1"/>
      <c r="N3429" s="1"/>
      <c r="Z3429" s="1"/>
      <c r="AA3429" s="1"/>
      <c r="AE3429" s="1"/>
    </row>
    <row r="3430" spans="9:31" x14ac:dyDescent="0.25">
      <c r="I3430" s="1"/>
      <c r="J3430" s="1"/>
      <c r="N3430" s="1"/>
      <c r="Z3430" s="1"/>
      <c r="AA3430" s="1"/>
      <c r="AE3430" s="1"/>
    </row>
    <row r="3431" spans="9:31" x14ac:dyDescent="0.25">
      <c r="I3431" s="1"/>
      <c r="J3431" s="1"/>
      <c r="N3431" s="1"/>
      <c r="Z3431" s="1"/>
      <c r="AA3431" s="1"/>
      <c r="AE3431" s="1"/>
    </row>
    <row r="3432" spans="9:31" x14ac:dyDescent="0.25">
      <c r="I3432" s="1"/>
      <c r="J3432" s="1"/>
      <c r="N3432" s="1"/>
      <c r="Z3432" s="1"/>
      <c r="AA3432" s="1"/>
      <c r="AE3432" s="1"/>
    </row>
    <row r="3433" spans="9:31" x14ac:dyDescent="0.25">
      <c r="I3433" s="1"/>
      <c r="J3433" s="1"/>
      <c r="N3433" s="1"/>
      <c r="Z3433" s="1"/>
      <c r="AA3433" s="1"/>
      <c r="AE3433" s="1"/>
    </row>
    <row r="3434" spans="9:31" x14ac:dyDescent="0.25">
      <c r="I3434" s="1"/>
      <c r="J3434" s="1"/>
      <c r="N3434" s="1"/>
      <c r="Z3434" s="1"/>
      <c r="AA3434" s="1"/>
      <c r="AE3434" s="1"/>
    </row>
    <row r="3435" spans="9:31" x14ac:dyDescent="0.25">
      <c r="N3435" s="1"/>
      <c r="Z3435" s="1"/>
      <c r="AA3435" s="1"/>
      <c r="AE3435" s="1"/>
    </row>
    <row r="3436" spans="9:31" x14ac:dyDescent="0.25">
      <c r="I3436" s="1"/>
      <c r="J3436" s="1"/>
      <c r="N3436" s="1"/>
      <c r="AE3436" s="1"/>
    </row>
    <row r="3437" spans="9:31" x14ac:dyDescent="0.25">
      <c r="I3437" s="1"/>
      <c r="N3437" s="1"/>
      <c r="Z3437" s="1"/>
      <c r="AA3437" s="1"/>
      <c r="AE3437" s="1"/>
    </row>
    <row r="3438" spans="9:31" x14ac:dyDescent="0.25">
      <c r="I3438" s="1"/>
      <c r="N3438" s="1"/>
      <c r="AE3438" s="1"/>
    </row>
    <row r="3439" spans="9:31" x14ac:dyDescent="0.25">
      <c r="I3439" s="1"/>
      <c r="J3439" s="1"/>
      <c r="N3439" s="1"/>
      <c r="AE3439" s="1"/>
    </row>
    <row r="3440" spans="9:31" x14ac:dyDescent="0.25">
      <c r="I3440" s="1"/>
      <c r="J3440" s="1"/>
      <c r="N3440" s="1"/>
      <c r="Z3440" s="1"/>
      <c r="AA3440" s="1"/>
      <c r="AE3440" s="1"/>
    </row>
    <row r="3441" spans="9:31" x14ac:dyDescent="0.25">
      <c r="I3441" s="1"/>
      <c r="J3441" s="1"/>
      <c r="N3441" s="1"/>
      <c r="Z3441" s="1"/>
      <c r="AA3441" s="1"/>
      <c r="AE3441" s="1"/>
    </row>
    <row r="3442" spans="9:31" x14ac:dyDescent="0.25">
      <c r="I3442" s="1"/>
      <c r="J3442" s="1"/>
      <c r="N3442" s="1"/>
      <c r="Z3442" s="1"/>
      <c r="AA3442" s="1"/>
      <c r="AE3442" s="1"/>
    </row>
    <row r="3443" spans="9:31" x14ac:dyDescent="0.25">
      <c r="I3443" s="1"/>
      <c r="J3443" s="1"/>
      <c r="N3443" s="1"/>
      <c r="Z3443" s="1"/>
      <c r="AA3443" s="1"/>
      <c r="AE3443" s="1"/>
    </row>
    <row r="3444" spans="9:31" x14ac:dyDescent="0.25">
      <c r="I3444" s="1"/>
      <c r="J3444" s="1"/>
      <c r="N3444" s="1"/>
      <c r="Z3444" s="1"/>
      <c r="AA3444" s="1"/>
      <c r="AE3444" s="1"/>
    </row>
    <row r="3445" spans="9:31" x14ac:dyDescent="0.25">
      <c r="I3445" s="1"/>
      <c r="J3445" s="1"/>
      <c r="N3445" s="1"/>
      <c r="Z3445" s="1"/>
      <c r="AA3445" s="1"/>
      <c r="AE3445" s="1"/>
    </row>
    <row r="3446" spans="9:31" x14ac:dyDescent="0.25">
      <c r="I3446" s="1"/>
      <c r="J3446" s="1"/>
      <c r="N3446" s="1"/>
      <c r="Z3446" s="1"/>
      <c r="AA3446" s="1"/>
      <c r="AE3446" s="1"/>
    </row>
    <row r="3447" spans="9:31" x14ac:dyDescent="0.25">
      <c r="I3447" s="1"/>
      <c r="J3447" s="1"/>
      <c r="N3447" s="1"/>
      <c r="Z3447" s="1"/>
      <c r="AA3447" s="1"/>
      <c r="AE3447" s="1"/>
    </row>
    <row r="3448" spans="9:31" x14ac:dyDescent="0.25">
      <c r="N3448" s="1"/>
      <c r="Z3448" s="1"/>
      <c r="AA3448" s="1"/>
      <c r="AE3448" s="1"/>
    </row>
    <row r="3449" spans="9:31" x14ac:dyDescent="0.25">
      <c r="I3449" s="1"/>
      <c r="J3449" s="1"/>
      <c r="N3449" s="1"/>
      <c r="AE3449" s="1"/>
    </row>
    <row r="3450" spans="9:31" x14ac:dyDescent="0.25">
      <c r="I3450" s="1"/>
      <c r="J3450" s="1"/>
      <c r="N3450" s="1"/>
      <c r="Z3450" s="1"/>
      <c r="AA3450" s="1"/>
      <c r="AE3450" s="1"/>
    </row>
    <row r="3451" spans="9:31" x14ac:dyDescent="0.25">
      <c r="I3451" s="1"/>
      <c r="J3451" s="1"/>
      <c r="N3451" s="1"/>
      <c r="Z3451" s="1"/>
      <c r="AA3451" s="1"/>
      <c r="AE3451" s="1"/>
    </row>
    <row r="3452" spans="9:31" x14ac:dyDescent="0.25">
      <c r="N3452" s="1"/>
      <c r="Z3452" s="1"/>
      <c r="AA3452" s="1"/>
      <c r="AE3452" s="1"/>
    </row>
    <row r="3453" spans="9:31" x14ac:dyDescent="0.25">
      <c r="I3453" s="1"/>
      <c r="J3453" s="1"/>
      <c r="N3453" s="1"/>
      <c r="AE3453" s="1"/>
    </row>
    <row r="3454" spans="9:31" x14ac:dyDescent="0.25">
      <c r="I3454" s="1"/>
      <c r="J3454" s="1"/>
      <c r="N3454" s="1"/>
      <c r="Z3454" s="1"/>
      <c r="AA3454" s="1"/>
      <c r="AE3454" s="1"/>
    </row>
    <row r="3455" spans="9:31" x14ac:dyDescent="0.25">
      <c r="I3455" s="1"/>
      <c r="J3455" s="1"/>
      <c r="N3455" s="1"/>
      <c r="Z3455" s="1"/>
      <c r="AA3455" s="1"/>
      <c r="AE3455" s="1"/>
    </row>
    <row r="3456" spans="9:31" x14ac:dyDescent="0.25">
      <c r="I3456" s="1"/>
      <c r="J3456" s="1"/>
      <c r="N3456" s="1"/>
      <c r="AE3456" s="1"/>
    </row>
    <row r="3457" spans="9:31" x14ac:dyDescent="0.25">
      <c r="I3457" s="1"/>
      <c r="J3457" s="1"/>
      <c r="N3457" s="1"/>
      <c r="Z3457" s="1"/>
      <c r="AA3457" s="1"/>
      <c r="AE3457" s="1"/>
    </row>
    <row r="3458" spans="9:31" x14ac:dyDescent="0.25">
      <c r="I3458" s="1"/>
      <c r="J3458" s="1"/>
      <c r="N3458" s="1"/>
      <c r="Z3458" s="1"/>
      <c r="AA3458" s="1"/>
      <c r="AE3458" s="1"/>
    </row>
    <row r="3459" spans="9:31" x14ac:dyDescent="0.25">
      <c r="I3459" s="1"/>
      <c r="J3459" s="1"/>
      <c r="N3459" s="1"/>
      <c r="Z3459" s="1"/>
      <c r="AA3459" s="1"/>
      <c r="AE3459" s="1"/>
    </row>
    <row r="3460" spans="9:31" x14ac:dyDescent="0.25">
      <c r="I3460" s="1"/>
      <c r="J3460" s="1"/>
      <c r="N3460" s="1"/>
      <c r="Z3460" s="1"/>
      <c r="AA3460" s="1"/>
      <c r="AE3460" s="1"/>
    </row>
    <row r="3461" spans="9:31" x14ac:dyDescent="0.25">
      <c r="I3461" s="1"/>
      <c r="J3461" s="1"/>
      <c r="N3461" s="1"/>
      <c r="Z3461" s="1"/>
      <c r="AA3461" s="1"/>
      <c r="AE3461" s="1"/>
    </row>
    <row r="3462" spans="9:31" x14ac:dyDescent="0.25">
      <c r="I3462" s="1"/>
      <c r="J3462" s="1"/>
      <c r="N3462" s="1"/>
      <c r="Z3462" s="1"/>
      <c r="AA3462" s="1"/>
      <c r="AE3462" s="1"/>
    </row>
    <row r="3463" spans="9:31" x14ac:dyDescent="0.25">
      <c r="N3463" s="1"/>
      <c r="Z3463" s="1"/>
      <c r="AA3463" s="1"/>
      <c r="AE3463" s="1"/>
    </row>
    <row r="3464" spans="9:31" x14ac:dyDescent="0.25">
      <c r="I3464" s="1"/>
      <c r="J3464" s="1"/>
      <c r="N3464" s="1"/>
      <c r="AE3464" s="1"/>
    </row>
    <row r="3465" spans="9:31" x14ac:dyDescent="0.25">
      <c r="I3465" s="1"/>
      <c r="J3465" s="1"/>
      <c r="N3465" s="1"/>
      <c r="Z3465" s="1"/>
      <c r="AA3465" s="1"/>
      <c r="AE3465" s="1"/>
    </row>
    <row r="3466" spans="9:31" x14ac:dyDescent="0.25">
      <c r="I3466" s="1"/>
      <c r="J3466" s="1"/>
      <c r="N3466" s="1"/>
      <c r="Z3466" s="1"/>
      <c r="AA3466" s="1"/>
      <c r="AE3466" s="1"/>
    </row>
    <row r="3467" spans="9:31" x14ac:dyDescent="0.25">
      <c r="I3467" s="1"/>
      <c r="J3467" s="1"/>
      <c r="N3467" s="1"/>
      <c r="Z3467" s="1"/>
      <c r="AA3467" s="1"/>
      <c r="AE3467" s="1"/>
    </row>
    <row r="3468" spans="9:31" x14ac:dyDescent="0.25">
      <c r="I3468" s="1"/>
      <c r="J3468" s="1"/>
      <c r="N3468" s="1"/>
      <c r="Z3468" s="1"/>
      <c r="AA3468" s="1"/>
      <c r="AE3468" s="1"/>
    </row>
    <row r="3469" spans="9:31" x14ac:dyDescent="0.25">
      <c r="I3469" s="1"/>
      <c r="J3469" s="1"/>
      <c r="N3469" s="1"/>
      <c r="Z3469" s="1"/>
      <c r="AA3469" s="1"/>
      <c r="AE3469" s="1"/>
    </row>
    <row r="3470" spans="9:31" x14ac:dyDescent="0.25">
      <c r="I3470" s="1"/>
      <c r="J3470" s="1"/>
      <c r="N3470" s="1"/>
      <c r="Z3470" s="1"/>
      <c r="AA3470" s="1"/>
      <c r="AE3470" s="1"/>
    </row>
    <row r="3471" spans="9:31" x14ac:dyDescent="0.25">
      <c r="I3471" s="1"/>
      <c r="J3471" s="1"/>
      <c r="N3471" s="1"/>
      <c r="Z3471" s="1"/>
      <c r="AA3471" s="1"/>
      <c r="AE3471" s="1"/>
    </row>
    <row r="3472" spans="9:31" x14ac:dyDescent="0.25">
      <c r="I3472" s="1"/>
      <c r="J3472" s="1"/>
      <c r="N3472" s="1"/>
      <c r="Z3472" s="1"/>
      <c r="AA3472" s="1"/>
      <c r="AE3472" s="1"/>
    </row>
    <row r="3473" spans="9:31" x14ac:dyDescent="0.25">
      <c r="I3473" s="1"/>
      <c r="J3473" s="1"/>
      <c r="N3473" s="1"/>
      <c r="Z3473" s="1"/>
      <c r="AA3473" s="1"/>
      <c r="AE3473" s="1"/>
    </row>
    <row r="3474" spans="9:31" x14ac:dyDescent="0.25">
      <c r="I3474" s="1"/>
      <c r="J3474" s="1"/>
      <c r="N3474" s="1"/>
      <c r="Z3474" s="1"/>
      <c r="AA3474" s="1"/>
      <c r="AE3474" s="1"/>
    </row>
    <row r="3475" spans="9:31" x14ac:dyDescent="0.25">
      <c r="I3475" s="1"/>
      <c r="J3475" s="1"/>
      <c r="N3475" s="1"/>
      <c r="Z3475" s="1"/>
      <c r="AA3475" s="1"/>
      <c r="AE3475" s="1"/>
    </row>
    <row r="3476" spans="9:31" x14ac:dyDescent="0.25">
      <c r="I3476" s="1"/>
      <c r="J3476" s="1"/>
      <c r="N3476" s="1"/>
      <c r="Z3476" s="1"/>
      <c r="AA3476" s="1"/>
      <c r="AE3476" s="1"/>
    </row>
    <row r="3477" spans="9:31" x14ac:dyDescent="0.25">
      <c r="I3477" s="1"/>
      <c r="J3477" s="1"/>
      <c r="N3477" s="1"/>
      <c r="Z3477" s="1"/>
      <c r="AA3477" s="1"/>
      <c r="AE3477" s="1"/>
    </row>
    <row r="3478" spans="9:31" x14ac:dyDescent="0.25">
      <c r="I3478" s="1"/>
      <c r="J3478" s="1"/>
      <c r="N3478" s="1"/>
      <c r="Z3478" s="1"/>
      <c r="AA3478" s="1"/>
      <c r="AE3478" s="1"/>
    </row>
    <row r="3479" spans="9:31" x14ac:dyDescent="0.25">
      <c r="I3479" s="1"/>
      <c r="J3479" s="1"/>
      <c r="N3479" s="1"/>
      <c r="AE3479" s="1"/>
    </row>
    <row r="3480" spans="9:31" x14ac:dyDescent="0.25">
      <c r="I3480" s="1"/>
      <c r="J3480" s="1"/>
      <c r="N3480" s="1"/>
      <c r="Z3480" s="1"/>
      <c r="AA3480" s="1"/>
      <c r="AE3480" s="1"/>
    </row>
    <row r="3481" spans="9:31" x14ac:dyDescent="0.25">
      <c r="I3481" s="1"/>
      <c r="J3481" s="1"/>
      <c r="N3481" s="1"/>
      <c r="Z3481" s="1"/>
      <c r="AA3481" s="1"/>
      <c r="AE3481" s="1"/>
    </row>
    <row r="3482" spans="9:31" x14ac:dyDescent="0.25">
      <c r="I3482" s="1"/>
      <c r="J3482" s="1"/>
      <c r="N3482" s="1"/>
      <c r="Z3482" s="1"/>
      <c r="AA3482" s="1"/>
      <c r="AE3482" s="1"/>
    </row>
    <row r="3483" spans="9:31" x14ac:dyDescent="0.25">
      <c r="I3483" s="1"/>
      <c r="J3483" s="1"/>
      <c r="N3483" s="1"/>
      <c r="Z3483" s="1"/>
      <c r="AA3483" s="1"/>
      <c r="AE3483" s="1"/>
    </row>
    <row r="3484" spans="9:31" x14ac:dyDescent="0.25">
      <c r="I3484" s="1"/>
      <c r="J3484" s="1"/>
      <c r="N3484" s="1"/>
      <c r="Z3484" s="1"/>
      <c r="AA3484" s="1"/>
      <c r="AE3484" s="1"/>
    </row>
    <row r="3485" spans="9:31" x14ac:dyDescent="0.25">
      <c r="N3485" s="1"/>
      <c r="Z3485" s="1"/>
      <c r="AA3485" s="1"/>
      <c r="AE3485" s="1"/>
    </row>
    <row r="3486" spans="9:31" x14ac:dyDescent="0.25">
      <c r="I3486" s="1"/>
      <c r="J3486" s="1"/>
      <c r="N3486" s="1"/>
      <c r="AE3486" s="1"/>
    </row>
    <row r="3487" spans="9:31" x14ac:dyDescent="0.25">
      <c r="N3487" s="1"/>
      <c r="Z3487" s="1"/>
      <c r="AA3487" s="1"/>
      <c r="AE3487" s="1"/>
    </row>
    <row r="3488" spans="9:31" x14ac:dyDescent="0.25">
      <c r="I3488" s="1"/>
      <c r="J3488" s="1"/>
      <c r="N3488" s="1"/>
      <c r="AE3488" s="1"/>
    </row>
    <row r="3489" spans="9:31" x14ac:dyDescent="0.25">
      <c r="I3489" s="1"/>
      <c r="J3489" s="1"/>
      <c r="N3489" s="1"/>
      <c r="Z3489" s="1"/>
      <c r="AA3489" s="1"/>
      <c r="AE3489" s="1"/>
    </row>
    <row r="3490" spans="9:31" x14ac:dyDescent="0.25">
      <c r="I3490" s="1"/>
      <c r="J3490" s="1"/>
      <c r="N3490" s="1"/>
      <c r="Z3490" s="1"/>
      <c r="AA3490" s="1"/>
      <c r="AE3490" s="1"/>
    </row>
    <row r="3491" spans="9:31" x14ac:dyDescent="0.25">
      <c r="I3491" s="1"/>
      <c r="J3491" s="1"/>
      <c r="N3491" s="1"/>
      <c r="Z3491" s="1"/>
      <c r="AA3491" s="1"/>
      <c r="AE3491" s="1"/>
    </row>
    <row r="3492" spans="9:31" x14ac:dyDescent="0.25">
      <c r="N3492" s="1"/>
      <c r="Z3492" s="1"/>
      <c r="AA3492" s="1"/>
      <c r="AE3492" s="1"/>
    </row>
    <row r="3493" spans="9:31" x14ac:dyDescent="0.25">
      <c r="I3493" s="1"/>
      <c r="J3493" s="1"/>
      <c r="N3493" s="1"/>
      <c r="AE3493" s="1"/>
    </row>
    <row r="3494" spans="9:31" x14ac:dyDescent="0.25">
      <c r="I3494" s="1"/>
      <c r="J3494" s="1"/>
      <c r="N3494" s="1"/>
      <c r="Z3494" s="1"/>
      <c r="AA3494" s="1"/>
      <c r="AE3494" s="1"/>
    </row>
    <row r="3495" spans="9:31" x14ac:dyDescent="0.25">
      <c r="N3495" s="1"/>
      <c r="Z3495" s="1"/>
      <c r="AA3495" s="1"/>
      <c r="AE3495" s="1"/>
    </row>
    <row r="3496" spans="9:31" x14ac:dyDescent="0.25">
      <c r="N3496" s="1"/>
      <c r="AE3496" s="1"/>
    </row>
    <row r="3497" spans="9:31" x14ac:dyDescent="0.25">
      <c r="N3497" s="1"/>
      <c r="AE3497" s="1"/>
    </row>
    <row r="3498" spans="9:31" x14ac:dyDescent="0.25">
      <c r="N3498" s="1"/>
      <c r="AE3498" s="1"/>
    </row>
    <row r="3499" spans="9:31" x14ac:dyDescent="0.25">
      <c r="I3499" s="1"/>
      <c r="J3499" s="1"/>
      <c r="N3499" s="1"/>
      <c r="AE3499" s="1"/>
    </row>
    <row r="3500" spans="9:31" x14ac:dyDescent="0.25">
      <c r="I3500" s="1"/>
      <c r="J3500" s="1"/>
      <c r="N3500" s="1"/>
      <c r="Z3500" s="1"/>
      <c r="AA3500" s="1"/>
      <c r="AE3500" s="1"/>
    </row>
    <row r="3501" spans="9:31" x14ac:dyDescent="0.25">
      <c r="I3501" s="1"/>
      <c r="J3501" s="1"/>
      <c r="N3501" s="1"/>
      <c r="Z3501" s="1"/>
      <c r="AA3501" s="1"/>
      <c r="AE3501" s="1"/>
    </row>
    <row r="3502" spans="9:31" x14ac:dyDescent="0.25">
      <c r="I3502" s="1"/>
      <c r="J3502" s="1"/>
      <c r="N3502" s="1"/>
      <c r="Z3502" s="1"/>
      <c r="AA3502" s="1"/>
      <c r="AE3502" s="1"/>
    </row>
    <row r="3503" spans="9:31" x14ac:dyDescent="0.25">
      <c r="I3503" s="1"/>
      <c r="J3503" s="1"/>
      <c r="N3503" s="1"/>
      <c r="Z3503" s="1"/>
      <c r="AA3503" s="1"/>
      <c r="AE3503" s="1"/>
    </row>
    <row r="3504" spans="9:31" x14ac:dyDescent="0.25">
      <c r="N3504" s="1"/>
      <c r="Z3504" s="1"/>
      <c r="AA3504" s="1"/>
      <c r="AE3504" s="1"/>
    </row>
    <row r="3505" spans="9:31" x14ac:dyDescent="0.25">
      <c r="I3505" s="1"/>
      <c r="J3505" s="1"/>
      <c r="N3505" s="1"/>
      <c r="AE3505" s="1"/>
    </row>
    <row r="3506" spans="9:31" x14ac:dyDescent="0.25">
      <c r="I3506" s="1"/>
      <c r="J3506" s="1"/>
      <c r="N3506" s="1"/>
      <c r="Z3506" s="1"/>
      <c r="AA3506" s="1"/>
      <c r="AE3506" s="1"/>
    </row>
    <row r="3507" spans="9:31" x14ac:dyDescent="0.25">
      <c r="I3507" s="1"/>
      <c r="J3507" s="1"/>
      <c r="N3507" s="1"/>
      <c r="Z3507" s="1"/>
      <c r="AA3507" s="1"/>
      <c r="AE3507" s="1"/>
    </row>
    <row r="3508" spans="9:31" x14ac:dyDescent="0.25">
      <c r="I3508" s="1"/>
      <c r="J3508" s="1"/>
      <c r="N3508" s="1"/>
      <c r="Z3508" s="1"/>
      <c r="AA3508" s="1"/>
      <c r="AE3508" s="1"/>
    </row>
    <row r="3509" spans="9:31" x14ac:dyDescent="0.25">
      <c r="I3509" s="1"/>
      <c r="J3509" s="1"/>
      <c r="N3509" s="1"/>
      <c r="AE3509" s="1"/>
    </row>
    <row r="3510" spans="9:31" x14ac:dyDescent="0.25">
      <c r="I3510" s="1"/>
      <c r="J3510" s="1"/>
      <c r="N3510" s="1"/>
      <c r="Z3510" s="1"/>
      <c r="AE3510" s="1"/>
    </row>
    <row r="3511" spans="9:31" x14ac:dyDescent="0.25">
      <c r="N3511" s="1"/>
      <c r="Z3511" s="1"/>
      <c r="AA3511" s="1"/>
      <c r="AE3511" s="1"/>
    </row>
    <row r="3512" spans="9:31" x14ac:dyDescent="0.25">
      <c r="I3512" s="1"/>
      <c r="J3512" s="1"/>
      <c r="N3512" s="1"/>
      <c r="AE3512" s="1"/>
    </row>
    <row r="3513" spans="9:31" x14ac:dyDescent="0.25">
      <c r="I3513" s="1"/>
      <c r="J3513" s="1"/>
      <c r="N3513" s="1"/>
      <c r="Z3513" s="1"/>
      <c r="AA3513" s="1"/>
      <c r="AE3513" s="1"/>
    </row>
    <row r="3514" spans="9:31" x14ac:dyDescent="0.25">
      <c r="I3514" s="1"/>
      <c r="J3514" s="1"/>
      <c r="N3514" s="1"/>
      <c r="Z3514" s="1"/>
      <c r="AA3514" s="1"/>
      <c r="AE3514" s="1"/>
    </row>
    <row r="3515" spans="9:31" x14ac:dyDescent="0.25">
      <c r="I3515" s="1"/>
      <c r="J3515" s="1"/>
      <c r="N3515" s="1"/>
      <c r="Z3515" s="1"/>
      <c r="AA3515" s="1"/>
      <c r="AE3515" s="1"/>
    </row>
    <row r="3516" spans="9:31" x14ac:dyDescent="0.25">
      <c r="I3516" s="1"/>
      <c r="J3516" s="1"/>
      <c r="N3516" s="1"/>
      <c r="Z3516" s="1"/>
      <c r="AA3516" s="1"/>
      <c r="AE3516" s="1"/>
    </row>
    <row r="3517" spans="9:31" x14ac:dyDescent="0.25">
      <c r="N3517" s="1"/>
      <c r="Z3517" s="1"/>
      <c r="AA3517" s="1"/>
      <c r="AE3517" s="1"/>
    </row>
    <row r="3518" spans="9:31" x14ac:dyDescent="0.25">
      <c r="I3518" s="1"/>
      <c r="J3518" s="1"/>
      <c r="N3518" s="1"/>
      <c r="AE3518" s="1"/>
    </row>
    <row r="3519" spans="9:31" x14ac:dyDescent="0.25">
      <c r="I3519" s="1"/>
      <c r="J3519" s="1"/>
      <c r="N3519" s="1"/>
      <c r="Z3519" s="1"/>
      <c r="AA3519" s="1"/>
      <c r="AE3519" s="1"/>
    </row>
    <row r="3520" spans="9:31" x14ac:dyDescent="0.25">
      <c r="I3520" s="1"/>
      <c r="J3520" s="1"/>
      <c r="N3520" s="1"/>
      <c r="Z3520" s="1"/>
      <c r="AA3520" s="1"/>
      <c r="AE3520" s="1"/>
    </row>
    <row r="3521" spans="9:31" x14ac:dyDescent="0.25">
      <c r="N3521" s="1"/>
      <c r="Z3521" s="1"/>
      <c r="AA3521" s="1"/>
      <c r="AE3521" s="1"/>
    </row>
    <row r="3522" spans="9:31" x14ac:dyDescent="0.25">
      <c r="N3522" s="1"/>
      <c r="AE3522" s="1"/>
    </row>
    <row r="3523" spans="9:31" x14ac:dyDescent="0.25">
      <c r="N3523" s="1"/>
      <c r="AE3523" s="1"/>
    </row>
    <row r="3524" spans="9:31" x14ac:dyDescent="0.25">
      <c r="N3524" s="1"/>
      <c r="AE3524" s="1"/>
    </row>
    <row r="3525" spans="9:31" x14ac:dyDescent="0.25">
      <c r="I3525" s="1"/>
      <c r="J3525" s="1"/>
      <c r="N3525" s="1"/>
      <c r="AE3525" s="1"/>
    </row>
    <row r="3526" spans="9:31" x14ac:dyDescent="0.25">
      <c r="I3526" s="1"/>
      <c r="J3526" s="1"/>
      <c r="N3526" s="1"/>
      <c r="Z3526" s="1"/>
      <c r="AA3526" s="1"/>
      <c r="AE3526" s="1"/>
    </row>
    <row r="3527" spans="9:31" x14ac:dyDescent="0.25">
      <c r="I3527" s="1"/>
      <c r="J3527" s="1"/>
      <c r="N3527" s="1"/>
      <c r="Z3527" s="1"/>
      <c r="AA3527" s="1"/>
      <c r="AE3527" s="1"/>
    </row>
    <row r="3528" spans="9:31" x14ac:dyDescent="0.25">
      <c r="N3528" s="1"/>
      <c r="Z3528" s="1"/>
      <c r="AA3528" s="1"/>
      <c r="AE3528" s="1"/>
    </row>
    <row r="3529" spans="9:31" x14ac:dyDescent="0.25">
      <c r="N3529" s="1"/>
      <c r="AE3529" s="1"/>
    </row>
    <row r="3530" spans="9:31" x14ac:dyDescent="0.25">
      <c r="I3530" s="1"/>
      <c r="J3530" s="1"/>
      <c r="N3530" s="1"/>
      <c r="AE3530" s="1"/>
    </row>
    <row r="3531" spans="9:31" x14ac:dyDescent="0.25">
      <c r="I3531" s="1"/>
      <c r="J3531" s="1"/>
      <c r="N3531" s="1"/>
      <c r="Z3531" s="1"/>
      <c r="AA3531" s="1"/>
      <c r="AE3531" s="1"/>
    </row>
    <row r="3532" spans="9:31" x14ac:dyDescent="0.25">
      <c r="I3532" s="1"/>
      <c r="J3532" s="1"/>
      <c r="N3532" s="1"/>
      <c r="Z3532" s="1"/>
      <c r="AA3532" s="1"/>
      <c r="AE3532" s="1"/>
    </row>
    <row r="3533" spans="9:31" x14ac:dyDescent="0.25">
      <c r="I3533" s="1"/>
      <c r="J3533" s="1"/>
      <c r="N3533" s="1"/>
      <c r="Z3533" s="1"/>
      <c r="AA3533" s="1"/>
      <c r="AE3533" s="1"/>
    </row>
    <row r="3534" spans="9:31" x14ac:dyDescent="0.25">
      <c r="I3534" s="1"/>
      <c r="J3534" s="1"/>
      <c r="N3534" s="1"/>
      <c r="Z3534" s="1"/>
      <c r="AA3534" s="1"/>
      <c r="AE3534" s="1"/>
    </row>
    <row r="3535" spans="9:31" x14ac:dyDescent="0.25">
      <c r="I3535" s="1"/>
      <c r="J3535" s="1"/>
      <c r="N3535" s="1"/>
      <c r="Z3535" s="1"/>
      <c r="AA3535" s="1"/>
      <c r="AE3535" s="1"/>
    </row>
    <row r="3536" spans="9:31" x14ac:dyDescent="0.25">
      <c r="I3536" s="1"/>
      <c r="J3536" s="1"/>
      <c r="N3536" s="1"/>
      <c r="Z3536" s="1"/>
      <c r="AA3536" s="1"/>
      <c r="AE3536" s="1"/>
    </row>
    <row r="3537" spans="9:31" x14ac:dyDescent="0.25">
      <c r="I3537" s="1"/>
      <c r="J3537" s="1"/>
      <c r="N3537" s="1"/>
      <c r="Z3537" s="1"/>
      <c r="AA3537" s="1"/>
      <c r="AE3537" s="1"/>
    </row>
    <row r="3538" spans="9:31" x14ac:dyDescent="0.25">
      <c r="I3538" s="1"/>
      <c r="J3538" s="1"/>
      <c r="N3538" s="1"/>
      <c r="Z3538" s="1"/>
      <c r="AA3538" s="1"/>
      <c r="AE3538" s="1"/>
    </row>
    <row r="3539" spans="9:31" x14ac:dyDescent="0.25">
      <c r="I3539" s="1"/>
      <c r="J3539" s="1"/>
      <c r="N3539" s="1"/>
      <c r="Z3539" s="1"/>
      <c r="AA3539" s="1"/>
      <c r="AE3539" s="1"/>
    </row>
    <row r="3540" spans="9:31" x14ac:dyDescent="0.25">
      <c r="N3540" s="1"/>
      <c r="Z3540" s="1"/>
      <c r="AA3540" s="1"/>
      <c r="AE3540" s="1"/>
    </row>
    <row r="3541" spans="9:31" x14ac:dyDescent="0.25">
      <c r="I3541" s="1"/>
      <c r="J3541" s="1"/>
      <c r="N3541" s="1"/>
      <c r="AE3541" s="1"/>
    </row>
    <row r="3542" spans="9:31" x14ac:dyDescent="0.25">
      <c r="I3542" s="1"/>
      <c r="J3542" s="1"/>
      <c r="N3542" s="1"/>
      <c r="Z3542" s="1"/>
      <c r="AA3542" s="1"/>
      <c r="AE3542" s="1"/>
    </row>
    <row r="3543" spans="9:31" x14ac:dyDescent="0.25">
      <c r="I3543" s="1"/>
      <c r="J3543" s="1"/>
      <c r="N3543" s="1"/>
      <c r="AE3543" s="1"/>
    </row>
    <row r="3544" spans="9:31" x14ac:dyDescent="0.25">
      <c r="I3544" s="1"/>
      <c r="J3544" s="1"/>
      <c r="N3544" s="1"/>
      <c r="AE3544" s="1"/>
    </row>
    <row r="3545" spans="9:31" x14ac:dyDescent="0.25">
      <c r="I3545" s="1"/>
      <c r="J3545" s="1"/>
      <c r="N3545" s="1"/>
      <c r="Z3545" s="1"/>
      <c r="AA3545" s="1"/>
      <c r="AE3545" s="1"/>
    </row>
    <row r="3546" spans="9:31" x14ac:dyDescent="0.25">
      <c r="I3546" s="1"/>
      <c r="J3546" s="1"/>
      <c r="N3546" s="1"/>
      <c r="Z3546" s="1"/>
      <c r="AA3546" s="1"/>
      <c r="AE3546" s="1"/>
    </row>
    <row r="3547" spans="9:31" x14ac:dyDescent="0.25">
      <c r="I3547" s="1"/>
      <c r="J3547" s="1"/>
      <c r="N3547" s="1"/>
      <c r="AE3547" s="1"/>
    </row>
    <row r="3548" spans="9:31" x14ac:dyDescent="0.25">
      <c r="I3548" s="1"/>
      <c r="J3548" s="1"/>
      <c r="N3548" s="1"/>
      <c r="AE3548" s="1"/>
    </row>
    <row r="3549" spans="9:31" x14ac:dyDescent="0.25">
      <c r="I3549" s="1"/>
      <c r="J3549" s="1"/>
      <c r="N3549" s="1"/>
      <c r="Z3549" s="1"/>
      <c r="AA3549" s="1"/>
      <c r="AE3549" s="1"/>
    </row>
    <row r="3550" spans="9:31" x14ac:dyDescent="0.25">
      <c r="I3550" s="1"/>
      <c r="J3550" s="1"/>
      <c r="N3550" s="1"/>
      <c r="Z3550" s="1"/>
      <c r="AA3550" s="1"/>
      <c r="AE3550" s="1"/>
    </row>
    <row r="3551" spans="9:31" x14ac:dyDescent="0.25">
      <c r="N3551" s="1"/>
      <c r="Z3551" s="1"/>
      <c r="AA3551" s="1"/>
      <c r="AE3551" s="1"/>
    </row>
    <row r="3552" spans="9:31" x14ac:dyDescent="0.25">
      <c r="N3552" s="1"/>
      <c r="AE3552" s="1"/>
    </row>
    <row r="3553" spans="9:31" x14ac:dyDescent="0.25">
      <c r="I3553" s="1"/>
      <c r="J3553" s="1"/>
      <c r="N3553" s="1"/>
      <c r="AE3553" s="1"/>
    </row>
    <row r="3554" spans="9:31" x14ac:dyDescent="0.25">
      <c r="I3554" s="1"/>
      <c r="J3554" s="1"/>
      <c r="N3554" s="1"/>
      <c r="Z3554" s="1"/>
      <c r="AA3554" s="1"/>
      <c r="AE3554" s="1"/>
    </row>
    <row r="3555" spans="9:31" x14ac:dyDescent="0.25">
      <c r="I3555" s="1"/>
      <c r="J3555" s="1"/>
      <c r="N3555" s="1"/>
      <c r="Z3555" s="1"/>
      <c r="AA3555" s="1"/>
      <c r="AE3555" s="1"/>
    </row>
    <row r="3556" spans="9:31" x14ac:dyDescent="0.25">
      <c r="N3556" s="1"/>
      <c r="Z3556" s="1"/>
      <c r="AA3556" s="1"/>
      <c r="AE3556" s="1"/>
    </row>
    <row r="3557" spans="9:31" x14ac:dyDescent="0.25">
      <c r="I3557" s="1"/>
      <c r="J3557" s="1"/>
      <c r="N3557" s="1"/>
      <c r="AE3557" s="1"/>
    </row>
    <row r="3558" spans="9:31" x14ac:dyDescent="0.25">
      <c r="I3558" s="1"/>
      <c r="J3558" s="1"/>
      <c r="N3558" s="1"/>
      <c r="Z3558" s="1"/>
      <c r="AA3558" s="1"/>
      <c r="AE3558" s="1"/>
    </row>
    <row r="3559" spans="9:31" x14ac:dyDescent="0.25">
      <c r="I3559" s="1"/>
      <c r="J3559" s="1"/>
      <c r="N3559" s="1"/>
      <c r="Z3559" s="1"/>
      <c r="AA3559" s="1"/>
      <c r="AE3559" s="1"/>
    </row>
    <row r="3560" spans="9:31" x14ac:dyDescent="0.25">
      <c r="I3560" s="1"/>
      <c r="J3560" s="1"/>
      <c r="N3560" s="1"/>
      <c r="Z3560" s="1"/>
      <c r="AA3560" s="1"/>
      <c r="AE3560" s="1"/>
    </row>
    <row r="3561" spans="9:31" x14ac:dyDescent="0.25">
      <c r="I3561" s="1"/>
      <c r="J3561" s="1"/>
      <c r="N3561" s="1"/>
      <c r="Z3561" s="1"/>
      <c r="AA3561" s="1"/>
      <c r="AE3561" s="1"/>
    </row>
    <row r="3562" spans="9:31" x14ac:dyDescent="0.25">
      <c r="I3562" s="1"/>
      <c r="J3562" s="1"/>
      <c r="N3562" s="1"/>
      <c r="Z3562" s="1"/>
      <c r="AA3562" s="1"/>
      <c r="AE3562" s="1"/>
    </row>
    <row r="3563" spans="9:31" x14ac:dyDescent="0.25">
      <c r="I3563" s="1"/>
      <c r="J3563" s="1"/>
      <c r="N3563" s="1"/>
      <c r="Z3563" s="1"/>
      <c r="AA3563" s="1"/>
      <c r="AE3563" s="1"/>
    </row>
    <row r="3564" spans="9:31" x14ac:dyDescent="0.25">
      <c r="I3564" s="1"/>
      <c r="J3564" s="1"/>
      <c r="N3564" s="1"/>
      <c r="Z3564" s="1"/>
      <c r="AA3564" s="1"/>
      <c r="AE3564" s="1"/>
    </row>
    <row r="3565" spans="9:31" x14ac:dyDescent="0.25">
      <c r="I3565" s="1"/>
      <c r="J3565" s="1"/>
      <c r="N3565" s="1"/>
      <c r="Z3565" s="1"/>
      <c r="AA3565" s="1"/>
      <c r="AE3565" s="1"/>
    </row>
    <row r="3566" spans="9:31" x14ac:dyDescent="0.25">
      <c r="I3566" s="1"/>
      <c r="J3566" s="1"/>
      <c r="N3566" s="1"/>
      <c r="Z3566" s="1"/>
      <c r="AA3566" s="1"/>
      <c r="AE3566" s="1"/>
    </row>
    <row r="3567" spans="9:31" x14ac:dyDescent="0.25">
      <c r="I3567" s="1"/>
      <c r="J3567" s="1"/>
      <c r="N3567" s="1"/>
      <c r="Z3567" s="1"/>
      <c r="AA3567" s="1"/>
      <c r="AE3567" s="1"/>
    </row>
    <row r="3568" spans="9:31" x14ac:dyDescent="0.25">
      <c r="I3568" s="1"/>
      <c r="J3568" s="1"/>
      <c r="N3568" s="1"/>
      <c r="Z3568" s="1"/>
      <c r="AA3568" s="1"/>
      <c r="AE3568" s="1"/>
    </row>
    <row r="3569" spans="9:31" x14ac:dyDescent="0.25">
      <c r="N3569" s="1"/>
      <c r="Z3569" s="1"/>
      <c r="AA3569" s="1"/>
      <c r="AE3569" s="1"/>
    </row>
    <row r="3570" spans="9:31" x14ac:dyDescent="0.25">
      <c r="N3570" s="1"/>
      <c r="AE3570" s="1"/>
    </row>
    <row r="3571" spans="9:31" x14ac:dyDescent="0.25">
      <c r="I3571" s="1"/>
      <c r="J3571" s="1"/>
      <c r="N3571" s="1"/>
      <c r="AE3571" s="1"/>
    </row>
    <row r="3572" spans="9:31" x14ac:dyDescent="0.25">
      <c r="I3572" s="1"/>
      <c r="J3572" s="1"/>
      <c r="N3572" s="1"/>
      <c r="AE3572" s="1"/>
    </row>
    <row r="3573" spans="9:31" x14ac:dyDescent="0.25">
      <c r="I3573" s="1"/>
      <c r="J3573" s="1"/>
      <c r="N3573" s="1"/>
      <c r="Z3573" s="1"/>
      <c r="AA3573" s="1"/>
      <c r="AE3573" s="1"/>
    </row>
    <row r="3574" spans="9:31" x14ac:dyDescent="0.25">
      <c r="I3574" s="1"/>
      <c r="J3574" s="1"/>
      <c r="N3574" s="1"/>
      <c r="Z3574" s="1"/>
      <c r="AA3574" s="1"/>
      <c r="AE3574" s="1"/>
    </row>
    <row r="3575" spans="9:31" x14ac:dyDescent="0.25">
      <c r="I3575" s="1"/>
      <c r="J3575" s="1"/>
      <c r="N3575" s="1"/>
      <c r="Z3575" s="1"/>
      <c r="AA3575" s="1"/>
      <c r="AE3575" s="1"/>
    </row>
    <row r="3576" spans="9:31" x14ac:dyDescent="0.25">
      <c r="I3576" s="1"/>
      <c r="J3576" s="1"/>
      <c r="N3576" s="1"/>
      <c r="Z3576" s="1"/>
      <c r="AA3576" s="1"/>
      <c r="AE3576" s="1"/>
    </row>
    <row r="3577" spans="9:31" x14ac:dyDescent="0.25">
      <c r="I3577" s="1"/>
      <c r="J3577" s="1"/>
      <c r="N3577" s="1"/>
      <c r="AE3577" s="1"/>
    </row>
    <row r="3578" spans="9:31" x14ac:dyDescent="0.25">
      <c r="N3578" s="1"/>
      <c r="Z3578" s="1"/>
      <c r="AA3578" s="1"/>
      <c r="AE3578" s="1"/>
    </row>
    <row r="3579" spans="9:31" x14ac:dyDescent="0.25">
      <c r="I3579" s="1"/>
      <c r="J3579" s="1"/>
      <c r="N3579" s="1"/>
      <c r="AE3579" s="1"/>
    </row>
    <row r="3580" spans="9:31" x14ac:dyDescent="0.25">
      <c r="I3580" s="1"/>
      <c r="J3580" s="1"/>
      <c r="N3580" s="1"/>
      <c r="Z3580" s="1"/>
      <c r="AA3580" s="1"/>
      <c r="AE3580" s="1"/>
    </row>
    <row r="3581" spans="9:31" x14ac:dyDescent="0.25">
      <c r="N3581" s="1"/>
      <c r="Z3581" s="1"/>
      <c r="AA3581" s="1"/>
      <c r="AE3581" s="1"/>
    </row>
    <row r="3582" spans="9:31" x14ac:dyDescent="0.25">
      <c r="I3582" s="1"/>
      <c r="J3582" s="1"/>
      <c r="N3582" s="1"/>
      <c r="AE3582" s="1"/>
    </row>
    <row r="3583" spans="9:31" x14ac:dyDescent="0.25">
      <c r="I3583" s="1"/>
      <c r="J3583" s="1"/>
      <c r="N3583" s="1"/>
      <c r="Z3583" s="1"/>
      <c r="AE3583" s="1"/>
    </row>
    <row r="3584" spans="9:31" x14ac:dyDescent="0.25">
      <c r="I3584" s="1"/>
      <c r="J3584" s="1"/>
      <c r="N3584" s="1"/>
      <c r="Z3584" s="1"/>
      <c r="AA3584" s="1"/>
      <c r="AE3584" s="1"/>
    </row>
    <row r="3585" spans="9:31" x14ac:dyDescent="0.25">
      <c r="I3585" s="1"/>
      <c r="J3585" s="1"/>
      <c r="N3585" s="1"/>
      <c r="Z3585" s="1"/>
      <c r="AA3585" s="1"/>
      <c r="AE3585" s="1"/>
    </row>
    <row r="3586" spans="9:31" x14ac:dyDescent="0.25">
      <c r="I3586" s="1"/>
      <c r="J3586" s="1"/>
      <c r="N3586" s="1"/>
      <c r="Z3586" s="1"/>
      <c r="AA3586" s="1"/>
      <c r="AE3586" s="1"/>
    </row>
    <row r="3587" spans="9:31" x14ac:dyDescent="0.25">
      <c r="I3587" s="1"/>
      <c r="J3587" s="1"/>
      <c r="N3587" s="1"/>
      <c r="Z3587" s="1"/>
      <c r="AA3587" s="1"/>
      <c r="AE3587" s="1"/>
    </row>
    <row r="3588" spans="9:31" x14ac:dyDescent="0.25">
      <c r="I3588" s="1"/>
      <c r="J3588" s="1"/>
      <c r="N3588" s="1"/>
      <c r="Z3588" s="1"/>
      <c r="AA3588" s="1"/>
      <c r="AE3588" s="1"/>
    </row>
    <row r="3589" spans="9:31" x14ac:dyDescent="0.25">
      <c r="I3589" s="1"/>
      <c r="J3589" s="1"/>
      <c r="N3589" s="1"/>
      <c r="AE3589" s="1"/>
    </row>
    <row r="3590" spans="9:31" x14ac:dyDescent="0.25">
      <c r="I3590" s="1"/>
      <c r="J3590" s="1"/>
      <c r="N3590" s="1"/>
      <c r="Z3590" s="1"/>
      <c r="AA3590" s="1"/>
      <c r="AE3590" s="1"/>
    </row>
    <row r="3591" spans="9:31" x14ac:dyDescent="0.25">
      <c r="I3591" s="1"/>
      <c r="J3591" s="1"/>
      <c r="N3591" s="1"/>
      <c r="Z3591" s="1"/>
      <c r="AA3591" s="1"/>
      <c r="AE3591" s="1"/>
    </row>
    <row r="3592" spans="9:31" x14ac:dyDescent="0.25">
      <c r="I3592" s="1"/>
      <c r="J3592" s="1"/>
      <c r="N3592" s="1"/>
      <c r="Z3592" s="1"/>
      <c r="AA3592" s="1"/>
      <c r="AE3592" s="1"/>
    </row>
    <row r="3593" spans="9:31" x14ac:dyDescent="0.25">
      <c r="I3593" s="1"/>
      <c r="J3593" s="1"/>
      <c r="N3593" s="1"/>
      <c r="Z3593" s="1"/>
      <c r="AA3593" s="1"/>
      <c r="AE3593" s="1"/>
    </row>
    <row r="3594" spans="9:31" x14ac:dyDescent="0.25">
      <c r="I3594" s="1"/>
      <c r="J3594" s="1"/>
      <c r="N3594" s="1"/>
      <c r="AE3594" s="1"/>
    </row>
    <row r="3595" spans="9:31" x14ac:dyDescent="0.25">
      <c r="I3595" s="1"/>
      <c r="J3595" s="1"/>
      <c r="N3595" s="1"/>
      <c r="Z3595" s="1"/>
      <c r="AA3595" s="1"/>
      <c r="AE3595" s="1"/>
    </row>
    <row r="3596" spans="9:31" x14ac:dyDescent="0.25">
      <c r="I3596" s="1"/>
      <c r="J3596" s="1"/>
      <c r="N3596" s="1"/>
      <c r="Z3596" s="1"/>
      <c r="AA3596" s="1"/>
      <c r="AE3596" s="1"/>
    </row>
    <row r="3597" spans="9:31" x14ac:dyDescent="0.25">
      <c r="I3597" s="1"/>
      <c r="J3597" s="1"/>
      <c r="N3597" s="1"/>
      <c r="Z3597" s="1"/>
      <c r="AA3597" s="1"/>
      <c r="AE3597" s="1"/>
    </row>
    <row r="3598" spans="9:31" x14ac:dyDescent="0.25">
      <c r="I3598" s="1"/>
      <c r="J3598" s="1"/>
      <c r="N3598" s="1"/>
      <c r="Z3598" s="1"/>
      <c r="AA3598" s="1"/>
      <c r="AE3598" s="1"/>
    </row>
    <row r="3599" spans="9:31" x14ac:dyDescent="0.25">
      <c r="I3599" s="1"/>
      <c r="J3599" s="1"/>
      <c r="N3599" s="1"/>
      <c r="Z3599" s="1"/>
      <c r="AA3599" s="1"/>
      <c r="AE3599" s="1"/>
    </row>
    <row r="3600" spans="9:31" x14ac:dyDescent="0.25">
      <c r="I3600" s="1"/>
      <c r="J3600" s="1"/>
      <c r="N3600" s="1"/>
      <c r="Z3600" s="1"/>
      <c r="AA3600" s="1"/>
      <c r="AE3600" s="1"/>
    </row>
    <row r="3601" spans="9:31" x14ac:dyDescent="0.25">
      <c r="N3601" s="1"/>
      <c r="AE3601" s="1"/>
    </row>
    <row r="3602" spans="9:31" x14ac:dyDescent="0.25">
      <c r="I3602" s="1"/>
      <c r="J3602" s="1"/>
      <c r="N3602" s="1"/>
      <c r="AE3602" s="1"/>
    </row>
    <row r="3603" spans="9:31" x14ac:dyDescent="0.25">
      <c r="I3603" s="1"/>
      <c r="J3603" s="1"/>
      <c r="N3603" s="1"/>
      <c r="Z3603" s="1"/>
      <c r="AA3603" s="1"/>
      <c r="AE3603" s="1"/>
    </row>
    <row r="3604" spans="9:31" x14ac:dyDescent="0.25">
      <c r="I3604" s="1"/>
      <c r="J3604" s="1"/>
      <c r="N3604" s="1"/>
      <c r="AE3604" s="1"/>
    </row>
    <row r="3605" spans="9:31" x14ac:dyDescent="0.25">
      <c r="I3605" s="1"/>
      <c r="J3605" s="1"/>
      <c r="N3605" s="1"/>
      <c r="Z3605" s="1"/>
      <c r="AA3605" s="1"/>
      <c r="AE3605" s="1"/>
    </row>
    <row r="3606" spans="9:31" x14ac:dyDescent="0.25">
      <c r="I3606" s="1"/>
      <c r="J3606" s="1"/>
      <c r="N3606" s="1"/>
      <c r="Z3606" s="1"/>
      <c r="AA3606" s="1"/>
      <c r="AE3606" s="1"/>
    </row>
    <row r="3607" spans="9:31" x14ac:dyDescent="0.25">
      <c r="N3607" s="1"/>
      <c r="Z3607" s="1"/>
      <c r="AA3607" s="1"/>
      <c r="AE3607" s="1"/>
    </row>
    <row r="3608" spans="9:31" x14ac:dyDescent="0.25">
      <c r="I3608" s="1"/>
      <c r="J3608" s="1"/>
      <c r="N3608" s="1"/>
      <c r="AE3608" s="1"/>
    </row>
    <row r="3609" spans="9:31" x14ac:dyDescent="0.25">
      <c r="I3609" s="1"/>
      <c r="J3609" s="1"/>
      <c r="N3609" s="1"/>
      <c r="Z3609" s="1"/>
      <c r="AA3609" s="1"/>
      <c r="AE3609" s="1"/>
    </row>
    <row r="3610" spans="9:31" x14ac:dyDescent="0.25">
      <c r="I3610" s="1"/>
      <c r="J3610" s="1"/>
      <c r="N3610" s="1"/>
      <c r="Z3610" s="1"/>
      <c r="AA3610" s="1"/>
      <c r="AE3610" s="1"/>
    </row>
    <row r="3611" spans="9:31" x14ac:dyDescent="0.25">
      <c r="I3611" s="1"/>
      <c r="J3611" s="1"/>
      <c r="N3611" s="1"/>
      <c r="Z3611" s="1"/>
      <c r="AA3611" s="1"/>
      <c r="AE3611" s="1"/>
    </row>
    <row r="3612" spans="9:31" x14ac:dyDescent="0.25">
      <c r="I3612" s="1"/>
      <c r="J3612" s="1"/>
      <c r="N3612" s="1"/>
      <c r="Z3612" s="1"/>
      <c r="AA3612" s="1"/>
      <c r="AE3612" s="1"/>
    </row>
    <row r="3613" spans="9:31" x14ac:dyDescent="0.25">
      <c r="I3613" s="1"/>
      <c r="J3613" s="1"/>
      <c r="N3613" s="1"/>
      <c r="Z3613" s="1"/>
      <c r="AA3613" s="1"/>
      <c r="AE3613" s="1"/>
    </row>
    <row r="3614" spans="9:31" x14ac:dyDescent="0.25">
      <c r="I3614" s="1"/>
      <c r="J3614" s="1"/>
      <c r="N3614" s="1"/>
      <c r="Z3614" s="1"/>
      <c r="AA3614" s="1"/>
      <c r="AE3614" s="1"/>
    </row>
    <row r="3615" spans="9:31" x14ac:dyDescent="0.25">
      <c r="N3615" s="1"/>
      <c r="Z3615" s="1"/>
      <c r="AA3615" s="1"/>
      <c r="AE3615" s="1"/>
    </row>
    <row r="3616" spans="9:31" x14ac:dyDescent="0.25">
      <c r="I3616" s="1"/>
      <c r="J3616" s="1"/>
      <c r="N3616" s="1"/>
      <c r="AE3616" s="1"/>
    </row>
    <row r="3617" spans="9:31" x14ac:dyDescent="0.25">
      <c r="N3617" s="1"/>
      <c r="Z3617" s="1"/>
      <c r="AA3617" s="1"/>
      <c r="AE3617" s="1"/>
    </row>
    <row r="3618" spans="9:31" x14ac:dyDescent="0.25">
      <c r="I3618" s="1"/>
      <c r="J3618" s="1"/>
      <c r="N3618" s="1"/>
      <c r="AE3618" s="1"/>
    </row>
    <row r="3619" spans="9:31" x14ac:dyDescent="0.25">
      <c r="I3619" s="1"/>
      <c r="J3619" s="1"/>
      <c r="N3619" s="1"/>
      <c r="Z3619" s="1"/>
      <c r="AA3619" s="1"/>
      <c r="AE3619" s="1"/>
    </row>
    <row r="3620" spans="9:31" x14ac:dyDescent="0.25">
      <c r="I3620" s="1"/>
      <c r="J3620" s="1"/>
      <c r="N3620" s="1"/>
      <c r="Z3620" s="1"/>
      <c r="AA3620" s="1"/>
      <c r="AE3620" s="1"/>
    </row>
    <row r="3621" spans="9:31" x14ac:dyDescent="0.25">
      <c r="I3621" s="1"/>
      <c r="J3621" s="1"/>
      <c r="N3621" s="1"/>
      <c r="Z3621" s="1"/>
      <c r="AA3621" s="1"/>
      <c r="AE3621" s="1"/>
    </row>
    <row r="3622" spans="9:31" x14ac:dyDescent="0.25">
      <c r="I3622" s="1"/>
      <c r="J3622" s="1"/>
      <c r="N3622" s="1"/>
      <c r="Z3622" s="1"/>
      <c r="AA3622" s="1"/>
      <c r="AE3622" s="1"/>
    </row>
    <row r="3623" spans="9:31" x14ac:dyDescent="0.25">
      <c r="I3623" s="1"/>
      <c r="J3623" s="1"/>
      <c r="N3623" s="1"/>
      <c r="Z3623" s="1"/>
      <c r="AA3623" s="1"/>
      <c r="AE3623" s="1"/>
    </row>
    <row r="3624" spans="9:31" x14ac:dyDescent="0.25">
      <c r="I3624" s="1"/>
      <c r="J3624" s="1"/>
      <c r="N3624" s="1"/>
      <c r="Z3624" s="1"/>
      <c r="AA3624" s="1"/>
      <c r="AE3624" s="1"/>
    </row>
    <row r="3625" spans="9:31" x14ac:dyDescent="0.25">
      <c r="I3625" s="1"/>
      <c r="J3625" s="1"/>
      <c r="N3625" s="1"/>
      <c r="Z3625" s="1"/>
      <c r="AA3625" s="1"/>
      <c r="AE3625" s="1"/>
    </row>
    <row r="3626" spans="9:31" x14ac:dyDescent="0.25">
      <c r="I3626" s="1"/>
      <c r="J3626" s="1"/>
      <c r="N3626" s="1"/>
      <c r="Z3626" s="1"/>
      <c r="AA3626" s="1"/>
      <c r="AE3626" s="1"/>
    </row>
    <row r="3627" spans="9:31" x14ac:dyDescent="0.25">
      <c r="I3627" s="1"/>
      <c r="J3627" s="1"/>
      <c r="N3627" s="1"/>
      <c r="Z3627" s="1"/>
      <c r="AA3627" s="1"/>
      <c r="AE3627" s="1"/>
    </row>
    <row r="3628" spans="9:31" x14ac:dyDescent="0.25">
      <c r="I3628" s="1"/>
      <c r="J3628" s="1"/>
      <c r="N3628" s="1"/>
      <c r="Z3628" s="1"/>
      <c r="AA3628" s="1"/>
      <c r="AE3628" s="1"/>
    </row>
    <row r="3629" spans="9:31" x14ac:dyDescent="0.25">
      <c r="I3629" s="1"/>
      <c r="J3629" s="1"/>
      <c r="N3629" s="1"/>
      <c r="Z3629" s="1"/>
      <c r="AA3629" s="1"/>
      <c r="AE3629" s="1"/>
    </row>
    <row r="3630" spans="9:31" x14ac:dyDescent="0.25">
      <c r="I3630" s="1"/>
      <c r="J3630" s="1"/>
      <c r="N3630" s="1"/>
      <c r="Z3630" s="1"/>
      <c r="AE3630" s="1"/>
    </row>
    <row r="3631" spans="9:31" x14ac:dyDescent="0.25">
      <c r="I3631" s="1"/>
      <c r="J3631" s="1"/>
      <c r="N3631" s="1"/>
      <c r="Z3631" s="1"/>
      <c r="AA3631" s="1"/>
      <c r="AE3631" s="1"/>
    </row>
    <row r="3632" spans="9:31" x14ac:dyDescent="0.25">
      <c r="N3632" s="1"/>
      <c r="Z3632" s="1"/>
      <c r="AA3632" s="1"/>
      <c r="AE3632" s="1"/>
    </row>
    <row r="3633" spans="9:31" x14ac:dyDescent="0.25">
      <c r="I3633" s="1"/>
      <c r="J3633" s="1"/>
      <c r="N3633" s="1"/>
      <c r="AE3633" s="1"/>
    </row>
    <row r="3634" spans="9:31" x14ac:dyDescent="0.25">
      <c r="I3634" s="1"/>
      <c r="J3634" s="1"/>
      <c r="N3634" s="1"/>
      <c r="Z3634" s="1"/>
      <c r="AA3634" s="1"/>
      <c r="AE3634" s="1"/>
    </row>
    <row r="3635" spans="9:31" x14ac:dyDescent="0.25">
      <c r="N3635" s="1"/>
      <c r="Z3635" s="1"/>
      <c r="AA3635" s="1"/>
      <c r="AE3635" s="1"/>
    </row>
    <row r="3636" spans="9:31" x14ac:dyDescent="0.25">
      <c r="I3636" s="1"/>
      <c r="J3636" s="1"/>
      <c r="N3636" s="1"/>
      <c r="AE3636" s="1"/>
    </row>
    <row r="3637" spans="9:31" x14ac:dyDescent="0.25">
      <c r="I3637" s="1"/>
      <c r="J3637" s="1"/>
      <c r="N3637" s="1"/>
      <c r="Z3637" s="1"/>
      <c r="AA3637" s="1"/>
      <c r="AE3637" s="1"/>
    </row>
    <row r="3638" spans="9:31" x14ac:dyDescent="0.25">
      <c r="I3638" s="1"/>
      <c r="J3638" s="1"/>
      <c r="N3638" s="1"/>
      <c r="Z3638" s="1"/>
      <c r="AA3638" s="1"/>
      <c r="AE3638" s="1"/>
    </row>
    <row r="3639" spans="9:31" x14ac:dyDescent="0.25">
      <c r="I3639" s="1"/>
      <c r="J3639" s="1"/>
      <c r="N3639" s="1"/>
      <c r="Z3639" s="1"/>
      <c r="AA3639" s="1"/>
      <c r="AE3639" s="1"/>
    </row>
    <row r="3640" spans="9:31" x14ac:dyDescent="0.25">
      <c r="I3640" s="1"/>
      <c r="J3640" s="1"/>
      <c r="N3640" s="1"/>
      <c r="Z3640" s="1"/>
      <c r="AA3640" s="1"/>
      <c r="AE3640" s="1"/>
    </row>
    <row r="3641" spans="9:31" x14ac:dyDescent="0.25">
      <c r="I3641" s="1"/>
      <c r="J3641" s="1"/>
      <c r="N3641" s="1"/>
      <c r="Z3641" s="1"/>
      <c r="AA3641" s="1"/>
      <c r="AE3641" s="1"/>
    </row>
    <row r="3642" spans="9:31" x14ac:dyDescent="0.25">
      <c r="I3642" s="1"/>
      <c r="J3642" s="1"/>
      <c r="N3642" s="1"/>
      <c r="Z3642" s="1"/>
      <c r="AA3642" s="1"/>
      <c r="AE3642" s="1"/>
    </row>
    <row r="3643" spans="9:31" x14ac:dyDescent="0.25">
      <c r="I3643" s="1"/>
      <c r="J3643" s="1"/>
      <c r="N3643" s="1"/>
      <c r="Z3643" s="1"/>
      <c r="AA3643" s="1"/>
      <c r="AE3643" s="1"/>
    </row>
    <row r="3644" spans="9:31" x14ac:dyDescent="0.25">
      <c r="I3644" s="1"/>
      <c r="J3644" s="1"/>
      <c r="N3644" s="1"/>
      <c r="Z3644" s="1"/>
      <c r="AA3644" s="1"/>
      <c r="AE3644" s="1"/>
    </row>
    <row r="3645" spans="9:31" x14ac:dyDescent="0.25">
      <c r="I3645" s="1"/>
      <c r="J3645" s="1"/>
      <c r="N3645" s="1"/>
      <c r="Z3645" s="1"/>
      <c r="AA3645" s="1"/>
      <c r="AE3645" s="1"/>
    </row>
    <row r="3646" spans="9:31" x14ac:dyDescent="0.25">
      <c r="I3646" s="1"/>
      <c r="J3646" s="1"/>
      <c r="N3646" s="1"/>
      <c r="Z3646" s="1"/>
      <c r="AA3646" s="1"/>
      <c r="AE3646" s="1"/>
    </row>
    <row r="3647" spans="9:31" x14ac:dyDescent="0.25">
      <c r="N3647" s="1"/>
      <c r="Z3647" s="1"/>
      <c r="AA3647" s="1"/>
      <c r="AE3647" s="1"/>
    </row>
    <row r="3648" spans="9:31" x14ac:dyDescent="0.25">
      <c r="N3648" s="1"/>
      <c r="AE3648" s="1"/>
    </row>
    <row r="3649" spans="9:31" x14ac:dyDescent="0.25">
      <c r="I3649" s="1"/>
      <c r="J3649" s="1"/>
      <c r="N3649" s="1"/>
      <c r="AE3649" s="1"/>
    </row>
    <row r="3650" spans="9:31" x14ac:dyDescent="0.25">
      <c r="I3650" s="1"/>
      <c r="J3650" s="1"/>
      <c r="N3650" s="1"/>
      <c r="Z3650" s="1"/>
      <c r="AA3650" s="1"/>
      <c r="AE3650" s="1"/>
    </row>
    <row r="3651" spans="9:31" x14ac:dyDescent="0.25">
      <c r="I3651" s="1"/>
      <c r="J3651" s="1"/>
      <c r="N3651" s="1"/>
      <c r="Z3651" s="1"/>
      <c r="AA3651" s="1"/>
      <c r="AE3651" s="1"/>
    </row>
    <row r="3652" spans="9:31" x14ac:dyDescent="0.25">
      <c r="I3652" s="1"/>
      <c r="J3652" s="1"/>
      <c r="N3652" s="1"/>
      <c r="AE3652" s="1"/>
    </row>
    <row r="3653" spans="9:31" x14ac:dyDescent="0.25">
      <c r="I3653" s="1"/>
      <c r="J3653" s="1"/>
      <c r="N3653" s="1"/>
      <c r="Z3653" s="1"/>
      <c r="AA3653" s="1"/>
      <c r="AE3653" s="1"/>
    </row>
    <row r="3654" spans="9:31" x14ac:dyDescent="0.25">
      <c r="I3654" s="1"/>
      <c r="J3654" s="1"/>
      <c r="N3654" s="1"/>
      <c r="Z3654" s="1"/>
      <c r="AA3654" s="1"/>
      <c r="AE3654" s="1"/>
    </row>
    <row r="3655" spans="9:31" x14ac:dyDescent="0.25">
      <c r="I3655" s="1"/>
      <c r="J3655" s="1"/>
      <c r="N3655" s="1"/>
      <c r="Z3655" s="1"/>
      <c r="AA3655" s="1"/>
      <c r="AE3655" s="1"/>
    </row>
    <row r="3656" spans="9:31" x14ac:dyDescent="0.25">
      <c r="I3656" s="1"/>
      <c r="J3656" s="1"/>
      <c r="N3656" s="1"/>
      <c r="Z3656" s="1"/>
      <c r="AA3656" s="1"/>
      <c r="AE3656" s="1"/>
    </row>
    <row r="3657" spans="9:31" x14ac:dyDescent="0.25">
      <c r="I3657" s="1"/>
      <c r="J3657" s="1"/>
      <c r="N3657" s="1"/>
      <c r="Z3657" s="1"/>
      <c r="AA3657" s="1"/>
      <c r="AE3657" s="1"/>
    </row>
    <row r="3658" spans="9:31" x14ac:dyDescent="0.25">
      <c r="I3658" s="1"/>
      <c r="J3658" s="1"/>
      <c r="N3658" s="1"/>
      <c r="Z3658" s="1"/>
      <c r="AA3658" s="1"/>
      <c r="AE3658" s="1"/>
    </row>
    <row r="3659" spans="9:31" x14ac:dyDescent="0.25">
      <c r="I3659" s="1"/>
      <c r="J3659" s="1"/>
      <c r="N3659" s="1"/>
      <c r="Z3659" s="1"/>
      <c r="AA3659" s="1"/>
      <c r="AE3659" s="1"/>
    </row>
    <row r="3660" spans="9:31" x14ac:dyDescent="0.25">
      <c r="N3660" s="1"/>
      <c r="Z3660" s="1"/>
      <c r="AA3660" s="1"/>
      <c r="AE3660" s="1"/>
    </row>
    <row r="3661" spans="9:31" x14ac:dyDescent="0.25">
      <c r="I3661" s="1"/>
      <c r="J3661" s="1"/>
      <c r="N3661" s="1"/>
      <c r="AE3661" s="1"/>
    </row>
    <row r="3662" spans="9:31" x14ac:dyDescent="0.25">
      <c r="I3662" s="1"/>
      <c r="J3662" s="1"/>
      <c r="N3662" s="1"/>
      <c r="Z3662" s="1"/>
      <c r="AA3662" s="1"/>
      <c r="AE3662" s="1"/>
    </row>
    <row r="3663" spans="9:31" x14ac:dyDescent="0.25">
      <c r="I3663" s="1"/>
      <c r="J3663" s="1"/>
      <c r="N3663" s="1"/>
      <c r="Z3663" s="1"/>
      <c r="AA3663" s="1"/>
      <c r="AE3663" s="1"/>
    </row>
    <row r="3664" spans="9:31" x14ac:dyDescent="0.25">
      <c r="I3664" s="1"/>
      <c r="J3664" s="1"/>
      <c r="N3664" s="1"/>
      <c r="Z3664" s="1"/>
      <c r="AA3664" s="1"/>
      <c r="AE3664" s="1"/>
    </row>
    <row r="3665" spans="9:31" x14ac:dyDescent="0.25">
      <c r="I3665" s="1"/>
      <c r="J3665" s="1"/>
      <c r="N3665" s="1"/>
      <c r="Z3665" s="1"/>
      <c r="AA3665" s="1"/>
      <c r="AE3665" s="1"/>
    </row>
    <row r="3666" spans="9:31" x14ac:dyDescent="0.25">
      <c r="I3666" s="1"/>
      <c r="J3666" s="1"/>
      <c r="N3666" s="1"/>
      <c r="Z3666" s="1"/>
      <c r="AA3666" s="1"/>
      <c r="AE3666" s="1"/>
    </row>
    <row r="3667" spans="9:31" x14ac:dyDescent="0.25">
      <c r="I3667" s="1"/>
      <c r="J3667" s="1"/>
      <c r="N3667" s="1"/>
      <c r="Z3667" s="1"/>
      <c r="AA3667" s="1"/>
      <c r="AE3667" s="1"/>
    </row>
    <row r="3668" spans="9:31" x14ac:dyDescent="0.25">
      <c r="I3668" s="1"/>
      <c r="J3668" s="1"/>
      <c r="N3668" s="1"/>
      <c r="Z3668" s="1"/>
      <c r="AA3668" s="1"/>
      <c r="AE3668" s="1"/>
    </row>
    <row r="3669" spans="9:31" x14ac:dyDescent="0.25">
      <c r="I3669" s="1"/>
      <c r="J3669" s="1"/>
      <c r="N3669" s="1"/>
      <c r="Z3669" s="1"/>
      <c r="AA3669" s="1"/>
      <c r="AE3669" s="1"/>
    </row>
    <row r="3670" spans="9:31" x14ac:dyDescent="0.25">
      <c r="I3670" s="1"/>
      <c r="J3670" s="1"/>
      <c r="N3670" s="1"/>
      <c r="Z3670" s="1"/>
      <c r="AA3670" s="1"/>
      <c r="AE3670" s="1"/>
    </row>
    <row r="3671" spans="9:31" x14ac:dyDescent="0.25">
      <c r="I3671" s="1"/>
      <c r="J3671" s="1"/>
      <c r="N3671" s="1"/>
      <c r="Z3671" s="1"/>
      <c r="AA3671" s="1"/>
      <c r="AE3671" s="1"/>
    </row>
    <row r="3672" spans="9:31" x14ac:dyDescent="0.25">
      <c r="I3672" s="1"/>
      <c r="J3672" s="1"/>
      <c r="N3672" s="1"/>
      <c r="Z3672" s="1"/>
      <c r="AA3672" s="1"/>
      <c r="AE3672" s="1"/>
    </row>
    <row r="3673" spans="9:31" x14ac:dyDescent="0.25">
      <c r="I3673" s="1"/>
      <c r="J3673" s="1"/>
      <c r="N3673" s="1"/>
      <c r="Z3673" s="1"/>
      <c r="AA3673" s="1"/>
      <c r="AE3673" s="1"/>
    </row>
    <row r="3674" spans="9:31" x14ac:dyDescent="0.25">
      <c r="I3674" s="1"/>
      <c r="J3674" s="1"/>
      <c r="N3674" s="1"/>
      <c r="AE3674" s="1"/>
    </row>
    <row r="3675" spans="9:31" x14ac:dyDescent="0.25">
      <c r="I3675" s="1"/>
      <c r="J3675" s="1"/>
      <c r="N3675" s="1"/>
      <c r="Z3675" s="1"/>
      <c r="AA3675" s="1"/>
      <c r="AE3675" s="1"/>
    </row>
    <row r="3676" spans="9:31" x14ac:dyDescent="0.25">
      <c r="N3676" s="1"/>
      <c r="Z3676" s="1"/>
      <c r="AA3676" s="1"/>
      <c r="AE3676" s="1"/>
    </row>
    <row r="3677" spans="9:31" x14ac:dyDescent="0.25">
      <c r="I3677" s="1"/>
      <c r="J3677" s="1"/>
      <c r="N3677" s="1"/>
      <c r="AE3677" s="1"/>
    </row>
    <row r="3678" spans="9:31" x14ac:dyDescent="0.25">
      <c r="I3678" s="1"/>
      <c r="J3678" s="1"/>
      <c r="N3678" s="1"/>
      <c r="Z3678" s="1"/>
      <c r="AA3678" s="1"/>
      <c r="AE3678" s="1"/>
    </row>
    <row r="3679" spans="9:31" x14ac:dyDescent="0.25">
      <c r="I3679" s="1"/>
      <c r="J3679" s="1"/>
      <c r="N3679" s="1"/>
      <c r="AE3679" s="1"/>
    </row>
    <row r="3680" spans="9:31" x14ac:dyDescent="0.25">
      <c r="N3680" s="1"/>
      <c r="Z3680" s="1"/>
      <c r="AA3680" s="1"/>
      <c r="AE3680" s="1"/>
    </row>
    <row r="3681" spans="9:31" x14ac:dyDescent="0.25">
      <c r="I3681" s="1"/>
      <c r="J3681" s="1"/>
      <c r="N3681" s="1"/>
      <c r="AE3681" s="1"/>
    </row>
    <row r="3682" spans="9:31" x14ac:dyDescent="0.25">
      <c r="I3682" s="1"/>
      <c r="J3682" s="1"/>
      <c r="N3682" s="1"/>
      <c r="Z3682" s="1"/>
      <c r="AA3682" s="1"/>
      <c r="AE3682" s="1"/>
    </row>
    <row r="3683" spans="9:31" x14ac:dyDescent="0.25">
      <c r="I3683" s="1"/>
      <c r="J3683" s="1"/>
      <c r="N3683" s="1"/>
      <c r="Z3683" s="1"/>
      <c r="AA3683" s="1"/>
      <c r="AE3683" s="1"/>
    </row>
    <row r="3684" spans="9:31" x14ac:dyDescent="0.25">
      <c r="I3684" s="1"/>
      <c r="J3684" s="1"/>
      <c r="N3684" s="1"/>
      <c r="AE3684" s="1"/>
    </row>
    <row r="3685" spans="9:31" x14ac:dyDescent="0.25">
      <c r="I3685" s="1"/>
      <c r="J3685" s="1"/>
      <c r="N3685" s="1"/>
      <c r="Z3685" s="1"/>
      <c r="AA3685" s="1"/>
      <c r="AE3685" s="1"/>
    </row>
    <row r="3686" spans="9:31" x14ac:dyDescent="0.25">
      <c r="I3686" s="1"/>
      <c r="J3686" s="1"/>
      <c r="N3686" s="1"/>
      <c r="Z3686" s="1"/>
      <c r="AA3686" s="1"/>
      <c r="AE3686" s="1"/>
    </row>
    <row r="3687" spans="9:31" x14ac:dyDescent="0.25">
      <c r="I3687" s="1"/>
      <c r="J3687" s="1"/>
      <c r="N3687" s="1"/>
      <c r="Z3687" s="1"/>
      <c r="AA3687" s="1"/>
      <c r="AE3687" s="1"/>
    </row>
    <row r="3688" spans="9:31" x14ac:dyDescent="0.25">
      <c r="I3688" s="1"/>
      <c r="J3688" s="1"/>
      <c r="N3688" s="1"/>
      <c r="Z3688" s="1"/>
      <c r="AA3688" s="1"/>
      <c r="AE3688" s="1"/>
    </row>
    <row r="3689" spans="9:31" x14ac:dyDescent="0.25">
      <c r="I3689" s="1"/>
      <c r="J3689" s="1"/>
      <c r="N3689" s="1"/>
      <c r="AE3689" s="1"/>
    </row>
    <row r="3690" spans="9:31" x14ac:dyDescent="0.25">
      <c r="I3690" s="1"/>
      <c r="J3690" s="1"/>
      <c r="N3690" s="1"/>
      <c r="Z3690" s="1"/>
      <c r="AA3690" s="1"/>
      <c r="AE3690" s="1"/>
    </row>
    <row r="3691" spans="9:31" x14ac:dyDescent="0.25">
      <c r="I3691" s="1"/>
      <c r="J3691" s="1"/>
      <c r="N3691" s="1"/>
      <c r="Z3691" s="1"/>
      <c r="AA3691" s="1"/>
      <c r="AE3691" s="1"/>
    </row>
    <row r="3692" spans="9:31" x14ac:dyDescent="0.25">
      <c r="I3692" s="1"/>
      <c r="J3692" s="1"/>
      <c r="N3692" s="1"/>
      <c r="Z3692" s="1"/>
      <c r="AA3692" s="1"/>
      <c r="AE3692" s="1"/>
    </row>
    <row r="3693" spans="9:31" x14ac:dyDescent="0.25">
      <c r="I3693" s="1"/>
      <c r="J3693" s="1"/>
      <c r="N3693" s="1"/>
      <c r="Z3693" s="1"/>
      <c r="AA3693" s="1"/>
      <c r="AE3693" s="1"/>
    </row>
    <row r="3694" spans="9:31" x14ac:dyDescent="0.25">
      <c r="I3694" s="1"/>
      <c r="J3694" s="1"/>
      <c r="N3694" s="1"/>
      <c r="Z3694" s="1"/>
      <c r="AA3694" s="1"/>
      <c r="AE3694" s="1"/>
    </row>
    <row r="3695" spans="9:31" x14ac:dyDescent="0.25">
      <c r="I3695" s="1"/>
      <c r="J3695" s="1"/>
      <c r="N3695" s="1"/>
      <c r="Z3695" s="1"/>
      <c r="AA3695" s="1"/>
      <c r="AE3695" s="1"/>
    </row>
    <row r="3696" spans="9:31" x14ac:dyDescent="0.25">
      <c r="N3696" s="1"/>
      <c r="AE3696" s="1"/>
    </row>
    <row r="3697" spans="9:31" x14ac:dyDescent="0.25">
      <c r="I3697" s="1"/>
      <c r="J3697" s="1"/>
      <c r="N3697" s="1"/>
      <c r="AE3697" s="1"/>
    </row>
    <row r="3698" spans="9:31" x14ac:dyDescent="0.25">
      <c r="I3698" s="1"/>
      <c r="J3698" s="1"/>
      <c r="N3698" s="1"/>
      <c r="Z3698" s="1"/>
      <c r="AA3698" s="1"/>
      <c r="AE3698" s="1"/>
    </row>
    <row r="3699" spans="9:31" x14ac:dyDescent="0.25">
      <c r="I3699" s="1"/>
      <c r="N3699" s="1"/>
      <c r="Z3699" s="1"/>
      <c r="AA3699" s="1"/>
      <c r="AE3699" s="1"/>
    </row>
    <row r="3700" spans="9:31" x14ac:dyDescent="0.25">
      <c r="I3700" s="1"/>
      <c r="J3700" s="1"/>
      <c r="N3700" s="1"/>
      <c r="AE3700" s="1"/>
    </row>
    <row r="3701" spans="9:31" x14ac:dyDescent="0.25">
      <c r="I3701" s="1"/>
      <c r="J3701" s="1"/>
      <c r="N3701" s="1"/>
      <c r="Z3701" s="1"/>
      <c r="AA3701" s="1"/>
      <c r="AE3701" s="1"/>
    </row>
    <row r="3702" spans="9:31" x14ac:dyDescent="0.25">
      <c r="I3702" s="1"/>
      <c r="J3702" s="1"/>
      <c r="N3702" s="1"/>
      <c r="Z3702" s="1"/>
      <c r="AA3702" s="1"/>
      <c r="AE3702" s="1"/>
    </row>
    <row r="3703" spans="9:31" x14ac:dyDescent="0.25">
      <c r="I3703" s="1"/>
      <c r="J3703" s="1"/>
      <c r="N3703" s="1"/>
      <c r="Z3703" s="1"/>
      <c r="AA3703" s="1"/>
      <c r="AE3703" s="1"/>
    </row>
    <row r="3704" spans="9:31" x14ac:dyDescent="0.25">
      <c r="I3704" s="1"/>
      <c r="J3704" s="1"/>
      <c r="N3704" s="1"/>
      <c r="Z3704" s="1"/>
      <c r="AA3704" s="1"/>
      <c r="AE3704" s="1"/>
    </row>
    <row r="3705" spans="9:31" x14ac:dyDescent="0.25">
      <c r="N3705" s="1"/>
      <c r="Z3705" s="1"/>
      <c r="AA3705" s="1"/>
      <c r="AE3705" s="1"/>
    </row>
    <row r="3706" spans="9:31" x14ac:dyDescent="0.25">
      <c r="I3706" s="1"/>
      <c r="J3706" s="1"/>
      <c r="N3706" s="1"/>
      <c r="AE3706" s="1"/>
    </row>
    <row r="3707" spans="9:31" x14ac:dyDescent="0.25">
      <c r="I3707" s="1"/>
      <c r="J3707" s="1"/>
      <c r="N3707" s="1"/>
      <c r="AE3707" s="1"/>
    </row>
    <row r="3708" spans="9:31" x14ac:dyDescent="0.25">
      <c r="I3708" s="1"/>
      <c r="J3708" s="1"/>
      <c r="N3708" s="1"/>
      <c r="Z3708" s="1"/>
      <c r="AA3708" s="1"/>
      <c r="AE3708" s="1"/>
    </row>
    <row r="3709" spans="9:31" x14ac:dyDescent="0.25">
      <c r="I3709" s="1"/>
      <c r="J3709" s="1"/>
      <c r="N3709" s="1"/>
      <c r="Z3709" s="1"/>
      <c r="AA3709" s="1"/>
      <c r="AE3709" s="1"/>
    </row>
    <row r="3710" spans="9:31" x14ac:dyDescent="0.25">
      <c r="I3710" s="1"/>
      <c r="J3710" s="1"/>
      <c r="N3710" s="1"/>
      <c r="Z3710" s="1"/>
      <c r="AA3710" s="1"/>
      <c r="AE3710" s="1"/>
    </row>
    <row r="3711" spans="9:31" x14ac:dyDescent="0.25">
      <c r="I3711" s="1"/>
      <c r="J3711" s="1"/>
      <c r="N3711" s="1"/>
      <c r="Z3711" s="1"/>
      <c r="AA3711" s="1"/>
      <c r="AE3711" s="1"/>
    </row>
    <row r="3712" spans="9:31" x14ac:dyDescent="0.25">
      <c r="I3712" s="1"/>
      <c r="J3712" s="1"/>
      <c r="N3712" s="1"/>
      <c r="Z3712" s="1"/>
      <c r="AA3712" s="1"/>
      <c r="AE3712" s="1"/>
    </row>
    <row r="3713" spans="9:31" x14ac:dyDescent="0.25">
      <c r="I3713" s="1"/>
      <c r="N3713" s="1"/>
      <c r="Z3713" s="1"/>
      <c r="AA3713" s="1"/>
      <c r="AE3713" s="1"/>
    </row>
    <row r="3714" spans="9:31" x14ac:dyDescent="0.25">
      <c r="I3714" s="1"/>
      <c r="J3714" s="1"/>
      <c r="N3714" s="1"/>
      <c r="Z3714" s="1"/>
      <c r="AE3714" s="1"/>
    </row>
    <row r="3715" spans="9:31" x14ac:dyDescent="0.25">
      <c r="I3715" s="1"/>
      <c r="J3715" s="1"/>
      <c r="N3715" s="1"/>
      <c r="Z3715" s="1"/>
      <c r="AA3715" s="1"/>
      <c r="AE3715" s="1"/>
    </row>
    <row r="3716" spans="9:31" x14ac:dyDescent="0.25">
      <c r="I3716" s="1"/>
      <c r="J3716" s="1"/>
      <c r="N3716" s="1"/>
      <c r="Z3716" s="1"/>
      <c r="AA3716" s="1"/>
      <c r="AE3716" s="1"/>
    </row>
    <row r="3717" spans="9:31" x14ac:dyDescent="0.25">
      <c r="I3717" s="1"/>
      <c r="J3717" s="1"/>
      <c r="N3717" s="1"/>
      <c r="Z3717" s="1"/>
      <c r="AA3717" s="1"/>
      <c r="AE3717" s="1"/>
    </row>
    <row r="3718" spans="9:31" x14ac:dyDescent="0.25">
      <c r="I3718" s="1"/>
      <c r="J3718" s="1"/>
      <c r="N3718" s="1"/>
      <c r="Z3718" s="1"/>
      <c r="AA3718" s="1"/>
      <c r="AE3718" s="1"/>
    </row>
    <row r="3719" spans="9:31" x14ac:dyDescent="0.25">
      <c r="I3719" s="1"/>
      <c r="J3719" s="1"/>
      <c r="N3719" s="1"/>
      <c r="Z3719" s="1"/>
      <c r="AA3719" s="1"/>
      <c r="AE3719" s="1"/>
    </row>
    <row r="3720" spans="9:31" x14ac:dyDescent="0.25">
      <c r="I3720" s="1"/>
      <c r="J3720" s="1"/>
      <c r="N3720" s="1"/>
      <c r="Z3720" s="1"/>
      <c r="AA3720" s="1"/>
      <c r="AE3720" s="1"/>
    </row>
    <row r="3721" spans="9:31" x14ac:dyDescent="0.25">
      <c r="I3721" s="1"/>
      <c r="J3721" s="1"/>
      <c r="N3721" s="1"/>
      <c r="Z3721" s="1"/>
      <c r="AA3721" s="1"/>
      <c r="AE3721" s="1"/>
    </row>
    <row r="3722" spans="9:31" x14ac:dyDescent="0.25">
      <c r="I3722" s="1"/>
      <c r="J3722" s="1"/>
      <c r="N3722" s="1"/>
      <c r="Z3722" s="1"/>
      <c r="AA3722" s="1"/>
      <c r="AE3722" s="1"/>
    </row>
    <row r="3723" spans="9:31" x14ac:dyDescent="0.25">
      <c r="I3723" s="1"/>
      <c r="J3723" s="1"/>
      <c r="N3723" s="1"/>
      <c r="Z3723" s="1"/>
      <c r="AA3723" s="1"/>
      <c r="AE3723" s="1"/>
    </row>
    <row r="3724" spans="9:31" x14ac:dyDescent="0.25">
      <c r="I3724" s="1"/>
      <c r="J3724" s="1"/>
      <c r="N3724" s="1"/>
      <c r="Z3724" s="1"/>
      <c r="AA3724" s="1"/>
      <c r="AE3724" s="1"/>
    </row>
    <row r="3725" spans="9:31" x14ac:dyDescent="0.25">
      <c r="I3725" s="1"/>
      <c r="J3725" s="1"/>
      <c r="N3725" s="1"/>
      <c r="Z3725" s="1"/>
      <c r="AA3725" s="1"/>
      <c r="AE3725" s="1"/>
    </row>
    <row r="3726" spans="9:31" x14ac:dyDescent="0.25">
      <c r="I3726" s="1"/>
      <c r="J3726" s="1"/>
      <c r="N3726" s="1"/>
      <c r="Z3726" s="1"/>
      <c r="AA3726" s="1"/>
      <c r="AE3726" s="1"/>
    </row>
    <row r="3727" spans="9:31" x14ac:dyDescent="0.25">
      <c r="I3727" s="1"/>
      <c r="J3727" s="1"/>
      <c r="N3727" s="1"/>
      <c r="Z3727" s="1"/>
      <c r="AA3727" s="1"/>
      <c r="AE3727" s="1"/>
    </row>
    <row r="3728" spans="9:31" x14ac:dyDescent="0.25">
      <c r="I3728" s="1"/>
      <c r="J3728" s="1"/>
      <c r="N3728" s="1"/>
      <c r="Z3728" s="1"/>
      <c r="AA3728" s="1"/>
      <c r="AE3728" s="1"/>
    </row>
    <row r="3729" spans="9:31" x14ac:dyDescent="0.25">
      <c r="I3729" s="1"/>
      <c r="J3729" s="1"/>
      <c r="N3729" s="1"/>
      <c r="Z3729" s="1"/>
      <c r="AA3729" s="1"/>
      <c r="AE3729" s="1"/>
    </row>
    <row r="3730" spans="9:31" x14ac:dyDescent="0.25">
      <c r="I3730" s="1"/>
      <c r="J3730" s="1"/>
      <c r="N3730" s="1"/>
      <c r="Z3730" s="1"/>
      <c r="AA3730" s="1"/>
      <c r="AE3730" s="1"/>
    </row>
    <row r="3731" spans="9:31" x14ac:dyDescent="0.25">
      <c r="I3731" s="1"/>
      <c r="J3731" s="1"/>
      <c r="N3731" s="1"/>
      <c r="Z3731" s="1"/>
      <c r="AA3731" s="1"/>
      <c r="AE3731" s="1"/>
    </row>
    <row r="3732" spans="9:31" x14ac:dyDescent="0.25">
      <c r="I3732" s="1"/>
      <c r="J3732" s="1"/>
      <c r="N3732" s="1"/>
      <c r="Z3732" s="1"/>
      <c r="AA3732" s="1"/>
      <c r="AE3732" s="1"/>
    </row>
    <row r="3733" spans="9:31" x14ac:dyDescent="0.25">
      <c r="I3733" s="1"/>
      <c r="J3733" s="1"/>
      <c r="N3733" s="1"/>
      <c r="Z3733" s="1"/>
      <c r="AA3733" s="1"/>
      <c r="AE3733" s="1"/>
    </row>
    <row r="3734" spans="9:31" x14ac:dyDescent="0.25">
      <c r="I3734" s="1"/>
      <c r="J3734" s="1"/>
      <c r="N3734" s="1"/>
      <c r="Z3734" s="1"/>
      <c r="AA3734" s="1"/>
      <c r="AE3734" s="1"/>
    </row>
    <row r="3735" spans="9:31" x14ac:dyDescent="0.25">
      <c r="I3735" s="1"/>
      <c r="J3735" s="1"/>
      <c r="N3735" s="1"/>
      <c r="AE3735" s="1"/>
    </row>
    <row r="3736" spans="9:31" x14ac:dyDescent="0.25">
      <c r="I3736" s="1"/>
      <c r="J3736" s="1"/>
      <c r="N3736" s="1"/>
      <c r="Z3736" s="1"/>
      <c r="AA3736" s="1"/>
      <c r="AE3736" s="1"/>
    </row>
    <row r="3737" spans="9:31" x14ac:dyDescent="0.25">
      <c r="I3737" s="1"/>
      <c r="J3737" s="1"/>
      <c r="N3737" s="1"/>
      <c r="Z3737" s="1"/>
      <c r="AA3737" s="1"/>
      <c r="AE3737" s="1"/>
    </row>
    <row r="3738" spans="9:31" x14ac:dyDescent="0.25">
      <c r="I3738" s="1"/>
      <c r="J3738" s="1"/>
      <c r="N3738" s="1"/>
      <c r="AE3738" s="1"/>
    </row>
    <row r="3739" spans="9:31" x14ac:dyDescent="0.25">
      <c r="I3739" s="1"/>
      <c r="J3739" s="1"/>
      <c r="N3739" s="1"/>
      <c r="Z3739" s="1"/>
      <c r="AA3739" s="1"/>
      <c r="AE3739" s="1"/>
    </row>
    <row r="3740" spans="9:31" x14ac:dyDescent="0.25">
      <c r="I3740" s="1"/>
      <c r="J3740" s="1"/>
      <c r="N3740" s="1"/>
      <c r="Z3740" s="1"/>
      <c r="AA3740" s="1"/>
      <c r="AE3740" s="1"/>
    </row>
    <row r="3741" spans="9:31" x14ac:dyDescent="0.25">
      <c r="I3741" s="1"/>
      <c r="J3741" s="1"/>
      <c r="N3741" s="1"/>
      <c r="Z3741" s="1"/>
      <c r="AA3741" s="1"/>
      <c r="AE3741" s="1"/>
    </row>
    <row r="3742" spans="9:31" x14ac:dyDescent="0.25">
      <c r="I3742" s="1"/>
      <c r="J3742" s="1"/>
      <c r="N3742" s="1"/>
      <c r="Z3742" s="1"/>
      <c r="AA3742" s="1"/>
      <c r="AE3742" s="1"/>
    </row>
    <row r="3743" spans="9:31" x14ac:dyDescent="0.25">
      <c r="N3743" s="1"/>
      <c r="AE3743" s="1"/>
    </row>
    <row r="3744" spans="9:31" x14ac:dyDescent="0.25">
      <c r="I3744" s="1"/>
      <c r="J3744" s="1"/>
      <c r="N3744" s="1"/>
      <c r="AE3744" s="1"/>
    </row>
    <row r="3745" spans="9:31" x14ac:dyDescent="0.25">
      <c r="I3745" s="1"/>
      <c r="J3745" s="1"/>
      <c r="N3745" s="1"/>
      <c r="Z3745" s="1"/>
      <c r="AA3745" s="1"/>
      <c r="AE3745" s="1"/>
    </row>
    <row r="3746" spans="9:31" x14ac:dyDescent="0.25">
      <c r="N3746" s="1"/>
      <c r="Z3746" s="1"/>
      <c r="AA3746" s="1"/>
      <c r="AE3746" s="1"/>
    </row>
    <row r="3747" spans="9:31" x14ac:dyDescent="0.25">
      <c r="I3747" s="1"/>
      <c r="J3747" s="1"/>
      <c r="N3747" s="1"/>
      <c r="AE3747" s="1"/>
    </row>
    <row r="3748" spans="9:31" x14ac:dyDescent="0.25">
      <c r="N3748" s="1"/>
      <c r="Z3748" s="1"/>
      <c r="AA3748" s="1"/>
      <c r="AE3748" s="1"/>
    </row>
    <row r="3749" spans="9:31" x14ac:dyDescent="0.25">
      <c r="I3749" s="1"/>
      <c r="J3749" s="1"/>
      <c r="N3749" s="1"/>
      <c r="AE3749" s="1"/>
    </row>
    <row r="3750" spans="9:31" x14ac:dyDescent="0.25">
      <c r="I3750" s="1"/>
      <c r="J3750" s="1"/>
      <c r="N3750" s="1"/>
      <c r="Z3750" s="1"/>
      <c r="AA3750" s="1"/>
      <c r="AE3750" s="1"/>
    </row>
    <row r="3751" spans="9:31" x14ac:dyDescent="0.25">
      <c r="I3751" s="1"/>
      <c r="J3751" s="1"/>
      <c r="N3751" s="1"/>
      <c r="AE3751" s="1"/>
    </row>
    <row r="3752" spans="9:31" x14ac:dyDescent="0.25">
      <c r="I3752" s="1"/>
      <c r="J3752" s="1"/>
      <c r="N3752" s="1"/>
      <c r="Z3752" s="1"/>
      <c r="AA3752" s="1"/>
      <c r="AE3752" s="1"/>
    </row>
    <row r="3753" spans="9:31" x14ac:dyDescent="0.25">
      <c r="I3753" s="1"/>
      <c r="J3753" s="1"/>
      <c r="N3753" s="1"/>
      <c r="AE3753" s="1"/>
    </row>
    <row r="3754" spans="9:31" x14ac:dyDescent="0.25">
      <c r="I3754" s="1"/>
      <c r="J3754" s="1"/>
      <c r="N3754" s="1"/>
      <c r="Z3754" s="1"/>
      <c r="AA3754" s="1"/>
      <c r="AE3754" s="1"/>
    </row>
    <row r="3755" spans="9:31" x14ac:dyDescent="0.25">
      <c r="I3755" s="1"/>
      <c r="J3755" s="1"/>
      <c r="N3755" s="1"/>
      <c r="Z3755" s="1"/>
      <c r="AA3755" s="1"/>
      <c r="AE3755" s="1"/>
    </row>
    <row r="3756" spans="9:31" x14ac:dyDescent="0.25">
      <c r="I3756" s="1"/>
      <c r="J3756" s="1"/>
      <c r="N3756" s="1"/>
      <c r="Z3756" s="1"/>
      <c r="AA3756" s="1"/>
      <c r="AE3756" s="1"/>
    </row>
    <row r="3757" spans="9:31" x14ac:dyDescent="0.25">
      <c r="N3757" s="1"/>
      <c r="Z3757" s="1"/>
      <c r="AA3757" s="1"/>
      <c r="AE3757" s="1"/>
    </row>
    <row r="3758" spans="9:31" x14ac:dyDescent="0.25">
      <c r="I3758" s="1"/>
      <c r="J3758" s="1"/>
      <c r="N3758" s="1"/>
      <c r="AE3758" s="1"/>
    </row>
    <row r="3759" spans="9:31" x14ac:dyDescent="0.25">
      <c r="I3759" s="1"/>
      <c r="J3759" s="1"/>
      <c r="N3759" s="1"/>
      <c r="Z3759" s="1"/>
      <c r="AA3759" s="1"/>
      <c r="AE3759" s="1"/>
    </row>
    <row r="3760" spans="9:31" x14ac:dyDescent="0.25">
      <c r="I3760" s="1"/>
      <c r="J3760" s="1"/>
      <c r="N3760" s="1"/>
      <c r="AE3760" s="1"/>
    </row>
    <row r="3761" spans="9:31" x14ac:dyDescent="0.25">
      <c r="I3761" s="1"/>
      <c r="J3761" s="1"/>
      <c r="N3761" s="1"/>
      <c r="Z3761" s="1"/>
      <c r="AA3761" s="1"/>
      <c r="AE3761" s="1"/>
    </row>
    <row r="3762" spans="9:31" x14ac:dyDescent="0.25">
      <c r="I3762" s="1"/>
      <c r="J3762" s="1"/>
      <c r="N3762" s="1"/>
      <c r="Z3762" s="1"/>
      <c r="AA3762" s="1"/>
      <c r="AE3762" s="1"/>
    </row>
    <row r="3763" spans="9:31" x14ac:dyDescent="0.25">
      <c r="I3763" s="1"/>
      <c r="J3763" s="1"/>
      <c r="N3763" s="1"/>
      <c r="Z3763" s="1"/>
      <c r="AA3763" s="1"/>
      <c r="AE3763" s="1"/>
    </row>
    <row r="3764" spans="9:31" x14ac:dyDescent="0.25">
      <c r="I3764" s="1"/>
      <c r="J3764" s="1"/>
      <c r="N3764" s="1"/>
      <c r="Z3764" s="1"/>
      <c r="AA3764" s="1"/>
      <c r="AE3764" s="1"/>
    </row>
    <row r="3765" spans="9:31" x14ac:dyDescent="0.25">
      <c r="I3765" s="1"/>
      <c r="J3765" s="1"/>
      <c r="N3765" s="1"/>
      <c r="Z3765" s="1"/>
      <c r="AA3765" s="1"/>
      <c r="AE3765" s="1"/>
    </row>
    <row r="3766" spans="9:31" x14ac:dyDescent="0.25">
      <c r="I3766" s="1"/>
      <c r="J3766" s="1"/>
      <c r="N3766" s="1"/>
      <c r="Z3766" s="1"/>
      <c r="AA3766" s="1"/>
      <c r="AE3766" s="1"/>
    </row>
    <row r="3767" spans="9:31" x14ac:dyDescent="0.25">
      <c r="I3767" s="1"/>
      <c r="J3767" s="1"/>
      <c r="N3767" s="1"/>
      <c r="Z3767" s="1"/>
      <c r="AA3767" s="1"/>
      <c r="AE3767" s="1"/>
    </row>
    <row r="3768" spans="9:31" x14ac:dyDescent="0.25">
      <c r="I3768" s="1"/>
      <c r="J3768" s="1"/>
      <c r="N3768" s="1"/>
      <c r="Z3768" s="1"/>
      <c r="AA3768" s="1"/>
      <c r="AE3768" s="1"/>
    </row>
    <row r="3769" spans="9:31" x14ac:dyDescent="0.25">
      <c r="I3769" s="1"/>
      <c r="J3769" s="1"/>
      <c r="N3769" s="1"/>
      <c r="Z3769" s="1"/>
      <c r="AA3769" s="1"/>
      <c r="AE3769" s="1"/>
    </row>
    <row r="3770" spans="9:31" x14ac:dyDescent="0.25">
      <c r="I3770" s="1"/>
      <c r="J3770" s="1"/>
      <c r="N3770" s="1"/>
      <c r="AE3770" s="1"/>
    </row>
    <row r="3771" spans="9:31" x14ac:dyDescent="0.25">
      <c r="I3771" s="1"/>
      <c r="J3771" s="1"/>
      <c r="N3771" s="1"/>
      <c r="Z3771" s="1"/>
      <c r="AA3771" s="1"/>
      <c r="AE3771" s="1"/>
    </row>
    <row r="3772" spans="9:31" x14ac:dyDescent="0.25">
      <c r="N3772" s="1"/>
      <c r="Z3772" s="1"/>
      <c r="AA3772" s="1"/>
      <c r="AE3772" s="1"/>
    </row>
    <row r="3773" spans="9:31" x14ac:dyDescent="0.25">
      <c r="I3773" s="1"/>
      <c r="J3773" s="1"/>
      <c r="N3773" s="1"/>
      <c r="AE3773" s="1"/>
    </row>
    <row r="3774" spans="9:31" x14ac:dyDescent="0.25">
      <c r="I3774" s="1"/>
      <c r="J3774" s="1"/>
      <c r="N3774" s="1"/>
      <c r="Z3774" s="1"/>
      <c r="AA3774" s="1"/>
      <c r="AE3774" s="1"/>
    </row>
    <row r="3775" spans="9:31" x14ac:dyDescent="0.25">
      <c r="I3775" s="1"/>
      <c r="J3775" s="1"/>
      <c r="N3775" s="1"/>
      <c r="Z3775" s="1"/>
      <c r="AA3775" s="1"/>
      <c r="AE3775" s="1"/>
    </row>
    <row r="3776" spans="9:31" x14ac:dyDescent="0.25">
      <c r="I3776" s="1"/>
      <c r="J3776" s="1"/>
      <c r="N3776" s="1"/>
      <c r="AE3776" s="1"/>
    </row>
    <row r="3777" spans="9:31" x14ac:dyDescent="0.25">
      <c r="I3777" s="1"/>
      <c r="J3777" s="1"/>
      <c r="N3777" s="1"/>
      <c r="AE3777" s="1"/>
    </row>
    <row r="3778" spans="9:31" x14ac:dyDescent="0.25">
      <c r="I3778" s="1"/>
      <c r="J3778" s="1"/>
      <c r="N3778" s="1"/>
      <c r="Z3778" s="1"/>
      <c r="AA3778" s="1"/>
      <c r="AE3778" s="1"/>
    </row>
    <row r="3779" spans="9:31" x14ac:dyDescent="0.25">
      <c r="I3779" s="1"/>
      <c r="J3779" s="1"/>
      <c r="N3779" s="1"/>
      <c r="Z3779" s="1"/>
      <c r="AA3779" s="1"/>
      <c r="AE3779" s="1"/>
    </row>
    <row r="3780" spans="9:31" x14ac:dyDescent="0.25">
      <c r="I3780" s="1"/>
      <c r="J3780" s="1"/>
      <c r="N3780" s="1"/>
      <c r="Z3780" s="1"/>
      <c r="AA3780" s="1"/>
      <c r="AE3780" s="1"/>
    </row>
    <row r="3781" spans="9:31" x14ac:dyDescent="0.25">
      <c r="I3781" s="1"/>
      <c r="J3781" s="1"/>
      <c r="N3781" s="1"/>
      <c r="Z3781" s="1"/>
      <c r="AA3781" s="1"/>
      <c r="AE3781" s="1"/>
    </row>
    <row r="3782" spans="9:31" x14ac:dyDescent="0.25">
      <c r="I3782" s="1"/>
      <c r="J3782" s="1"/>
      <c r="N3782" s="1"/>
      <c r="Z3782" s="1"/>
      <c r="AA3782" s="1"/>
      <c r="AE3782" s="1"/>
    </row>
    <row r="3783" spans="9:31" x14ac:dyDescent="0.25">
      <c r="I3783" s="1"/>
      <c r="J3783" s="1"/>
      <c r="N3783" s="1"/>
      <c r="Z3783" s="1"/>
      <c r="AA3783" s="1"/>
      <c r="AE3783" s="1"/>
    </row>
    <row r="3784" spans="9:31" x14ac:dyDescent="0.25">
      <c r="I3784" s="1"/>
      <c r="J3784" s="1"/>
      <c r="N3784" s="1"/>
      <c r="Z3784" s="1"/>
      <c r="AA3784" s="1"/>
      <c r="AE3784" s="1"/>
    </row>
    <row r="3785" spans="9:31" x14ac:dyDescent="0.25">
      <c r="N3785" s="1"/>
      <c r="Z3785" s="1"/>
      <c r="AA3785" s="1"/>
      <c r="AE3785" s="1"/>
    </row>
    <row r="3786" spans="9:31" x14ac:dyDescent="0.25">
      <c r="I3786" s="1"/>
      <c r="J3786" s="1"/>
      <c r="N3786" s="1"/>
      <c r="AE3786" s="1"/>
    </row>
    <row r="3787" spans="9:31" x14ac:dyDescent="0.25">
      <c r="N3787" s="1"/>
      <c r="Z3787" s="1"/>
      <c r="AA3787" s="1"/>
      <c r="AE3787" s="1"/>
    </row>
    <row r="3788" spans="9:31" x14ac:dyDescent="0.25">
      <c r="I3788" s="1"/>
      <c r="J3788" s="1"/>
      <c r="N3788" s="1"/>
      <c r="AE3788" s="1"/>
    </row>
    <row r="3789" spans="9:31" x14ac:dyDescent="0.25">
      <c r="I3789" s="1"/>
      <c r="J3789" s="1"/>
      <c r="N3789" s="1"/>
      <c r="AE3789" s="1"/>
    </row>
    <row r="3790" spans="9:31" x14ac:dyDescent="0.25">
      <c r="N3790" s="1"/>
      <c r="Z3790" s="1"/>
      <c r="AA3790" s="1"/>
      <c r="AE3790" s="1"/>
    </row>
    <row r="3791" spans="9:31" x14ac:dyDescent="0.25">
      <c r="I3791" s="1"/>
      <c r="J3791" s="1"/>
      <c r="N3791" s="1"/>
      <c r="AE3791" s="1"/>
    </row>
    <row r="3792" spans="9:31" x14ac:dyDescent="0.25">
      <c r="I3792" s="1"/>
      <c r="J3792" s="1"/>
      <c r="N3792" s="1"/>
      <c r="Z3792" s="1"/>
      <c r="AA3792" s="1"/>
      <c r="AE3792" s="1"/>
    </row>
    <row r="3793" spans="9:31" x14ac:dyDescent="0.25">
      <c r="I3793" s="1"/>
      <c r="J3793" s="1"/>
      <c r="N3793" s="1"/>
      <c r="Z3793" s="1"/>
      <c r="AA3793" s="1"/>
      <c r="AE3793" s="1"/>
    </row>
    <row r="3794" spans="9:31" x14ac:dyDescent="0.25">
      <c r="I3794" s="1"/>
      <c r="J3794" s="1"/>
      <c r="N3794" s="1"/>
      <c r="Z3794" s="1"/>
      <c r="AA3794" s="1"/>
      <c r="AE3794" s="1"/>
    </row>
    <row r="3795" spans="9:31" x14ac:dyDescent="0.25">
      <c r="I3795" s="1"/>
      <c r="J3795" s="1"/>
      <c r="N3795" s="1"/>
      <c r="Z3795" s="1"/>
      <c r="AA3795" s="1"/>
      <c r="AE3795" s="1"/>
    </row>
    <row r="3796" spans="9:31" x14ac:dyDescent="0.25">
      <c r="I3796" s="1"/>
      <c r="J3796" s="1"/>
      <c r="N3796" s="1"/>
      <c r="Z3796" s="1"/>
      <c r="AA3796" s="1"/>
      <c r="AE3796" s="1"/>
    </row>
    <row r="3797" spans="9:31" x14ac:dyDescent="0.25">
      <c r="I3797" s="1"/>
      <c r="J3797" s="1"/>
      <c r="N3797" s="1"/>
      <c r="Z3797" s="1"/>
      <c r="AA3797" s="1"/>
      <c r="AE3797" s="1"/>
    </row>
    <row r="3798" spans="9:31" x14ac:dyDescent="0.25">
      <c r="I3798" s="1"/>
      <c r="J3798" s="1"/>
      <c r="N3798" s="1"/>
      <c r="Z3798" s="1"/>
      <c r="AA3798" s="1"/>
      <c r="AE3798" s="1"/>
    </row>
    <row r="3799" spans="9:31" x14ac:dyDescent="0.25">
      <c r="I3799" s="1"/>
      <c r="J3799" s="1"/>
      <c r="N3799" s="1"/>
      <c r="Z3799" s="1"/>
      <c r="AA3799" s="1"/>
      <c r="AE3799" s="1"/>
    </row>
    <row r="3800" spans="9:31" x14ac:dyDescent="0.25">
      <c r="I3800" s="1"/>
      <c r="J3800" s="1"/>
      <c r="N3800" s="1"/>
      <c r="AE3800" s="1"/>
    </row>
    <row r="3801" spans="9:31" x14ac:dyDescent="0.25">
      <c r="I3801" s="1"/>
      <c r="J3801" s="1"/>
      <c r="N3801" s="1"/>
      <c r="Z3801" s="1"/>
      <c r="AA3801" s="1"/>
      <c r="AE3801" s="1"/>
    </row>
    <row r="3802" spans="9:31" x14ac:dyDescent="0.25">
      <c r="I3802" s="1"/>
      <c r="J3802" s="1"/>
      <c r="N3802" s="1"/>
      <c r="Z3802" s="1"/>
      <c r="AA3802" s="1"/>
      <c r="AE3802" s="1"/>
    </row>
    <row r="3803" spans="9:31" x14ac:dyDescent="0.25">
      <c r="I3803" s="1"/>
      <c r="J3803" s="1"/>
      <c r="N3803" s="1"/>
      <c r="Z3803" s="1"/>
      <c r="AA3803" s="1"/>
      <c r="AE3803" s="1"/>
    </row>
    <row r="3804" spans="9:31" x14ac:dyDescent="0.25">
      <c r="I3804" s="1"/>
      <c r="J3804" s="1"/>
      <c r="N3804" s="1"/>
      <c r="Z3804" s="1"/>
      <c r="AA3804" s="1"/>
      <c r="AE3804" s="1"/>
    </row>
    <row r="3805" spans="9:31" x14ac:dyDescent="0.25">
      <c r="I3805" s="1"/>
      <c r="J3805" s="1"/>
      <c r="N3805" s="1"/>
      <c r="Z3805" s="1"/>
      <c r="AA3805" s="1"/>
      <c r="AE3805" s="1"/>
    </row>
    <row r="3806" spans="9:31" x14ac:dyDescent="0.25">
      <c r="N3806" s="1"/>
      <c r="Z3806" s="1"/>
      <c r="AA3806" s="1"/>
      <c r="AE3806" s="1"/>
    </row>
    <row r="3807" spans="9:31" x14ac:dyDescent="0.25">
      <c r="I3807" s="1"/>
      <c r="J3807" s="1"/>
      <c r="N3807" s="1"/>
      <c r="AE3807" s="1"/>
    </row>
    <row r="3808" spans="9:31" x14ac:dyDescent="0.25">
      <c r="N3808" s="1"/>
      <c r="Z3808" s="1"/>
      <c r="AA3808" s="1"/>
      <c r="AE3808" s="1"/>
    </row>
    <row r="3809" spans="9:31" x14ac:dyDescent="0.25">
      <c r="N3809" s="1"/>
      <c r="AE3809" s="1"/>
    </row>
    <row r="3810" spans="9:31" x14ac:dyDescent="0.25">
      <c r="I3810" s="1"/>
      <c r="J3810" s="1"/>
      <c r="N3810" s="1"/>
      <c r="AE3810" s="1"/>
    </row>
    <row r="3811" spans="9:31" x14ac:dyDescent="0.25">
      <c r="I3811" s="1"/>
      <c r="J3811" s="1"/>
      <c r="N3811" s="1"/>
      <c r="Z3811" s="1"/>
      <c r="AA3811" s="1"/>
      <c r="AE3811" s="1"/>
    </row>
    <row r="3812" spans="9:31" x14ac:dyDescent="0.25">
      <c r="N3812" s="1"/>
      <c r="Z3812" s="1"/>
      <c r="AA3812" s="1"/>
      <c r="AE3812" s="1"/>
    </row>
    <row r="3813" spans="9:31" x14ac:dyDescent="0.25">
      <c r="N3813" s="1"/>
      <c r="AE3813" s="1"/>
    </row>
    <row r="3814" spans="9:31" x14ac:dyDescent="0.25">
      <c r="I3814" s="1"/>
      <c r="J3814" s="1"/>
      <c r="N3814" s="1"/>
      <c r="AE3814" s="1"/>
    </row>
    <row r="3815" spans="9:31" x14ac:dyDescent="0.25">
      <c r="I3815" s="1"/>
      <c r="J3815" s="1"/>
      <c r="N3815" s="1"/>
      <c r="AE3815" s="1"/>
    </row>
    <row r="3816" spans="9:31" x14ac:dyDescent="0.25">
      <c r="N3816" s="1"/>
      <c r="Z3816" s="1"/>
      <c r="AA3816" s="1"/>
      <c r="AE3816" s="1"/>
    </row>
    <row r="3817" spans="9:31" x14ac:dyDescent="0.25">
      <c r="I3817" s="1"/>
      <c r="J3817" s="1"/>
      <c r="N3817" s="1"/>
      <c r="AE3817" s="1"/>
    </row>
    <row r="3818" spans="9:31" x14ac:dyDescent="0.25">
      <c r="I3818" s="1"/>
      <c r="J3818" s="1"/>
      <c r="N3818" s="1"/>
      <c r="Z3818" s="1"/>
      <c r="AA3818" s="1"/>
      <c r="AE3818" s="1"/>
    </row>
    <row r="3819" spans="9:31" x14ac:dyDescent="0.25">
      <c r="I3819" s="1"/>
      <c r="J3819" s="1"/>
      <c r="N3819" s="1"/>
      <c r="Z3819" s="1"/>
      <c r="AA3819" s="1"/>
      <c r="AE3819" s="1"/>
    </row>
    <row r="3820" spans="9:31" x14ac:dyDescent="0.25">
      <c r="I3820" s="1"/>
      <c r="J3820" s="1"/>
      <c r="N3820" s="1"/>
      <c r="Z3820" s="1"/>
      <c r="AA3820" s="1"/>
      <c r="AE3820" s="1"/>
    </row>
    <row r="3821" spans="9:31" x14ac:dyDescent="0.25">
      <c r="I3821" s="1"/>
      <c r="J3821" s="1"/>
      <c r="N3821" s="1"/>
      <c r="Z3821" s="1"/>
      <c r="AA3821" s="1"/>
      <c r="AE3821" s="1"/>
    </row>
    <row r="3822" spans="9:31" x14ac:dyDescent="0.25">
      <c r="I3822" s="1"/>
      <c r="J3822" s="1"/>
      <c r="N3822" s="1"/>
      <c r="Z3822" s="1"/>
      <c r="AA3822" s="1"/>
      <c r="AE3822" s="1"/>
    </row>
    <row r="3823" spans="9:31" x14ac:dyDescent="0.25">
      <c r="I3823" s="1"/>
      <c r="J3823" s="1"/>
      <c r="N3823" s="1"/>
      <c r="Z3823" s="1"/>
      <c r="AA3823" s="1"/>
      <c r="AE3823" s="1"/>
    </row>
    <row r="3824" spans="9:31" x14ac:dyDescent="0.25">
      <c r="I3824" s="1"/>
      <c r="J3824" s="1"/>
      <c r="N3824" s="1"/>
      <c r="Z3824" s="1"/>
      <c r="AA3824" s="1"/>
      <c r="AE3824" s="1"/>
    </row>
    <row r="3825" spans="9:31" x14ac:dyDescent="0.25">
      <c r="I3825" s="1"/>
      <c r="J3825" s="1"/>
      <c r="N3825" s="1"/>
      <c r="Z3825" s="1"/>
      <c r="AA3825" s="1"/>
      <c r="AE3825" s="1"/>
    </row>
    <row r="3826" spans="9:31" x14ac:dyDescent="0.25">
      <c r="I3826" s="1"/>
      <c r="J3826" s="1"/>
      <c r="N3826" s="1"/>
      <c r="Z3826" s="1"/>
      <c r="AA3826" s="1"/>
      <c r="AE3826" s="1"/>
    </row>
    <row r="3827" spans="9:31" x14ac:dyDescent="0.25">
      <c r="I3827" s="1"/>
      <c r="J3827" s="1"/>
      <c r="N3827" s="1"/>
      <c r="Z3827" s="1"/>
      <c r="AA3827" s="1"/>
      <c r="AE3827" s="1"/>
    </row>
    <row r="3828" spans="9:31" x14ac:dyDescent="0.25">
      <c r="I3828" s="1"/>
      <c r="J3828" s="1"/>
      <c r="N3828" s="1"/>
      <c r="Z3828" s="1"/>
      <c r="AA3828" s="1"/>
      <c r="AE3828" s="1"/>
    </row>
    <row r="3829" spans="9:31" x14ac:dyDescent="0.25">
      <c r="I3829" s="1"/>
      <c r="J3829" s="1"/>
      <c r="N3829" s="1"/>
      <c r="Z3829" s="1"/>
      <c r="AA3829" s="1"/>
      <c r="AE3829" s="1"/>
    </row>
    <row r="3830" spans="9:31" x14ac:dyDescent="0.25">
      <c r="I3830" s="1"/>
      <c r="J3830" s="1"/>
      <c r="N3830" s="1"/>
      <c r="Z3830" s="1"/>
      <c r="AA3830" s="1"/>
      <c r="AE3830" s="1"/>
    </row>
    <row r="3831" spans="9:31" x14ac:dyDescent="0.25">
      <c r="I3831" s="1"/>
      <c r="J3831" s="1"/>
      <c r="N3831" s="1"/>
      <c r="AE3831" s="1"/>
    </row>
    <row r="3832" spans="9:31" x14ac:dyDescent="0.25">
      <c r="I3832" s="1"/>
      <c r="J3832" s="1"/>
      <c r="N3832" s="1"/>
      <c r="AE3832" s="1"/>
    </row>
    <row r="3833" spans="9:31" x14ac:dyDescent="0.25">
      <c r="I3833" s="1"/>
      <c r="J3833" s="1"/>
      <c r="N3833" s="1"/>
      <c r="Z3833" s="1"/>
      <c r="AA3833" s="1"/>
      <c r="AE3833" s="1"/>
    </row>
    <row r="3834" spans="9:31" x14ac:dyDescent="0.25">
      <c r="I3834" s="1"/>
      <c r="J3834" s="1"/>
      <c r="N3834" s="1"/>
      <c r="Z3834" s="1"/>
      <c r="AA3834" s="1"/>
      <c r="AE3834" s="1"/>
    </row>
    <row r="3835" spans="9:31" x14ac:dyDescent="0.25">
      <c r="I3835" s="1"/>
      <c r="J3835" s="1"/>
      <c r="N3835" s="1"/>
      <c r="Z3835" s="1"/>
      <c r="AA3835" s="1"/>
      <c r="AE3835" s="1"/>
    </row>
    <row r="3836" spans="9:31" x14ac:dyDescent="0.25">
      <c r="I3836" s="1"/>
      <c r="J3836" s="1"/>
      <c r="N3836" s="1"/>
      <c r="Z3836" s="1"/>
      <c r="AA3836" s="1"/>
      <c r="AE3836" s="1"/>
    </row>
    <row r="3837" spans="9:31" x14ac:dyDescent="0.25">
      <c r="I3837" s="1"/>
      <c r="J3837" s="1"/>
      <c r="N3837" s="1"/>
      <c r="Z3837" s="1"/>
      <c r="AA3837" s="1"/>
      <c r="AE3837" s="1"/>
    </row>
    <row r="3838" spans="9:31" x14ac:dyDescent="0.25">
      <c r="I3838" s="1"/>
      <c r="J3838" s="1"/>
      <c r="N3838" s="1"/>
      <c r="Z3838" s="1"/>
      <c r="AA3838" s="1"/>
      <c r="AE3838" s="1"/>
    </row>
    <row r="3839" spans="9:31" x14ac:dyDescent="0.25">
      <c r="I3839" s="1"/>
      <c r="J3839" s="1"/>
      <c r="N3839" s="1"/>
      <c r="AE3839" s="1"/>
    </row>
    <row r="3840" spans="9:31" x14ac:dyDescent="0.25">
      <c r="I3840" s="1"/>
      <c r="J3840" s="1"/>
      <c r="N3840" s="1"/>
      <c r="Z3840" s="1"/>
      <c r="AA3840" s="1"/>
      <c r="AE3840" s="1"/>
    </row>
    <row r="3841" spans="9:31" x14ac:dyDescent="0.25">
      <c r="N3841" s="1"/>
      <c r="Z3841" s="1"/>
      <c r="AA3841" s="1"/>
      <c r="AE3841" s="1"/>
    </row>
    <row r="3842" spans="9:31" x14ac:dyDescent="0.25">
      <c r="I3842" s="1"/>
      <c r="J3842" s="1"/>
      <c r="N3842" s="1"/>
      <c r="AE3842" s="1"/>
    </row>
    <row r="3843" spans="9:31" x14ac:dyDescent="0.25">
      <c r="I3843" s="1"/>
      <c r="J3843" s="1"/>
      <c r="N3843" s="1"/>
      <c r="AE3843" s="1"/>
    </row>
    <row r="3844" spans="9:31" x14ac:dyDescent="0.25">
      <c r="I3844" s="1"/>
      <c r="J3844" s="1"/>
      <c r="N3844" s="1"/>
      <c r="AE3844" s="1"/>
    </row>
    <row r="3845" spans="9:31" x14ac:dyDescent="0.25">
      <c r="I3845" s="1"/>
      <c r="J3845" s="1"/>
      <c r="N3845" s="1"/>
      <c r="AE3845" s="1"/>
    </row>
    <row r="3846" spans="9:31" x14ac:dyDescent="0.25">
      <c r="I3846" s="1"/>
      <c r="J3846" s="1"/>
      <c r="N3846" s="1"/>
      <c r="Z3846" s="1"/>
      <c r="AA3846" s="1"/>
      <c r="AE3846" s="1"/>
    </row>
    <row r="3847" spans="9:31" x14ac:dyDescent="0.25">
      <c r="I3847" s="1"/>
      <c r="J3847" s="1"/>
      <c r="N3847" s="1"/>
      <c r="AE3847" s="1"/>
    </row>
    <row r="3848" spans="9:31" x14ac:dyDescent="0.25">
      <c r="I3848" s="1"/>
      <c r="J3848" s="1"/>
      <c r="N3848" s="1"/>
      <c r="AE3848" s="1"/>
    </row>
    <row r="3849" spans="9:31" x14ac:dyDescent="0.25">
      <c r="I3849" s="1"/>
      <c r="J3849" s="1"/>
      <c r="N3849" s="1"/>
      <c r="Z3849" s="1"/>
      <c r="AA3849" s="1"/>
      <c r="AE3849" s="1"/>
    </row>
    <row r="3850" spans="9:31" x14ac:dyDescent="0.25">
      <c r="I3850" s="1"/>
      <c r="J3850" s="1"/>
      <c r="N3850" s="1"/>
      <c r="Z3850" s="1"/>
      <c r="AA3850" s="1"/>
      <c r="AE3850" s="1"/>
    </row>
    <row r="3851" spans="9:31" x14ac:dyDescent="0.25">
      <c r="I3851" s="1"/>
      <c r="J3851" s="1"/>
      <c r="N3851" s="1"/>
      <c r="Z3851" s="1"/>
      <c r="AA3851" s="1"/>
      <c r="AE3851" s="1"/>
    </row>
    <row r="3852" spans="9:31" x14ac:dyDescent="0.25">
      <c r="I3852" s="1"/>
      <c r="J3852" s="1"/>
      <c r="N3852" s="1"/>
      <c r="AE3852" s="1"/>
    </row>
    <row r="3853" spans="9:31" x14ac:dyDescent="0.25">
      <c r="I3853" s="1"/>
      <c r="J3853" s="1"/>
      <c r="N3853" s="1"/>
      <c r="Z3853" s="1"/>
      <c r="AA3853" s="1"/>
      <c r="AE3853" s="1"/>
    </row>
    <row r="3854" spans="9:31" x14ac:dyDescent="0.25">
      <c r="I3854" s="1"/>
      <c r="J3854" s="1"/>
      <c r="N3854" s="1"/>
      <c r="Z3854" s="1"/>
      <c r="AA3854" s="1"/>
      <c r="AE3854" s="1"/>
    </row>
    <row r="3855" spans="9:31" x14ac:dyDescent="0.25">
      <c r="I3855" s="1"/>
      <c r="J3855" s="1"/>
      <c r="N3855" s="1"/>
      <c r="AE3855" s="1"/>
    </row>
    <row r="3856" spans="9:31" x14ac:dyDescent="0.25">
      <c r="I3856" s="1"/>
      <c r="J3856" s="1"/>
      <c r="N3856" s="1"/>
      <c r="Z3856" s="1"/>
      <c r="AA3856" s="1"/>
      <c r="AE3856" s="1"/>
    </row>
    <row r="3857" spans="9:31" x14ac:dyDescent="0.25">
      <c r="I3857" s="1"/>
      <c r="J3857" s="1"/>
      <c r="N3857" s="1"/>
      <c r="Z3857" s="1"/>
      <c r="AE3857" s="1"/>
    </row>
    <row r="3858" spans="9:31" x14ac:dyDescent="0.25">
      <c r="I3858" s="1"/>
      <c r="J3858" s="1"/>
      <c r="N3858" s="1"/>
      <c r="Z3858" s="1"/>
      <c r="AA3858" s="1"/>
      <c r="AE3858" s="1"/>
    </row>
    <row r="3859" spans="9:31" x14ac:dyDescent="0.25">
      <c r="I3859" s="1"/>
      <c r="J3859" s="1"/>
      <c r="N3859" s="1"/>
      <c r="Z3859" s="1"/>
      <c r="AA3859" s="1"/>
      <c r="AE3859" s="1"/>
    </row>
    <row r="3860" spans="9:31" x14ac:dyDescent="0.25">
      <c r="I3860" s="1"/>
      <c r="J3860" s="1"/>
      <c r="N3860" s="1"/>
      <c r="Z3860" s="1"/>
      <c r="AA3860" s="1"/>
      <c r="AE3860" s="1"/>
    </row>
    <row r="3861" spans="9:31" x14ac:dyDescent="0.25">
      <c r="I3861" s="1"/>
      <c r="J3861" s="1"/>
      <c r="N3861" s="1"/>
      <c r="Z3861" s="1"/>
      <c r="AA3861" s="1"/>
      <c r="AE3861" s="1"/>
    </row>
    <row r="3862" spans="9:31" x14ac:dyDescent="0.25">
      <c r="I3862" s="1"/>
      <c r="J3862" s="1"/>
      <c r="N3862" s="1"/>
      <c r="AE3862" s="1"/>
    </row>
    <row r="3863" spans="9:31" x14ac:dyDescent="0.25">
      <c r="I3863" s="1"/>
      <c r="J3863" s="1"/>
      <c r="N3863" s="1"/>
      <c r="Z3863" s="1"/>
      <c r="AA3863" s="1"/>
      <c r="AE3863" s="1"/>
    </row>
    <row r="3864" spans="9:31" x14ac:dyDescent="0.25">
      <c r="I3864" s="1"/>
      <c r="J3864" s="1"/>
      <c r="N3864" s="1"/>
      <c r="Z3864" s="1"/>
      <c r="AA3864" s="1"/>
      <c r="AE3864" s="1"/>
    </row>
    <row r="3865" spans="9:31" x14ac:dyDescent="0.25">
      <c r="I3865" s="1"/>
      <c r="J3865" s="1"/>
      <c r="N3865" s="1"/>
      <c r="Z3865" s="1"/>
      <c r="AA3865" s="1"/>
      <c r="AE3865" s="1"/>
    </row>
    <row r="3866" spans="9:31" x14ac:dyDescent="0.25">
      <c r="I3866" s="1"/>
      <c r="J3866" s="1"/>
      <c r="N3866" s="1"/>
      <c r="AE3866" s="1"/>
    </row>
    <row r="3867" spans="9:31" x14ac:dyDescent="0.25">
      <c r="I3867" s="1"/>
      <c r="J3867" s="1"/>
      <c r="N3867" s="1"/>
      <c r="Z3867" s="1"/>
      <c r="AA3867" s="1"/>
      <c r="AE3867" s="1"/>
    </row>
    <row r="3868" spans="9:31" x14ac:dyDescent="0.25">
      <c r="I3868" s="1"/>
      <c r="J3868" s="1"/>
      <c r="N3868" s="1"/>
      <c r="Z3868" s="1"/>
      <c r="AA3868" s="1"/>
      <c r="AE3868" s="1"/>
    </row>
    <row r="3869" spans="9:31" x14ac:dyDescent="0.25">
      <c r="I3869" s="1"/>
      <c r="J3869" s="1"/>
      <c r="N3869" s="1"/>
      <c r="AE3869" s="1"/>
    </row>
    <row r="3870" spans="9:31" x14ac:dyDescent="0.25">
      <c r="I3870" s="1"/>
      <c r="J3870" s="1"/>
      <c r="N3870" s="1"/>
      <c r="Z3870" s="1"/>
      <c r="AA3870" s="1"/>
      <c r="AE3870" s="1"/>
    </row>
    <row r="3871" spans="9:31" x14ac:dyDescent="0.25">
      <c r="I3871" s="1"/>
      <c r="J3871" s="1"/>
      <c r="N3871" s="1"/>
      <c r="Z3871" s="1"/>
      <c r="AA3871" s="1"/>
      <c r="AE3871" s="1"/>
    </row>
    <row r="3872" spans="9:31" x14ac:dyDescent="0.25">
      <c r="I3872" s="1"/>
      <c r="J3872" s="1"/>
      <c r="N3872" s="1"/>
      <c r="Z3872" s="1"/>
      <c r="AA3872" s="1"/>
      <c r="AE3872" s="1"/>
    </row>
    <row r="3873" spans="9:31" x14ac:dyDescent="0.25">
      <c r="I3873" s="1"/>
      <c r="J3873" s="1"/>
      <c r="N3873" s="1"/>
      <c r="AE3873" s="1"/>
    </row>
    <row r="3874" spans="9:31" x14ac:dyDescent="0.25">
      <c r="I3874" s="1"/>
      <c r="J3874" s="1"/>
      <c r="N3874" s="1"/>
      <c r="Z3874" s="1"/>
      <c r="AA3874" s="1"/>
      <c r="AE3874" s="1"/>
    </row>
    <row r="3875" spans="9:31" x14ac:dyDescent="0.25">
      <c r="I3875" s="1"/>
      <c r="J3875" s="1"/>
      <c r="N3875" s="1"/>
      <c r="Z3875" s="1"/>
      <c r="AA3875" s="1"/>
      <c r="AE3875" s="1"/>
    </row>
    <row r="3876" spans="9:31" x14ac:dyDescent="0.25">
      <c r="I3876" s="1"/>
      <c r="J3876" s="1"/>
      <c r="N3876" s="1"/>
      <c r="Z3876" s="1"/>
      <c r="AA3876" s="1"/>
      <c r="AE3876" s="1"/>
    </row>
    <row r="3877" spans="9:31" x14ac:dyDescent="0.25">
      <c r="I3877" s="1"/>
      <c r="J3877" s="1"/>
      <c r="N3877" s="1"/>
      <c r="AE3877" s="1"/>
    </row>
    <row r="3878" spans="9:31" x14ac:dyDescent="0.25">
      <c r="I3878" s="1"/>
      <c r="J3878" s="1"/>
      <c r="N3878" s="1"/>
      <c r="Z3878" s="1"/>
      <c r="AA3878" s="1"/>
      <c r="AE3878" s="1"/>
    </row>
    <row r="3879" spans="9:31" x14ac:dyDescent="0.25">
      <c r="I3879" s="1"/>
      <c r="J3879" s="1"/>
      <c r="N3879" s="1"/>
      <c r="Z3879" s="1"/>
      <c r="AA3879" s="1"/>
      <c r="AE3879" s="1"/>
    </row>
    <row r="3880" spans="9:31" x14ac:dyDescent="0.25">
      <c r="N3880" s="1"/>
      <c r="Z3880" s="1"/>
      <c r="AA3880" s="1"/>
      <c r="AE3880" s="1"/>
    </row>
    <row r="3881" spans="9:31" x14ac:dyDescent="0.25">
      <c r="I3881" s="1"/>
      <c r="J3881" s="1"/>
      <c r="N3881" s="1"/>
      <c r="AE3881" s="1"/>
    </row>
    <row r="3882" spans="9:31" x14ac:dyDescent="0.25">
      <c r="I3882" s="1"/>
      <c r="J3882" s="1"/>
      <c r="N3882" s="1"/>
      <c r="AE3882" s="1"/>
    </row>
    <row r="3883" spans="9:31" x14ac:dyDescent="0.25">
      <c r="I3883" s="1"/>
      <c r="J3883" s="1"/>
      <c r="N3883" s="1"/>
      <c r="AE3883" s="1"/>
    </row>
    <row r="3884" spans="9:31" x14ac:dyDescent="0.25">
      <c r="I3884" s="1"/>
      <c r="J3884" s="1"/>
      <c r="N3884" s="1"/>
      <c r="Z3884" s="1"/>
      <c r="AA3884" s="1"/>
      <c r="AE3884" s="1"/>
    </row>
    <row r="3885" spans="9:31" x14ac:dyDescent="0.25">
      <c r="I3885" s="1"/>
      <c r="J3885" s="1"/>
      <c r="N3885" s="1"/>
      <c r="Z3885" s="1"/>
      <c r="AA3885" s="1"/>
      <c r="AE3885" s="1"/>
    </row>
    <row r="3886" spans="9:31" x14ac:dyDescent="0.25">
      <c r="I3886" s="1"/>
      <c r="J3886" s="1"/>
      <c r="N3886" s="1"/>
      <c r="Z3886" s="1"/>
      <c r="AA3886" s="1"/>
      <c r="AE3886" s="1"/>
    </row>
    <row r="3887" spans="9:31" x14ac:dyDescent="0.25">
      <c r="I3887" s="1"/>
      <c r="J3887" s="1"/>
      <c r="N3887" s="1"/>
      <c r="Z3887" s="1"/>
      <c r="AA3887" s="1"/>
      <c r="AE3887" s="1"/>
    </row>
    <row r="3888" spans="9:31" x14ac:dyDescent="0.25">
      <c r="I3888" s="1"/>
      <c r="J3888" s="1"/>
      <c r="N3888" s="1"/>
      <c r="Z3888" s="1"/>
      <c r="AA3888" s="1"/>
      <c r="AE3888" s="1"/>
    </row>
    <row r="3889" spans="9:31" x14ac:dyDescent="0.25">
      <c r="I3889" s="1"/>
      <c r="J3889" s="1"/>
      <c r="N3889" s="1"/>
      <c r="Z3889" s="1"/>
      <c r="AA3889" s="1"/>
      <c r="AE3889" s="1"/>
    </row>
    <row r="3890" spans="9:31" x14ac:dyDescent="0.25">
      <c r="I3890" s="1"/>
      <c r="J3890" s="1"/>
      <c r="N3890" s="1"/>
      <c r="AE3890" s="1"/>
    </row>
    <row r="3891" spans="9:31" x14ac:dyDescent="0.25">
      <c r="I3891" s="1"/>
      <c r="J3891" s="1"/>
      <c r="N3891" s="1"/>
      <c r="Z3891" s="1"/>
      <c r="AA3891" s="1"/>
      <c r="AE3891" s="1"/>
    </row>
    <row r="3892" spans="9:31" x14ac:dyDescent="0.25">
      <c r="I3892" s="1"/>
      <c r="J3892" s="1"/>
      <c r="N3892" s="1"/>
      <c r="AE3892" s="1"/>
    </row>
    <row r="3893" spans="9:31" x14ac:dyDescent="0.25">
      <c r="I3893" s="1"/>
      <c r="J3893" s="1"/>
      <c r="N3893" s="1"/>
      <c r="Z3893" s="1"/>
      <c r="AA3893" s="1"/>
      <c r="AE3893" s="1"/>
    </row>
    <row r="3894" spans="9:31" x14ac:dyDescent="0.25">
      <c r="I3894" s="1"/>
      <c r="J3894" s="1"/>
      <c r="N3894" s="1"/>
      <c r="AE3894" s="1"/>
    </row>
    <row r="3895" spans="9:31" x14ac:dyDescent="0.25">
      <c r="I3895" s="1"/>
      <c r="J3895" s="1"/>
      <c r="N3895" s="1"/>
      <c r="AE3895" s="1"/>
    </row>
    <row r="3896" spans="9:31" x14ac:dyDescent="0.25">
      <c r="I3896" s="1"/>
      <c r="J3896" s="1"/>
      <c r="N3896" s="1"/>
      <c r="Z3896" s="1"/>
      <c r="AA3896" s="1"/>
      <c r="AE3896" s="1"/>
    </row>
    <row r="3897" spans="9:31" x14ac:dyDescent="0.25">
      <c r="I3897" s="1"/>
      <c r="J3897" s="1"/>
      <c r="N3897" s="1"/>
      <c r="Z3897" s="1"/>
      <c r="AA3897" s="1"/>
      <c r="AE3897" s="1"/>
    </row>
    <row r="3898" spans="9:31" x14ac:dyDescent="0.25">
      <c r="I3898" s="1"/>
      <c r="J3898" s="1"/>
      <c r="N3898" s="1"/>
      <c r="Z3898" s="1"/>
      <c r="AA3898" s="1"/>
      <c r="AE3898" s="1"/>
    </row>
    <row r="3899" spans="9:31" x14ac:dyDescent="0.25">
      <c r="I3899" s="1"/>
      <c r="J3899" s="1"/>
      <c r="N3899" s="1"/>
      <c r="Z3899" s="1"/>
      <c r="AA3899" s="1"/>
      <c r="AE3899" s="1"/>
    </row>
    <row r="3900" spans="9:31" x14ac:dyDescent="0.25">
      <c r="I3900" s="1"/>
      <c r="J3900" s="1"/>
      <c r="N3900" s="1"/>
      <c r="AE3900" s="1"/>
    </row>
    <row r="3901" spans="9:31" x14ac:dyDescent="0.25">
      <c r="I3901" s="1"/>
      <c r="J3901" s="1"/>
      <c r="N3901" s="1"/>
      <c r="Z3901" s="1"/>
      <c r="AA3901" s="1"/>
      <c r="AE3901" s="1"/>
    </row>
    <row r="3902" spans="9:31" x14ac:dyDescent="0.25">
      <c r="N3902" s="1"/>
      <c r="Z3902" s="1"/>
      <c r="AA3902" s="1"/>
      <c r="AE3902" s="1"/>
    </row>
    <row r="3903" spans="9:31" x14ac:dyDescent="0.25">
      <c r="N3903" s="1"/>
      <c r="AE3903" s="1"/>
    </row>
    <row r="3904" spans="9:31" x14ac:dyDescent="0.25">
      <c r="I3904" s="1"/>
      <c r="J3904" s="1"/>
      <c r="N3904" s="1"/>
      <c r="AE3904" s="1"/>
    </row>
    <row r="3905" spans="9:31" x14ac:dyDescent="0.25">
      <c r="I3905" s="1"/>
      <c r="J3905" s="1"/>
      <c r="N3905" s="1"/>
      <c r="Z3905" s="1"/>
      <c r="AA3905" s="1"/>
      <c r="AE3905" s="1"/>
    </row>
    <row r="3906" spans="9:31" x14ac:dyDescent="0.25">
      <c r="I3906" s="1"/>
      <c r="J3906" s="1"/>
      <c r="N3906" s="1"/>
      <c r="Z3906" s="1"/>
      <c r="AA3906" s="1"/>
      <c r="AE3906" s="1"/>
    </row>
    <row r="3907" spans="9:31" x14ac:dyDescent="0.25">
      <c r="I3907" s="1"/>
      <c r="J3907" s="1"/>
      <c r="N3907" s="1"/>
      <c r="Z3907" s="1"/>
      <c r="AA3907" s="1"/>
      <c r="AE3907" s="1"/>
    </row>
    <row r="3908" spans="9:31" x14ac:dyDescent="0.25">
      <c r="I3908" s="1"/>
      <c r="J3908" s="1"/>
      <c r="N3908" s="1"/>
      <c r="Z3908" s="1"/>
      <c r="AA3908" s="1"/>
      <c r="AE3908" s="1"/>
    </row>
    <row r="3909" spans="9:31" x14ac:dyDescent="0.25">
      <c r="I3909" s="1"/>
      <c r="J3909" s="1"/>
      <c r="N3909" s="1"/>
      <c r="Z3909" s="1"/>
      <c r="AA3909" s="1"/>
      <c r="AE3909" s="1"/>
    </row>
    <row r="3910" spans="9:31" x14ac:dyDescent="0.25">
      <c r="I3910" s="1"/>
      <c r="J3910" s="1"/>
      <c r="N3910" s="1"/>
      <c r="Z3910" s="1"/>
      <c r="AA3910" s="1"/>
      <c r="AE3910" s="1"/>
    </row>
    <row r="3911" spans="9:31" x14ac:dyDescent="0.25">
      <c r="I3911" s="1"/>
      <c r="J3911" s="1"/>
      <c r="N3911" s="1"/>
      <c r="Z3911" s="1"/>
      <c r="AA3911" s="1"/>
      <c r="AE3911" s="1"/>
    </row>
    <row r="3912" spans="9:31" x14ac:dyDescent="0.25">
      <c r="I3912" s="1"/>
      <c r="J3912" s="1"/>
      <c r="N3912" s="1"/>
      <c r="Z3912" s="1"/>
      <c r="AA3912" s="1"/>
      <c r="AE3912" s="1"/>
    </row>
    <row r="3913" spans="9:31" x14ac:dyDescent="0.25">
      <c r="I3913" s="1"/>
      <c r="J3913" s="1"/>
      <c r="N3913" s="1"/>
      <c r="Z3913" s="1"/>
      <c r="AA3913" s="1"/>
      <c r="AE3913" s="1"/>
    </row>
    <row r="3914" spans="9:31" x14ac:dyDescent="0.25">
      <c r="I3914" s="1"/>
      <c r="J3914" s="1"/>
      <c r="N3914" s="1"/>
      <c r="Z3914" s="1"/>
      <c r="AA3914" s="1"/>
      <c r="AE3914" s="1"/>
    </row>
    <row r="3915" spans="9:31" x14ac:dyDescent="0.25">
      <c r="I3915" s="1"/>
      <c r="J3915" s="1"/>
      <c r="N3915" s="1"/>
      <c r="Z3915" s="1"/>
      <c r="AA3915" s="1"/>
      <c r="AE3915" s="1"/>
    </row>
    <row r="3916" spans="9:31" x14ac:dyDescent="0.25">
      <c r="I3916" s="1"/>
      <c r="J3916" s="1"/>
      <c r="N3916" s="1"/>
      <c r="Z3916" s="1"/>
      <c r="AA3916" s="1"/>
      <c r="AE3916" s="1"/>
    </row>
    <row r="3917" spans="9:31" x14ac:dyDescent="0.25">
      <c r="I3917" s="1"/>
      <c r="J3917" s="1"/>
      <c r="N3917" s="1"/>
      <c r="AE3917" s="1"/>
    </row>
    <row r="3918" spans="9:31" x14ac:dyDescent="0.25">
      <c r="I3918" s="1"/>
      <c r="J3918" s="1"/>
      <c r="N3918" s="1"/>
      <c r="Z3918" s="1"/>
      <c r="AA3918" s="1"/>
      <c r="AE3918" s="1"/>
    </row>
    <row r="3919" spans="9:31" x14ac:dyDescent="0.25">
      <c r="I3919" s="1"/>
      <c r="J3919" s="1"/>
      <c r="N3919" s="1"/>
      <c r="Z3919" s="1"/>
      <c r="AA3919" s="1"/>
      <c r="AE3919" s="1"/>
    </row>
    <row r="3920" spans="9:31" x14ac:dyDescent="0.25">
      <c r="I3920" s="1"/>
      <c r="J3920" s="1"/>
      <c r="N3920" s="1"/>
      <c r="Z3920" s="1"/>
      <c r="AA3920" s="1"/>
      <c r="AE3920" s="1"/>
    </row>
    <row r="3921" spans="9:31" x14ac:dyDescent="0.25">
      <c r="I3921" s="1"/>
      <c r="J3921" s="1"/>
      <c r="N3921" s="1"/>
      <c r="AE3921" s="1"/>
    </row>
    <row r="3922" spans="9:31" x14ac:dyDescent="0.25">
      <c r="I3922" s="1"/>
      <c r="J3922" s="1"/>
      <c r="N3922" s="1"/>
      <c r="Z3922" s="1"/>
      <c r="AA3922" s="1"/>
      <c r="AE3922" s="1"/>
    </row>
    <row r="3923" spans="9:31" x14ac:dyDescent="0.25">
      <c r="I3923" s="1"/>
      <c r="J3923" s="1"/>
      <c r="N3923" s="1"/>
      <c r="Z3923" s="1"/>
      <c r="AA3923" s="1"/>
      <c r="AE3923" s="1"/>
    </row>
    <row r="3924" spans="9:31" x14ac:dyDescent="0.25">
      <c r="I3924" s="1"/>
      <c r="J3924" s="1"/>
      <c r="N3924" s="1"/>
      <c r="Z3924" s="1"/>
      <c r="AA3924" s="1"/>
      <c r="AE3924" s="1"/>
    </row>
    <row r="3925" spans="9:31" x14ac:dyDescent="0.25">
      <c r="I3925" s="1"/>
      <c r="J3925" s="1"/>
      <c r="N3925" s="1"/>
      <c r="Z3925" s="1"/>
      <c r="AA3925" s="1"/>
      <c r="AE3925" s="1"/>
    </row>
    <row r="3926" spans="9:31" x14ac:dyDescent="0.25">
      <c r="I3926" s="1"/>
      <c r="J3926" s="1"/>
      <c r="N3926" s="1"/>
      <c r="Z3926" s="1"/>
      <c r="AA3926" s="1"/>
      <c r="AE3926" s="1"/>
    </row>
    <row r="3927" spans="9:31" x14ac:dyDescent="0.25">
      <c r="N3927" s="1"/>
      <c r="AE3927" s="1"/>
    </row>
    <row r="3928" spans="9:31" x14ac:dyDescent="0.25">
      <c r="I3928" s="1"/>
      <c r="J3928" s="1"/>
      <c r="N3928" s="1"/>
      <c r="AE3928" s="1"/>
    </row>
    <row r="3929" spans="9:31" x14ac:dyDescent="0.25">
      <c r="N3929" s="1"/>
      <c r="AE3929" s="1"/>
    </row>
    <row r="3930" spans="9:31" x14ac:dyDescent="0.25">
      <c r="I3930" s="1"/>
      <c r="J3930" s="1"/>
      <c r="N3930" s="1"/>
      <c r="AE3930" s="1"/>
    </row>
    <row r="3931" spans="9:31" x14ac:dyDescent="0.25">
      <c r="I3931" s="1"/>
      <c r="J3931" s="1"/>
      <c r="N3931" s="1"/>
      <c r="Z3931" s="1"/>
      <c r="AA3931" s="1"/>
      <c r="AE3931" s="1"/>
    </row>
    <row r="3932" spans="9:31" x14ac:dyDescent="0.25">
      <c r="I3932" s="1"/>
      <c r="J3932" s="1"/>
      <c r="N3932" s="1"/>
      <c r="AE3932" s="1"/>
    </row>
    <row r="3933" spans="9:31" x14ac:dyDescent="0.25">
      <c r="I3933" s="1"/>
      <c r="J3933" s="1"/>
      <c r="N3933" s="1"/>
      <c r="Z3933" s="1"/>
      <c r="AA3933" s="1"/>
      <c r="AE3933" s="1"/>
    </row>
    <row r="3934" spans="9:31" x14ac:dyDescent="0.25">
      <c r="I3934" s="1"/>
      <c r="J3934" s="1"/>
      <c r="N3934" s="1"/>
      <c r="Z3934" s="1"/>
      <c r="AA3934" s="1"/>
      <c r="AE3934" s="1"/>
    </row>
    <row r="3935" spans="9:31" x14ac:dyDescent="0.25">
      <c r="I3935" s="1"/>
      <c r="J3935" s="1"/>
      <c r="N3935" s="1"/>
      <c r="Z3935" s="1"/>
      <c r="AA3935" s="1"/>
      <c r="AE3935" s="1"/>
    </row>
    <row r="3936" spans="9:31" x14ac:dyDescent="0.25">
      <c r="I3936" s="1"/>
      <c r="J3936" s="1"/>
      <c r="N3936" s="1"/>
      <c r="Z3936" s="1"/>
      <c r="AA3936" s="1"/>
      <c r="AE3936" s="1"/>
    </row>
    <row r="3937" spans="9:31" x14ac:dyDescent="0.25">
      <c r="I3937" s="1"/>
      <c r="J3937" s="1"/>
      <c r="N3937" s="1"/>
      <c r="Z3937" s="1"/>
      <c r="AA3937" s="1"/>
      <c r="AE3937" s="1"/>
    </row>
    <row r="3938" spans="9:31" x14ac:dyDescent="0.25">
      <c r="I3938" s="1"/>
      <c r="J3938" s="1"/>
      <c r="N3938" s="1"/>
      <c r="Z3938" s="1"/>
      <c r="AA3938" s="1"/>
      <c r="AE3938" s="1"/>
    </row>
    <row r="3939" spans="9:31" x14ac:dyDescent="0.25">
      <c r="I3939" s="1"/>
      <c r="J3939" s="1"/>
      <c r="N3939" s="1"/>
      <c r="Z3939" s="1"/>
      <c r="AA3939" s="1"/>
      <c r="AE3939" s="1"/>
    </row>
    <row r="3940" spans="9:31" x14ac:dyDescent="0.25">
      <c r="I3940" s="1"/>
      <c r="J3940" s="1"/>
      <c r="N3940" s="1"/>
      <c r="Z3940" s="1"/>
      <c r="AA3940" s="1"/>
      <c r="AE3940" s="1"/>
    </row>
    <row r="3941" spans="9:31" x14ac:dyDescent="0.25">
      <c r="I3941" s="1"/>
      <c r="J3941" s="1"/>
      <c r="N3941" s="1"/>
      <c r="Z3941" s="1"/>
      <c r="AA3941" s="1"/>
      <c r="AE3941" s="1"/>
    </row>
    <row r="3942" spans="9:31" x14ac:dyDescent="0.25">
      <c r="I3942" s="1"/>
      <c r="J3942" s="1"/>
      <c r="N3942" s="1"/>
      <c r="Z3942" s="1"/>
      <c r="AA3942" s="1"/>
      <c r="AE3942" s="1"/>
    </row>
    <row r="3943" spans="9:31" x14ac:dyDescent="0.25">
      <c r="I3943" s="1"/>
      <c r="J3943" s="1"/>
      <c r="N3943" s="1"/>
      <c r="Z3943" s="1"/>
      <c r="AA3943" s="1"/>
      <c r="AE3943" s="1"/>
    </row>
    <row r="3944" spans="9:31" x14ac:dyDescent="0.25">
      <c r="I3944" s="1"/>
      <c r="J3944" s="1"/>
      <c r="N3944" s="1"/>
      <c r="Z3944" s="1"/>
      <c r="AA3944" s="1"/>
      <c r="AE3944" s="1"/>
    </row>
    <row r="3945" spans="9:31" x14ac:dyDescent="0.25">
      <c r="I3945" s="1"/>
      <c r="J3945" s="1"/>
      <c r="N3945" s="1"/>
      <c r="Z3945" s="1"/>
      <c r="AA3945" s="1"/>
      <c r="AE3945" s="1"/>
    </row>
    <row r="3946" spans="9:31" x14ac:dyDescent="0.25">
      <c r="I3946" s="1"/>
      <c r="J3946" s="1"/>
      <c r="N3946" s="1"/>
      <c r="Z3946" s="1"/>
      <c r="AA3946" s="1"/>
      <c r="AE3946" s="1"/>
    </row>
    <row r="3947" spans="9:31" x14ac:dyDescent="0.25">
      <c r="I3947" s="1"/>
      <c r="J3947" s="1"/>
      <c r="N3947" s="1"/>
      <c r="Z3947" s="1"/>
      <c r="AA3947" s="1"/>
      <c r="AE3947" s="1"/>
    </row>
    <row r="3948" spans="9:31" x14ac:dyDescent="0.25">
      <c r="N3948" s="1"/>
      <c r="Z3948" s="1"/>
      <c r="AA3948" s="1"/>
      <c r="AE3948" s="1"/>
    </row>
    <row r="3949" spans="9:31" x14ac:dyDescent="0.25">
      <c r="I3949" s="1"/>
      <c r="J3949" s="1"/>
      <c r="N3949" s="1"/>
      <c r="AE3949" s="1"/>
    </row>
    <row r="3950" spans="9:31" x14ac:dyDescent="0.25">
      <c r="I3950" s="1"/>
      <c r="J3950" s="1"/>
      <c r="N3950" s="1"/>
      <c r="Z3950" s="1"/>
      <c r="AA3950" s="1"/>
      <c r="AE3950" s="1"/>
    </row>
    <row r="3951" spans="9:31" x14ac:dyDescent="0.25">
      <c r="I3951" s="1"/>
      <c r="J3951" s="1"/>
      <c r="N3951" s="1"/>
      <c r="Z3951" s="1"/>
      <c r="AA3951" s="1"/>
      <c r="AE3951" s="1"/>
    </row>
    <row r="3952" spans="9:31" x14ac:dyDescent="0.25">
      <c r="I3952" s="1"/>
      <c r="J3952" s="1"/>
      <c r="N3952" s="1"/>
      <c r="Z3952" s="1"/>
      <c r="AA3952" s="1"/>
      <c r="AE3952" s="1"/>
    </row>
    <row r="3953" spans="9:31" x14ac:dyDescent="0.25">
      <c r="I3953" s="1"/>
      <c r="J3953" s="1"/>
      <c r="N3953" s="1"/>
      <c r="Z3953" s="1"/>
      <c r="AA3953" s="1"/>
      <c r="AE3953" s="1"/>
    </row>
    <row r="3954" spans="9:31" x14ac:dyDescent="0.25">
      <c r="I3954" s="1"/>
      <c r="J3954" s="1"/>
      <c r="N3954" s="1"/>
      <c r="Z3954" s="1"/>
      <c r="AA3954" s="1"/>
      <c r="AE3954" s="1"/>
    </row>
    <row r="3955" spans="9:31" x14ac:dyDescent="0.25">
      <c r="I3955" s="1"/>
      <c r="J3955" s="1"/>
      <c r="N3955" s="1"/>
      <c r="Z3955" s="1"/>
      <c r="AA3955" s="1"/>
      <c r="AE3955" s="1"/>
    </row>
    <row r="3956" spans="9:31" x14ac:dyDescent="0.25">
      <c r="I3956" s="1"/>
      <c r="J3956" s="1"/>
      <c r="N3956" s="1"/>
      <c r="Z3956" s="1"/>
      <c r="AA3956" s="1"/>
      <c r="AE3956" s="1"/>
    </row>
    <row r="3957" spans="9:31" x14ac:dyDescent="0.25">
      <c r="I3957" s="1"/>
      <c r="J3957" s="1"/>
      <c r="N3957" s="1"/>
      <c r="Z3957" s="1"/>
      <c r="AA3957" s="1"/>
      <c r="AE3957" s="1"/>
    </row>
    <row r="3958" spans="9:31" x14ac:dyDescent="0.25">
      <c r="I3958" s="1"/>
      <c r="J3958" s="1"/>
      <c r="N3958" s="1"/>
      <c r="AE3958" s="1"/>
    </row>
    <row r="3959" spans="9:31" x14ac:dyDescent="0.25">
      <c r="I3959" s="1"/>
      <c r="J3959" s="1"/>
      <c r="N3959" s="1"/>
      <c r="AE3959" s="1"/>
    </row>
    <row r="3960" spans="9:31" x14ac:dyDescent="0.25">
      <c r="I3960" s="1"/>
      <c r="J3960" s="1"/>
      <c r="N3960" s="1"/>
      <c r="Z3960" s="1"/>
      <c r="AA3960" s="1"/>
      <c r="AE3960" s="1"/>
    </row>
    <row r="3961" spans="9:31" x14ac:dyDescent="0.25">
      <c r="I3961" s="1"/>
      <c r="J3961" s="1"/>
      <c r="N3961" s="1"/>
      <c r="Z3961" s="1"/>
      <c r="AA3961" s="1"/>
      <c r="AE3961" s="1"/>
    </row>
    <row r="3962" spans="9:31" x14ac:dyDescent="0.25">
      <c r="I3962" s="1"/>
      <c r="J3962" s="1"/>
      <c r="N3962" s="1"/>
      <c r="Z3962" s="1"/>
      <c r="AA3962" s="1"/>
      <c r="AE3962" s="1"/>
    </row>
    <row r="3963" spans="9:31" x14ac:dyDescent="0.25">
      <c r="I3963" s="1"/>
      <c r="J3963" s="1"/>
      <c r="N3963" s="1"/>
      <c r="Z3963" s="1"/>
      <c r="AA3963" s="1"/>
      <c r="AE3963" s="1"/>
    </row>
    <row r="3964" spans="9:31" x14ac:dyDescent="0.25">
      <c r="I3964" s="1"/>
      <c r="J3964" s="1"/>
      <c r="N3964" s="1"/>
      <c r="Z3964" s="1"/>
      <c r="AA3964" s="1"/>
      <c r="AE3964" s="1"/>
    </row>
    <row r="3965" spans="9:31" x14ac:dyDescent="0.25">
      <c r="I3965" s="1"/>
      <c r="J3965" s="1"/>
      <c r="N3965" s="1"/>
      <c r="Z3965" s="1"/>
      <c r="AA3965" s="1"/>
      <c r="AE3965" s="1"/>
    </row>
    <row r="3966" spans="9:31" x14ac:dyDescent="0.25">
      <c r="I3966" s="1"/>
      <c r="J3966" s="1"/>
      <c r="N3966" s="1"/>
      <c r="Z3966" s="1"/>
      <c r="AA3966" s="1"/>
      <c r="AE3966" s="1"/>
    </row>
    <row r="3967" spans="9:31" x14ac:dyDescent="0.25">
      <c r="I3967" s="1"/>
      <c r="J3967" s="1"/>
      <c r="N3967" s="1"/>
      <c r="Z3967" s="1"/>
      <c r="AA3967" s="1"/>
      <c r="AE3967" s="1"/>
    </row>
    <row r="3968" spans="9:31" x14ac:dyDescent="0.25">
      <c r="I3968" s="1"/>
      <c r="J3968" s="1"/>
      <c r="N3968" s="1"/>
      <c r="Z3968" s="1"/>
      <c r="AA3968" s="1"/>
      <c r="AE3968" s="1"/>
    </row>
    <row r="3969" spans="9:31" x14ac:dyDescent="0.25">
      <c r="I3969" s="1"/>
      <c r="J3969" s="1"/>
      <c r="N3969" s="1"/>
      <c r="AE3969" s="1"/>
    </row>
    <row r="3970" spans="9:31" x14ac:dyDescent="0.25">
      <c r="I3970" s="1"/>
      <c r="J3970" s="1"/>
      <c r="N3970" s="1"/>
      <c r="Z3970" s="1"/>
      <c r="AA3970" s="1"/>
      <c r="AE3970" s="1"/>
    </row>
    <row r="3971" spans="9:31" x14ac:dyDescent="0.25">
      <c r="I3971" s="1"/>
      <c r="J3971" s="1"/>
      <c r="N3971" s="1"/>
      <c r="Z3971" s="1"/>
      <c r="AA3971" s="1"/>
      <c r="AE3971" s="1"/>
    </row>
    <row r="3972" spans="9:31" x14ac:dyDescent="0.25">
      <c r="I3972" s="1"/>
      <c r="J3972" s="1"/>
      <c r="N3972" s="1"/>
      <c r="Z3972" s="1"/>
      <c r="AA3972" s="1"/>
      <c r="AE3972" s="1"/>
    </row>
    <row r="3973" spans="9:31" x14ac:dyDescent="0.25">
      <c r="I3973" s="1"/>
      <c r="J3973" s="1"/>
      <c r="N3973" s="1"/>
      <c r="Z3973" s="1"/>
      <c r="AA3973" s="1"/>
      <c r="AE3973" s="1"/>
    </row>
    <row r="3974" spans="9:31" x14ac:dyDescent="0.25">
      <c r="I3974" s="1"/>
      <c r="J3974" s="1"/>
      <c r="N3974" s="1"/>
      <c r="Z3974" s="1"/>
      <c r="AA3974" s="1"/>
      <c r="AE3974" s="1"/>
    </row>
    <row r="3975" spans="9:31" x14ac:dyDescent="0.25">
      <c r="I3975" s="1"/>
      <c r="J3975" s="1"/>
      <c r="N3975" s="1"/>
      <c r="AE3975" s="1"/>
    </row>
    <row r="3976" spans="9:31" x14ac:dyDescent="0.25">
      <c r="I3976" s="1"/>
      <c r="J3976" s="1"/>
      <c r="N3976" s="1"/>
      <c r="Z3976" s="1"/>
      <c r="AA3976" s="1"/>
      <c r="AE3976" s="1"/>
    </row>
    <row r="3977" spans="9:31" x14ac:dyDescent="0.25">
      <c r="N3977" s="1"/>
      <c r="AE3977" s="1"/>
    </row>
    <row r="3978" spans="9:31" x14ac:dyDescent="0.25">
      <c r="I3978" s="1"/>
      <c r="J3978" s="1"/>
      <c r="N3978" s="1"/>
      <c r="AE3978" s="1"/>
    </row>
    <row r="3979" spans="9:31" x14ac:dyDescent="0.25">
      <c r="I3979" s="1"/>
      <c r="J3979" s="1"/>
      <c r="N3979" s="1"/>
      <c r="Z3979" s="1"/>
      <c r="AA3979" s="1"/>
      <c r="AE3979" s="1"/>
    </row>
    <row r="3980" spans="9:31" x14ac:dyDescent="0.25">
      <c r="I3980" s="1"/>
      <c r="J3980" s="1"/>
      <c r="N3980" s="1"/>
      <c r="Z3980" s="1"/>
      <c r="AA3980" s="1"/>
      <c r="AE3980" s="1"/>
    </row>
    <row r="3981" spans="9:31" x14ac:dyDescent="0.25">
      <c r="I3981" s="1"/>
      <c r="J3981" s="1"/>
      <c r="N3981" s="1"/>
      <c r="Z3981" s="1"/>
      <c r="AA3981" s="1"/>
      <c r="AE3981" s="1"/>
    </row>
    <row r="3982" spans="9:31" x14ac:dyDescent="0.25">
      <c r="I3982" s="1"/>
      <c r="J3982" s="1"/>
      <c r="N3982" s="1"/>
      <c r="Z3982" s="1"/>
      <c r="AA3982" s="1"/>
      <c r="AE3982" s="1"/>
    </row>
    <row r="3983" spans="9:31" x14ac:dyDescent="0.25">
      <c r="I3983" s="1"/>
      <c r="J3983" s="1"/>
      <c r="N3983" s="1"/>
      <c r="Z3983" s="1"/>
      <c r="AA3983" s="1"/>
      <c r="AE3983" s="1"/>
    </row>
    <row r="3984" spans="9:31" x14ac:dyDescent="0.25">
      <c r="I3984" s="1"/>
      <c r="J3984" s="1"/>
      <c r="N3984" s="1"/>
      <c r="Z3984" s="1"/>
      <c r="AA3984" s="1"/>
      <c r="AE3984" s="1"/>
    </row>
    <row r="3985" spans="9:31" x14ac:dyDescent="0.25">
      <c r="I3985" s="1"/>
      <c r="J3985" s="1"/>
      <c r="N3985" s="1"/>
      <c r="Z3985" s="1"/>
      <c r="AA3985" s="1"/>
      <c r="AE3985" s="1"/>
    </row>
    <row r="3986" spans="9:31" x14ac:dyDescent="0.25">
      <c r="I3986" s="1"/>
      <c r="J3986" s="1"/>
      <c r="N3986" s="1"/>
      <c r="AE3986" s="1"/>
    </row>
    <row r="3987" spans="9:31" x14ac:dyDescent="0.25">
      <c r="I3987" s="1"/>
      <c r="J3987" s="1"/>
      <c r="N3987" s="1"/>
      <c r="Z3987" s="1"/>
      <c r="AA3987" s="1"/>
      <c r="AE3987" s="1"/>
    </row>
    <row r="3988" spans="9:31" x14ac:dyDescent="0.25">
      <c r="I3988" s="1"/>
      <c r="J3988" s="1"/>
      <c r="N3988" s="1"/>
      <c r="Z3988" s="1"/>
      <c r="AA3988" s="1"/>
      <c r="AE3988" s="1"/>
    </row>
    <row r="3989" spans="9:31" x14ac:dyDescent="0.25">
      <c r="I3989" s="1"/>
      <c r="J3989" s="1"/>
      <c r="N3989" s="1"/>
      <c r="Z3989" s="1"/>
      <c r="AA3989" s="1"/>
      <c r="AE3989" s="1"/>
    </row>
    <row r="3990" spans="9:31" x14ac:dyDescent="0.25">
      <c r="I3990" s="1"/>
      <c r="J3990" s="1"/>
      <c r="N3990" s="1"/>
      <c r="Z3990" s="1"/>
      <c r="AA3990" s="1"/>
      <c r="AE3990" s="1"/>
    </row>
    <row r="3991" spans="9:31" x14ac:dyDescent="0.25">
      <c r="I3991" s="1"/>
      <c r="J3991" s="1"/>
      <c r="N3991" s="1"/>
      <c r="Z3991" s="1"/>
      <c r="AA3991" s="1"/>
      <c r="AE3991" s="1"/>
    </row>
    <row r="3992" spans="9:31" x14ac:dyDescent="0.25">
      <c r="I3992" s="1"/>
      <c r="J3992" s="1"/>
      <c r="N3992" s="1"/>
      <c r="Z3992" s="1"/>
      <c r="AA3992" s="1"/>
      <c r="AE3992" s="1"/>
    </row>
    <row r="3993" spans="9:31" x14ac:dyDescent="0.25">
      <c r="I3993" s="1"/>
      <c r="J3993" s="1"/>
      <c r="N3993" s="1"/>
      <c r="Z3993" s="1"/>
      <c r="AA3993" s="1"/>
      <c r="AE3993" s="1"/>
    </row>
    <row r="3994" spans="9:31" x14ac:dyDescent="0.25">
      <c r="I3994" s="1"/>
      <c r="J3994" s="1"/>
      <c r="N3994" s="1"/>
      <c r="Z3994" s="1"/>
      <c r="AA3994" s="1"/>
      <c r="AE3994" s="1"/>
    </row>
    <row r="3995" spans="9:31" x14ac:dyDescent="0.25">
      <c r="I3995" s="1"/>
      <c r="J3995" s="1"/>
      <c r="N3995" s="1"/>
      <c r="Z3995" s="1"/>
      <c r="AA3995" s="1"/>
      <c r="AE3995" s="1"/>
    </row>
    <row r="3996" spans="9:31" x14ac:dyDescent="0.25">
      <c r="I3996" s="1"/>
      <c r="J3996" s="1"/>
      <c r="N3996" s="1"/>
      <c r="Z3996" s="1"/>
      <c r="AA3996" s="1"/>
      <c r="AE3996" s="1"/>
    </row>
    <row r="3997" spans="9:31" x14ac:dyDescent="0.25">
      <c r="I3997" s="1"/>
      <c r="J3997" s="1"/>
      <c r="N3997" s="1"/>
      <c r="Z3997" s="1"/>
      <c r="AA3997" s="1"/>
      <c r="AE3997" s="1"/>
    </row>
    <row r="3998" spans="9:31" x14ac:dyDescent="0.25">
      <c r="I3998" s="1"/>
      <c r="J3998" s="1"/>
      <c r="N3998" s="1"/>
      <c r="AE3998" s="1"/>
    </row>
    <row r="3999" spans="9:31" x14ac:dyDescent="0.25">
      <c r="I3999" s="1"/>
      <c r="J3999" s="1"/>
      <c r="N3999" s="1"/>
      <c r="Z3999" s="1"/>
      <c r="AA3999" s="1"/>
      <c r="AE3999" s="1"/>
    </row>
    <row r="4000" spans="9:31" x14ac:dyDescent="0.25">
      <c r="I4000" s="1"/>
      <c r="J4000" s="1"/>
      <c r="N4000" s="1"/>
      <c r="AE4000" s="1"/>
    </row>
    <row r="4001" spans="9:31" x14ac:dyDescent="0.25">
      <c r="I4001" s="1"/>
      <c r="J4001" s="1"/>
      <c r="N4001" s="1"/>
      <c r="Z4001" s="1"/>
      <c r="AA4001" s="1"/>
      <c r="AE4001" s="1"/>
    </row>
    <row r="4002" spans="9:31" x14ac:dyDescent="0.25">
      <c r="I4002" s="1"/>
      <c r="J4002" s="1"/>
      <c r="N4002" s="1"/>
      <c r="Z4002" s="1"/>
      <c r="AA4002" s="1"/>
      <c r="AE4002" s="1"/>
    </row>
    <row r="4003" spans="9:31" x14ac:dyDescent="0.25">
      <c r="I4003" s="1"/>
      <c r="J4003" s="1"/>
      <c r="N4003" s="1"/>
      <c r="Z4003" s="1"/>
      <c r="AA4003" s="1"/>
      <c r="AE4003" s="1"/>
    </row>
    <row r="4004" spans="9:31" x14ac:dyDescent="0.25">
      <c r="I4004" s="1"/>
      <c r="J4004" s="1"/>
      <c r="N4004" s="1"/>
      <c r="Z4004" s="1"/>
      <c r="AA4004" s="1"/>
      <c r="AE4004" s="1"/>
    </row>
    <row r="4005" spans="9:31" x14ac:dyDescent="0.25">
      <c r="I4005" s="1"/>
      <c r="J4005" s="1"/>
      <c r="N4005" s="1"/>
      <c r="Z4005" s="1"/>
      <c r="AA4005" s="1"/>
      <c r="AE4005" s="1"/>
    </row>
    <row r="4006" spans="9:31" x14ac:dyDescent="0.25">
      <c r="I4006" s="1"/>
      <c r="J4006" s="1"/>
      <c r="N4006" s="1"/>
      <c r="Z4006" s="1"/>
      <c r="AA4006" s="1"/>
      <c r="AE4006" s="1"/>
    </row>
    <row r="4007" spans="9:31" x14ac:dyDescent="0.25">
      <c r="I4007" s="1"/>
      <c r="J4007" s="1"/>
      <c r="N4007" s="1"/>
      <c r="Z4007" s="1"/>
      <c r="AA4007" s="1"/>
      <c r="AE4007" s="1"/>
    </row>
    <row r="4008" spans="9:31" x14ac:dyDescent="0.25">
      <c r="I4008" s="1"/>
      <c r="J4008" s="1"/>
      <c r="N4008" s="1"/>
      <c r="Z4008" s="1"/>
      <c r="AA4008" s="1"/>
      <c r="AE4008" s="1"/>
    </row>
    <row r="4009" spans="9:31" x14ac:dyDescent="0.25">
      <c r="I4009" s="1"/>
      <c r="J4009" s="1"/>
      <c r="N4009" s="1"/>
      <c r="Z4009" s="1"/>
      <c r="AA4009" s="1"/>
      <c r="AE4009" s="1"/>
    </row>
    <row r="4010" spans="9:31" x14ac:dyDescent="0.25">
      <c r="I4010" s="1"/>
      <c r="J4010" s="1"/>
      <c r="N4010" s="1"/>
      <c r="Z4010" s="1"/>
      <c r="AA4010" s="1"/>
      <c r="AE4010" s="1"/>
    </row>
    <row r="4011" spans="9:31" x14ac:dyDescent="0.25">
      <c r="I4011" s="1"/>
      <c r="J4011" s="1"/>
      <c r="N4011" s="1"/>
      <c r="AE4011" s="1"/>
    </row>
    <row r="4012" spans="9:31" x14ac:dyDescent="0.25">
      <c r="I4012" s="1"/>
      <c r="J4012" s="1"/>
      <c r="N4012" s="1"/>
      <c r="Z4012" s="1"/>
      <c r="AA4012" s="1"/>
      <c r="AE4012" s="1"/>
    </row>
    <row r="4013" spans="9:31" x14ac:dyDescent="0.25">
      <c r="I4013" s="1"/>
      <c r="J4013" s="1"/>
      <c r="N4013" s="1"/>
      <c r="AE4013" s="1"/>
    </row>
    <row r="4014" spans="9:31" x14ac:dyDescent="0.25">
      <c r="I4014" s="1"/>
      <c r="J4014" s="1"/>
      <c r="N4014" s="1"/>
      <c r="Z4014" s="1"/>
      <c r="AA4014" s="1"/>
      <c r="AE4014" s="1"/>
    </row>
    <row r="4015" spans="9:31" x14ac:dyDescent="0.25">
      <c r="I4015" s="1"/>
      <c r="J4015" s="1"/>
      <c r="N4015" s="1"/>
      <c r="Z4015" s="1"/>
      <c r="AA4015" s="1"/>
      <c r="AE4015" s="1"/>
    </row>
    <row r="4016" spans="9:31" x14ac:dyDescent="0.25">
      <c r="I4016" s="1"/>
      <c r="J4016" s="1"/>
      <c r="N4016" s="1"/>
      <c r="Z4016" s="1"/>
      <c r="AA4016" s="1"/>
      <c r="AE4016" s="1"/>
    </row>
    <row r="4017" spans="9:31" x14ac:dyDescent="0.25">
      <c r="I4017" s="1"/>
      <c r="J4017" s="1"/>
      <c r="N4017" s="1"/>
      <c r="Z4017" s="1"/>
      <c r="AA4017" s="1"/>
      <c r="AE4017" s="1"/>
    </row>
    <row r="4018" spans="9:31" x14ac:dyDescent="0.25">
      <c r="I4018" s="1"/>
      <c r="J4018" s="1"/>
      <c r="N4018" s="1"/>
      <c r="Z4018" s="1"/>
      <c r="AA4018" s="1"/>
      <c r="AE4018" s="1"/>
    </row>
    <row r="4019" spans="9:31" x14ac:dyDescent="0.25">
      <c r="I4019" s="1"/>
      <c r="J4019" s="1"/>
      <c r="N4019" s="1"/>
      <c r="Z4019" s="1"/>
      <c r="AA4019" s="1"/>
      <c r="AE4019" s="1"/>
    </row>
    <row r="4020" spans="9:31" x14ac:dyDescent="0.25">
      <c r="I4020" s="1"/>
      <c r="J4020" s="1"/>
      <c r="N4020" s="1"/>
      <c r="Z4020" s="1"/>
      <c r="AA4020" s="1"/>
      <c r="AE4020" s="1"/>
    </row>
    <row r="4021" spans="9:31" x14ac:dyDescent="0.25">
      <c r="I4021" s="1"/>
      <c r="J4021" s="1"/>
      <c r="N4021" s="1"/>
      <c r="Z4021" s="1"/>
      <c r="AA4021" s="1"/>
      <c r="AE4021" s="1"/>
    </row>
    <row r="4022" spans="9:31" x14ac:dyDescent="0.25">
      <c r="I4022" s="1"/>
      <c r="J4022" s="1"/>
      <c r="N4022" s="1"/>
      <c r="AE4022" s="1"/>
    </row>
    <row r="4023" spans="9:31" x14ac:dyDescent="0.25">
      <c r="I4023" s="1"/>
      <c r="J4023" s="1"/>
      <c r="N4023" s="1"/>
      <c r="Z4023" s="1"/>
      <c r="AA4023" s="1"/>
      <c r="AE4023" s="1"/>
    </row>
    <row r="4024" spans="9:31" x14ac:dyDescent="0.25">
      <c r="I4024" s="1"/>
      <c r="J4024" s="1"/>
      <c r="N4024" s="1"/>
      <c r="Z4024" s="1"/>
      <c r="AA4024" s="1"/>
      <c r="AE4024" s="1"/>
    </row>
    <row r="4025" spans="9:31" x14ac:dyDescent="0.25">
      <c r="I4025" s="1"/>
      <c r="J4025" s="1"/>
      <c r="N4025" s="1"/>
      <c r="Z4025" s="1"/>
      <c r="AA4025" s="1"/>
      <c r="AE4025" s="1"/>
    </row>
    <row r="4026" spans="9:31" x14ac:dyDescent="0.25">
      <c r="I4026" s="1"/>
      <c r="J4026" s="1"/>
      <c r="N4026" s="1"/>
      <c r="Z4026" s="1"/>
      <c r="AA4026" s="1"/>
      <c r="AE4026" s="1"/>
    </row>
    <row r="4027" spans="9:31" x14ac:dyDescent="0.25">
      <c r="I4027" s="1"/>
      <c r="J4027" s="1"/>
      <c r="N4027" s="1"/>
      <c r="Z4027" s="1"/>
      <c r="AA4027" s="1"/>
      <c r="AE4027" s="1"/>
    </row>
    <row r="4028" spans="9:31" x14ac:dyDescent="0.25">
      <c r="I4028" s="1"/>
      <c r="J4028" s="1"/>
      <c r="N4028" s="1"/>
      <c r="Z4028" s="1"/>
      <c r="AA4028" s="1"/>
      <c r="AE4028" s="1"/>
    </row>
    <row r="4029" spans="9:31" x14ac:dyDescent="0.25">
      <c r="I4029" s="1"/>
      <c r="J4029" s="1"/>
      <c r="N4029" s="1"/>
      <c r="Z4029" s="1"/>
      <c r="AA4029" s="1"/>
      <c r="AE4029" s="1"/>
    </row>
    <row r="4030" spans="9:31" x14ac:dyDescent="0.25">
      <c r="I4030" s="1"/>
      <c r="J4030" s="1"/>
      <c r="N4030" s="1"/>
      <c r="Z4030" s="1"/>
      <c r="AA4030" s="1"/>
      <c r="AE4030" s="1"/>
    </row>
    <row r="4031" spans="9:31" x14ac:dyDescent="0.25">
      <c r="I4031" s="1"/>
      <c r="J4031" s="1"/>
      <c r="N4031" s="1"/>
      <c r="Z4031" s="1"/>
      <c r="AA4031" s="1"/>
      <c r="AE4031" s="1"/>
    </row>
    <row r="4032" spans="9:31" x14ac:dyDescent="0.25">
      <c r="I4032" s="1"/>
      <c r="J4032" s="1"/>
      <c r="N4032" s="1"/>
      <c r="Z4032" s="1"/>
      <c r="AA4032" s="1"/>
      <c r="AE4032" s="1"/>
    </row>
    <row r="4033" spans="9:31" x14ac:dyDescent="0.25">
      <c r="I4033" s="1"/>
      <c r="J4033" s="1"/>
      <c r="N4033" s="1"/>
      <c r="Z4033" s="1"/>
      <c r="AA4033" s="1"/>
      <c r="AE4033" s="1"/>
    </row>
    <row r="4034" spans="9:31" x14ac:dyDescent="0.25">
      <c r="I4034" s="1"/>
      <c r="J4034" s="1"/>
      <c r="N4034" s="1"/>
      <c r="Z4034" s="1"/>
      <c r="AA4034" s="1"/>
      <c r="AE4034" s="1"/>
    </row>
    <row r="4035" spans="9:31" x14ac:dyDescent="0.25">
      <c r="I4035" s="1"/>
      <c r="J4035" s="1"/>
      <c r="N4035" s="1"/>
      <c r="Z4035" s="1"/>
      <c r="AA4035" s="1"/>
      <c r="AE4035" s="1"/>
    </row>
    <row r="4036" spans="9:31" x14ac:dyDescent="0.25">
      <c r="I4036" s="1"/>
      <c r="J4036" s="1"/>
      <c r="N4036" s="1"/>
      <c r="Z4036" s="1"/>
      <c r="AA4036" s="1"/>
      <c r="AE4036" s="1"/>
    </row>
    <row r="4037" spans="9:31" x14ac:dyDescent="0.25">
      <c r="I4037" s="1"/>
      <c r="J4037" s="1"/>
      <c r="N4037" s="1"/>
      <c r="Z4037" s="1"/>
      <c r="AA4037" s="1"/>
      <c r="AE4037" s="1"/>
    </row>
    <row r="4038" spans="9:31" x14ac:dyDescent="0.25">
      <c r="I4038" s="1"/>
      <c r="J4038" s="1"/>
      <c r="N4038" s="1"/>
      <c r="Z4038" s="1"/>
      <c r="AA4038" s="1"/>
      <c r="AE4038" s="1"/>
    </row>
    <row r="4039" spans="9:31" x14ac:dyDescent="0.25">
      <c r="I4039" s="1"/>
      <c r="J4039" s="1"/>
      <c r="N4039" s="1"/>
      <c r="AE4039" s="1"/>
    </row>
    <row r="4040" spans="9:31" x14ac:dyDescent="0.25">
      <c r="I4040" s="1"/>
      <c r="J4040" s="1"/>
      <c r="K4040" s="1"/>
      <c r="N4040" s="1"/>
      <c r="Z4040" s="1"/>
      <c r="AA4040" s="1"/>
      <c r="AE4040" s="1"/>
    </row>
    <row r="4041" spans="9:31" x14ac:dyDescent="0.25">
      <c r="I4041" s="1"/>
      <c r="J4041" s="1"/>
      <c r="N4041" s="1"/>
      <c r="Z4041" s="1"/>
      <c r="AA4041" s="1"/>
      <c r="AE4041" s="1"/>
    </row>
    <row r="4042" spans="9:31" x14ac:dyDescent="0.25">
      <c r="I4042" s="1"/>
      <c r="J4042" s="1"/>
      <c r="N4042" s="1"/>
      <c r="Z4042" s="1"/>
      <c r="AA4042" s="1"/>
      <c r="AE4042" s="1"/>
    </row>
    <row r="4043" spans="9:31" x14ac:dyDescent="0.25">
      <c r="I4043" s="1"/>
      <c r="J4043" s="1"/>
      <c r="N4043" s="1"/>
      <c r="Z4043" s="1"/>
      <c r="AA4043" s="1"/>
      <c r="AE4043" s="1"/>
    </row>
    <row r="4044" spans="9:31" x14ac:dyDescent="0.25">
      <c r="I4044" s="1"/>
      <c r="J4044" s="1"/>
      <c r="N4044" s="1"/>
      <c r="Z4044" s="1"/>
      <c r="AA4044" s="1"/>
      <c r="AE4044" s="1"/>
    </row>
    <row r="4045" spans="9:31" x14ac:dyDescent="0.25">
      <c r="I4045" s="1"/>
      <c r="J4045" s="1"/>
      <c r="K4045" s="1"/>
      <c r="N4045" s="1"/>
      <c r="Z4045" s="1"/>
      <c r="AA4045" s="1"/>
      <c r="AE4045" s="1"/>
    </row>
    <row r="4046" spans="9:31" x14ac:dyDescent="0.25">
      <c r="I4046" s="1"/>
      <c r="J4046" s="1"/>
      <c r="N4046" s="1"/>
      <c r="Z4046" s="1"/>
      <c r="AA4046" s="1"/>
      <c r="AE4046" s="1"/>
    </row>
    <row r="4047" spans="9:31" x14ac:dyDescent="0.25">
      <c r="I4047" s="1"/>
      <c r="J4047" s="1"/>
      <c r="K4047" s="1"/>
      <c r="N4047" s="1"/>
      <c r="Z4047" s="1"/>
      <c r="AA4047" s="1"/>
      <c r="AE4047" s="1"/>
    </row>
    <row r="4048" spans="9:31" x14ac:dyDescent="0.25">
      <c r="I4048" s="1"/>
      <c r="J4048" s="1"/>
      <c r="N4048" s="1"/>
      <c r="Z4048" s="1"/>
      <c r="AA4048" s="1"/>
      <c r="AE4048" s="1"/>
    </row>
    <row r="4049" spans="9:31" x14ac:dyDescent="0.25">
      <c r="I4049" s="1"/>
      <c r="J4049" s="1"/>
      <c r="N4049" s="1"/>
      <c r="Z4049" s="1"/>
      <c r="AA4049" s="1"/>
      <c r="AE4049" s="1"/>
    </row>
    <row r="4050" spans="9:31" x14ac:dyDescent="0.25">
      <c r="I4050" s="1"/>
      <c r="J4050" s="1"/>
      <c r="N4050" s="1"/>
      <c r="Z4050" s="1"/>
      <c r="AA4050" s="1"/>
      <c r="AE4050" s="1"/>
    </row>
    <row r="4051" spans="9:31" x14ac:dyDescent="0.25">
      <c r="I4051" s="1"/>
      <c r="J4051" s="1"/>
      <c r="N4051" s="1"/>
      <c r="AE4051" s="1"/>
    </row>
    <row r="4052" spans="9:31" x14ac:dyDescent="0.25">
      <c r="I4052" s="1"/>
      <c r="J4052" s="1"/>
      <c r="N4052" s="1"/>
      <c r="Z4052" s="1"/>
      <c r="AA4052" s="1"/>
      <c r="AE4052" s="1"/>
    </row>
    <row r="4053" spans="9:31" x14ac:dyDescent="0.25">
      <c r="I4053" s="1"/>
      <c r="J4053" s="1"/>
      <c r="N4053" s="1"/>
      <c r="Z4053" s="1"/>
      <c r="AA4053" s="1"/>
      <c r="AE4053" s="1"/>
    </row>
    <row r="4054" spans="9:31" x14ac:dyDescent="0.25">
      <c r="I4054" s="1"/>
      <c r="J4054" s="1"/>
      <c r="K4054" s="1"/>
      <c r="N4054" s="1"/>
      <c r="AE4054" s="1"/>
    </row>
    <row r="4055" spans="9:31" x14ac:dyDescent="0.25">
      <c r="I4055" s="1"/>
      <c r="J4055" s="1"/>
      <c r="N4055" s="1"/>
      <c r="Z4055" s="1"/>
      <c r="AA4055" s="1"/>
      <c r="AE4055" s="1"/>
    </row>
    <row r="4056" spans="9:31" x14ac:dyDescent="0.25">
      <c r="I4056" s="1"/>
      <c r="J4056" s="1"/>
      <c r="N4056" s="1"/>
      <c r="Z4056" s="1"/>
      <c r="AA4056" s="1"/>
      <c r="AE4056" s="1"/>
    </row>
    <row r="4057" spans="9:31" x14ac:dyDescent="0.25">
      <c r="I4057" s="1"/>
      <c r="J4057" s="1"/>
      <c r="N4057" s="1"/>
      <c r="Z4057" s="1"/>
      <c r="AA4057" s="1"/>
      <c r="AE4057" s="1"/>
    </row>
    <row r="4058" spans="9:31" x14ac:dyDescent="0.25">
      <c r="I4058" s="1"/>
      <c r="J4058" s="1"/>
      <c r="K4058" s="1"/>
      <c r="N4058" s="1"/>
      <c r="Z4058" s="1"/>
      <c r="AA4058" s="1"/>
      <c r="AE4058" s="1"/>
    </row>
    <row r="4059" spans="9:31" x14ac:dyDescent="0.25">
      <c r="I4059" s="1"/>
      <c r="J4059" s="1"/>
      <c r="N4059" s="1"/>
      <c r="Z4059" s="1"/>
      <c r="AA4059" s="1"/>
      <c r="AE4059" s="1"/>
    </row>
    <row r="4060" spans="9:31" x14ac:dyDescent="0.25">
      <c r="I4060" s="1"/>
      <c r="J4060" s="1"/>
      <c r="K4060" s="1"/>
      <c r="N4060" s="1"/>
      <c r="Z4060" s="1"/>
      <c r="AA4060" s="1"/>
      <c r="AE4060" s="1"/>
    </row>
    <row r="4061" spans="9:31" x14ac:dyDescent="0.25">
      <c r="I4061" s="1"/>
      <c r="J4061" s="1"/>
      <c r="N4061" s="1"/>
      <c r="AE4061" s="1"/>
    </row>
    <row r="4062" spans="9:31" x14ac:dyDescent="0.25">
      <c r="I4062" s="1"/>
      <c r="J4062" s="1"/>
      <c r="N4062" s="1"/>
      <c r="Z4062" s="1"/>
      <c r="AA4062" s="1"/>
      <c r="AE4062" s="1"/>
    </row>
    <row r="4063" spans="9:31" x14ac:dyDescent="0.25">
      <c r="I4063" s="1"/>
      <c r="J4063" s="1"/>
      <c r="N4063" s="1"/>
      <c r="AE4063" s="1"/>
    </row>
    <row r="4064" spans="9:31" x14ac:dyDescent="0.25">
      <c r="I4064" s="1"/>
      <c r="J4064" s="1"/>
      <c r="N4064" s="1"/>
      <c r="Z4064" s="1"/>
      <c r="AA4064" s="1"/>
      <c r="AE4064" s="1"/>
    </row>
    <row r="4065" spans="9:31" x14ac:dyDescent="0.25">
      <c r="I4065" s="1"/>
      <c r="J4065" s="1"/>
      <c r="N4065" s="1"/>
      <c r="Z4065" s="1"/>
      <c r="AA4065" s="1"/>
      <c r="AE4065" s="1"/>
    </row>
    <row r="4066" spans="9:31" x14ac:dyDescent="0.25">
      <c r="I4066" s="1"/>
      <c r="J4066" s="1"/>
      <c r="N4066" s="1"/>
      <c r="Z4066" s="1"/>
      <c r="AA4066" s="1"/>
      <c r="AE4066" s="1"/>
    </row>
    <row r="4067" spans="9:31" x14ac:dyDescent="0.25">
      <c r="I4067" s="1"/>
      <c r="J4067" s="1"/>
      <c r="K4067" s="1"/>
      <c r="N4067" s="1"/>
      <c r="AE4067" s="1"/>
    </row>
    <row r="4068" spans="9:31" x14ac:dyDescent="0.25">
      <c r="I4068" s="1"/>
      <c r="J4068" s="1"/>
      <c r="N4068" s="1"/>
      <c r="AE4068" s="1"/>
    </row>
    <row r="4069" spans="9:31" x14ac:dyDescent="0.25">
      <c r="I4069" s="1"/>
      <c r="J4069" s="1"/>
      <c r="N4069" s="1"/>
      <c r="Z4069" s="1"/>
      <c r="AA4069" s="1"/>
      <c r="AE4069" s="1"/>
    </row>
    <row r="4070" spans="9:31" x14ac:dyDescent="0.25">
      <c r="I4070" s="1"/>
      <c r="J4070" s="1"/>
      <c r="N4070" s="1"/>
      <c r="AE4070" s="1"/>
    </row>
    <row r="4071" spans="9:31" x14ac:dyDescent="0.25">
      <c r="I4071" s="1"/>
      <c r="J4071" s="1"/>
      <c r="N4071" s="1"/>
      <c r="Z4071" s="1"/>
      <c r="AA4071" s="1"/>
      <c r="AE4071" s="1"/>
    </row>
    <row r="4072" spans="9:31" x14ac:dyDescent="0.25">
      <c r="I4072" s="1"/>
      <c r="J4072" s="1"/>
      <c r="N4072" s="1"/>
      <c r="Z4072" s="1"/>
      <c r="AA4072" s="1"/>
      <c r="AE4072" s="1"/>
    </row>
    <row r="4073" spans="9:31" x14ac:dyDescent="0.25">
      <c r="I4073" s="1"/>
      <c r="J4073" s="1"/>
      <c r="N4073" s="1"/>
      <c r="Z4073" s="1"/>
      <c r="AA4073" s="1"/>
      <c r="AE4073" s="1"/>
    </row>
    <row r="4074" spans="9:31" x14ac:dyDescent="0.25">
      <c r="I4074" s="1"/>
      <c r="J4074" s="1"/>
      <c r="N4074" s="1"/>
      <c r="Z4074" s="1"/>
      <c r="AA4074" s="1"/>
      <c r="AE4074" s="1"/>
    </row>
    <row r="4075" spans="9:31" x14ac:dyDescent="0.25">
      <c r="I4075" s="1"/>
      <c r="J4075" s="1"/>
      <c r="N4075" s="1"/>
      <c r="Z4075" s="1"/>
      <c r="AA4075" s="1"/>
      <c r="AE4075" s="1"/>
    </row>
    <row r="4076" spans="9:31" x14ac:dyDescent="0.25">
      <c r="I4076" s="1"/>
      <c r="J4076" s="1"/>
      <c r="N4076" s="1"/>
      <c r="Z4076" s="1"/>
      <c r="AA4076" s="1"/>
      <c r="AE4076" s="1"/>
    </row>
    <row r="4077" spans="9:31" x14ac:dyDescent="0.25">
      <c r="I4077" s="1"/>
      <c r="J4077" s="1"/>
      <c r="N4077" s="1"/>
      <c r="Z4077" s="1"/>
      <c r="AA4077" s="1"/>
      <c r="AE4077" s="1"/>
    </row>
    <row r="4078" spans="9:31" x14ac:dyDescent="0.25">
      <c r="I4078" s="1"/>
      <c r="J4078" s="1"/>
      <c r="N4078" s="1"/>
      <c r="Z4078" s="1"/>
      <c r="AA4078" s="1"/>
      <c r="AE4078" s="1"/>
    </row>
    <row r="4079" spans="9:31" x14ac:dyDescent="0.25">
      <c r="I4079" s="1"/>
      <c r="J4079" s="1"/>
      <c r="N4079" s="1"/>
      <c r="Z4079" s="1"/>
      <c r="AA4079" s="1"/>
      <c r="AE4079" s="1"/>
    </row>
    <row r="4080" spans="9:31" x14ac:dyDescent="0.25">
      <c r="I4080" s="1"/>
      <c r="J4080" s="1"/>
      <c r="N4080" s="1"/>
      <c r="Z4080" s="1"/>
      <c r="AA4080" s="1"/>
      <c r="AE4080" s="1"/>
    </row>
    <row r="4081" spans="9:31" x14ac:dyDescent="0.25">
      <c r="I4081" s="1"/>
      <c r="J4081" s="1"/>
      <c r="N4081" s="1"/>
      <c r="AE4081" s="1"/>
    </row>
    <row r="4082" spans="9:31" x14ac:dyDescent="0.25">
      <c r="I4082" s="1"/>
      <c r="J4082" s="1"/>
      <c r="N4082" s="1"/>
      <c r="Z4082" s="1"/>
      <c r="AA4082" s="1"/>
      <c r="AE4082" s="1"/>
    </row>
    <row r="4083" spans="9:31" x14ac:dyDescent="0.25">
      <c r="I4083" s="1"/>
      <c r="J4083" s="1"/>
      <c r="N4083" s="1"/>
      <c r="Z4083" s="1"/>
      <c r="AA4083" s="1"/>
      <c r="AE4083" s="1"/>
    </row>
    <row r="4084" spans="9:31" x14ac:dyDescent="0.25">
      <c r="I4084" s="1"/>
      <c r="J4084" s="1"/>
      <c r="N4084" s="1"/>
      <c r="Z4084" s="1"/>
      <c r="AA4084" s="1"/>
      <c r="AE4084" s="1"/>
    </row>
    <row r="4085" spans="9:31" x14ac:dyDescent="0.25">
      <c r="I4085" s="1"/>
      <c r="J4085" s="1"/>
      <c r="K4085" s="1"/>
      <c r="N4085" s="1"/>
      <c r="AE4085" s="1"/>
    </row>
    <row r="4086" spans="9:31" x14ac:dyDescent="0.25">
      <c r="I4086" s="1"/>
      <c r="J4086" s="1"/>
      <c r="N4086" s="1"/>
      <c r="Z4086" s="1"/>
      <c r="AA4086" s="1"/>
      <c r="AE4086" s="1"/>
    </row>
    <row r="4087" spans="9:31" x14ac:dyDescent="0.25">
      <c r="I4087" s="1"/>
      <c r="J4087" s="1"/>
      <c r="N4087" s="1"/>
      <c r="Z4087" s="1"/>
      <c r="AA4087" s="1"/>
      <c r="AE4087" s="1"/>
    </row>
    <row r="4088" spans="9:31" x14ac:dyDescent="0.25">
      <c r="I4088" s="1"/>
      <c r="J4088" s="1"/>
      <c r="N4088" s="1"/>
      <c r="AE4088" s="1"/>
    </row>
    <row r="4089" spans="9:31" x14ac:dyDescent="0.25">
      <c r="I4089" s="1"/>
      <c r="J4089" s="1"/>
      <c r="N4089" s="1"/>
      <c r="Z4089" s="1"/>
      <c r="AA4089" s="1"/>
      <c r="AE4089" s="1"/>
    </row>
    <row r="4090" spans="9:31" x14ac:dyDescent="0.25">
      <c r="I4090" s="1"/>
      <c r="J4090" s="1"/>
      <c r="N4090" s="1"/>
      <c r="AE4090" s="1"/>
    </row>
    <row r="4091" spans="9:31" x14ac:dyDescent="0.25">
      <c r="I4091" s="1"/>
      <c r="J4091" s="1"/>
      <c r="N4091" s="1"/>
      <c r="Z4091" s="1"/>
      <c r="AA4091" s="1"/>
      <c r="AE4091" s="1"/>
    </row>
    <row r="4092" spans="9:31" x14ac:dyDescent="0.25">
      <c r="I4092" s="1"/>
      <c r="J4092" s="1"/>
      <c r="N4092" s="1"/>
      <c r="Z4092" s="1"/>
      <c r="AA4092" s="1"/>
      <c r="AE4092" s="1"/>
    </row>
    <row r="4093" spans="9:31" x14ac:dyDescent="0.25">
      <c r="I4093" s="1"/>
      <c r="J4093" s="1"/>
      <c r="N4093" s="1"/>
      <c r="Z4093" s="1"/>
      <c r="AA4093" s="1"/>
      <c r="AE4093" s="1"/>
    </row>
    <row r="4094" spans="9:31" x14ac:dyDescent="0.25">
      <c r="I4094" s="1"/>
      <c r="J4094" s="1"/>
      <c r="N4094" s="1"/>
      <c r="Z4094" s="1"/>
      <c r="AA4094" s="1"/>
      <c r="AE4094" s="1"/>
    </row>
    <row r="4095" spans="9:31" x14ac:dyDescent="0.25">
      <c r="I4095" s="1"/>
      <c r="J4095" s="1"/>
      <c r="N4095" s="1"/>
      <c r="Z4095" s="1"/>
      <c r="AA4095" s="1"/>
      <c r="AE4095" s="1"/>
    </row>
    <row r="4096" spans="9:31" x14ac:dyDescent="0.25">
      <c r="I4096" s="1"/>
      <c r="J4096" s="1"/>
      <c r="N4096" s="1"/>
      <c r="Z4096" s="1"/>
      <c r="AA4096" s="1"/>
      <c r="AE4096" s="1"/>
    </row>
    <row r="4097" spans="9:31" x14ac:dyDescent="0.25">
      <c r="I4097" s="1"/>
      <c r="J4097" s="1"/>
      <c r="K4097" s="1"/>
      <c r="N4097" s="1"/>
      <c r="Z4097" s="1"/>
      <c r="AA4097" s="1"/>
      <c r="AE4097" s="1"/>
    </row>
    <row r="4098" spans="9:31" x14ac:dyDescent="0.25">
      <c r="I4098" s="1"/>
      <c r="J4098" s="1"/>
      <c r="K4098" s="1"/>
      <c r="N4098" s="1"/>
      <c r="Z4098" s="1"/>
      <c r="AA4098" s="1"/>
      <c r="AE4098" s="1"/>
    </row>
    <row r="4099" spans="9:31" x14ac:dyDescent="0.25">
      <c r="I4099" s="1"/>
      <c r="J4099" s="1"/>
      <c r="N4099" s="1"/>
      <c r="Z4099" s="1"/>
      <c r="AA4099" s="1"/>
      <c r="AE4099" s="1"/>
    </row>
    <row r="4100" spans="9:31" x14ac:dyDescent="0.25">
      <c r="I4100" s="1"/>
      <c r="J4100" s="1"/>
      <c r="N4100" s="1"/>
      <c r="AE4100" s="1"/>
    </row>
    <row r="4101" spans="9:31" x14ac:dyDescent="0.25">
      <c r="I4101" s="1"/>
      <c r="J4101" s="1"/>
      <c r="N4101" s="1"/>
      <c r="Z4101" s="1"/>
      <c r="AA4101" s="1"/>
      <c r="AE4101" s="1"/>
    </row>
    <row r="4102" spans="9:31" x14ac:dyDescent="0.25">
      <c r="I4102" s="1"/>
      <c r="J4102" s="1"/>
      <c r="N4102" s="1"/>
      <c r="Z4102" s="1"/>
      <c r="AA4102" s="1"/>
      <c r="AE4102" s="1"/>
    </row>
    <row r="4103" spans="9:31" x14ac:dyDescent="0.25">
      <c r="I4103" s="1"/>
      <c r="J4103" s="1"/>
      <c r="N4103" s="1"/>
      <c r="Z4103" s="1"/>
      <c r="AA4103" s="1"/>
      <c r="AE4103" s="1"/>
    </row>
    <row r="4104" spans="9:31" x14ac:dyDescent="0.25">
      <c r="I4104" s="1"/>
      <c r="J4104" s="1"/>
      <c r="N4104" s="1"/>
      <c r="Z4104" s="1"/>
      <c r="AA4104" s="1"/>
      <c r="AE4104" s="1"/>
    </row>
    <row r="4105" spans="9:31" x14ac:dyDescent="0.25">
      <c r="I4105" s="1"/>
      <c r="J4105" s="1"/>
      <c r="N4105" s="1"/>
      <c r="Z4105" s="1"/>
      <c r="AA4105" s="1"/>
      <c r="AE4105" s="1"/>
    </row>
    <row r="4106" spans="9:31" x14ac:dyDescent="0.25">
      <c r="I4106" s="1"/>
      <c r="J4106" s="1"/>
      <c r="N4106" s="1"/>
      <c r="Z4106" s="1"/>
      <c r="AA4106" s="1"/>
      <c r="AE4106" s="1"/>
    </row>
    <row r="4107" spans="9:31" x14ac:dyDescent="0.25">
      <c r="I4107" s="1"/>
      <c r="J4107" s="1"/>
      <c r="N4107" s="1"/>
      <c r="Z4107" s="1"/>
      <c r="AA4107" s="1"/>
      <c r="AE4107" s="1"/>
    </row>
    <row r="4108" spans="9:31" x14ac:dyDescent="0.25">
      <c r="I4108" s="1"/>
      <c r="J4108" s="1"/>
      <c r="N4108" s="1"/>
      <c r="Z4108" s="1"/>
      <c r="AA4108" s="1"/>
      <c r="AE4108" s="1"/>
    </row>
    <row r="4109" spans="9:31" x14ac:dyDescent="0.25">
      <c r="I4109" s="1"/>
      <c r="J4109" s="1"/>
      <c r="N4109" s="1"/>
      <c r="Z4109" s="1"/>
      <c r="AA4109" s="1"/>
      <c r="AE4109" s="1"/>
    </row>
    <row r="4110" spans="9:31" x14ac:dyDescent="0.25">
      <c r="I4110" s="1"/>
      <c r="J4110" s="1"/>
      <c r="N4110" s="1"/>
      <c r="Z4110" s="1"/>
      <c r="AA4110" s="1"/>
      <c r="AE4110" s="1"/>
    </row>
    <row r="4111" spans="9:31" x14ac:dyDescent="0.25">
      <c r="I4111" s="1"/>
      <c r="J4111" s="1"/>
      <c r="N4111" s="1"/>
      <c r="Z4111" s="1"/>
      <c r="AA4111" s="1"/>
      <c r="AE4111" s="1"/>
    </row>
    <row r="4112" spans="9:31" x14ac:dyDescent="0.25">
      <c r="I4112" s="1"/>
      <c r="J4112" s="1"/>
      <c r="N4112" s="1"/>
      <c r="Z4112" s="1"/>
      <c r="AA4112" s="1"/>
      <c r="AE4112" s="1"/>
    </row>
    <row r="4113" spans="9:31" x14ac:dyDescent="0.25">
      <c r="I4113" s="1"/>
      <c r="J4113" s="1"/>
      <c r="N4113" s="1"/>
      <c r="Z4113" s="1"/>
      <c r="AA4113" s="1"/>
      <c r="AE4113" s="1"/>
    </row>
    <row r="4114" spans="9:31" x14ac:dyDescent="0.25">
      <c r="I4114" s="1"/>
      <c r="J4114" s="1"/>
      <c r="N4114" s="1"/>
      <c r="Z4114" s="1"/>
      <c r="AA4114" s="1"/>
      <c r="AE4114" s="1"/>
    </row>
    <row r="4115" spans="9:31" x14ac:dyDescent="0.25">
      <c r="I4115" s="1"/>
      <c r="J4115" s="1"/>
      <c r="N4115" s="1"/>
      <c r="Z4115" s="1"/>
      <c r="AA4115" s="1"/>
      <c r="AE4115" s="1"/>
    </row>
    <row r="4116" spans="9:31" x14ac:dyDescent="0.25">
      <c r="I4116" s="1"/>
      <c r="J4116" s="1"/>
      <c r="N4116" s="1"/>
      <c r="Z4116" s="1"/>
      <c r="AA4116" s="1"/>
      <c r="AE4116" s="1"/>
    </row>
    <row r="4117" spans="9:31" x14ac:dyDescent="0.25">
      <c r="I4117" s="1"/>
      <c r="J4117" s="1"/>
      <c r="K4117" s="1"/>
      <c r="N4117" s="1"/>
      <c r="Z4117" s="1"/>
      <c r="AA4117" s="1"/>
      <c r="AE4117" s="1"/>
    </row>
    <row r="4118" spans="9:31" x14ac:dyDescent="0.25">
      <c r="I4118" s="1"/>
      <c r="J4118" s="1"/>
      <c r="N4118" s="1"/>
      <c r="AE4118" s="1"/>
    </row>
    <row r="4119" spans="9:31" x14ac:dyDescent="0.25">
      <c r="I4119" s="1"/>
      <c r="J4119" s="1"/>
      <c r="N4119" s="1"/>
      <c r="Z4119" s="1"/>
      <c r="AA4119" s="1"/>
      <c r="AE4119" s="1"/>
    </row>
    <row r="4120" spans="9:31" x14ac:dyDescent="0.25">
      <c r="I4120" s="1"/>
      <c r="J4120" s="1"/>
      <c r="N4120" s="1"/>
      <c r="Z4120" s="1"/>
      <c r="AA4120" s="1"/>
      <c r="AE4120" s="1"/>
    </row>
    <row r="4121" spans="9:31" x14ac:dyDescent="0.25">
      <c r="I4121" s="1"/>
      <c r="J4121" s="1"/>
      <c r="N4121" s="1"/>
      <c r="Z4121" s="1"/>
      <c r="AA4121" s="1"/>
      <c r="AE4121" s="1"/>
    </row>
    <row r="4122" spans="9:31" x14ac:dyDescent="0.25">
      <c r="I4122" s="1"/>
      <c r="J4122" s="1"/>
      <c r="N4122" s="1"/>
      <c r="Z4122" s="1"/>
      <c r="AA4122" s="1"/>
      <c r="AE4122" s="1"/>
    </row>
    <row r="4123" spans="9:31" x14ac:dyDescent="0.25">
      <c r="I4123" s="1"/>
      <c r="J4123" s="1"/>
      <c r="N4123" s="1"/>
      <c r="Z4123" s="1"/>
      <c r="AA4123" s="1"/>
      <c r="AE4123" s="1"/>
    </row>
    <row r="4124" spans="9:31" x14ac:dyDescent="0.25">
      <c r="I4124" s="1"/>
      <c r="J4124" s="1"/>
      <c r="N4124" s="1"/>
      <c r="Z4124" s="1"/>
      <c r="AA4124" s="1"/>
      <c r="AE4124" s="1"/>
    </row>
    <row r="4125" spans="9:31" x14ac:dyDescent="0.25">
      <c r="I4125" s="1"/>
      <c r="J4125" s="1"/>
      <c r="N4125" s="1"/>
      <c r="Z4125" s="1"/>
      <c r="AA4125" s="1"/>
      <c r="AE4125" s="1"/>
    </row>
    <row r="4126" spans="9:31" x14ac:dyDescent="0.25">
      <c r="I4126" s="1"/>
      <c r="J4126" s="1"/>
      <c r="K4126" s="1"/>
      <c r="N4126" s="1"/>
      <c r="Z4126" s="1"/>
      <c r="AA4126" s="1"/>
      <c r="AE4126" s="1"/>
    </row>
    <row r="4127" spans="9:31" x14ac:dyDescent="0.25">
      <c r="I4127" s="1"/>
      <c r="J4127" s="1"/>
      <c r="N4127" s="1"/>
      <c r="Z4127" s="1"/>
      <c r="AA4127" s="1"/>
      <c r="AE4127" s="1"/>
    </row>
    <row r="4128" spans="9:31" x14ac:dyDescent="0.25">
      <c r="I4128" s="1"/>
      <c r="J4128" s="1"/>
      <c r="N4128" s="1"/>
      <c r="Z4128" s="1"/>
      <c r="AA4128" s="1"/>
      <c r="AE4128" s="1"/>
    </row>
    <row r="4129" spans="9:31" x14ac:dyDescent="0.25">
      <c r="I4129" s="1"/>
      <c r="J4129" s="1"/>
      <c r="N4129" s="1"/>
      <c r="Z4129" s="1"/>
      <c r="AA4129" s="1"/>
      <c r="AE4129" s="1"/>
    </row>
    <row r="4130" spans="9:31" x14ac:dyDescent="0.25">
      <c r="I4130" s="1"/>
      <c r="J4130" s="1"/>
      <c r="N4130" s="1"/>
      <c r="Z4130" s="1"/>
      <c r="AA4130" s="1"/>
      <c r="AE4130" s="1"/>
    </row>
    <row r="4131" spans="9:31" x14ac:dyDescent="0.25">
      <c r="I4131" s="1"/>
      <c r="J4131" s="1"/>
      <c r="N4131" s="1"/>
      <c r="Z4131" s="1"/>
      <c r="AA4131" s="1"/>
      <c r="AE4131" s="1"/>
    </row>
    <row r="4132" spans="9:31" x14ac:dyDescent="0.25">
      <c r="I4132" s="1"/>
      <c r="J4132" s="1"/>
      <c r="N4132" s="1"/>
      <c r="AE4132" s="1"/>
    </row>
    <row r="4133" spans="9:31" x14ac:dyDescent="0.25">
      <c r="I4133" s="1"/>
      <c r="J4133" s="1"/>
      <c r="N4133" s="1"/>
      <c r="Z4133" s="1"/>
      <c r="AA4133" s="1"/>
      <c r="AE4133" s="1"/>
    </row>
    <row r="4134" spans="9:31" x14ac:dyDescent="0.25">
      <c r="I4134" s="1"/>
      <c r="J4134" s="1"/>
      <c r="N4134" s="1"/>
      <c r="Z4134" s="1"/>
      <c r="AA4134" s="1"/>
      <c r="AE4134" s="1"/>
    </row>
    <row r="4135" spans="9:31" x14ac:dyDescent="0.25">
      <c r="I4135" s="1"/>
      <c r="J4135" s="1"/>
      <c r="N4135" s="1"/>
      <c r="Z4135" s="1"/>
      <c r="AA4135" s="1"/>
      <c r="AE4135" s="1"/>
    </row>
    <row r="4136" spans="9:31" x14ac:dyDescent="0.25">
      <c r="I4136" s="1"/>
      <c r="J4136" s="1"/>
      <c r="N4136" s="1"/>
      <c r="Z4136" s="1"/>
      <c r="AA4136" s="1"/>
      <c r="AE4136" s="1"/>
    </row>
    <row r="4137" spans="9:31" x14ac:dyDescent="0.25">
      <c r="I4137" s="1"/>
      <c r="J4137" s="1"/>
      <c r="N4137" s="1"/>
      <c r="Z4137" s="1"/>
      <c r="AA4137" s="1"/>
      <c r="AE4137" s="1"/>
    </row>
    <row r="4138" spans="9:31" x14ac:dyDescent="0.25">
      <c r="I4138" s="1"/>
      <c r="J4138" s="1"/>
      <c r="N4138" s="1"/>
      <c r="Z4138" s="1"/>
      <c r="AA4138" s="1"/>
      <c r="AE4138" s="1"/>
    </row>
    <row r="4139" spans="9:31" x14ac:dyDescent="0.25">
      <c r="I4139" s="1"/>
      <c r="J4139" s="1"/>
      <c r="N4139" s="1"/>
      <c r="Z4139" s="1"/>
      <c r="AA4139" s="1"/>
      <c r="AE4139" s="1"/>
    </row>
    <row r="4140" spans="9:31" x14ac:dyDescent="0.25">
      <c r="I4140" s="1"/>
      <c r="J4140" s="1"/>
      <c r="N4140" s="1"/>
      <c r="AE4140" s="1"/>
    </row>
    <row r="4141" spans="9:31" x14ac:dyDescent="0.25">
      <c r="I4141" s="1"/>
      <c r="J4141" s="1"/>
      <c r="N4141" s="1"/>
      <c r="Z4141" s="1"/>
      <c r="AA4141" s="1"/>
      <c r="AE4141" s="1"/>
    </row>
    <row r="4142" spans="9:31" x14ac:dyDescent="0.25">
      <c r="I4142" s="1"/>
      <c r="J4142" s="1"/>
      <c r="N4142" s="1"/>
      <c r="Z4142" s="1"/>
      <c r="AA4142" s="1"/>
      <c r="AE4142" s="1"/>
    </row>
    <row r="4143" spans="9:31" x14ac:dyDescent="0.25">
      <c r="I4143" s="1"/>
      <c r="J4143" s="1"/>
      <c r="N4143" s="1"/>
      <c r="Z4143" s="1"/>
      <c r="AA4143" s="1"/>
      <c r="AE4143" s="1"/>
    </row>
    <row r="4144" spans="9:31" x14ac:dyDescent="0.25">
      <c r="I4144" s="1"/>
      <c r="J4144" s="1"/>
      <c r="K4144" s="1"/>
      <c r="N4144" s="1"/>
      <c r="Z4144" s="1"/>
      <c r="AA4144" s="1"/>
      <c r="AE4144" s="1"/>
    </row>
    <row r="4145" spans="9:31" x14ac:dyDescent="0.25">
      <c r="I4145" s="1"/>
      <c r="J4145" s="1"/>
      <c r="N4145" s="1"/>
      <c r="Z4145" s="1"/>
      <c r="AA4145" s="1"/>
      <c r="AE4145" s="1"/>
    </row>
    <row r="4146" spans="9:31" x14ac:dyDescent="0.25">
      <c r="I4146" s="1"/>
      <c r="J4146" s="1"/>
      <c r="K4146" s="1"/>
      <c r="N4146" s="1"/>
      <c r="Z4146" s="1"/>
      <c r="AA4146" s="1"/>
      <c r="AE4146" s="1"/>
    </row>
    <row r="4147" spans="9:31" x14ac:dyDescent="0.25">
      <c r="I4147" s="1"/>
      <c r="J4147" s="1"/>
      <c r="N4147" s="1"/>
      <c r="AE4147" s="1"/>
    </row>
    <row r="4148" spans="9:31" x14ac:dyDescent="0.25">
      <c r="I4148" s="1"/>
      <c r="J4148" s="1"/>
      <c r="N4148" s="1"/>
      <c r="Z4148" s="1"/>
      <c r="AA4148" s="1"/>
      <c r="AE4148" s="1"/>
    </row>
    <row r="4149" spans="9:31" x14ac:dyDescent="0.25">
      <c r="I4149" s="1"/>
      <c r="J4149" s="1"/>
      <c r="N4149" s="1"/>
      <c r="Z4149" s="1"/>
      <c r="AA4149" s="1"/>
      <c r="AE4149" s="1"/>
    </row>
    <row r="4150" spans="9:31" x14ac:dyDescent="0.25">
      <c r="I4150" s="1"/>
      <c r="J4150" s="1"/>
      <c r="N4150" s="1"/>
      <c r="Z4150" s="1"/>
      <c r="AA4150" s="1"/>
      <c r="AE4150" s="1"/>
    </row>
    <row r="4151" spans="9:31" x14ac:dyDescent="0.25">
      <c r="I4151" s="1"/>
      <c r="J4151" s="1"/>
      <c r="N4151" s="1"/>
      <c r="Z4151" s="1"/>
      <c r="AA4151" s="1"/>
      <c r="AE4151" s="1"/>
    </row>
    <row r="4152" spans="9:31" x14ac:dyDescent="0.25">
      <c r="I4152" s="1"/>
      <c r="J4152" s="1"/>
      <c r="N4152" s="1"/>
      <c r="AE4152" s="1"/>
    </row>
    <row r="4153" spans="9:31" x14ac:dyDescent="0.25">
      <c r="I4153" s="1"/>
      <c r="J4153" s="1"/>
      <c r="N4153" s="1"/>
      <c r="AE4153" s="1"/>
    </row>
    <row r="4154" spans="9:31" x14ac:dyDescent="0.25">
      <c r="I4154" s="1"/>
      <c r="J4154" s="1"/>
      <c r="N4154" s="1"/>
      <c r="Z4154" s="1"/>
      <c r="AA4154" s="1"/>
      <c r="AE4154" s="1"/>
    </row>
    <row r="4155" spans="9:31" x14ac:dyDescent="0.25">
      <c r="I4155" s="1"/>
      <c r="J4155" s="1"/>
      <c r="N4155" s="1"/>
      <c r="Z4155" s="1"/>
      <c r="AA4155" s="1"/>
      <c r="AE4155" s="1"/>
    </row>
    <row r="4156" spans="9:31" x14ac:dyDescent="0.25">
      <c r="I4156" s="1"/>
      <c r="J4156" s="1"/>
      <c r="N4156" s="1"/>
      <c r="Z4156" s="1"/>
      <c r="AA4156" s="1"/>
      <c r="AE4156" s="1"/>
    </row>
    <row r="4157" spans="9:31" x14ac:dyDescent="0.25">
      <c r="I4157" s="1"/>
      <c r="J4157" s="1"/>
      <c r="N4157" s="1"/>
      <c r="Z4157" s="1"/>
      <c r="AA4157" s="1"/>
      <c r="AE4157" s="1"/>
    </row>
    <row r="4158" spans="9:31" x14ac:dyDescent="0.25">
      <c r="I4158" s="1"/>
      <c r="J4158" s="1"/>
      <c r="N4158" s="1"/>
      <c r="Z4158" s="1"/>
      <c r="AA4158" s="1"/>
      <c r="AE4158" s="1"/>
    </row>
    <row r="4159" spans="9:31" x14ac:dyDescent="0.25">
      <c r="I4159" s="1"/>
      <c r="J4159" s="1"/>
      <c r="N4159" s="1"/>
      <c r="Z4159" s="1"/>
      <c r="AA4159" s="1"/>
      <c r="AE4159" s="1"/>
    </row>
    <row r="4160" spans="9:31" x14ac:dyDescent="0.25">
      <c r="I4160" s="1"/>
      <c r="J4160" s="1"/>
      <c r="N4160" s="1"/>
      <c r="Z4160" s="1"/>
      <c r="AA4160" s="1"/>
      <c r="AE4160" s="1"/>
    </row>
    <row r="4161" spans="9:31" x14ac:dyDescent="0.25">
      <c r="I4161" s="1"/>
      <c r="J4161" s="1"/>
      <c r="N4161" s="1"/>
      <c r="Z4161" s="1"/>
      <c r="AA4161" s="1"/>
      <c r="AE4161" s="1"/>
    </row>
    <row r="4162" spans="9:31" x14ac:dyDescent="0.25">
      <c r="N4162" s="1"/>
      <c r="Z4162" s="1"/>
      <c r="AA4162" s="1"/>
      <c r="AE4162" s="1"/>
    </row>
    <row r="4163" spans="9:31" x14ac:dyDescent="0.25">
      <c r="I4163" s="1"/>
      <c r="J4163" s="1"/>
      <c r="N4163" s="1"/>
      <c r="AE4163" s="1"/>
    </row>
    <row r="4164" spans="9:31" x14ac:dyDescent="0.25">
      <c r="I4164" s="1"/>
      <c r="J4164" s="1"/>
      <c r="N4164" s="1"/>
      <c r="Z4164" s="1"/>
      <c r="AA4164" s="1"/>
      <c r="AE4164" s="1"/>
    </row>
    <row r="4165" spans="9:31" x14ac:dyDescent="0.25">
      <c r="I4165" s="1"/>
      <c r="J4165" s="1"/>
      <c r="N4165" s="1"/>
      <c r="Z4165" s="1"/>
      <c r="AA4165" s="1"/>
      <c r="AE4165" s="1"/>
    </row>
    <row r="4166" spans="9:31" x14ac:dyDescent="0.25">
      <c r="I4166" s="1"/>
      <c r="J4166" s="1"/>
      <c r="N4166" s="1"/>
      <c r="Z4166" s="1"/>
      <c r="AA4166" s="1"/>
      <c r="AE4166" s="1"/>
    </row>
    <row r="4167" spans="9:31" x14ac:dyDescent="0.25">
      <c r="I4167" s="1"/>
      <c r="J4167" s="1"/>
      <c r="N4167" s="1"/>
      <c r="Z4167" s="1"/>
      <c r="AA4167" s="1"/>
      <c r="AE4167" s="1"/>
    </row>
    <row r="4168" spans="9:31" x14ac:dyDescent="0.25">
      <c r="I4168" s="1"/>
      <c r="J4168" s="1"/>
      <c r="N4168" s="1"/>
      <c r="Z4168" s="1"/>
      <c r="AA4168" s="1"/>
      <c r="AE4168" s="1"/>
    </row>
    <row r="4169" spans="9:31" x14ac:dyDescent="0.25">
      <c r="I4169" s="1"/>
      <c r="J4169" s="1"/>
      <c r="N4169" s="1"/>
      <c r="Z4169" s="1"/>
      <c r="AA4169" s="1"/>
      <c r="AE4169" s="1"/>
    </row>
    <row r="4170" spans="9:31" x14ac:dyDescent="0.25">
      <c r="I4170" s="1"/>
      <c r="J4170" s="1"/>
      <c r="N4170" s="1"/>
      <c r="Z4170" s="1"/>
      <c r="AA4170" s="1"/>
      <c r="AE4170" s="1"/>
    </row>
    <row r="4171" spans="9:31" x14ac:dyDescent="0.25">
      <c r="I4171" s="1"/>
      <c r="J4171" s="1"/>
      <c r="N4171" s="1"/>
      <c r="Z4171" s="1"/>
      <c r="AA4171" s="1"/>
      <c r="AE4171" s="1"/>
    </row>
    <row r="4172" spans="9:31" x14ac:dyDescent="0.25">
      <c r="N4172" s="1"/>
      <c r="Z4172" s="1"/>
      <c r="AA4172" s="1"/>
      <c r="AE4172" s="1"/>
    </row>
    <row r="4173" spans="9:31" x14ac:dyDescent="0.25">
      <c r="I4173" s="1"/>
      <c r="J4173" s="1"/>
      <c r="N4173" s="1"/>
      <c r="AE4173" s="1"/>
    </row>
    <row r="4174" spans="9:31" x14ac:dyDescent="0.25">
      <c r="I4174" s="1"/>
      <c r="J4174" s="1"/>
      <c r="N4174" s="1"/>
      <c r="Z4174" s="1"/>
      <c r="AA4174" s="1"/>
      <c r="AE4174" s="1"/>
    </row>
    <row r="4175" spans="9:31" x14ac:dyDescent="0.25">
      <c r="I4175" s="1"/>
      <c r="J4175" s="1"/>
      <c r="N4175" s="1"/>
      <c r="Z4175" s="1"/>
      <c r="AA4175" s="1"/>
      <c r="AE4175" s="1"/>
    </row>
    <row r="4176" spans="9:31" x14ac:dyDescent="0.25">
      <c r="I4176" s="1"/>
      <c r="J4176" s="1"/>
      <c r="N4176" s="1"/>
      <c r="Z4176" s="1"/>
      <c r="AA4176" s="1"/>
      <c r="AE4176" s="1"/>
    </row>
    <row r="4177" spans="9:31" x14ac:dyDescent="0.25">
      <c r="I4177" s="1"/>
      <c r="J4177" s="1"/>
      <c r="N4177" s="1"/>
      <c r="Z4177" s="1"/>
      <c r="AA4177" s="1"/>
      <c r="AE4177" s="1"/>
    </row>
    <row r="4178" spans="9:31" x14ac:dyDescent="0.25">
      <c r="I4178" s="1"/>
      <c r="J4178" s="1"/>
      <c r="N4178" s="1"/>
      <c r="Z4178" s="1"/>
      <c r="AA4178" s="1"/>
      <c r="AE4178" s="1"/>
    </row>
    <row r="4179" spans="9:31" x14ac:dyDescent="0.25">
      <c r="I4179" s="1"/>
      <c r="J4179" s="1"/>
      <c r="N4179" s="1"/>
      <c r="Z4179" s="1"/>
      <c r="AA4179" s="1"/>
      <c r="AE4179" s="1"/>
    </row>
    <row r="4180" spans="9:31" x14ac:dyDescent="0.25">
      <c r="I4180" s="1"/>
      <c r="J4180" s="1"/>
      <c r="N4180" s="1"/>
      <c r="Z4180" s="1"/>
      <c r="AA4180" s="1"/>
      <c r="AE4180" s="1"/>
    </row>
    <row r="4181" spans="9:31" x14ac:dyDescent="0.25">
      <c r="I4181" s="1"/>
      <c r="J4181" s="1"/>
      <c r="N4181" s="1"/>
      <c r="Z4181" s="1"/>
      <c r="AA4181" s="1"/>
      <c r="AE4181" s="1"/>
    </row>
    <row r="4182" spans="9:31" x14ac:dyDescent="0.25">
      <c r="I4182" s="1"/>
      <c r="J4182" s="1"/>
      <c r="N4182" s="1"/>
      <c r="Z4182" s="1"/>
      <c r="AA4182" s="1"/>
      <c r="AE4182" s="1"/>
    </row>
    <row r="4183" spans="9:31" x14ac:dyDescent="0.25">
      <c r="I4183" s="1"/>
      <c r="J4183" s="1"/>
      <c r="N4183" s="1"/>
      <c r="Z4183" s="1"/>
      <c r="AA4183" s="1"/>
      <c r="AE4183" s="1"/>
    </row>
    <row r="4184" spans="9:31" x14ac:dyDescent="0.25">
      <c r="I4184" s="1"/>
      <c r="J4184" s="1"/>
      <c r="N4184" s="1"/>
      <c r="Z4184" s="1"/>
      <c r="AA4184" s="1"/>
      <c r="AE4184" s="1"/>
    </row>
    <row r="4185" spans="9:31" x14ac:dyDescent="0.25">
      <c r="I4185" s="1"/>
      <c r="J4185" s="1"/>
      <c r="N4185" s="1"/>
      <c r="Z4185" s="1"/>
      <c r="AA4185" s="1"/>
      <c r="AE4185" s="1"/>
    </row>
    <row r="4186" spans="9:31" x14ac:dyDescent="0.25">
      <c r="I4186" s="1"/>
      <c r="J4186" s="1"/>
      <c r="N4186" s="1"/>
      <c r="Z4186" s="1"/>
      <c r="AA4186" s="1"/>
      <c r="AE4186" s="1"/>
    </row>
    <row r="4187" spans="9:31" x14ac:dyDescent="0.25">
      <c r="I4187" s="1"/>
      <c r="J4187" s="1"/>
      <c r="N4187" s="1"/>
      <c r="Z4187" s="1"/>
      <c r="AA4187" s="1"/>
      <c r="AE4187" s="1"/>
    </row>
    <row r="4188" spans="9:31" x14ac:dyDescent="0.25">
      <c r="I4188" s="1"/>
      <c r="J4188" s="1"/>
      <c r="N4188" s="1"/>
      <c r="Z4188" s="1"/>
      <c r="AA4188" s="1"/>
      <c r="AE4188" s="1"/>
    </row>
    <row r="4189" spans="9:31" x14ac:dyDescent="0.25">
      <c r="I4189" s="1"/>
      <c r="J4189" s="1"/>
      <c r="N4189" s="1"/>
      <c r="Z4189" s="1"/>
      <c r="AA4189" s="1"/>
      <c r="AE4189" s="1"/>
    </row>
    <row r="4190" spans="9:31" x14ac:dyDescent="0.25">
      <c r="I4190" s="1"/>
      <c r="J4190" s="1"/>
      <c r="N4190" s="1"/>
      <c r="Z4190" s="1"/>
      <c r="AA4190" s="1"/>
      <c r="AE4190" s="1"/>
    </row>
    <row r="4191" spans="9:31" x14ac:dyDescent="0.25">
      <c r="I4191" s="1"/>
      <c r="J4191" s="1"/>
      <c r="N4191" s="1"/>
      <c r="Z4191" s="1"/>
      <c r="AA4191" s="1"/>
      <c r="AE4191" s="1"/>
    </row>
    <row r="4192" spans="9:31" x14ac:dyDescent="0.25">
      <c r="I4192" s="1"/>
      <c r="J4192" s="1"/>
      <c r="N4192" s="1"/>
      <c r="Z4192" s="1"/>
      <c r="AA4192" s="1"/>
      <c r="AE4192" s="1"/>
    </row>
    <row r="4193" spans="9:31" x14ac:dyDescent="0.25">
      <c r="I4193" s="1"/>
      <c r="J4193" s="1"/>
      <c r="N4193" s="1"/>
      <c r="Z4193" s="1"/>
      <c r="AA4193" s="1"/>
      <c r="AE4193" s="1"/>
    </row>
    <row r="4194" spans="9:31" x14ac:dyDescent="0.25">
      <c r="I4194" s="1"/>
      <c r="J4194" s="1"/>
      <c r="N4194" s="1"/>
      <c r="Z4194" s="1"/>
      <c r="AA4194" s="1"/>
      <c r="AE4194" s="1"/>
    </row>
    <row r="4195" spans="9:31" x14ac:dyDescent="0.25">
      <c r="I4195" s="1"/>
      <c r="J4195" s="1"/>
      <c r="N4195" s="1"/>
      <c r="Z4195" s="1"/>
      <c r="AA4195" s="1"/>
      <c r="AE4195" s="1"/>
    </row>
    <row r="4196" spans="9:31" x14ac:dyDescent="0.25">
      <c r="I4196" s="1"/>
      <c r="J4196" s="1"/>
      <c r="N4196" s="1"/>
      <c r="Z4196" s="1"/>
      <c r="AA4196" s="1"/>
      <c r="AE4196" s="1"/>
    </row>
    <row r="4197" spans="9:31" x14ac:dyDescent="0.25">
      <c r="I4197" s="1"/>
      <c r="J4197" s="1"/>
      <c r="N4197" s="1"/>
      <c r="Z4197" s="1"/>
      <c r="AA4197" s="1"/>
      <c r="AE4197" s="1"/>
    </row>
    <row r="4198" spans="9:31" x14ac:dyDescent="0.25">
      <c r="I4198" s="1"/>
      <c r="J4198" s="1"/>
      <c r="N4198" s="1"/>
      <c r="Z4198" s="1"/>
      <c r="AA4198" s="1"/>
      <c r="AE4198" s="1"/>
    </row>
    <row r="4199" spans="9:31" x14ac:dyDescent="0.25">
      <c r="I4199" s="1"/>
      <c r="J4199" s="1"/>
      <c r="N4199" s="1"/>
      <c r="Z4199" s="1"/>
      <c r="AA4199" s="1"/>
      <c r="AE4199" s="1"/>
    </row>
    <row r="4200" spans="9:31" x14ac:dyDescent="0.25">
      <c r="I4200" s="1"/>
      <c r="J4200" s="1"/>
      <c r="N4200" s="1"/>
      <c r="Z4200" s="1"/>
      <c r="AA4200" s="1"/>
      <c r="AE4200" s="1"/>
    </row>
    <row r="4201" spans="9:31" x14ac:dyDescent="0.25">
      <c r="I4201" s="1"/>
      <c r="J4201" s="1"/>
      <c r="N4201" s="1"/>
      <c r="Z4201" s="1"/>
      <c r="AA4201" s="1"/>
      <c r="AE4201" s="1"/>
    </row>
    <row r="4202" spans="9:31" x14ac:dyDescent="0.25">
      <c r="I4202" s="1"/>
      <c r="J4202" s="1"/>
      <c r="N4202" s="1"/>
      <c r="Z4202" s="1"/>
      <c r="AA4202" s="1"/>
      <c r="AE4202" s="1"/>
    </row>
    <row r="4203" spans="9:31" x14ac:dyDescent="0.25">
      <c r="I4203" s="1"/>
      <c r="J4203" s="1"/>
      <c r="N4203" s="1"/>
      <c r="Z4203" s="1"/>
      <c r="AA4203" s="1"/>
      <c r="AE4203" s="1"/>
    </row>
    <row r="4204" spans="9:31" x14ac:dyDescent="0.25">
      <c r="I4204" s="1"/>
      <c r="J4204" s="1"/>
      <c r="N4204" s="1"/>
      <c r="Z4204" s="1"/>
      <c r="AA4204" s="1"/>
      <c r="AE4204" s="1"/>
    </row>
    <row r="4205" spans="9:31" x14ac:dyDescent="0.25">
      <c r="I4205" s="1"/>
      <c r="J4205" s="1"/>
      <c r="N4205" s="1"/>
      <c r="Z4205" s="1"/>
      <c r="AA4205" s="1"/>
      <c r="AE4205" s="1"/>
    </row>
    <row r="4206" spans="9:31" x14ac:dyDescent="0.25">
      <c r="I4206" s="1"/>
      <c r="J4206" s="1"/>
      <c r="N4206" s="1"/>
      <c r="Z4206" s="1"/>
      <c r="AA4206" s="1"/>
      <c r="AE4206" s="1"/>
    </row>
    <row r="4207" spans="9:31" x14ac:dyDescent="0.25">
      <c r="N4207" s="1"/>
      <c r="Z4207" s="1"/>
      <c r="AA4207" s="1"/>
      <c r="AE4207" s="1"/>
    </row>
    <row r="4208" spans="9:31" x14ac:dyDescent="0.25">
      <c r="I4208" s="1"/>
      <c r="J4208" s="1"/>
      <c r="N4208" s="1"/>
      <c r="AE4208" s="1"/>
    </row>
    <row r="4209" spans="9:31" x14ac:dyDescent="0.25">
      <c r="I4209" s="1"/>
      <c r="J4209" s="1"/>
      <c r="N4209" s="1"/>
      <c r="Z4209" s="1"/>
      <c r="AA4209" s="1"/>
      <c r="AE4209" s="1"/>
    </row>
    <row r="4210" spans="9:31" x14ac:dyDescent="0.25">
      <c r="I4210" s="1"/>
      <c r="J4210" s="1"/>
      <c r="N4210" s="1"/>
      <c r="Z4210" s="1"/>
      <c r="AA4210" s="1"/>
      <c r="AE4210" s="1"/>
    </row>
    <row r="4211" spans="9:31" x14ac:dyDescent="0.25">
      <c r="I4211" s="1"/>
      <c r="J4211" s="1"/>
      <c r="N4211" s="1"/>
      <c r="Z4211" s="1"/>
      <c r="AA4211" s="1"/>
      <c r="AE4211" s="1"/>
    </row>
    <row r="4212" spans="9:31" x14ac:dyDescent="0.25">
      <c r="I4212" s="1"/>
      <c r="J4212" s="1"/>
      <c r="N4212" s="1"/>
      <c r="Z4212" s="1"/>
      <c r="AA4212" s="1"/>
      <c r="AE4212" s="1"/>
    </row>
    <row r="4213" spans="9:31" x14ac:dyDescent="0.25">
      <c r="I4213" s="1"/>
      <c r="J4213" s="1"/>
      <c r="N4213" s="1"/>
      <c r="Z4213" s="1"/>
      <c r="AA4213" s="1"/>
      <c r="AE4213" s="1"/>
    </row>
    <row r="4214" spans="9:31" x14ac:dyDescent="0.25">
      <c r="I4214" s="1"/>
      <c r="J4214" s="1"/>
      <c r="N4214" s="1"/>
      <c r="Z4214" s="1"/>
      <c r="AA4214" s="1"/>
      <c r="AE4214" s="1"/>
    </row>
    <row r="4215" spans="9:31" x14ac:dyDescent="0.25">
      <c r="I4215" s="1"/>
      <c r="J4215" s="1"/>
      <c r="N4215" s="1"/>
      <c r="Z4215" s="1"/>
      <c r="AA4215" s="1"/>
      <c r="AE4215" s="1"/>
    </row>
    <row r="4216" spans="9:31" x14ac:dyDescent="0.25">
      <c r="N4216" s="1"/>
      <c r="Z4216" s="1"/>
      <c r="AA4216" s="1"/>
      <c r="AE4216" s="1"/>
    </row>
    <row r="4217" spans="9:31" x14ac:dyDescent="0.25">
      <c r="I4217" s="1"/>
      <c r="J4217" s="1"/>
      <c r="N4217" s="1"/>
      <c r="AE4217" s="1"/>
    </row>
    <row r="4218" spans="9:31" x14ac:dyDescent="0.25">
      <c r="I4218" s="1"/>
      <c r="J4218" s="1"/>
      <c r="N4218" s="1"/>
      <c r="Z4218" s="1"/>
      <c r="AA4218" s="1"/>
      <c r="AE4218" s="1"/>
    </row>
    <row r="4219" spans="9:31" x14ac:dyDescent="0.25">
      <c r="I4219" s="1"/>
      <c r="J4219" s="1"/>
      <c r="N4219" s="1"/>
      <c r="Z4219" s="1"/>
      <c r="AA4219" s="1"/>
      <c r="AE4219" s="1"/>
    </row>
    <row r="4220" spans="9:31" x14ac:dyDescent="0.25">
      <c r="I4220" s="1"/>
      <c r="J4220" s="1"/>
      <c r="N4220" s="1"/>
      <c r="Z4220" s="1"/>
      <c r="AA4220" s="1"/>
      <c r="AE4220" s="1"/>
    </row>
    <row r="4221" spans="9:31" x14ac:dyDescent="0.25">
      <c r="N4221" s="1"/>
      <c r="Z4221" s="1"/>
      <c r="AA4221" s="1"/>
      <c r="AE4221" s="1"/>
    </row>
    <row r="4222" spans="9:31" x14ac:dyDescent="0.25">
      <c r="I4222" s="1"/>
      <c r="J4222" s="1"/>
      <c r="N4222" s="1"/>
      <c r="AE4222" s="1"/>
    </row>
    <row r="4223" spans="9:31" x14ac:dyDescent="0.25">
      <c r="I4223" s="1"/>
      <c r="J4223" s="1"/>
      <c r="N4223" s="1"/>
      <c r="Z4223" s="1"/>
      <c r="AA4223" s="1"/>
      <c r="AE4223" s="1"/>
    </row>
    <row r="4224" spans="9:31" x14ac:dyDescent="0.25">
      <c r="I4224" s="1"/>
      <c r="J4224" s="1"/>
      <c r="N4224" s="1"/>
      <c r="Z4224" s="1"/>
      <c r="AA4224" s="1"/>
      <c r="AE4224" s="1"/>
    </row>
    <row r="4225" spans="9:31" x14ac:dyDescent="0.25">
      <c r="N4225" s="1"/>
      <c r="Z4225" s="1"/>
      <c r="AA4225" s="1"/>
      <c r="AE4225" s="1"/>
    </row>
    <row r="4226" spans="9:31" x14ac:dyDescent="0.25">
      <c r="I4226" s="1"/>
      <c r="J4226" s="1"/>
      <c r="N4226" s="1"/>
      <c r="AE4226" s="1"/>
    </row>
    <row r="4227" spans="9:31" x14ac:dyDescent="0.25">
      <c r="I4227" s="1"/>
      <c r="J4227" s="1"/>
      <c r="N4227" s="1"/>
      <c r="Z4227" s="1"/>
      <c r="AA4227" s="1"/>
      <c r="AE4227" s="1"/>
    </row>
    <row r="4228" spans="9:31" x14ac:dyDescent="0.25">
      <c r="N4228" s="1"/>
      <c r="Z4228" s="1"/>
      <c r="AA4228" s="1"/>
      <c r="AE4228" s="1"/>
    </row>
    <row r="4229" spans="9:31" x14ac:dyDescent="0.25">
      <c r="I4229" s="1"/>
      <c r="J4229" s="1"/>
      <c r="N4229" s="1"/>
      <c r="AE4229" s="1"/>
    </row>
    <row r="4230" spans="9:31" x14ac:dyDescent="0.25">
      <c r="I4230" s="1"/>
      <c r="J4230" s="1"/>
      <c r="N4230" s="1"/>
      <c r="Z4230" s="1"/>
      <c r="AA4230" s="1"/>
      <c r="AE4230" s="1"/>
    </row>
    <row r="4231" spans="9:31" x14ac:dyDescent="0.25">
      <c r="I4231" s="1"/>
      <c r="J4231" s="1"/>
      <c r="N4231" s="1"/>
      <c r="Z4231" s="1"/>
      <c r="AA4231" s="1"/>
      <c r="AE4231" s="1"/>
    </row>
    <row r="4232" spans="9:31" x14ac:dyDescent="0.25">
      <c r="I4232" s="1"/>
      <c r="J4232" s="1"/>
      <c r="N4232" s="1"/>
      <c r="Z4232" s="1"/>
      <c r="AA4232" s="1"/>
      <c r="AE4232" s="1"/>
    </row>
    <row r="4233" spans="9:31" x14ac:dyDescent="0.25">
      <c r="I4233" s="1"/>
      <c r="J4233" s="1"/>
      <c r="N4233" s="1"/>
      <c r="Z4233" s="1"/>
      <c r="AA4233" s="1"/>
      <c r="AE4233" s="1"/>
    </row>
    <row r="4234" spans="9:31" x14ac:dyDescent="0.25">
      <c r="I4234" s="1"/>
      <c r="J4234" s="1"/>
      <c r="N4234" s="1"/>
      <c r="Z4234" s="1"/>
      <c r="AA4234" s="1"/>
      <c r="AE4234" s="1"/>
    </row>
    <row r="4235" spans="9:31" x14ac:dyDescent="0.25">
      <c r="I4235" s="1"/>
      <c r="J4235" s="1"/>
      <c r="N4235" s="1"/>
      <c r="Z4235" s="1"/>
      <c r="AA4235" s="1"/>
      <c r="AE4235" s="1"/>
    </row>
    <row r="4236" spans="9:31" x14ac:dyDescent="0.25">
      <c r="N4236" s="1"/>
      <c r="Z4236" s="1"/>
      <c r="AA4236" s="1"/>
      <c r="AE4236" s="1"/>
    </row>
    <row r="4237" spans="9:31" x14ac:dyDescent="0.25">
      <c r="I4237" s="1"/>
      <c r="J4237" s="1"/>
      <c r="N4237" s="1"/>
      <c r="AE4237" s="1"/>
    </row>
    <row r="4238" spans="9:31" x14ac:dyDescent="0.25">
      <c r="I4238" s="1"/>
      <c r="J4238" s="1"/>
      <c r="N4238" s="1"/>
      <c r="Z4238" s="1"/>
      <c r="AA4238" s="1"/>
      <c r="AE4238" s="1"/>
    </row>
    <row r="4239" spans="9:31" x14ac:dyDescent="0.25">
      <c r="I4239" s="1"/>
      <c r="J4239" s="1"/>
      <c r="N4239" s="1"/>
      <c r="Z4239" s="1"/>
      <c r="AA4239" s="1"/>
      <c r="AE4239" s="1"/>
    </row>
    <row r="4240" spans="9:31" x14ac:dyDescent="0.25">
      <c r="I4240" s="1"/>
      <c r="J4240" s="1"/>
      <c r="N4240" s="1"/>
      <c r="Z4240" s="1"/>
      <c r="AA4240" s="1"/>
      <c r="AE4240" s="1"/>
    </row>
    <row r="4241" spans="9:31" x14ac:dyDescent="0.25">
      <c r="I4241" s="1"/>
      <c r="J4241" s="1"/>
      <c r="N4241" s="1"/>
      <c r="Z4241" s="1"/>
      <c r="AA4241" s="1"/>
      <c r="AE4241" s="1"/>
    </row>
    <row r="4242" spans="9:31" x14ac:dyDescent="0.25">
      <c r="I4242" s="1"/>
      <c r="J4242" s="1"/>
      <c r="N4242" s="1"/>
      <c r="Z4242" s="1"/>
      <c r="AA4242" s="1"/>
      <c r="AE4242" s="1"/>
    </row>
    <row r="4243" spans="9:31" x14ac:dyDescent="0.25">
      <c r="N4243" s="1"/>
      <c r="Z4243" s="1"/>
      <c r="AA4243" s="1"/>
      <c r="AE4243" s="1"/>
    </row>
    <row r="4244" spans="9:31" x14ac:dyDescent="0.25">
      <c r="I4244" s="1"/>
      <c r="J4244" s="1"/>
      <c r="N4244" s="1"/>
      <c r="AE4244" s="1"/>
    </row>
    <row r="4245" spans="9:31" x14ac:dyDescent="0.25">
      <c r="I4245" s="1"/>
      <c r="J4245" s="1"/>
      <c r="N4245" s="1"/>
      <c r="Z4245" s="1"/>
      <c r="AA4245" s="1"/>
      <c r="AE4245" s="1"/>
    </row>
    <row r="4246" spans="9:31" x14ac:dyDescent="0.25">
      <c r="I4246" s="1"/>
      <c r="J4246" s="1"/>
      <c r="N4246" s="1"/>
      <c r="Z4246" s="1"/>
      <c r="AA4246" s="1"/>
      <c r="AE4246" s="1"/>
    </row>
    <row r="4247" spans="9:31" x14ac:dyDescent="0.25">
      <c r="I4247" s="1"/>
      <c r="J4247" s="1"/>
      <c r="N4247" s="1"/>
      <c r="Z4247" s="1"/>
      <c r="AA4247" s="1"/>
      <c r="AE4247" s="1"/>
    </row>
    <row r="4248" spans="9:31" x14ac:dyDescent="0.25">
      <c r="I4248" s="1"/>
      <c r="J4248" s="1"/>
      <c r="N4248" s="1"/>
      <c r="Z4248" s="1"/>
      <c r="AA4248" s="1"/>
      <c r="AE4248" s="1"/>
    </row>
    <row r="4249" spans="9:31" x14ac:dyDescent="0.25">
      <c r="I4249" s="1"/>
      <c r="J4249" s="1"/>
      <c r="N4249" s="1"/>
      <c r="Z4249" s="1"/>
      <c r="AA4249" s="1"/>
      <c r="AE4249" s="1"/>
    </row>
    <row r="4250" spans="9:31" x14ac:dyDescent="0.25">
      <c r="I4250" s="1"/>
      <c r="J4250" s="1"/>
      <c r="N4250" s="1"/>
      <c r="Z4250" s="1"/>
      <c r="AA4250" s="1"/>
      <c r="AE4250" s="1"/>
    </row>
    <row r="4251" spans="9:31" x14ac:dyDescent="0.25">
      <c r="I4251" s="1"/>
      <c r="J4251" s="1"/>
      <c r="N4251" s="1"/>
      <c r="Z4251" s="1"/>
      <c r="AA4251" s="1"/>
      <c r="AE4251" s="1"/>
    </row>
    <row r="4252" spans="9:31" x14ac:dyDescent="0.25">
      <c r="I4252" s="1"/>
      <c r="J4252" s="1"/>
      <c r="N4252" s="1"/>
      <c r="Z4252" s="1"/>
      <c r="AA4252" s="1"/>
      <c r="AE4252" s="1"/>
    </row>
    <row r="4253" spans="9:31" x14ac:dyDescent="0.25">
      <c r="I4253" s="1"/>
      <c r="J4253" s="1"/>
      <c r="N4253" s="1"/>
      <c r="Z4253" s="1"/>
      <c r="AA4253" s="1"/>
      <c r="AE4253" s="1"/>
    </row>
    <row r="4254" spans="9:31" x14ac:dyDescent="0.25">
      <c r="I4254" s="1"/>
      <c r="J4254" s="1"/>
      <c r="N4254" s="1"/>
      <c r="Z4254" s="1"/>
      <c r="AA4254" s="1"/>
      <c r="AE4254" s="1"/>
    </row>
    <row r="4255" spans="9:31" x14ac:dyDescent="0.25">
      <c r="I4255" s="1"/>
      <c r="J4255" s="1"/>
      <c r="N4255" s="1"/>
      <c r="Z4255" s="1"/>
      <c r="AA4255" s="1"/>
      <c r="AE4255" s="1"/>
    </row>
    <row r="4256" spans="9:31" x14ac:dyDescent="0.25">
      <c r="I4256" s="1"/>
      <c r="J4256" s="1"/>
      <c r="N4256" s="1"/>
      <c r="Z4256" s="1"/>
      <c r="AA4256" s="1"/>
      <c r="AE4256" s="1"/>
    </row>
    <row r="4257" spans="9:31" x14ac:dyDescent="0.25">
      <c r="I4257" s="1"/>
      <c r="J4257" s="1"/>
      <c r="N4257" s="1"/>
      <c r="Z4257" s="1"/>
      <c r="AA4257" s="1"/>
      <c r="AE4257" s="1"/>
    </row>
    <row r="4258" spans="9:31" x14ac:dyDescent="0.25">
      <c r="I4258" s="1"/>
      <c r="J4258" s="1"/>
      <c r="N4258" s="1"/>
      <c r="Z4258" s="1"/>
      <c r="AA4258" s="1"/>
      <c r="AE4258" s="1"/>
    </row>
    <row r="4259" spans="9:31" x14ac:dyDescent="0.25">
      <c r="I4259" s="1"/>
      <c r="J4259" s="1"/>
      <c r="N4259" s="1"/>
      <c r="Z4259" s="1"/>
      <c r="AA4259" s="1"/>
      <c r="AE4259" s="1"/>
    </row>
    <row r="4260" spans="9:31" x14ac:dyDescent="0.25">
      <c r="I4260" s="1"/>
      <c r="J4260" s="1"/>
      <c r="N4260" s="1"/>
      <c r="Z4260" s="1"/>
      <c r="AA4260" s="1"/>
      <c r="AE4260" s="1"/>
    </row>
    <row r="4261" spans="9:31" x14ac:dyDescent="0.25">
      <c r="I4261" s="1"/>
      <c r="J4261" s="1"/>
      <c r="N4261" s="1"/>
      <c r="Z4261" s="1"/>
      <c r="AA4261" s="1"/>
      <c r="AE4261" s="1"/>
    </row>
    <row r="4262" spans="9:31" x14ac:dyDescent="0.25">
      <c r="I4262" s="1"/>
      <c r="J4262" s="1"/>
      <c r="N4262" s="1"/>
      <c r="Z4262" s="1"/>
      <c r="AA4262" s="1"/>
      <c r="AE4262" s="1"/>
    </row>
    <row r="4263" spans="9:31" x14ac:dyDescent="0.25">
      <c r="I4263" s="1"/>
      <c r="J4263" s="1"/>
      <c r="N4263" s="1"/>
      <c r="Z4263" s="1"/>
      <c r="AA4263" s="1"/>
      <c r="AE4263" s="1"/>
    </row>
    <row r="4264" spans="9:31" x14ac:dyDescent="0.25">
      <c r="I4264" s="1"/>
      <c r="J4264" s="1"/>
      <c r="N4264" s="1"/>
      <c r="Z4264" s="1"/>
      <c r="AA4264" s="1"/>
      <c r="AE4264" s="1"/>
    </row>
    <row r="4265" spans="9:31" x14ac:dyDescent="0.25">
      <c r="I4265" s="1"/>
      <c r="J4265" s="1"/>
      <c r="N4265" s="1"/>
      <c r="Z4265" s="1"/>
      <c r="AA4265" s="1"/>
      <c r="AE4265" s="1"/>
    </row>
    <row r="4266" spans="9:31" x14ac:dyDescent="0.25">
      <c r="I4266" s="1"/>
      <c r="J4266" s="1"/>
      <c r="N4266" s="1"/>
      <c r="Z4266" s="1"/>
      <c r="AA4266" s="1"/>
      <c r="AE4266" s="1"/>
    </row>
    <row r="4267" spans="9:31" x14ac:dyDescent="0.25">
      <c r="I4267" s="1"/>
      <c r="J4267" s="1"/>
      <c r="N4267" s="1"/>
      <c r="Z4267" s="1"/>
      <c r="AA4267" s="1"/>
      <c r="AE4267" s="1"/>
    </row>
    <row r="4268" spans="9:31" x14ac:dyDescent="0.25">
      <c r="I4268" s="1"/>
      <c r="N4268" s="1"/>
      <c r="Z4268" s="1"/>
      <c r="AA4268" s="1"/>
      <c r="AE4268" s="1"/>
    </row>
    <row r="4269" spans="9:31" x14ac:dyDescent="0.25">
      <c r="I4269" s="1"/>
      <c r="J4269" s="1"/>
      <c r="N4269" s="1"/>
      <c r="Z4269" s="1"/>
      <c r="AE4269" s="1"/>
    </row>
    <row r="4270" spans="9:31" x14ac:dyDescent="0.25">
      <c r="I4270" s="1"/>
      <c r="J4270" s="1"/>
      <c r="N4270" s="1"/>
      <c r="Z4270" s="1"/>
      <c r="AA4270" s="1"/>
      <c r="AE4270" s="1"/>
    </row>
    <row r="4271" spans="9:31" x14ac:dyDescent="0.25">
      <c r="I4271" s="1"/>
      <c r="J4271" s="1"/>
      <c r="N4271" s="1"/>
      <c r="Z4271" s="1"/>
      <c r="AA4271" s="1"/>
      <c r="AE4271" s="1"/>
    </row>
    <row r="4272" spans="9:31" x14ac:dyDescent="0.25">
      <c r="I4272" s="1"/>
      <c r="J4272" s="1"/>
      <c r="N4272" s="1"/>
      <c r="Z4272" s="1"/>
      <c r="AA4272" s="1"/>
      <c r="AE4272" s="1"/>
    </row>
    <row r="4273" spans="9:31" x14ac:dyDescent="0.25">
      <c r="I4273" s="1"/>
      <c r="J4273" s="1"/>
      <c r="N4273" s="1"/>
      <c r="Z4273" s="1"/>
      <c r="AA4273" s="1"/>
      <c r="AE4273" s="1"/>
    </row>
    <row r="4274" spans="9:31" x14ac:dyDescent="0.25">
      <c r="I4274" s="1"/>
      <c r="J4274" s="1"/>
      <c r="N4274" s="1"/>
      <c r="Z4274" s="1"/>
      <c r="AA4274" s="1"/>
      <c r="AE4274" s="1"/>
    </row>
    <row r="4275" spans="9:31" x14ac:dyDescent="0.25">
      <c r="I4275" s="1"/>
      <c r="J4275" s="1"/>
      <c r="N4275" s="1"/>
      <c r="Z4275" s="1"/>
      <c r="AA4275" s="1"/>
      <c r="AE4275" s="1"/>
    </row>
    <row r="4276" spans="9:31" x14ac:dyDescent="0.25">
      <c r="N4276" s="1"/>
      <c r="Z4276" s="1"/>
      <c r="AA4276" s="1"/>
      <c r="AE4276" s="1"/>
    </row>
    <row r="4277" spans="9:31" x14ac:dyDescent="0.25">
      <c r="I4277" s="1"/>
      <c r="J4277" s="1"/>
      <c r="N4277" s="1"/>
      <c r="AE4277" s="1"/>
    </row>
    <row r="4278" spans="9:31" x14ac:dyDescent="0.25">
      <c r="N4278" s="1"/>
      <c r="Z4278" s="1"/>
      <c r="AA4278" s="1"/>
      <c r="AE4278" s="1"/>
    </row>
    <row r="4279" spans="9:31" x14ac:dyDescent="0.25">
      <c r="I4279" s="1"/>
      <c r="J4279" s="1"/>
      <c r="N4279" s="1"/>
      <c r="AE4279" s="1"/>
    </row>
    <row r="4280" spans="9:31" x14ac:dyDescent="0.25">
      <c r="N4280" s="1"/>
      <c r="Z4280" s="1"/>
      <c r="AA4280" s="1"/>
      <c r="AE4280" s="1"/>
    </row>
    <row r="4281" spans="9:31" x14ac:dyDescent="0.25">
      <c r="I4281" s="1"/>
      <c r="J4281" s="1"/>
      <c r="N4281" s="1"/>
      <c r="AE4281" s="1"/>
    </row>
    <row r="4282" spans="9:31" x14ac:dyDescent="0.25">
      <c r="I4282" s="1"/>
      <c r="J4282" s="1"/>
      <c r="N4282" s="1"/>
      <c r="Z4282" s="1"/>
      <c r="AA4282" s="1"/>
      <c r="AE4282" s="1"/>
    </row>
    <row r="4283" spans="9:31" x14ac:dyDescent="0.25">
      <c r="I4283" s="1"/>
      <c r="J4283" s="1"/>
      <c r="N4283" s="1"/>
      <c r="Z4283" s="1"/>
      <c r="AA4283" s="1"/>
      <c r="AE4283" s="1"/>
    </row>
    <row r="4284" spans="9:31" x14ac:dyDescent="0.25">
      <c r="I4284" s="1"/>
      <c r="J4284" s="1"/>
      <c r="N4284" s="1"/>
      <c r="Z4284" s="1"/>
      <c r="AA4284" s="1"/>
      <c r="AE4284" s="1"/>
    </row>
    <row r="4285" spans="9:31" x14ac:dyDescent="0.25">
      <c r="I4285" s="1"/>
      <c r="J4285" s="1"/>
      <c r="N4285" s="1"/>
      <c r="Z4285" s="1"/>
      <c r="AA4285" s="1"/>
      <c r="AE4285" s="1"/>
    </row>
    <row r="4286" spans="9:31" x14ac:dyDescent="0.25">
      <c r="I4286" s="1"/>
      <c r="J4286" s="1"/>
      <c r="N4286" s="1"/>
      <c r="Z4286" s="1"/>
      <c r="AA4286" s="1"/>
      <c r="AE4286" s="1"/>
    </row>
    <row r="4287" spans="9:31" x14ac:dyDescent="0.25">
      <c r="I4287" s="1"/>
      <c r="J4287" s="1"/>
      <c r="N4287" s="1"/>
      <c r="Z4287" s="1"/>
      <c r="AA4287" s="1"/>
      <c r="AE4287" s="1"/>
    </row>
    <row r="4288" spans="9:31" x14ac:dyDescent="0.25">
      <c r="N4288" s="1"/>
      <c r="Z4288" s="1"/>
      <c r="AA4288" s="1"/>
      <c r="AE4288" s="1"/>
    </row>
    <row r="4289" spans="9:31" x14ac:dyDescent="0.25">
      <c r="I4289" s="1"/>
      <c r="J4289" s="1"/>
      <c r="N4289" s="1"/>
      <c r="AE4289" s="1"/>
    </row>
    <row r="4290" spans="9:31" x14ac:dyDescent="0.25">
      <c r="I4290" s="1"/>
      <c r="J4290" s="1"/>
      <c r="N4290" s="1"/>
      <c r="Z4290" s="1"/>
      <c r="AA4290" s="1"/>
      <c r="AE4290" s="1"/>
    </row>
    <row r="4291" spans="9:31" x14ac:dyDescent="0.25">
      <c r="I4291" s="1"/>
      <c r="J4291" s="1"/>
      <c r="N4291" s="1"/>
      <c r="Z4291" s="1"/>
      <c r="AA4291" s="1"/>
      <c r="AE4291" s="1"/>
    </row>
    <row r="4292" spans="9:31" x14ac:dyDescent="0.25">
      <c r="I4292" s="1"/>
      <c r="J4292" s="1"/>
      <c r="N4292" s="1"/>
      <c r="Z4292" s="1"/>
      <c r="AA4292" s="1"/>
      <c r="AE4292" s="1"/>
    </row>
    <row r="4293" spans="9:31" x14ac:dyDescent="0.25">
      <c r="I4293" s="1"/>
      <c r="J4293" s="1"/>
      <c r="N4293" s="1"/>
      <c r="Z4293" s="1"/>
      <c r="AA4293" s="1"/>
      <c r="AE4293" s="1"/>
    </row>
    <row r="4294" spans="9:31" x14ac:dyDescent="0.25">
      <c r="I4294" s="1"/>
      <c r="J4294" s="1"/>
      <c r="N4294" s="1"/>
      <c r="Z4294" s="1"/>
      <c r="AA4294" s="1"/>
      <c r="AE4294" s="1"/>
    </row>
    <row r="4295" spans="9:31" x14ac:dyDescent="0.25">
      <c r="I4295" s="1"/>
      <c r="J4295" s="1"/>
      <c r="N4295" s="1"/>
      <c r="Z4295" s="1"/>
      <c r="AA4295" s="1"/>
      <c r="AE4295" s="1"/>
    </row>
    <row r="4296" spans="9:31" x14ac:dyDescent="0.25">
      <c r="N4296" s="1"/>
      <c r="Z4296" s="1"/>
      <c r="AA4296" s="1"/>
      <c r="AE4296" s="1"/>
    </row>
    <row r="4297" spans="9:31" x14ac:dyDescent="0.25">
      <c r="I4297" s="1"/>
      <c r="J4297" s="1"/>
      <c r="N4297" s="1"/>
      <c r="AE4297" s="1"/>
    </row>
    <row r="4298" spans="9:31" x14ac:dyDescent="0.25">
      <c r="I4298" s="1"/>
      <c r="J4298" s="1"/>
      <c r="N4298" s="1"/>
      <c r="Z4298" s="1"/>
      <c r="AA4298" s="1"/>
      <c r="AE4298" s="1"/>
    </row>
    <row r="4299" spans="9:31" x14ac:dyDescent="0.25">
      <c r="I4299" s="1"/>
      <c r="J4299" s="1"/>
      <c r="N4299" s="1"/>
      <c r="Z4299" s="1"/>
      <c r="AA4299" s="1"/>
      <c r="AE4299" s="1"/>
    </row>
    <row r="4300" spans="9:31" x14ac:dyDescent="0.25">
      <c r="I4300" s="1"/>
      <c r="J4300" s="1"/>
      <c r="N4300" s="1"/>
      <c r="Z4300" s="1"/>
      <c r="AA4300" s="1"/>
      <c r="AE4300" s="1"/>
    </row>
    <row r="4301" spans="9:31" x14ac:dyDescent="0.25">
      <c r="I4301" s="1"/>
      <c r="J4301" s="1"/>
      <c r="N4301" s="1"/>
      <c r="Z4301" s="1"/>
      <c r="AA4301" s="1"/>
      <c r="AE4301" s="1"/>
    </row>
    <row r="4302" spans="9:31" x14ac:dyDescent="0.25">
      <c r="I4302" s="1"/>
      <c r="J4302" s="1"/>
      <c r="N4302" s="1"/>
      <c r="Z4302" s="1"/>
      <c r="AA4302" s="1"/>
      <c r="AE4302" s="1"/>
    </row>
    <row r="4303" spans="9:31" x14ac:dyDescent="0.25">
      <c r="I4303" s="1"/>
      <c r="J4303" s="1"/>
      <c r="N4303" s="1"/>
      <c r="Z4303" s="1"/>
      <c r="AA4303" s="1"/>
      <c r="AE4303" s="1"/>
    </row>
    <row r="4304" spans="9:31" x14ac:dyDescent="0.25">
      <c r="I4304" s="1"/>
      <c r="J4304" s="1"/>
      <c r="N4304" s="1"/>
      <c r="Z4304" s="1"/>
      <c r="AA4304" s="1"/>
      <c r="AE4304" s="1"/>
    </row>
    <row r="4305" spans="9:31" x14ac:dyDescent="0.25">
      <c r="I4305" s="1"/>
      <c r="J4305" s="1"/>
      <c r="N4305" s="1"/>
      <c r="Z4305" s="1"/>
      <c r="AA4305" s="1"/>
      <c r="AE4305" s="1"/>
    </row>
    <row r="4306" spans="9:31" x14ac:dyDescent="0.25">
      <c r="I4306" s="1"/>
      <c r="J4306" s="1"/>
      <c r="N4306" s="1"/>
      <c r="Z4306" s="1"/>
      <c r="AA4306" s="1"/>
      <c r="AE4306" s="1"/>
    </row>
    <row r="4307" spans="9:31" x14ac:dyDescent="0.25">
      <c r="I4307" s="1"/>
      <c r="J4307" s="1"/>
      <c r="N4307" s="1"/>
      <c r="Z4307" s="1"/>
      <c r="AA4307" s="1"/>
      <c r="AE4307" s="1"/>
    </row>
    <row r="4308" spans="9:31" x14ac:dyDescent="0.25">
      <c r="I4308" s="1"/>
      <c r="J4308" s="1"/>
      <c r="N4308" s="1"/>
      <c r="Z4308" s="1"/>
      <c r="AA4308" s="1"/>
      <c r="AE4308" s="1"/>
    </row>
    <row r="4309" spans="9:31" x14ac:dyDescent="0.25">
      <c r="I4309" s="1"/>
      <c r="J4309" s="1"/>
      <c r="N4309" s="1"/>
      <c r="Z4309" s="1"/>
      <c r="AA4309" s="1"/>
      <c r="AE4309" s="1"/>
    </row>
    <row r="4310" spans="9:31" x14ac:dyDescent="0.25">
      <c r="I4310" s="1"/>
      <c r="J4310" s="1"/>
      <c r="N4310" s="1"/>
      <c r="Z4310" s="1"/>
      <c r="AA4310" s="1"/>
      <c r="AE4310" s="1"/>
    </row>
    <row r="4311" spans="9:31" x14ac:dyDescent="0.25">
      <c r="I4311" s="1"/>
      <c r="J4311" s="1"/>
      <c r="N4311" s="1"/>
      <c r="Z4311" s="1"/>
      <c r="AA4311" s="1"/>
      <c r="AE4311" s="1"/>
    </row>
    <row r="4312" spans="9:31" x14ac:dyDescent="0.25">
      <c r="I4312" s="1"/>
      <c r="J4312" s="1"/>
      <c r="N4312" s="1"/>
      <c r="Z4312" s="1"/>
      <c r="AA4312" s="1"/>
      <c r="AE4312" s="1"/>
    </row>
    <row r="4313" spans="9:31" x14ac:dyDescent="0.25">
      <c r="I4313" s="1"/>
      <c r="J4313" s="1"/>
      <c r="N4313" s="1"/>
      <c r="Z4313" s="1"/>
      <c r="AA4313" s="1"/>
      <c r="AE4313" s="1"/>
    </row>
    <row r="4314" spans="9:31" x14ac:dyDescent="0.25">
      <c r="N4314" s="1"/>
      <c r="Z4314" s="1"/>
      <c r="AA4314" s="1"/>
      <c r="AE4314" s="1"/>
    </row>
    <row r="4315" spans="9:31" x14ac:dyDescent="0.25">
      <c r="I4315" s="1"/>
      <c r="J4315" s="1"/>
      <c r="N4315" s="1"/>
      <c r="AE4315" s="1"/>
    </row>
    <row r="4316" spans="9:31" x14ac:dyDescent="0.25">
      <c r="I4316" s="1"/>
      <c r="J4316" s="1"/>
      <c r="N4316" s="1"/>
      <c r="Z4316" s="1"/>
      <c r="AA4316" s="1"/>
      <c r="AE4316" s="1"/>
    </row>
    <row r="4317" spans="9:31" x14ac:dyDescent="0.25">
      <c r="I4317" s="1"/>
      <c r="J4317" s="1"/>
      <c r="N4317" s="1"/>
      <c r="Z4317" s="1"/>
      <c r="AA4317" s="1"/>
      <c r="AE4317" s="1"/>
    </row>
    <row r="4318" spans="9:31" x14ac:dyDescent="0.25">
      <c r="N4318" s="1"/>
      <c r="Z4318" s="1"/>
      <c r="AA4318" s="1"/>
      <c r="AE4318" s="1"/>
    </row>
    <row r="4319" spans="9:31" x14ac:dyDescent="0.25">
      <c r="N4319" s="1"/>
      <c r="AE4319" s="1"/>
    </row>
    <row r="4320" spans="9:31" x14ac:dyDescent="0.25">
      <c r="N4320" s="1"/>
      <c r="AE4320" s="1"/>
    </row>
    <row r="4321" spans="9:31" x14ac:dyDescent="0.25">
      <c r="I4321" s="1"/>
      <c r="J4321" s="1"/>
      <c r="N4321" s="1"/>
      <c r="AE4321" s="1"/>
    </row>
    <row r="4322" spans="9:31" x14ac:dyDescent="0.25">
      <c r="I4322" s="1"/>
      <c r="J4322" s="1"/>
      <c r="N4322" s="1"/>
      <c r="Z4322" s="1"/>
      <c r="AA4322" s="1"/>
      <c r="AE4322" s="1"/>
    </row>
    <row r="4323" spans="9:31" x14ac:dyDescent="0.25">
      <c r="I4323" s="1"/>
      <c r="J4323" s="1"/>
      <c r="N4323" s="1"/>
      <c r="Z4323" s="1"/>
      <c r="AA4323" s="1"/>
      <c r="AE4323" s="1"/>
    </row>
    <row r="4324" spans="9:31" x14ac:dyDescent="0.25">
      <c r="I4324" s="1"/>
      <c r="J4324" s="1"/>
      <c r="N4324" s="1"/>
      <c r="Z4324" s="1"/>
      <c r="AA4324" s="1"/>
      <c r="AE4324" s="1"/>
    </row>
    <row r="4325" spans="9:31" x14ac:dyDescent="0.25">
      <c r="I4325" s="1"/>
      <c r="J4325" s="1"/>
      <c r="N4325" s="1"/>
      <c r="Z4325" s="1"/>
      <c r="AA4325" s="1"/>
      <c r="AE4325" s="1"/>
    </row>
    <row r="4326" spans="9:31" x14ac:dyDescent="0.25">
      <c r="I4326" s="1"/>
      <c r="J4326" s="1"/>
      <c r="N4326" s="1"/>
      <c r="Z4326" s="1"/>
      <c r="AA4326" s="1"/>
      <c r="AE4326" s="1"/>
    </row>
    <row r="4327" spans="9:31" x14ac:dyDescent="0.25">
      <c r="I4327" s="1"/>
      <c r="J4327" s="1"/>
      <c r="N4327" s="1"/>
      <c r="Z4327" s="1"/>
      <c r="AA4327" s="1"/>
      <c r="AE4327" s="1"/>
    </row>
    <row r="4328" spans="9:31" x14ac:dyDescent="0.25">
      <c r="I4328" s="1"/>
      <c r="J4328" s="1"/>
      <c r="N4328" s="1"/>
      <c r="Z4328" s="1"/>
      <c r="AA4328" s="1"/>
      <c r="AE4328" s="1"/>
    </row>
    <row r="4329" spans="9:31" x14ac:dyDescent="0.25">
      <c r="I4329" s="1"/>
      <c r="J4329" s="1"/>
      <c r="N4329" s="1"/>
      <c r="Z4329" s="1"/>
      <c r="AA4329" s="1"/>
      <c r="AE4329" s="1"/>
    </row>
    <row r="4330" spans="9:31" x14ac:dyDescent="0.25">
      <c r="I4330" s="1"/>
      <c r="J4330" s="1"/>
      <c r="N4330" s="1"/>
      <c r="Z4330" s="1"/>
      <c r="AA4330" s="1"/>
      <c r="AE4330" s="1"/>
    </row>
    <row r="4331" spans="9:31" x14ac:dyDescent="0.25">
      <c r="I4331" s="1"/>
      <c r="J4331" s="1"/>
      <c r="N4331" s="1"/>
      <c r="Z4331" s="1"/>
      <c r="AA4331" s="1"/>
      <c r="AE4331" s="1"/>
    </row>
    <row r="4332" spans="9:31" x14ac:dyDescent="0.25">
      <c r="I4332" s="1"/>
      <c r="J4332" s="1"/>
      <c r="N4332" s="1"/>
      <c r="Z4332" s="1"/>
      <c r="AA4332" s="1"/>
      <c r="AE4332" s="1"/>
    </row>
    <row r="4333" spans="9:31" x14ac:dyDescent="0.25">
      <c r="I4333" s="1"/>
      <c r="J4333" s="1"/>
      <c r="N4333" s="1"/>
      <c r="Z4333" s="1"/>
      <c r="AA4333" s="1"/>
      <c r="AE4333" s="1"/>
    </row>
    <row r="4334" spans="9:31" x14ac:dyDescent="0.25">
      <c r="I4334" s="1"/>
      <c r="J4334" s="1"/>
      <c r="N4334" s="1"/>
      <c r="Z4334" s="1"/>
      <c r="AA4334" s="1"/>
      <c r="AE4334" s="1"/>
    </row>
    <row r="4335" spans="9:31" x14ac:dyDescent="0.25">
      <c r="I4335" s="1"/>
      <c r="J4335" s="1"/>
      <c r="N4335" s="1"/>
      <c r="Z4335" s="1"/>
      <c r="AA4335" s="1"/>
      <c r="AE4335" s="1"/>
    </row>
    <row r="4336" spans="9:31" x14ac:dyDescent="0.25">
      <c r="N4336" s="1"/>
      <c r="Z4336" s="1"/>
      <c r="AA4336" s="1"/>
      <c r="AE4336" s="1"/>
    </row>
    <row r="4337" spans="9:31" x14ac:dyDescent="0.25">
      <c r="I4337" s="1"/>
      <c r="J4337" s="1"/>
      <c r="N4337" s="1"/>
      <c r="AE4337" s="1"/>
    </row>
    <row r="4338" spans="9:31" x14ac:dyDescent="0.25">
      <c r="I4338" s="1"/>
      <c r="J4338" s="1"/>
      <c r="N4338" s="1"/>
      <c r="Z4338" s="1"/>
      <c r="AA4338" s="1"/>
      <c r="AE4338" s="1"/>
    </row>
    <row r="4339" spans="9:31" x14ac:dyDescent="0.25">
      <c r="I4339" s="1"/>
      <c r="J4339" s="1"/>
      <c r="N4339" s="1"/>
      <c r="Z4339" s="1"/>
      <c r="AA4339" s="1"/>
      <c r="AE4339" s="1"/>
    </row>
    <row r="4340" spans="9:31" x14ac:dyDescent="0.25">
      <c r="I4340" s="1"/>
      <c r="J4340" s="1"/>
      <c r="N4340" s="1"/>
      <c r="Z4340" s="1"/>
      <c r="AA4340" s="1"/>
      <c r="AE4340" s="1"/>
    </row>
    <row r="4341" spans="9:31" x14ac:dyDescent="0.25">
      <c r="I4341" s="1"/>
      <c r="J4341" s="1"/>
      <c r="N4341" s="1"/>
      <c r="Z4341" s="1"/>
      <c r="AA4341" s="1"/>
      <c r="AE4341" s="1"/>
    </row>
    <row r="4342" spans="9:31" x14ac:dyDescent="0.25">
      <c r="I4342" s="1"/>
      <c r="J4342" s="1"/>
      <c r="N4342" s="1"/>
      <c r="Z4342" s="1"/>
      <c r="AA4342" s="1"/>
      <c r="AE4342" s="1"/>
    </row>
    <row r="4343" spans="9:31" x14ac:dyDescent="0.25">
      <c r="N4343" s="1"/>
      <c r="Z4343" s="1"/>
      <c r="AA4343" s="1"/>
      <c r="AE4343" s="1"/>
    </row>
    <row r="4344" spans="9:31" x14ac:dyDescent="0.25">
      <c r="I4344" s="1"/>
      <c r="J4344" s="1"/>
      <c r="N4344" s="1"/>
      <c r="AE4344" s="1"/>
    </row>
    <row r="4345" spans="9:31" x14ac:dyDescent="0.25">
      <c r="I4345" s="1"/>
      <c r="J4345" s="1"/>
      <c r="N4345" s="1"/>
      <c r="Z4345" s="1"/>
      <c r="AA4345" s="1"/>
      <c r="AE4345" s="1"/>
    </row>
    <row r="4346" spans="9:31" x14ac:dyDescent="0.25">
      <c r="I4346" s="1"/>
      <c r="J4346" s="1"/>
      <c r="N4346" s="1"/>
      <c r="Z4346" s="1"/>
      <c r="AA4346" s="1"/>
      <c r="AE4346" s="1"/>
    </row>
    <row r="4347" spans="9:31" x14ac:dyDescent="0.25">
      <c r="N4347" s="1"/>
      <c r="Z4347" s="1"/>
      <c r="AA4347" s="1"/>
      <c r="AE4347" s="1"/>
    </row>
    <row r="4348" spans="9:31" x14ac:dyDescent="0.25">
      <c r="I4348" s="1"/>
      <c r="J4348" s="1"/>
      <c r="N4348" s="1"/>
      <c r="AE4348" s="1"/>
    </row>
    <row r="4349" spans="9:31" x14ac:dyDescent="0.25">
      <c r="I4349" s="1"/>
      <c r="J4349" s="1"/>
      <c r="N4349" s="1"/>
      <c r="Z4349" s="1"/>
      <c r="AA4349" s="1"/>
      <c r="AE4349" s="1"/>
    </row>
    <row r="4350" spans="9:31" x14ac:dyDescent="0.25">
      <c r="I4350" s="1"/>
      <c r="J4350" s="1"/>
      <c r="N4350" s="1"/>
      <c r="Z4350" s="1"/>
      <c r="AA4350" s="1"/>
      <c r="AE4350" s="1"/>
    </row>
    <row r="4351" spans="9:31" x14ac:dyDescent="0.25">
      <c r="I4351" s="1"/>
      <c r="J4351" s="1"/>
      <c r="N4351" s="1"/>
      <c r="Z4351" s="1"/>
      <c r="AA4351" s="1"/>
      <c r="AE4351" s="1"/>
    </row>
    <row r="4352" spans="9:31" x14ac:dyDescent="0.25">
      <c r="I4352" s="1"/>
      <c r="J4352" s="1"/>
      <c r="N4352" s="1"/>
      <c r="Z4352" s="1"/>
      <c r="AA4352" s="1"/>
      <c r="AE4352" s="1"/>
    </row>
    <row r="4353" spans="9:31" x14ac:dyDescent="0.25">
      <c r="I4353" s="1"/>
      <c r="J4353" s="1"/>
      <c r="N4353" s="1"/>
      <c r="Z4353" s="1"/>
      <c r="AA4353" s="1"/>
      <c r="AE4353" s="1"/>
    </row>
    <row r="4354" spans="9:31" x14ac:dyDescent="0.25">
      <c r="I4354" s="1"/>
      <c r="J4354" s="1"/>
      <c r="N4354" s="1"/>
      <c r="Z4354" s="1"/>
      <c r="AA4354" s="1"/>
      <c r="AE4354" s="1"/>
    </row>
    <row r="4355" spans="9:31" x14ac:dyDescent="0.25">
      <c r="N4355" s="1"/>
      <c r="Z4355" s="1"/>
      <c r="AA4355" s="1"/>
      <c r="AE4355" s="1"/>
    </row>
    <row r="4356" spans="9:31" x14ac:dyDescent="0.25">
      <c r="I4356" s="1"/>
      <c r="J4356" s="1"/>
      <c r="N4356" s="1"/>
      <c r="AE4356" s="1"/>
    </row>
    <row r="4357" spans="9:31" x14ac:dyDescent="0.25">
      <c r="I4357" s="1"/>
      <c r="J4357" s="1"/>
      <c r="N4357" s="1"/>
      <c r="Z4357" s="1"/>
      <c r="AA4357" s="1"/>
      <c r="AE4357" s="1"/>
    </row>
    <row r="4358" spans="9:31" x14ac:dyDescent="0.25">
      <c r="I4358" s="1"/>
      <c r="J4358" s="1"/>
      <c r="N4358" s="1"/>
      <c r="Z4358" s="1"/>
      <c r="AA4358" s="1"/>
      <c r="AE4358" s="1"/>
    </row>
    <row r="4359" spans="9:31" x14ac:dyDescent="0.25">
      <c r="I4359" s="1"/>
      <c r="J4359" s="1"/>
      <c r="N4359" s="1"/>
      <c r="Z4359" s="1"/>
      <c r="AA4359" s="1"/>
      <c r="AE4359" s="1"/>
    </row>
    <row r="4360" spans="9:31" x14ac:dyDescent="0.25">
      <c r="I4360" s="1"/>
      <c r="J4360" s="1"/>
      <c r="N4360" s="1"/>
      <c r="Z4360" s="1"/>
      <c r="AA4360" s="1"/>
      <c r="AE4360" s="1"/>
    </row>
    <row r="4361" spans="9:31" x14ac:dyDescent="0.25">
      <c r="N4361" s="1"/>
      <c r="Z4361" s="1"/>
      <c r="AA4361" s="1"/>
      <c r="AE4361" s="1"/>
    </row>
    <row r="4362" spans="9:31" x14ac:dyDescent="0.25">
      <c r="N4362" s="1"/>
      <c r="AE4362" s="1"/>
    </row>
    <row r="4363" spans="9:31" x14ac:dyDescent="0.25">
      <c r="N4363" s="1"/>
      <c r="AE4363" s="1"/>
    </row>
    <row r="4364" spans="9:31" x14ac:dyDescent="0.25">
      <c r="I4364" s="1"/>
      <c r="J4364" s="1"/>
      <c r="N4364" s="1"/>
      <c r="AE4364" s="1"/>
    </row>
    <row r="4365" spans="9:31" x14ac:dyDescent="0.25">
      <c r="I4365" s="1"/>
      <c r="J4365" s="1"/>
      <c r="N4365" s="1"/>
      <c r="Z4365" s="1"/>
      <c r="AA4365" s="1"/>
      <c r="AE4365" s="1"/>
    </row>
    <row r="4366" spans="9:31" x14ac:dyDescent="0.25">
      <c r="I4366" s="1"/>
      <c r="J4366" s="1"/>
      <c r="N4366" s="1"/>
      <c r="Z4366" s="1"/>
      <c r="AA4366" s="1"/>
      <c r="AE4366" s="1"/>
    </row>
    <row r="4367" spans="9:31" x14ac:dyDescent="0.25">
      <c r="I4367" s="1"/>
      <c r="J4367" s="1"/>
      <c r="N4367" s="1"/>
      <c r="Z4367" s="1"/>
      <c r="AA4367" s="1"/>
      <c r="AE4367" s="1"/>
    </row>
    <row r="4368" spans="9:31" x14ac:dyDescent="0.25">
      <c r="I4368" s="1"/>
      <c r="J4368" s="1"/>
      <c r="N4368" s="1"/>
      <c r="Z4368" s="1"/>
      <c r="AA4368" s="1"/>
      <c r="AE4368" s="1"/>
    </row>
    <row r="4369" spans="9:31" x14ac:dyDescent="0.25">
      <c r="I4369" s="1"/>
      <c r="J4369" s="1"/>
      <c r="N4369" s="1"/>
      <c r="Z4369" s="1"/>
      <c r="AA4369" s="1"/>
      <c r="AE4369" s="1"/>
    </row>
    <row r="4370" spans="9:31" x14ac:dyDescent="0.25">
      <c r="I4370" s="1"/>
      <c r="J4370" s="1"/>
      <c r="N4370" s="1"/>
      <c r="Z4370" s="1"/>
      <c r="AA4370" s="1"/>
      <c r="AE4370" s="1"/>
    </row>
    <row r="4371" spans="9:31" x14ac:dyDescent="0.25">
      <c r="I4371" s="1"/>
      <c r="J4371" s="1"/>
      <c r="N4371" s="1"/>
      <c r="Z4371" s="1"/>
      <c r="AA4371" s="1"/>
      <c r="AE4371" s="1"/>
    </row>
    <row r="4372" spans="9:31" x14ac:dyDescent="0.25">
      <c r="I4372" s="1"/>
      <c r="J4372" s="1"/>
      <c r="N4372" s="1"/>
      <c r="Z4372" s="1"/>
      <c r="AA4372" s="1"/>
      <c r="AE4372" s="1"/>
    </row>
    <row r="4373" spans="9:31" x14ac:dyDescent="0.25">
      <c r="I4373" s="1"/>
      <c r="J4373" s="1"/>
      <c r="N4373" s="1"/>
      <c r="Z4373" s="1"/>
      <c r="AA4373" s="1"/>
      <c r="AE4373" s="1"/>
    </row>
    <row r="4374" spans="9:31" x14ac:dyDescent="0.25">
      <c r="I4374" s="1"/>
      <c r="J4374" s="1"/>
      <c r="N4374" s="1"/>
      <c r="Z4374" s="1"/>
      <c r="AA4374" s="1"/>
      <c r="AE4374" s="1"/>
    </row>
    <row r="4375" spans="9:31" x14ac:dyDescent="0.25">
      <c r="N4375" s="1"/>
      <c r="Z4375" s="1"/>
      <c r="AA4375" s="1"/>
      <c r="AE4375" s="1"/>
    </row>
    <row r="4376" spans="9:31" x14ac:dyDescent="0.25">
      <c r="I4376" s="1"/>
      <c r="J4376" s="1"/>
      <c r="N4376" s="1"/>
      <c r="AE4376" s="1"/>
    </row>
    <row r="4377" spans="9:31" x14ac:dyDescent="0.25">
      <c r="I4377" s="1"/>
      <c r="J4377" s="1"/>
      <c r="N4377" s="1"/>
      <c r="Z4377" s="1"/>
      <c r="AA4377" s="1"/>
      <c r="AE4377" s="1"/>
    </row>
    <row r="4378" spans="9:31" x14ac:dyDescent="0.25">
      <c r="I4378" s="1"/>
      <c r="J4378" s="1"/>
      <c r="N4378" s="1"/>
      <c r="Z4378" s="1"/>
      <c r="AA4378" s="1"/>
      <c r="AE4378" s="1"/>
    </row>
    <row r="4379" spans="9:31" x14ac:dyDescent="0.25">
      <c r="N4379" s="1"/>
      <c r="Z4379" s="1"/>
      <c r="AA4379" s="1"/>
      <c r="AE4379" s="1"/>
    </row>
    <row r="4380" spans="9:31" x14ac:dyDescent="0.25">
      <c r="I4380" s="1"/>
      <c r="J4380" s="1"/>
      <c r="N4380" s="1"/>
      <c r="AE4380" s="1"/>
    </row>
    <row r="4381" spans="9:31" x14ac:dyDescent="0.25">
      <c r="I4381" s="1"/>
      <c r="J4381" s="1"/>
      <c r="N4381" s="1"/>
      <c r="Z4381" s="1"/>
      <c r="AA4381" s="1"/>
      <c r="AE4381" s="1"/>
    </row>
    <row r="4382" spans="9:31" x14ac:dyDescent="0.25">
      <c r="I4382" s="1"/>
      <c r="J4382" s="1"/>
      <c r="N4382" s="1"/>
      <c r="Z4382" s="1"/>
      <c r="AA4382" s="1"/>
      <c r="AE4382" s="1"/>
    </row>
    <row r="4383" spans="9:31" x14ac:dyDescent="0.25">
      <c r="I4383" s="1"/>
      <c r="J4383" s="1"/>
      <c r="N4383" s="1"/>
      <c r="Z4383" s="1"/>
      <c r="AA4383" s="1"/>
      <c r="AE4383" s="1"/>
    </row>
    <row r="4384" spans="9:31" x14ac:dyDescent="0.25">
      <c r="I4384" s="1"/>
      <c r="J4384" s="1"/>
      <c r="N4384" s="1"/>
      <c r="Z4384" s="1"/>
      <c r="AA4384" s="1"/>
      <c r="AE4384" s="1"/>
    </row>
    <row r="4385" spans="9:31" x14ac:dyDescent="0.25">
      <c r="I4385" s="1"/>
      <c r="J4385" s="1"/>
      <c r="N4385" s="1"/>
      <c r="Z4385" s="1"/>
      <c r="AA4385" s="1"/>
      <c r="AE4385" s="1"/>
    </row>
    <row r="4386" spans="9:31" x14ac:dyDescent="0.25">
      <c r="I4386" s="1"/>
      <c r="J4386" s="1"/>
      <c r="N4386" s="1"/>
      <c r="Z4386" s="1"/>
      <c r="AA4386" s="1"/>
      <c r="AE4386" s="1"/>
    </row>
    <row r="4387" spans="9:31" x14ac:dyDescent="0.25">
      <c r="I4387" s="1"/>
      <c r="J4387" s="1"/>
      <c r="N4387" s="1"/>
      <c r="Z4387" s="1"/>
      <c r="AA4387" s="1"/>
      <c r="AE4387" s="1"/>
    </row>
    <row r="4388" spans="9:31" x14ac:dyDescent="0.25">
      <c r="I4388" s="1"/>
      <c r="J4388" s="1"/>
      <c r="N4388" s="1"/>
      <c r="Z4388" s="1"/>
      <c r="AA4388" s="1"/>
      <c r="AE4388" s="1"/>
    </row>
    <row r="4389" spans="9:31" x14ac:dyDescent="0.25">
      <c r="I4389" s="1"/>
      <c r="J4389" s="1"/>
      <c r="N4389" s="1"/>
      <c r="Z4389" s="1"/>
      <c r="AA4389" s="1"/>
      <c r="AE4389" s="1"/>
    </row>
    <row r="4390" spans="9:31" x14ac:dyDescent="0.25">
      <c r="I4390" s="1"/>
      <c r="J4390" s="1"/>
      <c r="N4390" s="1"/>
      <c r="Z4390" s="1"/>
      <c r="AA4390" s="1"/>
      <c r="AE4390" s="1"/>
    </row>
    <row r="4391" spans="9:31" x14ac:dyDescent="0.25">
      <c r="I4391" s="1"/>
      <c r="J4391" s="1"/>
      <c r="N4391" s="1"/>
      <c r="Z4391" s="1"/>
      <c r="AA4391" s="1"/>
      <c r="AE4391" s="1"/>
    </row>
    <row r="4392" spans="9:31" x14ac:dyDescent="0.25">
      <c r="I4392" s="1"/>
      <c r="J4392" s="1"/>
      <c r="N4392" s="1"/>
      <c r="Z4392" s="1"/>
      <c r="AA4392" s="1"/>
      <c r="AE4392" s="1"/>
    </row>
    <row r="4393" spans="9:31" x14ac:dyDescent="0.25">
      <c r="I4393" s="1"/>
      <c r="J4393" s="1"/>
      <c r="N4393" s="1"/>
      <c r="Z4393" s="1"/>
      <c r="AA4393" s="1"/>
      <c r="AE4393" s="1"/>
    </row>
    <row r="4394" spans="9:31" x14ac:dyDescent="0.25">
      <c r="I4394" s="1"/>
      <c r="J4394" s="1"/>
      <c r="N4394" s="1"/>
      <c r="Z4394" s="1"/>
      <c r="AA4394" s="1"/>
      <c r="AE4394" s="1"/>
    </row>
    <row r="4395" spans="9:31" x14ac:dyDescent="0.25">
      <c r="I4395" s="1"/>
      <c r="J4395" s="1"/>
      <c r="N4395" s="1"/>
      <c r="Z4395" s="1"/>
      <c r="AA4395" s="1"/>
      <c r="AE4395" s="1"/>
    </row>
    <row r="4396" spans="9:31" x14ac:dyDescent="0.25">
      <c r="I4396" s="1"/>
      <c r="J4396" s="1"/>
      <c r="N4396" s="1"/>
      <c r="Z4396" s="1"/>
      <c r="AA4396" s="1"/>
      <c r="AE4396" s="1"/>
    </row>
    <row r="4397" spans="9:31" x14ac:dyDescent="0.25">
      <c r="I4397" s="1"/>
      <c r="J4397" s="1"/>
      <c r="N4397" s="1"/>
      <c r="Z4397" s="1"/>
      <c r="AA4397" s="1"/>
      <c r="AE4397" s="1"/>
    </row>
    <row r="4398" spans="9:31" x14ac:dyDescent="0.25">
      <c r="I4398" s="1"/>
      <c r="J4398" s="1"/>
      <c r="N4398" s="1"/>
      <c r="Z4398" s="1"/>
      <c r="AA4398" s="1"/>
      <c r="AE4398" s="1"/>
    </row>
    <row r="4399" spans="9:31" x14ac:dyDescent="0.25">
      <c r="I4399" s="1"/>
      <c r="J4399" s="1"/>
      <c r="N4399" s="1"/>
      <c r="Z4399" s="1"/>
      <c r="AA4399" s="1"/>
      <c r="AE4399" s="1"/>
    </row>
    <row r="4400" spans="9:31" x14ac:dyDescent="0.25">
      <c r="I4400" s="1"/>
      <c r="J4400" s="1"/>
      <c r="N4400" s="1"/>
      <c r="Z4400" s="1"/>
      <c r="AA4400" s="1"/>
      <c r="AE4400" s="1"/>
    </row>
    <row r="4401" spans="9:31" x14ac:dyDescent="0.25">
      <c r="I4401" s="1"/>
      <c r="J4401" s="1"/>
      <c r="N4401" s="1"/>
      <c r="Z4401" s="1"/>
      <c r="AA4401" s="1"/>
      <c r="AE4401" s="1"/>
    </row>
    <row r="4402" spans="9:31" x14ac:dyDescent="0.25">
      <c r="I4402" s="1"/>
      <c r="J4402" s="1"/>
      <c r="N4402" s="1"/>
      <c r="Z4402" s="1"/>
      <c r="AA4402" s="1"/>
      <c r="AE4402" s="1"/>
    </row>
    <row r="4403" spans="9:31" x14ac:dyDescent="0.25">
      <c r="I4403" s="1"/>
      <c r="J4403" s="1"/>
      <c r="N4403" s="1"/>
      <c r="Z4403" s="1"/>
      <c r="AA4403" s="1"/>
      <c r="AE4403" s="1"/>
    </row>
    <row r="4404" spans="9:31" x14ac:dyDescent="0.25">
      <c r="I4404" s="1"/>
      <c r="J4404" s="1"/>
      <c r="N4404" s="1"/>
      <c r="Z4404" s="1"/>
      <c r="AA4404" s="1"/>
      <c r="AE4404" s="1"/>
    </row>
    <row r="4405" spans="9:31" x14ac:dyDescent="0.25">
      <c r="I4405" s="1"/>
      <c r="J4405" s="1"/>
      <c r="N4405" s="1"/>
      <c r="Z4405" s="1"/>
      <c r="AA4405" s="1"/>
      <c r="AE4405" s="1"/>
    </row>
    <row r="4406" spans="9:31" x14ac:dyDescent="0.25">
      <c r="I4406" s="1"/>
      <c r="J4406" s="1"/>
      <c r="N4406" s="1"/>
      <c r="Z4406" s="1"/>
      <c r="AA4406" s="1"/>
      <c r="AE4406" s="1"/>
    </row>
    <row r="4407" spans="9:31" x14ac:dyDescent="0.25">
      <c r="I4407" s="1"/>
      <c r="J4407" s="1"/>
      <c r="N4407" s="1"/>
      <c r="Z4407" s="1"/>
      <c r="AA4407" s="1"/>
      <c r="AE4407" s="1"/>
    </row>
    <row r="4408" spans="9:31" x14ac:dyDescent="0.25">
      <c r="I4408" s="1"/>
      <c r="J4408" s="1"/>
      <c r="N4408" s="1"/>
      <c r="Z4408" s="1"/>
      <c r="AA4408" s="1"/>
      <c r="AE4408" s="1"/>
    </row>
    <row r="4409" spans="9:31" x14ac:dyDescent="0.25">
      <c r="I4409" s="1"/>
      <c r="J4409" s="1"/>
      <c r="N4409" s="1"/>
      <c r="Z4409" s="1"/>
      <c r="AA4409" s="1"/>
      <c r="AE4409" s="1"/>
    </row>
    <row r="4410" spans="9:31" x14ac:dyDescent="0.25">
      <c r="N4410" s="1"/>
      <c r="Z4410" s="1"/>
      <c r="AA4410" s="1"/>
      <c r="AE4410" s="1"/>
    </row>
    <row r="4411" spans="9:31" x14ac:dyDescent="0.25">
      <c r="I4411" s="1"/>
      <c r="J4411" s="1"/>
      <c r="N4411" s="1"/>
      <c r="AE4411" s="1"/>
    </row>
    <row r="4412" spans="9:31" x14ac:dyDescent="0.25">
      <c r="N4412" s="1"/>
      <c r="Z4412" s="1"/>
      <c r="AA4412" s="1"/>
      <c r="AE4412" s="1"/>
    </row>
    <row r="4413" spans="9:31" x14ac:dyDescent="0.25">
      <c r="I4413" s="1"/>
      <c r="J4413" s="1"/>
      <c r="N4413" s="1"/>
      <c r="AE4413" s="1"/>
    </row>
    <row r="4414" spans="9:31" x14ac:dyDescent="0.25">
      <c r="I4414" s="1"/>
      <c r="J4414" s="1"/>
      <c r="N4414" s="1"/>
      <c r="Z4414" s="1"/>
      <c r="AA4414" s="1"/>
      <c r="AE4414" s="1"/>
    </row>
    <row r="4415" spans="9:31" x14ac:dyDescent="0.25">
      <c r="I4415" s="1"/>
      <c r="J4415" s="1"/>
      <c r="N4415" s="1"/>
      <c r="Z4415" s="1"/>
      <c r="AA4415" s="1"/>
      <c r="AE4415" s="1"/>
    </row>
    <row r="4416" spans="9:31" x14ac:dyDescent="0.25">
      <c r="I4416" s="1"/>
      <c r="J4416" s="1"/>
      <c r="N4416" s="1"/>
      <c r="Z4416" s="1"/>
      <c r="AA4416" s="1"/>
      <c r="AE4416" s="1"/>
    </row>
    <row r="4417" spans="9:31" x14ac:dyDescent="0.25">
      <c r="N4417" s="1"/>
      <c r="Z4417" s="1"/>
      <c r="AA4417" s="1"/>
      <c r="AE4417" s="1"/>
    </row>
    <row r="4418" spans="9:31" x14ac:dyDescent="0.25">
      <c r="I4418" s="1"/>
      <c r="J4418" s="1"/>
      <c r="N4418" s="1"/>
      <c r="AE4418" s="1"/>
    </row>
    <row r="4419" spans="9:31" x14ac:dyDescent="0.25">
      <c r="I4419" s="1"/>
      <c r="J4419" s="1"/>
      <c r="N4419" s="1"/>
      <c r="Z4419" s="1"/>
      <c r="AA4419" s="1"/>
      <c r="AE4419" s="1"/>
    </row>
    <row r="4420" spans="9:31" x14ac:dyDescent="0.25">
      <c r="I4420" s="1"/>
      <c r="J4420" s="1"/>
      <c r="N4420" s="1"/>
      <c r="Z4420" s="1"/>
      <c r="AA4420" s="1"/>
      <c r="AE4420" s="1"/>
    </row>
    <row r="4421" spans="9:31" x14ac:dyDescent="0.25">
      <c r="I4421" s="1"/>
      <c r="J4421" s="1"/>
      <c r="N4421" s="1"/>
      <c r="Z4421" s="1"/>
      <c r="AA4421" s="1"/>
      <c r="AE4421" s="1"/>
    </row>
    <row r="4422" spans="9:31" x14ac:dyDescent="0.25">
      <c r="I4422" s="1"/>
      <c r="J4422" s="1"/>
      <c r="N4422" s="1"/>
      <c r="Z4422" s="1"/>
      <c r="AA4422" s="1"/>
      <c r="AE4422" s="1"/>
    </row>
    <row r="4423" spans="9:31" x14ac:dyDescent="0.25">
      <c r="I4423" s="1"/>
      <c r="J4423" s="1"/>
      <c r="N4423" s="1"/>
      <c r="Z4423" s="1"/>
      <c r="AA4423" s="1"/>
      <c r="AE4423" s="1"/>
    </row>
    <row r="4424" spans="9:31" x14ac:dyDescent="0.25">
      <c r="I4424" s="1"/>
      <c r="J4424" s="1"/>
      <c r="N4424" s="1"/>
      <c r="Z4424" s="1"/>
      <c r="AA4424" s="1"/>
      <c r="AE4424" s="1"/>
    </row>
    <row r="4425" spans="9:31" x14ac:dyDescent="0.25">
      <c r="I4425" s="1"/>
      <c r="J4425" s="1"/>
      <c r="N4425" s="1"/>
      <c r="Z4425" s="1"/>
      <c r="AA4425" s="1"/>
      <c r="AE4425" s="1"/>
    </row>
    <row r="4426" spans="9:31" x14ac:dyDescent="0.25">
      <c r="I4426" s="1"/>
      <c r="J4426" s="1"/>
      <c r="N4426" s="1"/>
      <c r="Z4426" s="1"/>
      <c r="AA4426" s="1"/>
      <c r="AE4426" s="1"/>
    </row>
    <row r="4427" spans="9:31" x14ac:dyDescent="0.25">
      <c r="I4427" s="1"/>
      <c r="J4427" s="1"/>
      <c r="N4427" s="1"/>
      <c r="Z4427" s="1"/>
      <c r="AA4427" s="1"/>
      <c r="AE4427" s="1"/>
    </row>
    <row r="4428" spans="9:31" x14ac:dyDescent="0.25">
      <c r="I4428" s="1"/>
      <c r="J4428" s="1"/>
      <c r="N4428" s="1"/>
      <c r="Z4428" s="1"/>
      <c r="AA4428" s="1"/>
      <c r="AE4428" s="1"/>
    </row>
    <row r="4429" spans="9:31" x14ac:dyDescent="0.25">
      <c r="I4429" s="1"/>
      <c r="J4429" s="1"/>
      <c r="N4429" s="1"/>
      <c r="Z4429" s="1"/>
      <c r="AA4429" s="1"/>
      <c r="AE4429" s="1"/>
    </row>
    <row r="4430" spans="9:31" x14ac:dyDescent="0.25">
      <c r="N4430" s="1"/>
      <c r="Z4430" s="1"/>
      <c r="AA4430" s="1"/>
      <c r="AE4430" s="1"/>
    </row>
    <row r="4431" spans="9:31" x14ac:dyDescent="0.25">
      <c r="I4431" s="1"/>
      <c r="J4431" s="1"/>
      <c r="N4431" s="1"/>
      <c r="AE4431" s="1"/>
    </row>
    <row r="4432" spans="9:31" x14ac:dyDescent="0.25">
      <c r="I4432" s="1"/>
      <c r="J4432" s="1"/>
      <c r="N4432" s="1"/>
      <c r="Z4432" s="1"/>
      <c r="AA4432" s="1"/>
      <c r="AE4432" s="1"/>
    </row>
    <row r="4433" spans="9:31" x14ac:dyDescent="0.25">
      <c r="I4433" s="1"/>
      <c r="J4433" s="1"/>
      <c r="N4433" s="1"/>
      <c r="Z4433" s="1"/>
      <c r="AA4433" s="1"/>
      <c r="AE4433" s="1"/>
    </row>
    <row r="4434" spans="9:31" x14ac:dyDescent="0.25">
      <c r="I4434" s="1"/>
      <c r="J4434" s="1"/>
      <c r="N4434" s="1"/>
      <c r="Z4434" s="1"/>
      <c r="AA4434" s="1"/>
      <c r="AE4434" s="1"/>
    </row>
    <row r="4435" spans="9:31" x14ac:dyDescent="0.25">
      <c r="I4435" s="1"/>
      <c r="J4435" s="1"/>
      <c r="N4435" s="1"/>
      <c r="Z4435" s="1"/>
      <c r="AA4435" s="1"/>
      <c r="AE4435" s="1"/>
    </row>
    <row r="4436" spans="9:31" x14ac:dyDescent="0.25">
      <c r="I4436" s="1"/>
      <c r="J4436" s="1"/>
      <c r="N4436" s="1"/>
      <c r="Z4436" s="1"/>
      <c r="AA4436" s="1"/>
      <c r="AE4436" s="1"/>
    </row>
    <row r="4437" spans="9:31" x14ac:dyDescent="0.25">
      <c r="I4437" s="1"/>
      <c r="J4437" s="1"/>
      <c r="N4437" s="1"/>
      <c r="Z4437" s="1"/>
      <c r="AA4437" s="1"/>
      <c r="AE4437" s="1"/>
    </row>
    <row r="4438" spans="9:31" x14ac:dyDescent="0.25">
      <c r="I4438" s="1"/>
      <c r="J4438" s="1"/>
      <c r="N4438" s="1"/>
      <c r="Z4438" s="1"/>
      <c r="AA4438" s="1"/>
      <c r="AE4438" s="1"/>
    </row>
    <row r="4439" spans="9:31" x14ac:dyDescent="0.25">
      <c r="I4439" s="1"/>
      <c r="J4439" s="1"/>
      <c r="N4439" s="1"/>
      <c r="Z4439" s="1"/>
      <c r="AA4439" s="1"/>
      <c r="AE4439" s="1"/>
    </row>
    <row r="4440" spans="9:31" x14ac:dyDescent="0.25">
      <c r="I4440" s="1"/>
      <c r="J4440" s="1"/>
      <c r="N4440" s="1"/>
      <c r="Z4440" s="1"/>
      <c r="AA4440" s="1"/>
      <c r="AE4440" s="1"/>
    </row>
    <row r="4441" spans="9:31" x14ac:dyDescent="0.25">
      <c r="N4441" s="1"/>
      <c r="Z4441" s="1"/>
      <c r="AA4441" s="1"/>
      <c r="AE4441" s="1"/>
    </row>
    <row r="4442" spans="9:31" x14ac:dyDescent="0.25">
      <c r="I4442" s="1"/>
      <c r="J4442" s="1"/>
      <c r="N4442" s="1"/>
      <c r="AE4442" s="1"/>
    </row>
    <row r="4443" spans="9:31" x14ac:dyDescent="0.25">
      <c r="I4443" s="1"/>
      <c r="J4443" s="1"/>
      <c r="N4443" s="1"/>
      <c r="Z4443" s="1"/>
      <c r="AA4443" s="1"/>
      <c r="AE4443" s="1"/>
    </row>
    <row r="4444" spans="9:31" x14ac:dyDescent="0.25">
      <c r="I4444" s="1"/>
      <c r="J4444" s="1"/>
      <c r="N4444" s="1"/>
      <c r="Z4444" s="1"/>
      <c r="AA4444" s="1"/>
      <c r="AE4444" s="1"/>
    </row>
    <row r="4445" spans="9:31" x14ac:dyDescent="0.25">
      <c r="I4445" s="1"/>
      <c r="J4445" s="1"/>
      <c r="N4445" s="1"/>
      <c r="Z4445" s="1"/>
      <c r="AA4445" s="1"/>
      <c r="AE4445" s="1"/>
    </row>
    <row r="4446" spans="9:31" x14ac:dyDescent="0.25">
      <c r="I4446" s="1"/>
      <c r="J4446" s="1"/>
      <c r="N4446" s="1"/>
      <c r="Z4446" s="1"/>
      <c r="AA4446" s="1"/>
      <c r="AE4446" s="1"/>
    </row>
    <row r="4447" spans="9:31" x14ac:dyDescent="0.25">
      <c r="I4447" s="1"/>
      <c r="J4447" s="1"/>
      <c r="N4447" s="1"/>
      <c r="Z4447" s="1"/>
      <c r="AA4447" s="1"/>
      <c r="AE4447" s="1"/>
    </row>
    <row r="4448" spans="9:31" x14ac:dyDescent="0.25">
      <c r="N4448" s="1"/>
      <c r="Z4448" s="1"/>
      <c r="AA4448" s="1"/>
      <c r="AE4448" s="1"/>
    </row>
    <row r="4449" spans="9:31" x14ac:dyDescent="0.25">
      <c r="I4449" s="1"/>
      <c r="J4449" s="1"/>
      <c r="N4449" s="1"/>
      <c r="AE4449" s="1"/>
    </row>
    <row r="4450" spans="9:31" x14ac:dyDescent="0.25">
      <c r="I4450" s="1"/>
      <c r="J4450" s="1"/>
      <c r="N4450" s="1"/>
      <c r="Z4450" s="1"/>
      <c r="AA4450" s="1"/>
      <c r="AE4450" s="1"/>
    </row>
    <row r="4451" spans="9:31" x14ac:dyDescent="0.25">
      <c r="I4451" s="1"/>
      <c r="J4451" s="1"/>
      <c r="N4451" s="1"/>
      <c r="Z4451" s="1"/>
      <c r="AA4451" s="1"/>
      <c r="AE4451" s="1"/>
    </row>
    <row r="4452" spans="9:31" x14ac:dyDescent="0.25">
      <c r="I4452" s="1"/>
      <c r="J4452" s="1"/>
      <c r="N4452" s="1"/>
      <c r="Z4452" s="1"/>
      <c r="AA4452" s="1"/>
      <c r="AE4452" s="1"/>
    </row>
    <row r="4453" spans="9:31" x14ac:dyDescent="0.25">
      <c r="N4453" s="1"/>
      <c r="Z4453" s="1"/>
      <c r="AA4453" s="1"/>
      <c r="AE4453" s="1"/>
    </row>
    <row r="4454" spans="9:31" x14ac:dyDescent="0.25">
      <c r="I4454" s="1"/>
      <c r="J4454" s="1"/>
      <c r="N4454" s="1"/>
      <c r="AE4454" s="1"/>
    </row>
    <row r="4455" spans="9:31" x14ac:dyDescent="0.25">
      <c r="I4455" s="1"/>
      <c r="J4455" s="1"/>
      <c r="N4455" s="1"/>
      <c r="Z4455" s="1"/>
      <c r="AA4455" s="1"/>
      <c r="AE4455" s="1"/>
    </row>
    <row r="4456" spans="9:31" x14ac:dyDescent="0.25">
      <c r="I4456" s="1"/>
      <c r="J4456" s="1"/>
      <c r="N4456" s="1"/>
      <c r="Z4456" s="1"/>
      <c r="AA4456" s="1"/>
      <c r="AE4456" s="1"/>
    </row>
    <row r="4457" spans="9:31" x14ac:dyDescent="0.25">
      <c r="I4457" s="1"/>
      <c r="J4457" s="1"/>
      <c r="N4457" s="1"/>
      <c r="Z4457" s="1"/>
      <c r="AA4457" s="1"/>
      <c r="AE4457" s="1"/>
    </row>
    <row r="4458" spans="9:31" x14ac:dyDescent="0.25">
      <c r="I4458" s="1"/>
      <c r="J4458" s="1"/>
      <c r="N4458" s="1"/>
      <c r="Z4458" s="1"/>
      <c r="AA4458" s="1"/>
      <c r="AE4458" s="1"/>
    </row>
    <row r="4459" spans="9:31" x14ac:dyDescent="0.25">
      <c r="I4459" s="1"/>
      <c r="J4459" s="1"/>
      <c r="N4459" s="1"/>
      <c r="Z4459" s="1"/>
      <c r="AA4459" s="1"/>
      <c r="AE4459" s="1"/>
    </row>
    <row r="4460" spans="9:31" x14ac:dyDescent="0.25">
      <c r="I4460" s="1"/>
      <c r="J4460" s="1"/>
      <c r="N4460" s="1"/>
      <c r="Z4460" s="1"/>
      <c r="AA4460" s="1"/>
      <c r="AE4460" s="1"/>
    </row>
    <row r="4461" spans="9:31" x14ac:dyDescent="0.25">
      <c r="I4461" s="1"/>
      <c r="J4461" s="1"/>
      <c r="N4461" s="1"/>
      <c r="Z4461" s="1"/>
      <c r="AA4461" s="1"/>
      <c r="AE4461" s="1"/>
    </row>
    <row r="4462" spans="9:31" x14ac:dyDescent="0.25">
      <c r="N4462" s="1"/>
      <c r="Z4462" s="1"/>
      <c r="AA4462" s="1"/>
      <c r="AE4462" s="1"/>
    </row>
    <row r="4463" spans="9:31" x14ac:dyDescent="0.25">
      <c r="I4463" s="1"/>
      <c r="J4463" s="1"/>
      <c r="N4463" s="1"/>
      <c r="AE4463" s="1"/>
    </row>
    <row r="4464" spans="9:31" x14ac:dyDescent="0.25">
      <c r="N4464" s="1"/>
      <c r="Z4464" s="1"/>
      <c r="AA4464" s="1"/>
      <c r="AE4464" s="1"/>
    </row>
    <row r="4465" spans="9:31" x14ac:dyDescent="0.25">
      <c r="I4465" s="1"/>
      <c r="J4465" s="1"/>
      <c r="N4465" s="1"/>
      <c r="AE4465" s="1"/>
    </row>
    <row r="4466" spans="9:31" x14ac:dyDescent="0.25">
      <c r="I4466" s="1"/>
      <c r="J4466" s="1"/>
      <c r="N4466" s="1"/>
      <c r="Z4466" s="1"/>
      <c r="AA4466" s="1"/>
      <c r="AE4466" s="1"/>
    </row>
    <row r="4467" spans="9:31" x14ac:dyDescent="0.25">
      <c r="I4467" s="1"/>
      <c r="J4467" s="1"/>
      <c r="N4467" s="1"/>
      <c r="Z4467" s="1"/>
      <c r="AA4467" s="1"/>
      <c r="AE4467" s="1"/>
    </row>
    <row r="4468" spans="9:31" x14ac:dyDescent="0.25">
      <c r="N4468" s="1"/>
      <c r="Z4468" s="1"/>
      <c r="AA4468" s="1"/>
      <c r="AE4468" s="1"/>
    </row>
    <row r="4469" spans="9:31" x14ac:dyDescent="0.25">
      <c r="I4469" s="1"/>
      <c r="J4469" s="1"/>
      <c r="N4469" s="1"/>
      <c r="AE4469" s="1"/>
    </row>
    <row r="4470" spans="9:31" x14ac:dyDescent="0.25">
      <c r="I4470" s="1"/>
      <c r="J4470" s="1"/>
      <c r="N4470" s="1"/>
      <c r="Z4470" s="1"/>
      <c r="AA4470" s="1"/>
      <c r="AE4470" s="1"/>
    </row>
    <row r="4471" spans="9:31" x14ac:dyDescent="0.25">
      <c r="I4471" s="1"/>
      <c r="J4471" s="1"/>
      <c r="N4471" s="1"/>
      <c r="Z4471" s="1"/>
      <c r="AA4471" s="1"/>
      <c r="AE4471" s="1"/>
    </row>
    <row r="4472" spans="9:31" x14ac:dyDescent="0.25">
      <c r="I4472" s="1"/>
      <c r="J4472" s="1"/>
      <c r="N4472" s="1"/>
      <c r="Z4472" s="1"/>
      <c r="AA4472" s="1"/>
      <c r="AE4472" s="1"/>
    </row>
    <row r="4473" spans="9:31" x14ac:dyDescent="0.25">
      <c r="I4473" s="1"/>
      <c r="J4473" s="1"/>
      <c r="N4473" s="1"/>
      <c r="Z4473" s="1"/>
      <c r="AA4473" s="1"/>
      <c r="AE4473" s="1"/>
    </row>
    <row r="4474" spans="9:31" x14ac:dyDescent="0.25">
      <c r="I4474" s="1"/>
      <c r="J4474" s="1"/>
      <c r="N4474" s="1"/>
      <c r="Z4474" s="1"/>
      <c r="AA4474" s="1"/>
      <c r="AE4474" s="1"/>
    </row>
    <row r="4475" spans="9:31" x14ac:dyDescent="0.25">
      <c r="I4475" s="1"/>
      <c r="J4475" s="1"/>
      <c r="N4475" s="1"/>
      <c r="Z4475" s="1"/>
      <c r="AA4475" s="1"/>
      <c r="AE4475" s="1"/>
    </row>
    <row r="4476" spans="9:31" x14ac:dyDescent="0.25">
      <c r="I4476" s="1"/>
      <c r="J4476" s="1"/>
      <c r="N4476" s="1"/>
      <c r="Z4476" s="1"/>
      <c r="AA4476" s="1"/>
      <c r="AE4476" s="1"/>
    </row>
    <row r="4477" spans="9:31" x14ac:dyDescent="0.25">
      <c r="I4477" s="1"/>
      <c r="J4477" s="1"/>
      <c r="N4477" s="1"/>
      <c r="Z4477" s="1"/>
      <c r="AA4477" s="1"/>
      <c r="AE4477" s="1"/>
    </row>
    <row r="4478" spans="9:31" x14ac:dyDescent="0.25">
      <c r="I4478" s="1"/>
      <c r="J4478" s="1"/>
      <c r="N4478" s="1"/>
      <c r="Z4478" s="1"/>
      <c r="AA4478" s="1"/>
      <c r="AE4478" s="1"/>
    </row>
    <row r="4479" spans="9:31" x14ac:dyDescent="0.25">
      <c r="I4479" s="1"/>
      <c r="J4479" s="1"/>
      <c r="N4479" s="1"/>
      <c r="Z4479" s="1"/>
      <c r="AA4479" s="1"/>
      <c r="AE4479" s="1"/>
    </row>
    <row r="4480" spans="9:31" x14ac:dyDescent="0.25">
      <c r="I4480" s="1"/>
      <c r="J4480" s="1"/>
      <c r="N4480" s="1"/>
      <c r="Z4480" s="1"/>
      <c r="AA4480" s="1"/>
      <c r="AE4480" s="1"/>
    </row>
    <row r="4481" spans="9:31" x14ac:dyDescent="0.25">
      <c r="N4481" s="1"/>
      <c r="Z4481" s="1"/>
      <c r="AA4481" s="1"/>
      <c r="AE4481" s="1"/>
    </row>
    <row r="4482" spans="9:31" x14ac:dyDescent="0.25">
      <c r="I4482" s="1"/>
      <c r="J4482" s="1"/>
      <c r="N4482" s="1"/>
      <c r="AE4482" s="1"/>
    </row>
    <row r="4483" spans="9:31" x14ac:dyDescent="0.25">
      <c r="I4483" s="1"/>
      <c r="J4483" s="1"/>
      <c r="N4483" s="1"/>
      <c r="Z4483" s="1"/>
      <c r="AA4483" s="1"/>
      <c r="AE4483" s="1"/>
    </row>
    <row r="4484" spans="9:31" x14ac:dyDescent="0.25">
      <c r="I4484" s="1"/>
      <c r="J4484" s="1"/>
      <c r="N4484" s="1"/>
      <c r="Z4484" s="1"/>
      <c r="AA4484" s="1"/>
      <c r="AE4484" s="1"/>
    </row>
    <row r="4485" spans="9:31" x14ac:dyDescent="0.25">
      <c r="I4485" s="1"/>
      <c r="J4485" s="1"/>
      <c r="N4485" s="1"/>
      <c r="Z4485" s="1"/>
      <c r="AA4485" s="1"/>
      <c r="AE4485" s="1"/>
    </row>
    <row r="4486" spans="9:31" x14ac:dyDescent="0.25">
      <c r="I4486" s="1"/>
      <c r="J4486" s="1"/>
      <c r="N4486" s="1"/>
      <c r="Z4486" s="1"/>
      <c r="AA4486" s="1"/>
      <c r="AE4486" s="1"/>
    </row>
    <row r="4487" spans="9:31" x14ac:dyDescent="0.25">
      <c r="I4487" s="1"/>
      <c r="J4487" s="1"/>
      <c r="N4487" s="1"/>
      <c r="Z4487" s="1"/>
      <c r="AA4487" s="1"/>
      <c r="AE4487" s="1"/>
    </row>
    <row r="4488" spans="9:31" x14ac:dyDescent="0.25">
      <c r="I4488" s="1"/>
      <c r="J4488" s="1"/>
      <c r="N4488" s="1"/>
      <c r="Z4488" s="1"/>
      <c r="AA4488" s="1"/>
      <c r="AE4488" s="1"/>
    </row>
    <row r="4489" spans="9:31" x14ac:dyDescent="0.25">
      <c r="N4489" s="1"/>
      <c r="Z4489" s="1"/>
      <c r="AA4489" s="1"/>
      <c r="AE4489" s="1"/>
    </row>
    <row r="4490" spans="9:31" x14ac:dyDescent="0.25">
      <c r="I4490" s="1"/>
      <c r="J4490" s="1"/>
      <c r="N4490" s="1"/>
      <c r="AE4490" s="1"/>
    </row>
    <row r="4491" spans="9:31" x14ac:dyDescent="0.25">
      <c r="I4491" s="1"/>
      <c r="J4491" s="1"/>
      <c r="N4491" s="1"/>
      <c r="Z4491" s="1"/>
      <c r="AA4491" s="1"/>
      <c r="AE4491" s="1"/>
    </row>
    <row r="4492" spans="9:31" x14ac:dyDescent="0.25">
      <c r="I4492" s="1"/>
      <c r="J4492" s="1"/>
      <c r="N4492" s="1"/>
      <c r="Z4492" s="1"/>
      <c r="AA4492" s="1"/>
      <c r="AE4492" s="1"/>
    </row>
    <row r="4493" spans="9:31" x14ac:dyDescent="0.25">
      <c r="I4493" s="1"/>
      <c r="J4493" s="1"/>
      <c r="N4493" s="1"/>
      <c r="Z4493" s="1"/>
      <c r="AA4493" s="1"/>
      <c r="AE4493" s="1"/>
    </row>
    <row r="4494" spans="9:31" x14ac:dyDescent="0.25">
      <c r="I4494" s="1"/>
      <c r="J4494" s="1"/>
      <c r="N4494" s="1"/>
      <c r="Z4494" s="1"/>
      <c r="AA4494" s="1"/>
      <c r="AE4494" s="1"/>
    </row>
    <row r="4495" spans="9:31" x14ac:dyDescent="0.25">
      <c r="I4495" s="1"/>
      <c r="J4495" s="1"/>
      <c r="N4495" s="1"/>
      <c r="Z4495" s="1"/>
      <c r="AA4495" s="1"/>
      <c r="AE4495" s="1"/>
    </row>
    <row r="4496" spans="9:31" x14ac:dyDescent="0.25">
      <c r="I4496" s="1"/>
      <c r="J4496" s="1"/>
      <c r="N4496" s="1"/>
      <c r="Z4496" s="1"/>
      <c r="AA4496" s="1"/>
      <c r="AE4496" s="1"/>
    </row>
    <row r="4497" spans="9:31" x14ac:dyDescent="0.25">
      <c r="N4497" s="1"/>
      <c r="Z4497" s="1"/>
      <c r="AA4497" s="1"/>
      <c r="AE4497" s="1"/>
    </row>
    <row r="4498" spans="9:31" x14ac:dyDescent="0.25">
      <c r="I4498" s="1"/>
      <c r="J4498" s="1"/>
      <c r="N4498" s="1"/>
      <c r="AE4498" s="1"/>
    </row>
    <row r="4499" spans="9:31" x14ac:dyDescent="0.25">
      <c r="N4499" s="1"/>
      <c r="Z4499" s="1"/>
      <c r="AA4499" s="1"/>
      <c r="AE4499" s="1"/>
    </row>
    <row r="4500" spans="9:31" x14ac:dyDescent="0.25">
      <c r="I4500" s="1"/>
      <c r="J4500" s="1"/>
      <c r="N4500" s="1"/>
      <c r="AE4500" s="1"/>
    </row>
    <row r="4501" spans="9:31" x14ac:dyDescent="0.25">
      <c r="I4501" s="1"/>
      <c r="J4501" s="1"/>
      <c r="N4501" s="1"/>
      <c r="Z4501" s="1"/>
      <c r="AA4501" s="1"/>
      <c r="AE4501" s="1"/>
    </row>
    <row r="4502" spans="9:31" x14ac:dyDescent="0.25">
      <c r="I4502" s="1"/>
      <c r="J4502" s="1"/>
      <c r="N4502" s="1"/>
      <c r="Z4502" s="1"/>
      <c r="AA4502" s="1"/>
      <c r="AE4502" s="1"/>
    </row>
    <row r="4503" spans="9:31" x14ac:dyDescent="0.25">
      <c r="I4503" s="1"/>
      <c r="J4503" s="1"/>
      <c r="N4503" s="1"/>
      <c r="Z4503" s="1"/>
      <c r="AA4503" s="1"/>
      <c r="AE4503" s="1"/>
    </row>
    <row r="4504" spans="9:31" x14ac:dyDescent="0.25">
      <c r="N4504" s="1"/>
      <c r="Z4504" s="1"/>
      <c r="AA4504" s="1"/>
      <c r="AE4504" s="1"/>
    </row>
    <row r="4505" spans="9:31" x14ac:dyDescent="0.25">
      <c r="I4505" s="1"/>
      <c r="J4505" s="1"/>
      <c r="N4505" s="1"/>
      <c r="AE4505" s="1"/>
    </row>
    <row r="4506" spans="9:31" x14ac:dyDescent="0.25">
      <c r="I4506" s="1"/>
      <c r="J4506" s="1"/>
      <c r="N4506" s="1"/>
      <c r="Z4506" s="1"/>
      <c r="AA4506" s="1"/>
      <c r="AE4506" s="1"/>
    </row>
    <row r="4507" spans="9:31" x14ac:dyDescent="0.25">
      <c r="I4507" s="1"/>
      <c r="J4507" s="1"/>
      <c r="N4507" s="1"/>
      <c r="Z4507" s="1"/>
      <c r="AA4507" s="1"/>
      <c r="AE4507" s="1"/>
    </row>
    <row r="4508" spans="9:31" x14ac:dyDescent="0.25">
      <c r="I4508" s="1"/>
      <c r="J4508" s="1"/>
      <c r="N4508" s="1"/>
      <c r="Z4508" s="1"/>
      <c r="AA4508" s="1"/>
      <c r="AE4508" s="1"/>
    </row>
    <row r="4509" spans="9:31" x14ac:dyDescent="0.25">
      <c r="I4509" s="1"/>
      <c r="J4509" s="1"/>
      <c r="N4509" s="1"/>
      <c r="Z4509" s="1"/>
      <c r="AA4509" s="1"/>
      <c r="AE4509" s="1"/>
    </row>
    <row r="4510" spans="9:31" x14ac:dyDescent="0.25">
      <c r="I4510" s="1"/>
      <c r="J4510" s="1"/>
      <c r="N4510" s="1"/>
      <c r="Z4510" s="1"/>
      <c r="AA4510" s="1"/>
      <c r="AE4510" s="1"/>
    </row>
    <row r="4511" spans="9:31" x14ac:dyDescent="0.25">
      <c r="I4511" s="1"/>
      <c r="J4511" s="1"/>
      <c r="N4511" s="1"/>
      <c r="Z4511" s="1"/>
      <c r="AA4511" s="1"/>
      <c r="AE4511" s="1"/>
    </row>
    <row r="4512" spans="9:31" x14ac:dyDescent="0.25">
      <c r="N4512" s="1"/>
      <c r="Z4512" s="1"/>
      <c r="AA4512" s="1"/>
      <c r="AE4512" s="1"/>
    </row>
    <row r="4513" spans="9:31" x14ac:dyDescent="0.25">
      <c r="I4513" s="1"/>
      <c r="J4513" s="1"/>
      <c r="N4513" s="1"/>
      <c r="AE4513" s="1"/>
    </row>
    <row r="4514" spans="9:31" x14ac:dyDescent="0.25">
      <c r="I4514" s="1"/>
      <c r="J4514" s="1"/>
      <c r="N4514" s="1"/>
      <c r="Z4514" s="1"/>
      <c r="AA4514" s="1"/>
      <c r="AE4514" s="1"/>
    </row>
    <row r="4515" spans="9:31" x14ac:dyDescent="0.25">
      <c r="I4515" s="1"/>
      <c r="J4515" s="1"/>
      <c r="N4515" s="1"/>
      <c r="Z4515" s="1"/>
      <c r="AA4515" s="1"/>
      <c r="AE4515" s="1"/>
    </row>
    <row r="4516" spans="9:31" x14ac:dyDescent="0.25">
      <c r="I4516" s="1"/>
      <c r="J4516" s="1"/>
      <c r="N4516" s="1"/>
      <c r="Z4516" s="1"/>
      <c r="AA4516" s="1"/>
      <c r="AE4516" s="1"/>
    </row>
    <row r="4517" spans="9:31" x14ac:dyDescent="0.25">
      <c r="I4517" s="1"/>
      <c r="J4517" s="1"/>
      <c r="N4517" s="1"/>
      <c r="Z4517" s="1"/>
      <c r="AA4517" s="1"/>
      <c r="AE4517" s="1"/>
    </row>
    <row r="4518" spans="9:31" x14ac:dyDescent="0.25">
      <c r="N4518" s="1"/>
      <c r="Z4518" s="1"/>
      <c r="AA4518" s="1"/>
      <c r="AE4518" s="1"/>
    </row>
    <row r="4519" spans="9:31" x14ac:dyDescent="0.25">
      <c r="I4519" s="1"/>
      <c r="J4519" s="1"/>
      <c r="N4519" s="1"/>
      <c r="AE4519" s="1"/>
    </row>
    <row r="4520" spans="9:31" x14ac:dyDescent="0.25">
      <c r="I4520" s="1"/>
      <c r="J4520" s="1"/>
      <c r="N4520" s="1"/>
      <c r="Z4520" s="1"/>
      <c r="AA4520" s="1"/>
      <c r="AE4520" s="1"/>
    </row>
    <row r="4521" spans="9:31" x14ac:dyDescent="0.25">
      <c r="I4521" s="1"/>
      <c r="J4521" s="1"/>
      <c r="N4521" s="1"/>
      <c r="Z4521" s="1"/>
      <c r="AA4521" s="1"/>
      <c r="AE4521" s="1"/>
    </row>
    <row r="4522" spans="9:31" x14ac:dyDescent="0.25">
      <c r="I4522" s="1"/>
      <c r="J4522" s="1"/>
      <c r="N4522" s="1"/>
      <c r="Z4522" s="1"/>
      <c r="AA4522" s="1"/>
      <c r="AE4522" s="1"/>
    </row>
    <row r="4523" spans="9:31" x14ac:dyDescent="0.25">
      <c r="I4523" s="1"/>
      <c r="J4523" s="1"/>
      <c r="N4523" s="1"/>
      <c r="Z4523" s="1"/>
      <c r="AA4523" s="1"/>
      <c r="AE4523" s="1"/>
    </row>
    <row r="4524" spans="9:31" x14ac:dyDescent="0.25">
      <c r="N4524" s="1"/>
      <c r="Z4524" s="1"/>
      <c r="AA4524" s="1"/>
      <c r="AE4524" s="1"/>
    </row>
    <row r="4525" spans="9:31" x14ac:dyDescent="0.25">
      <c r="I4525" s="1"/>
      <c r="J4525" s="1"/>
      <c r="N4525" s="1"/>
      <c r="AE4525" s="1"/>
    </row>
    <row r="4526" spans="9:31" x14ac:dyDescent="0.25">
      <c r="I4526" s="1"/>
      <c r="J4526" s="1"/>
      <c r="N4526" s="1"/>
      <c r="Z4526" s="1"/>
      <c r="AA4526" s="1"/>
      <c r="AE4526" s="1"/>
    </row>
    <row r="4527" spans="9:31" x14ac:dyDescent="0.25">
      <c r="I4527" s="1"/>
      <c r="J4527" s="1"/>
      <c r="N4527" s="1"/>
      <c r="Z4527" s="1"/>
      <c r="AA4527" s="1"/>
      <c r="AE4527" s="1"/>
    </row>
    <row r="4528" spans="9:31" x14ac:dyDescent="0.25">
      <c r="I4528" s="1"/>
      <c r="J4528" s="1"/>
      <c r="N4528" s="1"/>
      <c r="Z4528" s="1"/>
      <c r="AA4528" s="1"/>
      <c r="AE4528" s="1"/>
    </row>
    <row r="4529" spans="9:31" x14ac:dyDescent="0.25">
      <c r="I4529" s="1"/>
      <c r="J4529" s="1"/>
      <c r="N4529" s="1"/>
      <c r="Z4529" s="1"/>
      <c r="AA4529" s="1"/>
      <c r="AE4529" s="1"/>
    </row>
    <row r="4530" spans="9:31" x14ac:dyDescent="0.25">
      <c r="I4530" s="1"/>
      <c r="J4530" s="1"/>
      <c r="N4530" s="1"/>
      <c r="Z4530" s="1"/>
      <c r="AA4530" s="1"/>
      <c r="AE4530" s="1"/>
    </row>
    <row r="4531" spans="9:31" x14ac:dyDescent="0.25">
      <c r="N4531" s="1"/>
      <c r="Z4531" s="1"/>
      <c r="AA4531" s="1"/>
      <c r="AE4531" s="1"/>
    </row>
    <row r="4532" spans="9:31" x14ac:dyDescent="0.25">
      <c r="I4532" s="1"/>
      <c r="J4532" s="1"/>
      <c r="N4532" s="1"/>
      <c r="AE4532" s="1"/>
    </row>
    <row r="4533" spans="9:31" x14ac:dyDescent="0.25">
      <c r="I4533" s="1"/>
      <c r="J4533" s="1"/>
      <c r="N4533" s="1"/>
      <c r="Z4533" s="1"/>
      <c r="AA4533" s="1"/>
      <c r="AE4533" s="1"/>
    </row>
    <row r="4534" spans="9:31" x14ac:dyDescent="0.25">
      <c r="I4534" s="1"/>
      <c r="J4534" s="1"/>
      <c r="N4534" s="1"/>
      <c r="Z4534" s="1"/>
      <c r="AA4534" s="1"/>
      <c r="AE4534" s="1"/>
    </row>
    <row r="4535" spans="9:31" x14ac:dyDescent="0.25">
      <c r="I4535" s="1"/>
      <c r="J4535" s="1"/>
      <c r="N4535" s="1"/>
      <c r="Z4535" s="1"/>
      <c r="AA4535" s="1"/>
      <c r="AE4535" s="1"/>
    </row>
    <row r="4536" spans="9:31" x14ac:dyDescent="0.25">
      <c r="I4536" s="1"/>
      <c r="J4536" s="1"/>
      <c r="N4536" s="1"/>
      <c r="Z4536" s="1"/>
      <c r="AA4536" s="1"/>
      <c r="AE4536" s="1"/>
    </row>
    <row r="4537" spans="9:31" x14ac:dyDescent="0.25">
      <c r="I4537" s="1"/>
      <c r="J4537" s="1"/>
      <c r="N4537" s="1"/>
      <c r="Z4537" s="1"/>
      <c r="AA4537" s="1"/>
      <c r="AE4537" s="1"/>
    </row>
    <row r="4538" spans="9:31" x14ac:dyDescent="0.25">
      <c r="N4538" s="1"/>
      <c r="Z4538" s="1"/>
      <c r="AA4538" s="1"/>
      <c r="AE4538" s="1"/>
    </row>
    <row r="4539" spans="9:31" x14ac:dyDescent="0.25">
      <c r="I4539" s="1"/>
      <c r="J4539" s="1"/>
      <c r="N4539" s="1"/>
      <c r="AE4539" s="1"/>
    </row>
    <row r="4540" spans="9:31" x14ac:dyDescent="0.25">
      <c r="I4540" s="1"/>
      <c r="J4540" s="1"/>
      <c r="N4540" s="1"/>
      <c r="Z4540" s="1"/>
      <c r="AA4540" s="1"/>
      <c r="AE4540" s="1"/>
    </row>
    <row r="4541" spans="9:31" x14ac:dyDescent="0.25">
      <c r="I4541" s="1"/>
      <c r="J4541" s="1"/>
      <c r="N4541" s="1"/>
      <c r="Z4541" s="1"/>
      <c r="AA4541" s="1"/>
      <c r="AE4541" s="1"/>
    </row>
    <row r="4542" spans="9:31" x14ac:dyDescent="0.25">
      <c r="I4542" s="1"/>
      <c r="J4542" s="1"/>
      <c r="N4542" s="1"/>
      <c r="Z4542" s="1"/>
      <c r="AA4542" s="1"/>
      <c r="AE4542" s="1"/>
    </row>
    <row r="4543" spans="9:31" x14ac:dyDescent="0.25">
      <c r="I4543" s="1"/>
      <c r="J4543" s="1"/>
      <c r="N4543" s="1"/>
      <c r="Z4543" s="1"/>
      <c r="AA4543" s="1"/>
      <c r="AE4543" s="1"/>
    </row>
    <row r="4544" spans="9:31" x14ac:dyDescent="0.25">
      <c r="I4544" s="1"/>
      <c r="J4544" s="1"/>
      <c r="N4544" s="1"/>
      <c r="Z4544" s="1"/>
      <c r="AA4544" s="1"/>
      <c r="AE4544" s="1"/>
    </row>
    <row r="4545" spans="9:31" x14ac:dyDescent="0.25">
      <c r="I4545" s="1"/>
      <c r="J4545" s="1"/>
      <c r="N4545" s="1"/>
      <c r="Z4545" s="1"/>
      <c r="AA4545" s="1"/>
      <c r="AE4545" s="1"/>
    </row>
    <row r="4546" spans="9:31" x14ac:dyDescent="0.25">
      <c r="I4546" s="1"/>
      <c r="J4546" s="1"/>
      <c r="N4546" s="1"/>
      <c r="Z4546" s="1"/>
      <c r="AA4546" s="1"/>
      <c r="AE4546" s="1"/>
    </row>
    <row r="4547" spans="9:31" x14ac:dyDescent="0.25">
      <c r="I4547" s="1"/>
      <c r="J4547" s="1"/>
      <c r="N4547" s="1"/>
      <c r="Z4547" s="1"/>
      <c r="AA4547" s="1"/>
      <c r="AE4547" s="1"/>
    </row>
    <row r="4548" spans="9:31" x14ac:dyDescent="0.25">
      <c r="I4548" s="1"/>
      <c r="J4548" s="1"/>
      <c r="N4548" s="1"/>
      <c r="Z4548" s="1"/>
      <c r="AA4548" s="1"/>
      <c r="AE4548" s="1"/>
    </row>
    <row r="4549" spans="9:31" x14ac:dyDescent="0.25">
      <c r="I4549" s="1"/>
      <c r="J4549" s="1"/>
      <c r="N4549" s="1"/>
      <c r="Z4549" s="1"/>
      <c r="AA4549" s="1"/>
      <c r="AE4549" s="1"/>
    </row>
    <row r="4550" spans="9:31" x14ac:dyDescent="0.25">
      <c r="I4550" s="1"/>
      <c r="J4550" s="1"/>
      <c r="N4550" s="1"/>
      <c r="Z4550" s="1"/>
      <c r="AA4550" s="1"/>
      <c r="AE4550" s="1"/>
    </row>
    <row r="4551" spans="9:31" x14ac:dyDescent="0.25">
      <c r="N4551" s="1"/>
      <c r="Z4551" s="1"/>
      <c r="AA4551" s="1"/>
      <c r="AE4551" s="1"/>
    </row>
    <row r="4552" spans="9:31" x14ac:dyDescent="0.25">
      <c r="I4552" s="1"/>
      <c r="J4552" s="1"/>
      <c r="N4552" s="1"/>
      <c r="AE4552" s="1"/>
    </row>
    <row r="4553" spans="9:31" x14ac:dyDescent="0.25">
      <c r="I4553" s="1"/>
      <c r="J4553" s="1"/>
      <c r="N4553" s="1"/>
      <c r="Z4553" s="1"/>
      <c r="AA4553" s="1"/>
      <c r="AE4553" s="1"/>
    </row>
    <row r="4554" spans="9:31" x14ac:dyDescent="0.25">
      <c r="I4554" s="1"/>
      <c r="J4554" s="1"/>
      <c r="N4554" s="1"/>
      <c r="Z4554" s="1"/>
      <c r="AA4554" s="1"/>
      <c r="AE4554" s="1"/>
    </row>
    <row r="4555" spans="9:31" x14ac:dyDescent="0.25">
      <c r="I4555" s="1"/>
      <c r="J4555" s="1"/>
      <c r="N4555" s="1"/>
      <c r="Z4555" s="1"/>
      <c r="AA4555" s="1"/>
      <c r="AE4555" s="1"/>
    </row>
    <row r="4556" spans="9:31" x14ac:dyDescent="0.25">
      <c r="I4556" s="1"/>
      <c r="N4556" s="1"/>
      <c r="Z4556" s="1"/>
      <c r="AA4556" s="1"/>
      <c r="AE4556" s="1"/>
    </row>
    <row r="4557" spans="9:31" x14ac:dyDescent="0.25">
      <c r="I4557" s="1"/>
      <c r="J4557" s="1"/>
      <c r="N4557" s="1"/>
      <c r="Z4557" s="1"/>
      <c r="AE4557" s="1"/>
    </row>
    <row r="4558" spans="9:31" x14ac:dyDescent="0.25">
      <c r="I4558" s="1"/>
      <c r="J4558" s="1"/>
      <c r="N4558" s="1"/>
      <c r="Z4558" s="1"/>
      <c r="AA4558" s="1"/>
      <c r="AE4558" s="1"/>
    </row>
    <row r="4559" spans="9:31" x14ac:dyDescent="0.25">
      <c r="I4559" s="1"/>
      <c r="J4559" s="1"/>
      <c r="N4559" s="1"/>
      <c r="Z4559" s="1"/>
      <c r="AA4559" s="1"/>
      <c r="AE4559" s="1"/>
    </row>
    <row r="4560" spans="9:31" x14ac:dyDescent="0.25">
      <c r="I4560" s="1"/>
      <c r="J4560" s="1"/>
      <c r="N4560" s="1"/>
      <c r="Z4560" s="1"/>
      <c r="AA4560" s="1"/>
      <c r="AE4560" s="1"/>
    </row>
    <row r="4561" spans="9:31" x14ac:dyDescent="0.25">
      <c r="I4561" s="1"/>
      <c r="J4561" s="1"/>
      <c r="N4561" s="1"/>
      <c r="Z4561" s="1"/>
      <c r="AA4561" s="1"/>
      <c r="AE4561" s="1"/>
    </row>
    <row r="4562" spans="9:31" x14ac:dyDescent="0.25">
      <c r="I4562" s="1"/>
      <c r="J4562" s="1"/>
      <c r="N4562" s="1"/>
      <c r="Z4562" s="1"/>
      <c r="AA4562" s="1"/>
      <c r="AE4562" s="1"/>
    </row>
    <row r="4563" spans="9:31" x14ac:dyDescent="0.25">
      <c r="I4563" s="1"/>
      <c r="J4563" s="1"/>
      <c r="N4563" s="1"/>
      <c r="Z4563" s="1"/>
      <c r="AA4563" s="1"/>
      <c r="AE4563" s="1"/>
    </row>
    <row r="4564" spans="9:31" x14ac:dyDescent="0.25">
      <c r="I4564" s="1"/>
      <c r="J4564" s="1"/>
      <c r="N4564" s="1"/>
      <c r="Z4564" s="1"/>
      <c r="AA4564" s="1"/>
      <c r="AE4564" s="1"/>
    </row>
    <row r="4565" spans="9:31" x14ac:dyDescent="0.25">
      <c r="I4565" s="1"/>
      <c r="J4565" s="1"/>
      <c r="N4565" s="1"/>
      <c r="Z4565" s="1"/>
      <c r="AA4565" s="1"/>
      <c r="AE4565" s="1"/>
    </row>
    <row r="4566" spans="9:31" x14ac:dyDescent="0.25">
      <c r="I4566" s="1"/>
      <c r="J4566" s="1"/>
      <c r="N4566" s="1"/>
      <c r="Z4566" s="1"/>
      <c r="AA4566" s="1"/>
      <c r="AE4566" s="1"/>
    </row>
    <row r="4567" spans="9:31" x14ac:dyDescent="0.25">
      <c r="I4567" s="1"/>
      <c r="J4567" s="1"/>
      <c r="N4567" s="1"/>
      <c r="Z4567" s="1"/>
      <c r="AA4567" s="1"/>
      <c r="AE4567" s="1"/>
    </row>
    <row r="4568" spans="9:31" x14ac:dyDescent="0.25">
      <c r="I4568" s="1"/>
      <c r="J4568" s="1"/>
      <c r="N4568" s="1"/>
      <c r="Z4568" s="1"/>
      <c r="AA4568" s="1"/>
      <c r="AE4568" s="1"/>
    </row>
    <row r="4569" spans="9:31" x14ac:dyDescent="0.25">
      <c r="N4569" s="1"/>
      <c r="Z4569" s="1"/>
      <c r="AA4569" s="1"/>
      <c r="AE4569" s="1"/>
    </row>
    <row r="4570" spans="9:31" x14ac:dyDescent="0.25">
      <c r="I4570" s="1"/>
      <c r="J4570" s="1"/>
      <c r="N4570" s="1"/>
      <c r="AE4570" s="1"/>
    </row>
    <row r="4571" spans="9:31" x14ac:dyDescent="0.25">
      <c r="I4571" s="1"/>
      <c r="J4571" s="1"/>
      <c r="N4571" s="1"/>
      <c r="Z4571" s="1"/>
      <c r="AA4571" s="1"/>
      <c r="AE4571" s="1"/>
    </row>
    <row r="4572" spans="9:31" x14ac:dyDescent="0.25">
      <c r="I4572" s="1"/>
      <c r="J4572" s="1"/>
      <c r="N4572" s="1"/>
      <c r="Z4572" s="1"/>
      <c r="AA4572" s="1"/>
      <c r="AE4572" s="1"/>
    </row>
    <row r="4573" spans="9:31" x14ac:dyDescent="0.25">
      <c r="I4573" s="1"/>
      <c r="J4573" s="1"/>
      <c r="N4573" s="1"/>
      <c r="Z4573" s="1"/>
      <c r="AA4573" s="1"/>
      <c r="AE4573" s="1"/>
    </row>
    <row r="4574" spans="9:31" x14ac:dyDescent="0.25">
      <c r="I4574" s="1"/>
      <c r="J4574" s="1"/>
      <c r="N4574" s="1"/>
      <c r="Z4574" s="1"/>
      <c r="AA4574" s="1"/>
      <c r="AE4574" s="1"/>
    </row>
    <row r="4575" spans="9:31" x14ac:dyDescent="0.25">
      <c r="I4575" s="1"/>
      <c r="J4575" s="1"/>
      <c r="N4575" s="1"/>
      <c r="Z4575" s="1"/>
      <c r="AA4575" s="1"/>
      <c r="AE4575" s="1"/>
    </row>
    <row r="4576" spans="9:31" x14ac:dyDescent="0.25">
      <c r="I4576" s="1"/>
      <c r="J4576" s="1"/>
      <c r="N4576" s="1"/>
      <c r="Z4576" s="1"/>
      <c r="AA4576" s="1"/>
      <c r="AE4576" s="1"/>
    </row>
    <row r="4577" spans="9:31" x14ac:dyDescent="0.25">
      <c r="I4577" s="1"/>
      <c r="J4577" s="1"/>
      <c r="N4577" s="1"/>
      <c r="Z4577" s="1"/>
      <c r="AA4577" s="1"/>
      <c r="AE4577" s="1"/>
    </row>
    <row r="4578" spans="9:31" x14ac:dyDescent="0.25">
      <c r="I4578" s="1"/>
      <c r="J4578" s="1"/>
      <c r="N4578" s="1"/>
      <c r="Z4578" s="1"/>
      <c r="AA4578" s="1"/>
      <c r="AE4578" s="1"/>
    </row>
    <row r="4579" spans="9:31" x14ac:dyDescent="0.25">
      <c r="I4579" s="1"/>
      <c r="J4579" s="1"/>
      <c r="N4579" s="1"/>
      <c r="Z4579" s="1"/>
      <c r="AA4579" s="1"/>
      <c r="AE4579" s="1"/>
    </row>
    <row r="4580" spans="9:31" x14ac:dyDescent="0.25">
      <c r="N4580" s="1"/>
      <c r="Z4580" s="1"/>
      <c r="AA4580" s="1"/>
      <c r="AE4580" s="1"/>
    </row>
    <row r="4581" spans="9:31" x14ac:dyDescent="0.25">
      <c r="I4581" s="1"/>
      <c r="J4581" s="1"/>
      <c r="N4581" s="1"/>
      <c r="AE4581" s="1"/>
    </row>
    <row r="4582" spans="9:31" x14ac:dyDescent="0.25">
      <c r="I4582" s="1"/>
      <c r="J4582" s="1"/>
      <c r="N4582" s="1"/>
      <c r="Z4582" s="1"/>
      <c r="AA4582" s="1"/>
      <c r="AE4582" s="1"/>
    </row>
    <row r="4583" spans="9:31" x14ac:dyDescent="0.25">
      <c r="I4583" s="1"/>
      <c r="J4583" s="1"/>
      <c r="N4583" s="1"/>
      <c r="Z4583" s="1"/>
      <c r="AA4583" s="1"/>
      <c r="AE4583" s="1"/>
    </row>
    <row r="4584" spans="9:31" x14ac:dyDescent="0.25">
      <c r="I4584" s="1"/>
      <c r="J4584" s="1"/>
      <c r="N4584" s="1"/>
      <c r="Z4584" s="1"/>
      <c r="AA4584" s="1"/>
      <c r="AE4584" s="1"/>
    </row>
    <row r="4585" spans="9:31" x14ac:dyDescent="0.25">
      <c r="I4585" s="1"/>
      <c r="J4585" s="1"/>
      <c r="N4585" s="1"/>
      <c r="Z4585" s="1"/>
      <c r="AA4585" s="1"/>
      <c r="AE4585" s="1"/>
    </row>
    <row r="4586" spans="9:31" x14ac:dyDescent="0.25">
      <c r="N4586" s="1"/>
      <c r="Z4586" s="1"/>
      <c r="AA4586" s="1"/>
      <c r="AE4586" s="1"/>
    </row>
    <row r="4587" spans="9:31" x14ac:dyDescent="0.25">
      <c r="I4587" s="1"/>
      <c r="J4587" s="1"/>
      <c r="N4587" s="1"/>
      <c r="AE4587" s="1"/>
    </row>
    <row r="4588" spans="9:31" x14ac:dyDescent="0.25">
      <c r="I4588" s="1"/>
      <c r="J4588" s="1"/>
      <c r="N4588" s="1"/>
      <c r="Z4588" s="1"/>
      <c r="AA4588" s="1"/>
      <c r="AE4588" s="1"/>
    </row>
    <row r="4589" spans="9:31" x14ac:dyDescent="0.25">
      <c r="I4589" s="1"/>
      <c r="J4589" s="1"/>
      <c r="N4589" s="1"/>
      <c r="Z4589" s="1"/>
      <c r="AA4589" s="1"/>
      <c r="AE4589" s="1"/>
    </row>
    <row r="4590" spans="9:31" x14ac:dyDescent="0.25">
      <c r="I4590" s="1"/>
      <c r="J4590" s="1"/>
      <c r="N4590" s="1"/>
      <c r="Z4590" s="1"/>
      <c r="AA4590" s="1"/>
      <c r="AE4590" s="1"/>
    </row>
    <row r="4591" spans="9:31" x14ac:dyDescent="0.25">
      <c r="I4591" s="1"/>
      <c r="J4591" s="1"/>
      <c r="N4591" s="1"/>
      <c r="Z4591" s="1"/>
      <c r="AA4591" s="1"/>
      <c r="AE4591" s="1"/>
    </row>
    <row r="4592" spans="9:31" x14ac:dyDescent="0.25">
      <c r="I4592" s="1"/>
      <c r="J4592" s="1"/>
      <c r="N4592" s="1"/>
      <c r="Z4592" s="1"/>
      <c r="AA4592" s="1"/>
      <c r="AE4592" s="1"/>
    </row>
    <row r="4593" spans="9:31" x14ac:dyDescent="0.25">
      <c r="I4593" s="1"/>
      <c r="J4593" s="1"/>
      <c r="N4593" s="1"/>
      <c r="Z4593" s="1"/>
      <c r="AA4593" s="1"/>
      <c r="AE4593" s="1"/>
    </row>
    <row r="4594" spans="9:31" x14ac:dyDescent="0.25">
      <c r="I4594" s="1"/>
      <c r="J4594" s="1"/>
      <c r="N4594" s="1"/>
      <c r="Z4594" s="1"/>
      <c r="AA4594" s="1"/>
      <c r="AE4594" s="1"/>
    </row>
    <row r="4595" spans="9:31" x14ac:dyDescent="0.25">
      <c r="I4595" s="1"/>
      <c r="J4595" s="1"/>
      <c r="N4595" s="1"/>
      <c r="Z4595" s="1"/>
      <c r="AA4595" s="1"/>
      <c r="AE4595" s="1"/>
    </row>
    <row r="4596" spans="9:31" x14ac:dyDescent="0.25">
      <c r="I4596" s="1"/>
      <c r="J4596" s="1"/>
      <c r="N4596" s="1"/>
      <c r="Z4596" s="1"/>
      <c r="AA4596" s="1"/>
      <c r="AE4596" s="1"/>
    </row>
    <row r="4597" spans="9:31" x14ac:dyDescent="0.25">
      <c r="I4597" s="1"/>
      <c r="J4597" s="1"/>
      <c r="N4597" s="1"/>
      <c r="Z4597" s="1"/>
      <c r="AA4597" s="1"/>
      <c r="AE4597" s="1"/>
    </row>
    <row r="4598" spans="9:31" x14ac:dyDescent="0.25">
      <c r="I4598" s="1"/>
      <c r="J4598" s="1"/>
      <c r="N4598" s="1"/>
      <c r="Z4598" s="1"/>
      <c r="AA4598" s="1"/>
      <c r="AE4598" s="1"/>
    </row>
    <row r="4599" spans="9:31" x14ac:dyDescent="0.25">
      <c r="I4599" s="1"/>
      <c r="J4599" s="1"/>
      <c r="N4599" s="1"/>
      <c r="Z4599" s="1"/>
      <c r="AA4599" s="1"/>
      <c r="AE4599" s="1"/>
    </row>
    <row r="4600" spans="9:31" x14ac:dyDescent="0.25">
      <c r="I4600" s="1"/>
      <c r="J4600" s="1"/>
      <c r="N4600" s="1"/>
      <c r="Z4600" s="1"/>
      <c r="AA4600" s="1"/>
      <c r="AE4600" s="1"/>
    </row>
    <row r="4601" spans="9:31" x14ac:dyDescent="0.25">
      <c r="I4601" s="1"/>
      <c r="J4601" s="1"/>
      <c r="N4601" s="1"/>
      <c r="Z4601" s="1"/>
      <c r="AA4601" s="1"/>
      <c r="AE4601" s="1"/>
    </row>
    <row r="4602" spans="9:31" x14ac:dyDescent="0.25">
      <c r="I4602" s="1"/>
      <c r="J4602" s="1"/>
      <c r="N4602" s="1"/>
      <c r="Z4602" s="1"/>
      <c r="AA4602" s="1"/>
      <c r="AE4602" s="1"/>
    </row>
    <row r="4603" spans="9:31" x14ac:dyDescent="0.25">
      <c r="I4603" s="1"/>
      <c r="J4603" s="1"/>
      <c r="N4603" s="1"/>
      <c r="Z4603" s="1"/>
      <c r="AA4603" s="1"/>
      <c r="AE4603" s="1"/>
    </row>
    <row r="4604" spans="9:31" x14ac:dyDescent="0.25">
      <c r="I4604" s="1"/>
      <c r="J4604" s="1"/>
      <c r="N4604" s="1"/>
      <c r="Z4604" s="1"/>
      <c r="AA4604" s="1"/>
      <c r="AE4604" s="1"/>
    </row>
    <row r="4605" spans="9:31" x14ac:dyDescent="0.25">
      <c r="I4605" s="1"/>
      <c r="J4605" s="1"/>
      <c r="N4605" s="1"/>
      <c r="Z4605" s="1"/>
      <c r="AA4605" s="1"/>
      <c r="AE4605" s="1"/>
    </row>
    <row r="4606" spans="9:31" x14ac:dyDescent="0.25">
      <c r="I4606" s="1"/>
      <c r="J4606" s="1"/>
      <c r="N4606" s="1"/>
      <c r="Z4606" s="1"/>
      <c r="AA4606" s="1"/>
      <c r="AE4606" s="1"/>
    </row>
    <row r="4607" spans="9:31" x14ac:dyDescent="0.25">
      <c r="I4607" s="1"/>
      <c r="J4607" s="1"/>
      <c r="N4607" s="1"/>
      <c r="Z4607" s="1"/>
      <c r="AA4607" s="1"/>
      <c r="AE4607" s="1"/>
    </row>
    <row r="4608" spans="9:31" x14ac:dyDescent="0.25">
      <c r="I4608" s="1"/>
      <c r="J4608" s="1"/>
      <c r="N4608" s="1"/>
      <c r="Z4608" s="1"/>
      <c r="AA4608" s="1"/>
      <c r="AE4608" s="1"/>
    </row>
    <row r="4609" spans="9:31" x14ac:dyDescent="0.25">
      <c r="I4609" s="1"/>
      <c r="J4609" s="1"/>
      <c r="N4609" s="1"/>
      <c r="Z4609" s="1"/>
      <c r="AA4609" s="1"/>
      <c r="AE4609" s="1"/>
    </row>
    <row r="4610" spans="9:31" x14ac:dyDescent="0.25">
      <c r="I4610" s="1"/>
      <c r="J4610" s="1"/>
      <c r="N4610" s="1"/>
      <c r="Z4610" s="1"/>
      <c r="AA4610" s="1"/>
      <c r="AE4610" s="1"/>
    </row>
    <row r="4611" spans="9:31" x14ac:dyDescent="0.25">
      <c r="N4611" s="1"/>
      <c r="Z4611" s="1"/>
      <c r="AA4611" s="1"/>
      <c r="AE4611" s="1"/>
    </row>
    <row r="4612" spans="9:31" x14ac:dyDescent="0.25">
      <c r="I4612" s="1"/>
      <c r="J4612" s="1"/>
      <c r="N4612" s="1"/>
      <c r="AE4612" s="1"/>
    </row>
    <row r="4613" spans="9:31" x14ac:dyDescent="0.25">
      <c r="I4613" s="1"/>
      <c r="J4613" s="1"/>
      <c r="N4613" s="1"/>
      <c r="Z4613" s="1"/>
      <c r="AA4613" s="1"/>
      <c r="AE4613" s="1"/>
    </row>
    <row r="4614" spans="9:31" x14ac:dyDescent="0.25">
      <c r="I4614" s="1"/>
      <c r="J4614" s="1"/>
      <c r="N4614" s="1"/>
      <c r="Z4614" s="1"/>
      <c r="AA4614" s="1"/>
      <c r="AE4614" s="1"/>
    </row>
    <row r="4615" spans="9:31" x14ac:dyDescent="0.25">
      <c r="I4615" s="1"/>
      <c r="J4615" s="1"/>
      <c r="N4615" s="1"/>
      <c r="Z4615" s="1"/>
      <c r="AA4615" s="1"/>
      <c r="AE4615" s="1"/>
    </row>
    <row r="4616" spans="9:31" x14ac:dyDescent="0.25">
      <c r="I4616" s="1"/>
      <c r="J4616" s="1"/>
      <c r="N4616" s="1"/>
      <c r="Z4616" s="1"/>
      <c r="AA4616" s="1"/>
      <c r="AE4616" s="1"/>
    </row>
    <row r="4617" spans="9:31" x14ac:dyDescent="0.25">
      <c r="I4617" s="1"/>
      <c r="J4617" s="1"/>
      <c r="N4617" s="1"/>
      <c r="Z4617" s="1"/>
      <c r="AA4617" s="1"/>
      <c r="AE4617" s="1"/>
    </row>
    <row r="4618" spans="9:31" x14ac:dyDescent="0.25">
      <c r="I4618" s="1"/>
      <c r="J4618" s="1"/>
      <c r="N4618" s="1"/>
      <c r="Z4618" s="1"/>
      <c r="AA4618" s="1"/>
      <c r="AE4618" s="1"/>
    </row>
    <row r="4619" spans="9:31" x14ac:dyDescent="0.25">
      <c r="I4619" s="1"/>
      <c r="J4619" s="1"/>
      <c r="N4619" s="1"/>
      <c r="Z4619" s="1"/>
      <c r="AA4619" s="1"/>
      <c r="AE4619" s="1"/>
    </row>
    <row r="4620" spans="9:31" x14ac:dyDescent="0.25">
      <c r="I4620" s="1"/>
      <c r="J4620" s="1"/>
      <c r="N4620" s="1"/>
      <c r="Z4620" s="1"/>
      <c r="AA4620" s="1"/>
      <c r="AE4620" s="1"/>
    </row>
    <row r="4621" spans="9:31" x14ac:dyDescent="0.25">
      <c r="I4621" s="1"/>
      <c r="J4621" s="1"/>
      <c r="N4621" s="1"/>
      <c r="Z4621" s="1"/>
      <c r="AA4621" s="1"/>
      <c r="AE4621" s="1"/>
    </row>
    <row r="4622" spans="9:31" x14ac:dyDescent="0.25">
      <c r="I4622" s="1"/>
      <c r="J4622" s="1"/>
      <c r="N4622" s="1"/>
      <c r="Z4622" s="1"/>
      <c r="AA4622" s="1"/>
      <c r="AE4622" s="1"/>
    </row>
    <row r="4623" spans="9:31" x14ac:dyDescent="0.25">
      <c r="I4623" s="1"/>
      <c r="J4623" s="1"/>
      <c r="N4623" s="1"/>
      <c r="Z4623" s="1"/>
      <c r="AA4623" s="1"/>
      <c r="AE4623" s="1"/>
    </row>
    <row r="4624" spans="9:31" x14ac:dyDescent="0.25">
      <c r="I4624" s="1"/>
      <c r="J4624" s="1"/>
      <c r="N4624" s="1"/>
      <c r="Z4624" s="1"/>
      <c r="AA4624" s="1"/>
      <c r="AE4624" s="1"/>
    </row>
    <row r="4625" spans="9:31" x14ac:dyDescent="0.25">
      <c r="I4625" s="1"/>
      <c r="J4625" s="1"/>
      <c r="N4625" s="1"/>
      <c r="Z4625" s="1"/>
      <c r="AA4625" s="1"/>
      <c r="AE4625" s="1"/>
    </row>
    <row r="4626" spans="9:31" x14ac:dyDescent="0.25">
      <c r="N4626" s="1"/>
      <c r="Z4626" s="1"/>
      <c r="AA4626" s="1"/>
      <c r="AE4626" s="1"/>
    </row>
    <row r="4627" spans="9:31" x14ac:dyDescent="0.25">
      <c r="I4627" s="1"/>
      <c r="J4627" s="1"/>
      <c r="N4627" s="1"/>
      <c r="AE4627" s="1"/>
    </row>
    <row r="4628" spans="9:31" x14ac:dyDescent="0.25">
      <c r="I4628" s="1"/>
      <c r="J4628" s="1"/>
      <c r="N4628" s="1"/>
      <c r="Z4628" s="1"/>
      <c r="AA4628" s="1"/>
      <c r="AE4628" s="1"/>
    </row>
    <row r="4629" spans="9:31" x14ac:dyDescent="0.25">
      <c r="I4629" s="1"/>
      <c r="J4629" s="1"/>
      <c r="N4629" s="1"/>
      <c r="Z4629" s="1"/>
      <c r="AA4629" s="1"/>
      <c r="AE4629" s="1"/>
    </row>
    <row r="4630" spans="9:31" x14ac:dyDescent="0.25">
      <c r="I4630" s="1"/>
      <c r="J4630" s="1"/>
      <c r="N4630" s="1"/>
      <c r="Z4630" s="1"/>
      <c r="AA4630" s="1"/>
      <c r="AE4630" s="1"/>
    </row>
    <row r="4631" spans="9:31" x14ac:dyDescent="0.25">
      <c r="I4631" s="1"/>
      <c r="J4631" s="1"/>
      <c r="N4631" s="1"/>
      <c r="Z4631" s="1"/>
      <c r="AA4631" s="1"/>
      <c r="AE4631" s="1"/>
    </row>
    <row r="4632" spans="9:31" x14ac:dyDescent="0.25">
      <c r="I4632" s="1"/>
      <c r="J4632" s="1"/>
      <c r="N4632" s="1"/>
      <c r="Z4632" s="1"/>
      <c r="AA4632" s="1"/>
      <c r="AE4632" s="1"/>
    </row>
    <row r="4633" spans="9:31" x14ac:dyDescent="0.25">
      <c r="I4633" s="1"/>
      <c r="J4633" s="1"/>
      <c r="N4633" s="1"/>
      <c r="Z4633" s="1"/>
      <c r="AA4633" s="1"/>
      <c r="AE4633" s="1"/>
    </row>
    <row r="4634" spans="9:31" x14ac:dyDescent="0.25">
      <c r="I4634" s="1"/>
      <c r="J4634" s="1"/>
      <c r="N4634" s="1"/>
      <c r="Z4634" s="1"/>
      <c r="AA4634" s="1"/>
      <c r="AE4634" s="1"/>
    </row>
    <row r="4635" spans="9:31" x14ac:dyDescent="0.25">
      <c r="I4635" s="1"/>
      <c r="J4635" s="1"/>
      <c r="N4635" s="1"/>
      <c r="Z4635" s="1"/>
      <c r="AA4635" s="1"/>
      <c r="AE4635" s="1"/>
    </row>
    <row r="4636" spans="9:31" x14ac:dyDescent="0.25">
      <c r="N4636" s="1"/>
      <c r="Z4636" s="1"/>
      <c r="AA4636" s="1"/>
      <c r="AE4636" s="1"/>
    </row>
    <row r="4637" spans="9:31" x14ac:dyDescent="0.25">
      <c r="N4637" s="1"/>
      <c r="AE4637" s="1"/>
    </row>
    <row r="4638" spans="9:31" x14ac:dyDescent="0.25">
      <c r="I4638" s="1"/>
      <c r="J4638" s="1"/>
      <c r="N4638" s="1"/>
      <c r="AE4638" s="1"/>
    </row>
    <row r="4639" spans="9:31" x14ac:dyDescent="0.25">
      <c r="I4639" s="1"/>
      <c r="J4639" s="1"/>
      <c r="N4639" s="1"/>
      <c r="Z4639" s="1"/>
      <c r="AA4639" s="1"/>
      <c r="AE4639" s="1"/>
    </row>
    <row r="4640" spans="9:31" x14ac:dyDescent="0.25">
      <c r="N4640" s="1"/>
      <c r="Z4640" s="1"/>
      <c r="AA4640" s="1"/>
      <c r="AE4640" s="1"/>
    </row>
    <row r="4641" spans="9:31" x14ac:dyDescent="0.25">
      <c r="I4641" s="1"/>
      <c r="J4641" s="1"/>
      <c r="N4641" s="1"/>
      <c r="AE4641" s="1"/>
    </row>
    <row r="4642" spans="9:31" x14ac:dyDescent="0.25">
      <c r="N4642" s="1"/>
      <c r="Z4642" s="1"/>
      <c r="AA4642" s="1"/>
      <c r="AE4642" s="1"/>
    </row>
    <row r="4643" spans="9:31" x14ac:dyDescent="0.25">
      <c r="I4643" s="1"/>
      <c r="J4643" s="1"/>
      <c r="N4643" s="1"/>
      <c r="AE4643" s="1"/>
    </row>
    <row r="4644" spans="9:31" x14ac:dyDescent="0.25">
      <c r="I4644" s="1"/>
      <c r="J4644" s="1"/>
      <c r="N4644" s="1"/>
      <c r="Z4644" s="1"/>
      <c r="AA4644" s="1"/>
      <c r="AE4644" s="1"/>
    </row>
    <row r="4645" spans="9:31" x14ac:dyDescent="0.25">
      <c r="I4645" s="1"/>
      <c r="J4645" s="1"/>
      <c r="N4645" s="1"/>
      <c r="Z4645" s="1"/>
      <c r="AA4645" s="1"/>
      <c r="AE4645" s="1"/>
    </row>
    <row r="4646" spans="9:31" x14ac:dyDescent="0.25">
      <c r="I4646" s="1"/>
      <c r="J4646" s="1"/>
      <c r="N4646" s="1"/>
      <c r="Z4646" s="1"/>
      <c r="AA4646" s="1"/>
      <c r="AE4646" s="1"/>
    </row>
    <row r="4647" spans="9:31" x14ac:dyDescent="0.25">
      <c r="N4647" s="1"/>
      <c r="Z4647" s="1"/>
      <c r="AA4647" s="1"/>
      <c r="AE4647" s="1"/>
    </row>
    <row r="4648" spans="9:31" x14ac:dyDescent="0.25">
      <c r="I4648" s="1"/>
      <c r="J4648" s="1"/>
      <c r="N4648" s="1"/>
      <c r="AE4648" s="1"/>
    </row>
    <row r="4649" spans="9:31" x14ac:dyDescent="0.25">
      <c r="I4649" s="1"/>
      <c r="J4649" s="1"/>
      <c r="N4649" s="1"/>
      <c r="Z4649" s="1"/>
      <c r="AA4649" s="1"/>
      <c r="AE4649" s="1"/>
    </row>
    <row r="4650" spans="9:31" x14ac:dyDescent="0.25">
      <c r="I4650" s="1"/>
      <c r="J4650" s="1"/>
      <c r="N4650" s="1"/>
      <c r="Z4650" s="1"/>
      <c r="AA4650" s="1"/>
      <c r="AE4650" s="1"/>
    </row>
    <row r="4651" spans="9:31" x14ac:dyDescent="0.25">
      <c r="I4651" s="1"/>
      <c r="J4651" s="1"/>
      <c r="N4651" s="1"/>
      <c r="Z4651" s="1"/>
      <c r="AA4651" s="1"/>
      <c r="AE4651" s="1"/>
    </row>
    <row r="4652" spans="9:31" x14ac:dyDescent="0.25">
      <c r="N4652" s="1"/>
      <c r="Z4652" s="1"/>
      <c r="AA4652" s="1"/>
      <c r="AE4652" s="1"/>
    </row>
    <row r="4653" spans="9:31" x14ac:dyDescent="0.25">
      <c r="N4653" s="1"/>
      <c r="AE4653" s="1"/>
    </row>
    <row r="4654" spans="9:31" x14ac:dyDescent="0.25">
      <c r="I4654" s="1"/>
      <c r="J4654" s="1"/>
      <c r="N4654" s="1"/>
      <c r="AE4654" s="1"/>
    </row>
    <row r="4655" spans="9:31" x14ac:dyDescent="0.25">
      <c r="N4655" s="1"/>
      <c r="Z4655" s="1"/>
      <c r="AA4655" s="1"/>
      <c r="AE4655" s="1"/>
    </row>
    <row r="4656" spans="9:31" x14ac:dyDescent="0.25">
      <c r="I4656" s="1"/>
      <c r="J4656" s="1"/>
      <c r="N4656" s="1"/>
      <c r="AE4656" s="1"/>
    </row>
    <row r="4657" spans="9:31" x14ac:dyDescent="0.25">
      <c r="I4657" s="1"/>
      <c r="J4657" s="1"/>
      <c r="N4657" s="1"/>
      <c r="Z4657" s="1"/>
      <c r="AA4657" s="1"/>
      <c r="AE4657" s="1"/>
    </row>
    <row r="4658" spans="9:31" x14ac:dyDescent="0.25">
      <c r="I4658" s="1"/>
      <c r="J4658" s="1"/>
      <c r="N4658" s="1"/>
      <c r="Z4658" s="1"/>
      <c r="AA4658" s="1"/>
      <c r="AE4658" s="1"/>
    </row>
    <row r="4659" spans="9:31" x14ac:dyDescent="0.25">
      <c r="I4659" s="1"/>
      <c r="J4659" s="1"/>
      <c r="N4659" s="1"/>
      <c r="Z4659" s="1"/>
      <c r="AA4659" s="1"/>
      <c r="AE4659" s="1"/>
    </row>
    <row r="4660" spans="9:31" x14ac:dyDescent="0.25">
      <c r="I4660" s="1"/>
      <c r="J4660" s="1"/>
      <c r="N4660" s="1"/>
      <c r="Z4660" s="1"/>
      <c r="AA4660" s="1"/>
      <c r="AE4660" s="1"/>
    </row>
    <row r="4661" spans="9:31" x14ac:dyDescent="0.25">
      <c r="I4661" s="1"/>
      <c r="J4661" s="1"/>
      <c r="N4661" s="1"/>
      <c r="Z4661" s="1"/>
      <c r="AA4661" s="1"/>
      <c r="AE4661" s="1"/>
    </row>
    <row r="4662" spans="9:31" x14ac:dyDescent="0.25">
      <c r="I4662" s="1"/>
      <c r="J4662" s="1"/>
      <c r="N4662" s="1"/>
      <c r="Z4662" s="1"/>
      <c r="AA4662" s="1"/>
      <c r="AE4662" s="1"/>
    </row>
    <row r="4663" spans="9:31" x14ac:dyDescent="0.25">
      <c r="N4663" s="1"/>
      <c r="Z4663" s="1"/>
      <c r="AA4663" s="1"/>
      <c r="AE4663" s="1"/>
    </row>
    <row r="4664" spans="9:31" x14ac:dyDescent="0.25">
      <c r="I4664" s="1"/>
      <c r="J4664" s="1"/>
      <c r="N4664" s="1"/>
      <c r="AE4664" s="1"/>
    </row>
    <row r="4665" spans="9:31" x14ac:dyDescent="0.25">
      <c r="I4665" s="1"/>
      <c r="J4665" s="1"/>
      <c r="N4665" s="1"/>
      <c r="Z4665" s="1"/>
      <c r="AA4665" s="1"/>
      <c r="AE4665" s="1"/>
    </row>
    <row r="4666" spans="9:31" x14ac:dyDescent="0.25">
      <c r="I4666" s="1"/>
      <c r="J4666" s="1"/>
      <c r="N4666" s="1"/>
      <c r="Z4666" s="1"/>
      <c r="AA4666" s="1"/>
      <c r="AE4666" s="1"/>
    </row>
    <row r="4667" spans="9:31" x14ac:dyDescent="0.25">
      <c r="N4667" s="1"/>
      <c r="Z4667" s="1"/>
      <c r="AA4667" s="1"/>
      <c r="AE4667" s="1"/>
    </row>
    <row r="4668" spans="9:31" x14ac:dyDescent="0.25">
      <c r="N4668" s="1"/>
      <c r="AE4668" s="1"/>
    </row>
    <row r="4669" spans="9:31" x14ac:dyDescent="0.25">
      <c r="N4669" s="1"/>
      <c r="AE4669" s="1"/>
    </row>
    <row r="4670" spans="9:31" x14ac:dyDescent="0.25">
      <c r="I4670" s="1"/>
      <c r="J4670" s="1"/>
      <c r="N4670" s="1"/>
      <c r="AE4670" s="1"/>
    </row>
    <row r="4671" spans="9:31" x14ac:dyDescent="0.25">
      <c r="I4671" s="1"/>
      <c r="J4671" s="1"/>
      <c r="N4671" s="1"/>
      <c r="Z4671" s="1"/>
      <c r="AA4671" s="1"/>
      <c r="AE4671" s="1"/>
    </row>
    <row r="4672" spans="9:31" x14ac:dyDescent="0.25">
      <c r="I4672" s="1"/>
      <c r="J4672" s="1"/>
      <c r="N4672" s="1"/>
      <c r="Z4672" s="1"/>
      <c r="AA4672" s="1"/>
      <c r="AE4672" s="1"/>
    </row>
    <row r="4673" spans="9:31" x14ac:dyDescent="0.25">
      <c r="I4673" s="1"/>
      <c r="J4673" s="1"/>
      <c r="N4673" s="1"/>
      <c r="Z4673" s="1"/>
      <c r="AA4673" s="1"/>
      <c r="AE4673" s="1"/>
    </row>
    <row r="4674" spans="9:31" x14ac:dyDescent="0.25">
      <c r="I4674" s="1"/>
      <c r="J4674" s="1"/>
      <c r="N4674" s="1"/>
      <c r="Z4674" s="1"/>
      <c r="AA4674" s="1"/>
      <c r="AE4674" s="1"/>
    </row>
    <row r="4675" spans="9:31" x14ac:dyDescent="0.25">
      <c r="I4675" s="1"/>
      <c r="J4675" s="1"/>
      <c r="N4675" s="1"/>
      <c r="Z4675" s="1"/>
      <c r="AA4675" s="1"/>
      <c r="AE4675" s="1"/>
    </row>
    <row r="4676" spans="9:31" x14ac:dyDescent="0.25">
      <c r="I4676" s="1"/>
      <c r="J4676" s="1"/>
      <c r="N4676" s="1"/>
      <c r="Z4676" s="1"/>
      <c r="AA4676" s="1"/>
      <c r="AE4676" s="1"/>
    </row>
    <row r="4677" spans="9:31" x14ac:dyDescent="0.25">
      <c r="I4677" s="1"/>
      <c r="J4677" s="1"/>
      <c r="N4677" s="1"/>
      <c r="Z4677" s="1"/>
      <c r="AA4677" s="1"/>
      <c r="AE4677" s="1"/>
    </row>
    <row r="4678" spans="9:31" x14ac:dyDescent="0.25">
      <c r="I4678" s="1"/>
      <c r="J4678" s="1"/>
      <c r="N4678" s="1"/>
      <c r="Z4678" s="1"/>
      <c r="AA4678" s="1"/>
      <c r="AE4678" s="1"/>
    </row>
    <row r="4679" spans="9:31" x14ac:dyDescent="0.25">
      <c r="I4679" s="1"/>
      <c r="J4679" s="1"/>
      <c r="N4679" s="1"/>
      <c r="Z4679" s="1"/>
      <c r="AA4679" s="1"/>
      <c r="AE4679" s="1"/>
    </row>
    <row r="4680" spans="9:31" x14ac:dyDescent="0.25">
      <c r="I4680" s="1"/>
      <c r="J4680" s="1"/>
      <c r="N4680" s="1"/>
      <c r="Z4680" s="1"/>
      <c r="AA4680" s="1"/>
      <c r="AE4680" s="1"/>
    </row>
    <row r="4681" spans="9:31" x14ac:dyDescent="0.25">
      <c r="I4681" s="1"/>
      <c r="J4681" s="1"/>
      <c r="N4681" s="1"/>
      <c r="Z4681" s="1"/>
      <c r="AA4681" s="1"/>
      <c r="AE4681" s="1"/>
    </row>
    <row r="4682" spans="9:31" x14ac:dyDescent="0.25">
      <c r="I4682" s="1"/>
      <c r="J4682" s="1"/>
      <c r="N4682" s="1"/>
      <c r="Z4682" s="1"/>
      <c r="AA4682" s="1"/>
      <c r="AE4682" s="1"/>
    </row>
    <row r="4683" spans="9:31" x14ac:dyDescent="0.25">
      <c r="I4683" s="1"/>
      <c r="J4683" s="1"/>
      <c r="N4683" s="1"/>
      <c r="Z4683" s="1"/>
      <c r="AA4683" s="1"/>
      <c r="AE4683" s="1"/>
    </row>
    <row r="4684" spans="9:31" x14ac:dyDescent="0.25">
      <c r="N4684" s="1"/>
      <c r="Z4684" s="1"/>
      <c r="AA4684" s="1"/>
      <c r="AE4684" s="1"/>
    </row>
    <row r="4685" spans="9:31" x14ac:dyDescent="0.25">
      <c r="I4685" s="1"/>
      <c r="J4685" s="1"/>
      <c r="N4685" s="1"/>
      <c r="AE4685" s="1"/>
    </row>
    <row r="4686" spans="9:31" x14ac:dyDescent="0.25">
      <c r="I4686" s="1"/>
      <c r="J4686" s="1"/>
      <c r="N4686" s="1"/>
      <c r="Z4686" s="1"/>
      <c r="AA4686" s="1"/>
      <c r="AE4686" s="1"/>
    </row>
    <row r="4687" spans="9:31" x14ac:dyDescent="0.25">
      <c r="N4687" s="1"/>
      <c r="Z4687" s="1"/>
      <c r="AA4687" s="1"/>
      <c r="AE4687" s="1"/>
    </row>
    <row r="4688" spans="9:31" x14ac:dyDescent="0.25">
      <c r="I4688" s="1"/>
      <c r="J4688" s="1"/>
      <c r="N4688" s="1"/>
      <c r="AE4688" s="1"/>
    </row>
    <row r="4689" spans="9:31" x14ac:dyDescent="0.25">
      <c r="I4689" s="1"/>
      <c r="J4689" s="1"/>
      <c r="N4689" s="1"/>
      <c r="Z4689" s="1"/>
      <c r="AA4689" s="1"/>
      <c r="AE4689" s="1"/>
    </row>
    <row r="4690" spans="9:31" x14ac:dyDescent="0.25">
      <c r="I4690" s="1"/>
      <c r="J4690" s="1"/>
      <c r="N4690" s="1"/>
      <c r="Z4690" s="1"/>
      <c r="AA4690" s="1"/>
      <c r="AE4690" s="1"/>
    </row>
    <row r="4691" spans="9:31" x14ac:dyDescent="0.25">
      <c r="I4691" s="1"/>
      <c r="J4691" s="1"/>
      <c r="N4691" s="1"/>
      <c r="Z4691" s="1"/>
      <c r="AA4691" s="1"/>
      <c r="AE4691" s="1"/>
    </row>
    <row r="4692" spans="9:31" x14ac:dyDescent="0.25">
      <c r="I4692" s="1"/>
      <c r="J4692" s="1"/>
      <c r="N4692" s="1"/>
      <c r="Z4692" s="1"/>
      <c r="AA4692" s="1"/>
      <c r="AE4692" s="1"/>
    </row>
    <row r="4693" spans="9:31" x14ac:dyDescent="0.25">
      <c r="I4693" s="1"/>
      <c r="J4693" s="1"/>
      <c r="N4693" s="1"/>
      <c r="Z4693" s="1"/>
      <c r="AA4693" s="1"/>
      <c r="AE4693" s="1"/>
    </row>
    <row r="4694" spans="9:31" x14ac:dyDescent="0.25">
      <c r="I4694" s="1"/>
      <c r="J4694" s="1"/>
      <c r="N4694" s="1"/>
      <c r="Z4694" s="1"/>
      <c r="AA4694" s="1"/>
      <c r="AE4694" s="1"/>
    </row>
    <row r="4695" spans="9:31" x14ac:dyDescent="0.25">
      <c r="I4695" s="1"/>
      <c r="J4695" s="1"/>
      <c r="N4695" s="1"/>
      <c r="Z4695" s="1"/>
      <c r="AA4695" s="1"/>
      <c r="AE4695" s="1"/>
    </row>
    <row r="4696" spans="9:31" x14ac:dyDescent="0.25">
      <c r="I4696" s="1"/>
      <c r="J4696" s="1"/>
      <c r="N4696" s="1"/>
      <c r="Z4696" s="1"/>
      <c r="AA4696" s="1"/>
      <c r="AE4696" s="1"/>
    </row>
    <row r="4697" spans="9:31" x14ac:dyDescent="0.25">
      <c r="I4697" s="1"/>
      <c r="J4697" s="1"/>
      <c r="N4697" s="1"/>
      <c r="Z4697" s="1"/>
      <c r="AA4697" s="1"/>
      <c r="AE4697" s="1"/>
    </row>
    <row r="4698" spans="9:31" x14ac:dyDescent="0.25">
      <c r="I4698" s="1"/>
      <c r="J4698" s="1"/>
      <c r="N4698" s="1"/>
      <c r="Z4698" s="1"/>
      <c r="AA4698" s="1"/>
      <c r="AE4698" s="1"/>
    </row>
    <row r="4699" spans="9:31" x14ac:dyDescent="0.25">
      <c r="I4699" s="1"/>
      <c r="J4699" s="1"/>
      <c r="N4699" s="1"/>
      <c r="Z4699" s="1"/>
      <c r="AA4699" s="1"/>
      <c r="AE4699" s="1"/>
    </row>
    <row r="4700" spans="9:31" x14ac:dyDescent="0.25">
      <c r="I4700" s="1"/>
      <c r="J4700" s="1"/>
      <c r="N4700" s="1"/>
      <c r="Z4700" s="1"/>
      <c r="AA4700" s="1"/>
      <c r="AE4700" s="1"/>
    </row>
    <row r="4701" spans="9:31" x14ac:dyDescent="0.25">
      <c r="I4701" s="1"/>
      <c r="J4701" s="1"/>
      <c r="N4701" s="1"/>
      <c r="Z4701" s="1"/>
      <c r="AA4701" s="1"/>
      <c r="AE4701" s="1"/>
    </row>
    <row r="4702" spans="9:31" x14ac:dyDescent="0.25">
      <c r="I4702" s="1"/>
      <c r="J4702" s="1"/>
      <c r="N4702" s="1"/>
      <c r="Z4702" s="1"/>
      <c r="AA4702" s="1"/>
      <c r="AE4702" s="1"/>
    </row>
    <row r="4703" spans="9:31" x14ac:dyDescent="0.25">
      <c r="I4703" s="1"/>
      <c r="J4703" s="1"/>
      <c r="N4703" s="1"/>
      <c r="Z4703" s="1"/>
      <c r="AA4703" s="1"/>
      <c r="AE4703" s="1"/>
    </row>
    <row r="4704" spans="9:31" x14ac:dyDescent="0.25">
      <c r="I4704" s="1"/>
      <c r="J4704" s="1"/>
      <c r="N4704" s="1"/>
      <c r="Z4704" s="1"/>
      <c r="AA4704" s="1"/>
      <c r="AE4704" s="1"/>
    </row>
    <row r="4705" spans="9:31" x14ac:dyDescent="0.25">
      <c r="I4705" s="1"/>
      <c r="J4705" s="1"/>
      <c r="N4705" s="1"/>
      <c r="Z4705" s="1"/>
      <c r="AA4705" s="1"/>
      <c r="AE4705" s="1"/>
    </row>
    <row r="4706" spans="9:31" x14ac:dyDescent="0.25">
      <c r="I4706" s="1"/>
      <c r="J4706" s="1"/>
      <c r="N4706" s="1"/>
      <c r="Z4706" s="1"/>
      <c r="AA4706" s="1"/>
      <c r="AE4706" s="1"/>
    </row>
    <row r="4707" spans="9:31" x14ac:dyDescent="0.25">
      <c r="N4707" s="1"/>
      <c r="Z4707" s="1"/>
      <c r="AA4707" s="1"/>
      <c r="AE4707" s="1"/>
    </row>
    <row r="4708" spans="9:31" x14ac:dyDescent="0.25">
      <c r="N4708" s="1"/>
      <c r="AE4708" s="1"/>
    </row>
    <row r="4709" spans="9:31" x14ac:dyDescent="0.25">
      <c r="I4709" s="1"/>
      <c r="J4709" s="1"/>
      <c r="N4709" s="1"/>
      <c r="AE4709" s="1"/>
    </row>
    <row r="4710" spans="9:31" x14ac:dyDescent="0.25">
      <c r="I4710" s="1"/>
      <c r="J4710" s="1"/>
      <c r="N4710" s="1"/>
      <c r="Z4710" s="1"/>
      <c r="AA4710" s="1"/>
      <c r="AE4710" s="1"/>
    </row>
    <row r="4711" spans="9:31" x14ac:dyDescent="0.25">
      <c r="I4711" s="1"/>
      <c r="J4711" s="1"/>
      <c r="N4711" s="1"/>
      <c r="Z4711" s="1"/>
      <c r="AA4711" s="1"/>
      <c r="AE4711" s="1"/>
    </row>
    <row r="4712" spans="9:31" x14ac:dyDescent="0.25">
      <c r="I4712" s="1"/>
      <c r="J4712" s="1"/>
      <c r="N4712" s="1"/>
      <c r="Z4712" s="1"/>
      <c r="AA4712" s="1"/>
      <c r="AE4712" s="1"/>
    </row>
    <row r="4713" spans="9:31" x14ac:dyDescent="0.25">
      <c r="N4713" s="1"/>
      <c r="Z4713" s="1"/>
      <c r="AA4713" s="1"/>
      <c r="AE4713" s="1"/>
    </row>
    <row r="4714" spans="9:31" x14ac:dyDescent="0.25">
      <c r="I4714" s="1"/>
      <c r="J4714" s="1"/>
      <c r="N4714" s="1"/>
      <c r="AE4714" s="1"/>
    </row>
    <row r="4715" spans="9:31" x14ac:dyDescent="0.25">
      <c r="I4715" s="1"/>
      <c r="J4715" s="1"/>
      <c r="N4715" s="1"/>
      <c r="Z4715" s="1"/>
      <c r="AA4715" s="1"/>
      <c r="AE4715" s="1"/>
    </row>
    <row r="4716" spans="9:31" x14ac:dyDescent="0.25">
      <c r="I4716" s="1"/>
      <c r="J4716" s="1"/>
      <c r="N4716" s="1"/>
      <c r="Z4716" s="1"/>
      <c r="AA4716" s="1"/>
      <c r="AE4716" s="1"/>
    </row>
    <row r="4717" spans="9:31" x14ac:dyDescent="0.25">
      <c r="I4717" s="1"/>
      <c r="J4717" s="1"/>
      <c r="N4717" s="1"/>
      <c r="Z4717" s="1"/>
      <c r="AA4717" s="1"/>
      <c r="AE4717" s="1"/>
    </row>
    <row r="4718" spans="9:31" x14ac:dyDescent="0.25">
      <c r="I4718" s="1"/>
      <c r="J4718" s="1"/>
      <c r="N4718" s="1"/>
      <c r="Z4718" s="1"/>
      <c r="AA4718" s="1"/>
      <c r="AE4718" s="1"/>
    </row>
    <row r="4719" spans="9:31" x14ac:dyDescent="0.25">
      <c r="I4719" s="1"/>
      <c r="J4719" s="1"/>
      <c r="N4719" s="1"/>
      <c r="Z4719" s="1"/>
      <c r="AA4719" s="1"/>
      <c r="AE4719" s="1"/>
    </row>
    <row r="4720" spans="9:31" x14ac:dyDescent="0.25">
      <c r="N4720" s="1"/>
      <c r="Z4720" s="1"/>
      <c r="AA4720" s="1"/>
      <c r="AE4720" s="1"/>
    </row>
    <row r="4721" spans="9:31" x14ac:dyDescent="0.25">
      <c r="I4721" s="1"/>
      <c r="J4721" s="1"/>
      <c r="N4721" s="1"/>
      <c r="AE4721" s="1"/>
    </row>
    <row r="4722" spans="9:31" x14ac:dyDescent="0.25">
      <c r="N4722" s="1"/>
      <c r="Z4722" s="1"/>
      <c r="AA4722" s="1"/>
      <c r="AE4722" s="1"/>
    </row>
    <row r="4723" spans="9:31" x14ac:dyDescent="0.25">
      <c r="I4723" s="1"/>
      <c r="J4723" s="1"/>
      <c r="N4723" s="1"/>
      <c r="AE4723" s="1"/>
    </row>
    <row r="4724" spans="9:31" x14ac:dyDescent="0.25">
      <c r="I4724" s="1"/>
      <c r="J4724" s="1"/>
      <c r="N4724" s="1"/>
      <c r="Z4724" s="1"/>
      <c r="AA4724" s="1"/>
      <c r="AE4724" s="1"/>
    </row>
    <row r="4725" spans="9:31" x14ac:dyDescent="0.25">
      <c r="N4725" s="1"/>
      <c r="Z4725" s="1"/>
      <c r="AA4725" s="1"/>
      <c r="AE4725" s="1"/>
    </row>
    <row r="4726" spans="9:31" x14ac:dyDescent="0.25">
      <c r="I4726" s="1"/>
      <c r="J4726" s="1"/>
      <c r="N4726" s="1"/>
      <c r="AE4726" s="1"/>
    </row>
    <row r="4727" spans="9:31" x14ac:dyDescent="0.25">
      <c r="I4727" s="1"/>
      <c r="J4727" s="1"/>
      <c r="N4727" s="1"/>
      <c r="Z4727" s="1"/>
      <c r="AA4727" s="1"/>
      <c r="AE4727" s="1"/>
    </row>
    <row r="4728" spans="9:31" x14ac:dyDescent="0.25">
      <c r="I4728" s="1"/>
      <c r="J4728" s="1"/>
      <c r="N4728" s="1"/>
      <c r="Z4728" s="1"/>
      <c r="AA4728" s="1"/>
      <c r="AE4728" s="1"/>
    </row>
    <row r="4729" spans="9:31" x14ac:dyDescent="0.25">
      <c r="I4729" s="1"/>
      <c r="J4729" s="1"/>
      <c r="N4729" s="1"/>
      <c r="Z4729" s="1"/>
      <c r="AA4729" s="1"/>
      <c r="AE4729" s="1"/>
    </row>
    <row r="4730" spans="9:31" x14ac:dyDescent="0.25">
      <c r="I4730" s="1"/>
      <c r="J4730" s="1"/>
      <c r="N4730" s="1"/>
      <c r="Z4730" s="1"/>
      <c r="AA4730" s="1"/>
      <c r="AE4730" s="1"/>
    </row>
    <row r="4731" spans="9:31" x14ac:dyDescent="0.25">
      <c r="I4731" s="1"/>
      <c r="J4731" s="1"/>
      <c r="N4731" s="1"/>
      <c r="Z4731" s="1"/>
      <c r="AA4731" s="1"/>
      <c r="AE4731" s="1"/>
    </row>
    <row r="4732" spans="9:31" x14ac:dyDescent="0.25">
      <c r="I4732" s="1"/>
      <c r="J4732" s="1"/>
      <c r="N4732" s="1"/>
      <c r="Z4732" s="1"/>
      <c r="AA4732" s="1"/>
      <c r="AE4732" s="1"/>
    </row>
    <row r="4733" spans="9:31" x14ac:dyDescent="0.25">
      <c r="I4733" s="1"/>
      <c r="J4733" s="1"/>
      <c r="N4733" s="1"/>
      <c r="Z4733" s="1"/>
      <c r="AA4733" s="1"/>
      <c r="AE4733" s="1"/>
    </row>
    <row r="4734" spans="9:31" x14ac:dyDescent="0.25">
      <c r="I4734" s="1"/>
      <c r="J4734" s="1"/>
      <c r="N4734" s="1"/>
      <c r="Z4734" s="1"/>
      <c r="AA4734" s="1"/>
      <c r="AE4734" s="1"/>
    </row>
    <row r="4735" spans="9:31" x14ac:dyDescent="0.25">
      <c r="N4735" s="1"/>
      <c r="Z4735" s="1"/>
      <c r="AA4735" s="1"/>
      <c r="AE4735" s="1"/>
    </row>
    <row r="4736" spans="9:31" x14ac:dyDescent="0.25">
      <c r="I4736" s="1"/>
      <c r="J4736" s="1"/>
      <c r="N4736" s="1"/>
      <c r="AE4736" s="1"/>
    </row>
    <row r="4737" spans="9:31" x14ac:dyDescent="0.25">
      <c r="I4737" s="1"/>
      <c r="J4737" s="1"/>
      <c r="N4737" s="1"/>
      <c r="Z4737" s="1"/>
      <c r="AA4737" s="1"/>
      <c r="AE4737" s="1"/>
    </row>
    <row r="4738" spans="9:31" x14ac:dyDescent="0.25">
      <c r="I4738" s="1"/>
      <c r="J4738" s="1"/>
      <c r="N4738" s="1"/>
      <c r="Z4738" s="1"/>
      <c r="AA4738" s="1"/>
      <c r="AE4738" s="1"/>
    </row>
    <row r="4739" spans="9:31" x14ac:dyDescent="0.25">
      <c r="I4739" s="1"/>
      <c r="J4739" s="1"/>
      <c r="N4739" s="1"/>
      <c r="Z4739" s="1"/>
      <c r="AA4739" s="1"/>
      <c r="AE4739" s="1"/>
    </row>
    <row r="4740" spans="9:31" x14ac:dyDescent="0.25">
      <c r="I4740" s="1"/>
      <c r="J4740" s="1"/>
      <c r="N4740" s="1"/>
      <c r="Z4740" s="1"/>
      <c r="AA4740" s="1"/>
      <c r="AE4740" s="1"/>
    </row>
    <row r="4741" spans="9:31" x14ac:dyDescent="0.25">
      <c r="I4741" s="1"/>
      <c r="J4741" s="1"/>
      <c r="N4741" s="1"/>
      <c r="Z4741" s="1"/>
      <c r="AA4741" s="1"/>
      <c r="AE4741" s="1"/>
    </row>
    <row r="4742" spans="9:31" x14ac:dyDescent="0.25">
      <c r="I4742" s="1"/>
      <c r="J4742" s="1"/>
      <c r="N4742" s="1"/>
      <c r="Z4742" s="1"/>
      <c r="AA4742" s="1"/>
      <c r="AE4742" s="1"/>
    </row>
    <row r="4743" spans="9:31" x14ac:dyDescent="0.25">
      <c r="I4743" s="1"/>
      <c r="J4743" s="1"/>
      <c r="N4743" s="1"/>
      <c r="Z4743" s="1"/>
      <c r="AA4743" s="1"/>
      <c r="AE4743" s="1"/>
    </row>
    <row r="4744" spans="9:31" x14ac:dyDescent="0.25">
      <c r="I4744" s="1"/>
      <c r="J4744" s="1"/>
      <c r="N4744" s="1"/>
      <c r="Z4744" s="1"/>
      <c r="AA4744" s="1"/>
      <c r="AE4744" s="1"/>
    </row>
    <row r="4745" spans="9:31" x14ac:dyDescent="0.25">
      <c r="I4745" s="1"/>
      <c r="J4745" s="1"/>
      <c r="N4745" s="1"/>
      <c r="Z4745" s="1"/>
      <c r="AA4745" s="1"/>
      <c r="AE4745" s="1"/>
    </row>
    <row r="4746" spans="9:31" x14ac:dyDescent="0.25">
      <c r="I4746" s="1"/>
      <c r="J4746" s="1"/>
      <c r="N4746" s="1"/>
      <c r="Z4746" s="1"/>
      <c r="AA4746" s="1"/>
      <c r="AE4746" s="1"/>
    </row>
    <row r="4747" spans="9:31" x14ac:dyDescent="0.25">
      <c r="I4747" s="1"/>
      <c r="J4747" s="1"/>
      <c r="N4747" s="1"/>
      <c r="Z4747" s="1"/>
      <c r="AA4747" s="1"/>
      <c r="AE4747" s="1"/>
    </row>
    <row r="4748" spans="9:31" x14ac:dyDescent="0.25">
      <c r="I4748" s="1"/>
      <c r="J4748" s="1"/>
      <c r="N4748" s="1"/>
      <c r="Z4748" s="1"/>
      <c r="AA4748" s="1"/>
      <c r="AE4748" s="1"/>
    </row>
    <row r="4749" spans="9:31" x14ac:dyDescent="0.25">
      <c r="I4749" s="1"/>
      <c r="J4749" s="1"/>
      <c r="N4749" s="1"/>
      <c r="Z4749" s="1"/>
      <c r="AA4749" s="1"/>
      <c r="AE4749" s="1"/>
    </row>
    <row r="4750" spans="9:31" x14ac:dyDescent="0.25">
      <c r="I4750" s="1"/>
      <c r="J4750" s="1"/>
      <c r="N4750" s="1"/>
      <c r="Z4750" s="1"/>
      <c r="AA4750" s="1"/>
      <c r="AE4750" s="1"/>
    </row>
    <row r="4751" spans="9:31" x14ac:dyDescent="0.25">
      <c r="I4751" s="1"/>
      <c r="J4751" s="1"/>
      <c r="N4751" s="1"/>
      <c r="Z4751" s="1"/>
      <c r="AA4751" s="1"/>
      <c r="AE4751" s="1"/>
    </row>
    <row r="4752" spans="9:31" x14ac:dyDescent="0.25">
      <c r="I4752" s="1"/>
      <c r="J4752" s="1"/>
      <c r="N4752" s="1"/>
      <c r="Z4752" s="1"/>
      <c r="AA4752" s="1"/>
      <c r="AE4752" s="1"/>
    </row>
    <row r="4753" spans="9:31" x14ac:dyDescent="0.25">
      <c r="I4753" s="1"/>
      <c r="J4753" s="1"/>
      <c r="N4753" s="1"/>
      <c r="Z4753" s="1"/>
      <c r="AA4753" s="1"/>
      <c r="AE4753" s="1"/>
    </row>
    <row r="4754" spans="9:31" x14ac:dyDescent="0.25">
      <c r="I4754" s="1"/>
      <c r="J4754" s="1"/>
      <c r="N4754" s="1"/>
      <c r="Z4754" s="1"/>
      <c r="AA4754" s="1"/>
      <c r="AE4754" s="1"/>
    </row>
    <row r="4755" spans="9:31" x14ac:dyDescent="0.25">
      <c r="I4755" s="1"/>
      <c r="J4755" s="1"/>
      <c r="N4755" s="1"/>
      <c r="Z4755" s="1"/>
      <c r="AA4755" s="1"/>
      <c r="AE4755" s="1"/>
    </row>
    <row r="4756" spans="9:31" x14ac:dyDescent="0.25">
      <c r="I4756" s="1"/>
      <c r="J4756" s="1"/>
      <c r="N4756" s="1"/>
      <c r="Z4756" s="1"/>
      <c r="AA4756" s="1"/>
      <c r="AE4756" s="1"/>
    </row>
    <row r="4757" spans="9:31" x14ac:dyDescent="0.25">
      <c r="I4757" s="1"/>
      <c r="J4757" s="1"/>
      <c r="N4757" s="1"/>
      <c r="Z4757" s="1"/>
      <c r="AA4757" s="1"/>
      <c r="AE4757" s="1"/>
    </row>
    <row r="4758" spans="9:31" x14ac:dyDescent="0.25">
      <c r="I4758" s="1"/>
      <c r="J4758" s="1"/>
      <c r="N4758" s="1"/>
      <c r="Z4758" s="1"/>
      <c r="AA4758" s="1"/>
      <c r="AE4758" s="1"/>
    </row>
    <row r="4759" spans="9:31" x14ac:dyDescent="0.25">
      <c r="I4759" s="1"/>
      <c r="J4759" s="1"/>
      <c r="N4759" s="1"/>
      <c r="Z4759" s="1"/>
      <c r="AA4759" s="1"/>
      <c r="AE4759" s="1"/>
    </row>
    <row r="4760" spans="9:31" x14ac:dyDescent="0.25">
      <c r="I4760" s="1"/>
      <c r="J4760" s="1"/>
      <c r="N4760" s="1"/>
      <c r="Z4760" s="1"/>
      <c r="AA4760" s="1"/>
      <c r="AE4760" s="1"/>
    </row>
    <row r="4761" spans="9:31" x14ac:dyDescent="0.25">
      <c r="I4761" s="1"/>
      <c r="J4761" s="1"/>
      <c r="N4761" s="1"/>
      <c r="Z4761" s="1"/>
      <c r="AA4761" s="1"/>
      <c r="AE4761" s="1"/>
    </row>
    <row r="4762" spans="9:31" x14ac:dyDescent="0.25">
      <c r="I4762" s="1"/>
      <c r="J4762" s="1"/>
      <c r="N4762" s="1"/>
      <c r="Z4762" s="1"/>
      <c r="AA4762" s="1"/>
      <c r="AE4762" s="1"/>
    </row>
    <row r="4763" spans="9:31" x14ac:dyDescent="0.25">
      <c r="I4763" s="1"/>
      <c r="J4763" s="1"/>
      <c r="N4763" s="1"/>
      <c r="Z4763" s="1"/>
      <c r="AA4763" s="1"/>
      <c r="AE4763" s="1"/>
    </row>
    <row r="4764" spans="9:31" x14ac:dyDescent="0.25">
      <c r="I4764" s="1"/>
      <c r="J4764" s="1"/>
      <c r="N4764" s="1"/>
      <c r="Z4764" s="1"/>
      <c r="AA4764" s="1"/>
      <c r="AE4764" s="1"/>
    </row>
    <row r="4765" spans="9:31" x14ac:dyDescent="0.25">
      <c r="I4765" s="1"/>
      <c r="J4765" s="1"/>
      <c r="N4765" s="1"/>
      <c r="Z4765" s="1"/>
      <c r="AA4765" s="1"/>
      <c r="AE4765" s="1"/>
    </row>
    <row r="4766" spans="9:31" x14ac:dyDescent="0.25">
      <c r="I4766" s="1"/>
      <c r="J4766" s="1"/>
      <c r="N4766" s="1"/>
      <c r="Z4766" s="1"/>
      <c r="AA4766" s="1"/>
      <c r="AE4766" s="1"/>
    </row>
    <row r="4767" spans="9:31" x14ac:dyDescent="0.25">
      <c r="I4767" s="1"/>
      <c r="J4767" s="1"/>
      <c r="N4767" s="1"/>
      <c r="Z4767" s="1"/>
      <c r="AA4767" s="1"/>
      <c r="AE4767" s="1"/>
    </row>
    <row r="4768" spans="9:31" x14ac:dyDescent="0.25">
      <c r="I4768" s="1"/>
      <c r="J4768" s="1"/>
      <c r="N4768" s="1"/>
      <c r="Z4768" s="1"/>
      <c r="AA4768" s="1"/>
      <c r="AE4768" s="1"/>
    </row>
    <row r="4769" spans="9:31" x14ac:dyDescent="0.25">
      <c r="I4769" s="1"/>
      <c r="J4769" s="1"/>
      <c r="N4769" s="1"/>
      <c r="Z4769" s="1"/>
      <c r="AA4769" s="1"/>
      <c r="AE4769" s="1"/>
    </row>
    <row r="4770" spans="9:31" x14ac:dyDescent="0.25">
      <c r="I4770" s="1"/>
      <c r="J4770" s="1"/>
      <c r="N4770" s="1"/>
      <c r="Z4770" s="1"/>
      <c r="AA4770" s="1"/>
      <c r="AE4770" s="1"/>
    </row>
    <row r="4771" spans="9:31" x14ac:dyDescent="0.25">
      <c r="I4771" s="1"/>
      <c r="J4771" s="1"/>
      <c r="N4771" s="1"/>
      <c r="Z4771" s="1"/>
      <c r="AA4771" s="1"/>
      <c r="AE4771" s="1"/>
    </row>
    <row r="4772" spans="9:31" x14ac:dyDescent="0.25">
      <c r="I4772" s="1"/>
      <c r="J4772" s="1"/>
      <c r="N4772" s="1"/>
      <c r="Z4772" s="1"/>
      <c r="AA4772" s="1"/>
      <c r="AE4772" s="1"/>
    </row>
    <row r="4773" spans="9:31" x14ac:dyDescent="0.25">
      <c r="I4773" s="1"/>
      <c r="J4773" s="1"/>
      <c r="N4773" s="1"/>
      <c r="Z4773" s="1"/>
      <c r="AA4773" s="1"/>
      <c r="AE4773" s="1"/>
    </row>
    <row r="4774" spans="9:31" x14ac:dyDescent="0.25">
      <c r="I4774" s="1"/>
      <c r="J4774" s="1"/>
      <c r="N4774" s="1"/>
      <c r="Z4774" s="1"/>
      <c r="AA4774" s="1"/>
      <c r="AE4774" s="1"/>
    </row>
    <row r="4775" spans="9:31" x14ac:dyDescent="0.25">
      <c r="I4775" s="1"/>
      <c r="J4775" s="1"/>
      <c r="N4775" s="1"/>
      <c r="Z4775" s="1"/>
      <c r="AA4775" s="1"/>
      <c r="AE4775" s="1"/>
    </row>
    <row r="4776" spans="9:31" x14ac:dyDescent="0.25">
      <c r="I4776" s="1"/>
      <c r="J4776" s="1"/>
      <c r="N4776" s="1"/>
      <c r="Z4776" s="1"/>
      <c r="AA4776" s="1"/>
      <c r="AE4776" s="1"/>
    </row>
    <row r="4777" spans="9:31" x14ac:dyDescent="0.25">
      <c r="I4777" s="1"/>
      <c r="J4777" s="1"/>
      <c r="N4777" s="1"/>
      <c r="Z4777" s="1"/>
      <c r="AA4777" s="1"/>
      <c r="AE4777" s="1"/>
    </row>
    <row r="4778" spans="9:31" x14ac:dyDescent="0.25">
      <c r="I4778" s="1"/>
      <c r="J4778" s="1"/>
      <c r="N4778" s="1"/>
      <c r="Z4778" s="1"/>
      <c r="AA4778" s="1"/>
      <c r="AE4778" s="1"/>
    </row>
    <row r="4779" spans="9:31" x14ac:dyDescent="0.25">
      <c r="I4779" s="1"/>
      <c r="J4779" s="1"/>
      <c r="N4779" s="1"/>
      <c r="Z4779" s="1"/>
      <c r="AA4779" s="1"/>
      <c r="AE4779" s="1"/>
    </row>
    <row r="4780" spans="9:31" x14ac:dyDescent="0.25">
      <c r="I4780" s="1"/>
      <c r="J4780" s="1"/>
      <c r="N4780" s="1"/>
      <c r="Z4780" s="1"/>
      <c r="AA4780" s="1"/>
      <c r="AE4780" s="1"/>
    </row>
    <row r="4781" spans="9:31" x14ac:dyDescent="0.25">
      <c r="I4781" s="1"/>
      <c r="J4781" s="1"/>
      <c r="N4781" s="1"/>
      <c r="Z4781" s="1"/>
      <c r="AA4781" s="1"/>
      <c r="AE4781" s="1"/>
    </row>
    <row r="4782" spans="9:31" x14ac:dyDescent="0.25">
      <c r="I4782" s="1"/>
      <c r="J4782" s="1"/>
      <c r="N4782" s="1"/>
      <c r="Z4782" s="1"/>
      <c r="AA4782" s="1"/>
      <c r="AE4782" s="1"/>
    </row>
    <row r="4783" spans="9:31" x14ac:dyDescent="0.25">
      <c r="I4783" s="1"/>
      <c r="J4783" s="1"/>
      <c r="N4783" s="1"/>
      <c r="Z4783" s="1"/>
      <c r="AA4783" s="1"/>
      <c r="AE4783" s="1"/>
    </row>
    <row r="4784" spans="9:31" x14ac:dyDescent="0.25">
      <c r="I4784" s="1"/>
      <c r="J4784" s="1"/>
      <c r="N4784" s="1"/>
      <c r="Z4784" s="1"/>
      <c r="AA4784" s="1"/>
      <c r="AE4784" s="1"/>
    </row>
    <row r="4785" spans="9:31" x14ac:dyDescent="0.25">
      <c r="I4785" s="1"/>
      <c r="J4785" s="1"/>
      <c r="N4785" s="1"/>
      <c r="Z4785" s="1"/>
      <c r="AA4785" s="1"/>
      <c r="AE4785" s="1"/>
    </row>
    <row r="4786" spans="9:31" x14ac:dyDescent="0.25">
      <c r="I4786" s="1"/>
      <c r="J4786" s="1"/>
      <c r="N4786" s="1"/>
      <c r="Z4786" s="1"/>
      <c r="AA4786" s="1"/>
      <c r="AE4786" s="1"/>
    </row>
    <row r="4787" spans="9:31" x14ac:dyDescent="0.25">
      <c r="I4787" s="1"/>
      <c r="J4787" s="1"/>
      <c r="N4787" s="1"/>
      <c r="Z4787" s="1"/>
      <c r="AA4787" s="1"/>
      <c r="AE4787" s="1"/>
    </row>
    <row r="4788" spans="9:31" x14ac:dyDescent="0.25">
      <c r="N4788" s="1"/>
      <c r="Z4788" s="1"/>
      <c r="AA4788" s="1"/>
      <c r="AE4788" s="1"/>
    </row>
    <row r="4789" spans="9:31" x14ac:dyDescent="0.25">
      <c r="I4789" s="1"/>
      <c r="J4789" s="1"/>
      <c r="N4789" s="1"/>
      <c r="AE4789" s="1"/>
    </row>
    <row r="4790" spans="9:31" x14ac:dyDescent="0.25">
      <c r="I4790" s="1"/>
      <c r="J4790" s="1"/>
      <c r="N4790" s="1"/>
      <c r="Z4790" s="1"/>
      <c r="AA4790" s="1"/>
      <c r="AE4790" s="1"/>
    </row>
    <row r="4791" spans="9:31" x14ac:dyDescent="0.25">
      <c r="I4791" s="1"/>
      <c r="J4791" s="1"/>
      <c r="N4791" s="1"/>
      <c r="Z4791" s="1"/>
      <c r="AA4791" s="1"/>
      <c r="AE4791" s="1"/>
    </row>
    <row r="4792" spans="9:31" x14ac:dyDescent="0.25">
      <c r="I4792" s="1"/>
      <c r="J4792" s="1"/>
      <c r="N4792" s="1"/>
      <c r="Z4792" s="1"/>
      <c r="AA4792" s="1"/>
      <c r="AE4792" s="1"/>
    </row>
    <row r="4793" spans="9:31" x14ac:dyDescent="0.25">
      <c r="I4793" s="1"/>
      <c r="J4793" s="1"/>
      <c r="N4793" s="1"/>
      <c r="Z4793" s="1"/>
      <c r="AA4793" s="1"/>
      <c r="AE4793" s="1"/>
    </row>
    <row r="4794" spans="9:31" x14ac:dyDescent="0.25">
      <c r="I4794" s="1"/>
      <c r="J4794" s="1"/>
      <c r="N4794" s="1"/>
      <c r="Z4794" s="1"/>
      <c r="AA4794" s="1"/>
      <c r="AE4794" s="1"/>
    </row>
    <row r="4795" spans="9:31" x14ac:dyDescent="0.25">
      <c r="I4795" s="1"/>
      <c r="J4795" s="1"/>
      <c r="N4795" s="1"/>
      <c r="Z4795" s="1"/>
      <c r="AA4795" s="1"/>
      <c r="AE4795" s="1"/>
    </row>
    <row r="4796" spans="9:31" x14ac:dyDescent="0.25">
      <c r="I4796" s="1"/>
      <c r="J4796" s="1"/>
      <c r="N4796" s="1"/>
      <c r="Z4796" s="1"/>
      <c r="AA4796" s="1"/>
      <c r="AE4796" s="1"/>
    </row>
    <row r="4797" spans="9:31" x14ac:dyDescent="0.25">
      <c r="I4797" s="1"/>
      <c r="J4797" s="1"/>
      <c r="N4797" s="1"/>
      <c r="Z4797" s="1"/>
      <c r="AA4797" s="1"/>
      <c r="AE4797" s="1"/>
    </row>
    <row r="4798" spans="9:31" x14ac:dyDescent="0.25">
      <c r="I4798" s="1"/>
      <c r="J4798" s="1"/>
      <c r="N4798" s="1"/>
      <c r="Z4798" s="1"/>
      <c r="AA4798" s="1"/>
      <c r="AE4798" s="1"/>
    </row>
    <row r="4799" spans="9:31" x14ac:dyDescent="0.25">
      <c r="I4799" s="1"/>
      <c r="J4799" s="1"/>
      <c r="N4799" s="1"/>
      <c r="Z4799" s="1"/>
      <c r="AA4799" s="1"/>
      <c r="AE4799" s="1"/>
    </row>
    <row r="4800" spans="9:31" x14ac:dyDescent="0.25">
      <c r="I4800" s="1"/>
      <c r="J4800" s="1"/>
      <c r="N4800" s="1"/>
      <c r="Z4800" s="1"/>
      <c r="AA4800" s="1"/>
      <c r="AE4800" s="1"/>
    </row>
    <row r="4801" spans="9:31" x14ac:dyDescent="0.25">
      <c r="I4801" s="1"/>
      <c r="J4801" s="1"/>
      <c r="N4801" s="1"/>
      <c r="Z4801" s="1"/>
      <c r="AA4801" s="1"/>
      <c r="AE4801" s="1"/>
    </row>
    <row r="4802" spans="9:31" x14ac:dyDescent="0.25">
      <c r="I4802" s="1"/>
      <c r="J4802" s="1"/>
      <c r="N4802" s="1"/>
      <c r="Z4802" s="1"/>
      <c r="AA4802" s="1"/>
      <c r="AE4802" s="1"/>
    </row>
    <row r="4803" spans="9:31" x14ac:dyDescent="0.25">
      <c r="I4803" s="1"/>
      <c r="J4803" s="1"/>
      <c r="N4803" s="1"/>
      <c r="Z4803" s="1"/>
      <c r="AA4803" s="1"/>
      <c r="AE4803" s="1"/>
    </row>
    <row r="4804" spans="9:31" x14ac:dyDescent="0.25">
      <c r="I4804" s="1"/>
      <c r="J4804" s="1"/>
      <c r="N4804" s="1"/>
      <c r="Z4804" s="1"/>
      <c r="AA4804" s="1"/>
      <c r="AE4804" s="1"/>
    </row>
    <row r="4805" spans="9:31" x14ac:dyDescent="0.25">
      <c r="I4805" s="1"/>
      <c r="J4805" s="1"/>
      <c r="N4805" s="1"/>
      <c r="Z4805" s="1"/>
      <c r="AA4805" s="1"/>
      <c r="AE4805" s="1"/>
    </row>
    <row r="4806" spans="9:31" x14ac:dyDescent="0.25">
      <c r="I4806" s="1"/>
      <c r="J4806" s="1"/>
      <c r="N4806" s="1"/>
      <c r="Z4806" s="1"/>
      <c r="AA4806" s="1"/>
      <c r="AE4806" s="1"/>
    </row>
    <row r="4807" spans="9:31" x14ac:dyDescent="0.25">
      <c r="I4807" s="1"/>
      <c r="J4807" s="1"/>
      <c r="N4807" s="1"/>
      <c r="Z4807" s="1"/>
      <c r="AA4807" s="1"/>
      <c r="AE4807" s="1"/>
    </row>
    <row r="4808" spans="9:31" x14ac:dyDescent="0.25">
      <c r="I4808" s="1"/>
      <c r="J4808" s="1"/>
      <c r="N4808" s="1"/>
      <c r="Z4808" s="1"/>
      <c r="AA4808" s="1"/>
      <c r="AE4808" s="1"/>
    </row>
    <row r="4809" spans="9:31" x14ac:dyDescent="0.25">
      <c r="I4809" s="1"/>
      <c r="J4809" s="1"/>
      <c r="N4809" s="1"/>
      <c r="Z4809" s="1"/>
      <c r="AA4809" s="1"/>
      <c r="AE4809" s="1"/>
    </row>
    <row r="4810" spans="9:31" x14ac:dyDescent="0.25">
      <c r="I4810" s="1"/>
      <c r="J4810" s="1"/>
      <c r="N4810" s="1"/>
      <c r="Z4810" s="1"/>
      <c r="AA4810" s="1"/>
      <c r="AE4810" s="1"/>
    </row>
    <row r="4811" spans="9:31" x14ac:dyDescent="0.25">
      <c r="I4811" s="1"/>
      <c r="J4811" s="1"/>
      <c r="N4811" s="1"/>
      <c r="Z4811" s="1"/>
      <c r="AA4811" s="1"/>
      <c r="AE4811" s="1"/>
    </row>
    <row r="4812" spans="9:31" x14ac:dyDescent="0.25">
      <c r="I4812" s="1"/>
      <c r="J4812" s="1"/>
      <c r="N4812" s="1"/>
      <c r="Z4812" s="1"/>
      <c r="AA4812" s="1"/>
      <c r="AE4812" s="1"/>
    </row>
    <row r="4813" spans="9:31" x14ac:dyDescent="0.25">
      <c r="I4813" s="1"/>
      <c r="J4813" s="1"/>
      <c r="N4813" s="1"/>
      <c r="Z4813" s="1"/>
      <c r="AA4813" s="1"/>
      <c r="AE4813" s="1"/>
    </row>
    <row r="4814" spans="9:31" x14ac:dyDescent="0.25">
      <c r="I4814" s="1"/>
      <c r="J4814" s="1"/>
      <c r="N4814" s="1"/>
      <c r="Z4814" s="1"/>
      <c r="AA4814" s="1"/>
      <c r="AE4814" s="1"/>
    </row>
    <row r="4815" spans="9:31" x14ac:dyDescent="0.25">
      <c r="I4815" s="1"/>
      <c r="J4815" s="1"/>
      <c r="N4815" s="1"/>
      <c r="Z4815" s="1"/>
      <c r="AA4815" s="1"/>
      <c r="AE4815" s="1"/>
    </row>
    <row r="4816" spans="9:31" x14ac:dyDescent="0.25">
      <c r="I4816" s="1"/>
      <c r="J4816" s="1"/>
      <c r="N4816" s="1"/>
      <c r="Z4816" s="1"/>
      <c r="AA4816" s="1"/>
      <c r="AE4816" s="1"/>
    </row>
    <row r="4817" spans="9:31" x14ac:dyDescent="0.25">
      <c r="I4817" s="1"/>
      <c r="J4817" s="1"/>
      <c r="N4817" s="1"/>
      <c r="Z4817" s="1"/>
      <c r="AA4817" s="1"/>
      <c r="AE4817" s="1"/>
    </row>
    <row r="4818" spans="9:31" x14ac:dyDescent="0.25">
      <c r="I4818" s="1"/>
      <c r="J4818" s="1"/>
      <c r="N4818" s="1"/>
      <c r="Z4818" s="1"/>
      <c r="AA4818" s="1"/>
      <c r="AE4818" s="1"/>
    </row>
    <row r="4819" spans="9:31" x14ac:dyDescent="0.25">
      <c r="I4819" s="1"/>
      <c r="J4819" s="1"/>
      <c r="N4819" s="1"/>
      <c r="Z4819" s="1"/>
      <c r="AA4819" s="1"/>
      <c r="AE4819" s="1"/>
    </row>
    <row r="4820" spans="9:31" x14ac:dyDescent="0.25">
      <c r="I4820" s="1"/>
      <c r="J4820" s="1"/>
      <c r="N4820" s="1"/>
      <c r="Z4820" s="1"/>
      <c r="AA4820" s="1"/>
      <c r="AE4820" s="1"/>
    </row>
    <row r="4821" spans="9:31" x14ac:dyDescent="0.25">
      <c r="I4821" s="1"/>
      <c r="J4821" s="1"/>
      <c r="N4821" s="1"/>
      <c r="Z4821" s="1"/>
      <c r="AA4821" s="1"/>
      <c r="AE4821" s="1"/>
    </row>
    <row r="4822" spans="9:31" x14ac:dyDescent="0.25">
      <c r="I4822" s="1"/>
      <c r="J4822" s="1"/>
      <c r="N4822" s="1"/>
      <c r="Z4822" s="1"/>
      <c r="AA4822" s="1"/>
      <c r="AE4822" s="1"/>
    </row>
    <row r="4823" spans="9:31" x14ac:dyDescent="0.25">
      <c r="I4823" s="1"/>
      <c r="J4823" s="1"/>
      <c r="N4823" s="1"/>
      <c r="Z4823" s="1"/>
      <c r="AA4823" s="1"/>
      <c r="AE4823" s="1"/>
    </row>
    <row r="4824" spans="9:31" x14ac:dyDescent="0.25">
      <c r="I4824" s="1"/>
      <c r="J4824" s="1"/>
      <c r="N4824" s="1"/>
      <c r="Z4824" s="1"/>
      <c r="AA4824" s="1"/>
      <c r="AE4824" s="1"/>
    </row>
    <row r="4825" spans="9:31" x14ac:dyDescent="0.25">
      <c r="I4825" s="1"/>
      <c r="J4825" s="1"/>
      <c r="N4825" s="1"/>
      <c r="Z4825" s="1"/>
      <c r="AA4825" s="1"/>
      <c r="AE4825" s="1"/>
    </row>
    <row r="4826" spans="9:31" x14ac:dyDescent="0.25">
      <c r="I4826" s="1"/>
      <c r="J4826" s="1"/>
      <c r="N4826" s="1"/>
      <c r="Z4826" s="1"/>
      <c r="AA4826" s="1"/>
      <c r="AE4826" s="1"/>
    </row>
    <row r="4827" spans="9:31" x14ac:dyDescent="0.25">
      <c r="I4827" s="1"/>
      <c r="J4827" s="1"/>
      <c r="N4827" s="1"/>
      <c r="Z4827" s="1"/>
      <c r="AA4827" s="1"/>
      <c r="AE4827" s="1"/>
    </row>
    <row r="4828" spans="9:31" x14ac:dyDescent="0.25">
      <c r="I4828" s="1"/>
      <c r="J4828" s="1"/>
      <c r="N4828" s="1"/>
      <c r="Z4828" s="1"/>
      <c r="AA4828" s="1"/>
      <c r="AE4828" s="1"/>
    </row>
    <row r="4829" spans="9:31" x14ac:dyDescent="0.25">
      <c r="I4829" s="1"/>
      <c r="J4829" s="1"/>
      <c r="N4829" s="1"/>
      <c r="Z4829" s="1"/>
      <c r="AA4829" s="1"/>
      <c r="AE4829" s="1"/>
    </row>
    <row r="4830" spans="9:31" x14ac:dyDescent="0.25">
      <c r="I4830" s="1"/>
      <c r="J4830" s="1"/>
      <c r="N4830" s="1"/>
      <c r="Z4830" s="1"/>
      <c r="AA4830" s="1"/>
      <c r="AE4830" s="1"/>
    </row>
    <row r="4831" spans="9:31" x14ac:dyDescent="0.25">
      <c r="I4831" s="1"/>
      <c r="J4831" s="1"/>
      <c r="N4831" s="1"/>
      <c r="Z4831" s="1"/>
      <c r="AA4831" s="1"/>
      <c r="AE4831" s="1"/>
    </row>
    <row r="4832" spans="9:31" x14ac:dyDescent="0.25">
      <c r="I4832" s="1"/>
      <c r="J4832" s="1"/>
      <c r="N4832" s="1"/>
      <c r="Z4832" s="1"/>
      <c r="AA4832" s="1"/>
      <c r="AE4832" s="1"/>
    </row>
    <row r="4833" spans="9:31" x14ac:dyDescent="0.25">
      <c r="I4833" s="1"/>
      <c r="J4833" s="1"/>
      <c r="N4833" s="1"/>
      <c r="Z4833" s="1"/>
      <c r="AA4833" s="1"/>
      <c r="AE4833" s="1"/>
    </row>
    <row r="4834" spans="9:31" x14ac:dyDescent="0.25">
      <c r="I4834" s="1"/>
      <c r="J4834" s="1"/>
      <c r="N4834" s="1"/>
      <c r="Z4834" s="1"/>
      <c r="AA4834" s="1"/>
      <c r="AE4834" s="1"/>
    </row>
    <row r="4835" spans="9:31" x14ac:dyDescent="0.25">
      <c r="I4835" s="1"/>
      <c r="J4835" s="1"/>
      <c r="N4835" s="1"/>
      <c r="Z4835" s="1"/>
      <c r="AA4835" s="1"/>
      <c r="AE4835" s="1"/>
    </row>
    <row r="4836" spans="9:31" x14ac:dyDescent="0.25">
      <c r="I4836" s="1"/>
      <c r="J4836" s="1"/>
      <c r="N4836" s="1"/>
      <c r="Z4836" s="1"/>
      <c r="AA4836" s="1"/>
      <c r="AE4836" s="1"/>
    </row>
    <row r="4837" spans="9:31" x14ac:dyDescent="0.25">
      <c r="I4837" s="1"/>
      <c r="J4837" s="1"/>
      <c r="N4837" s="1"/>
      <c r="Z4837" s="1"/>
      <c r="AA4837" s="1"/>
      <c r="AE4837" s="1"/>
    </row>
    <row r="4838" spans="9:31" x14ac:dyDescent="0.25">
      <c r="I4838" s="1"/>
      <c r="J4838" s="1"/>
      <c r="N4838" s="1"/>
      <c r="Z4838" s="1"/>
      <c r="AA4838" s="1"/>
      <c r="AE4838" s="1"/>
    </row>
    <row r="4839" spans="9:31" x14ac:dyDescent="0.25">
      <c r="I4839" s="1"/>
      <c r="J4839" s="1"/>
      <c r="N4839" s="1"/>
      <c r="Z4839" s="1"/>
      <c r="AA4839" s="1"/>
      <c r="AE4839" s="1"/>
    </row>
    <row r="4840" spans="9:31" x14ac:dyDescent="0.25">
      <c r="I4840" s="1"/>
      <c r="J4840" s="1"/>
      <c r="N4840" s="1"/>
      <c r="Z4840" s="1"/>
      <c r="AA4840" s="1"/>
      <c r="AE4840" s="1"/>
    </row>
    <row r="4841" spans="9:31" x14ac:dyDescent="0.25">
      <c r="I4841" s="1"/>
      <c r="J4841" s="1"/>
      <c r="N4841" s="1"/>
      <c r="Z4841" s="1"/>
      <c r="AA4841" s="1"/>
      <c r="AE4841" s="1"/>
    </row>
    <row r="4842" spans="9:31" x14ac:dyDescent="0.25">
      <c r="I4842" s="1"/>
      <c r="J4842" s="1"/>
      <c r="N4842" s="1"/>
      <c r="Z4842" s="1"/>
      <c r="AA4842" s="1"/>
      <c r="AE4842" s="1"/>
    </row>
    <row r="4843" spans="9:31" x14ac:dyDescent="0.25">
      <c r="I4843" s="1"/>
      <c r="J4843" s="1"/>
      <c r="N4843" s="1"/>
      <c r="Z4843" s="1"/>
      <c r="AA4843" s="1"/>
      <c r="AE4843" s="1"/>
    </row>
    <row r="4844" spans="9:31" x14ac:dyDescent="0.25">
      <c r="I4844" s="1"/>
      <c r="J4844" s="1"/>
      <c r="N4844" s="1"/>
      <c r="Z4844" s="1"/>
      <c r="AA4844" s="1"/>
      <c r="AE4844" s="1"/>
    </row>
    <row r="4845" spans="9:31" x14ac:dyDescent="0.25">
      <c r="I4845" s="1"/>
      <c r="J4845" s="1"/>
      <c r="N4845" s="1"/>
      <c r="Z4845" s="1"/>
      <c r="AA4845" s="1"/>
      <c r="AE4845" s="1"/>
    </row>
    <row r="4846" spans="9:31" x14ac:dyDescent="0.25">
      <c r="I4846" s="1"/>
      <c r="J4846" s="1"/>
      <c r="N4846" s="1"/>
      <c r="Z4846" s="1"/>
      <c r="AA4846" s="1"/>
      <c r="AE4846" s="1"/>
    </row>
    <row r="4847" spans="9:31" x14ac:dyDescent="0.25">
      <c r="I4847" s="1"/>
      <c r="J4847" s="1"/>
      <c r="N4847" s="1"/>
      <c r="Z4847" s="1"/>
      <c r="AA4847" s="1"/>
      <c r="AE4847" s="1"/>
    </row>
    <row r="4848" spans="9:31" x14ac:dyDescent="0.25">
      <c r="N4848" s="1"/>
      <c r="Z4848" s="1"/>
      <c r="AA4848" s="1"/>
      <c r="AE4848" s="1"/>
    </row>
    <row r="4849" spans="9:31" x14ac:dyDescent="0.25">
      <c r="I4849" s="1"/>
      <c r="J4849" s="1"/>
      <c r="N4849" s="1"/>
      <c r="AE4849" s="1"/>
    </row>
    <row r="4850" spans="9:31" x14ac:dyDescent="0.25">
      <c r="I4850" s="1"/>
      <c r="J4850" s="1"/>
      <c r="N4850" s="1"/>
      <c r="Z4850" s="1"/>
      <c r="AA4850" s="1"/>
      <c r="AE4850" s="1"/>
    </row>
    <row r="4851" spans="9:31" x14ac:dyDescent="0.25">
      <c r="I4851" s="1"/>
      <c r="J4851" s="1"/>
      <c r="N4851" s="1"/>
      <c r="Z4851" s="1"/>
      <c r="AA4851" s="1"/>
      <c r="AE4851" s="1"/>
    </row>
    <row r="4852" spans="9:31" x14ac:dyDescent="0.25">
      <c r="I4852" s="1"/>
      <c r="J4852" s="1"/>
      <c r="N4852" s="1"/>
      <c r="Z4852" s="1"/>
      <c r="AA4852" s="1"/>
      <c r="AE4852" s="1"/>
    </row>
    <row r="4853" spans="9:31" x14ac:dyDescent="0.25">
      <c r="N4853" s="1"/>
      <c r="Z4853" s="1"/>
      <c r="AA4853" s="1"/>
      <c r="AE4853" s="1"/>
    </row>
    <row r="4854" spans="9:31" x14ac:dyDescent="0.25">
      <c r="I4854" s="1"/>
      <c r="J4854" s="1"/>
      <c r="N4854" s="1"/>
      <c r="AE4854" s="1"/>
    </row>
    <row r="4855" spans="9:31" x14ac:dyDescent="0.25">
      <c r="I4855" s="1"/>
      <c r="J4855" s="1"/>
      <c r="N4855" s="1"/>
      <c r="Z4855" s="1"/>
      <c r="AA4855" s="1"/>
      <c r="AE4855" s="1"/>
    </row>
    <row r="4856" spans="9:31" x14ac:dyDescent="0.25">
      <c r="I4856" s="1"/>
      <c r="J4856" s="1"/>
      <c r="N4856" s="1"/>
      <c r="Z4856" s="1"/>
      <c r="AA4856" s="1"/>
      <c r="AE4856" s="1"/>
    </row>
    <row r="4857" spans="9:31" x14ac:dyDescent="0.25">
      <c r="I4857" s="1"/>
      <c r="J4857" s="1"/>
      <c r="N4857" s="1"/>
      <c r="Z4857" s="1"/>
      <c r="AA4857" s="1"/>
      <c r="AE4857" s="1"/>
    </row>
    <row r="4858" spans="9:31" x14ac:dyDescent="0.25">
      <c r="I4858" s="1"/>
      <c r="J4858" s="1"/>
      <c r="N4858" s="1"/>
      <c r="Z4858" s="1"/>
      <c r="AA4858" s="1"/>
      <c r="AE4858" s="1"/>
    </row>
    <row r="4859" spans="9:31" x14ac:dyDescent="0.25">
      <c r="I4859" s="1"/>
      <c r="J4859" s="1"/>
      <c r="N4859" s="1"/>
      <c r="Z4859" s="1"/>
      <c r="AA4859" s="1"/>
      <c r="AE4859" s="1"/>
    </row>
    <row r="4860" spans="9:31" x14ac:dyDescent="0.25">
      <c r="I4860" s="1"/>
      <c r="J4860" s="1"/>
      <c r="N4860" s="1"/>
      <c r="Z4860" s="1"/>
      <c r="AA4860" s="1"/>
      <c r="AE4860" s="1"/>
    </row>
    <row r="4861" spans="9:31" x14ac:dyDescent="0.25">
      <c r="I4861" s="1"/>
      <c r="J4861" s="1"/>
      <c r="N4861" s="1"/>
      <c r="Z4861" s="1"/>
      <c r="AA4861" s="1"/>
      <c r="AE4861" s="1"/>
    </row>
    <row r="4862" spans="9:31" x14ac:dyDescent="0.25">
      <c r="I4862" s="1"/>
      <c r="J4862" s="1"/>
      <c r="N4862" s="1"/>
      <c r="Z4862" s="1"/>
      <c r="AA4862" s="1"/>
      <c r="AE4862" s="1"/>
    </row>
    <row r="4863" spans="9:31" x14ac:dyDescent="0.25">
      <c r="I4863" s="1"/>
      <c r="J4863" s="1"/>
      <c r="N4863" s="1"/>
      <c r="Z4863" s="1"/>
      <c r="AA4863" s="1"/>
      <c r="AE4863" s="1"/>
    </row>
    <row r="4864" spans="9:31" x14ac:dyDescent="0.25">
      <c r="I4864" s="1"/>
      <c r="J4864" s="1"/>
      <c r="N4864" s="1"/>
      <c r="Z4864" s="1"/>
      <c r="AA4864" s="1"/>
      <c r="AE4864" s="1"/>
    </row>
    <row r="4865" spans="9:31" x14ac:dyDescent="0.25">
      <c r="N4865" s="1"/>
      <c r="Z4865" s="1"/>
      <c r="AA4865" s="1"/>
      <c r="AE4865" s="1"/>
    </row>
    <row r="4866" spans="9:31" x14ac:dyDescent="0.25">
      <c r="I4866" s="1"/>
      <c r="J4866" s="1"/>
      <c r="N4866" s="1"/>
      <c r="AE4866" s="1"/>
    </row>
    <row r="4867" spans="9:31" x14ac:dyDescent="0.25">
      <c r="I4867" s="1"/>
      <c r="J4867" s="1"/>
      <c r="N4867" s="1"/>
      <c r="Z4867" s="1"/>
      <c r="AA4867" s="1"/>
      <c r="AE4867" s="1"/>
    </row>
    <row r="4868" spans="9:31" x14ac:dyDescent="0.25">
      <c r="I4868" s="1"/>
      <c r="J4868" s="1"/>
      <c r="N4868" s="1"/>
      <c r="Z4868" s="1"/>
      <c r="AA4868" s="1"/>
      <c r="AE4868" s="1"/>
    </row>
    <row r="4869" spans="9:31" x14ac:dyDescent="0.25">
      <c r="I4869" s="1"/>
      <c r="J4869" s="1"/>
      <c r="N4869" s="1"/>
      <c r="Z4869" s="1"/>
      <c r="AA4869" s="1"/>
      <c r="AE4869" s="1"/>
    </row>
    <row r="4870" spans="9:31" x14ac:dyDescent="0.25">
      <c r="I4870" s="1"/>
      <c r="J4870" s="1"/>
      <c r="N4870" s="1"/>
      <c r="Z4870" s="1"/>
      <c r="AA4870" s="1"/>
      <c r="AE4870" s="1"/>
    </row>
    <row r="4871" spans="9:31" x14ac:dyDescent="0.25">
      <c r="I4871" s="1"/>
      <c r="J4871" s="1"/>
      <c r="N4871" s="1"/>
      <c r="Z4871" s="1"/>
      <c r="AA4871" s="1"/>
      <c r="AE4871" s="1"/>
    </row>
    <row r="4872" spans="9:31" x14ac:dyDescent="0.25">
      <c r="I4872" s="1"/>
      <c r="J4872" s="1"/>
      <c r="N4872" s="1"/>
      <c r="Z4872" s="1"/>
      <c r="AA4872" s="1"/>
      <c r="AE4872" s="1"/>
    </row>
    <row r="4873" spans="9:31" x14ac:dyDescent="0.25">
      <c r="I4873" s="1"/>
      <c r="J4873" s="1"/>
      <c r="N4873" s="1"/>
      <c r="Z4873" s="1"/>
      <c r="AA4873" s="1"/>
      <c r="AE4873" s="1"/>
    </row>
    <row r="4874" spans="9:31" x14ac:dyDescent="0.25">
      <c r="I4874" s="1"/>
      <c r="J4874" s="1"/>
      <c r="N4874" s="1"/>
      <c r="Z4874" s="1"/>
      <c r="AA4874" s="1"/>
      <c r="AE4874" s="1"/>
    </row>
    <row r="4875" spans="9:31" x14ac:dyDescent="0.25">
      <c r="I4875" s="1"/>
      <c r="J4875" s="1"/>
      <c r="N4875" s="1"/>
      <c r="Z4875" s="1"/>
      <c r="AA4875" s="1"/>
      <c r="AE4875" s="1"/>
    </row>
    <row r="4876" spans="9:31" x14ac:dyDescent="0.25">
      <c r="I4876" s="1"/>
      <c r="J4876" s="1"/>
      <c r="N4876" s="1"/>
      <c r="Z4876" s="1"/>
      <c r="AA4876" s="1"/>
      <c r="AE4876" s="1"/>
    </row>
    <row r="4877" spans="9:31" x14ac:dyDescent="0.25">
      <c r="I4877" s="1"/>
      <c r="J4877" s="1"/>
      <c r="N4877" s="1"/>
      <c r="Z4877" s="1"/>
      <c r="AA4877" s="1"/>
      <c r="AE4877" s="1"/>
    </row>
    <row r="4878" spans="9:31" x14ac:dyDescent="0.25">
      <c r="I4878" s="1"/>
      <c r="J4878" s="1"/>
      <c r="N4878" s="1"/>
      <c r="Z4878" s="1"/>
      <c r="AA4878" s="1"/>
      <c r="AE4878" s="1"/>
    </row>
    <row r="4879" spans="9:31" x14ac:dyDescent="0.25">
      <c r="I4879" s="1"/>
      <c r="J4879" s="1"/>
      <c r="N4879" s="1"/>
      <c r="Z4879" s="1"/>
      <c r="AA4879" s="1"/>
      <c r="AE4879" s="1"/>
    </row>
    <row r="4880" spans="9:31" x14ac:dyDescent="0.25">
      <c r="I4880" s="1"/>
      <c r="J4880" s="1"/>
      <c r="N4880" s="1"/>
      <c r="Z4880" s="1"/>
      <c r="AA4880" s="1"/>
      <c r="AE4880" s="1"/>
    </row>
    <row r="4881" spans="9:31" x14ac:dyDescent="0.25">
      <c r="I4881" s="1"/>
      <c r="J4881" s="1"/>
      <c r="N4881" s="1"/>
      <c r="Z4881" s="1"/>
      <c r="AA4881" s="1"/>
      <c r="AE4881" s="1"/>
    </row>
    <row r="4882" spans="9:31" x14ac:dyDescent="0.25">
      <c r="I4882" s="1"/>
      <c r="J4882" s="1"/>
      <c r="N4882" s="1"/>
      <c r="Z4882" s="1"/>
      <c r="AA4882" s="1"/>
      <c r="AE4882" s="1"/>
    </row>
    <row r="4883" spans="9:31" x14ac:dyDescent="0.25">
      <c r="I4883" s="1"/>
      <c r="J4883" s="1"/>
      <c r="N4883" s="1"/>
      <c r="Z4883" s="1"/>
      <c r="AA4883" s="1"/>
      <c r="AE4883" s="1"/>
    </row>
    <row r="4884" spans="9:31" x14ac:dyDescent="0.25">
      <c r="I4884" s="1"/>
      <c r="J4884" s="1"/>
      <c r="N4884" s="1"/>
      <c r="Z4884" s="1"/>
      <c r="AA4884" s="1"/>
      <c r="AE4884" s="1"/>
    </row>
    <row r="4885" spans="9:31" x14ac:dyDescent="0.25">
      <c r="I4885" s="1"/>
      <c r="J4885" s="1"/>
      <c r="N4885" s="1"/>
      <c r="Z4885" s="1"/>
      <c r="AA4885" s="1"/>
      <c r="AE4885" s="1"/>
    </row>
    <row r="4886" spans="9:31" x14ac:dyDescent="0.25">
      <c r="I4886" s="1"/>
      <c r="J4886" s="1"/>
      <c r="N4886" s="1"/>
      <c r="Z4886" s="1"/>
      <c r="AA4886" s="1"/>
      <c r="AE4886" s="1"/>
    </row>
    <row r="4887" spans="9:31" x14ac:dyDescent="0.25">
      <c r="I4887" s="1"/>
      <c r="J4887" s="1"/>
      <c r="N4887" s="1"/>
      <c r="Z4887" s="1"/>
      <c r="AA4887" s="1"/>
      <c r="AE4887" s="1"/>
    </row>
    <row r="4888" spans="9:31" x14ac:dyDescent="0.25">
      <c r="I4888" s="1"/>
      <c r="J4888" s="1"/>
      <c r="N4888" s="1"/>
      <c r="Z4888" s="1"/>
      <c r="AA4888" s="1"/>
      <c r="AE4888" s="1"/>
    </row>
    <row r="4889" spans="9:31" x14ac:dyDescent="0.25">
      <c r="I4889" s="1"/>
      <c r="J4889" s="1"/>
      <c r="N4889" s="1"/>
      <c r="Z4889" s="1"/>
      <c r="AA4889" s="1"/>
      <c r="AE4889" s="1"/>
    </row>
    <row r="4890" spans="9:31" x14ac:dyDescent="0.25">
      <c r="I4890" s="1"/>
      <c r="J4890" s="1"/>
      <c r="N4890" s="1"/>
      <c r="Z4890" s="1"/>
      <c r="AA4890" s="1"/>
      <c r="AE4890" s="1"/>
    </row>
    <row r="4891" spans="9:31" x14ac:dyDescent="0.25">
      <c r="N4891" s="1"/>
      <c r="Z4891" s="1"/>
      <c r="AA4891" s="1"/>
      <c r="AE4891" s="1"/>
    </row>
    <row r="4892" spans="9:31" x14ac:dyDescent="0.25">
      <c r="I4892" s="1"/>
      <c r="J4892" s="1"/>
      <c r="N4892" s="1"/>
      <c r="AE4892" s="1"/>
    </row>
    <row r="4893" spans="9:31" x14ac:dyDescent="0.25">
      <c r="I4893" s="1"/>
      <c r="J4893" s="1"/>
      <c r="N4893" s="1"/>
      <c r="Z4893" s="1"/>
      <c r="AA4893" s="1"/>
      <c r="AE4893" s="1"/>
    </row>
    <row r="4894" spans="9:31" x14ac:dyDescent="0.25">
      <c r="I4894" s="1"/>
      <c r="J4894" s="1"/>
      <c r="N4894" s="1"/>
      <c r="Z4894" s="1"/>
      <c r="AA4894" s="1"/>
      <c r="AE4894" s="1"/>
    </row>
    <row r="4895" spans="9:31" x14ac:dyDescent="0.25">
      <c r="I4895" s="1"/>
      <c r="J4895" s="1"/>
      <c r="N4895" s="1"/>
      <c r="Z4895" s="1"/>
      <c r="AA4895" s="1"/>
      <c r="AE4895" s="1"/>
    </row>
    <row r="4896" spans="9:31" x14ac:dyDescent="0.25">
      <c r="I4896" s="1"/>
      <c r="J4896" s="1"/>
      <c r="N4896" s="1"/>
      <c r="Z4896" s="1"/>
      <c r="AA4896" s="1"/>
      <c r="AE4896" s="1"/>
    </row>
    <row r="4897" spans="9:31" x14ac:dyDescent="0.25">
      <c r="I4897" s="1"/>
      <c r="J4897" s="1"/>
      <c r="N4897" s="1"/>
      <c r="Z4897" s="1"/>
      <c r="AA4897" s="1"/>
      <c r="AE4897" s="1"/>
    </row>
    <row r="4898" spans="9:31" x14ac:dyDescent="0.25">
      <c r="I4898" s="1"/>
      <c r="J4898" s="1"/>
      <c r="N4898" s="1"/>
      <c r="Z4898" s="1"/>
      <c r="AA4898" s="1"/>
      <c r="AE4898" s="1"/>
    </row>
    <row r="4899" spans="9:31" x14ac:dyDescent="0.25">
      <c r="I4899" s="1"/>
      <c r="J4899" s="1"/>
      <c r="N4899" s="1"/>
      <c r="Z4899" s="1"/>
      <c r="AA4899" s="1"/>
      <c r="AE4899" s="1"/>
    </row>
    <row r="4900" spans="9:31" x14ac:dyDescent="0.25">
      <c r="N4900" s="1"/>
      <c r="Z4900" s="1"/>
      <c r="AA4900" s="1"/>
      <c r="AE4900" s="1"/>
    </row>
    <row r="4901" spans="9:31" x14ac:dyDescent="0.25">
      <c r="I4901" s="1"/>
      <c r="J4901" s="1"/>
      <c r="N4901" s="1"/>
      <c r="AE4901" s="1"/>
    </row>
    <row r="4902" spans="9:31" x14ac:dyDescent="0.25">
      <c r="I4902" s="1"/>
      <c r="J4902" s="1"/>
      <c r="N4902" s="1"/>
      <c r="Z4902" s="1"/>
      <c r="AA4902" s="1"/>
      <c r="AE4902" s="1"/>
    </row>
    <row r="4903" spans="9:31" x14ac:dyDescent="0.25">
      <c r="I4903" s="1"/>
      <c r="J4903" s="1"/>
      <c r="N4903" s="1"/>
      <c r="Z4903" s="1"/>
      <c r="AA4903" s="1"/>
      <c r="AE4903" s="1"/>
    </row>
    <row r="4904" spans="9:31" x14ac:dyDescent="0.25">
      <c r="I4904" s="1"/>
      <c r="J4904" s="1"/>
      <c r="N4904" s="1"/>
      <c r="Z4904" s="1"/>
      <c r="AA4904" s="1"/>
      <c r="AE4904" s="1"/>
    </row>
    <row r="4905" spans="9:31" x14ac:dyDescent="0.25">
      <c r="I4905" s="1"/>
      <c r="J4905" s="1"/>
      <c r="N4905" s="1"/>
      <c r="Z4905" s="1"/>
      <c r="AA4905" s="1"/>
      <c r="AE4905" s="1"/>
    </row>
    <row r="4906" spans="9:31" x14ac:dyDescent="0.25">
      <c r="I4906" s="1"/>
      <c r="J4906" s="1"/>
      <c r="N4906" s="1"/>
      <c r="Z4906" s="1"/>
      <c r="AA4906" s="1"/>
      <c r="AE4906" s="1"/>
    </row>
    <row r="4907" spans="9:31" x14ac:dyDescent="0.25">
      <c r="I4907" s="1"/>
      <c r="J4907" s="1"/>
      <c r="N4907" s="1"/>
      <c r="Z4907" s="1"/>
      <c r="AA4907" s="1"/>
      <c r="AE4907" s="1"/>
    </row>
    <row r="4908" spans="9:31" x14ac:dyDescent="0.25">
      <c r="I4908" s="1"/>
      <c r="J4908" s="1"/>
      <c r="N4908" s="1"/>
      <c r="Z4908" s="1"/>
      <c r="AA4908" s="1"/>
      <c r="AE4908" s="1"/>
    </row>
    <row r="4909" spans="9:31" x14ac:dyDescent="0.25">
      <c r="I4909" s="1"/>
      <c r="J4909" s="1"/>
      <c r="N4909" s="1"/>
      <c r="Z4909" s="1"/>
      <c r="AA4909" s="1"/>
      <c r="AE4909" s="1"/>
    </row>
    <row r="4910" spans="9:31" x14ac:dyDescent="0.25">
      <c r="I4910" s="1"/>
      <c r="J4910" s="1"/>
      <c r="N4910" s="1"/>
      <c r="Z4910" s="1"/>
      <c r="AA4910" s="1"/>
      <c r="AE4910" s="1"/>
    </row>
    <row r="4911" spans="9:31" x14ac:dyDescent="0.25">
      <c r="I4911" s="1"/>
      <c r="J4911" s="1"/>
      <c r="N4911" s="1"/>
      <c r="Z4911" s="1"/>
      <c r="AA4911" s="1"/>
      <c r="AE4911" s="1"/>
    </row>
    <row r="4912" spans="9:31" x14ac:dyDescent="0.25">
      <c r="I4912" s="1"/>
      <c r="J4912" s="1"/>
      <c r="N4912" s="1"/>
      <c r="Z4912" s="1"/>
      <c r="AA4912" s="1"/>
      <c r="AE4912" s="1"/>
    </row>
    <row r="4913" spans="9:31" x14ac:dyDescent="0.25">
      <c r="I4913" s="1"/>
      <c r="J4913" s="1"/>
      <c r="N4913" s="1"/>
      <c r="Z4913" s="1"/>
      <c r="AA4913" s="1"/>
      <c r="AE4913" s="1"/>
    </row>
    <row r="4914" spans="9:31" x14ac:dyDescent="0.25">
      <c r="I4914" s="1"/>
      <c r="J4914" s="1"/>
      <c r="N4914" s="1"/>
      <c r="Z4914" s="1"/>
      <c r="AA4914" s="1"/>
      <c r="AE4914" s="1"/>
    </row>
    <row r="4915" spans="9:31" x14ac:dyDescent="0.25">
      <c r="I4915" s="1"/>
      <c r="J4915" s="1"/>
      <c r="N4915" s="1"/>
      <c r="Z4915" s="1"/>
      <c r="AA4915" s="1"/>
      <c r="AE4915" s="1"/>
    </row>
    <row r="4916" spans="9:31" x14ac:dyDescent="0.25">
      <c r="I4916" s="1"/>
      <c r="J4916" s="1"/>
      <c r="N4916" s="1"/>
      <c r="Z4916" s="1"/>
      <c r="AA4916" s="1"/>
      <c r="AE4916" s="1"/>
    </row>
    <row r="4917" spans="9:31" x14ac:dyDescent="0.25">
      <c r="I4917" s="1"/>
      <c r="J4917" s="1"/>
      <c r="N4917" s="1"/>
      <c r="Z4917" s="1"/>
      <c r="AA4917" s="1"/>
      <c r="AE4917" s="1"/>
    </row>
    <row r="4918" spans="9:31" x14ac:dyDescent="0.25">
      <c r="I4918" s="1"/>
      <c r="J4918" s="1"/>
      <c r="N4918" s="1"/>
      <c r="Z4918" s="1"/>
      <c r="AA4918" s="1"/>
      <c r="AE4918" s="1"/>
    </row>
    <row r="4919" spans="9:31" x14ac:dyDescent="0.25">
      <c r="N4919" s="1"/>
      <c r="Z4919" s="1"/>
      <c r="AA4919" s="1"/>
      <c r="AE4919" s="1"/>
    </row>
    <row r="4920" spans="9:31" x14ac:dyDescent="0.25">
      <c r="I4920" s="1"/>
      <c r="J4920" s="1"/>
      <c r="N4920" s="1"/>
      <c r="AE4920" s="1"/>
    </row>
    <row r="4921" spans="9:31" x14ac:dyDescent="0.25">
      <c r="I4921" s="1"/>
      <c r="J4921" s="1"/>
      <c r="N4921" s="1"/>
      <c r="Z4921" s="1"/>
      <c r="AA4921" s="1"/>
      <c r="AE4921" s="1"/>
    </row>
    <row r="4922" spans="9:31" x14ac:dyDescent="0.25">
      <c r="I4922" s="1"/>
      <c r="J4922" s="1"/>
      <c r="N4922" s="1"/>
      <c r="Z4922" s="1"/>
      <c r="AA4922" s="1"/>
      <c r="AE4922" s="1"/>
    </row>
    <row r="4923" spans="9:31" x14ac:dyDescent="0.25">
      <c r="I4923" s="1"/>
      <c r="J4923" s="1"/>
      <c r="N4923" s="1"/>
      <c r="Z4923" s="1"/>
      <c r="AA4923" s="1"/>
      <c r="AE4923" s="1"/>
    </row>
    <row r="4924" spans="9:31" x14ac:dyDescent="0.25">
      <c r="I4924" s="1"/>
      <c r="J4924" s="1"/>
      <c r="N4924" s="1"/>
      <c r="Z4924" s="1"/>
      <c r="AA4924" s="1"/>
      <c r="AE4924" s="1"/>
    </row>
    <row r="4925" spans="9:31" x14ac:dyDescent="0.25">
      <c r="I4925" s="1"/>
      <c r="J4925" s="1"/>
      <c r="N4925" s="1"/>
      <c r="Z4925" s="1"/>
      <c r="AA4925" s="1"/>
      <c r="AE4925" s="1"/>
    </row>
    <row r="4926" spans="9:31" x14ac:dyDescent="0.25">
      <c r="I4926" s="1"/>
      <c r="J4926" s="1"/>
      <c r="N4926" s="1"/>
      <c r="Z4926" s="1"/>
      <c r="AA4926" s="1"/>
      <c r="AE4926" s="1"/>
    </row>
    <row r="4927" spans="9:31" x14ac:dyDescent="0.25">
      <c r="I4927" s="1"/>
      <c r="J4927" s="1"/>
      <c r="N4927" s="1"/>
      <c r="Z4927" s="1"/>
      <c r="AA4927" s="1"/>
      <c r="AE4927" s="1"/>
    </row>
    <row r="4928" spans="9:31" x14ac:dyDescent="0.25">
      <c r="I4928" s="1"/>
      <c r="J4928" s="1"/>
      <c r="N4928" s="1"/>
      <c r="Z4928" s="1"/>
      <c r="AA4928" s="1"/>
      <c r="AE4928" s="1"/>
    </row>
    <row r="4929" spans="9:31" x14ac:dyDescent="0.25">
      <c r="I4929" s="1"/>
      <c r="J4929" s="1"/>
      <c r="N4929" s="1"/>
      <c r="Z4929" s="1"/>
      <c r="AA4929" s="1"/>
      <c r="AE4929" s="1"/>
    </row>
    <row r="4930" spans="9:31" x14ac:dyDescent="0.25">
      <c r="I4930" s="1"/>
      <c r="J4930" s="1"/>
      <c r="N4930" s="1"/>
      <c r="Z4930" s="1"/>
      <c r="AA4930" s="1"/>
      <c r="AE4930" s="1"/>
    </row>
    <row r="4931" spans="9:31" x14ac:dyDescent="0.25">
      <c r="I4931" s="1"/>
      <c r="J4931" s="1"/>
      <c r="N4931" s="1"/>
      <c r="Z4931" s="1"/>
      <c r="AA4931" s="1"/>
      <c r="AE4931" s="1"/>
    </row>
    <row r="4932" spans="9:31" x14ac:dyDescent="0.25">
      <c r="I4932" s="1"/>
      <c r="J4932" s="1"/>
      <c r="N4932" s="1"/>
      <c r="Z4932" s="1"/>
      <c r="AA4932" s="1"/>
      <c r="AE4932" s="1"/>
    </row>
    <row r="4933" spans="9:31" x14ac:dyDescent="0.25">
      <c r="I4933" s="1"/>
      <c r="J4933" s="1"/>
      <c r="N4933" s="1"/>
      <c r="Z4933" s="1"/>
      <c r="AA4933" s="1"/>
      <c r="AE4933" s="1"/>
    </row>
    <row r="4934" spans="9:31" x14ac:dyDescent="0.25">
      <c r="I4934" s="1"/>
      <c r="J4934" s="1"/>
      <c r="N4934" s="1"/>
      <c r="Z4934" s="1"/>
      <c r="AA4934" s="1"/>
      <c r="AE4934" s="1"/>
    </row>
    <row r="4935" spans="9:31" x14ac:dyDescent="0.25">
      <c r="I4935" s="1"/>
      <c r="J4935" s="1"/>
      <c r="N4935" s="1"/>
      <c r="Z4935" s="1"/>
      <c r="AA4935" s="1"/>
      <c r="AE4935" s="1"/>
    </row>
    <row r="4936" spans="9:31" x14ac:dyDescent="0.25">
      <c r="N4936" s="1"/>
      <c r="Z4936" s="1"/>
      <c r="AA4936" s="1"/>
      <c r="AE4936" s="1"/>
    </row>
    <row r="4937" spans="9:31" x14ac:dyDescent="0.25">
      <c r="I4937" s="1"/>
      <c r="J4937" s="1"/>
      <c r="N4937" s="1"/>
      <c r="AE4937" s="1"/>
    </row>
    <row r="4938" spans="9:31" x14ac:dyDescent="0.25">
      <c r="I4938" s="1"/>
      <c r="J4938" s="1"/>
      <c r="N4938" s="1"/>
      <c r="Z4938" s="1"/>
      <c r="AA4938" s="1"/>
      <c r="AE4938" s="1"/>
    </row>
    <row r="4939" spans="9:31" x14ac:dyDescent="0.25">
      <c r="I4939" s="1"/>
      <c r="J4939" s="1"/>
      <c r="N4939" s="1"/>
      <c r="Z4939" s="1"/>
      <c r="AA4939" s="1"/>
      <c r="AE4939" s="1"/>
    </row>
    <row r="4940" spans="9:31" x14ac:dyDescent="0.25">
      <c r="I4940" s="1"/>
      <c r="J4940" s="1"/>
      <c r="N4940" s="1"/>
      <c r="Z4940" s="1"/>
      <c r="AA4940" s="1"/>
      <c r="AE4940" s="1"/>
    </row>
    <row r="4941" spans="9:31" x14ac:dyDescent="0.25">
      <c r="I4941" s="1"/>
      <c r="J4941" s="1"/>
      <c r="N4941" s="1"/>
      <c r="Z4941" s="1"/>
      <c r="AA4941" s="1"/>
      <c r="AE4941" s="1"/>
    </row>
    <row r="4942" spans="9:31" x14ac:dyDescent="0.25">
      <c r="N4942" s="1"/>
      <c r="Z4942" s="1"/>
      <c r="AA4942" s="1"/>
      <c r="AE4942" s="1"/>
    </row>
    <row r="4943" spans="9:31" x14ac:dyDescent="0.25">
      <c r="I4943" s="1"/>
      <c r="J4943" s="1"/>
      <c r="N4943" s="1"/>
      <c r="AE4943" s="1"/>
    </row>
    <row r="4944" spans="9:31" x14ac:dyDescent="0.25">
      <c r="I4944" s="1"/>
      <c r="J4944" s="1"/>
      <c r="N4944" s="1"/>
      <c r="Z4944" s="1"/>
      <c r="AA4944" s="1"/>
      <c r="AE4944" s="1"/>
    </row>
    <row r="4945" spans="9:31" x14ac:dyDescent="0.25">
      <c r="I4945" s="1"/>
      <c r="J4945" s="1"/>
      <c r="N4945" s="1"/>
      <c r="Z4945" s="1"/>
      <c r="AA4945" s="1"/>
      <c r="AE4945" s="1"/>
    </row>
    <row r="4946" spans="9:31" x14ac:dyDescent="0.25">
      <c r="N4946" s="1"/>
      <c r="Z4946" s="1"/>
      <c r="AA4946" s="1"/>
      <c r="AE4946" s="1"/>
    </row>
    <row r="4947" spans="9:31" x14ac:dyDescent="0.25">
      <c r="I4947" s="1"/>
      <c r="J4947" s="1"/>
      <c r="N4947" s="1"/>
      <c r="AE4947" s="1"/>
    </row>
    <row r="4948" spans="9:31" x14ac:dyDescent="0.25">
      <c r="I4948" s="1"/>
      <c r="J4948" s="1"/>
      <c r="N4948" s="1"/>
      <c r="Z4948" s="1"/>
      <c r="AA4948" s="1"/>
      <c r="AE4948" s="1"/>
    </row>
    <row r="4949" spans="9:31" x14ac:dyDescent="0.25">
      <c r="I4949" s="1"/>
      <c r="J4949" s="1"/>
      <c r="N4949" s="1"/>
      <c r="Z4949" s="1"/>
      <c r="AA4949" s="1"/>
      <c r="AE4949" s="1"/>
    </row>
    <row r="4950" spans="9:31" x14ac:dyDescent="0.25">
      <c r="I4950" s="1"/>
      <c r="J4950" s="1"/>
      <c r="N4950" s="1"/>
      <c r="Z4950" s="1"/>
      <c r="AA4950" s="1"/>
      <c r="AE4950" s="1"/>
    </row>
    <row r="4951" spans="9:31" x14ac:dyDescent="0.25">
      <c r="I4951" s="1"/>
      <c r="J4951" s="1"/>
      <c r="N4951" s="1"/>
      <c r="Z4951" s="1"/>
      <c r="AA4951" s="1"/>
      <c r="AE4951" s="1"/>
    </row>
    <row r="4952" spans="9:31" x14ac:dyDescent="0.25">
      <c r="I4952" s="1"/>
      <c r="J4952" s="1"/>
      <c r="N4952" s="1"/>
      <c r="Z4952" s="1"/>
      <c r="AA4952" s="1"/>
      <c r="AE4952" s="1"/>
    </row>
    <row r="4953" spans="9:31" x14ac:dyDescent="0.25">
      <c r="I4953" s="1"/>
      <c r="J4953" s="1"/>
      <c r="N4953" s="1"/>
      <c r="Z4953" s="1"/>
      <c r="AA4953" s="1"/>
      <c r="AE4953" s="1"/>
    </row>
    <row r="4954" spans="9:31" x14ac:dyDescent="0.25">
      <c r="I4954" s="1"/>
      <c r="J4954" s="1"/>
      <c r="N4954" s="1"/>
      <c r="Z4954" s="1"/>
      <c r="AA4954" s="1"/>
      <c r="AE4954" s="1"/>
    </row>
    <row r="4955" spans="9:31" x14ac:dyDescent="0.25">
      <c r="I4955" s="1"/>
      <c r="J4955" s="1"/>
      <c r="N4955" s="1"/>
      <c r="Z4955" s="1"/>
      <c r="AA4955" s="1"/>
      <c r="AE4955" s="1"/>
    </row>
    <row r="4956" spans="9:31" x14ac:dyDescent="0.25">
      <c r="I4956" s="1"/>
      <c r="J4956" s="1"/>
      <c r="N4956" s="1"/>
      <c r="Z4956" s="1"/>
      <c r="AA4956" s="1"/>
      <c r="AE4956" s="1"/>
    </row>
    <row r="4957" spans="9:31" x14ac:dyDescent="0.25">
      <c r="N4957" s="1"/>
      <c r="Z4957" s="1"/>
      <c r="AA4957" s="1"/>
      <c r="AE4957" s="1"/>
    </row>
    <row r="4958" spans="9:31" x14ac:dyDescent="0.25">
      <c r="I4958" s="1"/>
      <c r="J4958" s="1"/>
      <c r="N4958" s="1"/>
      <c r="AE4958" s="1"/>
    </row>
    <row r="4959" spans="9:31" x14ac:dyDescent="0.25">
      <c r="I4959" s="1"/>
      <c r="J4959" s="1"/>
      <c r="N4959" s="1"/>
      <c r="Z4959" s="1"/>
      <c r="AA4959" s="1"/>
      <c r="AE4959" s="1"/>
    </row>
    <row r="4960" spans="9:31" x14ac:dyDescent="0.25">
      <c r="I4960" s="1"/>
      <c r="J4960" s="1"/>
      <c r="N4960" s="1"/>
      <c r="Z4960" s="1"/>
      <c r="AA4960" s="1"/>
      <c r="AE4960" s="1"/>
    </row>
    <row r="4961" spans="9:31" x14ac:dyDescent="0.25">
      <c r="I4961" s="1"/>
      <c r="J4961" s="1"/>
      <c r="N4961" s="1"/>
      <c r="Z4961" s="1"/>
      <c r="AA4961" s="1"/>
      <c r="AE4961" s="1"/>
    </row>
    <row r="4962" spans="9:31" x14ac:dyDescent="0.25">
      <c r="I4962" s="1"/>
      <c r="J4962" s="1"/>
      <c r="N4962" s="1"/>
      <c r="Z4962" s="1"/>
      <c r="AA4962" s="1"/>
      <c r="AE4962" s="1"/>
    </row>
    <row r="4963" spans="9:31" x14ac:dyDescent="0.25">
      <c r="I4963" s="1"/>
      <c r="J4963" s="1"/>
      <c r="N4963" s="1"/>
      <c r="Z4963" s="1"/>
      <c r="AA4963" s="1"/>
      <c r="AE4963" s="1"/>
    </row>
    <row r="4964" spans="9:31" x14ac:dyDescent="0.25">
      <c r="I4964" s="1"/>
      <c r="J4964" s="1"/>
      <c r="N4964" s="1"/>
      <c r="Z4964" s="1"/>
      <c r="AA4964" s="1"/>
      <c r="AE4964" s="1"/>
    </row>
    <row r="4965" spans="9:31" x14ac:dyDescent="0.25">
      <c r="I4965" s="1"/>
      <c r="J4965" s="1"/>
      <c r="N4965" s="1"/>
      <c r="Z4965" s="1"/>
      <c r="AA4965" s="1"/>
      <c r="AE4965" s="1"/>
    </row>
    <row r="4966" spans="9:31" x14ac:dyDescent="0.25">
      <c r="I4966" s="1"/>
      <c r="J4966" s="1"/>
      <c r="N4966" s="1"/>
      <c r="Z4966" s="1"/>
      <c r="AA4966" s="1"/>
      <c r="AE4966" s="1"/>
    </row>
    <row r="4967" spans="9:31" x14ac:dyDescent="0.25">
      <c r="I4967" s="1"/>
      <c r="J4967" s="1"/>
      <c r="N4967" s="1"/>
      <c r="Z4967" s="1"/>
      <c r="AA4967" s="1"/>
      <c r="AE4967" s="1"/>
    </row>
    <row r="4968" spans="9:31" x14ac:dyDescent="0.25">
      <c r="N4968" s="1"/>
      <c r="Z4968" s="1"/>
      <c r="AA4968" s="1"/>
      <c r="AE4968" s="1"/>
    </row>
    <row r="4969" spans="9:31" x14ac:dyDescent="0.25">
      <c r="I4969" s="1"/>
      <c r="J4969" s="1"/>
      <c r="N4969" s="1"/>
      <c r="AE4969" s="1"/>
    </row>
    <row r="4970" spans="9:31" x14ac:dyDescent="0.25">
      <c r="I4970" s="1"/>
      <c r="J4970" s="1"/>
      <c r="N4970" s="1"/>
      <c r="Z4970" s="1"/>
      <c r="AA4970" s="1"/>
      <c r="AE4970" s="1"/>
    </row>
    <row r="4971" spans="9:31" x14ac:dyDescent="0.25">
      <c r="I4971" s="1"/>
      <c r="J4971" s="1"/>
      <c r="N4971" s="1"/>
      <c r="Z4971" s="1"/>
      <c r="AA4971" s="1"/>
      <c r="AE4971" s="1"/>
    </row>
    <row r="4972" spans="9:31" x14ac:dyDescent="0.25">
      <c r="I4972" s="1"/>
      <c r="J4972" s="1"/>
      <c r="N4972" s="1"/>
      <c r="Z4972" s="1"/>
      <c r="AA4972" s="1"/>
      <c r="AE4972" s="1"/>
    </row>
    <row r="4973" spans="9:31" x14ac:dyDescent="0.25">
      <c r="I4973" s="1"/>
      <c r="J4973" s="1"/>
      <c r="N4973" s="1"/>
      <c r="Z4973" s="1"/>
      <c r="AA4973" s="1"/>
      <c r="AE4973" s="1"/>
    </row>
    <row r="4974" spans="9:31" x14ac:dyDescent="0.25">
      <c r="N4974" s="1"/>
      <c r="Z4974" s="1"/>
      <c r="AA4974" s="1"/>
      <c r="AE4974" s="1"/>
    </row>
    <row r="4975" spans="9:31" x14ac:dyDescent="0.25">
      <c r="N4975" s="1"/>
      <c r="AE4975" s="1"/>
    </row>
    <row r="4976" spans="9:31" x14ac:dyDescent="0.25">
      <c r="I4976" s="1"/>
      <c r="J4976" s="1"/>
      <c r="N4976" s="1"/>
      <c r="AE4976" s="1"/>
    </row>
    <row r="4977" spans="9:31" x14ac:dyDescent="0.25">
      <c r="I4977" s="1"/>
      <c r="J4977" s="1"/>
      <c r="N4977" s="1"/>
      <c r="Z4977" s="1"/>
      <c r="AA4977" s="1"/>
      <c r="AE4977" s="1"/>
    </row>
    <row r="4978" spans="9:31" x14ac:dyDescent="0.25">
      <c r="I4978" s="1"/>
      <c r="J4978" s="1"/>
      <c r="N4978" s="1"/>
      <c r="Z4978" s="1"/>
      <c r="AA4978" s="1"/>
      <c r="AE4978" s="1"/>
    </row>
    <row r="4979" spans="9:31" x14ac:dyDescent="0.25">
      <c r="I4979" s="1"/>
      <c r="J4979" s="1"/>
      <c r="N4979" s="1"/>
      <c r="Z4979" s="1"/>
      <c r="AA4979" s="1"/>
      <c r="AE4979" s="1"/>
    </row>
    <row r="4980" spans="9:31" x14ac:dyDescent="0.25">
      <c r="I4980" s="1"/>
      <c r="J4980" s="1"/>
      <c r="N4980" s="1"/>
      <c r="Z4980" s="1"/>
      <c r="AA4980" s="1"/>
      <c r="AE4980" s="1"/>
    </row>
    <row r="4981" spans="9:31" x14ac:dyDescent="0.25">
      <c r="N4981" s="1"/>
      <c r="Z4981" s="1"/>
      <c r="AA4981" s="1"/>
      <c r="AE4981" s="1"/>
    </row>
    <row r="4982" spans="9:31" x14ac:dyDescent="0.25">
      <c r="I4982" s="1"/>
      <c r="J4982" s="1"/>
      <c r="N4982" s="1"/>
      <c r="AE4982" s="1"/>
    </row>
    <row r="4983" spans="9:31" x14ac:dyDescent="0.25">
      <c r="N4983" s="1"/>
      <c r="Z4983" s="1"/>
      <c r="AA4983" s="1"/>
      <c r="AE4983" s="1"/>
    </row>
    <row r="4984" spans="9:31" x14ac:dyDescent="0.25">
      <c r="I4984" s="1"/>
      <c r="J4984" s="1"/>
      <c r="N4984" s="1"/>
      <c r="AE4984" s="1"/>
    </row>
    <row r="4985" spans="9:31" x14ac:dyDescent="0.25">
      <c r="I4985" s="1"/>
      <c r="J4985" s="1"/>
      <c r="N4985" s="1"/>
      <c r="Z4985" s="1"/>
      <c r="AA4985" s="1"/>
      <c r="AE4985" s="1"/>
    </row>
    <row r="4986" spans="9:31" x14ac:dyDescent="0.25">
      <c r="I4986" s="1"/>
      <c r="J4986" s="1"/>
      <c r="N4986" s="1"/>
      <c r="Z4986" s="1"/>
      <c r="AA4986" s="1"/>
      <c r="AE4986" s="1"/>
    </row>
    <row r="4987" spans="9:31" x14ac:dyDescent="0.25">
      <c r="I4987" s="1"/>
      <c r="J4987" s="1"/>
      <c r="N4987" s="1"/>
      <c r="Z4987" s="1"/>
      <c r="AA4987" s="1"/>
      <c r="AE4987" s="1"/>
    </row>
    <row r="4988" spans="9:31" x14ac:dyDescent="0.25">
      <c r="I4988" s="1"/>
      <c r="J4988" s="1"/>
      <c r="N4988" s="1"/>
      <c r="Z4988" s="1"/>
      <c r="AA4988" s="1"/>
      <c r="AE4988" s="1"/>
    </row>
    <row r="4989" spans="9:31" x14ac:dyDescent="0.25">
      <c r="I4989" s="1"/>
      <c r="J4989" s="1"/>
      <c r="N4989" s="1"/>
      <c r="Z4989" s="1"/>
      <c r="AA4989" s="1"/>
      <c r="AE4989" s="1"/>
    </row>
    <row r="4990" spans="9:31" x14ac:dyDescent="0.25">
      <c r="I4990" s="1"/>
      <c r="J4990" s="1"/>
      <c r="N4990" s="1"/>
      <c r="Z4990" s="1"/>
      <c r="AA4990" s="1"/>
      <c r="AE4990" s="1"/>
    </row>
    <row r="4991" spans="9:31" x14ac:dyDescent="0.25">
      <c r="N4991" s="1"/>
      <c r="Z4991" s="1"/>
      <c r="AA4991" s="1"/>
      <c r="AE4991" s="1"/>
    </row>
    <row r="4992" spans="9:31" x14ac:dyDescent="0.25">
      <c r="I4992" s="1"/>
      <c r="J4992" s="1"/>
      <c r="N4992" s="1"/>
      <c r="AE4992" s="1"/>
    </row>
    <row r="4993" spans="9:31" x14ac:dyDescent="0.25">
      <c r="N4993" s="1"/>
      <c r="Z4993" s="1"/>
      <c r="AA4993" s="1"/>
      <c r="AE4993" s="1"/>
    </row>
    <row r="4994" spans="9:31" x14ac:dyDescent="0.25">
      <c r="I4994" s="1"/>
      <c r="J4994" s="1"/>
      <c r="N4994" s="1"/>
      <c r="AE4994" s="1"/>
    </row>
    <row r="4995" spans="9:31" x14ac:dyDescent="0.25">
      <c r="I4995" s="1"/>
      <c r="J4995" s="1"/>
      <c r="N4995" s="1"/>
      <c r="Z4995" s="1"/>
      <c r="AA4995" s="1"/>
      <c r="AE4995" s="1"/>
    </row>
    <row r="4996" spans="9:31" x14ac:dyDescent="0.25">
      <c r="I4996" s="1"/>
      <c r="J4996" s="1"/>
      <c r="N4996" s="1"/>
      <c r="Z4996" s="1"/>
      <c r="AA4996" s="1"/>
      <c r="AE4996" s="1"/>
    </row>
    <row r="4997" spans="9:31" x14ac:dyDescent="0.25">
      <c r="I4997" s="1"/>
      <c r="J4997" s="1"/>
      <c r="N4997" s="1"/>
      <c r="Z4997" s="1"/>
      <c r="AA4997" s="1"/>
      <c r="AE4997" s="1"/>
    </row>
    <row r="4998" spans="9:31" x14ac:dyDescent="0.25">
      <c r="I4998" s="1"/>
      <c r="J4998" s="1"/>
      <c r="N4998" s="1"/>
      <c r="Z4998" s="1"/>
      <c r="AA4998" s="1"/>
      <c r="AE4998" s="1"/>
    </row>
    <row r="4999" spans="9:31" x14ac:dyDescent="0.25">
      <c r="I4999" s="1"/>
      <c r="J4999" s="1"/>
      <c r="N4999" s="1"/>
      <c r="Z4999" s="1"/>
      <c r="AA4999" s="1"/>
      <c r="AE4999" s="1"/>
    </row>
    <row r="5000" spans="9:31" x14ac:dyDescent="0.25">
      <c r="I5000" s="1"/>
      <c r="J5000" s="1"/>
      <c r="N5000" s="1"/>
      <c r="Z5000" s="1"/>
      <c r="AA5000" s="1"/>
      <c r="AE5000" s="1"/>
    </row>
    <row r="5001" spans="9:31" x14ac:dyDescent="0.25">
      <c r="I5001" s="1"/>
      <c r="J5001" s="1"/>
      <c r="N5001" s="1"/>
      <c r="Z5001" s="1"/>
      <c r="AA5001" s="1"/>
      <c r="AE5001" s="1"/>
    </row>
    <row r="5002" spans="9:31" x14ac:dyDescent="0.25">
      <c r="I5002" s="1"/>
      <c r="J5002" s="1"/>
      <c r="N5002" s="1"/>
      <c r="Z5002" s="1"/>
      <c r="AA5002" s="1"/>
      <c r="AE5002" s="1"/>
    </row>
    <row r="5003" spans="9:31" x14ac:dyDescent="0.25">
      <c r="I5003" s="1"/>
      <c r="J5003" s="1"/>
      <c r="N5003" s="1"/>
      <c r="Z5003" s="1"/>
      <c r="AA5003" s="1"/>
      <c r="AE5003" s="1"/>
    </row>
    <row r="5004" spans="9:31" x14ac:dyDescent="0.25">
      <c r="N5004" s="1"/>
      <c r="Z5004" s="1"/>
      <c r="AA5004" s="1"/>
      <c r="AE5004" s="1"/>
    </row>
    <row r="5005" spans="9:31" x14ac:dyDescent="0.25">
      <c r="I5005" s="1"/>
      <c r="J5005" s="1"/>
      <c r="N5005" s="1"/>
      <c r="AE5005" s="1"/>
    </row>
    <row r="5006" spans="9:31" x14ac:dyDescent="0.25">
      <c r="I5006" s="1"/>
      <c r="J5006" s="1"/>
      <c r="N5006" s="1"/>
      <c r="Z5006" s="1"/>
      <c r="AA5006" s="1"/>
      <c r="AE5006" s="1"/>
    </row>
    <row r="5007" spans="9:31" x14ac:dyDescent="0.25">
      <c r="I5007" s="1"/>
      <c r="J5007" s="1"/>
      <c r="N5007" s="1"/>
      <c r="Z5007" s="1"/>
      <c r="AA5007" s="1"/>
      <c r="AE5007" s="1"/>
    </row>
    <row r="5008" spans="9:31" x14ac:dyDescent="0.25">
      <c r="N5008" s="1"/>
      <c r="Z5008" s="1"/>
      <c r="AA5008" s="1"/>
      <c r="AE5008" s="1"/>
    </row>
    <row r="5009" spans="9:31" x14ac:dyDescent="0.25">
      <c r="I5009" s="1"/>
      <c r="J5009" s="1"/>
      <c r="N5009" s="1"/>
      <c r="AE5009" s="1"/>
    </row>
    <row r="5010" spans="9:31" x14ac:dyDescent="0.25">
      <c r="I5010" s="1"/>
      <c r="J5010" s="1"/>
      <c r="N5010" s="1"/>
      <c r="Z5010" s="1"/>
      <c r="AA5010" s="1"/>
      <c r="AE5010" s="1"/>
    </row>
    <row r="5011" spans="9:31" x14ac:dyDescent="0.25">
      <c r="I5011" s="1"/>
      <c r="J5011" s="1"/>
      <c r="N5011" s="1"/>
      <c r="Z5011" s="1"/>
      <c r="AA5011" s="1"/>
      <c r="AE5011" s="1"/>
    </row>
    <row r="5012" spans="9:31" x14ac:dyDescent="0.25">
      <c r="I5012" s="1"/>
      <c r="J5012" s="1"/>
      <c r="N5012" s="1"/>
      <c r="Z5012" s="1"/>
      <c r="AA5012" s="1"/>
      <c r="AE5012" s="1"/>
    </row>
    <row r="5013" spans="9:31" x14ac:dyDescent="0.25">
      <c r="I5013" s="1"/>
      <c r="J5013" s="1"/>
      <c r="N5013" s="1"/>
      <c r="Z5013" s="1"/>
      <c r="AA5013" s="1"/>
      <c r="AE5013" s="1"/>
    </row>
    <row r="5014" spans="9:31" x14ac:dyDescent="0.25">
      <c r="I5014" s="1"/>
      <c r="J5014" s="1"/>
      <c r="N5014" s="1"/>
      <c r="Z5014" s="1"/>
      <c r="AA5014" s="1"/>
      <c r="AE5014" s="1"/>
    </row>
    <row r="5015" spans="9:31" x14ac:dyDescent="0.25">
      <c r="I5015" s="1"/>
      <c r="J5015" s="1"/>
      <c r="N5015" s="1"/>
      <c r="Z5015" s="1"/>
      <c r="AA5015" s="1"/>
      <c r="AE5015" s="1"/>
    </row>
    <row r="5016" spans="9:31" x14ac:dyDescent="0.25">
      <c r="N5016" s="1"/>
      <c r="Z5016" s="1"/>
      <c r="AA5016" s="1"/>
      <c r="AE5016" s="1"/>
    </row>
    <row r="5017" spans="9:31" x14ac:dyDescent="0.25">
      <c r="I5017" s="1"/>
      <c r="J5017" s="1"/>
      <c r="N5017" s="1"/>
      <c r="AE5017" s="1"/>
    </row>
    <row r="5018" spans="9:31" x14ac:dyDescent="0.25">
      <c r="I5018" s="1"/>
      <c r="J5018" s="1"/>
      <c r="N5018" s="1"/>
      <c r="Z5018" s="1"/>
      <c r="AA5018" s="1"/>
      <c r="AE5018" s="1"/>
    </row>
    <row r="5019" spans="9:31" x14ac:dyDescent="0.25">
      <c r="I5019" s="1"/>
      <c r="J5019" s="1"/>
      <c r="N5019" s="1"/>
      <c r="Z5019" s="1"/>
      <c r="AA5019" s="1"/>
      <c r="AE5019" s="1"/>
    </row>
    <row r="5020" spans="9:31" x14ac:dyDescent="0.25">
      <c r="N5020" s="1"/>
      <c r="Z5020" s="1"/>
      <c r="AA5020" s="1"/>
      <c r="AE5020" s="1"/>
    </row>
    <row r="5021" spans="9:31" x14ac:dyDescent="0.25">
      <c r="I5021" s="1"/>
      <c r="J5021" s="1"/>
      <c r="N5021" s="1"/>
      <c r="AE5021" s="1"/>
    </row>
    <row r="5022" spans="9:31" x14ac:dyDescent="0.25">
      <c r="I5022" s="1"/>
      <c r="J5022" s="1"/>
      <c r="N5022" s="1"/>
      <c r="Z5022" s="1"/>
      <c r="AA5022" s="1"/>
      <c r="AE5022" s="1"/>
    </row>
    <row r="5023" spans="9:31" x14ac:dyDescent="0.25">
      <c r="I5023" s="1"/>
      <c r="J5023" s="1"/>
      <c r="N5023" s="1"/>
      <c r="Z5023" s="1"/>
      <c r="AA5023" s="1"/>
      <c r="AE5023" s="1"/>
    </row>
    <row r="5024" spans="9:31" x14ac:dyDescent="0.25">
      <c r="I5024" s="1"/>
      <c r="J5024" s="1"/>
      <c r="N5024" s="1"/>
      <c r="Z5024" s="1"/>
      <c r="AA5024" s="1"/>
      <c r="AE5024" s="1"/>
    </row>
    <row r="5025" spans="9:31" x14ac:dyDescent="0.25">
      <c r="I5025" s="1"/>
      <c r="J5025" s="1"/>
      <c r="N5025" s="1"/>
      <c r="Z5025" s="1"/>
      <c r="AA5025" s="1"/>
      <c r="AE5025" s="1"/>
    </row>
    <row r="5026" spans="9:31" x14ac:dyDescent="0.25">
      <c r="I5026" s="1"/>
      <c r="J5026" s="1"/>
      <c r="N5026" s="1"/>
      <c r="Z5026" s="1"/>
      <c r="AA5026" s="1"/>
      <c r="AE5026" s="1"/>
    </row>
    <row r="5027" spans="9:31" x14ac:dyDescent="0.25">
      <c r="I5027" s="1"/>
      <c r="J5027" s="1"/>
      <c r="N5027" s="1"/>
      <c r="Z5027" s="1"/>
      <c r="AA5027" s="1"/>
      <c r="AE5027" s="1"/>
    </row>
    <row r="5028" spans="9:31" x14ac:dyDescent="0.25">
      <c r="I5028" s="1"/>
      <c r="J5028" s="1"/>
      <c r="N5028" s="1"/>
      <c r="Z5028" s="1"/>
      <c r="AA5028" s="1"/>
      <c r="AE5028" s="1"/>
    </row>
    <row r="5029" spans="9:31" x14ac:dyDescent="0.25">
      <c r="I5029" s="1"/>
      <c r="J5029" s="1"/>
      <c r="N5029" s="1"/>
      <c r="Z5029" s="1"/>
      <c r="AA5029" s="1"/>
      <c r="AE5029" s="1"/>
    </row>
    <row r="5030" spans="9:31" x14ac:dyDescent="0.25">
      <c r="I5030" s="1"/>
      <c r="J5030" s="1"/>
      <c r="N5030" s="1"/>
      <c r="Z5030" s="1"/>
      <c r="AA5030" s="1"/>
      <c r="AE5030" s="1"/>
    </row>
    <row r="5031" spans="9:31" x14ac:dyDescent="0.25">
      <c r="I5031" s="1"/>
      <c r="J5031" s="1"/>
      <c r="N5031" s="1"/>
      <c r="Z5031" s="1"/>
      <c r="AA5031" s="1"/>
      <c r="AE5031" s="1"/>
    </row>
    <row r="5032" spans="9:31" x14ac:dyDescent="0.25">
      <c r="I5032" s="1"/>
      <c r="J5032" s="1"/>
      <c r="N5032" s="1"/>
      <c r="Z5032" s="1"/>
      <c r="AA5032" s="1"/>
      <c r="AE5032" s="1"/>
    </row>
    <row r="5033" spans="9:31" x14ac:dyDescent="0.25">
      <c r="I5033" s="1"/>
      <c r="J5033" s="1"/>
      <c r="N5033" s="1"/>
      <c r="Z5033" s="1"/>
      <c r="AA5033" s="1"/>
      <c r="AE5033" s="1"/>
    </row>
    <row r="5034" spans="9:31" x14ac:dyDescent="0.25">
      <c r="I5034" s="1"/>
      <c r="J5034" s="1"/>
      <c r="N5034" s="1"/>
      <c r="Z5034" s="1"/>
      <c r="AA5034" s="1"/>
      <c r="AE5034" s="1"/>
    </row>
    <row r="5035" spans="9:31" x14ac:dyDescent="0.25">
      <c r="I5035" s="1"/>
      <c r="J5035" s="1"/>
      <c r="N5035" s="1"/>
      <c r="Z5035" s="1"/>
      <c r="AA5035" s="1"/>
      <c r="AE5035" s="1"/>
    </row>
    <row r="5036" spans="9:31" x14ac:dyDescent="0.25">
      <c r="I5036" s="1"/>
      <c r="J5036" s="1"/>
      <c r="N5036" s="1"/>
      <c r="Z5036" s="1"/>
      <c r="AA5036" s="1"/>
      <c r="AE5036" s="1"/>
    </row>
    <row r="5037" spans="9:31" x14ac:dyDescent="0.25">
      <c r="I5037" s="1"/>
      <c r="J5037" s="1"/>
      <c r="N5037" s="1"/>
      <c r="Z5037" s="1"/>
      <c r="AA5037" s="1"/>
      <c r="AE5037" s="1"/>
    </row>
    <row r="5038" spans="9:31" x14ac:dyDescent="0.25">
      <c r="I5038" s="1"/>
      <c r="J5038" s="1"/>
      <c r="N5038" s="1"/>
      <c r="Z5038" s="1"/>
      <c r="AA5038" s="1"/>
      <c r="AE5038" s="1"/>
    </row>
    <row r="5039" spans="9:31" x14ac:dyDescent="0.25">
      <c r="I5039" s="1"/>
      <c r="J5039" s="1"/>
      <c r="N5039" s="1"/>
      <c r="Z5039" s="1"/>
      <c r="AA5039" s="1"/>
      <c r="AE5039" s="1"/>
    </row>
    <row r="5040" spans="9:31" x14ac:dyDescent="0.25">
      <c r="N5040" s="1"/>
      <c r="Z5040" s="1"/>
      <c r="AA5040" s="1"/>
      <c r="AE5040" s="1"/>
    </row>
    <row r="5041" spans="9:31" x14ac:dyDescent="0.25">
      <c r="I5041" s="1"/>
      <c r="J5041" s="1"/>
      <c r="N5041" s="1"/>
      <c r="AE5041" s="1"/>
    </row>
    <row r="5042" spans="9:31" x14ac:dyDescent="0.25">
      <c r="I5042" s="1"/>
      <c r="J5042" s="1"/>
      <c r="N5042" s="1"/>
      <c r="Z5042" s="1"/>
      <c r="AA5042" s="1"/>
      <c r="AE5042" s="1"/>
    </row>
    <row r="5043" spans="9:31" x14ac:dyDescent="0.25">
      <c r="I5043" s="1"/>
      <c r="J5043" s="1"/>
      <c r="N5043" s="1"/>
      <c r="Z5043" s="1"/>
      <c r="AA5043" s="1"/>
      <c r="AE5043" s="1"/>
    </row>
    <row r="5044" spans="9:31" x14ac:dyDescent="0.25">
      <c r="I5044" s="1"/>
      <c r="J5044" s="1"/>
      <c r="N5044" s="1"/>
      <c r="Z5044" s="1"/>
      <c r="AA5044" s="1"/>
      <c r="AE5044" s="1"/>
    </row>
    <row r="5045" spans="9:31" x14ac:dyDescent="0.25">
      <c r="I5045" s="1"/>
      <c r="J5045" s="1"/>
      <c r="N5045" s="1"/>
      <c r="Z5045" s="1"/>
      <c r="AA5045" s="1"/>
      <c r="AE5045" s="1"/>
    </row>
    <row r="5046" spans="9:31" x14ac:dyDescent="0.25">
      <c r="I5046" s="1"/>
      <c r="J5046" s="1"/>
      <c r="N5046" s="1"/>
      <c r="Z5046" s="1"/>
      <c r="AA5046" s="1"/>
      <c r="AE5046" s="1"/>
    </row>
    <row r="5047" spans="9:31" x14ac:dyDescent="0.25">
      <c r="I5047" s="1"/>
      <c r="J5047" s="1"/>
      <c r="N5047" s="1"/>
      <c r="Z5047" s="1"/>
      <c r="AA5047" s="1"/>
      <c r="AE5047" s="1"/>
    </row>
    <row r="5048" spans="9:31" x14ac:dyDescent="0.25">
      <c r="I5048" s="1"/>
      <c r="J5048" s="1"/>
      <c r="N5048" s="1"/>
      <c r="Z5048" s="1"/>
      <c r="AA5048" s="1"/>
      <c r="AE5048" s="1"/>
    </row>
    <row r="5049" spans="9:31" x14ac:dyDescent="0.25">
      <c r="I5049" s="1"/>
      <c r="J5049" s="1"/>
      <c r="N5049" s="1"/>
      <c r="Z5049" s="1"/>
      <c r="AA5049" s="1"/>
      <c r="AE5049" s="1"/>
    </row>
    <row r="5050" spans="9:31" x14ac:dyDescent="0.25">
      <c r="I5050" s="1"/>
      <c r="J5050" s="1"/>
      <c r="N5050" s="1"/>
      <c r="Z5050" s="1"/>
      <c r="AA5050" s="1"/>
      <c r="AE5050" s="1"/>
    </row>
    <row r="5051" spans="9:31" x14ac:dyDescent="0.25">
      <c r="N5051" s="1"/>
      <c r="Z5051" s="1"/>
      <c r="AA5051" s="1"/>
      <c r="AE5051" s="1"/>
    </row>
    <row r="5052" spans="9:31" x14ac:dyDescent="0.25">
      <c r="I5052" s="1"/>
      <c r="J5052" s="1"/>
      <c r="N5052" s="1"/>
      <c r="AE5052" s="1"/>
    </row>
    <row r="5053" spans="9:31" x14ac:dyDescent="0.25">
      <c r="I5053" s="1"/>
      <c r="J5053" s="1"/>
      <c r="N5053" s="1"/>
      <c r="Z5053" s="1"/>
      <c r="AA5053" s="1"/>
      <c r="AE5053" s="1"/>
    </row>
    <row r="5054" spans="9:31" x14ac:dyDescent="0.25">
      <c r="N5054" s="1"/>
      <c r="Z5054" s="1"/>
      <c r="AA5054" s="1"/>
      <c r="AE5054" s="1"/>
    </row>
    <row r="5055" spans="9:31" x14ac:dyDescent="0.25">
      <c r="I5055" s="1"/>
      <c r="J5055" s="1"/>
      <c r="N5055" s="1"/>
      <c r="AE5055" s="1"/>
    </row>
    <row r="5056" spans="9:31" x14ac:dyDescent="0.25">
      <c r="I5056" s="1"/>
      <c r="J5056" s="1"/>
      <c r="N5056" s="1"/>
      <c r="Z5056" s="1"/>
      <c r="AA5056" s="1"/>
      <c r="AE5056" s="1"/>
    </row>
    <row r="5057" spans="9:31" x14ac:dyDescent="0.25">
      <c r="I5057" s="1"/>
      <c r="J5057" s="1"/>
      <c r="N5057" s="1"/>
      <c r="Z5057" s="1"/>
      <c r="AA5057" s="1"/>
      <c r="AE5057" s="1"/>
    </row>
    <row r="5058" spans="9:31" x14ac:dyDescent="0.25">
      <c r="I5058" s="1"/>
      <c r="J5058" s="1"/>
      <c r="N5058" s="1"/>
      <c r="Z5058" s="1"/>
      <c r="AA5058" s="1"/>
      <c r="AE5058" s="1"/>
    </row>
    <row r="5059" spans="9:31" x14ac:dyDescent="0.25">
      <c r="I5059" s="1"/>
      <c r="J5059" s="1"/>
      <c r="N5059" s="1"/>
      <c r="Z5059" s="1"/>
      <c r="AA5059" s="1"/>
      <c r="AE5059" s="1"/>
    </row>
    <row r="5060" spans="9:31" x14ac:dyDescent="0.25">
      <c r="I5060" s="1"/>
      <c r="J5060" s="1"/>
      <c r="N5060" s="1"/>
      <c r="Z5060" s="1"/>
      <c r="AA5060" s="1"/>
      <c r="AE5060" s="1"/>
    </row>
    <row r="5061" spans="9:31" x14ac:dyDescent="0.25">
      <c r="N5061" s="1"/>
      <c r="Z5061" s="1"/>
      <c r="AA5061" s="1"/>
      <c r="AE5061" s="1"/>
    </row>
    <row r="5062" spans="9:31" x14ac:dyDescent="0.25">
      <c r="I5062" s="1"/>
      <c r="J5062" s="1"/>
      <c r="N5062" s="1"/>
      <c r="AE5062" s="1"/>
    </row>
    <row r="5063" spans="9:31" x14ac:dyDescent="0.25">
      <c r="I5063" s="1"/>
      <c r="J5063" s="1"/>
      <c r="N5063" s="1"/>
      <c r="Z5063" s="1"/>
      <c r="AA5063" s="1"/>
      <c r="AE5063" s="1"/>
    </row>
    <row r="5064" spans="9:31" x14ac:dyDescent="0.25">
      <c r="N5064" s="1"/>
      <c r="Z5064" s="1"/>
      <c r="AA5064" s="1"/>
      <c r="AE5064" s="1"/>
    </row>
    <row r="5065" spans="9:31" x14ac:dyDescent="0.25">
      <c r="N5065" s="1"/>
      <c r="AE5065" s="1"/>
    </row>
    <row r="5066" spans="9:31" x14ac:dyDescent="0.25">
      <c r="I5066" s="1"/>
      <c r="J5066" s="1"/>
      <c r="N5066" s="1"/>
      <c r="AE5066" s="1"/>
    </row>
    <row r="5067" spans="9:31" x14ac:dyDescent="0.25">
      <c r="I5067" s="1"/>
      <c r="J5067" s="1"/>
      <c r="N5067" s="1"/>
      <c r="Z5067" s="1"/>
      <c r="AA5067" s="1"/>
      <c r="AE5067" s="1"/>
    </row>
    <row r="5068" spans="9:31" x14ac:dyDescent="0.25">
      <c r="I5068" s="1"/>
      <c r="J5068" s="1"/>
      <c r="N5068" s="1"/>
      <c r="Z5068" s="1"/>
      <c r="AA5068" s="1"/>
      <c r="AE5068" s="1"/>
    </row>
    <row r="5069" spans="9:31" x14ac:dyDescent="0.25">
      <c r="N5069" s="1"/>
      <c r="Z5069" s="1"/>
      <c r="AA5069" s="1"/>
      <c r="AE5069" s="1"/>
    </row>
    <row r="5070" spans="9:31" x14ac:dyDescent="0.25">
      <c r="N5070" s="1"/>
      <c r="AE5070" s="1"/>
    </row>
    <row r="5071" spans="9:31" x14ac:dyDescent="0.25">
      <c r="N5071" s="1"/>
      <c r="AE5071" s="1"/>
    </row>
    <row r="5072" spans="9:31" x14ac:dyDescent="0.25">
      <c r="N5072" s="1"/>
      <c r="AE5072" s="1"/>
    </row>
    <row r="5073" spans="9:31" x14ac:dyDescent="0.25">
      <c r="N5073" s="1"/>
      <c r="AE5073" s="1"/>
    </row>
    <row r="5074" spans="9:31" x14ac:dyDescent="0.25">
      <c r="N5074" s="1"/>
      <c r="AE5074" s="1"/>
    </row>
    <row r="5075" spans="9:31" x14ac:dyDescent="0.25">
      <c r="N5075" s="1"/>
      <c r="AE5075" s="1"/>
    </row>
    <row r="5076" spans="9:31" x14ac:dyDescent="0.25">
      <c r="N5076" s="1"/>
      <c r="AE5076" s="1"/>
    </row>
    <row r="5077" spans="9:31" x14ac:dyDescent="0.25">
      <c r="I5077" s="1"/>
      <c r="J5077" s="1"/>
      <c r="N5077" s="1"/>
      <c r="AE5077" s="1"/>
    </row>
    <row r="5078" spans="9:31" x14ac:dyDescent="0.25">
      <c r="I5078" s="1"/>
      <c r="J5078" s="1"/>
      <c r="N5078" s="1"/>
      <c r="Z5078" s="1"/>
      <c r="AA5078" s="1"/>
      <c r="AE5078" s="1"/>
    </row>
    <row r="5079" spans="9:31" x14ac:dyDescent="0.25">
      <c r="I5079" s="1"/>
      <c r="J5079" s="1"/>
      <c r="N5079" s="1"/>
      <c r="Z5079" s="1"/>
      <c r="AA5079" s="1"/>
      <c r="AE5079" s="1"/>
    </row>
    <row r="5080" spans="9:31" x14ac:dyDescent="0.25">
      <c r="N5080" s="1"/>
      <c r="Z5080" s="1"/>
      <c r="AA5080" s="1"/>
      <c r="AE5080" s="1"/>
    </row>
    <row r="5081" spans="9:31" x14ac:dyDescent="0.25">
      <c r="I5081" s="1"/>
      <c r="J5081" s="1"/>
      <c r="N5081" s="1"/>
      <c r="AE5081" s="1"/>
    </row>
    <row r="5082" spans="9:31" x14ac:dyDescent="0.25">
      <c r="I5082" s="1"/>
      <c r="J5082" s="1"/>
      <c r="N5082" s="1"/>
      <c r="Z5082" s="1"/>
      <c r="AA5082" s="1"/>
      <c r="AE5082" s="1"/>
    </row>
    <row r="5083" spans="9:31" x14ac:dyDescent="0.25">
      <c r="I5083" s="1"/>
      <c r="J5083" s="1"/>
      <c r="N5083" s="1"/>
      <c r="Z5083" s="1"/>
      <c r="AA5083" s="1"/>
      <c r="AE5083" s="1"/>
    </row>
    <row r="5084" spans="9:31" x14ac:dyDescent="0.25">
      <c r="I5084" s="1"/>
      <c r="J5084" s="1"/>
      <c r="N5084" s="1"/>
      <c r="Z5084" s="1"/>
      <c r="AA5084" s="1"/>
      <c r="AE5084" s="1"/>
    </row>
    <row r="5085" spans="9:31" x14ac:dyDescent="0.25">
      <c r="I5085" s="1"/>
      <c r="J5085" s="1"/>
      <c r="N5085" s="1"/>
      <c r="Z5085" s="1"/>
      <c r="AA5085" s="1"/>
      <c r="AE5085" s="1"/>
    </row>
    <row r="5086" spans="9:31" x14ac:dyDescent="0.25">
      <c r="N5086" s="1"/>
      <c r="Z5086" s="1"/>
      <c r="AA5086" s="1"/>
      <c r="AE5086" s="1"/>
    </row>
    <row r="5087" spans="9:31" x14ac:dyDescent="0.25">
      <c r="I5087" s="1"/>
      <c r="J5087" s="1"/>
      <c r="N5087" s="1"/>
      <c r="AE5087" s="1"/>
    </row>
    <row r="5088" spans="9:31" x14ac:dyDescent="0.25">
      <c r="I5088" s="1"/>
      <c r="J5088" s="1"/>
      <c r="N5088" s="1"/>
      <c r="Z5088" s="1"/>
      <c r="AA5088" s="1"/>
      <c r="AE5088" s="1"/>
    </row>
    <row r="5089" spans="9:31" x14ac:dyDescent="0.25">
      <c r="N5089" s="1"/>
      <c r="Z5089" s="1"/>
      <c r="AA5089" s="1"/>
      <c r="AE5089" s="1"/>
    </row>
    <row r="5090" spans="9:31" x14ac:dyDescent="0.25">
      <c r="I5090" s="1"/>
      <c r="J5090" s="1"/>
      <c r="N5090" s="1"/>
      <c r="AE5090" s="1"/>
    </row>
    <row r="5091" spans="9:31" x14ac:dyDescent="0.25">
      <c r="I5091" s="1"/>
      <c r="J5091" s="1"/>
      <c r="N5091" s="1"/>
      <c r="Z5091" s="1"/>
      <c r="AA5091" s="1"/>
      <c r="AE5091" s="1"/>
    </row>
    <row r="5092" spans="9:31" x14ac:dyDescent="0.25">
      <c r="I5092" s="1"/>
      <c r="J5092" s="1"/>
      <c r="N5092" s="1"/>
      <c r="Z5092" s="1"/>
      <c r="AA5092" s="1"/>
      <c r="AE5092" s="1"/>
    </row>
    <row r="5093" spans="9:31" x14ac:dyDescent="0.25">
      <c r="I5093" s="1"/>
      <c r="J5093" s="1"/>
      <c r="N5093" s="1"/>
      <c r="Z5093" s="1"/>
      <c r="AA5093" s="1"/>
      <c r="AE5093" s="1"/>
    </row>
    <row r="5094" spans="9:31" x14ac:dyDescent="0.25">
      <c r="N5094" s="1"/>
      <c r="Z5094" s="1"/>
      <c r="AA5094" s="1"/>
      <c r="AE5094" s="1"/>
    </row>
    <row r="5095" spans="9:31" x14ac:dyDescent="0.25">
      <c r="N5095" s="1"/>
      <c r="AE5095" s="1"/>
    </row>
    <row r="5096" spans="9:31" x14ac:dyDescent="0.25">
      <c r="N5096" s="1"/>
      <c r="AE5096" s="1"/>
    </row>
    <row r="5097" spans="9:31" x14ac:dyDescent="0.25">
      <c r="I5097" s="1"/>
      <c r="J5097" s="1"/>
      <c r="N5097" s="1"/>
      <c r="AE5097" s="1"/>
    </row>
    <row r="5098" spans="9:31" x14ac:dyDescent="0.25">
      <c r="N5098" s="1"/>
      <c r="Z5098" s="1"/>
      <c r="AA5098" s="1"/>
      <c r="AE5098" s="1"/>
    </row>
    <row r="5099" spans="9:31" x14ac:dyDescent="0.25">
      <c r="N5099" s="1"/>
      <c r="AE5099" s="1"/>
    </row>
    <row r="5100" spans="9:31" x14ac:dyDescent="0.25">
      <c r="N5100" s="1"/>
      <c r="AE5100" s="1"/>
    </row>
    <row r="5101" spans="9:31" x14ac:dyDescent="0.25">
      <c r="N5101" s="1"/>
      <c r="AE5101" s="1"/>
    </row>
    <row r="5102" spans="9:31" x14ac:dyDescent="0.25">
      <c r="N5102" s="1"/>
      <c r="AE5102" s="1"/>
    </row>
    <row r="5103" spans="9:31" x14ac:dyDescent="0.25">
      <c r="N5103" s="1"/>
      <c r="AE5103" s="1"/>
    </row>
    <row r="5104" spans="9:31" x14ac:dyDescent="0.25">
      <c r="N5104" s="1"/>
      <c r="AE5104" s="1"/>
    </row>
    <row r="5105" spans="9:31" x14ac:dyDescent="0.25">
      <c r="I5105" s="1"/>
      <c r="J5105" s="1"/>
      <c r="N5105" s="1"/>
      <c r="AE5105" s="1"/>
    </row>
    <row r="5106" spans="9:31" x14ac:dyDescent="0.25">
      <c r="I5106" s="1"/>
      <c r="J5106" s="1"/>
      <c r="N5106" s="1"/>
      <c r="Z5106" s="1"/>
      <c r="AA5106" s="1"/>
      <c r="AE5106" s="1"/>
    </row>
    <row r="5107" spans="9:31" x14ac:dyDescent="0.25">
      <c r="I5107" s="1"/>
      <c r="J5107" s="1"/>
      <c r="N5107" s="1"/>
      <c r="Z5107" s="1"/>
      <c r="AA5107" s="1"/>
      <c r="AE5107" s="1"/>
    </row>
    <row r="5108" spans="9:31" x14ac:dyDescent="0.25">
      <c r="I5108" s="1"/>
      <c r="J5108" s="1"/>
      <c r="N5108" s="1"/>
      <c r="Z5108" s="1"/>
      <c r="AA5108" s="1"/>
      <c r="AE5108" s="1"/>
    </row>
    <row r="5109" spans="9:31" x14ac:dyDescent="0.25">
      <c r="I5109" s="1"/>
      <c r="J5109" s="1"/>
      <c r="N5109" s="1"/>
      <c r="Z5109" s="1"/>
      <c r="AA5109" s="1"/>
      <c r="AE5109" s="1"/>
    </row>
    <row r="5110" spans="9:31" x14ac:dyDescent="0.25">
      <c r="I5110" s="1"/>
      <c r="J5110" s="1"/>
      <c r="N5110" s="1"/>
      <c r="Z5110" s="1"/>
      <c r="AA5110" s="1"/>
      <c r="AE5110" s="1"/>
    </row>
    <row r="5111" spans="9:31" x14ac:dyDescent="0.25">
      <c r="I5111" s="1"/>
      <c r="J5111" s="1"/>
      <c r="N5111" s="1"/>
      <c r="Z5111" s="1"/>
      <c r="AA5111" s="1"/>
      <c r="AE5111" s="1"/>
    </row>
    <row r="5112" spans="9:31" x14ac:dyDescent="0.25">
      <c r="I5112" s="1"/>
      <c r="J5112" s="1"/>
      <c r="K5112" s="1"/>
      <c r="N5112" s="1"/>
      <c r="Z5112" s="1"/>
      <c r="AA5112" s="1"/>
      <c r="AE5112" s="1"/>
    </row>
    <row r="5113" spans="9:31" x14ac:dyDescent="0.25">
      <c r="I5113" s="1"/>
      <c r="J5113" s="1"/>
      <c r="K5113" s="1"/>
      <c r="N5113" s="1"/>
      <c r="Z5113" s="1"/>
      <c r="AA5113" s="1"/>
      <c r="AB5113" s="1"/>
      <c r="AE5113" s="1"/>
    </row>
    <row r="5114" spans="9:31" x14ac:dyDescent="0.25">
      <c r="I5114" s="1"/>
      <c r="J5114" s="1"/>
      <c r="N5114" s="1"/>
      <c r="Z5114" s="1"/>
      <c r="AA5114" s="1"/>
      <c r="AB5114" s="1"/>
      <c r="AE5114" s="1"/>
    </row>
    <row r="5115" spans="9:31" x14ac:dyDescent="0.25">
      <c r="I5115" s="1"/>
      <c r="J5115" s="1"/>
      <c r="N5115" s="1"/>
      <c r="Z5115" s="1"/>
      <c r="AA5115" s="1"/>
      <c r="AE5115" s="1"/>
    </row>
    <row r="5116" spans="9:31" x14ac:dyDescent="0.25">
      <c r="I5116" s="1"/>
      <c r="J5116" s="1"/>
      <c r="N5116" s="1"/>
      <c r="Z5116" s="1"/>
      <c r="AA5116" s="1"/>
      <c r="AE5116" s="1"/>
    </row>
    <row r="5117" spans="9:31" x14ac:dyDescent="0.25">
      <c r="I5117" s="1"/>
      <c r="J5117" s="1"/>
      <c r="K5117" s="1"/>
      <c r="N5117" s="1"/>
      <c r="Z5117" s="1"/>
      <c r="AA5117" s="1"/>
      <c r="AE5117" s="1"/>
    </row>
    <row r="5118" spans="9:31" x14ac:dyDescent="0.25">
      <c r="I5118" s="1"/>
      <c r="J5118" s="1"/>
      <c r="N5118" s="1"/>
      <c r="Z5118" s="1"/>
      <c r="AA5118" s="1"/>
      <c r="AB5118" s="1"/>
      <c r="AE5118" s="1"/>
    </row>
    <row r="5119" spans="9:31" x14ac:dyDescent="0.25">
      <c r="I5119" s="1"/>
      <c r="J5119" s="1"/>
      <c r="N5119" s="1"/>
      <c r="Z5119" s="1"/>
      <c r="AA5119" s="1"/>
      <c r="AE5119" s="1"/>
    </row>
    <row r="5120" spans="9:31" x14ac:dyDescent="0.25">
      <c r="I5120" s="1"/>
      <c r="J5120" s="1"/>
      <c r="N5120" s="1"/>
      <c r="Z5120" s="1"/>
      <c r="AA5120" s="1"/>
      <c r="AE5120" s="1"/>
    </row>
    <row r="5121" spans="9:31" x14ac:dyDescent="0.25">
      <c r="I5121" s="1"/>
      <c r="J5121" s="1"/>
      <c r="N5121" s="1"/>
      <c r="Z5121" s="1"/>
      <c r="AA5121" s="1"/>
      <c r="AE5121" s="1"/>
    </row>
    <row r="5122" spans="9:31" x14ac:dyDescent="0.25">
      <c r="I5122" s="1"/>
      <c r="J5122" s="1"/>
      <c r="N5122" s="1"/>
      <c r="Z5122" s="1"/>
      <c r="AA5122" s="1"/>
      <c r="AE5122" s="1"/>
    </row>
    <row r="5123" spans="9:31" x14ac:dyDescent="0.25">
      <c r="I5123" s="1"/>
      <c r="J5123" s="1"/>
      <c r="N5123" s="1"/>
      <c r="Z5123" s="1"/>
      <c r="AA5123" s="1"/>
      <c r="AE5123" s="1"/>
    </row>
    <row r="5124" spans="9:31" x14ac:dyDescent="0.25">
      <c r="I5124" s="1"/>
      <c r="J5124" s="1"/>
      <c r="N5124" s="1"/>
      <c r="Z5124" s="1"/>
      <c r="AA5124" s="1"/>
      <c r="AE5124" s="1"/>
    </row>
    <row r="5125" spans="9:31" x14ac:dyDescent="0.25">
      <c r="I5125" s="1"/>
      <c r="J5125" s="1"/>
      <c r="K5125" s="1"/>
      <c r="N5125" s="1"/>
      <c r="Z5125" s="1"/>
      <c r="AA5125" s="1"/>
      <c r="AE5125" s="1"/>
    </row>
    <row r="5126" spans="9:31" x14ac:dyDescent="0.25">
      <c r="I5126" s="1"/>
      <c r="J5126" s="1"/>
      <c r="N5126" s="1"/>
      <c r="Z5126" s="1"/>
      <c r="AA5126" s="1"/>
      <c r="AB5126" s="1"/>
      <c r="AE5126" s="1"/>
    </row>
    <row r="5127" spans="9:31" x14ac:dyDescent="0.25">
      <c r="I5127" s="1"/>
      <c r="J5127" s="1"/>
      <c r="N5127" s="1"/>
      <c r="Z5127" s="1"/>
      <c r="AA5127" s="1"/>
      <c r="AE5127" s="1"/>
    </row>
    <row r="5128" spans="9:31" x14ac:dyDescent="0.25">
      <c r="I5128" s="1"/>
      <c r="J5128" s="1"/>
      <c r="N5128" s="1"/>
      <c r="Z5128" s="1"/>
      <c r="AA5128" s="1"/>
      <c r="AE5128" s="1"/>
    </row>
    <row r="5129" spans="9:31" x14ac:dyDescent="0.25">
      <c r="I5129" s="1"/>
      <c r="J5129" s="1"/>
      <c r="N5129" s="1"/>
      <c r="Z5129" s="1"/>
      <c r="AA5129" s="1"/>
      <c r="AE5129" s="1"/>
    </row>
    <row r="5130" spans="9:31" x14ac:dyDescent="0.25">
      <c r="I5130" s="1"/>
      <c r="J5130" s="1"/>
      <c r="N5130" s="1"/>
      <c r="Z5130" s="1"/>
      <c r="AA5130" s="1"/>
      <c r="AE5130" s="1"/>
    </row>
    <row r="5131" spans="9:31" x14ac:dyDescent="0.25">
      <c r="I5131" s="1"/>
      <c r="J5131" s="1"/>
      <c r="N5131" s="1"/>
      <c r="Z5131" s="1"/>
      <c r="AA5131" s="1"/>
      <c r="AE5131" s="1"/>
    </row>
    <row r="5132" spans="9:31" x14ac:dyDescent="0.25">
      <c r="I5132" s="1"/>
      <c r="J5132" s="1"/>
      <c r="N5132" s="1"/>
      <c r="Z5132" s="1"/>
      <c r="AA5132" s="1"/>
      <c r="AE5132" s="1"/>
    </row>
    <row r="5133" spans="9:31" x14ac:dyDescent="0.25">
      <c r="I5133" s="1"/>
      <c r="J5133" s="1"/>
      <c r="N5133" s="1"/>
      <c r="Z5133" s="1"/>
      <c r="AA5133" s="1"/>
      <c r="AE5133" s="1"/>
    </row>
    <row r="5134" spans="9:31" x14ac:dyDescent="0.25">
      <c r="I5134" s="1"/>
      <c r="J5134" s="1"/>
      <c r="K5134" s="1"/>
      <c r="N5134" s="1"/>
      <c r="Z5134" s="1"/>
      <c r="AA5134" s="1"/>
      <c r="AE5134" s="1"/>
    </row>
    <row r="5135" spans="9:31" x14ac:dyDescent="0.25">
      <c r="I5135" s="1"/>
      <c r="J5135" s="1"/>
      <c r="N5135" s="1"/>
      <c r="Z5135" s="1"/>
      <c r="AA5135" s="1"/>
      <c r="AB5135" s="1"/>
      <c r="AE5135" s="1"/>
    </row>
    <row r="5136" spans="9:31" x14ac:dyDescent="0.25">
      <c r="I5136" s="1"/>
      <c r="J5136" s="1"/>
      <c r="N5136" s="1"/>
      <c r="Z5136" s="1"/>
      <c r="AA5136" s="1"/>
      <c r="AE5136" s="1"/>
    </row>
    <row r="5137" spans="9:31" x14ac:dyDescent="0.25">
      <c r="I5137" s="1"/>
      <c r="J5137" s="1"/>
      <c r="N5137" s="1"/>
      <c r="Z5137" s="1"/>
      <c r="AA5137" s="1"/>
      <c r="AE5137" s="1"/>
    </row>
    <row r="5138" spans="9:31" x14ac:dyDescent="0.25">
      <c r="I5138" s="1"/>
      <c r="J5138" s="1"/>
      <c r="N5138" s="1"/>
      <c r="Z5138" s="1"/>
      <c r="AA5138" s="1"/>
      <c r="AE5138" s="1"/>
    </row>
    <row r="5139" spans="9:31" x14ac:dyDescent="0.25">
      <c r="I5139" s="1"/>
      <c r="J5139" s="1"/>
      <c r="N5139" s="1"/>
      <c r="Z5139" s="1"/>
      <c r="AA5139" s="1"/>
      <c r="AE5139" s="1"/>
    </row>
    <row r="5140" spans="9:31" x14ac:dyDescent="0.25">
      <c r="I5140" s="1"/>
      <c r="J5140" s="1"/>
      <c r="N5140" s="1"/>
      <c r="Z5140" s="1"/>
      <c r="AA5140" s="1"/>
      <c r="AE5140" s="1"/>
    </row>
    <row r="5141" spans="9:31" x14ac:dyDescent="0.25">
      <c r="I5141" s="1"/>
      <c r="J5141" s="1"/>
      <c r="N5141" s="1"/>
      <c r="Z5141" s="1"/>
      <c r="AA5141" s="1"/>
      <c r="AE5141" s="1"/>
    </row>
    <row r="5142" spans="9:31" x14ac:dyDescent="0.25">
      <c r="I5142" s="1"/>
      <c r="J5142" s="1"/>
      <c r="N5142" s="1"/>
      <c r="Z5142" s="1"/>
      <c r="AA5142" s="1"/>
      <c r="AE5142" s="1"/>
    </row>
    <row r="5143" spans="9:31" x14ac:dyDescent="0.25">
      <c r="I5143" s="1"/>
      <c r="J5143" s="1"/>
      <c r="N5143" s="1"/>
      <c r="Z5143" s="1"/>
      <c r="AA5143" s="1"/>
      <c r="AE5143" s="1"/>
    </row>
    <row r="5144" spans="9:31" x14ac:dyDescent="0.25">
      <c r="I5144" s="1"/>
      <c r="J5144" s="1"/>
      <c r="N5144" s="1"/>
      <c r="Z5144" s="1"/>
      <c r="AA5144" s="1"/>
      <c r="AE5144" s="1"/>
    </row>
    <row r="5145" spans="9:31" x14ac:dyDescent="0.25">
      <c r="I5145" s="1"/>
      <c r="J5145" s="1"/>
      <c r="N5145" s="1"/>
      <c r="Z5145" s="1"/>
      <c r="AA5145" s="1"/>
      <c r="AE5145" s="1"/>
    </row>
    <row r="5146" spans="9:31" x14ac:dyDescent="0.25">
      <c r="I5146" s="1"/>
      <c r="J5146" s="1"/>
      <c r="N5146" s="1"/>
      <c r="Z5146" s="1"/>
      <c r="AA5146" s="1"/>
      <c r="AE5146" s="1"/>
    </row>
    <row r="5147" spans="9:31" x14ac:dyDescent="0.25">
      <c r="I5147" s="1"/>
      <c r="J5147" s="1"/>
      <c r="N5147" s="1"/>
      <c r="Z5147" s="1"/>
      <c r="AA5147" s="1"/>
      <c r="AE5147" s="1"/>
    </row>
    <row r="5148" spans="9:31" x14ac:dyDescent="0.25">
      <c r="I5148" s="1"/>
      <c r="J5148" s="1"/>
      <c r="K5148" s="1"/>
      <c r="N5148" s="1"/>
      <c r="Z5148" s="1"/>
      <c r="AA5148" s="1"/>
      <c r="AE5148" s="1"/>
    </row>
    <row r="5149" spans="9:31" x14ac:dyDescent="0.25">
      <c r="I5149" s="1"/>
      <c r="J5149" s="1"/>
      <c r="N5149" s="1"/>
      <c r="Z5149" s="1"/>
      <c r="AA5149" s="1"/>
      <c r="AB5149" s="1"/>
      <c r="AE5149" s="1"/>
    </row>
    <row r="5150" spans="9:31" x14ac:dyDescent="0.25">
      <c r="I5150" s="1"/>
      <c r="J5150" s="1"/>
      <c r="K5150" s="1"/>
      <c r="N5150" s="1"/>
      <c r="Z5150" s="1"/>
      <c r="AA5150" s="1"/>
      <c r="AE5150" s="1"/>
    </row>
    <row r="5151" spans="9:31" x14ac:dyDescent="0.25">
      <c r="I5151" s="1"/>
      <c r="J5151" s="1"/>
      <c r="N5151" s="1"/>
      <c r="Z5151" s="1"/>
      <c r="AA5151" s="1"/>
      <c r="AB5151" s="1"/>
      <c r="AE5151" s="1"/>
    </row>
    <row r="5152" spans="9:31" x14ac:dyDescent="0.25">
      <c r="I5152" s="1"/>
      <c r="J5152" s="1"/>
      <c r="N5152" s="1"/>
      <c r="Z5152" s="1"/>
      <c r="AA5152" s="1"/>
      <c r="AE5152" s="1"/>
    </row>
    <row r="5153" spans="9:31" x14ac:dyDescent="0.25">
      <c r="I5153" s="1"/>
      <c r="J5153" s="1"/>
      <c r="K5153" s="1"/>
      <c r="N5153" s="1"/>
      <c r="Z5153" s="1"/>
      <c r="AA5153" s="1"/>
      <c r="AE5153" s="1"/>
    </row>
    <row r="5154" spans="9:31" x14ac:dyDescent="0.25">
      <c r="I5154" s="1"/>
      <c r="J5154" s="1"/>
      <c r="N5154" s="1"/>
      <c r="Z5154" s="1"/>
      <c r="AA5154" s="1"/>
      <c r="AB5154" s="1"/>
      <c r="AE5154" s="1"/>
    </row>
    <row r="5155" spans="9:31" x14ac:dyDescent="0.25">
      <c r="I5155" s="1"/>
      <c r="J5155" s="1"/>
      <c r="N5155" s="1"/>
      <c r="Z5155" s="1"/>
      <c r="AA5155" s="1"/>
      <c r="AE5155" s="1"/>
    </row>
    <row r="5156" spans="9:31" x14ac:dyDescent="0.25">
      <c r="I5156" s="1"/>
      <c r="J5156" s="1"/>
      <c r="N5156" s="1"/>
      <c r="Z5156" s="1"/>
      <c r="AA5156" s="1"/>
      <c r="AE5156" s="1"/>
    </row>
    <row r="5157" spans="9:31" x14ac:dyDescent="0.25">
      <c r="I5157" s="1"/>
      <c r="J5157" s="1"/>
      <c r="N5157" s="1"/>
      <c r="Z5157" s="1"/>
      <c r="AA5157" s="1"/>
      <c r="AE5157" s="1"/>
    </row>
    <row r="5158" spans="9:31" x14ac:dyDescent="0.25">
      <c r="I5158" s="1"/>
      <c r="J5158" s="1"/>
      <c r="N5158" s="1"/>
      <c r="Z5158" s="1"/>
      <c r="AA5158" s="1"/>
      <c r="AE5158" s="1"/>
    </row>
    <row r="5159" spans="9:31" x14ac:dyDescent="0.25">
      <c r="I5159" s="1"/>
      <c r="J5159" s="1"/>
      <c r="N5159" s="1"/>
      <c r="Z5159" s="1"/>
      <c r="AA5159" s="1"/>
      <c r="AE5159" s="1"/>
    </row>
    <row r="5160" spans="9:31" x14ac:dyDescent="0.25">
      <c r="I5160" s="1"/>
      <c r="J5160" s="1"/>
      <c r="N5160" s="1"/>
      <c r="Z5160" s="1"/>
      <c r="AA5160" s="1"/>
      <c r="AE5160" s="1"/>
    </row>
    <row r="5161" spans="9:31" x14ac:dyDescent="0.25">
      <c r="I5161" s="1"/>
      <c r="J5161" s="1"/>
      <c r="N5161" s="1"/>
      <c r="Z5161" s="1"/>
      <c r="AA5161" s="1"/>
      <c r="AE5161" s="1"/>
    </row>
    <row r="5162" spans="9:31" x14ac:dyDescent="0.25">
      <c r="I5162" s="1"/>
      <c r="J5162" s="1"/>
      <c r="N5162" s="1"/>
      <c r="Z5162" s="1"/>
      <c r="AA5162" s="1"/>
      <c r="AE5162" s="1"/>
    </row>
    <row r="5163" spans="9:31" x14ac:dyDescent="0.25">
      <c r="I5163" s="1"/>
      <c r="J5163" s="1"/>
      <c r="N5163" s="1"/>
      <c r="Z5163" s="1"/>
      <c r="AA5163" s="1"/>
      <c r="AE5163" s="1"/>
    </row>
    <row r="5164" spans="9:31" x14ac:dyDescent="0.25">
      <c r="I5164" s="1"/>
      <c r="J5164" s="1"/>
      <c r="N5164" s="1"/>
      <c r="Z5164" s="1"/>
      <c r="AA5164" s="1"/>
      <c r="AE5164" s="1"/>
    </row>
    <row r="5165" spans="9:31" x14ac:dyDescent="0.25">
      <c r="I5165" s="1"/>
      <c r="J5165" s="1"/>
      <c r="K5165" s="1"/>
      <c r="N5165" s="1"/>
      <c r="Z5165" s="1"/>
      <c r="AA5165" s="1"/>
      <c r="AE5165" s="1"/>
    </row>
    <row r="5166" spans="9:31" x14ac:dyDescent="0.25">
      <c r="I5166" s="1"/>
      <c r="J5166" s="1"/>
      <c r="N5166" s="1"/>
      <c r="Z5166" s="1"/>
      <c r="AA5166" s="1"/>
      <c r="AB5166" s="1"/>
      <c r="AE5166" s="1"/>
    </row>
    <row r="5167" spans="9:31" x14ac:dyDescent="0.25">
      <c r="I5167" s="1"/>
      <c r="J5167" s="1"/>
      <c r="N5167" s="1"/>
      <c r="Z5167" s="1"/>
      <c r="AA5167" s="1"/>
      <c r="AE5167" s="1"/>
    </row>
    <row r="5168" spans="9:31" x14ac:dyDescent="0.25">
      <c r="I5168" s="1"/>
      <c r="J5168" s="1"/>
      <c r="N5168" s="1"/>
      <c r="Z5168" s="1"/>
      <c r="AA5168" s="1"/>
      <c r="AE5168" s="1"/>
    </row>
    <row r="5169" spans="9:31" x14ac:dyDescent="0.25">
      <c r="I5169" s="1"/>
      <c r="J5169" s="1"/>
      <c r="N5169" s="1"/>
      <c r="Z5169" s="1"/>
      <c r="AA5169" s="1"/>
      <c r="AE5169" s="1"/>
    </row>
    <row r="5170" spans="9:31" x14ac:dyDescent="0.25">
      <c r="I5170" s="1"/>
      <c r="J5170" s="1"/>
      <c r="K5170" s="1"/>
      <c r="N5170" s="1"/>
      <c r="Z5170" s="1"/>
      <c r="AA5170" s="1"/>
      <c r="AE5170" s="1"/>
    </row>
    <row r="5171" spans="9:31" x14ac:dyDescent="0.25">
      <c r="I5171" s="1"/>
      <c r="J5171" s="1"/>
      <c r="N5171" s="1"/>
      <c r="Z5171" s="1"/>
      <c r="AA5171" s="1"/>
      <c r="AB5171" s="1"/>
      <c r="AE5171" s="1"/>
    </row>
    <row r="5172" spans="9:31" x14ac:dyDescent="0.25">
      <c r="I5172" s="1"/>
      <c r="J5172" s="1"/>
      <c r="N5172" s="1"/>
      <c r="Z5172" s="1"/>
      <c r="AA5172" s="1"/>
      <c r="AE5172" s="1"/>
    </row>
    <row r="5173" spans="9:31" x14ac:dyDescent="0.25">
      <c r="I5173" s="1"/>
      <c r="J5173" s="1"/>
      <c r="N5173" s="1"/>
      <c r="Z5173" s="1"/>
      <c r="AA5173" s="1"/>
      <c r="AE5173" s="1"/>
    </row>
    <row r="5174" spans="9:31" x14ac:dyDescent="0.25">
      <c r="I5174" s="1"/>
      <c r="J5174" s="1"/>
      <c r="N5174" s="1"/>
      <c r="Z5174" s="1"/>
      <c r="AA5174" s="1"/>
      <c r="AE5174" s="1"/>
    </row>
    <row r="5175" spans="9:31" x14ac:dyDescent="0.25">
      <c r="I5175" s="1"/>
      <c r="J5175" s="1"/>
      <c r="N5175" s="1"/>
      <c r="Z5175" s="1"/>
      <c r="AA5175" s="1"/>
      <c r="AE5175" s="1"/>
    </row>
    <row r="5176" spans="9:31" x14ac:dyDescent="0.25">
      <c r="I5176" s="1"/>
      <c r="J5176" s="1"/>
      <c r="N5176" s="1"/>
      <c r="Z5176" s="1"/>
      <c r="AA5176" s="1"/>
      <c r="AE5176" s="1"/>
    </row>
    <row r="5177" spans="9:31" x14ac:dyDescent="0.25">
      <c r="I5177" s="1"/>
      <c r="J5177" s="1"/>
      <c r="N5177" s="1"/>
      <c r="Z5177" s="1"/>
      <c r="AA5177" s="1"/>
      <c r="AE5177" s="1"/>
    </row>
    <row r="5178" spans="9:31" x14ac:dyDescent="0.25">
      <c r="I5178" s="1"/>
      <c r="J5178" s="1"/>
      <c r="N5178" s="1"/>
      <c r="Z5178" s="1"/>
      <c r="AA5178" s="1"/>
      <c r="AE5178" s="1"/>
    </row>
    <row r="5179" spans="9:31" x14ac:dyDescent="0.25">
      <c r="I5179" s="1"/>
      <c r="J5179" s="1"/>
      <c r="N5179" s="1"/>
      <c r="Z5179" s="1"/>
      <c r="AA5179" s="1"/>
      <c r="AE5179" s="1"/>
    </row>
    <row r="5180" spans="9:31" x14ac:dyDescent="0.25">
      <c r="I5180" s="1"/>
      <c r="J5180" s="1"/>
      <c r="N5180" s="1"/>
      <c r="Z5180" s="1"/>
      <c r="AA5180" s="1"/>
      <c r="AE5180" s="1"/>
    </row>
    <row r="5181" spans="9:31" x14ac:dyDescent="0.25">
      <c r="I5181" s="1"/>
      <c r="J5181" s="1"/>
      <c r="N5181" s="1"/>
      <c r="Z5181" s="1"/>
      <c r="AA5181" s="1"/>
      <c r="AE5181" s="1"/>
    </row>
    <row r="5182" spans="9:31" x14ac:dyDescent="0.25">
      <c r="I5182" s="1"/>
      <c r="J5182" s="1"/>
      <c r="N5182" s="1"/>
      <c r="Z5182" s="1"/>
      <c r="AA5182" s="1"/>
      <c r="AE5182" s="1"/>
    </row>
    <row r="5183" spans="9:31" x14ac:dyDescent="0.25">
      <c r="I5183" s="1"/>
      <c r="J5183" s="1"/>
      <c r="N5183" s="1"/>
      <c r="Z5183" s="1"/>
      <c r="AA5183" s="1"/>
      <c r="AE5183" s="1"/>
    </row>
    <row r="5184" spans="9:31" x14ac:dyDescent="0.25">
      <c r="I5184" s="1"/>
      <c r="J5184" s="1"/>
      <c r="N5184" s="1"/>
      <c r="Z5184" s="1"/>
      <c r="AA5184" s="1"/>
      <c r="AE5184" s="1"/>
    </row>
    <row r="5185" spans="9:31" x14ac:dyDescent="0.25">
      <c r="I5185" s="1"/>
      <c r="J5185" s="1"/>
      <c r="N5185" s="1"/>
      <c r="Z5185" s="1"/>
      <c r="AA5185" s="1"/>
      <c r="AE5185" s="1"/>
    </row>
    <row r="5186" spans="9:31" x14ac:dyDescent="0.25">
      <c r="I5186" s="1"/>
      <c r="J5186" s="1"/>
      <c r="N5186" s="1"/>
      <c r="Z5186" s="1"/>
      <c r="AA5186" s="1"/>
      <c r="AE5186" s="1"/>
    </row>
    <row r="5187" spans="9:31" x14ac:dyDescent="0.25">
      <c r="I5187" s="1"/>
      <c r="J5187" s="1"/>
      <c r="N5187" s="1"/>
      <c r="Z5187" s="1"/>
      <c r="AA5187" s="1"/>
      <c r="AE5187" s="1"/>
    </row>
    <row r="5188" spans="9:31" x14ac:dyDescent="0.25">
      <c r="I5188" s="1"/>
      <c r="J5188" s="1"/>
      <c r="N5188" s="1"/>
      <c r="Z5188" s="1"/>
      <c r="AA5188" s="1"/>
      <c r="AE5188" s="1"/>
    </row>
    <row r="5189" spans="9:31" x14ac:dyDescent="0.25">
      <c r="I5189" s="1"/>
      <c r="J5189" s="1"/>
      <c r="N5189" s="1"/>
      <c r="Z5189" s="1"/>
      <c r="AA5189" s="1"/>
      <c r="AE5189" s="1"/>
    </row>
    <row r="5190" spans="9:31" x14ac:dyDescent="0.25">
      <c r="I5190" s="1"/>
      <c r="J5190" s="1"/>
      <c r="N5190" s="1"/>
      <c r="Z5190" s="1"/>
      <c r="AA5190" s="1"/>
      <c r="AE5190" s="1"/>
    </row>
    <row r="5191" spans="9:31" x14ac:dyDescent="0.25">
      <c r="I5191" s="1"/>
      <c r="J5191" s="1"/>
      <c r="N5191" s="1"/>
      <c r="Z5191" s="1"/>
      <c r="AA5191" s="1"/>
      <c r="AE5191" s="1"/>
    </row>
    <row r="5192" spans="9:31" x14ac:dyDescent="0.25">
      <c r="I5192" s="1"/>
      <c r="J5192" s="1"/>
      <c r="N5192" s="1"/>
      <c r="Z5192" s="1"/>
      <c r="AA5192" s="1"/>
      <c r="AE5192" s="1"/>
    </row>
    <row r="5193" spans="9:31" x14ac:dyDescent="0.25">
      <c r="I5193" s="1"/>
      <c r="J5193" s="1"/>
      <c r="N5193" s="1"/>
      <c r="Z5193" s="1"/>
      <c r="AA5193" s="1"/>
      <c r="AE5193" s="1"/>
    </row>
    <row r="5194" spans="9:31" x14ac:dyDescent="0.25">
      <c r="I5194" s="1"/>
      <c r="J5194" s="1"/>
      <c r="N5194" s="1"/>
      <c r="Z5194" s="1"/>
      <c r="AA5194" s="1"/>
      <c r="AE5194" s="1"/>
    </row>
    <row r="5195" spans="9:31" x14ac:dyDescent="0.25">
      <c r="I5195" s="1"/>
      <c r="J5195" s="1"/>
      <c r="K5195" s="1"/>
      <c r="N5195" s="1"/>
      <c r="Z5195" s="1"/>
      <c r="AA5195" s="1"/>
      <c r="AE5195" s="1"/>
    </row>
    <row r="5196" spans="9:31" x14ac:dyDescent="0.25">
      <c r="I5196" s="1"/>
      <c r="J5196" s="1"/>
      <c r="N5196" s="1"/>
      <c r="Z5196" s="1"/>
      <c r="AA5196" s="1"/>
      <c r="AB5196" s="1"/>
      <c r="AE5196" s="1"/>
    </row>
    <row r="5197" spans="9:31" x14ac:dyDescent="0.25">
      <c r="I5197" s="1"/>
      <c r="J5197" s="1"/>
      <c r="N5197" s="1"/>
      <c r="Z5197" s="1"/>
      <c r="AA5197" s="1"/>
      <c r="AE5197" s="1"/>
    </row>
    <row r="5198" spans="9:31" x14ac:dyDescent="0.25">
      <c r="I5198" s="1"/>
      <c r="J5198" s="1"/>
      <c r="N5198" s="1"/>
      <c r="Z5198" s="1"/>
      <c r="AA5198" s="1"/>
      <c r="AE5198" s="1"/>
    </row>
    <row r="5199" spans="9:31" x14ac:dyDescent="0.25">
      <c r="I5199" s="1"/>
      <c r="J5199" s="1"/>
      <c r="N5199" s="1"/>
      <c r="Z5199" s="1"/>
      <c r="AA5199" s="1"/>
      <c r="AE5199" s="1"/>
    </row>
    <row r="5200" spans="9:31" x14ac:dyDescent="0.25">
      <c r="I5200" s="1"/>
      <c r="J5200" s="1"/>
      <c r="N5200" s="1"/>
      <c r="Z5200" s="1"/>
      <c r="AA5200" s="1"/>
      <c r="AE5200" s="1"/>
    </row>
    <row r="5201" spans="9:31" x14ac:dyDescent="0.25">
      <c r="N5201" s="1"/>
      <c r="Z5201" s="1"/>
      <c r="AA5201" s="1"/>
      <c r="AE5201" s="1"/>
    </row>
    <row r="5202" spans="9:31" x14ac:dyDescent="0.25">
      <c r="J5202" s="1"/>
      <c r="N5202" s="1"/>
      <c r="AE5202" s="1"/>
    </row>
    <row r="5203" spans="9:31" x14ac:dyDescent="0.25">
      <c r="I5203" s="1"/>
      <c r="J5203" s="1"/>
      <c r="N5203" s="1"/>
      <c r="AA5203" s="1"/>
      <c r="AE5203" s="1"/>
    </row>
    <row r="5204" spans="9:31" x14ac:dyDescent="0.25">
      <c r="I5204" s="1"/>
      <c r="J5204" s="1"/>
      <c r="N5204" s="1"/>
      <c r="Z5204" s="1"/>
      <c r="AA5204" s="1"/>
      <c r="AE5204" s="1"/>
    </row>
    <row r="5205" spans="9:31" x14ac:dyDescent="0.25">
      <c r="I5205" s="1"/>
      <c r="J5205" s="1"/>
      <c r="N5205" s="1"/>
      <c r="Z5205" s="1"/>
      <c r="AA5205" s="1"/>
      <c r="AE5205" s="1"/>
    </row>
    <row r="5206" spans="9:31" x14ac:dyDescent="0.25">
      <c r="I5206" s="1"/>
      <c r="J5206" s="1"/>
      <c r="N5206" s="1"/>
      <c r="Z5206" s="1"/>
      <c r="AA5206" s="1"/>
      <c r="AE5206" s="1"/>
    </row>
    <row r="5207" spans="9:31" x14ac:dyDescent="0.25">
      <c r="I5207" s="1"/>
      <c r="J5207" s="1"/>
      <c r="N5207" s="1"/>
      <c r="Z5207" s="1"/>
      <c r="AA5207" s="1"/>
      <c r="AE5207" s="1"/>
    </row>
    <row r="5208" spans="9:31" x14ac:dyDescent="0.25">
      <c r="I5208" s="1"/>
      <c r="J5208" s="1"/>
      <c r="N5208" s="1"/>
      <c r="Z5208" s="1"/>
      <c r="AA5208" s="1"/>
      <c r="AE5208" s="1"/>
    </row>
    <row r="5209" spans="9:31" x14ac:dyDescent="0.25">
      <c r="I5209" s="1"/>
      <c r="J5209" s="1"/>
      <c r="N5209" s="1"/>
      <c r="Z5209" s="1"/>
      <c r="AA5209" s="1"/>
      <c r="AE5209" s="1"/>
    </row>
    <row r="5210" spans="9:31" x14ac:dyDescent="0.25">
      <c r="I5210" s="1"/>
      <c r="J5210" s="1"/>
      <c r="N5210" s="1"/>
      <c r="Z5210" s="1"/>
      <c r="AA5210" s="1"/>
      <c r="AE5210" s="1"/>
    </row>
    <row r="5211" spans="9:31" x14ac:dyDescent="0.25">
      <c r="I5211" s="1"/>
      <c r="J5211" s="1"/>
      <c r="K5211" s="1"/>
      <c r="N5211" s="1"/>
      <c r="Z5211" s="1"/>
      <c r="AA5211" s="1"/>
      <c r="AE5211" s="1"/>
    </row>
    <row r="5212" spans="9:31" x14ac:dyDescent="0.25">
      <c r="N5212" s="1"/>
      <c r="Z5212" s="1"/>
      <c r="AA5212" s="1"/>
      <c r="AB5212" s="1"/>
      <c r="AE5212" s="1"/>
    </row>
    <row r="5213" spans="9:31" x14ac:dyDescent="0.25">
      <c r="I5213" s="1"/>
      <c r="J5213" s="1"/>
      <c r="N5213" s="1"/>
      <c r="AE5213" s="1"/>
    </row>
    <row r="5214" spans="9:31" x14ac:dyDescent="0.25">
      <c r="I5214" s="1"/>
      <c r="J5214" s="1"/>
      <c r="N5214" s="1"/>
      <c r="Z5214" s="1"/>
      <c r="AA5214" s="1"/>
      <c r="AE5214" s="1"/>
    </row>
    <row r="5215" spans="9:31" x14ac:dyDescent="0.25">
      <c r="I5215" s="1"/>
      <c r="J5215" s="1"/>
      <c r="N5215" s="1"/>
      <c r="Z5215" s="1"/>
      <c r="AA5215" s="1"/>
      <c r="AE5215" s="1"/>
    </row>
    <row r="5216" spans="9:31" x14ac:dyDescent="0.25">
      <c r="I5216" s="1"/>
      <c r="J5216" s="1"/>
      <c r="N5216" s="1"/>
      <c r="Z5216" s="1"/>
      <c r="AA5216" s="1"/>
      <c r="AE5216" s="1"/>
    </row>
    <row r="5217" spans="9:31" x14ac:dyDescent="0.25">
      <c r="I5217" s="1"/>
      <c r="J5217" s="1"/>
      <c r="N5217" s="1"/>
      <c r="Z5217" s="1"/>
      <c r="AA5217" s="1"/>
      <c r="AE5217" s="1"/>
    </row>
    <row r="5218" spans="9:31" x14ac:dyDescent="0.25">
      <c r="I5218" s="1"/>
      <c r="J5218" s="1"/>
      <c r="N5218" s="1"/>
      <c r="Z5218" s="1"/>
      <c r="AA5218" s="1"/>
      <c r="AE5218" s="1"/>
    </row>
    <row r="5219" spans="9:31" x14ac:dyDescent="0.25">
      <c r="I5219" s="1"/>
      <c r="J5219" s="1"/>
      <c r="N5219" s="1"/>
      <c r="Z5219" s="1"/>
      <c r="AA5219" s="1"/>
      <c r="AE5219" s="1"/>
    </row>
    <row r="5220" spans="9:31" x14ac:dyDescent="0.25">
      <c r="I5220" s="1"/>
      <c r="J5220" s="1"/>
      <c r="N5220" s="1"/>
      <c r="Z5220" s="1"/>
      <c r="AA5220" s="1"/>
      <c r="AE5220" s="1"/>
    </row>
    <row r="5221" spans="9:31" x14ac:dyDescent="0.25">
      <c r="I5221" s="1"/>
      <c r="J5221" s="1"/>
      <c r="N5221" s="1"/>
      <c r="Z5221" s="1"/>
      <c r="AA5221" s="1"/>
      <c r="AE5221" s="1"/>
    </row>
    <row r="5222" spans="9:31" x14ac:dyDescent="0.25">
      <c r="I5222" s="1"/>
      <c r="J5222" s="1"/>
      <c r="N5222" s="1"/>
      <c r="Z5222" s="1"/>
      <c r="AA5222" s="1"/>
      <c r="AE5222" s="1"/>
    </row>
    <row r="5223" spans="9:31" x14ac:dyDescent="0.25">
      <c r="I5223" s="1"/>
      <c r="J5223" s="1"/>
      <c r="N5223" s="1"/>
      <c r="Z5223" s="1"/>
      <c r="AA5223" s="1"/>
      <c r="AE5223" s="1"/>
    </row>
    <row r="5224" spans="9:31" x14ac:dyDescent="0.25">
      <c r="Z5224" s="1"/>
      <c r="AA5224" s="1"/>
      <c r="AE5224" s="1"/>
    </row>
    <row r="5225" spans="9:31" x14ac:dyDescent="0.25">
      <c r="I5225" s="1"/>
      <c r="J5225" s="1"/>
      <c r="N5225" s="1"/>
    </row>
    <row r="5226" spans="9:31" x14ac:dyDescent="0.25">
      <c r="Z5226" s="1"/>
      <c r="AA5226" s="1"/>
      <c r="AE5226" s="1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nthData">
                <anchor moveWithCells="1" sizeWithCells="1">
                  <from>
                    <xdr:col>0</xdr:col>
                    <xdr:colOff>114300</xdr:colOff>
                    <xdr:row>9</xdr:row>
                    <xdr:rowOff>19050</xdr:rowOff>
                  </from>
                  <to>
                    <xdr:col>0</xdr:col>
                    <xdr:colOff>1504950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tNew">
                <anchor moveWithCells="1" sizeWithCells="1">
                  <from>
                    <xdr:col>0</xdr:col>
                    <xdr:colOff>180975</xdr:colOff>
                    <xdr:row>12</xdr:row>
                    <xdr:rowOff>171450</xdr:rowOff>
                  </from>
                  <to>
                    <xdr:col>0</xdr:col>
                    <xdr:colOff>1485900</xdr:colOff>
                    <xdr:row>15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>
    <tabColor rgb="FF00B0F0"/>
  </sheetPr>
  <dimension ref="A1:Q5207"/>
  <sheetViews>
    <sheetView topLeftCell="A31" workbookViewId="0">
      <selection activeCell="B37" sqref="B37"/>
    </sheetView>
  </sheetViews>
  <sheetFormatPr defaultRowHeight="16.5" x14ac:dyDescent="0.25"/>
  <cols>
    <col min="1" max="1" width="11.5" customWidth="1"/>
    <col min="2" max="2" width="20" bestFit="1" customWidth="1"/>
    <col min="3" max="3" width="6.5" bestFit="1" customWidth="1"/>
    <col min="4" max="4" width="6.25" customWidth="1"/>
    <col min="5" max="5" width="6.5" bestFit="1" customWidth="1"/>
    <col min="6" max="6" width="6.5" customWidth="1"/>
    <col min="7" max="7" width="6.5" bestFit="1" customWidth="1"/>
    <col min="8" max="8" width="8.5" bestFit="1" customWidth="1"/>
    <col min="9" max="9" width="10.625" bestFit="1" customWidth="1"/>
    <col min="10" max="10" width="12.875" customWidth="1"/>
    <col min="11" max="13" width="10.5" bestFit="1" customWidth="1"/>
    <col min="14" max="14" width="15.375" customWidth="1"/>
    <col min="15" max="15" width="8.25" bestFit="1" customWidth="1"/>
    <col min="16" max="16" width="8.5" bestFit="1" customWidth="1"/>
    <col min="17" max="17" width="8.25" bestFit="1" customWidth="1"/>
  </cols>
  <sheetData>
    <row r="1" spans="1:17" x14ac:dyDescent="0.25">
      <c r="A1" t="s">
        <v>1388</v>
      </c>
    </row>
    <row r="2" spans="1:1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8</v>
      </c>
      <c r="J2" t="s">
        <v>9</v>
      </c>
      <c r="K2" t="s">
        <v>10</v>
      </c>
      <c r="L2" t="s">
        <v>11</v>
      </c>
      <c r="M2" t="s">
        <v>12</v>
      </c>
      <c r="N2" t="s">
        <v>13</v>
      </c>
      <c r="O2" t="s">
        <v>14</v>
      </c>
      <c r="P2" t="s">
        <v>14</v>
      </c>
      <c r="Q2" t="s">
        <v>14</v>
      </c>
    </row>
    <row r="3" spans="1:17" x14ac:dyDescent="0.25">
      <c r="O3" t="s">
        <v>15</v>
      </c>
      <c r="P3" t="s">
        <v>16</v>
      </c>
      <c r="Q3" t="s">
        <v>17</v>
      </c>
    </row>
    <row r="4" spans="1:17" x14ac:dyDescent="0.25">
      <c r="A4">
        <v>6201</v>
      </c>
      <c r="B4" t="s">
        <v>28</v>
      </c>
      <c r="C4">
        <v>14.55</v>
      </c>
      <c r="D4">
        <v>0</v>
      </c>
      <c r="E4">
        <v>14.65</v>
      </c>
      <c r="F4">
        <v>14.65</v>
      </c>
      <c r="G4">
        <v>14.54</v>
      </c>
      <c r="H4">
        <v>14.56</v>
      </c>
      <c r="I4" s="1">
        <v>263000</v>
      </c>
      <c r="J4" s="1">
        <v>3829930</v>
      </c>
      <c r="K4">
        <v>29</v>
      </c>
      <c r="L4">
        <v>14.53</v>
      </c>
      <c r="M4">
        <v>14.59</v>
      </c>
      <c r="N4" s="1">
        <v>15446000</v>
      </c>
      <c r="O4">
        <v>14.55</v>
      </c>
      <c r="P4">
        <v>16</v>
      </c>
      <c r="Q4">
        <v>13.1</v>
      </c>
    </row>
    <row r="5" spans="1:17" x14ac:dyDescent="0.25">
      <c r="A5" t="s">
        <v>29</v>
      </c>
      <c r="B5" t="s">
        <v>30</v>
      </c>
      <c r="C5">
        <v>38.869999999999997</v>
      </c>
      <c r="D5">
        <v>-0.14000000000000001</v>
      </c>
      <c r="E5">
        <v>38.79</v>
      </c>
      <c r="F5">
        <v>38.9</v>
      </c>
      <c r="G5">
        <v>38.729999999999997</v>
      </c>
      <c r="H5">
        <v>38.81</v>
      </c>
      <c r="I5" s="1">
        <v>2127000</v>
      </c>
      <c r="J5" s="1">
        <v>82553880</v>
      </c>
      <c r="K5">
        <v>35</v>
      </c>
      <c r="L5">
        <v>38.869999999999997</v>
      </c>
      <c r="M5">
        <v>38.9</v>
      </c>
      <c r="N5" s="1">
        <v>645192000</v>
      </c>
      <c r="O5">
        <v>38.869999999999997</v>
      </c>
      <c r="P5">
        <v>9999.9500000000007</v>
      </c>
      <c r="Q5">
        <v>0.01</v>
      </c>
    </row>
    <row r="6" spans="1:17" x14ac:dyDescent="0.25">
      <c r="A6" t="s">
        <v>31</v>
      </c>
      <c r="B6" t="s">
        <v>32</v>
      </c>
      <c r="C6">
        <v>40.520000000000003</v>
      </c>
      <c r="D6">
        <v>-0.14000000000000001</v>
      </c>
      <c r="E6">
        <v>40.53</v>
      </c>
      <c r="F6">
        <v>40.53</v>
      </c>
      <c r="G6">
        <v>40.520000000000003</v>
      </c>
      <c r="H6">
        <v>40.520000000000003</v>
      </c>
      <c r="I6" s="1">
        <v>1601000</v>
      </c>
      <c r="J6" s="1">
        <v>64872530</v>
      </c>
      <c r="K6">
        <v>9</v>
      </c>
      <c r="L6">
        <v>40.520000000000003</v>
      </c>
      <c r="M6">
        <v>40.549999999999997</v>
      </c>
      <c r="N6" s="1">
        <v>121287000</v>
      </c>
      <c r="O6">
        <v>40.520000000000003</v>
      </c>
      <c r="P6">
        <v>9999.9500000000007</v>
      </c>
      <c r="Q6">
        <v>0.01</v>
      </c>
    </row>
    <row r="7" spans="1:17" x14ac:dyDescent="0.25">
      <c r="A7" t="s">
        <v>33</v>
      </c>
      <c r="B7" t="s">
        <v>1389</v>
      </c>
      <c r="C7">
        <v>39.43</v>
      </c>
      <c r="D7">
        <v>-0.21</v>
      </c>
      <c r="E7">
        <v>39.39</v>
      </c>
      <c r="F7">
        <v>39.43</v>
      </c>
      <c r="G7">
        <v>39.33</v>
      </c>
      <c r="H7">
        <v>39.35</v>
      </c>
      <c r="I7" s="1">
        <v>747000</v>
      </c>
      <c r="J7" s="1">
        <v>29391790</v>
      </c>
      <c r="K7">
        <v>15</v>
      </c>
      <c r="L7">
        <v>39.369999999999997</v>
      </c>
      <c r="M7">
        <v>39.43</v>
      </c>
      <c r="N7" s="1">
        <v>78576000</v>
      </c>
      <c r="O7">
        <v>39.43</v>
      </c>
      <c r="P7">
        <v>9999.9500000000007</v>
      </c>
      <c r="Q7">
        <v>0.01</v>
      </c>
    </row>
    <row r="8" spans="1:17" x14ac:dyDescent="0.25">
      <c r="A8" t="s">
        <v>34</v>
      </c>
      <c r="B8" t="s">
        <v>1390</v>
      </c>
      <c r="C8">
        <v>38.97</v>
      </c>
      <c r="D8">
        <v>-0.12</v>
      </c>
      <c r="E8">
        <v>39</v>
      </c>
      <c r="F8">
        <v>39</v>
      </c>
      <c r="G8">
        <v>38.840000000000003</v>
      </c>
      <c r="H8">
        <v>38.840000000000003</v>
      </c>
      <c r="I8" s="1">
        <v>502000</v>
      </c>
      <c r="J8" s="1">
        <v>19497970</v>
      </c>
      <c r="K8">
        <v>6</v>
      </c>
      <c r="L8">
        <v>38.89</v>
      </c>
      <c r="M8">
        <v>38.97</v>
      </c>
      <c r="N8" s="1">
        <v>10686000</v>
      </c>
      <c r="O8">
        <v>38.97</v>
      </c>
      <c r="P8">
        <v>9999.9500000000007</v>
      </c>
      <c r="Q8">
        <v>0.01</v>
      </c>
    </row>
    <row r="9" spans="1:17" x14ac:dyDescent="0.25">
      <c r="A9" t="s">
        <v>35</v>
      </c>
      <c r="B9" t="s">
        <v>36</v>
      </c>
      <c r="C9">
        <v>40.119999999999997</v>
      </c>
      <c r="D9">
        <v>-0.16</v>
      </c>
      <c r="E9">
        <v>40.08</v>
      </c>
      <c r="F9">
        <v>40.119999999999997</v>
      </c>
      <c r="G9">
        <v>40.08</v>
      </c>
      <c r="H9">
        <v>40.090000000000003</v>
      </c>
      <c r="I9" s="1">
        <v>668000</v>
      </c>
      <c r="J9" s="1">
        <v>26779570</v>
      </c>
      <c r="K9">
        <v>9</v>
      </c>
      <c r="L9">
        <v>40.119999999999997</v>
      </c>
      <c r="M9">
        <v>40.19</v>
      </c>
      <c r="N9" s="1">
        <v>9181000</v>
      </c>
      <c r="O9">
        <v>40.119999999999997</v>
      </c>
      <c r="P9">
        <v>9999.9500000000007</v>
      </c>
      <c r="Q9">
        <v>0.01</v>
      </c>
    </row>
    <row r="10" spans="1:17" x14ac:dyDescent="0.25">
      <c r="A10" t="s">
        <v>37</v>
      </c>
      <c r="B10" t="s">
        <v>38</v>
      </c>
      <c r="C10">
        <v>38.51</v>
      </c>
      <c r="D10">
        <v>-0.17</v>
      </c>
      <c r="E10">
        <v>38.67</v>
      </c>
      <c r="F10">
        <v>38.67</v>
      </c>
      <c r="G10">
        <v>38.4</v>
      </c>
      <c r="H10">
        <v>38.479999999999997</v>
      </c>
      <c r="I10" s="1">
        <v>1839000</v>
      </c>
      <c r="J10" s="1">
        <v>70758260</v>
      </c>
      <c r="K10">
        <v>19</v>
      </c>
      <c r="L10">
        <v>38.450000000000003</v>
      </c>
      <c r="M10">
        <v>38.51</v>
      </c>
      <c r="N10" s="1">
        <v>8712000</v>
      </c>
      <c r="O10">
        <v>38.51</v>
      </c>
      <c r="P10">
        <v>9999.9500000000007</v>
      </c>
      <c r="Q10">
        <v>0.01</v>
      </c>
    </row>
    <row r="11" spans="1:17" x14ac:dyDescent="0.25">
      <c r="A11" t="s">
        <v>1391</v>
      </c>
      <c r="B11" t="s">
        <v>1392</v>
      </c>
      <c r="C11">
        <v>39.729999999999997</v>
      </c>
      <c r="D11">
        <v>-0.22</v>
      </c>
      <c r="E11">
        <v>39.75</v>
      </c>
      <c r="F11">
        <v>39.76</v>
      </c>
      <c r="G11">
        <v>39.729999999999997</v>
      </c>
      <c r="H11">
        <v>39.74</v>
      </c>
      <c r="I11" s="1">
        <v>500000</v>
      </c>
      <c r="J11" s="1">
        <v>19871200</v>
      </c>
      <c r="K11">
        <v>26</v>
      </c>
      <c r="L11">
        <v>39.61</v>
      </c>
      <c r="M11">
        <v>39.79</v>
      </c>
      <c r="N11" s="1">
        <v>9239000</v>
      </c>
      <c r="O11">
        <v>39.729999999999997</v>
      </c>
      <c r="P11">
        <v>9999.9500000000007</v>
      </c>
      <c r="Q11">
        <v>0.01</v>
      </c>
    </row>
    <row r="12" spans="1:17" x14ac:dyDescent="0.25">
      <c r="A12" t="s">
        <v>1393</v>
      </c>
      <c r="B12" t="s">
        <v>1394</v>
      </c>
      <c r="C12">
        <v>39.83</v>
      </c>
      <c r="D12">
        <v>-0.16</v>
      </c>
      <c r="E12">
        <v>39.81</v>
      </c>
      <c r="F12">
        <v>39.83</v>
      </c>
      <c r="G12">
        <v>39.81</v>
      </c>
      <c r="H12">
        <v>39.82</v>
      </c>
      <c r="I12" s="1">
        <v>500000</v>
      </c>
      <c r="J12" s="1">
        <v>19909000</v>
      </c>
      <c r="K12">
        <v>10</v>
      </c>
      <c r="L12">
        <v>39.69</v>
      </c>
      <c r="M12">
        <v>39.86</v>
      </c>
      <c r="N12" s="1">
        <v>6583000</v>
      </c>
      <c r="O12">
        <v>39.83</v>
      </c>
      <c r="P12">
        <v>9999.9500000000007</v>
      </c>
      <c r="Q12">
        <v>0.01</v>
      </c>
    </row>
    <row r="13" spans="1:17" x14ac:dyDescent="0.25">
      <c r="A13" t="s">
        <v>1395</v>
      </c>
      <c r="B13" t="s">
        <v>1396</v>
      </c>
      <c r="C13">
        <v>39.590000000000003</v>
      </c>
      <c r="D13">
        <v>-0.31</v>
      </c>
      <c r="E13">
        <v>39.57</v>
      </c>
      <c r="F13">
        <v>39.6</v>
      </c>
      <c r="G13">
        <v>39.57</v>
      </c>
      <c r="H13">
        <v>39.590000000000003</v>
      </c>
      <c r="I13" s="1">
        <v>501000</v>
      </c>
      <c r="J13" s="1">
        <v>19835630</v>
      </c>
      <c r="K13">
        <v>49</v>
      </c>
      <c r="L13">
        <v>39.450000000000003</v>
      </c>
      <c r="M13">
        <v>39.630000000000003</v>
      </c>
      <c r="N13" s="1">
        <v>7775000</v>
      </c>
      <c r="O13">
        <v>39.590000000000003</v>
      </c>
      <c r="P13">
        <v>9999.9500000000007</v>
      </c>
      <c r="Q13">
        <v>0.01</v>
      </c>
    </row>
    <row r="14" spans="1:17" x14ac:dyDescent="0.25">
      <c r="A14">
        <v>1258</v>
      </c>
      <c r="B14" t="s">
        <v>39</v>
      </c>
      <c r="C14">
        <v>29.8</v>
      </c>
      <c r="D14">
        <v>-0.2</v>
      </c>
      <c r="E14">
        <v>30</v>
      </c>
      <c r="F14">
        <v>30</v>
      </c>
      <c r="G14">
        <v>29.8</v>
      </c>
      <c r="H14">
        <v>29.87</v>
      </c>
      <c r="I14" s="1">
        <v>6100</v>
      </c>
      <c r="J14" s="1">
        <v>182220</v>
      </c>
      <c r="K14">
        <v>4</v>
      </c>
      <c r="L14">
        <v>29.75</v>
      </c>
      <c r="M14">
        <v>30.35</v>
      </c>
      <c r="N14" s="1">
        <v>36816458</v>
      </c>
      <c r="O14">
        <v>29.8</v>
      </c>
      <c r="P14">
        <v>32.75</v>
      </c>
      <c r="Q14">
        <v>26.85</v>
      </c>
    </row>
    <row r="15" spans="1:17" x14ac:dyDescent="0.25">
      <c r="A15">
        <v>1259</v>
      </c>
      <c r="B15" t="s">
        <v>40</v>
      </c>
      <c r="C15">
        <v>89.4</v>
      </c>
      <c r="D15">
        <v>2</v>
      </c>
      <c r="E15">
        <v>84.4</v>
      </c>
      <c r="F15">
        <v>89.4</v>
      </c>
      <c r="G15">
        <v>84.4</v>
      </c>
      <c r="H15">
        <v>88.33</v>
      </c>
      <c r="I15" s="1">
        <v>12007</v>
      </c>
      <c r="J15" s="1">
        <v>1060623</v>
      </c>
      <c r="K15" s="1">
        <v>18</v>
      </c>
      <c r="L15">
        <v>87.3</v>
      </c>
      <c r="M15">
        <v>89.5</v>
      </c>
      <c r="N15" s="1">
        <v>32389500</v>
      </c>
      <c r="O15">
        <v>89.4</v>
      </c>
      <c r="P15">
        <v>98.3</v>
      </c>
      <c r="Q15">
        <v>80.5</v>
      </c>
    </row>
    <row r="16" spans="1:17" x14ac:dyDescent="0.25">
      <c r="A16">
        <v>1264</v>
      </c>
      <c r="B16" t="s">
        <v>41</v>
      </c>
      <c r="C16">
        <v>235</v>
      </c>
      <c r="D16">
        <v>1.5</v>
      </c>
      <c r="E16">
        <v>233.5</v>
      </c>
      <c r="F16">
        <v>235</v>
      </c>
      <c r="G16">
        <v>233.5</v>
      </c>
      <c r="H16">
        <v>234.36</v>
      </c>
      <c r="I16" s="1">
        <v>7411</v>
      </c>
      <c r="J16" s="1">
        <v>1736818</v>
      </c>
      <c r="K16" s="1">
        <v>16</v>
      </c>
      <c r="L16">
        <v>234</v>
      </c>
      <c r="M16">
        <v>235</v>
      </c>
      <c r="N16" s="1">
        <v>33695970</v>
      </c>
      <c r="O16">
        <v>235</v>
      </c>
      <c r="P16">
        <v>258.5</v>
      </c>
      <c r="Q16">
        <v>211.5</v>
      </c>
    </row>
    <row r="17" spans="1:17" x14ac:dyDescent="0.25">
      <c r="A17">
        <v>1268</v>
      </c>
      <c r="B17" t="s">
        <v>1397</v>
      </c>
      <c r="C17">
        <v>142</v>
      </c>
      <c r="D17">
        <v>-1</v>
      </c>
      <c r="E17">
        <v>143</v>
      </c>
      <c r="F17">
        <v>143</v>
      </c>
      <c r="G17">
        <v>142</v>
      </c>
      <c r="H17">
        <v>142.46</v>
      </c>
      <c r="I17" s="1">
        <v>18441</v>
      </c>
      <c r="J17" s="1">
        <v>2627063</v>
      </c>
      <c r="K17">
        <v>21</v>
      </c>
      <c r="L17">
        <v>142.5</v>
      </c>
      <c r="M17">
        <v>143.5</v>
      </c>
      <c r="N17" s="1">
        <v>37991000</v>
      </c>
      <c r="O17">
        <v>142</v>
      </c>
      <c r="P17">
        <v>156</v>
      </c>
      <c r="Q17">
        <v>128</v>
      </c>
    </row>
    <row r="18" spans="1:17" x14ac:dyDescent="0.25">
      <c r="A18">
        <v>1333</v>
      </c>
      <c r="B18" t="s">
        <v>42</v>
      </c>
      <c r="C18">
        <v>3.94</v>
      </c>
      <c r="D18">
        <v>0.09</v>
      </c>
      <c r="E18">
        <v>3.92</v>
      </c>
      <c r="F18">
        <v>3.94</v>
      </c>
      <c r="G18">
        <v>3.92</v>
      </c>
      <c r="H18">
        <v>3.91</v>
      </c>
      <c r="I18" s="1">
        <v>6400</v>
      </c>
      <c r="J18" s="1">
        <v>25052</v>
      </c>
      <c r="K18" s="1">
        <v>20</v>
      </c>
      <c r="L18">
        <v>3.8</v>
      </c>
      <c r="M18">
        <v>3.95</v>
      </c>
      <c r="N18" s="1">
        <v>61515375</v>
      </c>
      <c r="O18">
        <v>3.94</v>
      </c>
      <c r="P18">
        <v>4.33</v>
      </c>
      <c r="Q18">
        <v>3.55</v>
      </c>
    </row>
    <row r="19" spans="1:17" x14ac:dyDescent="0.25">
      <c r="A19">
        <v>1336</v>
      </c>
      <c r="B19" t="s">
        <v>43</v>
      </c>
      <c r="C19">
        <v>19</v>
      </c>
      <c r="D19">
        <v>1</v>
      </c>
      <c r="E19">
        <v>18</v>
      </c>
      <c r="F19">
        <v>19</v>
      </c>
      <c r="G19">
        <v>17.95</v>
      </c>
      <c r="H19">
        <v>18.64</v>
      </c>
      <c r="I19" s="1">
        <v>860683</v>
      </c>
      <c r="J19" s="1">
        <v>16039460</v>
      </c>
      <c r="K19">
        <v>327</v>
      </c>
      <c r="L19">
        <v>18.25</v>
      </c>
      <c r="M19">
        <v>19</v>
      </c>
      <c r="N19" s="1">
        <v>71981160</v>
      </c>
      <c r="O19">
        <v>19</v>
      </c>
      <c r="P19">
        <v>20.9</v>
      </c>
      <c r="Q19">
        <v>17.100000000000001</v>
      </c>
    </row>
    <row r="20" spans="1:17" x14ac:dyDescent="0.25">
      <c r="A20">
        <v>1565</v>
      </c>
      <c r="B20" t="s">
        <v>44</v>
      </c>
      <c r="C20">
        <v>975</v>
      </c>
      <c r="D20">
        <v>-8</v>
      </c>
      <c r="E20">
        <v>980</v>
      </c>
      <c r="F20">
        <v>999</v>
      </c>
      <c r="G20">
        <v>975</v>
      </c>
      <c r="H20">
        <v>981.13</v>
      </c>
      <c r="I20" s="1">
        <v>330394</v>
      </c>
      <c r="J20" s="1">
        <v>324158332</v>
      </c>
      <c r="K20">
        <v>326</v>
      </c>
      <c r="L20">
        <v>975</v>
      </c>
      <c r="M20">
        <v>976</v>
      </c>
      <c r="N20" s="1">
        <v>50416516</v>
      </c>
      <c r="O20">
        <v>975</v>
      </c>
      <c r="P20">
        <v>1070</v>
      </c>
      <c r="Q20">
        <v>878</v>
      </c>
    </row>
    <row r="21" spans="1:17" x14ac:dyDescent="0.25">
      <c r="A21">
        <v>1566</v>
      </c>
      <c r="B21" t="s">
        <v>45</v>
      </c>
      <c r="C21">
        <v>21.3</v>
      </c>
      <c r="D21">
        <v>-0.35</v>
      </c>
      <c r="E21">
        <v>22</v>
      </c>
      <c r="F21">
        <v>22.1</v>
      </c>
      <c r="G21">
        <v>21.15</v>
      </c>
      <c r="H21">
        <v>21.49</v>
      </c>
      <c r="I21" s="1">
        <v>514110</v>
      </c>
      <c r="J21" s="1">
        <v>11047229</v>
      </c>
      <c r="K21">
        <v>248</v>
      </c>
      <c r="L21">
        <v>21.25</v>
      </c>
      <c r="M21">
        <v>21.3</v>
      </c>
      <c r="N21" s="1">
        <v>66467028</v>
      </c>
      <c r="O21">
        <v>21.3</v>
      </c>
      <c r="P21">
        <v>23.4</v>
      </c>
      <c r="Q21">
        <v>19.2</v>
      </c>
    </row>
    <row r="22" spans="1:17" x14ac:dyDescent="0.25">
      <c r="A22">
        <v>1569</v>
      </c>
      <c r="B22" t="s">
        <v>46</v>
      </c>
      <c r="C22">
        <v>39.299999999999997</v>
      </c>
      <c r="D22">
        <v>-0.1</v>
      </c>
      <c r="E22">
        <v>39.200000000000003</v>
      </c>
      <c r="F22">
        <v>39.450000000000003</v>
      </c>
      <c r="G22">
        <v>38.85</v>
      </c>
      <c r="H22">
        <v>39.130000000000003</v>
      </c>
      <c r="I22" s="1">
        <v>706001</v>
      </c>
      <c r="J22" s="1">
        <v>27622589</v>
      </c>
      <c r="K22">
        <v>376</v>
      </c>
      <c r="L22">
        <v>39.200000000000003</v>
      </c>
      <c r="M22">
        <v>39.299999999999997</v>
      </c>
      <c r="N22" s="1">
        <v>102123981</v>
      </c>
      <c r="O22">
        <v>39.299999999999997</v>
      </c>
      <c r="P22">
        <v>43.2</v>
      </c>
      <c r="Q22">
        <v>35.4</v>
      </c>
    </row>
    <row r="23" spans="1:17" x14ac:dyDescent="0.25">
      <c r="A23">
        <v>1570</v>
      </c>
      <c r="B23" t="s">
        <v>47</v>
      </c>
      <c r="C23">
        <v>14.9</v>
      </c>
      <c r="D23">
        <v>-0.25</v>
      </c>
      <c r="E23">
        <v>15.15</v>
      </c>
      <c r="F23">
        <v>15.15</v>
      </c>
      <c r="G23">
        <v>14.9</v>
      </c>
      <c r="H23">
        <v>15.01</v>
      </c>
      <c r="I23" s="1">
        <v>116100</v>
      </c>
      <c r="J23" s="1">
        <v>1743225</v>
      </c>
      <c r="K23">
        <v>55</v>
      </c>
      <c r="L23">
        <v>14.9</v>
      </c>
      <c r="M23">
        <v>15.1</v>
      </c>
      <c r="N23" s="1">
        <v>51500839</v>
      </c>
      <c r="O23">
        <v>14.9</v>
      </c>
      <c r="P23">
        <v>16.350000000000001</v>
      </c>
      <c r="Q23">
        <v>13.45</v>
      </c>
    </row>
    <row r="24" spans="1:17" x14ac:dyDescent="0.25">
      <c r="A24">
        <v>1580</v>
      </c>
      <c r="B24" t="s">
        <v>48</v>
      </c>
      <c r="C24">
        <v>170</v>
      </c>
      <c r="D24">
        <v>2</v>
      </c>
      <c r="E24">
        <v>170</v>
      </c>
      <c r="F24">
        <v>170.5</v>
      </c>
      <c r="G24">
        <v>168.5</v>
      </c>
      <c r="H24">
        <v>169.94</v>
      </c>
      <c r="I24" s="1">
        <v>44118</v>
      </c>
      <c r="J24" s="1">
        <v>7497442</v>
      </c>
      <c r="K24">
        <v>34</v>
      </c>
      <c r="L24">
        <v>169</v>
      </c>
      <c r="M24">
        <v>170</v>
      </c>
      <c r="N24" s="1">
        <v>48531634</v>
      </c>
      <c r="O24">
        <v>170</v>
      </c>
      <c r="P24">
        <v>187</v>
      </c>
      <c r="Q24">
        <v>153</v>
      </c>
    </row>
    <row r="25" spans="1:17" x14ac:dyDescent="0.25">
      <c r="A25">
        <v>1584</v>
      </c>
      <c r="B25" t="s">
        <v>49</v>
      </c>
      <c r="C25">
        <v>11.55</v>
      </c>
      <c r="D25">
        <v>0.2</v>
      </c>
      <c r="E25">
        <v>11.4</v>
      </c>
      <c r="F25">
        <v>12</v>
      </c>
      <c r="G25">
        <v>11.4</v>
      </c>
      <c r="H25">
        <v>11.71</v>
      </c>
      <c r="I25" s="1">
        <v>1705013</v>
      </c>
      <c r="J25" s="1">
        <v>19962593</v>
      </c>
      <c r="K25">
        <v>637</v>
      </c>
      <c r="L25">
        <v>11.55</v>
      </c>
      <c r="M25">
        <v>11.6</v>
      </c>
      <c r="N25" s="1">
        <v>82470533</v>
      </c>
      <c r="O25">
        <v>11.55</v>
      </c>
      <c r="P25">
        <v>12.7</v>
      </c>
      <c r="Q25">
        <v>10.4</v>
      </c>
    </row>
    <row r="26" spans="1:17" x14ac:dyDescent="0.25">
      <c r="A26">
        <v>1586</v>
      </c>
      <c r="B26" t="s">
        <v>50</v>
      </c>
      <c r="C26">
        <v>48.45</v>
      </c>
      <c r="D26">
        <v>0.25</v>
      </c>
      <c r="E26">
        <v>48.5</v>
      </c>
      <c r="F26">
        <v>49.05</v>
      </c>
      <c r="G26">
        <v>48.45</v>
      </c>
      <c r="H26">
        <v>48.7</v>
      </c>
      <c r="I26" s="1">
        <v>2753250</v>
      </c>
      <c r="J26" s="1">
        <v>134091249</v>
      </c>
      <c r="K26" s="1">
        <v>601</v>
      </c>
      <c r="L26">
        <v>48.45</v>
      </c>
      <c r="M26">
        <v>48.65</v>
      </c>
      <c r="N26" s="1">
        <v>73202586</v>
      </c>
      <c r="O26">
        <v>48.45</v>
      </c>
      <c r="P26">
        <v>53.2</v>
      </c>
      <c r="Q26">
        <v>43.65</v>
      </c>
    </row>
    <row r="27" spans="1:17" x14ac:dyDescent="0.25">
      <c r="A27">
        <v>1591</v>
      </c>
      <c r="B27" t="s">
        <v>51</v>
      </c>
      <c r="C27">
        <v>35.200000000000003</v>
      </c>
      <c r="D27">
        <v>0</v>
      </c>
      <c r="E27">
        <v>35.4</v>
      </c>
      <c r="F27">
        <v>35.4</v>
      </c>
      <c r="G27">
        <v>35</v>
      </c>
      <c r="H27">
        <v>35.15</v>
      </c>
      <c r="I27" s="1">
        <v>83000</v>
      </c>
      <c r="J27" s="1">
        <v>2917050</v>
      </c>
      <c r="K27">
        <v>55</v>
      </c>
      <c r="L27">
        <v>35.15</v>
      </c>
      <c r="M27">
        <v>35.299999999999997</v>
      </c>
      <c r="N27" s="1">
        <v>33164807</v>
      </c>
      <c r="O27">
        <v>35.200000000000003</v>
      </c>
      <c r="P27">
        <v>38.700000000000003</v>
      </c>
      <c r="Q27">
        <v>31.7</v>
      </c>
    </row>
    <row r="28" spans="1:17" x14ac:dyDescent="0.25">
      <c r="A28">
        <v>1593</v>
      </c>
      <c r="B28" t="s">
        <v>52</v>
      </c>
      <c r="C28">
        <v>50.8</v>
      </c>
      <c r="D28">
        <v>1.35</v>
      </c>
      <c r="E28">
        <v>49.5</v>
      </c>
      <c r="F28">
        <v>53.3</v>
      </c>
      <c r="G28">
        <v>49.5</v>
      </c>
      <c r="H28">
        <v>51.87</v>
      </c>
      <c r="I28" s="1">
        <v>1041140</v>
      </c>
      <c r="J28" s="1">
        <v>54006329</v>
      </c>
      <c r="K28">
        <v>688</v>
      </c>
      <c r="L28">
        <v>50.8</v>
      </c>
      <c r="M28">
        <v>51</v>
      </c>
      <c r="N28" s="1">
        <v>30500696</v>
      </c>
      <c r="O28">
        <v>50.8</v>
      </c>
      <c r="P28">
        <v>55.8</v>
      </c>
      <c r="Q28">
        <v>45.75</v>
      </c>
    </row>
    <row r="29" spans="1:17" x14ac:dyDescent="0.25">
      <c r="A29">
        <v>1595</v>
      </c>
      <c r="B29" t="s">
        <v>53</v>
      </c>
      <c r="C29">
        <v>62.3</v>
      </c>
      <c r="D29">
        <v>-0.9</v>
      </c>
      <c r="E29">
        <v>63.2</v>
      </c>
      <c r="F29">
        <v>63.2</v>
      </c>
      <c r="G29">
        <v>61.8</v>
      </c>
      <c r="H29">
        <v>62.41</v>
      </c>
      <c r="I29" s="1">
        <v>15002</v>
      </c>
      <c r="J29" s="1">
        <v>936324</v>
      </c>
      <c r="K29">
        <v>16</v>
      </c>
      <c r="L29">
        <v>62.3</v>
      </c>
      <c r="M29">
        <v>62.6</v>
      </c>
      <c r="N29" s="1">
        <v>46621820</v>
      </c>
      <c r="O29">
        <v>62.3</v>
      </c>
      <c r="P29">
        <v>68.5</v>
      </c>
      <c r="Q29">
        <v>56.1</v>
      </c>
    </row>
    <row r="30" spans="1:17" x14ac:dyDescent="0.25">
      <c r="A30">
        <v>1597</v>
      </c>
      <c r="B30" t="s">
        <v>54</v>
      </c>
      <c r="C30">
        <v>87.1</v>
      </c>
      <c r="D30">
        <v>-0.1</v>
      </c>
      <c r="E30">
        <v>87.7</v>
      </c>
      <c r="F30">
        <v>87.9</v>
      </c>
      <c r="G30">
        <v>86.7</v>
      </c>
      <c r="H30">
        <v>87.24</v>
      </c>
      <c r="I30" s="1">
        <v>358600</v>
      </c>
      <c r="J30" s="1">
        <v>31282900</v>
      </c>
      <c r="K30">
        <v>287</v>
      </c>
      <c r="L30">
        <v>87</v>
      </c>
      <c r="M30">
        <v>87.5</v>
      </c>
      <c r="N30" s="1">
        <v>62045489</v>
      </c>
      <c r="O30">
        <v>87.1</v>
      </c>
      <c r="P30">
        <v>95.8</v>
      </c>
      <c r="Q30">
        <v>78.400000000000006</v>
      </c>
    </row>
    <row r="31" spans="1:17" x14ac:dyDescent="0.25">
      <c r="A31">
        <v>1599</v>
      </c>
      <c r="B31" t="s">
        <v>55</v>
      </c>
      <c r="C31">
        <v>42.5</v>
      </c>
      <c r="D31">
        <v>0.2</v>
      </c>
      <c r="E31">
        <v>42.3</v>
      </c>
      <c r="F31">
        <v>42.7</v>
      </c>
      <c r="G31">
        <v>42.3</v>
      </c>
      <c r="H31">
        <v>42.49</v>
      </c>
      <c r="I31" s="1">
        <v>45030</v>
      </c>
      <c r="J31" s="1">
        <v>1913212</v>
      </c>
      <c r="K31">
        <v>35</v>
      </c>
      <c r="L31">
        <v>42.35</v>
      </c>
      <c r="M31">
        <v>42.5</v>
      </c>
      <c r="N31" s="1">
        <v>62002519</v>
      </c>
      <c r="O31">
        <v>42.5</v>
      </c>
      <c r="P31">
        <v>46.75</v>
      </c>
      <c r="Q31">
        <v>38.25</v>
      </c>
    </row>
    <row r="32" spans="1:17" x14ac:dyDescent="0.25">
      <c r="A32">
        <v>1742</v>
      </c>
      <c r="B32" t="s">
        <v>56</v>
      </c>
      <c r="C32">
        <v>10.15</v>
      </c>
      <c r="D32">
        <v>0</v>
      </c>
      <c r="E32">
        <v>10.15</v>
      </c>
      <c r="F32">
        <v>10.15</v>
      </c>
      <c r="G32">
        <v>10.1</v>
      </c>
      <c r="H32">
        <v>10.14</v>
      </c>
      <c r="I32" s="1">
        <v>55600</v>
      </c>
      <c r="J32" s="1">
        <v>563708</v>
      </c>
      <c r="K32">
        <v>52</v>
      </c>
      <c r="L32">
        <v>10.15</v>
      </c>
      <c r="M32">
        <v>10.199999999999999</v>
      </c>
      <c r="N32" s="1">
        <v>72240524</v>
      </c>
      <c r="O32">
        <v>10.15</v>
      </c>
      <c r="P32">
        <v>11.15</v>
      </c>
      <c r="Q32">
        <v>9.14</v>
      </c>
    </row>
    <row r="33" spans="1:17" x14ac:dyDescent="0.25">
      <c r="A33">
        <v>1752</v>
      </c>
      <c r="B33" t="s">
        <v>57</v>
      </c>
      <c r="C33">
        <v>36.950000000000003</v>
      </c>
      <c r="D33">
        <v>0.2</v>
      </c>
      <c r="E33">
        <v>36.9</v>
      </c>
      <c r="F33">
        <v>37</v>
      </c>
      <c r="G33">
        <v>36.75</v>
      </c>
      <c r="H33">
        <v>36.9</v>
      </c>
      <c r="I33" s="1">
        <v>88613</v>
      </c>
      <c r="J33" s="1">
        <v>3269796</v>
      </c>
      <c r="K33" s="1">
        <v>81</v>
      </c>
      <c r="L33">
        <v>36.9</v>
      </c>
      <c r="M33">
        <v>36.950000000000003</v>
      </c>
      <c r="N33" s="1">
        <v>100988472</v>
      </c>
      <c r="O33">
        <v>36.950000000000003</v>
      </c>
      <c r="P33">
        <v>40.6</v>
      </c>
      <c r="Q33">
        <v>33.299999999999997</v>
      </c>
    </row>
    <row r="34" spans="1:17" x14ac:dyDescent="0.25">
      <c r="A34">
        <v>1777</v>
      </c>
      <c r="B34" t="s">
        <v>58</v>
      </c>
      <c r="C34">
        <v>72</v>
      </c>
      <c r="D34">
        <v>0.1</v>
      </c>
      <c r="E34">
        <v>72.400000000000006</v>
      </c>
      <c r="F34">
        <v>72.400000000000006</v>
      </c>
      <c r="G34">
        <v>71.099999999999994</v>
      </c>
      <c r="H34">
        <v>71.52</v>
      </c>
      <c r="I34" s="1">
        <v>22003</v>
      </c>
      <c r="J34" s="1">
        <v>1573717</v>
      </c>
      <c r="K34" s="1">
        <v>21</v>
      </c>
      <c r="L34">
        <v>71.099999999999994</v>
      </c>
      <c r="M34">
        <v>72.099999999999994</v>
      </c>
      <c r="N34" s="1">
        <v>30059550</v>
      </c>
      <c r="O34">
        <v>72</v>
      </c>
      <c r="P34">
        <v>79.2</v>
      </c>
      <c r="Q34">
        <v>64.8</v>
      </c>
    </row>
    <row r="35" spans="1:17" x14ac:dyDescent="0.25">
      <c r="A35">
        <v>1781</v>
      </c>
      <c r="B35" t="s">
        <v>59</v>
      </c>
      <c r="C35">
        <v>11.95</v>
      </c>
      <c r="D35">
        <v>0.05</v>
      </c>
      <c r="E35">
        <v>11.9</v>
      </c>
      <c r="F35">
        <v>11.95</v>
      </c>
      <c r="G35">
        <v>11.8</v>
      </c>
      <c r="H35">
        <v>11.82</v>
      </c>
      <c r="I35" s="1">
        <v>33002</v>
      </c>
      <c r="J35" s="1">
        <v>390176</v>
      </c>
      <c r="K35" s="1">
        <v>20</v>
      </c>
      <c r="L35">
        <v>11.9</v>
      </c>
      <c r="M35">
        <v>11.95</v>
      </c>
      <c r="N35" s="1">
        <v>47407605</v>
      </c>
      <c r="O35">
        <v>11.95</v>
      </c>
      <c r="P35">
        <v>13.1</v>
      </c>
      <c r="Q35">
        <v>10.8</v>
      </c>
    </row>
    <row r="36" spans="1:17" x14ac:dyDescent="0.25">
      <c r="A36">
        <v>1784</v>
      </c>
      <c r="B36" t="s">
        <v>60</v>
      </c>
      <c r="C36">
        <v>27</v>
      </c>
      <c r="D36">
        <v>0.65</v>
      </c>
      <c r="E36">
        <v>26.45</v>
      </c>
      <c r="F36">
        <v>27.3</v>
      </c>
      <c r="G36">
        <v>26.15</v>
      </c>
      <c r="H36">
        <v>26.75</v>
      </c>
      <c r="I36" s="1">
        <v>154049</v>
      </c>
      <c r="J36" s="1">
        <v>4121223</v>
      </c>
      <c r="K36">
        <v>112</v>
      </c>
      <c r="L36">
        <v>26.9</v>
      </c>
      <c r="M36">
        <v>27</v>
      </c>
      <c r="N36" s="1">
        <v>49688924</v>
      </c>
      <c r="O36">
        <v>27</v>
      </c>
      <c r="P36">
        <v>29.7</v>
      </c>
      <c r="Q36">
        <v>24.3</v>
      </c>
    </row>
    <row r="37" spans="1:17" x14ac:dyDescent="0.25">
      <c r="A37">
        <v>1785</v>
      </c>
      <c r="B37" t="s">
        <v>827</v>
      </c>
      <c r="C37">
        <v>21.2</v>
      </c>
      <c r="D37">
        <v>0.55000000000000004</v>
      </c>
      <c r="E37">
        <v>20.399999999999999</v>
      </c>
      <c r="F37">
        <v>21.4</v>
      </c>
      <c r="G37">
        <v>20.399999999999999</v>
      </c>
      <c r="H37">
        <v>21.01</v>
      </c>
      <c r="I37" s="1">
        <v>13164792</v>
      </c>
      <c r="J37" s="1">
        <v>276621782</v>
      </c>
      <c r="K37" s="1">
        <v>4856</v>
      </c>
      <c r="L37">
        <v>21.15</v>
      </c>
      <c r="M37">
        <v>21.2</v>
      </c>
      <c r="N37" s="1">
        <v>357501243</v>
      </c>
      <c r="O37">
        <v>21.2</v>
      </c>
      <c r="P37">
        <v>23.3</v>
      </c>
      <c r="Q37">
        <v>19.100000000000001</v>
      </c>
    </row>
    <row r="38" spans="1:17" x14ac:dyDescent="0.25">
      <c r="A38">
        <v>1787</v>
      </c>
      <c r="B38" t="s">
        <v>61</v>
      </c>
      <c r="C38">
        <v>28.3</v>
      </c>
      <c r="D38">
        <v>-0.5</v>
      </c>
      <c r="E38">
        <v>29.3</v>
      </c>
      <c r="F38">
        <v>30.2</v>
      </c>
      <c r="G38">
        <v>27.5</v>
      </c>
      <c r="H38">
        <v>29.4</v>
      </c>
      <c r="I38" s="1">
        <v>6732759</v>
      </c>
      <c r="J38" s="1">
        <v>197910381</v>
      </c>
      <c r="K38" s="1">
        <v>2759</v>
      </c>
      <c r="L38">
        <v>28.3</v>
      </c>
      <c r="M38">
        <v>28.4</v>
      </c>
      <c r="N38" s="1">
        <v>67888504</v>
      </c>
      <c r="O38">
        <v>28.3</v>
      </c>
      <c r="P38">
        <v>31.1</v>
      </c>
      <c r="Q38">
        <v>25.5</v>
      </c>
    </row>
    <row r="39" spans="1:17" x14ac:dyDescent="0.25">
      <c r="A39">
        <v>1788</v>
      </c>
      <c r="B39" t="s">
        <v>62</v>
      </c>
      <c r="C39">
        <v>95.5</v>
      </c>
      <c r="D39">
        <v>0.3</v>
      </c>
      <c r="E39">
        <v>95.6</v>
      </c>
      <c r="F39">
        <v>95.6</v>
      </c>
      <c r="G39">
        <v>95.5</v>
      </c>
      <c r="H39">
        <v>95.53</v>
      </c>
      <c r="I39" s="1">
        <v>5442</v>
      </c>
      <c r="J39" s="1">
        <v>519878</v>
      </c>
      <c r="K39" s="1">
        <v>8</v>
      </c>
      <c r="L39">
        <v>95.3</v>
      </c>
      <c r="M39">
        <v>96.3</v>
      </c>
      <c r="N39" s="1">
        <v>35000000</v>
      </c>
      <c r="O39">
        <v>95.5</v>
      </c>
      <c r="P39">
        <v>105</v>
      </c>
      <c r="Q39">
        <v>86</v>
      </c>
    </row>
    <row r="40" spans="1:17" x14ac:dyDescent="0.25">
      <c r="A40">
        <v>1795</v>
      </c>
      <c r="B40" t="s">
        <v>63</v>
      </c>
      <c r="C40">
        <v>51</v>
      </c>
      <c r="D40">
        <v>1.45</v>
      </c>
      <c r="E40">
        <v>50.1</v>
      </c>
      <c r="F40">
        <v>51.1</v>
      </c>
      <c r="G40">
        <v>49.75</v>
      </c>
      <c r="H40">
        <v>50.39</v>
      </c>
      <c r="I40" s="1">
        <v>558100</v>
      </c>
      <c r="J40" s="1">
        <v>28123819</v>
      </c>
      <c r="K40">
        <v>371</v>
      </c>
      <c r="L40">
        <v>50.9</v>
      </c>
      <c r="M40">
        <v>51</v>
      </c>
      <c r="N40" s="1">
        <v>238491744</v>
      </c>
      <c r="O40">
        <v>51</v>
      </c>
      <c r="P40">
        <v>56.1</v>
      </c>
      <c r="Q40">
        <v>45.9</v>
      </c>
    </row>
    <row r="41" spans="1:17" x14ac:dyDescent="0.25">
      <c r="A41">
        <v>1799</v>
      </c>
      <c r="B41" t="s">
        <v>64</v>
      </c>
      <c r="C41">
        <v>20.6</v>
      </c>
      <c r="D41">
        <v>-0.2</v>
      </c>
      <c r="E41">
        <v>20.8</v>
      </c>
      <c r="F41">
        <v>21.5</v>
      </c>
      <c r="G41">
        <v>20.5</v>
      </c>
      <c r="H41">
        <v>20.95</v>
      </c>
      <c r="I41" s="1">
        <v>402790</v>
      </c>
      <c r="J41" s="1">
        <v>8439615</v>
      </c>
      <c r="K41">
        <v>267</v>
      </c>
      <c r="L41">
        <v>20.55</v>
      </c>
      <c r="M41">
        <v>20.6</v>
      </c>
      <c r="N41" s="1">
        <v>83842678</v>
      </c>
      <c r="O41">
        <v>20.6</v>
      </c>
      <c r="P41">
        <v>22.65</v>
      </c>
      <c r="Q41">
        <v>18.55</v>
      </c>
    </row>
    <row r="42" spans="1:17" x14ac:dyDescent="0.25">
      <c r="A42">
        <v>1813</v>
      </c>
      <c r="B42" t="s">
        <v>65</v>
      </c>
      <c r="C42">
        <v>20.75</v>
      </c>
      <c r="D42">
        <v>-0.05</v>
      </c>
      <c r="E42">
        <v>20.85</v>
      </c>
      <c r="F42">
        <v>20.9</v>
      </c>
      <c r="G42">
        <v>20.45</v>
      </c>
      <c r="H42">
        <v>20.58</v>
      </c>
      <c r="I42" s="1">
        <v>98000</v>
      </c>
      <c r="J42" s="1">
        <v>2017050</v>
      </c>
      <c r="K42">
        <v>64</v>
      </c>
      <c r="L42">
        <v>20.7</v>
      </c>
      <c r="M42">
        <v>20.75</v>
      </c>
      <c r="N42" s="1">
        <v>46635510</v>
      </c>
      <c r="O42">
        <v>20.75</v>
      </c>
      <c r="P42">
        <v>22.8</v>
      </c>
      <c r="Q42">
        <v>18.7</v>
      </c>
    </row>
    <row r="43" spans="1:17" x14ac:dyDescent="0.25">
      <c r="A43">
        <v>1815</v>
      </c>
      <c r="B43" t="s">
        <v>66</v>
      </c>
      <c r="C43">
        <v>22.75</v>
      </c>
      <c r="D43">
        <v>-0.15</v>
      </c>
      <c r="E43">
        <v>22.05</v>
      </c>
      <c r="F43">
        <v>22.75</v>
      </c>
      <c r="G43">
        <v>21.75</v>
      </c>
      <c r="H43">
        <v>22.25</v>
      </c>
      <c r="I43" s="1">
        <v>55022666</v>
      </c>
      <c r="J43" s="1">
        <v>1224171474</v>
      </c>
      <c r="K43" s="1">
        <v>14460</v>
      </c>
      <c r="L43">
        <v>22.7</v>
      </c>
      <c r="M43">
        <v>22.75</v>
      </c>
      <c r="N43" s="1">
        <v>433716265</v>
      </c>
      <c r="O43">
        <v>22.75</v>
      </c>
      <c r="P43">
        <v>25</v>
      </c>
      <c r="Q43">
        <v>20.5</v>
      </c>
    </row>
    <row r="44" spans="1:17" x14ac:dyDescent="0.25">
      <c r="A44">
        <v>2035</v>
      </c>
      <c r="B44" t="s">
        <v>67</v>
      </c>
      <c r="C44">
        <v>47</v>
      </c>
      <c r="D44">
        <v>1.9</v>
      </c>
      <c r="E44">
        <v>45</v>
      </c>
      <c r="F44">
        <v>47</v>
      </c>
      <c r="G44">
        <v>44.9</v>
      </c>
      <c r="H44">
        <v>45.94</v>
      </c>
      <c r="I44" s="1">
        <v>98002</v>
      </c>
      <c r="J44" s="1">
        <v>4502494</v>
      </c>
      <c r="K44">
        <v>70</v>
      </c>
      <c r="L44">
        <v>47</v>
      </c>
      <c r="M44">
        <v>47.9</v>
      </c>
      <c r="N44" s="1">
        <v>350000000</v>
      </c>
      <c r="O44">
        <v>47</v>
      </c>
      <c r="P44">
        <v>51.7</v>
      </c>
      <c r="Q44">
        <v>42.3</v>
      </c>
    </row>
    <row r="45" spans="1:17" x14ac:dyDescent="0.25">
      <c r="A45">
        <v>2061</v>
      </c>
      <c r="B45" t="s">
        <v>68</v>
      </c>
      <c r="C45">
        <v>11.4</v>
      </c>
      <c r="D45">
        <v>0.2</v>
      </c>
      <c r="E45">
        <v>11.2</v>
      </c>
      <c r="F45">
        <v>11.65</v>
      </c>
      <c r="G45">
        <v>11.2</v>
      </c>
      <c r="H45">
        <v>11.44</v>
      </c>
      <c r="I45" s="1">
        <v>243002</v>
      </c>
      <c r="J45" s="1">
        <v>2779772</v>
      </c>
      <c r="K45">
        <v>100</v>
      </c>
      <c r="L45">
        <v>11.35</v>
      </c>
      <c r="M45">
        <v>11.45</v>
      </c>
      <c r="N45" s="1">
        <v>62075076</v>
      </c>
      <c r="O45">
        <v>11.4</v>
      </c>
      <c r="P45">
        <v>12.5</v>
      </c>
      <c r="Q45">
        <v>10.3</v>
      </c>
    </row>
    <row r="46" spans="1:17" x14ac:dyDescent="0.25">
      <c r="A46">
        <v>2063</v>
      </c>
      <c r="B46" t="s">
        <v>69</v>
      </c>
      <c r="C46">
        <v>35.049999999999997</v>
      </c>
      <c r="D46">
        <v>-0.05</v>
      </c>
      <c r="E46">
        <v>35.299999999999997</v>
      </c>
      <c r="F46">
        <v>35.299999999999997</v>
      </c>
      <c r="G46">
        <v>35</v>
      </c>
      <c r="H46">
        <v>35.07</v>
      </c>
      <c r="I46" s="1">
        <v>97833</v>
      </c>
      <c r="J46" s="1">
        <v>3431105</v>
      </c>
      <c r="K46">
        <v>34</v>
      </c>
      <c r="L46">
        <v>34.9</v>
      </c>
      <c r="M46">
        <v>35.049999999999997</v>
      </c>
      <c r="N46" s="1">
        <v>45000000</v>
      </c>
      <c r="O46">
        <v>35.049999999999997</v>
      </c>
      <c r="P46">
        <v>38.549999999999997</v>
      </c>
      <c r="Q46">
        <v>31.55</v>
      </c>
    </row>
    <row r="47" spans="1:17" x14ac:dyDescent="0.25">
      <c r="A47">
        <v>2064</v>
      </c>
      <c r="B47" t="s">
        <v>70</v>
      </c>
      <c r="C47">
        <v>17</v>
      </c>
      <c r="D47">
        <v>-0.05</v>
      </c>
      <c r="E47">
        <v>17.05</v>
      </c>
      <c r="F47">
        <v>17.05</v>
      </c>
      <c r="G47">
        <v>17</v>
      </c>
      <c r="H47">
        <v>17.010000000000002</v>
      </c>
      <c r="I47" s="1">
        <v>4000</v>
      </c>
      <c r="J47" s="1">
        <v>68050</v>
      </c>
      <c r="K47">
        <v>4</v>
      </c>
      <c r="L47">
        <v>17.05</v>
      </c>
      <c r="M47">
        <v>17.2</v>
      </c>
      <c r="N47" s="1">
        <v>70000000</v>
      </c>
      <c r="O47">
        <v>17</v>
      </c>
      <c r="P47">
        <v>18.7</v>
      </c>
      <c r="Q47">
        <v>15.3</v>
      </c>
    </row>
    <row r="48" spans="1:17" x14ac:dyDescent="0.25">
      <c r="A48">
        <v>2065</v>
      </c>
      <c r="B48" t="s">
        <v>71</v>
      </c>
      <c r="C48">
        <v>25.95</v>
      </c>
      <c r="D48">
        <v>0.1</v>
      </c>
      <c r="E48">
        <v>25.9</v>
      </c>
      <c r="F48">
        <v>25.95</v>
      </c>
      <c r="G48">
        <v>25.85</v>
      </c>
      <c r="H48">
        <v>25.91</v>
      </c>
      <c r="I48" s="1">
        <v>16000</v>
      </c>
      <c r="J48" s="1">
        <v>414550</v>
      </c>
      <c r="K48" s="1">
        <v>16</v>
      </c>
      <c r="L48">
        <v>25.9</v>
      </c>
      <c r="M48">
        <v>26</v>
      </c>
      <c r="N48" s="1">
        <v>32679220</v>
      </c>
      <c r="O48">
        <v>25.95</v>
      </c>
      <c r="P48">
        <v>28.5</v>
      </c>
      <c r="Q48">
        <v>23.4</v>
      </c>
    </row>
    <row r="49" spans="1:17" x14ac:dyDescent="0.25">
      <c r="A49">
        <v>2066</v>
      </c>
      <c r="B49" t="s">
        <v>72</v>
      </c>
      <c r="C49">
        <v>96.5</v>
      </c>
      <c r="D49">
        <v>0.4</v>
      </c>
      <c r="E49">
        <v>96.5</v>
      </c>
      <c r="F49">
        <v>96.9</v>
      </c>
      <c r="G49">
        <v>96.5</v>
      </c>
      <c r="H49">
        <v>96.77</v>
      </c>
      <c r="I49" s="1">
        <v>19250</v>
      </c>
      <c r="J49" s="1">
        <v>1862800</v>
      </c>
      <c r="K49">
        <v>22</v>
      </c>
      <c r="L49">
        <v>95.3</v>
      </c>
      <c r="M49">
        <v>96.4</v>
      </c>
      <c r="N49" s="1">
        <v>36502870</v>
      </c>
      <c r="O49">
        <v>96.5</v>
      </c>
      <c r="P49">
        <v>106</v>
      </c>
      <c r="Q49">
        <v>86.9</v>
      </c>
    </row>
    <row r="50" spans="1:17" x14ac:dyDescent="0.25">
      <c r="A50">
        <v>2067</v>
      </c>
      <c r="B50" t="s">
        <v>73</v>
      </c>
      <c r="C50">
        <v>11.5</v>
      </c>
      <c r="D50">
        <v>0</v>
      </c>
      <c r="E50">
        <v>11.5</v>
      </c>
      <c r="F50">
        <v>11.5</v>
      </c>
      <c r="G50">
        <v>11.45</v>
      </c>
      <c r="H50">
        <v>11.5</v>
      </c>
      <c r="I50" s="1">
        <v>41909</v>
      </c>
      <c r="J50" s="1">
        <v>481811</v>
      </c>
      <c r="K50">
        <v>16</v>
      </c>
      <c r="L50">
        <v>11.5</v>
      </c>
      <c r="M50">
        <v>11.55</v>
      </c>
      <c r="N50" s="1">
        <v>44866177</v>
      </c>
      <c r="O50">
        <v>11.5</v>
      </c>
      <c r="P50">
        <v>12.65</v>
      </c>
      <c r="Q50">
        <v>10.35</v>
      </c>
    </row>
    <row r="51" spans="1:17" x14ac:dyDescent="0.25">
      <c r="A51">
        <v>2221</v>
      </c>
      <c r="B51" t="s">
        <v>74</v>
      </c>
      <c r="C51">
        <v>27.2</v>
      </c>
      <c r="D51">
        <v>-0.15</v>
      </c>
      <c r="E51">
        <v>27.45</v>
      </c>
      <c r="F51">
        <v>27.5</v>
      </c>
      <c r="G51">
        <v>27.2</v>
      </c>
      <c r="H51">
        <v>27.35</v>
      </c>
      <c r="I51" s="1">
        <v>54400</v>
      </c>
      <c r="J51" s="1">
        <v>1487790</v>
      </c>
      <c r="K51">
        <v>39</v>
      </c>
      <c r="L51">
        <v>27.2</v>
      </c>
      <c r="M51">
        <v>27.3</v>
      </c>
      <c r="N51" s="1">
        <v>42425000</v>
      </c>
      <c r="O51">
        <v>27.2</v>
      </c>
      <c r="P51">
        <v>29.9</v>
      </c>
      <c r="Q51">
        <v>24.5</v>
      </c>
    </row>
    <row r="52" spans="1:17" x14ac:dyDescent="0.25">
      <c r="A52">
        <v>2230</v>
      </c>
      <c r="B52" t="s">
        <v>75</v>
      </c>
      <c r="C52">
        <v>13.1</v>
      </c>
      <c r="D52">
        <v>0.15</v>
      </c>
      <c r="E52">
        <v>12.9</v>
      </c>
      <c r="F52">
        <v>13.1</v>
      </c>
      <c r="G52">
        <v>12.9</v>
      </c>
      <c r="H52">
        <v>12.93</v>
      </c>
      <c r="I52" s="1">
        <v>16108</v>
      </c>
      <c r="J52" s="1">
        <v>208304</v>
      </c>
      <c r="K52">
        <v>11</v>
      </c>
      <c r="L52">
        <v>12.95</v>
      </c>
      <c r="M52">
        <v>13.15</v>
      </c>
      <c r="N52" s="1">
        <v>39617338</v>
      </c>
      <c r="O52">
        <v>13.1</v>
      </c>
      <c r="P52">
        <v>14.4</v>
      </c>
      <c r="Q52">
        <v>11.8</v>
      </c>
    </row>
    <row r="53" spans="1:17" x14ac:dyDescent="0.25">
      <c r="A53">
        <v>2233</v>
      </c>
      <c r="B53" t="s">
        <v>76</v>
      </c>
      <c r="C53">
        <v>104</v>
      </c>
      <c r="D53">
        <v>-1</v>
      </c>
      <c r="E53">
        <v>105</v>
      </c>
      <c r="F53">
        <v>105.5</v>
      </c>
      <c r="G53">
        <v>104</v>
      </c>
      <c r="H53">
        <v>104.39</v>
      </c>
      <c r="I53" s="1">
        <v>243998</v>
      </c>
      <c r="J53" s="1">
        <v>25471285</v>
      </c>
      <c r="K53">
        <v>184</v>
      </c>
      <c r="L53">
        <v>104</v>
      </c>
      <c r="M53">
        <v>104.5</v>
      </c>
      <c r="N53" s="1">
        <v>49214766</v>
      </c>
      <c r="O53">
        <v>104</v>
      </c>
      <c r="P53">
        <v>114</v>
      </c>
      <c r="Q53">
        <v>93.6</v>
      </c>
    </row>
    <row r="54" spans="1:17" x14ac:dyDescent="0.25">
      <c r="A54">
        <v>2235</v>
      </c>
      <c r="B54" t="s">
        <v>77</v>
      </c>
      <c r="C54">
        <v>94</v>
      </c>
      <c r="D54">
        <v>4</v>
      </c>
      <c r="E54">
        <v>90.5</v>
      </c>
      <c r="F54">
        <v>94</v>
      </c>
      <c r="G54">
        <v>89.5</v>
      </c>
      <c r="H54">
        <v>91.21</v>
      </c>
      <c r="I54" s="1">
        <v>67000</v>
      </c>
      <c r="J54" s="1">
        <v>6110800</v>
      </c>
      <c r="K54">
        <v>52</v>
      </c>
      <c r="L54">
        <v>94</v>
      </c>
      <c r="M54">
        <v>98</v>
      </c>
      <c r="N54" s="1">
        <v>35878000</v>
      </c>
      <c r="O54">
        <v>94</v>
      </c>
      <c r="P54">
        <v>103</v>
      </c>
      <c r="Q54">
        <v>84.6</v>
      </c>
    </row>
    <row r="55" spans="1:17" x14ac:dyDescent="0.25">
      <c r="A55">
        <v>2596</v>
      </c>
      <c r="B55" t="s">
        <v>79</v>
      </c>
      <c r="C55">
        <v>17</v>
      </c>
      <c r="D55">
        <v>0.2</v>
      </c>
      <c r="E55">
        <v>16.8</v>
      </c>
      <c r="F55">
        <v>17</v>
      </c>
      <c r="G55">
        <v>16.8</v>
      </c>
      <c r="H55">
        <v>16.91</v>
      </c>
      <c r="I55" s="1">
        <v>94004</v>
      </c>
      <c r="J55" s="1">
        <v>1589516</v>
      </c>
      <c r="K55">
        <v>32</v>
      </c>
      <c r="L55">
        <v>16.850000000000001</v>
      </c>
      <c r="M55">
        <v>17</v>
      </c>
      <c r="N55" s="1">
        <v>97381229</v>
      </c>
      <c r="O55">
        <v>17</v>
      </c>
      <c r="P55">
        <v>18.7</v>
      </c>
      <c r="Q55">
        <v>15.3</v>
      </c>
    </row>
    <row r="56" spans="1:17" x14ac:dyDescent="0.25">
      <c r="A56">
        <v>2640</v>
      </c>
      <c r="B56" t="s">
        <v>80</v>
      </c>
      <c r="C56">
        <v>65.3</v>
      </c>
      <c r="D56">
        <v>0.5</v>
      </c>
      <c r="E56">
        <v>64.7</v>
      </c>
      <c r="F56">
        <v>65.400000000000006</v>
      </c>
      <c r="G56">
        <v>64.2</v>
      </c>
      <c r="H56">
        <v>64.650000000000006</v>
      </c>
      <c r="I56" s="1">
        <v>69140</v>
      </c>
      <c r="J56" s="1">
        <v>4470112</v>
      </c>
      <c r="K56">
        <v>50</v>
      </c>
      <c r="L56">
        <v>65.099999999999994</v>
      </c>
      <c r="M56">
        <v>65.3</v>
      </c>
      <c r="N56" s="1">
        <v>48757426</v>
      </c>
      <c r="O56">
        <v>65.3</v>
      </c>
      <c r="P56">
        <v>71.8</v>
      </c>
      <c r="Q56">
        <v>58.8</v>
      </c>
    </row>
    <row r="57" spans="1:17" x14ac:dyDescent="0.25">
      <c r="A57">
        <v>2641</v>
      </c>
      <c r="B57" t="s">
        <v>81</v>
      </c>
      <c r="C57">
        <v>7.15</v>
      </c>
      <c r="D57">
        <v>-0.04</v>
      </c>
      <c r="E57">
        <v>7.15</v>
      </c>
      <c r="F57">
        <v>7.19</v>
      </c>
      <c r="G57">
        <v>7.09</v>
      </c>
      <c r="H57">
        <v>7.12</v>
      </c>
      <c r="I57" s="1">
        <v>324000</v>
      </c>
      <c r="J57" s="1">
        <v>2307820</v>
      </c>
      <c r="K57">
        <v>83</v>
      </c>
      <c r="L57">
        <v>7.12</v>
      </c>
      <c r="M57">
        <v>7.15</v>
      </c>
      <c r="N57" s="1">
        <v>185011535</v>
      </c>
      <c r="O57">
        <v>7.15</v>
      </c>
      <c r="P57">
        <v>7.86</v>
      </c>
      <c r="Q57">
        <v>6.44</v>
      </c>
    </row>
    <row r="58" spans="1:17" x14ac:dyDescent="0.25">
      <c r="A58">
        <v>2643</v>
      </c>
      <c r="B58" t="s">
        <v>82</v>
      </c>
      <c r="C58">
        <v>31.8</v>
      </c>
      <c r="D58">
        <v>0.45</v>
      </c>
      <c r="E58">
        <v>31.2</v>
      </c>
      <c r="F58">
        <v>31.8</v>
      </c>
      <c r="G58">
        <v>31.2</v>
      </c>
      <c r="H58">
        <v>31.51</v>
      </c>
      <c r="I58" s="1">
        <v>15000</v>
      </c>
      <c r="J58" s="1">
        <v>472600</v>
      </c>
      <c r="K58">
        <v>13</v>
      </c>
      <c r="L58">
        <v>31.3</v>
      </c>
      <c r="M58">
        <v>31.8</v>
      </c>
      <c r="N58" s="1">
        <v>26230000</v>
      </c>
      <c r="O58">
        <v>31.8</v>
      </c>
      <c r="P58">
        <v>34.950000000000003</v>
      </c>
      <c r="Q58">
        <v>28.65</v>
      </c>
    </row>
    <row r="59" spans="1:17" x14ac:dyDescent="0.25">
      <c r="A59">
        <v>2718</v>
      </c>
      <c r="B59" t="s">
        <v>83</v>
      </c>
      <c r="C59" t="s">
        <v>78</v>
      </c>
      <c r="D59" t="s">
        <v>78</v>
      </c>
      <c r="E59" t="s">
        <v>78</v>
      </c>
      <c r="F59" t="s">
        <v>78</v>
      </c>
      <c r="G59" t="s">
        <v>78</v>
      </c>
      <c r="H59">
        <v>25.1</v>
      </c>
      <c r="I59" s="1">
        <v>0</v>
      </c>
      <c r="J59" s="1">
        <v>0</v>
      </c>
      <c r="K59">
        <v>0</v>
      </c>
      <c r="L59">
        <v>23.35</v>
      </c>
      <c r="M59">
        <v>25.2</v>
      </c>
      <c r="N59" s="1">
        <v>22576000</v>
      </c>
      <c r="O59">
        <v>25.1</v>
      </c>
      <c r="P59">
        <v>27.6</v>
      </c>
      <c r="Q59">
        <v>22.6</v>
      </c>
    </row>
    <row r="60" spans="1:17" x14ac:dyDescent="0.25">
      <c r="A60">
        <v>2719</v>
      </c>
      <c r="B60" t="s">
        <v>84</v>
      </c>
      <c r="C60">
        <v>9.31</v>
      </c>
      <c r="D60">
        <v>0</v>
      </c>
      <c r="E60">
        <v>9.31</v>
      </c>
      <c r="F60">
        <v>9.31</v>
      </c>
      <c r="G60">
        <v>9.31</v>
      </c>
      <c r="H60">
        <v>9.31</v>
      </c>
      <c r="I60" s="1">
        <v>6002</v>
      </c>
      <c r="J60" s="1">
        <v>55878</v>
      </c>
      <c r="K60">
        <v>8</v>
      </c>
      <c r="L60">
        <v>9.31</v>
      </c>
      <c r="M60">
        <v>9.4</v>
      </c>
      <c r="N60" s="1">
        <v>36292000</v>
      </c>
      <c r="O60">
        <v>9.31</v>
      </c>
      <c r="P60">
        <v>10.199999999999999</v>
      </c>
      <c r="Q60">
        <v>8.3800000000000008</v>
      </c>
    </row>
    <row r="61" spans="1:17" x14ac:dyDescent="0.25">
      <c r="A61">
        <v>2726</v>
      </c>
      <c r="B61" t="s">
        <v>85</v>
      </c>
      <c r="C61">
        <v>91.8</v>
      </c>
      <c r="D61">
        <v>1.1000000000000001</v>
      </c>
      <c r="E61">
        <v>90.7</v>
      </c>
      <c r="F61">
        <v>91.8</v>
      </c>
      <c r="G61">
        <v>90</v>
      </c>
      <c r="H61">
        <v>90.53</v>
      </c>
      <c r="I61" s="1">
        <v>50000</v>
      </c>
      <c r="J61" s="1">
        <v>4526400</v>
      </c>
      <c r="K61" s="1">
        <v>47</v>
      </c>
      <c r="L61">
        <v>91.5</v>
      </c>
      <c r="M61">
        <v>91.9</v>
      </c>
      <c r="N61" s="1">
        <v>33360546</v>
      </c>
      <c r="O61">
        <v>91.8</v>
      </c>
      <c r="P61">
        <v>100.5</v>
      </c>
      <c r="Q61">
        <v>82.7</v>
      </c>
    </row>
    <row r="62" spans="1:17" x14ac:dyDescent="0.25">
      <c r="A62">
        <v>2729</v>
      </c>
      <c r="B62" t="s">
        <v>86</v>
      </c>
      <c r="C62">
        <v>230</v>
      </c>
      <c r="D62">
        <v>1</v>
      </c>
      <c r="E62">
        <v>228</v>
      </c>
      <c r="F62">
        <v>230</v>
      </c>
      <c r="G62">
        <v>228</v>
      </c>
      <c r="H62">
        <v>229.04</v>
      </c>
      <c r="I62" s="1">
        <v>30148</v>
      </c>
      <c r="J62" s="1">
        <v>6905040</v>
      </c>
      <c r="K62">
        <v>31</v>
      </c>
      <c r="L62">
        <v>229.5</v>
      </c>
      <c r="M62">
        <v>230</v>
      </c>
      <c r="N62" s="1">
        <v>23266000</v>
      </c>
      <c r="O62">
        <v>230</v>
      </c>
      <c r="P62">
        <v>253</v>
      </c>
      <c r="Q62">
        <v>207</v>
      </c>
    </row>
    <row r="63" spans="1:17" x14ac:dyDescent="0.25">
      <c r="A63">
        <v>2732</v>
      </c>
      <c r="B63" t="s">
        <v>87</v>
      </c>
      <c r="C63">
        <v>83.3</v>
      </c>
      <c r="D63">
        <v>0.3</v>
      </c>
      <c r="E63">
        <v>83.3</v>
      </c>
      <c r="F63">
        <v>83.4</v>
      </c>
      <c r="G63">
        <v>82.5</v>
      </c>
      <c r="H63">
        <v>82.89</v>
      </c>
      <c r="I63" s="1">
        <v>55148</v>
      </c>
      <c r="J63" s="1">
        <v>4571058</v>
      </c>
      <c r="K63">
        <v>44</v>
      </c>
      <c r="L63">
        <v>82.6</v>
      </c>
      <c r="M63">
        <v>83.3</v>
      </c>
      <c r="N63" s="1">
        <v>35108961</v>
      </c>
      <c r="O63">
        <v>83.3</v>
      </c>
      <c r="P63">
        <v>91.6</v>
      </c>
      <c r="Q63">
        <v>75</v>
      </c>
    </row>
    <row r="64" spans="1:17" x14ac:dyDescent="0.25">
      <c r="A64">
        <v>2734</v>
      </c>
      <c r="B64" t="s">
        <v>88</v>
      </c>
      <c r="C64">
        <v>19</v>
      </c>
      <c r="D64">
        <v>0</v>
      </c>
      <c r="E64">
        <v>19.25</v>
      </c>
      <c r="F64">
        <v>19.399999999999999</v>
      </c>
      <c r="G64">
        <v>19</v>
      </c>
      <c r="H64">
        <v>19.170000000000002</v>
      </c>
      <c r="I64" s="1">
        <v>14160</v>
      </c>
      <c r="J64" s="1">
        <v>271452</v>
      </c>
      <c r="K64">
        <v>14</v>
      </c>
      <c r="L64">
        <v>18.850000000000001</v>
      </c>
      <c r="M64">
        <v>19.2</v>
      </c>
      <c r="N64" s="1">
        <v>30259760</v>
      </c>
      <c r="O64">
        <v>19</v>
      </c>
      <c r="P64">
        <v>20.9</v>
      </c>
      <c r="Q64">
        <v>17.100000000000001</v>
      </c>
    </row>
    <row r="65" spans="1:17" x14ac:dyDescent="0.25">
      <c r="A65">
        <v>2736</v>
      </c>
      <c r="B65" t="s">
        <v>89</v>
      </c>
      <c r="C65">
        <v>17.100000000000001</v>
      </c>
      <c r="D65">
        <v>-0.05</v>
      </c>
      <c r="E65">
        <v>17.100000000000001</v>
      </c>
      <c r="F65">
        <v>17.149999999999999</v>
      </c>
      <c r="G65">
        <v>17.100000000000001</v>
      </c>
      <c r="H65">
        <v>17.100000000000001</v>
      </c>
      <c r="I65" s="1">
        <v>15000</v>
      </c>
      <c r="J65" s="1">
        <v>256550</v>
      </c>
      <c r="K65">
        <v>8</v>
      </c>
      <c r="L65">
        <v>17.100000000000001</v>
      </c>
      <c r="M65">
        <v>17.3</v>
      </c>
      <c r="N65" s="1">
        <v>48992383</v>
      </c>
      <c r="O65">
        <v>17.100000000000001</v>
      </c>
      <c r="P65">
        <v>18.8</v>
      </c>
      <c r="Q65">
        <v>15.4</v>
      </c>
    </row>
    <row r="66" spans="1:17" x14ac:dyDescent="0.25">
      <c r="A66">
        <v>2740</v>
      </c>
      <c r="B66" t="s">
        <v>90</v>
      </c>
      <c r="C66">
        <v>34.25</v>
      </c>
      <c r="D66">
        <v>1.1499999999999999</v>
      </c>
      <c r="E66">
        <v>34.85</v>
      </c>
      <c r="F66">
        <v>34.85</v>
      </c>
      <c r="G66">
        <v>33.1</v>
      </c>
      <c r="H66">
        <v>33.67</v>
      </c>
      <c r="I66" s="1">
        <v>74010</v>
      </c>
      <c r="J66" s="1">
        <v>2492194</v>
      </c>
      <c r="K66" s="1">
        <v>50</v>
      </c>
      <c r="L66">
        <v>33.299999999999997</v>
      </c>
      <c r="M66">
        <v>34.299999999999997</v>
      </c>
      <c r="N66" s="1">
        <v>15978196</v>
      </c>
      <c r="O66">
        <v>34.25</v>
      </c>
      <c r="P66">
        <v>37.65</v>
      </c>
      <c r="Q66">
        <v>30.85</v>
      </c>
    </row>
    <row r="67" spans="1:17" x14ac:dyDescent="0.25">
      <c r="A67">
        <v>2916</v>
      </c>
      <c r="B67" t="s">
        <v>91</v>
      </c>
      <c r="C67">
        <v>16.149999999999999</v>
      </c>
      <c r="D67">
        <v>0.15</v>
      </c>
      <c r="E67">
        <v>16.05</v>
      </c>
      <c r="F67">
        <v>16.149999999999999</v>
      </c>
      <c r="G67">
        <v>16.05</v>
      </c>
      <c r="H67">
        <v>16.09</v>
      </c>
      <c r="I67" s="1">
        <v>32000</v>
      </c>
      <c r="J67" s="1">
        <v>514750</v>
      </c>
      <c r="K67">
        <v>9</v>
      </c>
      <c r="L67">
        <v>16.05</v>
      </c>
      <c r="M67">
        <v>16.149999999999999</v>
      </c>
      <c r="N67" s="1">
        <v>54626878</v>
      </c>
      <c r="O67">
        <v>16.149999999999999</v>
      </c>
      <c r="P67">
        <v>17.75</v>
      </c>
      <c r="Q67">
        <v>14.55</v>
      </c>
    </row>
    <row r="68" spans="1:17" x14ac:dyDescent="0.25">
      <c r="A68">
        <v>2924</v>
      </c>
      <c r="B68" t="s">
        <v>92</v>
      </c>
      <c r="C68">
        <v>57.2</v>
      </c>
      <c r="D68">
        <v>0</v>
      </c>
      <c r="E68">
        <v>57.2</v>
      </c>
      <c r="F68">
        <v>57.2</v>
      </c>
      <c r="G68">
        <v>57.2</v>
      </c>
      <c r="H68">
        <v>57.2</v>
      </c>
      <c r="I68" s="1">
        <v>2000</v>
      </c>
      <c r="J68" s="1">
        <v>114400</v>
      </c>
      <c r="K68" s="1">
        <v>2</v>
      </c>
      <c r="L68">
        <v>57.2</v>
      </c>
      <c r="M68">
        <v>58.9</v>
      </c>
      <c r="N68" s="1">
        <v>34005174</v>
      </c>
      <c r="O68">
        <v>57.2</v>
      </c>
      <c r="P68">
        <v>62.9</v>
      </c>
      <c r="Q68">
        <v>51.5</v>
      </c>
    </row>
    <row r="69" spans="1:17" x14ac:dyDescent="0.25">
      <c r="A69">
        <v>2926</v>
      </c>
      <c r="B69" t="s">
        <v>93</v>
      </c>
      <c r="C69">
        <v>137.5</v>
      </c>
      <c r="D69">
        <v>0.5</v>
      </c>
      <c r="E69">
        <v>137</v>
      </c>
      <c r="F69">
        <v>137.5</v>
      </c>
      <c r="G69">
        <v>136.5</v>
      </c>
      <c r="H69">
        <v>136.88999999999999</v>
      </c>
      <c r="I69" s="1">
        <v>15328</v>
      </c>
      <c r="J69" s="1">
        <v>2098264</v>
      </c>
      <c r="K69" s="1">
        <v>19</v>
      </c>
      <c r="L69">
        <v>136.5</v>
      </c>
      <c r="M69">
        <v>137.5</v>
      </c>
      <c r="N69" s="1">
        <v>47389650</v>
      </c>
      <c r="O69">
        <v>137.5</v>
      </c>
      <c r="P69">
        <v>151</v>
      </c>
      <c r="Q69">
        <v>124</v>
      </c>
    </row>
    <row r="70" spans="1:17" x14ac:dyDescent="0.25">
      <c r="A70">
        <v>2928</v>
      </c>
      <c r="B70" t="s">
        <v>94</v>
      </c>
      <c r="C70">
        <v>52.7</v>
      </c>
      <c r="D70">
        <v>-0.5</v>
      </c>
      <c r="E70">
        <v>53.3</v>
      </c>
      <c r="F70">
        <v>53.3</v>
      </c>
      <c r="G70">
        <v>52.4</v>
      </c>
      <c r="H70">
        <v>52.84</v>
      </c>
      <c r="I70" s="1">
        <v>46016</v>
      </c>
      <c r="J70" s="1">
        <v>2431380</v>
      </c>
      <c r="K70" s="1">
        <v>39</v>
      </c>
      <c r="L70">
        <v>52.7</v>
      </c>
      <c r="M70">
        <v>53.1</v>
      </c>
      <c r="N70" s="1">
        <v>47301154</v>
      </c>
      <c r="O70">
        <v>52.7</v>
      </c>
      <c r="P70">
        <v>57.9</v>
      </c>
      <c r="Q70">
        <v>47.45</v>
      </c>
    </row>
    <row r="71" spans="1:17" x14ac:dyDescent="0.25">
      <c r="A71">
        <v>2937</v>
      </c>
      <c r="B71" t="s">
        <v>95</v>
      </c>
      <c r="C71">
        <v>20.8</v>
      </c>
      <c r="D71">
        <v>0.05</v>
      </c>
      <c r="E71">
        <v>20.6</v>
      </c>
      <c r="F71">
        <v>20.8</v>
      </c>
      <c r="G71">
        <v>20.6</v>
      </c>
      <c r="H71">
        <v>20.62</v>
      </c>
      <c r="I71" s="1">
        <v>13000</v>
      </c>
      <c r="J71" s="1">
        <v>268000</v>
      </c>
      <c r="K71">
        <v>6</v>
      </c>
      <c r="L71">
        <v>20.6</v>
      </c>
      <c r="M71">
        <v>20.8</v>
      </c>
      <c r="N71" s="1">
        <v>32860000</v>
      </c>
      <c r="O71">
        <v>20.8</v>
      </c>
      <c r="P71">
        <v>22.85</v>
      </c>
      <c r="Q71">
        <v>18.75</v>
      </c>
    </row>
    <row r="72" spans="1:17" x14ac:dyDescent="0.25">
      <c r="A72">
        <v>3064</v>
      </c>
      <c r="B72" t="s">
        <v>96</v>
      </c>
      <c r="C72">
        <v>13.5</v>
      </c>
      <c r="D72">
        <v>-0.05</v>
      </c>
      <c r="E72">
        <v>13.5</v>
      </c>
      <c r="F72">
        <v>13.5</v>
      </c>
      <c r="G72">
        <v>13.5</v>
      </c>
      <c r="H72">
        <v>13.49</v>
      </c>
      <c r="I72" s="1">
        <v>19200</v>
      </c>
      <c r="J72" s="1">
        <v>259100</v>
      </c>
      <c r="K72">
        <v>9</v>
      </c>
      <c r="L72">
        <v>13.4</v>
      </c>
      <c r="M72">
        <v>13.5</v>
      </c>
      <c r="N72" s="1">
        <v>72105141</v>
      </c>
      <c r="O72">
        <v>13.5</v>
      </c>
      <c r="P72">
        <v>14.85</v>
      </c>
      <c r="Q72">
        <v>12.15</v>
      </c>
    </row>
    <row r="73" spans="1:17" x14ac:dyDescent="0.25">
      <c r="A73">
        <v>3066</v>
      </c>
      <c r="B73" t="s">
        <v>97</v>
      </c>
      <c r="C73">
        <v>7.89</v>
      </c>
      <c r="D73">
        <v>0.55000000000000004</v>
      </c>
      <c r="E73">
        <v>7.36</v>
      </c>
      <c r="F73">
        <v>8.07</v>
      </c>
      <c r="G73">
        <v>7.36</v>
      </c>
      <c r="H73">
        <v>7.87</v>
      </c>
      <c r="I73" s="1">
        <v>67199</v>
      </c>
      <c r="J73" s="1">
        <v>528870</v>
      </c>
      <c r="K73" s="1">
        <v>46</v>
      </c>
      <c r="L73">
        <v>7.54</v>
      </c>
      <c r="M73">
        <v>7.89</v>
      </c>
      <c r="N73" s="1">
        <v>83070612</v>
      </c>
      <c r="O73">
        <v>7.89</v>
      </c>
      <c r="P73">
        <v>8.67</v>
      </c>
      <c r="Q73">
        <v>7.11</v>
      </c>
    </row>
    <row r="74" spans="1:17" x14ac:dyDescent="0.25">
      <c r="A74">
        <v>3067</v>
      </c>
      <c r="B74" t="s">
        <v>98</v>
      </c>
      <c r="C74" t="s">
        <v>78</v>
      </c>
      <c r="D74" t="s">
        <v>78</v>
      </c>
      <c r="E74" t="s">
        <v>78</v>
      </c>
      <c r="F74" t="s">
        <v>78</v>
      </c>
      <c r="G74" t="s">
        <v>78</v>
      </c>
      <c r="H74">
        <v>11.9</v>
      </c>
      <c r="I74" s="1">
        <v>0</v>
      </c>
      <c r="J74" s="1">
        <v>0</v>
      </c>
      <c r="K74" s="1">
        <v>0</v>
      </c>
      <c r="L74">
        <v>11.6</v>
      </c>
      <c r="M74">
        <v>11.9</v>
      </c>
      <c r="N74" s="1">
        <v>29025240</v>
      </c>
      <c r="O74">
        <v>11.9</v>
      </c>
      <c r="P74">
        <v>13.05</v>
      </c>
      <c r="Q74">
        <v>10.75</v>
      </c>
    </row>
    <row r="75" spans="1:17" x14ac:dyDescent="0.25">
      <c r="A75">
        <v>3068</v>
      </c>
      <c r="B75" t="s">
        <v>99</v>
      </c>
      <c r="C75">
        <v>62.4</v>
      </c>
      <c r="D75">
        <v>0.1</v>
      </c>
      <c r="E75">
        <v>63</v>
      </c>
      <c r="F75">
        <v>63.3</v>
      </c>
      <c r="G75">
        <v>62.3</v>
      </c>
      <c r="H75">
        <v>62.77</v>
      </c>
      <c r="I75" s="1">
        <v>509487</v>
      </c>
      <c r="J75" s="1">
        <v>31978837</v>
      </c>
      <c r="K75" s="1">
        <v>365</v>
      </c>
      <c r="L75">
        <v>62.4</v>
      </c>
      <c r="M75">
        <v>62.7</v>
      </c>
      <c r="N75" s="1">
        <v>93467444</v>
      </c>
      <c r="O75">
        <v>62.4</v>
      </c>
      <c r="P75">
        <v>68.599999999999994</v>
      </c>
      <c r="Q75">
        <v>56.2</v>
      </c>
    </row>
    <row r="76" spans="1:17" x14ac:dyDescent="0.25">
      <c r="A76">
        <v>3071</v>
      </c>
      <c r="B76" t="s">
        <v>100</v>
      </c>
      <c r="C76">
        <v>21.55</v>
      </c>
      <c r="D76">
        <v>0.35</v>
      </c>
      <c r="E76">
        <v>21.2</v>
      </c>
      <c r="F76">
        <v>21.55</v>
      </c>
      <c r="G76">
        <v>21.1</v>
      </c>
      <c r="H76">
        <v>21.28</v>
      </c>
      <c r="I76" s="1">
        <v>635701</v>
      </c>
      <c r="J76" s="1">
        <v>13527155</v>
      </c>
      <c r="K76">
        <v>311</v>
      </c>
      <c r="L76">
        <v>21.55</v>
      </c>
      <c r="M76">
        <v>21.6</v>
      </c>
      <c r="N76" s="1">
        <v>120000000</v>
      </c>
      <c r="O76">
        <v>21.55</v>
      </c>
      <c r="P76">
        <v>23.7</v>
      </c>
      <c r="Q76">
        <v>19.399999999999999</v>
      </c>
    </row>
    <row r="77" spans="1:17" x14ac:dyDescent="0.25">
      <c r="A77">
        <v>3073</v>
      </c>
      <c r="B77" t="s">
        <v>1398</v>
      </c>
      <c r="C77">
        <v>8.36</v>
      </c>
      <c r="D77">
        <v>-0.33</v>
      </c>
      <c r="E77">
        <v>8.4</v>
      </c>
      <c r="F77">
        <v>8.4</v>
      </c>
      <c r="G77">
        <v>8.33</v>
      </c>
      <c r="H77">
        <v>8.36</v>
      </c>
      <c r="I77" s="1">
        <v>3003</v>
      </c>
      <c r="J77" s="1">
        <v>25114</v>
      </c>
      <c r="K77">
        <v>6</v>
      </c>
      <c r="L77">
        <v>8.36</v>
      </c>
      <c r="M77">
        <v>8.44</v>
      </c>
      <c r="N77" s="1">
        <v>46463665</v>
      </c>
      <c r="O77">
        <v>8.36</v>
      </c>
      <c r="P77">
        <v>9.19</v>
      </c>
      <c r="Q77">
        <v>7.53</v>
      </c>
    </row>
    <row r="78" spans="1:17" x14ac:dyDescent="0.25">
      <c r="A78">
        <v>3078</v>
      </c>
      <c r="B78" t="s">
        <v>102</v>
      </c>
      <c r="C78">
        <v>35.1</v>
      </c>
      <c r="D78">
        <v>0.05</v>
      </c>
      <c r="E78">
        <v>35.200000000000003</v>
      </c>
      <c r="F78">
        <v>35.4</v>
      </c>
      <c r="G78">
        <v>35</v>
      </c>
      <c r="H78">
        <v>35.18</v>
      </c>
      <c r="I78" s="1">
        <v>1243009</v>
      </c>
      <c r="J78" s="1">
        <v>43735012</v>
      </c>
      <c r="K78" s="1">
        <v>703</v>
      </c>
      <c r="L78">
        <v>35.049999999999997</v>
      </c>
      <c r="M78">
        <v>35.1</v>
      </c>
      <c r="N78" s="1">
        <v>227391064</v>
      </c>
      <c r="O78">
        <v>35.1</v>
      </c>
      <c r="P78">
        <v>38.6</v>
      </c>
      <c r="Q78">
        <v>31.6</v>
      </c>
    </row>
    <row r="79" spans="1:17" x14ac:dyDescent="0.25">
      <c r="A79">
        <v>3081</v>
      </c>
      <c r="B79" t="s">
        <v>103</v>
      </c>
      <c r="C79">
        <v>384</v>
      </c>
      <c r="D79">
        <v>3.5</v>
      </c>
      <c r="E79">
        <v>389</v>
      </c>
      <c r="F79">
        <v>396</v>
      </c>
      <c r="G79">
        <v>384</v>
      </c>
      <c r="H79">
        <v>389.3</v>
      </c>
      <c r="I79" s="1">
        <v>1709956</v>
      </c>
      <c r="J79" s="1">
        <v>665684604</v>
      </c>
      <c r="K79" s="1">
        <v>1517</v>
      </c>
      <c r="L79">
        <v>384</v>
      </c>
      <c r="M79">
        <v>384.5</v>
      </c>
      <c r="N79" s="1">
        <v>90573177</v>
      </c>
      <c r="O79">
        <v>384</v>
      </c>
      <c r="P79">
        <v>422</v>
      </c>
      <c r="Q79">
        <v>346</v>
      </c>
    </row>
    <row r="80" spans="1:17" x14ac:dyDescent="0.25">
      <c r="A80">
        <v>3083</v>
      </c>
      <c r="B80" t="s">
        <v>104</v>
      </c>
      <c r="C80">
        <v>38.200000000000003</v>
      </c>
      <c r="D80">
        <v>-0.1</v>
      </c>
      <c r="E80">
        <v>38.85</v>
      </c>
      <c r="F80">
        <v>38.85</v>
      </c>
      <c r="G80">
        <v>38.200000000000003</v>
      </c>
      <c r="H80">
        <v>38.49</v>
      </c>
      <c r="I80" s="1">
        <v>110059</v>
      </c>
      <c r="J80" s="1">
        <v>4236409</v>
      </c>
      <c r="K80">
        <v>98</v>
      </c>
      <c r="L80">
        <v>38.200000000000003</v>
      </c>
      <c r="M80">
        <v>38.4</v>
      </c>
      <c r="N80" s="1">
        <v>85704358</v>
      </c>
      <c r="O80">
        <v>38.200000000000003</v>
      </c>
      <c r="P80">
        <v>42</v>
      </c>
      <c r="Q80">
        <v>34.4</v>
      </c>
    </row>
    <row r="81" spans="1:17" x14ac:dyDescent="0.25">
      <c r="A81">
        <v>3085</v>
      </c>
      <c r="B81" t="s">
        <v>105</v>
      </c>
      <c r="C81">
        <v>21</v>
      </c>
      <c r="D81">
        <v>1.1499999999999999</v>
      </c>
      <c r="E81">
        <v>20.5</v>
      </c>
      <c r="F81">
        <v>21.75</v>
      </c>
      <c r="G81">
        <v>20</v>
      </c>
      <c r="H81">
        <v>21.1</v>
      </c>
      <c r="I81" s="1">
        <v>525336</v>
      </c>
      <c r="J81" s="1">
        <v>11083417</v>
      </c>
      <c r="K81" s="1">
        <v>314</v>
      </c>
      <c r="L81">
        <v>21</v>
      </c>
      <c r="M81">
        <v>21.15</v>
      </c>
      <c r="N81" s="1">
        <v>118081713</v>
      </c>
      <c r="O81">
        <v>21</v>
      </c>
      <c r="P81">
        <v>23.1</v>
      </c>
      <c r="Q81">
        <v>18.899999999999999</v>
      </c>
    </row>
    <row r="82" spans="1:17" x14ac:dyDescent="0.25">
      <c r="A82">
        <v>3086</v>
      </c>
      <c r="B82" t="s">
        <v>106</v>
      </c>
      <c r="C82">
        <v>17</v>
      </c>
      <c r="D82">
        <v>0.5</v>
      </c>
      <c r="E82">
        <v>16.5</v>
      </c>
      <c r="F82">
        <v>17</v>
      </c>
      <c r="G82">
        <v>16.5</v>
      </c>
      <c r="H82">
        <v>16.940000000000001</v>
      </c>
      <c r="I82" s="1">
        <v>23989</v>
      </c>
      <c r="J82" s="1">
        <v>406407</v>
      </c>
      <c r="K82">
        <v>33</v>
      </c>
      <c r="L82">
        <v>16.899999999999999</v>
      </c>
      <c r="M82">
        <v>17</v>
      </c>
      <c r="N82" s="1">
        <v>31166127</v>
      </c>
      <c r="O82">
        <v>17</v>
      </c>
      <c r="P82">
        <v>18.7</v>
      </c>
      <c r="Q82">
        <v>15.3</v>
      </c>
    </row>
    <row r="83" spans="1:17" x14ac:dyDescent="0.25">
      <c r="A83">
        <v>3088</v>
      </c>
      <c r="B83" t="s">
        <v>107</v>
      </c>
      <c r="C83">
        <v>53.5</v>
      </c>
      <c r="D83">
        <v>-0.1</v>
      </c>
      <c r="E83">
        <v>53.7</v>
      </c>
      <c r="F83">
        <v>53.7</v>
      </c>
      <c r="G83">
        <v>53.4</v>
      </c>
      <c r="H83">
        <v>53.53</v>
      </c>
      <c r="I83" s="1">
        <v>178182</v>
      </c>
      <c r="J83" s="1">
        <v>9538637</v>
      </c>
      <c r="K83" s="1">
        <v>117</v>
      </c>
      <c r="L83">
        <v>53.5</v>
      </c>
      <c r="M83">
        <v>53.6</v>
      </c>
      <c r="N83" s="1">
        <v>79313034</v>
      </c>
      <c r="O83">
        <v>53.5</v>
      </c>
      <c r="P83">
        <v>58.8</v>
      </c>
      <c r="Q83">
        <v>48.15</v>
      </c>
    </row>
    <row r="84" spans="1:17" x14ac:dyDescent="0.25">
      <c r="A84">
        <v>3089</v>
      </c>
      <c r="B84" t="s">
        <v>108</v>
      </c>
      <c r="C84">
        <v>6.59</v>
      </c>
      <c r="D84">
        <v>0.4</v>
      </c>
      <c r="E84">
        <v>6.19</v>
      </c>
      <c r="F84">
        <v>6.6</v>
      </c>
      <c r="G84">
        <v>6.19</v>
      </c>
      <c r="H84">
        <v>6.33</v>
      </c>
      <c r="I84" s="1">
        <v>33000</v>
      </c>
      <c r="J84" s="1">
        <v>208910</v>
      </c>
      <c r="K84" s="1">
        <v>9</v>
      </c>
      <c r="L84">
        <v>6.3</v>
      </c>
      <c r="M84">
        <v>6.48</v>
      </c>
      <c r="N84" s="1">
        <v>93890463</v>
      </c>
      <c r="O84">
        <v>6.59</v>
      </c>
      <c r="P84">
        <v>7.24</v>
      </c>
      <c r="Q84">
        <v>5.94</v>
      </c>
    </row>
    <row r="85" spans="1:17" x14ac:dyDescent="0.25">
      <c r="A85">
        <v>3092</v>
      </c>
      <c r="B85" t="s">
        <v>109</v>
      </c>
      <c r="C85">
        <v>47.05</v>
      </c>
      <c r="D85">
        <v>0.3</v>
      </c>
      <c r="E85">
        <v>46.75</v>
      </c>
      <c r="F85">
        <v>47.05</v>
      </c>
      <c r="G85">
        <v>46.25</v>
      </c>
      <c r="H85">
        <v>46.65</v>
      </c>
      <c r="I85" s="1">
        <v>333400</v>
      </c>
      <c r="J85" s="1">
        <v>15551968</v>
      </c>
      <c r="K85" s="1">
        <v>215</v>
      </c>
      <c r="L85">
        <v>47.05</v>
      </c>
      <c r="M85">
        <v>47.1</v>
      </c>
      <c r="N85" s="1">
        <v>69800759</v>
      </c>
      <c r="O85">
        <v>47.05</v>
      </c>
      <c r="P85">
        <v>51.7</v>
      </c>
      <c r="Q85">
        <v>42.35</v>
      </c>
    </row>
    <row r="86" spans="1:17" x14ac:dyDescent="0.25">
      <c r="A86">
        <v>3093</v>
      </c>
      <c r="B86" t="s">
        <v>110</v>
      </c>
      <c r="C86">
        <v>28.6</v>
      </c>
      <c r="D86">
        <v>-0.2</v>
      </c>
      <c r="E86">
        <v>29</v>
      </c>
      <c r="F86">
        <v>29</v>
      </c>
      <c r="G86">
        <v>27.5</v>
      </c>
      <c r="H86">
        <v>28.17</v>
      </c>
      <c r="I86" s="1">
        <v>19000</v>
      </c>
      <c r="J86" s="1">
        <v>535200</v>
      </c>
      <c r="K86">
        <v>17</v>
      </c>
      <c r="L86">
        <v>28.5</v>
      </c>
      <c r="M86">
        <v>28.7</v>
      </c>
      <c r="N86" s="1">
        <v>36288894</v>
      </c>
      <c r="O86">
        <v>28.6</v>
      </c>
      <c r="P86">
        <v>31.45</v>
      </c>
      <c r="Q86">
        <v>25.75</v>
      </c>
    </row>
    <row r="87" spans="1:17" x14ac:dyDescent="0.25">
      <c r="A87">
        <v>3095</v>
      </c>
      <c r="B87" t="s">
        <v>111</v>
      </c>
      <c r="C87">
        <v>2.91</v>
      </c>
      <c r="D87">
        <v>0.11</v>
      </c>
      <c r="E87">
        <v>2.78</v>
      </c>
      <c r="F87">
        <v>2.91</v>
      </c>
      <c r="G87">
        <v>2.78</v>
      </c>
      <c r="H87">
        <v>2.79</v>
      </c>
      <c r="I87" s="1">
        <v>58929</v>
      </c>
      <c r="J87" s="1">
        <v>164223</v>
      </c>
      <c r="K87">
        <v>20</v>
      </c>
      <c r="L87">
        <v>2.78</v>
      </c>
      <c r="M87">
        <v>2.91</v>
      </c>
      <c r="N87" s="1">
        <v>109276321</v>
      </c>
      <c r="O87">
        <v>2.91</v>
      </c>
      <c r="P87">
        <v>3.2</v>
      </c>
      <c r="Q87">
        <v>2.62</v>
      </c>
    </row>
    <row r="88" spans="1:17" x14ac:dyDescent="0.25">
      <c r="A88">
        <v>3105</v>
      </c>
      <c r="B88" t="s">
        <v>112</v>
      </c>
      <c r="C88">
        <v>283</v>
      </c>
      <c r="D88">
        <v>-3.5</v>
      </c>
      <c r="E88">
        <v>287</v>
      </c>
      <c r="F88">
        <v>290</v>
      </c>
      <c r="G88">
        <v>277.5</v>
      </c>
      <c r="H88">
        <v>283.18</v>
      </c>
      <c r="I88" s="1">
        <v>6683951</v>
      </c>
      <c r="J88" s="1">
        <v>1892749548</v>
      </c>
      <c r="K88" s="1">
        <v>5102</v>
      </c>
      <c r="L88">
        <v>282.5</v>
      </c>
      <c r="M88">
        <v>283</v>
      </c>
      <c r="N88" s="1">
        <v>402666384</v>
      </c>
      <c r="O88">
        <v>283</v>
      </c>
      <c r="P88">
        <v>311</v>
      </c>
      <c r="Q88">
        <v>255</v>
      </c>
    </row>
    <row r="89" spans="1:17" x14ac:dyDescent="0.25">
      <c r="A89">
        <v>3114</v>
      </c>
      <c r="B89" t="s">
        <v>113</v>
      </c>
      <c r="C89">
        <v>16.399999999999999</v>
      </c>
      <c r="D89">
        <v>0.3</v>
      </c>
      <c r="E89">
        <v>16.149999999999999</v>
      </c>
      <c r="F89">
        <v>16.399999999999999</v>
      </c>
      <c r="G89">
        <v>16.100000000000001</v>
      </c>
      <c r="H89">
        <v>16.2</v>
      </c>
      <c r="I89" s="1">
        <v>148200</v>
      </c>
      <c r="J89" s="1">
        <v>2401060</v>
      </c>
      <c r="K89" s="1">
        <v>64</v>
      </c>
      <c r="L89">
        <v>16.2</v>
      </c>
      <c r="M89">
        <v>16.399999999999999</v>
      </c>
      <c r="N89" s="1">
        <v>50013691</v>
      </c>
      <c r="O89">
        <v>16.399999999999999</v>
      </c>
      <c r="P89">
        <v>18</v>
      </c>
      <c r="Q89">
        <v>14.8</v>
      </c>
    </row>
    <row r="90" spans="1:17" x14ac:dyDescent="0.25">
      <c r="A90">
        <v>3115</v>
      </c>
      <c r="B90" t="s">
        <v>114</v>
      </c>
      <c r="C90">
        <v>11.4</v>
      </c>
      <c r="D90">
        <v>-0.55000000000000004</v>
      </c>
      <c r="E90">
        <v>11.25</v>
      </c>
      <c r="F90">
        <v>11.5</v>
      </c>
      <c r="G90">
        <v>11.25</v>
      </c>
      <c r="H90">
        <v>11.42</v>
      </c>
      <c r="I90" s="1">
        <v>5300</v>
      </c>
      <c r="J90" s="1">
        <v>60540</v>
      </c>
      <c r="K90">
        <v>5</v>
      </c>
      <c r="L90">
        <v>11.45</v>
      </c>
      <c r="M90">
        <v>12.1</v>
      </c>
      <c r="N90" s="1">
        <v>43697600</v>
      </c>
      <c r="O90">
        <v>11.4</v>
      </c>
      <c r="P90">
        <v>12.5</v>
      </c>
      <c r="Q90">
        <v>10.3</v>
      </c>
    </row>
    <row r="91" spans="1:17" x14ac:dyDescent="0.25">
      <c r="A91">
        <v>3118</v>
      </c>
      <c r="B91" t="s">
        <v>115</v>
      </c>
      <c r="C91">
        <v>32.450000000000003</v>
      </c>
      <c r="D91">
        <v>-0.05</v>
      </c>
      <c r="E91">
        <v>32.5</v>
      </c>
      <c r="F91">
        <v>32.5</v>
      </c>
      <c r="G91">
        <v>32.450000000000003</v>
      </c>
      <c r="H91">
        <v>32.49</v>
      </c>
      <c r="I91" s="1">
        <v>8066</v>
      </c>
      <c r="J91" s="1">
        <v>262054</v>
      </c>
      <c r="K91">
        <v>19</v>
      </c>
      <c r="L91">
        <v>32.450000000000003</v>
      </c>
      <c r="M91">
        <v>32.799999999999997</v>
      </c>
      <c r="N91" s="1">
        <v>32452860</v>
      </c>
      <c r="O91">
        <v>32.450000000000003</v>
      </c>
      <c r="P91">
        <v>35.65</v>
      </c>
      <c r="Q91">
        <v>29.25</v>
      </c>
    </row>
    <row r="92" spans="1:17" x14ac:dyDescent="0.25">
      <c r="A92">
        <v>3122</v>
      </c>
      <c r="B92" t="s">
        <v>116</v>
      </c>
      <c r="C92">
        <v>16.8</v>
      </c>
      <c r="D92">
        <v>0.2</v>
      </c>
      <c r="E92">
        <v>16.399999999999999</v>
      </c>
      <c r="F92">
        <v>16.8</v>
      </c>
      <c r="G92">
        <v>16.399999999999999</v>
      </c>
      <c r="H92">
        <v>16.57</v>
      </c>
      <c r="I92" s="1">
        <v>92200</v>
      </c>
      <c r="J92" s="1">
        <v>1527360</v>
      </c>
      <c r="K92" s="1">
        <v>48</v>
      </c>
      <c r="L92">
        <v>16.7</v>
      </c>
      <c r="M92">
        <v>16.8</v>
      </c>
      <c r="N92" s="1">
        <v>39299934</v>
      </c>
      <c r="O92">
        <v>16.8</v>
      </c>
      <c r="P92">
        <v>18.45</v>
      </c>
      <c r="Q92">
        <v>15.15</v>
      </c>
    </row>
    <row r="93" spans="1:17" x14ac:dyDescent="0.25">
      <c r="A93">
        <v>3128</v>
      </c>
      <c r="B93" t="s">
        <v>117</v>
      </c>
      <c r="C93">
        <v>11</v>
      </c>
      <c r="D93">
        <v>0</v>
      </c>
      <c r="E93">
        <v>11</v>
      </c>
      <c r="F93">
        <v>11.05</v>
      </c>
      <c r="G93">
        <v>10.95</v>
      </c>
      <c r="H93">
        <v>10.99</v>
      </c>
      <c r="I93" s="1">
        <v>18008</v>
      </c>
      <c r="J93" s="1">
        <v>197838</v>
      </c>
      <c r="K93">
        <v>21</v>
      </c>
      <c r="L93">
        <v>10.95</v>
      </c>
      <c r="M93">
        <v>11</v>
      </c>
      <c r="N93" s="1">
        <v>42000000</v>
      </c>
      <c r="O93">
        <v>11</v>
      </c>
      <c r="P93">
        <v>12.1</v>
      </c>
      <c r="Q93">
        <v>9.9</v>
      </c>
    </row>
    <row r="94" spans="1:17" x14ac:dyDescent="0.25">
      <c r="A94">
        <v>3131</v>
      </c>
      <c r="B94" t="s">
        <v>118</v>
      </c>
      <c r="C94">
        <v>174</v>
      </c>
      <c r="D94">
        <v>0</v>
      </c>
      <c r="E94">
        <v>175</v>
      </c>
      <c r="F94">
        <v>175.5</v>
      </c>
      <c r="G94">
        <v>173.5</v>
      </c>
      <c r="H94">
        <v>174.22</v>
      </c>
      <c r="I94" s="1">
        <v>106632</v>
      </c>
      <c r="J94" s="1">
        <v>18577100</v>
      </c>
      <c r="K94">
        <v>101</v>
      </c>
      <c r="L94">
        <v>173.5</v>
      </c>
      <c r="M94">
        <v>174</v>
      </c>
      <c r="N94" s="1">
        <v>24683843</v>
      </c>
      <c r="O94">
        <v>174</v>
      </c>
      <c r="P94">
        <v>191</v>
      </c>
      <c r="Q94">
        <v>157</v>
      </c>
    </row>
    <row r="95" spans="1:17" x14ac:dyDescent="0.25">
      <c r="A95">
        <v>3141</v>
      </c>
      <c r="B95" t="s">
        <v>119</v>
      </c>
      <c r="C95">
        <v>38.9</v>
      </c>
      <c r="D95">
        <v>-0.65</v>
      </c>
      <c r="E95">
        <v>39.75</v>
      </c>
      <c r="F95">
        <v>40</v>
      </c>
      <c r="G95">
        <v>38.9</v>
      </c>
      <c r="H95">
        <v>39.229999999999997</v>
      </c>
      <c r="I95" s="1">
        <v>1421010</v>
      </c>
      <c r="J95" s="1">
        <v>55746691</v>
      </c>
      <c r="K95">
        <v>762</v>
      </c>
      <c r="L95">
        <v>38.9</v>
      </c>
      <c r="M95">
        <v>39</v>
      </c>
      <c r="N95" s="1">
        <v>63462176</v>
      </c>
      <c r="O95">
        <v>38.9</v>
      </c>
      <c r="P95">
        <v>42.75</v>
      </c>
      <c r="Q95">
        <v>35.049999999999997</v>
      </c>
    </row>
    <row r="96" spans="1:17" x14ac:dyDescent="0.25">
      <c r="A96">
        <v>3144</v>
      </c>
      <c r="B96" t="s">
        <v>120</v>
      </c>
      <c r="C96">
        <v>28.4</v>
      </c>
      <c r="D96">
        <v>0.9</v>
      </c>
      <c r="E96">
        <v>28.15</v>
      </c>
      <c r="F96">
        <v>29.15</v>
      </c>
      <c r="G96">
        <v>27.85</v>
      </c>
      <c r="H96">
        <v>28.51</v>
      </c>
      <c r="I96" s="1">
        <v>4851556</v>
      </c>
      <c r="J96" s="1">
        <v>138338255</v>
      </c>
      <c r="K96" s="1">
        <v>2176</v>
      </c>
      <c r="L96">
        <v>28.4</v>
      </c>
      <c r="M96">
        <v>28.45</v>
      </c>
      <c r="N96" s="1">
        <v>100637750</v>
      </c>
      <c r="O96">
        <v>28.4</v>
      </c>
      <c r="P96">
        <v>31.2</v>
      </c>
      <c r="Q96">
        <v>25.6</v>
      </c>
    </row>
    <row r="97" spans="1:17" x14ac:dyDescent="0.25">
      <c r="A97">
        <v>3152</v>
      </c>
      <c r="B97" t="s">
        <v>121</v>
      </c>
      <c r="C97">
        <v>399</v>
      </c>
      <c r="D97">
        <v>6</v>
      </c>
      <c r="E97">
        <v>397</v>
      </c>
      <c r="F97">
        <v>403</v>
      </c>
      <c r="G97">
        <v>391</v>
      </c>
      <c r="H97">
        <v>397.2</v>
      </c>
      <c r="I97" s="1">
        <v>205476</v>
      </c>
      <c r="J97" s="1">
        <v>81615972</v>
      </c>
      <c r="K97">
        <v>203</v>
      </c>
      <c r="L97">
        <v>392.5</v>
      </c>
      <c r="M97">
        <v>399.5</v>
      </c>
      <c r="N97" s="1">
        <v>69016200</v>
      </c>
      <c r="O97">
        <v>399</v>
      </c>
      <c r="P97">
        <v>438.5</v>
      </c>
      <c r="Q97">
        <v>359.5</v>
      </c>
    </row>
    <row r="98" spans="1:17" x14ac:dyDescent="0.25">
      <c r="A98">
        <v>3162</v>
      </c>
      <c r="B98" t="s">
        <v>122</v>
      </c>
      <c r="C98">
        <v>39.799999999999997</v>
      </c>
      <c r="D98">
        <v>-0.15</v>
      </c>
      <c r="E98">
        <v>39.950000000000003</v>
      </c>
      <c r="F98">
        <v>40.6</v>
      </c>
      <c r="G98">
        <v>39.299999999999997</v>
      </c>
      <c r="H98">
        <v>39.76</v>
      </c>
      <c r="I98" s="1">
        <v>537736</v>
      </c>
      <c r="J98" s="1">
        <v>21382539</v>
      </c>
      <c r="K98">
        <v>329</v>
      </c>
      <c r="L98">
        <v>39.5</v>
      </c>
      <c r="M98">
        <v>39.799999999999997</v>
      </c>
      <c r="N98" s="1">
        <v>56531342</v>
      </c>
      <c r="O98">
        <v>39.799999999999997</v>
      </c>
      <c r="P98">
        <v>43.75</v>
      </c>
      <c r="Q98">
        <v>35.85</v>
      </c>
    </row>
    <row r="99" spans="1:17" x14ac:dyDescent="0.25">
      <c r="A99">
        <v>3163</v>
      </c>
      <c r="B99" t="s">
        <v>123</v>
      </c>
      <c r="C99">
        <v>43.4</v>
      </c>
      <c r="D99">
        <v>0.2</v>
      </c>
      <c r="E99">
        <v>44</v>
      </c>
      <c r="F99">
        <v>44.95</v>
      </c>
      <c r="G99">
        <v>43.4</v>
      </c>
      <c r="H99">
        <v>44.24</v>
      </c>
      <c r="I99" s="1">
        <v>7581559</v>
      </c>
      <c r="J99" s="1">
        <v>335400278</v>
      </c>
      <c r="K99" s="1">
        <v>4293</v>
      </c>
      <c r="L99">
        <v>43.4</v>
      </c>
      <c r="M99">
        <v>43.5</v>
      </c>
      <c r="N99" s="1">
        <v>74376481</v>
      </c>
      <c r="O99">
        <v>43.4</v>
      </c>
      <c r="P99">
        <v>47.7</v>
      </c>
      <c r="Q99">
        <v>39.1</v>
      </c>
    </row>
    <row r="100" spans="1:17" x14ac:dyDescent="0.25">
      <c r="A100">
        <v>3169</v>
      </c>
      <c r="B100" t="s">
        <v>124</v>
      </c>
      <c r="C100">
        <v>29.55</v>
      </c>
      <c r="D100">
        <v>0.25</v>
      </c>
      <c r="E100">
        <v>29.3</v>
      </c>
      <c r="F100">
        <v>29.7</v>
      </c>
      <c r="G100">
        <v>29.2</v>
      </c>
      <c r="H100">
        <v>29.5</v>
      </c>
      <c r="I100" s="1">
        <v>90013</v>
      </c>
      <c r="J100" s="1">
        <v>2655327</v>
      </c>
      <c r="K100">
        <v>68</v>
      </c>
      <c r="L100">
        <v>29.5</v>
      </c>
      <c r="M100">
        <v>29.7</v>
      </c>
      <c r="N100" s="1">
        <v>53090650</v>
      </c>
      <c r="O100">
        <v>29.55</v>
      </c>
      <c r="P100">
        <v>32.5</v>
      </c>
      <c r="Q100">
        <v>26.6</v>
      </c>
    </row>
    <row r="101" spans="1:17" x14ac:dyDescent="0.25">
      <c r="A101">
        <v>3171</v>
      </c>
      <c r="B101" t="s">
        <v>125</v>
      </c>
      <c r="C101">
        <v>13.8</v>
      </c>
      <c r="D101">
        <v>0.05</v>
      </c>
      <c r="E101">
        <v>13.75</v>
      </c>
      <c r="F101">
        <v>13.8</v>
      </c>
      <c r="G101">
        <v>13.7</v>
      </c>
      <c r="H101">
        <v>13.75</v>
      </c>
      <c r="I101" s="1">
        <v>13000</v>
      </c>
      <c r="J101" s="1">
        <v>178700</v>
      </c>
      <c r="K101" s="1">
        <v>9</v>
      </c>
      <c r="L101">
        <v>13.75</v>
      </c>
      <c r="M101">
        <v>13.8</v>
      </c>
      <c r="N101" s="1">
        <v>59203515</v>
      </c>
      <c r="O101">
        <v>13.8</v>
      </c>
      <c r="P101">
        <v>15.15</v>
      </c>
      <c r="Q101">
        <v>12.45</v>
      </c>
    </row>
    <row r="102" spans="1:17" x14ac:dyDescent="0.25">
      <c r="A102">
        <v>3176</v>
      </c>
      <c r="B102" t="s">
        <v>126</v>
      </c>
      <c r="C102">
        <v>35.4</v>
      </c>
      <c r="D102">
        <v>0.15</v>
      </c>
      <c r="E102">
        <v>35.950000000000003</v>
      </c>
      <c r="F102">
        <v>35.950000000000003</v>
      </c>
      <c r="G102">
        <v>35.35</v>
      </c>
      <c r="H102">
        <v>35.53</v>
      </c>
      <c r="I102" s="1">
        <v>144498</v>
      </c>
      <c r="J102" s="1">
        <v>5134421</v>
      </c>
      <c r="K102">
        <v>141</v>
      </c>
      <c r="L102">
        <v>35.4</v>
      </c>
      <c r="M102">
        <v>35.5</v>
      </c>
      <c r="N102" s="1">
        <v>138685505</v>
      </c>
      <c r="O102">
        <v>35.4</v>
      </c>
      <c r="P102">
        <v>38.9</v>
      </c>
      <c r="Q102">
        <v>31.9</v>
      </c>
    </row>
    <row r="103" spans="1:17" x14ac:dyDescent="0.25">
      <c r="A103">
        <v>3188</v>
      </c>
      <c r="B103" t="s">
        <v>127</v>
      </c>
      <c r="C103">
        <v>18.100000000000001</v>
      </c>
      <c r="D103">
        <v>0.6</v>
      </c>
      <c r="E103">
        <v>17.600000000000001</v>
      </c>
      <c r="F103">
        <v>18.25</v>
      </c>
      <c r="G103">
        <v>17.5</v>
      </c>
      <c r="H103">
        <v>18.04</v>
      </c>
      <c r="I103" s="1">
        <v>321173</v>
      </c>
      <c r="J103" s="1">
        <v>5794409</v>
      </c>
      <c r="K103">
        <v>120</v>
      </c>
      <c r="L103">
        <v>17.899999999999999</v>
      </c>
      <c r="M103">
        <v>18</v>
      </c>
      <c r="N103" s="1">
        <v>106295120</v>
      </c>
      <c r="O103">
        <v>18.100000000000001</v>
      </c>
      <c r="P103">
        <v>19.899999999999999</v>
      </c>
      <c r="Q103">
        <v>16.3</v>
      </c>
    </row>
    <row r="104" spans="1:17" x14ac:dyDescent="0.25">
      <c r="A104">
        <v>3191</v>
      </c>
      <c r="B104" t="s">
        <v>128</v>
      </c>
      <c r="C104">
        <v>15.8</v>
      </c>
      <c r="D104">
        <v>0.05</v>
      </c>
      <c r="E104">
        <v>15.45</v>
      </c>
      <c r="F104">
        <v>16</v>
      </c>
      <c r="G104">
        <v>15.45</v>
      </c>
      <c r="H104">
        <v>15.75</v>
      </c>
      <c r="I104" s="1">
        <v>39032</v>
      </c>
      <c r="J104" s="1">
        <v>614946</v>
      </c>
      <c r="K104">
        <v>36</v>
      </c>
      <c r="L104">
        <v>15.75</v>
      </c>
      <c r="M104">
        <v>15.8</v>
      </c>
      <c r="N104" s="1">
        <v>57194761</v>
      </c>
      <c r="O104">
        <v>15.8</v>
      </c>
      <c r="P104">
        <v>17.350000000000001</v>
      </c>
      <c r="Q104">
        <v>14.25</v>
      </c>
    </row>
    <row r="105" spans="1:17" x14ac:dyDescent="0.25">
      <c r="A105">
        <v>3202</v>
      </c>
      <c r="B105" t="s">
        <v>129</v>
      </c>
      <c r="C105">
        <v>24.1</v>
      </c>
      <c r="D105">
        <v>0.8</v>
      </c>
      <c r="E105">
        <v>24.2</v>
      </c>
      <c r="F105">
        <v>25.5</v>
      </c>
      <c r="G105">
        <v>23.8</v>
      </c>
      <c r="H105">
        <v>24.46</v>
      </c>
      <c r="I105" s="1">
        <v>2815019</v>
      </c>
      <c r="J105" s="1">
        <v>68860006</v>
      </c>
      <c r="K105">
        <v>903</v>
      </c>
      <c r="L105">
        <v>24.1</v>
      </c>
      <c r="M105">
        <v>24.15</v>
      </c>
      <c r="N105" s="1">
        <v>97362943</v>
      </c>
      <c r="O105">
        <v>24.1</v>
      </c>
      <c r="P105">
        <v>26.5</v>
      </c>
      <c r="Q105">
        <v>21.7</v>
      </c>
    </row>
    <row r="106" spans="1:17" x14ac:dyDescent="0.25">
      <c r="A106">
        <v>3205</v>
      </c>
      <c r="B106" t="s">
        <v>130</v>
      </c>
      <c r="C106">
        <v>71.599999999999994</v>
      </c>
      <c r="D106">
        <v>1.4</v>
      </c>
      <c r="E106">
        <v>71.3</v>
      </c>
      <c r="F106">
        <v>73.5</v>
      </c>
      <c r="G106">
        <v>70.599999999999994</v>
      </c>
      <c r="H106">
        <v>72.209999999999994</v>
      </c>
      <c r="I106" s="1">
        <v>1015023</v>
      </c>
      <c r="J106" s="1">
        <v>73293633</v>
      </c>
      <c r="K106">
        <v>775</v>
      </c>
      <c r="L106">
        <v>71.599999999999994</v>
      </c>
      <c r="M106">
        <v>71.8</v>
      </c>
      <c r="N106" s="1">
        <v>32772631</v>
      </c>
      <c r="O106">
        <v>71.599999999999994</v>
      </c>
      <c r="P106">
        <v>78.7</v>
      </c>
      <c r="Q106">
        <v>64.5</v>
      </c>
    </row>
    <row r="107" spans="1:17" x14ac:dyDescent="0.25">
      <c r="A107">
        <v>3206</v>
      </c>
      <c r="B107" t="s">
        <v>131</v>
      </c>
      <c r="C107">
        <v>25.35</v>
      </c>
      <c r="D107">
        <v>0.3</v>
      </c>
      <c r="E107">
        <v>25.35</v>
      </c>
      <c r="F107">
        <v>25.4</v>
      </c>
      <c r="G107">
        <v>24.8</v>
      </c>
      <c r="H107">
        <v>25.2</v>
      </c>
      <c r="I107" s="1">
        <v>505059</v>
      </c>
      <c r="J107" s="1">
        <v>12726236</v>
      </c>
      <c r="K107" s="1">
        <v>211</v>
      </c>
      <c r="L107">
        <v>25.2</v>
      </c>
      <c r="M107">
        <v>25.35</v>
      </c>
      <c r="N107" s="1">
        <v>51822972</v>
      </c>
      <c r="O107">
        <v>25.35</v>
      </c>
      <c r="P107">
        <v>27.85</v>
      </c>
      <c r="Q107">
        <v>22.85</v>
      </c>
    </row>
    <row r="108" spans="1:17" x14ac:dyDescent="0.25">
      <c r="A108">
        <v>3207</v>
      </c>
      <c r="B108" t="s">
        <v>132</v>
      </c>
      <c r="C108">
        <v>9.7899999999999991</v>
      </c>
      <c r="D108">
        <v>-0.01</v>
      </c>
      <c r="E108">
        <v>9.4</v>
      </c>
      <c r="F108">
        <v>9.8000000000000007</v>
      </c>
      <c r="G108">
        <v>9.4</v>
      </c>
      <c r="H108">
        <v>9.66</v>
      </c>
      <c r="I108" s="1">
        <v>28011</v>
      </c>
      <c r="J108" s="1">
        <v>270569</v>
      </c>
      <c r="K108" s="1">
        <v>27</v>
      </c>
      <c r="L108">
        <v>9.5</v>
      </c>
      <c r="M108">
        <v>9.7899999999999991</v>
      </c>
      <c r="N108" s="1">
        <v>38259225</v>
      </c>
      <c r="O108">
        <v>9.7899999999999991</v>
      </c>
      <c r="P108">
        <v>10.75</v>
      </c>
      <c r="Q108">
        <v>8.82</v>
      </c>
    </row>
    <row r="109" spans="1:17" x14ac:dyDescent="0.25">
      <c r="A109">
        <v>3211</v>
      </c>
      <c r="B109" t="s">
        <v>133</v>
      </c>
      <c r="C109">
        <v>44.85</v>
      </c>
      <c r="D109">
        <v>0.05</v>
      </c>
      <c r="E109">
        <v>44.95</v>
      </c>
      <c r="F109">
        <v>44.95</v>
      </c>
      <c r="G109">
        <v>44.5</v>
      </c>
      <c r="H109">
        <v>44.69</v>
      </c>
      <c r="I109" s="1">
        <v>380691</v>
      </c>
      <c r="J109" s="1">
        <v>17011265</v>
      </c>
      <c r="K109">
        <v>219</v>
      </c>
      <c r="L109">
        <v>44.85</v>
      </c>
      <c r="M109">
        <v>44.9</v>
      </c>
      <c r="N109" s="1">
        <v>151968521</v>
      </c>
      <c r="O109">
        <v>44.85</v>
      </c>
      <c r="P109">
        <v>49.3</v>
      </c>
      <c r="Q109">
        <v>40.4</v>
      </c>
    </row>
    <row r="110" spans="1:17" x14ac:dyDescent="0.25">
      <c r="A110">
        <v>3213</v>
      </c>
      <c r="B110" t="s">
        <v>134</v>
      </c>
      <c r="C110">
        <v>56.5</v>
      </c>
      <c r="D110">
        <v>0.8</v>
      </c>
      <c r="E110">
        <v>56</v>
      </c>
      <c r="F110">
        <v>57.4</v>
      </c>
      <c r="G110">
        <v>56</v>
      </c>
      <c r="H110">
        <v>56.56</v>
      </c>
      <c r="I110" s="1">
        <v>242151</v>
      </c>
      <c r="J110" s="1">
        <v>13696970</v>
      </c>
      <c r="K110">
        <v>139</v>
      </c>
      <c r="L110">
        <v>56.5</v>
      </c>
      <c r="M110">
        <v>56.7</v>
      </c>
      <c r="N110" s="1">
        <v>58685547</v>
      </c>
      <c r="O110">
        <v>56.5</v>
      </c>
      <c r="P110">
        <v>62.1</v>
      </c>
      <c r="Q110">
        <v>50.9</v>
      </c>
    </row>
    <row r="111" spans="1:17" x14ac:dyDescent="0.25">
      <c r="A111">
        <v>3217</v>
      </c>
      <c r="B111" t="s">
        <v>135</v>
      </c>
      <c r="C111">
        <v>31.95</v>
      </c>
      <c r="D111">
        <v>0.35</v>
      </c>
      <c r="E111">
        <v>31.6</v>
      </c>
      <c r="F111">
        <v>32</v>
      </c>
      <c r="G111">
        <v>31.6</v>
      </c>
      <c r="H111">
        <v>31.86</v>
      </c>
      <c r="I111" s="1">
        <v>264300</v>
      </c>
      <c r="J111" s="1">
        <v>8419810</v>
      </c>
      <c r="K111" s="1">
        <v>145</v>
      </c>
      <c r="L111">
        <v>31.8</v>
      </c>
      <c r="M111">
        <v>31.95</v>
      </c>
      <c r="N111" s="1">
        <v>82104203</v>
      </c>
      <c r="O111">
        <v>31.95</v>
      </c>
      <c r="P111">
        <v>35.1</v>
      </c>
      <c r="Q111">
        <v>28.8</v>
      </c>
    </row>
    <row r="112" spans="1:17" x14ac:dyDescent="0.25">
      <c r="A112">
        <v>3218</v>
      </c>
      <c r="B112" t="s">
        <v>136</v>
      </c>
      <c r="C112">
        <v>26.55</v>
      </c>
      <c r="D112">
        <v>0</v>
      </c>
      <c r="E112">
        <v>26.7</v>
      </c>
      <c r="F112">
        <v>26.75</v>
      </c>
      <c r="G112">
        <v>26.35</v>
      </c>
      <c r="H112">
        <v>26.54</v>
      </c>
      <c r="I112" s="1">
        <v>163149</v>
      </c>
      <c r="J112" s="1">
        <v>4329305</v>
      </c>
      <c r="K112" s="1">
        <v>105</v>
      </c>
      <c r="L112">
        <v>26.55</v>
      </c>
      <c r="M112">
        <v>26.65</v>
      </c>
      <c r="N112" s="1">
        <v>76123000</v>
      </c>
      <c r="O112">
        <v>26.55</v>
      </c>
      <c r="P112">
        <v>29.2</v>
      </c>
      <c r="Q112">
        <v>23.9</v>
      </c>
    </row>
    <row r="113" spans="1:17" x14ac:dyDescent="0.25">
      <c r="A113">
        <v>3219</v>
      </c>
      <c r="B113" t="s">
        <v>859</v>
      </c>
      <c r="C113">
        <v>34.799999999999997</v>
      </c>
      <c r="D113">
        <v>1</v>
      </c>
      <c r="E113">
        <v>34.299999999999997</v>
      </c>
      <c r="F113">
        <v>35.65</v>
      </c>
      <c r="G113">
        <v>34.299999999999997</v>
      </c>
      <c r="H113">
        <v>34.880000000000003</v>
      </c>
      <c r="I113" s="1">
        <v>42828</v>
      </c>
      <c r="J113" s="1">
        <v>1493791</v>
      </c>
      <c r="K113">
        <v>39</v>
      </c>
      <c r="L113">
        <v>34.799999999999997</v>
      </c>
      <c r="M113">
        <v>35</v>
      </c>
      <c r="N113" s="1">
        <v>23300417</v>
      </c>
      <c r="O113">
        <v>34.799999999999997</v>
      </c>
      <c r="P113">
        <v>38.25</v>
      </c>
      <c r="Q113">
        <v>31.35</v>
      </c>
    </row>
    <row r="114" spans="1:17" x14ac:dyDescent="0.25">
      <c r="A114">
        <v>3221</v>
      </c>
      <c r="B114" t="s">
        <v>137</v>
      </c>
      <c r="C114">
        <v>17.95</v>
      </c>
      <c r="D114">
        <v>-0.2</v>
      </c>
      <c r="E114">
        <v>18.3</v>
      </c>
      <c r="F114">
        <v>18.3</v>
      </c>
      <c r="G114">
        <v>17.95</v>
      </c>
      <c r="H114">
        <v>18.02</v>
      </c>
      <c r="I114" s="1">
        <v>92267</v>
      </c>
      <c r="J114" s="1">
        <v>1662643</v>
      </c>
      <c r="K114">
        <v>64</v>
      </c>
      <c r="L114">
        <v>17.95</v>
      </c>
      <c r="M114">
        <v>18</v>
      </c>
      <c r="N114" s="1">
        <v>96460810</v>
      </c>
      <c r="O114">
        <v>17.95</v>
      </c>
      <c r="P114">
        <v>19.7</v>
      </c>
      <c r="Q114">
        <v>16.2</v>
      </c>
    </row>
    <row r="115" spans="1:17" x14ac:dyDescent="0.25">
      <c r="A115">
        <v>3224</v>
      </c>
      <c r="B115" t="s">
        <v>138</v>
      </c>
      <c r="C115">
        <v>44.1</v>
      </c>
      <c r="D115">
        <v>-0.1</v>
      </c>
      <c r="E115">
        <v>44.2</v>
      </c>
      <c r="F115">
        <v>44.2</v>
      </c>
      <c r="G115">
        <v>43.8</v>
      </c>
      <c r="H115">
        <v>44.04</v>
      </c>
      <c r="I115" s="1">
        <v>191151</v>
      </c>
      <c r="J115" s="1">
        <v>8417559</v>
      </c>
      <c r="K115" s="1">
        <v>117</v>
      </c>
      <c r="L115">
        <v>44</v>
      </c>
      <c r="M115">
        <v>44.1</v>
      </c>
      <c r="N115" s="1">
        <v>58016045</v>
      </c>
      <c r="O115">
        <v>44.1</v>
      </c>
      <c r="P115">
        <v>48.5</v>
      </c>
      <c r="Q115">
        <v>39.700000000000003</v>
      </c>
    </row>
    <row r="116" spans="1:17" x14ac:dyDescent="0.25">
      <c r="A116">
        <v>3226</v>
      </c>
      <c r="B116" t="s">
        <v>139</v>
      </c>
      <c r="C116">
        <v>60.2</v>
      </c>
      <c r="D116">
        <v>0</v>
      </c>
      <c r="E116">
        <v>60</v>
      </c>
      <c r="F116">
        <v>60.7</v>
      </c>
      <c r="G116">
        <v>60</v>
      </c>
      <c r="H116">
        <v>60.41</v>
      </c>
      <c r="I116" s="1">
        <v>16000</v>
      </c>
      <c r="J116" s="1">
        <v>966500</v>
      </c>
      <c r="K116" s="1">
        <v>13</v>
      </c>
      <c r="L116">
        <v>60.2</v>
      </c>
      <c r="M116">
        <v>60.5</v>
      </c>
      <c r="N116" s="1">
        <v>64430573</v>
      </c>
      <c r="O116">
        <v>60.2</v>
      </c>
      <c r="P116">
        <v>66.2</v>
      </c>
      <c r="Q116">
        <v>54.2</v>
      </c>
    </row>
    <row r="117" spans="1:17" x14ac:dyDescent="0.25">
      <c r="A117">
        <v>3227</v>
      </c>
      <c r="B117" t="s">
        <v>140</v>
      </c>
      <c r="C117">
        <v>148</v>
      </c>
      <c r="D117">
        <v>0</v>
      </c>
      <c r="E117">
        <v>150</v>
      </c>
      <c r="F117">
        <v>152.5</v>
      </c>
      <c r="G117">
        <v>148</v>
      </c>
      <c r="H117">
        <v>150.09</v>
      </c>
      <c r="I117" s="1">
        <v>5625869</v>
      </c>
      <c r="J117" s="1">
        <v>844403481</v>
      </c>
      <c r="K117" s="1">
        <v>4072</v>
      </c>
      <c r="L117">
        <v>148</v>
      </c>
      <c r="M117">
        <v>148.5</v>
      </c>
      <c r="N117" s="1">
        <v>133104730</v>
      </c>
      <c r="O117">
        <v>148</v>
      </c>
      <c r="P117">
        <v>162.5</v>
      </c>
      <c r="Q117">
        <v>133.5</v>
      </c>
    </row>
    <row r="118" spans="1:17" x14ac:dyDescent="0.25">
      <c r="A118">
        <v>3228</v>
      </c>
      <c r="B118" t="s">
        <v>141</v>
      </c>
      <c r="C118">
        <v>17.2</v>
      </c>
      <c r="D118">
        <v>-0.3</v>
      </c>
      <c r="E118">
        <v>17.5</v>
      </c>
      <c r="F118">
        <v>18</v>
      </c>
      <c r="G118">
        <v>17.2</v>
      </c>
      <c r="H118">
        <v>17.510000000000002</v>
      </c>
      <c r="I118" s="1">
        <v>19887</v>
      </c>
      <c r="J118" s="1">
        <v>348279</v>
      </c>
      <c r="K118">
        <v>18</v>
      </c>
      <c r="L118">
        <v>17.2</v>
      </c>
      <c r="M118">
        <v>17.5</v>
      </c>
      <c r="N118" s="1">
        <v>67792705</v>
      </c>
      <c r="O118">
        <v>17.2</v>
      </c>
      <c r="P118">
        <v>18.899999999999999</v>
      </c>
      <c r="Q118">
        <v>15.5</v>
      </c>
    </row>
    <row r="119" spans="1:17" x14ac:dyDescent="0.25">
      <c r="A119">
        <v>3230</v>
      </c>
      <c r="B119" t="s">
        <v>142</v>
      </c>
      <c r="C119">
        <v>5.93</v>
      </c>
      <c r="D119">
        <v>0.04</v>
      </c>
      <c r="E119">
        <v>5.9</v>
      </c>
      <c r="F119">
        <v>5.93</v>
      </c>
      <c r="G119">
        <v>5.9</v>
      </c>
      <c r="H119">
        <v>5.9</v>
      </c>
      <c r="I119" s="1">
        <v>41200</v>
      </c>
      <c r="J119" s="1">
        <v>243155</v>
      </c>
      <c r="K119" s="1">
        <v>16</v>
      </c>
      <c r="L119">
        <v>5.9</v>
      </c>
      <c r="M119">
        <v>5.93</v>
      </c>
      <c r="N119" s="1">
        <v>107746524</v>
      </c>
      <c r="O119">
        <v>5.93</v>
      </c>
      <c r="P119">
        <v>6.52</v>
      </c>
      <c r="Q119">
        <v>5.34</v>
      </c>
    </row>
    <row r="120" spans="1:17" x14ac:dyDescent="0.25">
      <c r="A120">
        <v>3232</v>
      </c>
      <c r="B120" t="s">
        <v>143</v>
      </c>
      <c r="C120">
        <v>30</v>
      </c>
      <c r="D120">
        <v>0</v>
      </c>
      <c r="E120">
        <v>30.25</v>
      </c>
      <c r="F120">
        <v>30.6</v>
      </c>
      <c r="G120">
        <v>30</v>
      </c>
      <c r="H120">
        <v>30.3</v>
      </c>
      <c r="I120" s="1">
        <v>105003</v>
      </c>
      <c r="J120" s="1">
        <v>3181396</v>
      </c>
      <c r="K120" s="1">
        <v>77</v>
      </c>
      <c r="L120">
        <v>30</v>
      </c>
      <c r="M120">
        <v>30.2</v>
      </c>
      <c r="N120" s="1">
        <v>31567865</v>
      </c>
      <c r="O120">
        <v>30</v>
      </c>
      <c r="P120">
        <v>33</v>
      </c>
      <c r="Q120">
        <v>27</v>
      </c>
    </row>
    <row r="121" spans="1:17" x14ac:dyDescent="0.25">
      <c r="A121">
        <v>3234</v>
      </c>
      <c r="B121" t="s">
        <v>144</v>
      </c>
      <c r="C121">
        <v>40.799999999999997</v>
      </c>
      <c r="D121">
        <v>-0.45</v>
      </c>
      <c r="E121">
        <v>41.45</v>
      </c>
      <c r="F121">
        <v>41.9</v>
      </c>
      <c r="G121">
        <v>40.75</v>
      </c>
      <c r="H121">
        <v>41.22</v>
      </c>
      <c r="I121" s="1">
        <v>1183301</v>
      </c>
      <c r="J121" s="1">
        <v>48775359</v>
      </c>
      <c r="K121" s="1">
        <v>708</v>
      </c>
      <c r="L121">
        <v>40.799999999999997</v>
      </c>
      <c r="M121">
        <v>40.9</v>
      </c>
      <c r="N121" s="1">
        <v>72527692</v>
      </c>
      <c r="O121">
        <v>40.799999999999997</v>
      </c>
      <c r="P121">
        <v>44.85</v>
      </c>
      <c r="Q121">
        <v>36.75</v>
      </c>
    </row>
    <row r="122" spans="1:17" x14ac:dyDescent="0.25">
      <c r="A122">
        <v>3236</v>
      </c>
      <c r="B122" t="s">
        <v>145</v>
      </c>
      <c r="C122">
        <v>45.85</v>
      </c>
      <c r="D122">
        <v>0</v>
      </c>
      <c r="E122">
        <v>45.9</v>
      </c>
      <c r="F122">
        <v>46.25</v>
      </c>
      <c r="G122">
        <v>45.5</v>
      </c>
      <c r="H122">
        <v>45.9</v>
      </c>
      <c r="I122" s="1">
        <v>1091252</v>
      </c>
      <c r="J122" s="1">
        <v>50092124</v>
      </c>
      <c r="K122">
        <v>683</v>
      </c>
      <c r="L122">
        <v>45.85</v>
      </c>
      <c r="M122">
        <v>46</v>
      </c>
      <c r="N122" s="1">
        <v>73197759</v>
      </c>
      <c r="O122">
        <v>45.85</v>
      </c>
      <c r="P122">
        <v>50.4</v>
      </c>
      <c r="Q122">
        <v>41.3</v>
      </c>
    </row>
    <row r="123" spans="1:17" x14ac:dyDescent="0.25">
      <c r="A123">
        <v>3252</v>
      </c>
      <c r="B123" t="s">
        <v>146</v>
      </c>
      <c r="C123">
        <v>19.850000000000001</v>
      </c>
      <c r="D123">
        <v>-0.05</v>
      </c>
      <c r="E123">
        <v>19.850000000000001</v>
      </c>
      <c r="F123">
        <v>19.899999999999999</v>
      </c>
      <c r="G123">
        <v>19.649999999999999</v>
      </c>
      <c r="H123">
        <v>19.809999999999999</v>
      </c>
      <c r="I123" s="1">
        <v>135000</v>
      </c>
      <c r="J123" s="1">
        <v>2674400</v>
      </c>
      <c r="K123">
        <v>22</v>
      </c>
      <c r="L123">
        <v>19.8</v>
      </c>
      <c r="M123">
        <v>19.850000000000001</v>
      </c>
      <c r="N123" s="1">
        <v>31445754</v>
      </c>
      <c r="O123">
        <v>19.850000000000001</v>
      </c>
      <c r="P123">
        <v>21.8</v>
      </c>
      <c r="Q123">
        <v>17.899999999999999</v>
      </c>
    </row>
    <row r="124" spans="1:17" x14ac:dyDescent="0.25">
      <c r="A124">
        <v>3259</v>
      </c>
      <c r="B124" t="s">
        <v>147</v>
      </c>
      <c r="C124">
        <v>22.9</v>
      </c>
      <c r="D124">
        <v>0.75</v>
      </c>
      <c r="E124">
        <v>22.3</v>
      </c>
      <c r="F124">
        <v>23.15</v>
      </c>
      <c r="G124">
        <v>22.3</v>
      </c>
      <c r="H124">
        <v>22.83</v>
      </c>
      <c r="I124" s="1">
        <v>369050</v>
      </c>
      <c r="J124" s="1">
        <v>8423836</v>
      </c>
      <c r="K124">
        <v>176</v>
      </c>
      <c r="L124">
        <v>22.85</v>
      </c>
      <c r="M124">
        <v>22.95</v>
      </c>
      <c r="N124" s="1">
        <v>80859553</v>
      </c>
      <c r="O124">
        <v>22.9</v>
      </c>
      <c r="P124">
        <v>25.15</v>
      </c>
      <c r="Q124">
        <v>20.65</v>
      </c>
    </row>
    <row r="125" spans="1:17" x14ac:dyDescent="0.25">
      <c r="A125">
        <v>3260</v>
      </c>
      <c r="B125" t="s">
        <v>148</v>
      </c>
      <c r="C125">
        <v>70.5</v>
      </c>
      <c r="D125">
        <v>-0.4</v>
      </c>
      <c r="E125">
        <v>71.2</v>
      </c>
      <c r="F125">
        <v>71.5</v>
      </c>
      <c r="G125">
        <v>70.3</v>
      </c>
      <c r="H125">
        <v>70.7</v>
      </c>
      <c r="I125" s="1">
        <v>2146284</v>
      </c>
      <c r="J125" s="1">
        <v>151743195</v>
      </c>
      <c r="K125" s="1">
        <v>1357</v>
      </c>
      <c r="L125">
        <v>70.400000000000006</v>
      </c>
      <c r="M125">
        <v>70.5</v>
      </c>
      <c r="N125" s="1">
        <v>229973374</v>
      </c>
      <c r="O125">
        <v>70.5</v>
      </c>
      <c r="P125">
        <v>77.5</v>
      </c>
      <c r="Q125">
        <v>63.5</v>
      </c>
    </row>
    <row r="126" spans="1:17" x14ac:dyDescent="0.25">
      <c r="A126">
        <v>3264</v>
      </c>
      <c r="B126" t="s">
        <v>149</v>
      </c>
      <c r="C126">
        <v>37.549999999999997</v>
      </c>
      <c r="D126">
        <v>0.75</v>
      </c>
      <c r="E126">
        <v>37</v>
      </c>
      <c r="F126">
        <v>38.6</v>
      </c>
      <c r="G126">
        <v>37</v>
      </c>
      <c r="H126">
        <v>37.96</v>
      </c>
      <c r="I126" s="1">
        <v>5611381</v>
      </c>
      <c r="J126" s="1">
        <v>213024484</v>
      </c>
      <c r="K126" s="1">
        <v>3168</v>
      </c>
      <c r="L126">
        <v>37.549999999999997</v>
      </c>
      <c r="M126">
        <v>37.75</v>
      </c>
      <c r="N126" s="1">
        <v>485461311</v>
      </c>
      <c r="O126">
        <v>37.549999999999997</v>
      </c>
      <c r="P126">
        <v>41.3</v>
      </c>
      <c r="Q126">
        <v>33.799999999999997</v>
      </c>
    </row>
    <row r="127" spans="1:17" x14ac:dyDescent="0.25">
      <c r="A127">
        <v>3265</v>
      </c>
      <c r="B127" t="s">
        <v>150</v>
      </c>
      <c r="C127">
        <v>29.55</v>
      </c>
      <c r="D127">
        <v>0.15</v>
      </c>
      <c r="E127">
        <v>29.9</v>
      </c>
      <c r="F127">
        <v>30.2</v>
      </c>
      <c r="G127">
        <v>29.4</v>
      </c>
      <c r="H127">
        <v>29.78</v>
      </c>
      <c r="I127" s="1">
        <v>956125</v>
      </c>
      <c r="J127" s="1">
        <v>28473879</v>
      </c>
      <c r="K127">
        <v>399</v>
      </c>
      <c r="L127">
        <v>29.55</v>
      </c>
      <c r="M127">
        <v>29.6</v>
      </c>
      <c r="N127" s="1">
        <v>136261659</v>
      </c>
      <c r="O127">
        <v>29.55</v>
      </c>
      <c r="P127">
        <v>32.5</v>
      </c>
      <c r="Q127">
        <v>26.6</v>
      </c>
    </row>
    <row r="128" spans="1:17" x14ac:dyDescent="0.25">
      <c r="A128">
        <v>3268</v>
      </c>
      <c r="B128" t="s">
        <v>151</v>
      </c>
      <c r="C128">
        <v>12.1</v>
      </c>
      <c r="D128">
        <v>0</v>
      </c>
      <c r="E128">
        <v>12.15</v>
      </c>
      <c r="F128">
        <v>12.35</v>
      </c>
      <c r="G128">
        <v>12</v>
      </c>
      <c r="H128">
        <v>12.16</v>
      </c>
      <c r="I128" s="1">
        <v>26260</v>
      </c>
      <c r="J128" s="1">
        <v>319270</v>
      </c>
      <c r="K128">
        <v>27</v>
      </c>
      <c r="L128">
        <v>12.1</v>
      </c>
      <c r="M128">
        <v>12.2</v>
      </c>
      <c r="N128" s="1">
        <v>33426272</v>
      </c>
      <c r="O128">
        <v>12.1</v>
      </c>
      <c r="P128">
        <v>13.3</v>
      </c>
      <c r="Q128">
        <v>10.9</v>
      </c>
    </row>
    <row r="129" spans="1:17" x14ac:dyDescent="0.25">
      <c r="A129">
        <v>3272</v>
      </c>
      <c r="B129" t="s">
        <v>152</v>
      </c>
      <c r="C129">
        <v>53.6</v>
      </c>
      <c r="D129">
        <v>0.8</v>
      </c>
      <c r="E129">
        <v>53</v>
      </c>
      <c r="F129">
        <v>54.6</v>
      </c>
      <c r="G129">
        <v>53</v>
      </c>
      <c r="H129">
        <v>53.88</v>
      </c>
      <c r="I129" s="1">
        <v>258102</v>
      </c>
      <c r="J129" s="1">
        <v>13907756</v>
      </c>
      <c r="K129">
        <v>207</v>
      </c>
      <c r="L129">
        <v>53.6</v>
      </c>
      <c r="M129">
        <v>54</v>
      </c>
      <c r="N129" s="1">
        <v>52264966</v>
      </c>
      <c r="O129">
        <v>53.6</v>
      </c>
      <c r="P129">
        <v>58.9</v>
      </c>
      <c r="Q129">
        <v>48.25</v>
      </c>
    </row>
    <row r="130" spans="1:17" x14ac:dyDescent="0.25">
      <c r="A130">
        <v>3276</v>
      </c>
      <c r="B130" t="s">
        <v>153</v>
      </c>
      <c r="C130">
        <v>15.35</v>
      </c>
      <c r="D130">
        <v>0.15</v>
      </c>
      <c r="E130">
        <v>15.25</v>
      </c>
      <c r="F130">
        <v>15.35</v>
      </c>
      <c r="G130">
        <v>15.1</v>
      </c>
      <c r="H130">
        <v>15.22</v>
      </c>
      <c r="I130" s="1">
        <v>35600</v>
      </c>
      <c r="J130" s="1">
        <v>541970</v>
      </c>
      <c r="K130" s="1">
        <v>23</v>
      </c>
      <c r="L130">
        <v>15.25</v>
      </c>
      <c r="M130">
        <v>15.35</v>
      </c>
      <c r="N130" s="1">
        <v>69712666</v>
      </c>
      <c r="O130">
        <v>15.35</v>
      </c>
      <c r="P130">
        <v>16.850000000000001</v>
      </c>
      <c r="Q130">
        <v>13.85</v>
      </c>
    </row>
    <row r="131" spans="1:17" x14ac:dyDescent="0.25">
      <c r="A131">
        <v>3284</v>
      </c>
      <c r="B131" t="s">
        <v>154</v>
      </c>
      <c r="C131">
        <v>18.600000000000001</v>
      </c>
      <c r="D131">
        <v>-0.1</v>
      </c>
      <c r="E131">
        <v>18.7</v>
      </c>
      <c r="F131">
        <v>18.7</v>
      </c>
      <c r="G131">
        <v>18.600000000000001</v>
      </c>
      <c r="H131">
        <v>18.649999999999999</v>
      </c>
      <c r="I131" s="1">
        <v>4011</v>
      </c>
      <c r="J131" s="1">
        <v>74798</v>
      </c>
      <c r="K131">
        <v>13</v>
      </c>
      <c r="L131">
        <v>18.600000000000001</v>
      </c>
      <c r="M131">
        <v>18.75</v>
      </c>
      <c r="N131" s="1">
        <v>55961790</v>
      </c>
      <c r="O131">
        <v>18.600000000000001</v>
      </c>
      <c r="P131">
        <v>20.45</v>
      </c>
      <c r="Q131">
        <v>16.75</v>
      </c>
    </row>
    <row r="132" spans="1:17" x14ac:dyDescent="0.25">
      <c r="A132">
        <v>3285</v>
      </c>
      <c r="B132" t="s">
        <v>155</v>
      </c>
      <c r="C132">
        <v>17.45</v>
      </c>
      <c r="D132">
        <v>-0.1</v>
      </c>
      <c r="E132">
        <v>17.55</v>
      </c>
      <c r="F132">
        <v>17.600000000000001</v>
      </c>
      <c r="G132">
        <v>17.45</v>
      </c>
      <c r="H132">
        <v>17.510000000000002</v>
      </c>
      <c r="I132" s="1">
        <v>27450</v>
      </c>
      <c r="J132" s="1">
        <v>480548</v>
      </c>
      <c r="K132" s="1">
        <v>31</v>
      </c>
      <c r="L132">
        <v>17.45</v>
      </c>
      <c r="M132">
        <v>17.5</v>
      </c>
      <c r="N132" s="1">
        <v>44109324</v>
      </c>
      <c r="O132">
        <v>17.45</v>
      </c>
      <c r="P132">
        <v>19.149999999999999</v>
      </c>
      <c r="Q132">
        <v>15.75</v>
      </c>
    </row>
    <row r="133" spans="1:17" x14ac:dyDescent="0.25">
      <c r="A133">
        <v>3287</v>
      </c>
      <c r="B133" t="s">
        <v>156</v>
      </c>
      <c r="C133" t="s">
        <v>78</v>
      </c>
      <c r="D133" t="s">
        <v>78</v>
      </c>
      <c r="E133" t="s">
        <v>78</v>
      </c>
      <c r="F133" t="s">
        <v>78</v>
      </c>
      <c r="G133" t="s">
        <v>78</v>
      </c>
      <c r="H133">
        <v>8.11</v>
      </c>
      <c r="I133" s="1">
        <v>0</v>
      </c>
      <c r="J133" s="1">
        <v>0</v>
      </c>
      <c r="K133">
        <v>0</v>
      </c>
      <c r="L133">
        <v>7.95</v>
      </c>
      <c r="M133">
        <v>8.09</v>
      </c>
      <c r="N133" s="1">
        <v>43970483</v>
      </c>
      <c r="O133">
        <v>8.09</v>
      </c>
      <c r="P133">
        <v>8.89</v>
      </c>
      <c r="Q133">
        <v>7.29</v>
      </c>
    </row>
    <row r="134" spans="1:17" x14ac:dyDescent="0.25">
      <c r="A134">
        <v>3288</v>
      </c>
      <c r="B134" t="s">
        <v>157</v>
      </c>
      <c r="C134" t="s">
        <v>78</v>
      </c>
      <c r="D134" t="s">
        <v>78</v>
      </c>
      <c r="E134" t="s">
        <v>78</v>
      </c>
      <c r="F134" t="s">
        <v>78</v>
      </c>
      <c r="G134" t="s">
        <v>78</v>
      </c>
      <c r="H134">
        <v>3.18</v>
      </c>
      <c r="I134" s="1">
        <v>11</v>
      </c>
      <c r="J134" s="1">
        <v>35</v>
      </c>
      <c r="K134">
        <v>9</v>
      </c>
      <c r="L134">
        <v>3.34</v>
      </c>
      <c r="M134">
        <v>3.35</v>
      </c>
      <c r="N134" s="1">
        <v>48475148</v>
      </c>
      <c r="O134">
        <v>3.35</v>
      </c>
      <c r="P134">
        <v>3.68</v>
      </c>
      <c r="Q134">
        <v>3.02</v>
      </c>
    </row>
    <row r="135" spans="1:17" x14ac:dyDescent="0.25">
      <c r="A135">
        <v>3289</v>
      </c>
      <c r="B135" t="s">
        <v>158</v>
      </c>
      <c r="C135">
        <v>116</v>
      </c>
      <c r="D135">
        <v>0</v>
      </c>
      <c r="E135">
        <v>116</v>
      </c>
      <c r="F135">
        <v>116.5</v>
      </c>
      <c r="G135">
        <v>114.5</v>
      </c>
      <c r="H135">
        <v>115.39</v>
      </c>
      <c r="I135" s="1">
        <v>633997</v>
      </c>
      <c r="J135" s="1">
        <v>73159155</v>
      </c>
      <c r="K135">
        <v>491</v>
      </c>
      <c r="L135">
        <v>115.5</v>
      </c>
      <c r="M135">
        <v>116</v>
      </c>
      <c r="N135" s="1">
        <v>63488875</v>
      </c>
      <c r="O135">
        <v>116</v>
      </c>
      <c r="P135">
        <v>127.5</v>
      </c>
      <c r="Q135">
        <v>104.5</v>
      </c>
    </row>
    <row r="136" spans="1:17" x14ac:dyDescent="0.25">
      <c r="A136">
        <v>3290</v>
      </c>
      <c r="B136" t="s">
        <v>159</v>
      </c>
      <c r="C136">
        <v>15.25</v>
      </c>
      <c r="D136">
        <v>0.05</v>
      </c>
      <c r="E136">
        <v>15.15</v>
      </c>
      <c r="F136">
        <v>15.3</v>
      </c>
      <c r="G136">
        <v>15.1</v>
      </c>
      <c r="H136">
        <v>15.23</v>
      </c>
      <c r="I136" s="1">
        <v>69448</v>
      </c>
      <c r="J136" s="1">
        <v>1057727</v>
      </c>
      <c r="K136">
        <v>45</v>
      </c>
      <c r="L136">
        <v>15.2</v>
      </c>
      <c r="M136">
        <v>15.25</v>
      </c>
      <c r="N136" s="1">
        <v>99548926</v>
      </c>
      <c r="O136">
        <v>15.25</v>
      </c>
      <c r="P136">
        <v>16.75</v>
      </c>
      <c r="Q136">
        <v>13.75</v>
      </c>
    </row>
    <row r="137" spans="1:17" x14ac:dyDescent="0.25">
      <c r="A137">
        <v>3293</v>
      </c>
      <c r="B137" t="s">
        <v>160</v>
      </c>
      <c r="C137">
        <v>156.5</v>
      </c>
      <c r="D137">
        <v>0.5</v>
      </c>
      <c r="E137">
        <v>156</v>
      </c>
      <c r="F137">
        <v>156.5</v>
      </c>
      <c r="G137">
        <v>155.5</v>
      </c>
      <c r="H137">
        <v>155.93</v>
      </c>
      <c r="I137" s="1">
        <v>156228</v>
      </c>
      <c r="J137" s="1">
        <v>24361296</v>
      </c>
      <c r="K137">
        <v>133</v>
      </c>
      <c r="L137">
        <v>156</v>
      </c>
      <c r="M137">
        <v>156.5</v>
      </c>
      <c r="N137" s="1">
        <v>69983390</v>
      </c>
      <c r="O137">
        <v>156.5</v>
      </c>
      <c r="P137">
        <v>172</v>
      </c>
      <c r="Q137">
        <v>141</v>
      </c>
    </row>
    <row r="138" spans="1:17" x14ac:dyDescent="0.25">
      <c r="A138">
        <v>3294</v>
      </c>
      <c r="B138" t="s">
        <v>161</v>
      </c>
      <c r="C138">
        <v>24</v>
      </c>
      <c r="D138">
        <v>0.1</v>
      </c>
      <c r="E138">
        <v>23.9</v>
      </c>
      <c r="F138">
        <v>24.45</v>
      </c>
      <c r="G138">
        <v>23.9</v>
      </c>
      <c r="H138">
        <v>24.15</v>
      </c>
      <c r="I138" s="1">
        <v>296161</v>
      </c>
      <c r="J138" s="1">
        <v>7151847</v>
      </c>
      <c r="K138" s="1">
        <v>165</v>
      </c>
      <c r="L138">
        <v>24</v>
      </c>
      <c r="M138">
        <v>24.2</v>
      </c>
      <c r="N138" s="1">
        <v>131378919</v>
      </c>
      <c r="O138">
        <v>24</v>
      </c>
      <c r="P138">
        <v>26.4</v>
      </c>
      <c r="Q138">
        <v>21.6</v>
      </c>
    </row>
    <row r="139" spans="1:17" x14ac:dyDescent="0.25">
      <c r="A139">
        <v>3297</v>
      </c>
      <c r="B139" t="s">
        <v>162</v>
      </c>
      <c r="C139">
        <v>14.4</v>
      </c>
      <c r="D139">
        <v>0</v>
      </c>
      <c r="E139">
        <v>14.4</v>
      </c>
      <c r="F139">
        <v>14.6</v>
      </c>
      <c r="G139">
        <v>14.4</v>
      </c>
      <c r="H139">
        <v>14.43</v>
      </c>
      <c r="I139" s="1">
        <v>16000</v>
      </c>
      <c r="J139" s="1">
        <v>230950</v>
      </c>
      <c r="K139">
        <v>9</v>
      </c>
      <c r="L139">
        <v>14.35</v>
      </c>
      <c r="M139">
        <v>14.4</v>
      </c>
      <c r="N139" s="1">
        <v>36911645</v>
      </c>
      <c r="O139">
        <v>14.4</v>
      </c>
      <c r="P139">
        <v>15.8</v>
      </c>
      <c r="Q139">
        <v>13</v>
      </c>
    </row>
    <row r="140" spans="1:17" x14ac:dyDescent="0.25">
      <c r="A140">
        <v>3299</v>
      </c>
      <c r="B140" t="s">
        <v>163</v>
      </c>
      <c r="C140">
        <v>67.599999999999994</v>
      </c>
      <c r="D140">
        <v>0.1</v>
      </c>
      <c r="E140">
        <v>67.599999999999994</v>
      </c>
      <c r="F140">
        <v>68.400000000000006</v>
      </c>
      <c r="G140">
        <v>67.5</v>
      </c>
      <c r="H140">
        <v>67.92</v>
      </c>
      <c r="I140" s="1">
        <v>455075</v>
      </c>
      <c r="J140" s="1">
        <v>30907680</v>
      </c>
      <c r="K140" s="1">
        <v>264</v>
      </c>
      <c r="L140">
        <v>67.5</v>
      </c>
      <c r="M140">
        <v>67.599999999999994</v>
      </c>
      <c r="N140" s="1">
        <v>61059165</v>
      </c>
      <c r="O140">
        <v>67.599999999999994</v>
      </c>
      <c r="P140">
        <v>74.3</v>
      </c>
      <c r="Q140">
        <v>60.9</v>
      </c>
    </row>
    <row r="141" spans="1:17" x14ac:dyDescent="0.25">
      <c r="A141">
        <v>3303</v>
      </c>
      <c r="B141" t="s">
        <v>164</v>
      </c>
      <c r="C141">
        <v>18.5</v>
      </c>
      <c r="D141">
        <v>0.05</v>
      </c>
      <c r="E141">
        <v>18.399999999999999</v>
      </c>
      <c r="F141">
        <v>18.5</v>
      </c>
      <c r="G141">
        <v>18.3</v>
      </c>
      <c r="H141">
        <v>18.399999999999999</v>
      </c>
      <c r="I141" s="1">
        <v>85278</v>
      </c>
      <c r="J141" s="1">
        <v>1569275</v>
      </c>
      <c r="K141" s="1">
        <v>46</v>
      </c>
      <c r="L141">
        <v>18.399999999999999</v>
      </c>
      <c r="M141">
        <v>18.5</v>
      </c>
      <c r="N141" s="1">
        <v>96089607</v>
      </c>
      <c r="O141">
        <v>18.5</v>
      </c>
      <c r="P141">
        <v>20.350000000000001</v>
      </c>
      <c r="Q141">
        <v>16.649999999999999</v>
      </c>
    </row>
    <row r="142" spans="1:17" x14ac:dyDescent="0.25">
      <c r="A142">
        <v>3306</v>
      </c>
      <c r="B142" t="s">
        <v>165</v>
      </c>
      <c r="C142">
        <v>21.4</v>
      </c>
      <c r="D142">
        <v>0.15</v>
      </c>
      <c r="E142">
        <v>21.25</v>
      </c>
      <c r="F142">
        <v>21.5</v>
      </c>
      <c r="G142">
        <v>21.15</v>
      </c>
      <c r="H142">
        <v>21.2</v>
      </c>
      <c r="I142" s="1">
        <v>51468</v>
      </c>
      <c r="J142" s="1">
        <v>1090969</v>
      </c>
      <c r="K142" s="1">
        <v>43</v>
      </c>
      <c r="L142">
        <v>21.25</v>
      </c>
      <c r="M142">
        <v>21.4</v>
      </c>
      <c r="N142" s="1">
        <v>50607702</v>
      </c>
      <c r="O142">
        <v>21.4</v>
      </c>
      <c r="P142">
        <v>23.5</v>
      </c>
      <c r="Q142">
        <v>19.3</v>
      </c>
    </row>
    <row r="143" spans="1:17" x14ac:dyDescent="0.25">
      <c r="A143">
        <v>3310</v>
      </c>
      <c r="B143" t="s">
        <v>166</v>
      </c>
      <c r="C143">
        <v>33.549999999999997</v>
      </c>
      <c r="D143">
        <v>0.25</v>
      </c>
      <c r="E143">
        <v>33.700000000000003</v>
      </c>
      <c r="F143">
        <v>34.299999999999997</v>
      </c>
      <c r="G143">
        <v>32.950000000000003</v>
      </c>
      <c r="H143">
        <v>33.46</v>
      </c>
      <c r="I143" s="1">
        <v>688178</v>
      </c>
      <c r="J143" s="1">
        <v>23026580</v>
      </c>
      <c r="K143" s="1">
        <v>387</v>
      </c>
      <c r="L143">
        <v>33.5</v>
      </c>
      <c r="M143">
        <v>33.799999999999997</v>
      </c>
      <c r="N143" s="1">
        <v>62826586</v>
      </c>
      <c r="O143">
        <v>33.549999999999997</v>
      </c>
      <c r="P143">
        <v>36.9</v>
      </c>
      <c r="Q143">
        <v>30.2</v>
      </c>
    </row>
    <row r="144" spans="1:17" x14ac:dyDescent="0.25">
      <c r="A144">
        <v>3313</v>
      </c>
      <c r="B144" t="s">
        <v>167</v>
      </c>
      <c r="C144">
        <v>39.85</v>
      </c>
      <c r="D144">
        <v>0.75</v>
      </c>
      <c r="E144">
        <v>39.1</v>
      </c>
      <c r="F144">
        <v>40.299999999999997</v>
      </c>
      <c r="G144">
        <v>38.25</v>
      </c>
      <c r="H144">
        <v>39.56</v>
      </c>
      <c r="I144" s="1">
        <v>466009</v>
      </c>
      <c r="J144" s="1">
        <v>18435210</v>
      </c>
      <c r="K144" s="1">
        <v>226</v>
      </c>
      <c r="L144">
        <v>39.799999999999997</v>
      </c>
      <c r="M144">
        <v>39.9</v>
      </c>
      <c r="N144" s="1">
        <v>83770776</v>
      </c>
      <c r="O144">
        <v>39.85</v>
      </c>
      <c r="P144">
        <v>43.8</v>
      </c>
      <c r="Q144">
        <v>35.9</v>
      </c>
    </row>
    <row r="145" spans="1:17" x14ac:dyDescent="0.25">
      <c r="A145">
        <v>3317</v>
      </c>
      <c r="B145" t="s">
        <v>168</v>
      </c>
      <c r="C145">
        <v>43.05</v>
      </c>
      <c r="D145">
        <v>0.1</v>
      </c>
      <c r="E145">
        <v>43.9</v>
      </c>
      <c r="F145">
        <v>44.45</v>
      </c>
      <c r="G145">
        <v>42.6</v>
      </c>
      <c r="H145">
        <v>43.36</v>
      </c>
      <c r="I145" s="1">
        <v>5831338</v>
      </c>
      <c r="J145" s="1">
        <v>252832250</v>
      </c>
      <c r="K145" s="1">
        <v>3235</v>
      </c>
      <c r="L145">
        <v>43.05</v>
      </c>
      <c r="M145">
        <v>43.1</v>
      </c>
      <c r="N145" s="1">
        <v>61251550</v>
      </c>
      <c r="O145">
        <v>43.05</v>
      </c>
      <c r="P145">
        <v>47.35</v>
      </c>
      <c r="Q145">
        <v>38.75</v>
      </c>
    </row>
    <row r="146" spans="1:17" x14ac:dyDescent="0.25">
      <c r="A146">
        <v>3322</v>
      </c>
      <c r="B146" t="s">
        <v>169</v>
      </c>
      <c r="C146">
        <v>9.9</v>
      </c>
      <c r="D146">
        <v>7.0000000000000007E-2</v>
      </c>
      <c r="E146">
        <v>9.9</v>
      </c>
      <c r="F146">
        <v>10</v>
      </c>
      <c r="G146">
        <v>9.9</v>
      </c>
      <c r="H146">
        <v>9.9600000000000009</v>
      </c>
      <c r="I146" s="1">
        <v>105750</v>
      </c>
      <c r="J146" s="1">
        <v>1053248</v>
      </c>
      <c r="K146">
        <v>56</v>
      </c>
      <c r="L146">
        <v>9.9</v>
      </c>
      <c r="M146">
        <v>9.99</v>
      </c>
      <c r="N146" s="1">
        <v>86415616</v>
      </c>
      <c r="O146">
        <v>9.9</v>
      </c>
      <c r="P146">
        <v>10.85</v>
      </c>
      <c r="Q146">
        <v>8.91</v>
      </c>
    </row>
    <row r="147" spans="1:17" x14ac:dyDescent="0.25">
      <c r="A147">
        <v>3323</v>
      </c>
      <c r="B147" t="s">
        <v>170</v>
      </c>
      <c r="C147">
        <v>39.200000000000003</v>
      </c>
      <c r="D147">
        <v>0.45</v>
      </c>
      <c r="E147">
        <v>38.85</v>
      </c>
      <c r="F147">
        <v>39.4</v>
      </c>
      <c r="G147">
        <v>38.799999999999997</v>
      </c>
      <c r="H147">
        <v>39</v>
      </c>
      <c r="I147" s="1">
        <v>740626</v>
      </c>
      <c r="J147" s="1">
        <v>28887764</v>
      </c>
      <c r="K147" s="1">
        <v>459</v>
      </c>
      <c r="L147">
        <v>39.200000000000003</v>
      </c>
      <c r="M147">
        <v>39.299999999999997</v>
      </c>
      <c r="N147" s="1">
        <v>86799914</v>
      </c>
      <c r="O147">
        <v>39.200000000000003</v>
      </c>
      <c r="P147">
        <v>43.1</v>
      </c>
      <c r="Q147">
        <v>35.299999999999997</v>
      </c>
    </row>
    <row r="148" spans="1:17" x14ac:dyDescent="0.25">
      <c r="A148">
        <v>3324</v>
      </c>
      <c r="B148" t="s">
        <v>171</v>
      </c>
      <c r="C148">
        <v>73</v>
      </c>
      <c r="D148">
        <v>0</v>
      </c>
      <c r="E148">
        <v>73.099999999999994</v>
      </c>
      <c r="F148">
        <v>73.7</v>
      </c>
      <c r="G148">
        <v>72.900000000000006</v>
      </c>
      <c r="H148">
        <v>73.069999999999993</v>
      </c>
      <c r="I148" s="1">
        <v>271954</v>
      </c>
      <c r="J148" s="1">
        <v>19871442</v>
      </c>
      <c r="K148" s="1">
        <v>200</v>
      </c>
      <c r="L148">
        <v>73</v>
      </c>
      <c r="M148">
        <v>73.099999999999994</v>
      </c>
      <c r="N148" s="1">
        <v>80702285</v>
      </c>
      <c r="O148">
        <v>73</v>
      </c>
      <c r="P148">
        <v>80.3</v>
      </c>
      <c r="Q148">
        <v>65.7</v>
      </c>
    </row>
    <row r="149" spans="1:17" x14ac:dyDescent="0.25">
      <c r="A149">
        <v>3325</v>
      </c>
      <c r="B149" t="s">
        <v>172</v>
      </c>
      <c r="C149">
        <v>13.6</v>
      </c>
      <c r="D149">
        <v>0</v>
      </c>
      <c r="E149">
        <v>13.6</v>
      </c>
      <c r="F149">
        <v>13.65</v>
      </c>
      <c r="G149">
        <v>13.55</v>
      </c>
      <c r="H149">
        <v>13.6</v>
      </c>
      <c r="I149" s="1">
        <v>35314</v>
      </c>
      <c r="J149" s="1">
        <v>480216</v>
      </c>
      <c r="K149" s="1">
        <v>42</v>
      </c>
      <c r="L149">
        <v>13.55</v>
      </c>
      <c r="M149">
        <v>13.6</v>
      </c>
      <c r="N149" s="1">
        <v>77134579</v>
      </c>
      <c r="O149">
        <v>13.6</v>
      </c>
      <c r="P149">
        <v>14.95</v>
      </c>
      <c r="Q149">
        <v>12.25</v>
      </c>
    </row>
    <row r="150" spans="1:17" x14ac:dyDescent="0.25">
      <c r="A150">
        <v>3332</v>
      </c>
      <c r="B150" t="s">
        <v>173</v>
      </c>
      <c r="C150">
        <v>47.8</v>
      </c>
      <c r="D150">
        <v>0.6</v>
      </c>
      <c r="E150">
        <v>47.95</v>
      </c>
      <c r="F150">
        <v>47.95</v>
      </c>
      <c r="G150">
        <v>46.55</v>
      </c>
      <c r="H150">
        <v>47.51</v>
      </c>
      <c r="I150" s="1">
        <v>4000</v>
      </c>
      <c r="J150" s="1">
        <v>190050</v>
      </c>
      <c r="K150">
        <v>4</v>
      </c>
      <c r="L150">
        <v>46.6</v>
      </c>
      <c r="M150">
        <v>47.9</v>
      </c>
      <c r="N150" s="1">
        <v>48104246</v>
      </c>
      <c r="O150">
        <v>47.8</v>
      </c>
      <c r="P150">
        <v>52.5</v>
      </c>
      <c r="Q150">
        <v>43.05</v>
      </c>
    </row>
    <row r="151" spans="1:17" x14ac:dyDescent="0.25">
      <c r="A151">
        <v>3339</v>
      </c>
      <c r="B151" t="s">
        <v>174</v>
      </c>
      <c r="C151">
        <v>7.23</v>
      </c>
      <c r="D151">
        <v>0.04</v>
      </c>
      <c r="E151">
        <v>7.23</v>
      </c>
      <c r="F151">
        <v>7.28</v>
      </c>
      <c r="G151">
        <v>7.22</v>
      </c>
      <c r="H151">
        <v>7.25</v>
      </c>
      <c r="I151" s="1">
        <v>44107</v>
      </c>
      <c r="J151" s="1">
        <v>319779</v>
      </c>
      <c r="K151" s="1">
        <v>19</v>
      </c>
      <c r="L151">
        <v>7.23</v>
      </c>
      <c r="M151">
        <v>7.27</v>
      </c>
      <c r="N151" s="1">
        <v>96181442</v>
      </c>
      <c r="O151">
        <v>7.23</v>
      </c>
      <c r="P151">
        <v>7.95</v>
      </c>
      <c r="Q151">
        <v>6.51</v>
      </c>
    </row>
    <row r="152" spans="1:17" x14ac:dyDescent="0.25">
      <c r="A152">
        <v>3354</v>
      </c>
      <c r="B152" t="s">
        <v>175</v>
      </c>
      <c r="C152">
        <v>36.1</v>
      </c>
      <c r="D152">
        <v>3.25</v>
      </c>
      <c r="E152">
        <v>35.200000000000003</v>
      </c>
      <c r="F152">
        <v>36.1</v>
      </c>
      <c r="G152">
        <v>34.6</v>
      </c>
      <c r="H152">
        <v>35.64</v>
      </c>
      <c r="I152" s="1">
        <v>8433610</v>
      </c>
      <c r="J152" s="1">
        <v>300613657</v>
      </c>
      <c r="K152" s="1">
        <v>4350</v>
      </c>
      <c r="L152">
        <v>36.1</v>
      </c>
      <c r="M152">
        <v>0</v>
      </c>
      <c r="N152" s="1">
        <v>70112426</v>
      </c>
      <c r="O152">
        <v>36.1</v>
      </c>
      <c r="P152">
        <v>39.700000000000003</v>
      </c>
      <c r="Q152">
        <v>32.5</v>
      </c>
    </row>
    <row r="153" spans="1:17" x14ac:dyDescent="0.25">
      <c r="A153">
        <v>3360</v>
      </c>
      <c r="B153" t="s">
        <v>176</v>
      </c>
      <c r="C153">
        <v>15.85</v>
      </c>
      <c r="D153">
        <v>-0.05</v>
      </c>
      <c r="E153">
        <v>16</v>
      </c>
      <c r="F153">
        <v>16</v>
      </c>
      <c r="G153">
        <v>15.6</v>
      </c>
      <c r="H153">
        <v>15.77</v>
      </c>
      <c r="I153" s="1">
        <v>279345</v>
      </c>
      <c r="J153" s="1">
        <v>4405090</v>
      </c>
      <c r="K153" s="1">
        <v>132</v>
      </c>
      <c r="L153">
        <v>15.8</v>
      </c>
      <c r="M153">
        <v>15.9</v>
      </c>
      <c r="N153" s="1">
        <v>75456054</v>
      </c>
      <c r="O153">
        <v>15.85</v>
      </c>
      <c r="P153">
        <v>17.399999999999999</v>
      </c>
      <c r="Q153">
        <v>14.3</v>
      </c>
    </row>
    <row r="154" spans="1:17" x14ac:dyDescent="0.25">
      <c r="A154">
        <v>3362</v>
      </c>
      <c r="B154" t="s">
        <v>177</v>
      </c>
      <c r="C154">
        <v>46.3</v>
      </c>
      <c r="D154">
        <v>-1.4</v>
      </c>
      <c r="E154">
        <v>47.5</v>
      </c>
      <c r="F154">
        <v>48.1</v>
      </c>
      <c r="G154">
        <v>46</v>
      </c>
      <c r="H154">
        <v>46.82</v>
      </c>
      <c r="I154" s="1">
        <v>1357215</v>
      </c>
      <c r="J154" s="1">
        <v>63541814</v>
      </c>
      <c r="K154">
        <v>932</v>
      </c>
      <c r="L154">
        <v>46.25</v>
      </c>
      <c r="M154">
        <v>46.3</v>
      </c>
      <c r="N154" s="1">
        <v>103378000</v>
      </c>
      <c r="O154">
        <v>46.3</v>
      </c>
      <c r="P154">
        <v>50.9</v>
      </c>
      <c r="Q154">
        <v>41.7</v>
      </c>
    </row>
    <row r="155" spans="1:17" x14ac:dyDescent="0.25">
      <c r="A155">
        <v>3363</v>
      </c>
      <c r="B155" t="s">
        <v>178</v>
      </c>
      <c r="C155">
        <v>31.15</v>
      </c>
      <c r="D155">
        <v>-0.05</v>
      </c>
      <c r="E155">
        <v>31.2</v>
      </c>
      <c r="F155">
        <v>31.25</v>
      </c>
      <c r="G155">
        <v>30.8</v>
      </c>
      <c r="H155">
        <v>30.99</v>
      </c>
      <c r="I155" s="1">
        <v>174000</v>
      </c>
      <c r="J155" s="1">
        <v>5392700</v>
      </c>
      <c r="K155">
        <v>96</v>
      </c>
      <c r="L155">
        <v>30.9</v>
      </c>
      <c r="M155">
        <v>31.15</v>
      </c>
      <c r="N155" s="1">
        <v>77474145</v>
      </c>
      <c r="O155">
        <v>31.15</v>
      </c>
      <c r="P155">
        <v>34.25</v>
      </c>
      <c r="Q155">
        <v>28.05</v>
      </c>
    </row>
    <row r="156" spans="1:17" x14ac:dyDescent="0.25">
      <c r="A156">
        <v>3372</v>
      </c>
      <c r="B156" t="s">
        <v>179</v>
      </c>
      <c r="C156">
        <v>5.63</v>
      </c>
      <c r="D156">
        <v>-0.01</v>
      </c>
      <c r="E156">
        <v>5.64</v>
      </c>
      <c r="F156">
        <v>5.66</v>
      </c>
      <c r="G156">
        <v>5.6</v>
      </c>
      <c r="H156">
        <v>5.64</v>
      </c>
      <c r="I156" s="1">
        <v>152714</v>
      </c>
      <c r="J156" s="1">
        <v>861052</v>
      </c>
      <c r="K156">
        <v>67</v>
      </c>
      <c r="L156">
        <v>5.62</v>
      </c>
      <c r="M156">
        <v>5.63</v>
      </c>
      <c r="N156" s="1">
        <v>407482000</v>
      </c>
      <c r="O156">
        <v>5.63</v>
      </c>
      <c r="P156">
        <v>6.19</v>
      </c>
      <c r="Q156">
        <v>5.07</v>
      </c>
    </row>
    <row r="157" spans="1:17" x14ac:dyDescent="0.25">
      <c r="A157">
        <v>3373</v>
      </c>
      <c r="B157" t="s">
        <v>180</v>
      </c>
      <c r="C157">
        <v>21.35</v>
      </c>
      <c r="D157">
        <v>0.2</v>
      </c>
      <c r="E157">
        <v>21.35</v>
      </c>
      <c r="F157">
        <v>21.35</v>
      </c>
      <c r="G157">
        <v>21.15</v>
      </c>
      <c r="H157">
        <v>21.25</v>
      </c>
      <c r="I157" s="1">
        <v>204140</v>
      </c>
      <c r="J157" s="1">
        <v>4337125</v>
      </c>
      <c r="K157" s="1">
        <v>136</v>
      </c>
      <c r="L157">
        <v>21.35</v>
      </c>
      <c r="M157">
        <v>21.4</v>
      </c>
      <c r="N157" s="1">
        <v>43289801</v>
      </c>
      <c r="O157">
        <v>21.35</v>
      </c>
      <c r="P157">
        <v>23.45</v>
      </c>
      <c r="Q157">
        <v>19.25</v>
      </c>
    </row>
    <row r="158" spans="1:17" x14ac:dyDescent="0.25">
      <c r="A158">
        <v>3374</v>
      </c>
      <c r="B158" t="s">
        <v>181</v>
      </c>
      <c r="C158">
        <v>82.5</v>
      </c>
      <c r="D158">
        <v>-0.4</v>
      </c>
      <c r="E158">
        <v>83.7</v>
      </c>
      <c r="F158">
        <v>85</v>
      </c>
      <c r="G158">
        <v>82</v>
      </c>
      <c r="H158">
        <v>83.41</v>
      </c>
      <c r="I158" s="1">
        <v>11779262</v>
      </c>
      <c r="J158" s="1">
        <v>982470646</v>
      </c>
      <c r="K158" s="1">
        <v>7732</v>
      </c>
      <c r="L158">
        <v>82.5</v>
      </c>
      <c r="M158">
        <v>82.6</v>
      </c>
      <c r="N158" s="1">
        <v>272109316</v>
      </c>
      <c r="O158">
        <v>82.5</v>
      </c>
      <c r="P158">
        <v>90.7</v>
      </c>
      <c r="Q158">
        <v>74.3</v>
      </c>
    </row>
    <row r="159" spans="1:17" x14ac:dyDescent="0.25">
      <c r="A159">
        <v>3379</v>
      </c>
      <c r="B159" t="s">
        <v>182</v>
      </c>
      <c r="C159">
        <v>10.85</v>
      </c>
      <c r="D159">
        <v>-0.1</v>
      </c>
      <c r="E159">
        <v>11</v>
      </c>
      <c r="F159">
        <v>11</v>
      </c>
      <c r="G159">
        <v>10.85</v>
      </c>
      <c r="H159">
        <v>10.89</v>
      </c>
      <c r="I159" s="1">
        <v>8011</v>
      </c>
      <c r="J159" s="1">
        <v>87260</v>
      </c>
      <c r="K159" s="1">
        <v>17</v>
      </c>
      <c r="L159">
        <v>10.8</v>
      </c>
      <c r="M159">
        <v>10.9</v>
      </c>
      <c r="N159" s="1">
        <v>38041748</v>
      </c>
      <c r="O159">
        <v>10.85</v>
      </c>
      <c r="P159">
        <v>11.9</v>
      </c>
      <c r="Q159">
        <v>9.77</v>
      </c>
    </row>
    <row r="160" spans="1:17" x14ac:dyDescent="0.25">
      <c r="A160">
        <v>3388</v>
      </c>
      <c r="B160" t="s">
        <v>183</v>
      </c>
      <c r="C160">
        <v>72.8</v>
      </c>
      <c r="D160">
        <v>-0.6</v>
      </c>
      <c r="E160">
        <v>73.400000000000006</v>
      </c>
      <c r="F160">
        <v>73.400000000000006</v>
      </c>
      <c r="G160">
        <v>72.3</v>
      </c>
      <c r="H160">
        <v>72.739999999999995</v>
      </c>
      <c r="I160" s="1">
        <v>73588</v>
      </c>
      <c r="J160" s="1">
        <v>5352593</v>
      </c>
      <c r="K160">
        <v>61</v>
      </c>
      <c r="L160">
        <v>72.8</v>
      </c>
      <c r="M160">
        <v>72.900000000000006</v>
      </c>
      <c r="N160" s="1">
        <v>64101000</v>
      </c>
      <c r="O160">
        <v>72.8</v>
      </c>
      <c r="P160">
        <v>80</v>
      </c>
      <c r="Q160">
        <v>65.599999999999994</v>
      </c>
    </row>
    <row r="161" spans="1:17" x14ac:dyDescent="0.25">
      <c r="A161">
        <v>3390</v>
      </c>
      <c r="B161" t="s">
        <v>184</v>
      </c>
      <c r="C161">
        <v>23.4</v>
      </c>
      <c r="D161">
        <v>0.05</v>
      </c>
      <c r="E161">
        <v>23.4</v>
      </c>
      <c r="F161">
        <v>23.45</v>
      </c>
      <c r="G161">
        <v>23.2</v>
      </c>
      <c r="H161">
        <v>23.35</v>
      </c>
      <c r="I161" s="1">
        <v>206369</v>
      </c>
      <c r="J161" s="1">
        <v>4819460</v>
      </c>
      <c r="K161">
        <v>129</v>
      </c>
      <c r="L161">
        <v>23.4</v>
      </c>
      <c r="M161">
        <v>23.45</v>
      </c>
      <c r="N161" s="1">
        <v>66981059</v>
      </c>
      <c r="O161">
        <v>23.4</v>
      </c>
      <c r="P161">
        <v>25.7</v>
      </c>
      <c r="Q161">
        <v>21.1</v>
      </c>
    </row>
    <row r="162" spans="1:17" x14ac:dyDescent="0.25">
      <c r="A162">
        <v>3402</v>
      </c>
      <c r="B162" t="s">
        <v>185</v>
      </c>
      <c r="C162">
        <v>23.85</v>
      </c>
      <c r="D162">
        <v>-0.1</v>
      </c>
      <c r="E162">
        <v>24</v>
      </c>
      <c r="F162">
        <v>24</v>
      </c>
      <c r="G162">
        <v>23.85</v>
      </c>
      <c r="H162">
        <v>23.92</v>
      </c>
      <c r="I162" s="1">
        <v>199240</v>
      </c>
      <c r="J162" s="1">
        <v>4765077</v>
      </c>
      <c r="K162" s="1">
        <v>86</v>
      </c>
      <c r="L162">
        <v>23.85</v>
      </c>
      <c r="M162">
        <v>23.9</v>
      </c>
      <c r="N162" s="1">
        <v>73047692</v>
      </c>
      <c r="O162">
        <v>23.85</v>
      </c>
      <c r="P162">
        <v>26.2</v>
      </c>
      <c r="Q162">
        <v>21.5</v>
      </c>
    </row>
    <row r="163" spans="1:17" x14ac:dyDescent="0.25">
      <c r="A163">
        <v>3426</v>
      </c>
      <c r="B163" t="s">
        <v>186</v>
      </c>
      <c r="C163">
        <v>70.7</v>
      </c>
      <c r="D163">
        <v>0.3</v>
      </c>
      <c r="E163">
        <v>70</v>
      </c>
      <c r="F163">
        <v>70.7</v>
      </c>
      <c r="G163">
        <v>69.7</v>
      </c>
      <c r="H163">
        <v>70.38</v>
      </c>
      <c r="I163" s="1">
        <v>70000</v>
      </c>
      <c r="J163" s="1">
        <v>4926400</v>
      </c>
      <c r="K163" s="1">
        <v>51</v>
      </c>
      <c r="L163">
        <v>70.400000000000006</v>
      </c>
      <c r="M163">
        <v>70.8</v>
      </c>
      <c r="N163" s="1">
        <v>22000000</v>
      </c>
      <c r="O163">
        <v>70.7</v>
      </c>
      <c r="P163">
        <v>77.7</v>
      </c>
      <c r="Q163">
        <v>63.7</v>
      </c>
    </row>
    <row r="164" spans="1:17" x14ac:dyDescent="0.25">
      <c r="A164">
        <v>3428</v>
      </c>
      <c r="B164" t="s">
        <v>187</v>
      </c>
      <c r="C164">
        <v>50.7</v>
      </c>
      <c r="D164">
        <v>0</v>
      </c>
      <c r="E164">
        <v>51.1</v>
      </c>
      <c r="F164">
        <v>51.4</v>
      </c>
      <c r="G164">
        <v>50.6</v>
      </c>
      <c r="H164">
        <v>50.92</v>
      </c>
      <c r="I164" s="1">
        <v>449099</v>
      </c>
      <c r="J164" s="1">
        <v>22866758</v>
      </c>
      <c r="K164">
        <v>291</v>
      </c>
      <c r="L164">
        <v>50.7</v>
      </c>
      <c r="M164">
        <v>51</v>
      </c>
      <c r="N164" s="1">
        <v>96232000</v>
      </c>
      <c r="O164">
        <v>50.7</v>
      </c>
      <c r="P164">
        <v>55.7</v>
      </c>
      <c r="Q164">
        <v>45.65</v>
      </c>
    </row>
    <row r="165" spans="1:17" x14ac:dyDescent="0.25">
      <c r="A165">
        <v>3431</v>
      </c>
      <c r="B165" t="s">
        <v>188</v>
      </c>
      <c r="C165">
        <v>5.74</v>
      </c>
      <c r="D165">
        <v>-7.0000000000000007E-2</v>
      </c>
      <c r="E165">
        <v>5.7</v>
      </c>
      <c r="F165">
        <v>5.76</v>
      </c>
      <c r="G165">
        <v>5.7</v>
      </c>
      <c r="H165">
        <v>5.72</v>
      </c>
      <c r="I165" s="1">
        <v>32148</v>
      </c>
      <c r="J165" s="1">
        <v>183730</v>
      </c>
      <c r="K165">
        <v>28</v>
      </c>
      <c r="L165">
        <v>5.74</v>
      </c>
      <c r="M165">
        <v>5.77</v>
      </c>
      <c r="N165" s="1">
        <v>35458704</v>
      </c>
      <c r="O165">
        <v>5.74</v>
      </c>
      <c r="P165">
        <v>6.31</v>
      </c>
      <c r="Q165">
        <v>5.17</v>
      </c>
    </row>
    <row r="166" spans="1:17" x14ac:dyDescent="0.25">
      <c r="A166">
        <v>3434</v>
      </c>
      <c r="B166" t="s">
        <v>189</v>
      </c>
      <c r="C166">
        <v>12.3</v>
      </c>
      <c r="D166">
        <v>0.2</v>
      </c>
      <c r="E166">
        <v>12.1</v>
      </c>
      <c r="F166">
        <v>12.35</v>
      </c>
      <c r="G166">
        <v>12.05</v>
      </c>
      <c r="H166">
        <v>12.22</v>
      </c>
      <c r="I166" s="1">
        <v>38000</v>
      </c>
      <c r="J166" s="1">
        <v>464400</v>
      </c>
      <c r="K166" s="1">
        <v>17</v>
      </c>
      <c r="L166">
        <v>12.1</v>
      </c>
      <c r="M166">
        <v>12.25</v>
      </c>
      <c r="N166" s="1">
        <v>22700000</v>
      </c>
      <c r="O166">
        <v>12.3</v>
      </c>
      <c r="P166">
        <v>13.5</v>
      </c>
      <c r="Q166">
        <v>11.1</v>
      </c>
    </row>
    <row r="167" spans="1:17" x14ac:dyDescent="0.25">
      <c r="A167">
        <v>3438</v>
      </c>
      <c r="B167" t="s">
        <v>190</v>
      </c>
      <c r="C167">
        <v>23.15</v>
      </c>
      <c r="D167">
        <v>0.25</v>
      </c>
      <c r="E167">
        <v>23.25</v>
      </c>
      <c r="F167">
        <v>23.35</v>
      </c>
      <c r="G167">
        <v>22.8</v>
      </c>
      <c r="H167">
        <v>23.07</v>
      </c>
      <c r="I167" s="1">
        <v>390580</v>
      </c>
      <c r="J167" s="1">
        <v>9009222</v>
      </c>
      <c r="K167">
        <v>244</v>
      </c>
      <c r="L167">
        <v>23.1</v>
      </c>
      <c r="M167">
        <v>23.15</v>
      </c>
      <c r="N167" s="1">
        <v>67379735</v>
      </c>
      <c r="O167">
        <v>23.15</v>
      </c>
      <c r="P167">
        <v>25.45</v>
      </c>
      <c r="Q167">
        <v>20.85</v>
      </c>
    </row>
    <row r="168" spans="1:17" x14ac:dyDescent="0.25">
      <c r="A168">
        <v>3441</v>
      </c>
      <c r="B168" t="s">
        <v>191</v>
      </c>
      <c r="C168">
        <v>40.4</v>
      </c>
      <c r="D168">
        <v>-0.2</v>
      </c>
      <c r="E168">
        <v>41.35</v>
      </c>
      <c r="F168">
        <v>41.35</v>
      </c>
      <c r="G168">
        <v>40.299999999999997</v>
      </c>
      <c r="H168">
        <v>40.67</v>
      </c>
      <c r="I168" s="1">
        <v>189234</v>
      </c>
      <c r="J168" s="1">
        <v>7695995</v>
      </c>
      <c r="K168">
        <v>159</v>
      </c>
      <c r="L168">
        <v>40.4</v>
      </c>
      <c r="M168">
        <v>40.6</v>
      </c>
      <c r="N168" s="1">
        <v>40039920</v>
      </c>
      <c r="O168">
        <v>40.4</v>
      </c>
      <c r="P168">
        <v>44.4</v>
      </c>
      <c r="Q168">
        <v>36.4</v>
      </c>
    </row>
    <row r="169" spans="1:17" x14ac:dyDescent="0.25">
      <c r="A169">
        <v>3444</v>
      </c>
      <c r="B169" t="s">
        <v>192</v>
      </c>
      <c r="C169">
        <v>30.3</v>
      </c>
      <c r="D169">
        <v>-0.85</v>
      </c>
      <c r="E169">
        <v>31.3</v>
      </c>
      <c r="F169">
        <v>31.5</v>
      </c>
      <c r="G169">
        <v>30.25</v>
      </c>
      <c r="H169">
        <v>30.61</v>
      </c>
      <c r="I169" s="1">
        <v>1006238</v>
      </c>
      <c r="J169" s="1">
        <v>30796678</v>
      </c>
      <c r="K169" s="1">
        <v>649</v>
      </c>
      <c r="L169">
        <v>30.3</v>
      </c>
      <c r="M169">
        <v>30.35</v>
      </c>
      <c r="N169" s="1">
        <v>39114586</v>
      </c>
      <c r="O169">
        <v>30.3</v>
      </c>
      <c r="P169">
        <v>33.299999999999997</v>
      </c>
      <c r="Q169">
        <v>27.3</v>
      </c>
    </row>
    <row r="170" spans="1:17" x14ac:dyDescent="0.25">
      <c r="A170">
        <v>3452</v>
      </c>
      <c r="B170" t="s">
        <v>193</v>
      </c>
      <c r="C170">
        <v>8.41</v>
      </c>
      <c r="D170">
        <v>0.01</v>
      </c>
      <c r="E170">
        <v>8.51</v>
      </c>
      <c r="F170">
        <v>8.51</v>
      </c>
      <c r="G170">
        <v>8.41</v>
      </c>
      <c r="H170">
        <v>8.44</v>
      </c>
      <c r="I170" s="1">
        <v>175500</v>
      </c>
      <c r="J170" s="1">
        <v>1481170</v>
      </c>
      <c r="K170" s="1">
        <v>77</v>
      </c>
      <c r="L170">
        <v>8.41</v>
      </c>
      <c r="M170">
        <v>8.4700000000000006</v>
      </c>
      <c r="N170" s="1">
        <v>779449742</v>
      </c>
      <c r="O170">
        <v>8.41</v>
      </c>
      <c r="P170">
        <v>9.25</v>
      </c>
      <c r="Q170">
        <v>7.57</v>
      </c>
    </row>
    <row r="171" spans="1:17" x14ac:dyDescent="0.25">
      <c r="A171">
        <v>3455</v>
      </c>
      <c r="B171" t="s">
        <v>194</v>
      </c>
      <c r="C171">
        <v>50.5</v>
      </c>
      <c r="D171">
        <v>0.5</v>
      </c>
      <c r="E171">
        <v>50.6</v>
      </c>
      <c r="F171">
        <v>50.7</v>
      </c>
      <c r="G171">
        <v>49.8</v>
      </c>
      <c r="H171">
        <v>50.35</v>
      </c>
      <c r="I171" s="1">
        <v>1057170</v>
      </c>
      <c r="J171" s="1">
        <v>53224313</v>
      </c>
      <c r="K171">
        <v>704</v>
      </c>
      <c r="L171">
        <v>50.5</v>
      </c>
      <c r="M171">
        <v>50.6</v>
      </c>
      <c r="N171" s="1">
        <v>61468750</v>
      </c>
      <c r="O171">
        <v>50.5</v>
      </c>
      <c r="P171">
        <v>55.5</v>
      </c>
      <c r="Q171">
        <v>45.45</v>
      </c>
    </row>
    <row r="172" spans="1:17" x14ac:dyDescent="0.25">
      <c r="A172">
        <v>3465</v>
      </c>
      <c r="B172" t="s">
        <v>195</v>
      </c>
      <c r="C172" t="s">
        <v>78</v>
      </c>
      <c r="D172" t="s">
        <v>78</v>
      </c>
      <c r="E172" t="s">
        <v>78</v>
      </c>
      <c r="F172" t="s">
        <v>78</v>
      </c>
      <c r="G172" t="s">
        <v>78</v>
      </c>
      <c r="H172">
        <v>14</v>
      </c>
      <c r="I172" s="1">
        <v>0</v>
      </c>
      <c r="J172" s="1">
        <v>0</v>
      </c>
      <c r="K172">
        <v>0</v>
      </c>
      <c r="L172">
        <v>14.2</v>
      </c>
      <c r="M172">
        <v>15</v>
      </c>
      <c r="N172" s="1">
        <v>13160335</v>
      </c>
      <c r="O172">
        <v>14.7</v>
      </c>
      <c r="P172">
        <v>16.149999999999999</v>
      </c>
      <c r="Q172">
        <v>13.25</v>
      </c>
    </row>
    <row r="173" spans="1:17" x14ac:dyDescent="0.25">
      <c r="A173">
        <v>3466</v>
      </c>
      <c r="B173" t="s">
        <v>196</v>
      </c>
      <c r="C173">
        <v>15.25</v>
      </c>
      <c r="D173">
        <v>0</v>
      </c>
      <c r="E173">
        <v>15.25</v>
      </c>
      <c r="F173">
        <v>15.25</v>
      </c>
      <c r="G173">
        <v>15.2</v>
      </c>
      <c r="H173">
        <v>15.23</v>
      </c>
      <c r="I173" s="1">
        <v>27000</v>
      </c>
      <c r="J173" s="1">
        <v>411150</v>
      </c>
      <c r="K173">
        <v>11</v>
      </c>
      <c r="L173">
        <v>15.2</v>
      </c>
      <c r="M173">
        <v>15.25</v>
      </c>
      <c r="N173" s="1">
        <v>60887573</v>
      </c>
      <c r="O173">
        <v>15.25</v>
      </c>
      <c r="P173">
        <v>16.75</v>
      </c>
      <c r="Q173">
        <v>13.75</v>
      </c>
    </row>
    <row r="174" spans="1:17" x14ac:dyDescent="0.25">
      <c r="A174">
        <v>3479</v>
      </c>
      <c r="B174" t="s">
        <v>197</v>
      </c>
      <c r="C174">
        <v>45.7</v>
      </c>
      <c r="D174">
        <v>-0.1</v>
      </c>
      <c r="E174">
        <v>45.8</v>
      </c>
      <c r="F174">
        <v>45.85</v>
      </c>
      <c r="G174">
        <v>45.6</v>
      </c>
      <c r="H174">
        <v>45.72</v>
      </c>
      <c r="I174" s="1">
        <v>178001</v>
      </c>
      <c r="J174" s="1">
        <v>8139049</v>
      </c>
      <c r="K174" s="1">
        <v>100</v>
      </c>
      <c r="L174">
        <v>45.65</v>
      </c>
      <c r="M174">
        <v>45.7</v>
      </c>
      <c r="N174" s="1">
        <v>69288164</v>
      </c>
      <c r="O174">
        <v>45.7</v>
      </c>
      <c r="P174">
        <v>50.2</v>
      </c>
      <c r="Q174">
        <v>41.15</v>
      </c>
    </row>
    <row r="175" spans="1:17" x14ac:dyDescent="0.25">
      <c r="A175">
        <v>3483</v>
      </c>
      <c r="B175" t="s">
        <v>198</v>
      </c>
      <c r="C175">
        <v>24.75</v>
      </c>
      <c r="D175">
        <v>0.05</v>
      </c>
      <c r="E175">
        <v>24.55</v>
      </c>
      <c r="F175">
        <v>24.75</v>
      </c>
      <c r="G175">
        <v>24.1</v>
      </c>
      <c r="H175">
        <v>24.39</v>
      </c>
      <c r="I175" s="1">
        <v>299813</v>
      </c>
      <c r="J175" s="1">
        <v>7312342</v>
      </c>
      <c r="K175">
        <v>198</v>
      </c>
      <c r="L175">
        <v>24.75</v>
      </c>
      <c r="M175">
        <v>24.85</v>
      </c>
      <c r="N175" s="1">
        <v>53856000</v>
      </c>
      <c r="O175">
        <v>24.75</v>
      </c>
      <c r="P175">
        <v>27.2</v>
      </c>
      <c r="Q175">
        <v>22.3</v>
      </c>
    </row>
    <row r="176" spans="1:17" x14ac:dyDescent="0.25">
      <c r="A176">
        <v>3484</v>
      </c>
      <c r="B176" t="s">
        <v>199</v>
      </c>
      <c r="C176">
        <v>41.5</v>
      </c>
      <c r="D176">
        <v>-0.05</v>
      </c>
      <c r="E176">
        <v>42.05</v>
      </c>
      <c r="F176">
        <v>42.25</v>
      </c>
      <c r="G176">
        <v>41.5</v>
      </c>
      <c r="H176">
        <v>41.78</v>
      </c>
      <c r="I176" s="1">
        <v>694515</v>
      </c>
      <c r="J176" s="1">
        <v>29015866</v>
      </c>
      <c r="K176" s="1">
        <v>412</v>
      </c>
      <c r="L176">
        <v>41.5</v>
      </c>
      <c r="M176">
        <v>41.6</v>
      </c>
      <c r="N176" s="1">
        <v>69736557</v>
      </c>
      <c r="O176">
        <v>41.5</v>
      </c>
      <c r="P176">
        <v>45.65</v>
      </c>
      <c r="Q176">
        <v>37.35</v>
      </c>
    </row>
    <row r="177" spans="1:17" x14ac:dyDescent="0.25">
      <c r="A177">
        <v>3489</v>
      </c>
      <c r="B177" t="s">
        <v>200</v>
      </c>
      <c r="C177">
        <v>9.6999999999999993</v>
      </c>
      <c r="D177">
        <v>0.09</v>
      </c>
      <c r="E177">
        <v>9.6199999999999992</v>
      </c>
      <c r="F177">
        <v>9.8800000000000008</v>
      </c>
      <c r="G177">
        <v>9.6199999999999992</v>
      </c>
      <c r="H177">
        <v>9.76</v>
      </c>
      <c r="I177" s="1">
        <v>570687</v>
      </c>
      <c r="J177" s="1">
        <v>5571584</v>
      </c>
      <c r="K177">
        <v>119</v>
      </c>
      <c r="L177">
        <v>9.69</v>
      </c>
      <c r="M177">
        <v>9.73</v>
      </c>
      <c r="N177" s="1">
        <v>83130670</v>
      </c>
      <c r="O177">
        <v>9.6999999999999993</v>
      </c>
      <c r="P177">
        <v>10.65</v>
      </c>
      <c r="Q177">
        <v>8.73</v>
      </c>
    </row>
    <row r="178" spans="1:17" x14ac:dyDescent="0.25">
      <c r="A178">
        <v>3490</v>
      </c>
      <c r="B178" t="s">
        <v>201</v>
      </c>
      <c r="C178">
        <v>28.15</v>
      </c>
      <c r="D178">
        <v>0.1</v>
      </c>
      <c r="E178">
        <v>28.25</v>
      </c>
      <c r="F178">
        <v>28.6</v>
      </c>
      <c r="G178">
        <v>28.05</v>
      </c>
      <c r="H178">
        <v>28.34</v>
      </c>
      <c r="I178" s="1">
        <v>429527</v>
      </c>
      <c r="J178" s="1">
        <v>12172427</v>
      </c>
      <c r="K178">
        <v>225</v>
      </c>
      <c r="L178">
        <v>28.15</v>
      </c>
      <c r="M178">
        <v>28.2</v>
      </c>
      <c r="N178" s="1">
        <v>68760483</v>
      </c>
      <c r="O178">
        <v>28.15</v>
      </c>
      <c r="P178">
        <v>30.95</v>
      </c>
      <c r="Q178">
        <v>25.35</v>
      </c>
    </row>
    <row r="179" spans="1:17" x14ac:dyDescent="0.25">
      <c r="A179">
        <v>3491</v>
      </c>
      <c r="B179" t="s">
        <v>202</v>
      </c>
      <c r="C179">
        <v>75.5</v>
      </c>
      <c r="D179">
        <v>0.3</v>
      </c>
      <c r="E179">
        <v>75.400000000000006</v>
      </c>
      <c r="F179">
        <v>75.5</v>
      </c>
      <c r="G179">
        <v>74.900000000000006</v>
      </c>
      <c r="H179">
        <v>75.319999999999993</v>
      </c>
      <c r="I179" s="1">
        <v>338291</v>
      </c>
      <c r="J179" s="1">
        <v>25478868</v>
      </c>
      <c r="K179">
        <v>217</v>
      </c>
      <c r="L179">
        <v>75.5</v>
      </c>
      <c r="M179">
        <v>75.7</v>
      </c>
      <c r="N179" s="1">
        <v>51581241</v>
      </c>
      <c r="O179">
        <v>75.5</v>
      </c>
      <c r="P179">
        <v>83</v>
      </c>
      <c r="Q179">
        <v>68</v>
      </c>
    </row>
    <row r="180" spans="1:17" x14ac:dyDescent="0.25">
      <c r="A180">
        <v>3492</v>
      </c>
      <c r="B180" t="s">
        <v>203</v>
      </c>
      <c r="C180">
        <v>29.5</v>
      </c>
      <c r="D180">
        <v>0.25</v>
      </c>
      <c r="E180">
        <v>29.8</v>
      </c>
      <c r="F180">
        <v>29.8</v>
      </c>
      <c r="G180">
        <v>29.5</v>
      </c>
      <c r="H180">
        <v>29.64</v>
      </c>
      <c r="I180" s="1">
        <v>25000</v>
      </c>
      <c r="J180" s="1">
        <v>741050</v>
      </c>
      <c r="K180">
        <v>25</v>
      </c>
      <c r="L180">
        <v>29.45</v>
      </c>
      <c r="M180">
        <v>29.6</v>
      </c>
      <c r="N180" s="1">
        <v>35531600</v>
      </c>
      <c r="O180">
        <v>29.5</v>
      </c>
      <c r="P180">
        <v>32.450000000000003</v>
      </c>
      <c r="Q180">
        <v>26.55</v>
      </c>
    </row>
    <row r="181" spans="1:17" x14ac:dyDescent="0.25">
      <c r="A181">
        <v>3498</v>
      </c>
      <c r="B181" t="s">
        <v>204</v>
      </c>
      <c r="C181">
        <v>50</v>
      </c>
      <c r="D181">
        <v>-0.3</v>
      </c>
      <c r="E181">
        <v>50.8</v>
      </c>
      <c r="F181">
        <v>50.8</v>
      </c>
      <c r="G181">
        <v>49.75</v>
      </c>
      <c r="H181">
        <v>50.08</v>
      </c>
      <c r="I181" s="1">
        <v>203009</v>
      </c>
      <c r="J181" s="1">
        <v>10165918</v>
      </c>
      <c r="K181">
        <v>164</v>
      </c>
      <c r="L181">
        <v>49.9</v>
      </c>
      <c r="M181">
        <v>50.1</v>
      </c>
      <c r="N181" s="1">
        <v>91718060</v>
      </c>
      <c r="O181">
        <v>50</v>
      </c>
      <c r="P181">
        <v>55</v>
      </c>
      <c r="Q181">
        <v>45</v>
      </c>
    </row>
    <row r="182" spans="1:17" x14ac:dyDescent="0.25">
      <c r="A182">
        <v>3499</v>
      </c>
      <c r="B182" t="s">
        <v>205</v>
      </c>
      <c r="C182">
        <v>16.899999999999999</v>
      </c>
      <c r="D182">
        <v>-0.35</v>
      </c>
      <c r="E182">
        <v>17.25</v>
      </c>
      <c r="F182">
        <v>17.399999999999999</v>
      </c>
      <c r="G182">
        <v>16.45</v>
      </c>
      <c r="H182">
        <v>16.809999999999999</v>
      </c>
      <c r="I182" s="1">
        <v>485000</v>
      </c>
      <c r="J182" s="1">
        <v>8151250</v>
      </c>
      <c r="K182">
        <v>259</v>
      </c>
      <c r="L182">
        <v>16.899999999999999</v>
      </c>
      <c r="M182">
        <v>16.95</v>
      </c>
      <c r="N182" s="1">
        <v>54970596</v>
      </c>
      <c r="O182">
        <v>16.899999999999999</v>
      </c>
      <c r="P182">
        <v>18.55</v>
      </c>
      <c r="Q182">
        <v>15.25</v>
      </c>
    </row>
    <row r="183" spans="1:17" x14ac:dyDescent="0.25">
      <c r="A183">
        <v>3508</v>
      </c>
      <c r="B183" t="s">
        <v>206</v>
      </c>
      <c r="C183">
        <v>49.15</v>
      </c>
      <c r="D183">
        <v>2</v>
      </c>
      <c r="E183">
        <v>47.2</v>
      </c>
      <c r="F183">
        <v>50.4</v>
      </c>
      <c r="G183">
        <v>47.2</v>
      </c>
      <c r="H183">
        <v>49.35</v>
      </c>
      <c r="I183" s="1">
        <v>6959719</v>
      </c>
      <c r="J183" s="1">
        <v>343475480</v>
      </c>
      <c r="K183" s="1">
        <v>4287</v>
      </c>
      <c r="L183">
        <v>49.15</v>
      </c>
      <c r="M183">
        <v>49.25</v>
      </c>
      <c r="N183" s="1">
        <v>92837737</v>
      </c>
      <c r="O183">
        <v>49.15</v>
      </c>
      <c r="P183">
        <v>54</v>
      </c>
      <c r="Q183">
        <v>44.25</v>
      </c>
    </row>
    <row r="184" spans="1:17" x14ac:dyDescent="0.25">
      <c r="A184">
        <v>3511</v>
      </c>
      <c r="B184" t="s">
        <v>207</v>
      </c>
      <c r="C184">
        <v>16.399999999999999</v>
      </c>
      <c r="D184">
        <v>0.15</v>
      </c>
      <c r="E184">
        <v>16.25</v>
      </c>
      <c r="F184">
        <v>16.399999999999999</v>
      </c>
      <c r="G184">
        <v>16.25</v>
      </c>
      <c r="H184">
        <v>16.29</v>
      </c>
      <c r="I184" s="1">
        <v>26241</v>
      </c>
      <c r="J184" s="1">
        <v>427576</v>
      </c>
      <c r="K184">
        <v>19</v>
      </c>
      <c r="L184">
        <v>16.25</v>
      </c>
      <c r="M184">
        <v>16.399999999999999</v>
      </c>
      <c r="N184" s="1">
        <v>44572945</v>
      </c>
      <c r="O184">
        <v>16.399999999999999</v>
      </c>
      <c r="P184">
        <v>18</v>
      </c>
      <c r="Q184">
        <v>14.8</v>
      </c>
    </row>
    <row r="185" spans="1:17" x14ac:dyDescent="0.25">
      <c r="A185">
        <v>3512</v>
      </c>
      <c r="B185" t="s">
        <v>208</v>
      </c>
      <c r="C185">
        <v>34.549999999999997</v>
      </c>
      <c r="D185">
        <v>-0.2</v>
      </c>
      <c r="E185">
        <v>34.799999999999997</v>
      </c>
      <c r="F185">
        <v>34.950000000000003</v>
      </c>
      <c r="G185">
        <v>34.5</v>
      </c>
      <c r="H185">
        <v>34.68</v>
      </c>
      <c r="I185" s="1">
        <v>38000</v>
      </c>
      <c r="J185" s="1">
        <v>1317900</v>
      </c>
      <c r="K185">
        <v>30</v>
      </c>
      <c r="L185">
        <v>34.549999999999997</v>
      </c>
      <c r="M185">
        <v>34.700000000000003</v>
      </c>
      <c r="N185" s="1">
        <v>59000000</v>
      </c>
      <c r="O185">
        <v>34.549999999999997</v>
      </c>
      <c r="P185">
        <v>38</v>
      </c>
      <c r="Q185">
        <v>31.1</v>
      </c>
    </row>
    <row r="186" spans="1:17" x14ac:dyDescent="0.25">
      <c r="A186">
        <v>3516</v>
      </c>
      <c r="B186" t="s">
        <v>209</v>
      </c>
      <c r="C186">
        <v>14.25</v>
      </c>
      <c r="D186">
        <v>0.35</v>
      </c>
      <c r="E186">
        <v>13.95</v>
      </c>
      <c r="F186">
        <v>14.25</v>
      </c>
      <c r="G186">
        <v>13.95</v>
      </c>
      <c r="H186">
        <v>14.03</v>
      </c>
      <c r="I186" s="1">
        <v>53502</v>
      </c>
      <c r="J186" s="1">
        <v>750478</v>
      </c>
      <c r="K186" s="1">
        <v>15</v>
      </c>
      <c r="L186">
        <v>14.05</v>
      </c>
      <c r="M186">
        <v>14.3</v>
      </c>
      <c r="N186" s="1">
        <v>51913216</v>
      </c>
      <c r="O186">
        <v>14.25</v>
      </c>
      <c r="P186">
        <v>15.65</v>
      </c>
      <c r="Q186">
        <v>12.85</v>
      </c>
    </row>
    <row r="187" spans="1:17" x14ac:dyDescent="0.25">
      <c r="A187">
        <v>3520</v>
      </c>
      <c r="B187" t="s">
        <v>210</v>
      </c>
      <c r="C187">
        <v>37.6</v>
      </c>
      <c r="D187">
        <v>3.1</v>
      </c>
      <c r="E187">
        <v>34.799999999999997</v>
      </c>
      <c r="F187">
        <v>37.6</v>
      </c>
      <c r="G187">
        <v>34.5</v>
      </c>
      <c r="H187">
        <v>36.229999999999997</v>
      </c>
      <c r="I187" s="1">
        <v>401584</v>
      </c>
      <c r="J187" s="1">
        <v>14548941</v>
      </c>
      <c r="K187">
        <v>274</v>
      </c>
      <c r="L187">
        <v>34.549999999999997</v>
      </c>
      <c r="M187">
        <v>37.65</v>
      </c>
      <c r="N187" s="1">
        <v>64032517</v>
      </c>
      <c r="O187">
        <v>37.6</v>
      </c>
      <c r="P187">
        <v>41.35</v>
      </c>
      <c r="Q187">
        <v>33.85</v>
      </c>
    </row>
    <row r="188" spans="1:17" x14ac:dyDescent="0.25">
      <c r="A188">
        <v>3521</v>
      </c>
      <c r="B188" t="s">
        <v>211</v>
      </c>
      <c r="C188">
        <v>9.2799999999999994</v>
      </c>
      <c r="D188">
        <v>0.11</v>
      </c>
      <c r="E188">
        <v>9.2100000000000009</v>
      </c>
      <c r="F188">
        <v>9.3000000000000007</v>
      </c>
      <c r="G188">
        <v>9.11</v>
      </c>
      <c r="H188">
        <v>9.24</v>
      </c>
      <c r="I188" s="1">
        <v>126000</v>
      </c>
      <c r="J188" s="1">
        <v>1164800</v>
      </c>
      <c r="K188">
        <v>50</v>
      </c>
      <c r="L188">
        <v>9.15</v>
      </c>
      <c r="M188">
        <v>9.2799999999999994</v>
      </c>
      <c r="N188" s="1">
        <v>46730575</v>
      </c>
      <c r="O188">
        <v>9.2799999999999994</v>
      </c>
      <c r="P188">
        <v>10.199999999999999</v>
      </c>
      <c r="Q188">
        <v>8.36</v>
      </c>
    </row>
    <row r="189" spans="1:17" x14ac:dyDescent="0.25">
      <c r="A189">
        <v>3522</v>
      </c>
      <c r="B189" t="s">
        <v>212</v>
      </c>
      <c r="C189">
        <v>38</v>
      </c>
      <c r="D189">
        <v>0.2</v>
      </c>
      <c r="E189">
        <v>37.9</v>
      </c>
      <c r="F189">
        <v>38.65</v>
      </c>
      <c r="G189">
        <v>37.9</v>
      </c>
      <c r="H189">
        <v>38.22</v>
      </c>
      <c r="I189" s="1">
        <v>123509</v>
      </c>
      <c r="J189" s="1">
        <v>4720883</v>
      </c>
      <c r="K189">
        <v>79</v>
      </c>
      <c r="L189">
        <v>38</v>
      </c>
      <c r="M189">
        <v>38.200000000000003</v>
      </c>
      <c r="N189" s="1">
        <v>72650000</v>
      </c>
      <c r="O189">
        <v>38</v>
      </c>
      <c r="P189">
        <v>41.8</v>
      </c>
      <c r="Q189">
        <v>34.200000000000003</v>
      </c>
    </row>
    <row r="190" spans="1:17" x14ac:dyDescent="0.25">
      <c r="A190">
        <v>3523</v>
      </c>
      <c r="B190" t="s">
        <v>213</v>
      </c>
      <c r="C190">
        <v>9.9499999999999993</v>
      </c>
      <c r="D190">
        <v>-0.4</v>
      </c>
      <c r="E190">
        <v>10.3</v>
      </c>
      <c r="F190">
        <v>10.65</v>
      </c>
      <c r="G190">
        <v>9.9499999999999993</v>
      </c>
      <c r="H190">
        <v>10.11</v>
      </c>
      <c r="I190" s="1">
        <v>28488</v>
      </c>
      <c r="J190" s="1">
        <v>288024</v>
      </c>
      <c r="K190">
        <v>35</v>
      </c>
      <c r="L190">
        <v>9.9</v>
      </c>
      <c r="M190">
        <v>10.199999999999999</v>
      </c>
      <c r="N190" s="1">
        <v>96099560</v>
      </c>
      <c r="O190">
        <v>9.9499999999999993</v>
      </c>
      <c r="P190">
        <v>10.9</v>
      </c>
      <c r="Q190">
        <v>8.9600000000000009</v>
      </c>
    </row>
    <row r="191" spans="1:17" x14ac:dyDescent="0.25">
      <c r="A191">
        <v>3526</v>
      </c>
      <c r="B191" t="s">
        <v>214</v>
      </c>
      <c r="C191">
        <v>75.8</v>
      </c>
      <c r="D191">
        <v>-0.3</v>
      </c>
      <c r="E191">
        <v>76.5</v>
      </c>
      <c r="F191">
        <v>76.599999999999994</v>
      </c>
      <c r="G191">
        <v>75.5</v>
      </c>
      <c r="H191">
        <v>75.98</v>
      </c>
      <c r="I191" s="1">
        <v>482893</v>
      </c>
      <c r="J191" s="1">
        <v>36691216</v>
      </c>
      <c r="K191">
        <v>380</v>
      </c>
      <c r="L191">
        <v>75.8</v>
      </c>
      <c r="M191">
        <v>76</v>
      </c>
      <c r="N191" s="1">
        <v>65837193</v>
      </c>
      <c r="O191">
        <v>75.8</v>
      </c>
      <c r="P191">
        <v>83.3</v>
      </c>
      <c r="Q191">
        <v>68.3</v>
      </c>
    </row>
    <row r="192" spans="1:17" x14ac:dyDescent="0.25">
      <c r="A192">
        <v>3527</v>
      </c>
      <c r="B192" t="s">
        <v>215</v>
      </c>
      <c r="C192">
        <v>64.900000000000006</v>
      </c>
      <c r="D192">
        <v>0</v>
      </c>
      <c r="E192">
        <v>65</v>
      </c>
      <c r="F192">
        <v>65</v>
      </c>
      <c r="G192">
        <v>64.099999999999994</v>
      </c>
      <c r="H192">
        <v>64.8</v>
      </c>
      <c r="I192" s="1">
        <v>69213</v>
      </c>
      <c r="J192" s="1">
        <v>4485335</v>
      </c>
      <c r="K192">
        <v>68</v>
      </c>
      <c r="L192">
        <v>64.400000000000006</v>
      </c>
      <c r="M192">
        <v>65</v>
      </c>
      <c r="N192" s="1">
        <v>34794218</v>
      </c>
      <c r="O192">
        <v>64.900000000000006</v>
      </c>
      <c r="P192">
        <v>71.3</v>
      </c>
      <c r="Q192">
        <v>58.5</v>
      </c>
    </row>
    <row r="193" spans="1:17" x14ac:dyDescent="0.25">
      <c r="A193">
        <v>3529</v>
      </c>
      <c r="B193" t="s">
        <v>216</v>
      </c>
      <c r="C193">
        <v>427</v>
      </c>
      <c r="D193">
        <v>0</v>
      </c>
      <c r="E193">
        <v>427</v>
      </c>
      <c r="F193">
        <v>427</v>
      </c>
      <c r="G193">
        <v>420</v>
      </c>
      <c r="H193">
        <v>423.38</v>
      </c>
      <c r="I193" s="1">
        <v>363525</v>
      </c>
      <c r="J193" s="1">
        <v>153908600</v>
      </c>
      <c r="K193">
        <v>344</v>
      </c>
      <c r="L193">
        <v>426</v>
      </c>
      <c r="M193">
        <v>427</v>
      </c>
      <c r="N193" s="1">
        <v>75782242</v>
      </c>
      <c r="O193">
        <v>427</v>
      </c>
      <c r="P193">
        <v>469.5</v>
      </c>
      <c r="Q193">
        <v>384.5</v>
      </c>
    </row>
    <row r="194" spans="1:17" x14ac:dyDescent="0.25">
      <c r="A194">
        <v>3531</v>
      </c>
      <c r="B194" t="s">
        <v>217</v>
      </c>
      <c r="C194">
        <v>28.4</v>
      </c>
      <c r="D194">
        <v>0.25</v>
      </c>
      <c r="E194">
        <v>28.2</v>
      </c>
      <c r="F194">
        <v>28.45</v>
      </c>
      <c r="G194">
        <v>28.2</v>
      </c>
      <c r="H194">
        <v>28.35</v>
      </c>
      <c r="I194" s="1">
        <v>161000</v>
      </c>
      <c r="J194" s="1">
        <v>4563850</v>
      </c>
      <c r="K194">
        <v>108</v>
      </c>
      <c r="L194">
        <v>28.4</v>
      </c>
      <c r="M194">
        <v>28.45</v>
      </c>
      <c r="N194" s="1">
        <v>61175011</v>
      </c>
      <c r="O194">
        <v>28.4</v>
      </c>
      <c r="P194">
        <v>31.2</v>
      </c>
      <c r="Q194">
        <v>25.6</v>
      </c>
    </row>
    <row r="195" spans="1:17" x14ac:dyDescent="0.25">
      <c r="A195">
        <v>3537</v>
      </c>
      <c r="B195" t="s">
        <v>218</v>
      </c>
      <c r="C195">
        <v>24.5</v>
      </c>
      <c r="D195">
        <v>1.5</v>
      </c>
      <c r="E195">
        <v>23.45</v>
      </c>
      <c r="F195">
        <v>24.65</v>
      </c>
      <c r="G195">
        <v>23.45</v>
      </c>
      <c r="H195">
        <v>24.13</v>
      </c>
      <c r="I195" s="1">
        <v>1881597</v>
      </c>
      <c r="J195" s="1">
        <v>45404797</v>
      </c>
      <c r="K195" s="1">
        <v>1015</v>
      </c>
      <c r="L195">
        <v>24.3</v>
      </c>
      <c r="M195">
        <v>24.5</v>
      </c>
      <c r="N195" s="1">
        <v>48695220</v>
      </c>
      <c r="O195">
        <v>24.5</v>
      </c>
      <c r="P195">
        <v>26.95</v>
      </c>
      <c r="Q195">
        <v>22.05</v>
      </c>
    </row>
    <row r="196" spans="1:17" x14ac:dyDescent="0.25">
      <c r="A196">
        <v>3540</v>
      </c>
      <c r="B196" t="s">
        <v>219</v>
      </c>
      <c r="C196">
        <v>29.95</v>
      </c>
      <c r="D196">
        <v>0.5</v>
      </c>
      <c r="E196">
        <v>29.45</v>
      </c>
      <c r="F196">
        <v>29.95</v>
      </c>
      <c r="G196">
        <v>29</v>
      </c>
      <c r="H196">
        <v>29.4</v>
      </c>
      <c r="I196" s="1">
        <v>673015</v>
      </c>
      <c r="J196" s="1">
        <v>19789888</v>
      </c>
      <c r="K196" s="1">
        <v>491</v>
      </c>
      <c r="L196">
        <v>29.9</v>
      </c>
      <c r="M196">
        <v>29.95</v>
      </c>
      <c r="N196" s="1">
        <v>66613044</v>
      </c>
      <c r="O196">
        <v>29.95</v>
      </c>
      <c r="P196">
        <v>32.9</v>
      </c>
      <c r="Q196">
        <v>27</v>
      </c>
    </row>
    <row r="197" spans="1:17" x14ac:dyDescent="0.25">
      <c r="A197">
        <v>3541</v>
      </c>
      <c r="B197" t="s">
        <v>220</v>
      </c>
      <c r="C197">
        <v>103</v>
      </c>
      <c r="D197">
        <v>2</v>
      </c>
      <c r="E197">
        <v>102</v>
      </c>
      <c r="F197">
        <v>108</v>
      </c>
      <c r="G197">
        <v>102</v>
      </c>
      <c r="H197">
        <v>104.92</v>
      </c>
      <c r="I197" s="1">
        <v>369553</v>
      </c>
      <c r="J197" s="1">
        <v>38771906</v>
      </c>
      <c r="K197">
        <v>340</v>
      </c>
      <c r="L197">
        <v>103</v>
      </c>
      <c r="M197">
        <v>104</v>
      </c>
      <c r="N197" s="1">
        <v>49321087</v>
      </c>
      <c r="O197">
        <v>103</v>
      </c>
      <c r="P197">
        <v>113</v>
      </c>
      <c r="Q197">
        <v>92.7</v>
      </c>
    </row>
    <row r="198" spans="1:17" x14ac:dyDescent="0.25">
      <c r="A198">
        <v>3546</v>
      </c>
      <c r="B198" t="s">
        <v>221</v>
      </c>
      <c r="C198">
        <v>91.2</v>
      </c>
      <c r="D198">
        <v>0.8</v>
      </c>
      <c r="E198">
        <v>91.5</v>
      </c>
      <c r="F198">
        <v>91.7</v>
      </c>
      <c r="G198">
        <v>90.4</v>
      </c>
      <c r="H198">
        <v>90.89</v>
      </c>
      <c r="I198" s="1">
        <v>331221</v>
      </c>
      <c r="J198" s="1">
        <v>30103832</v>
      </c>
      <c r="K198">
        <v>266</v>
      </c>
      <c r="L198">
        <v>91.1</v>
      </c>
      <c r="M198">
        <v>91.4</v>
      </c>
      <c r="N198" s="1">
        <v>37988011</v>
      </c>
      <c r="O198">
        <v>91.2</v>
      </c>
      <c r="P198">
        <v>100</v>
      </c>
      <c r="Q198">
        <v>82.1</v>
      </c>
    </row>
    <row r="199" spans="1:17" x14ac:dyDescent="0.25">
      <c r="A199">
        <v>3548</v>
      </c>
      <c r="B199" t="s">
        <v>222</v>
      </c>
      <c r="C199">
        <v>51</v>
      </c>
      <c r="D199">
        <v>-0.3</v>
      </c>
      <c r="E199">
        <v>51.6</v>
      </c>
      <c r="F199">
        <v>51.6</v>
      </c>
      <c r="G199">
        <v>51</v>
      </c>
      <c r="H199">
        <v>51.21</v>
      </c>
      <c r="I199" s="1">
        <v>87068</v>
      </c>
      <c r="J199" s="1">
        <v>4458898</v>
      </c>
      <c r="K199">
        <v>66</v>
      </c>
      <c r="L199">
        <v>51</v>
      </c>
      <c r="M199">
        <v>51.3</v>
      </c>
      <c r="N199" s="1">
        <v>60551398</v>
      </c>
      <c r="O199">
        <v>51</v>
      </c>
      <c r="P199">
        <v>56.1</v>
      </c>
      <c r="Q199">
        <v>45.9</v>
      </c>
    </row>
    <row r="200" spans="1:17" x14ac:dyDescent="0.25">
      <c r="A200">
        <v>3551</v>
      </c>
      <c r="B200" t="s">
        <v>223</v>
      </c>
      <c r="C200">
        <v>40.65</v>
      </c>
      <c r="D200">
        <v>1</v>
      </c>
      <c r="E200">
        <v>39.700000000000003</v>
      </c>
      <c r="F200">
        <v>40.65</v>
      </c>
      <c r="G200">
        <v>39.700000000000003</v>
      </c>
      <c r="H200">
        <v>40.380000000000003</v>
      </c>
      <c r="I200" s="1">
        <v>113070</v>
      </c>
      <c r="J200" s="1">
        <v>4565623</v>
      </c>
      <c r="K200">
        <v>94</v>
      </c>
      <c r="L200">
        <v>40.6</v>
      </c>
      <c r="M200">
        <v>40.65</v>
      </c>
      <c r="N200" s="1">
        <v>56774890</v>
      </c>
      <c r="O200">
        <v>40.65</v>
      </c>
      <c r="P200">
        <v>44.7</v>
      </c>
      <c r="Q200">
        <v>36.6</v>
      </c>
    </row>
    <row r="201" spans="1:17" x14ac:dyDescent="0.25">
      <c r="A201">
        <v>3552</v>
      </c>
      <c r="B201" t="s">
        <v>224</v>
      </c>
      <c r="C201">
        <v>172</v>
      </c>
      <c r="D201">
        <v>-2.5</v>
      </c>
      <c r="E201">
        <v>175.5</v>
      </c>
      <c r="F201">
        <v>176</v>
      </c>
      <c r="G201">
        <v>172</v>
      </c>
      <c r="H201">
        <v>173.45</v>
      </c>
      <c r="I201" s="1">
        <v>1414105</v>
      </c>
      <c r="J201" s="1">
        <v>245282611</v>
      </c>
      <c r="K201" s="1">
        <v>1125</v>
      </c>
      <c r="L201">
        <v>172</v>
      </c>
      <c r="M201">
        <v>172.5</v>
      </c>
      <c r="N201" s="1">
        <v>85393699</v>
      </c>
      <c r="O201">
        <v>172</v>
      </c>
      <c r="P201">
        <v>189</v>
      </c>
      <c r="Q201">
        <v>155</v>
      </c>
    </row>
    <row r="202" spans="1:17" x14ac:dyDescent="0.25">
      <c r="A202">
        <v>3555</v>
      </c>
      <c r="B202" t="s">
        <v>226</v>
      </c>
      <c r="C202">
        <v>63.3</v>
      </c>
      <c r="D202">
        <v>0.5</v>
      </c>
      <c r="E202">
        <v>63.3</v>
      </c>
      <c r="F202">
        <v>63.3</v>
      </c>
      <c r="G202">
        <v>63.3</v>
      </c>
      <c r="H202">
        <v>63.3</v>
      </c>
      <c r="I202" s="1">
        <v>1003</v>
      </c>
      <c r="J202" s="1">
        <v>63489</v>
      </c>
      <c r="K202" s="1">
        <v>4</v>
      </c>
      <c r="L202">
        <v>62.1</v>
      </c>
      <c r="M202">
        <v>62.7</v>
      </c>
      <c r="N202" s="1">
        <v>35550000</v>
      </c>
      <c r="O202">
        <v>63.3</v>
      </c>
      <c r="P202">
        <v>69.599999999999994</v>
      </c>
      <c r="Q202">
        <v>57</v>
      </c>
    </row>
    <row r="203" spans="1:17" x14ac:dyDescent="0.25">
      <c r="A203">
        <v>3556</v>
      </c>
      <c r="B203" t="s">
        <v>227</v>
      </c>
      <c r="C203">
        <v>52.9</v>
      </c>
      <c r="D203">
        <v>-0.1</v>
      </c>
      <c r="E203">
        <v>53.4</v>
      </c>
      <c r="F203">
        <v>53.5</v>
      </c>
      <c r="G203">
        <v>52.5</v>
      </c>
      <c r="H203">
        <v>52.9</v>
      </c>
      <c r="I203" s="1">
        <v>208326</v>
      </c>
      <c r="J203" s="1">
        <v>11019628</v>
      </c>
      <c r="K203">
        <v>172</v>
      </c>
      <c r="L203">
        <v>52.8</v>
      </c>
      <c r="M203">
        <v>53</v>
      </c>
      <c r="N203" s="1">
        <v>59468675</v>
      </c>
      <c r="O203">
        <v>52.9</v>
      </c>
      <c r="P203">
        <v>58.1</v>
      </c>
      <c r="Q203">
        <v>47.65</v>
      </c>
    </row>
    <row r="204" spans="1:17" x14ac:dyDescent="0.25">
      <c r="A204">
        <v>3558</v>
      </c>
      <c r="B204" t="s">
        <v>228</v>
      </c>
      <c r="C204">
        <v>128.5</v>
      </c>
      <c r="D204">
        <v>0</v>
      </c>
      <c r="E204">
        <v>128.5</v>
      </c>
      <c r="F204">
        <v>129.5</v>
      </c>
      <c r="G204">
        <v>128</v>
      </c>
      <c r="H204">
        <v>128.56</v>
      </c>
      <c r="I204" s="1">
        <v>47100</v>
      </c>
      <c r="J204" s="1">
        <v>6055350</v>
      </c>
      <c r="K204">
        <v>40</v>
      </c>
      <c r="L204">
        <v>128</v>
      </c>
      <c r="M204">
        <v>129</v>
      </c>
      <c r="N204" s="1">
        <v>49060881</v>
      </c>
      <c r="O204">
        <v>128.5</v>
      </c>
      <c r="P204">
        <v>141</v>
      </c>
      <c r="Q204">
        <v>116</v>
      </c>
    </row>
    <row r="205" spans="1:17" x14ac:dyDescent="0.25">
      <c r="A205">
        <v>3562</v>
      </c>
      <c r="B205" t="s">
        <v>229</v>
      </c>
      <c r="C205">
        <v>13.6</v>
      </c>
      <c r="D205">
        <v>0.1</v>
      </c>
      <c r="E205">
        <v>13.25</v>
      </c>
      <c r="F205">
        <v>13.6</v>
      </c>
      <c r="G205">
        <v>13.25</v>
      </c>
      <c r="H205">
        <v>13.4</v>
      </c>
      <c r="I205" s="1">
        <v>41750</v>
      </c>
      <c r="J205" s="1">
        <v>559374</v>
      </c>
      <c r="K205">
        <v>27</v>
      </c>
      <c r="L205">
        <v>13.5</v>
      </c>
      <c r="M205">
        <v>13.6</v>
      </c>
      <c r="N205" s="1">
        <v>58090000</v>
      </c>
      <c r="O205">
        <v>13.6</v>
      </c>
      <c r="P205">
        <v>14.95</v>
      </c>
      <c r="Q205">
        <v>12.25</v>
      </c>
    </row>
    <row r="206" spans="1:17" x14ac:dyDescent="0.25">
      <c r="A206">
        <v>3563</v>
      </c>
      <c r="B206" t="s">
        <v>230</v>
      </c>
      <c r="C206">
        <v>206</v>
      </c>
      <c r="D206">
        <v>4</v>
      </c>
      <c r="E206">
        <v>203</v>
      </c>
      <c r="F206">
        <v>209.5</v>
      </c>
      <c r="G206">
        <v>203</v>
      </c>
      <c r="H206">
        <v>206.52</v>
      </c>
      <c r="I206" s="1">
        <v>1410022</v>
      </c>
      <c r="J206" s="1">
        <v>291193015</v>
      </c>
      <c r="K206" s="1">
        <v>1112</v>
      </c>
      <c r="L206">
        <v>205.5</v>
      </c>
      <c r="M206">
        <v>206</v>
      </c>
      <c r="N206" s="1">
        <v>42608234</v>
      </c>
      <c r="O206">
        <v>206</v>
      </c>
      <c r="P206">
        <v>226.5</v>
      </c>
      <c r="Q206">
        <v>185.5</v>
      </c>
    </row>
    <row r="207" spans="1:17" x14ac:dyDescent="0.25">
      <c r="A207">
        <v>3564</v>
      </c>
      <c r="B207" t="s">
        <v>231</v>
      </c>
      <c r="C207">
        <v>27.7</v>
      </c>
      <c r="D207">
        <v>-0.05</v>
      </c>
      <c r="E207">
        <v>27.7</v>
      </c>
      <c r="F207">
        <v>27.75</v>
      </c>
      <c r="G207">
        <v>27.7</v>
      </c>
      <c r="H207">
        <v>27.7</v>
      </c>
      <c r="I207" s="1">
        <v>11483</v>
      </c>
      <c r="J207" s="1">
        <v>318128</v>
      </c>
      <c r="K207">
        <v>12</v>
      </c>
      <c r="L207">
        <v>27.8</v>
      </c>
      <c r="M207">
        <v>28.2</v>
      </c>
      <c r="N207" s="1">
        <v>22529100</v>
      </c>
      <c r="O207">
        <v>27.7</v>
      </c>
      <c r="P207">
        <v>30.45</v>
      </c>
      <c r="Q207">
        <v>24.95</v>
      </c>
    </row>
    <row r="208" spans="1:17" x14ac:dyDescent="0.25">
      <c r="A208">
        <v>3567</v>
      </c>
      <c r="B208" t="s">
        <v>232</v>
      </c>
      <c r="C208">
        <v>32.65</v>
      </c>
      <c r="D208">
        <v>-1.3</v>
      </c>
      <c r="E208">
        <v>34.299999999999997</v>
      </c>
      <c r="F208">
        <v>34.799999999999997</v>
      </c>
      <c r="G208">
        <v>32.049999999999997</v>
      </c>
      <c r="H208">
        <v>32.97</v>
      </c>
      <c r="I208" s="1">
        <v>3589693</v>
      </c>
      <c r="J208" s="1">
        <v>118366814</v>
      </c>
      <c r="K208" s="1">
        <v>2317</v>
      </c>
      <c r="L208">
        <v>32.6</v>
      </c>
      <c r="M208">
        <v>32.65</v>
      </c>
      <c r="N208" s="1">
        <v>35581000</v>
      </c>
      <c r="O208">
        <v>32.65</v>
      </c>
      <c r="P208">
        <v>35.9</v>
      </c>
      <c r="Q208">
        <v>29.4</v>
      </c>
    </row>
    <row r="209" spans="1:17" x14ac:dyDescent="0.25">
      <c r="A209">
        <v>3570</v>
      </c>
      <c r="B209" t="s">
        <v>233</v>
      </c>
      <c r="C209">
        <v>46.6</v>
      </c>
      <c r="D209">
        <v>-0.4</v>
      </c>
      <c r="E209">
        <v>46.5</v>
      </c>
      <c r="F209">
        <v>46.8</v>
      </c>
      <c r="G209">
        <v>46.5</v>
      </c>
      <c r="H209">
        <v>46.63</v>
      </c>
      <c r="I209" s="1">
        <v>15000</v>
      </c>
      <c r="J209" s="1">
        <v>699400</v>
      </c>
      <c r="K209">
        <v>14</v>
      </c>
      <c r="L209">
        <v>46.6</v>
      </c>
      <c r="M209">
        <v>46.95</v>
      </c>
      <c r="N209" s="1">
        <v>17097000</v>
      </c>
      <c r="O209">
        <v>46.6</v>
      </c>
      <c r="P209">
        <v>51.2</v>
      </c>
      <c r="Q209">
        <v>41.95</v>
      </c>
    </row>
    <row r="210" spans="1:17" x14ac:dyDescent="0.25">
      <c r="A210">
        <v>3577</v>
      </c>
      <c r="B210" t="s">
        <v>234</v>
      </c>
      <c r="C210">
        <v>31.85</v>
      </c>
      <c r="D210">
        <v>0.35</v>
      </c>
      <c r="E210">
        <v>31.45</v>
      </c>
      <c r="F210">
        <v>31.85</v>
      </c>
      <c r="G210">
        <v>31.45</v>
      </c>
      <c r="H210">
        <v>31.54</v>
      </c>
      <c r="I210" s="1">
        <v>5000</v>
      </c>
      <c r="J210" s="1">
        <v>157700</v>
      </c>
      <c r="K210">
        <v>5</v>
      </c>
      <c r="L210">
        <v>31.85</v>
      </c>
      <c r="M210">
        <v>31.9</v>
      </c>
      <c r="N210" s="1">
        <v>48058343</v>
      </c>
      <c r="O210">
        <v>31.85</v>
      </c>
      <c r="P210">
        <v>35</v>
      </c>
      <c r="Q210">
        <v>28.7</v>
      </c>
    </row>
    <row r="211" spans="1:17" x14ac:dyDescent="0.25">
      <c r="A211">
        <v>3580</v>
      </c>
      <c r="B211" t="s">
        <v>235</v>
      </c>
      <c r="C211">
        <v>62.9</v>
      </c>
      <c r="D211">
        <v>0</v>
      </c>
      <c r="E211">
        <v>62.9</v>
      </c>
      <c r="F211">
        <v>63.2</v>
      </c>
      <c r="G211">
        <v>62.5</v>
      </c>
      <c r="H211">
        <v>62.74</v>
      </c>
      <c r="I211" s="1">
        <v>109537</v>
      </c>
      <c r="J211" s="1">
        <v>6871847</v>
      </c>
      <c r="K211" s="1">
        <v>93</v>
      </c>
      <c r="L211">
        <v>62.6</v>
      </c>
      <c r="M211">
        <v>63</v>
      </c>
      <c r="N211" s="1">
        <v>35470657</v>
      </c>
      <c r="O211">
        <v>62.9</v>
      </c>
      <c r="P211">
        <v>69.099999999999994</v>
      </c>
      <c r="Q211">
        <v>56.7</v>
      </c>
    </row>
    <row r="212" spans="1:17" x14ac:dyDescent="0.25">
      <c r="A212">
        <v>3581</v>
      </c>
      <c r="B212" t="s">
        <v>236</v>
      </c>
      <c r="C212">
        <v>23.75</v>
      </c>
      <c r="D212">
        <v>-0.25</v>
      </c>
      <c r="E212">
        <v>24.5</v>
      </c>
      <c r="F212">
        <v>24.7</v>
      </c>
      <c r="G212">
        <v>23.65</v>
      </c>
      <c r="H212">
        <v>24.04</v>
      </c>
      <c r="I212" s="1">
        <v>743000</v>
      </c>
      <c r="J212" s="1">
        <v>17859550</v>
      </c>
      <c r="K212">
        <v>433</v>
      </c>
      <c r="L212">
        <v>23.7</v>
      </c>
      <c r="M212">
        <v>23.75</v>
      </c>
      <c r="N212" s="1">
        <v>51776000</v>
      </c>
      <c r="O212">
        <v>23.75</v>
      </c>
      <c r="P212">
        <v>26.1</v>
      </c>
      <c r="Q212">
        <v>21.4</v>
      </c>
    </row>
    <row r="213" spans="1:17" x14ac:dyDescent="0.25">
      <c r="A213">
        <v>3587</v>
      </c>
      <c r="B213" t="s">
        <v>237</v>
      </c>
      <c r="C213">
        <v>80.900000000000006</v>
      </c>
      <c r="D213">
        <v>1.2</v>
      </c>
      <c r="E213">
        <v>81.099999999999994</v>
      </c>
      <c r="F213">
        <v>82.5</v>
      </c>
      <c r="G213">
        <v>79.099999999999994</v>
      </c>
      <c r="H213">
        <v>81.02</v>
      </c>
      <c r="I213" s="1">
        <v>1871238</v>
      </c>
      <c r="J213" s="1">
        <v>151609247</v>
      </c>
      <c r="K213" s="1">
        <v>1276</v>
      </c>
      <c r="L213">
        <v>80</v>
      </c>
      <c r="M213">
        <v>80.900000000000006</v>
      </c>
      <c r="N213" s="1">
        <v>62313157</v>
      </c>
      <c r="O213">
        <v>80.900000000000006</v>
      </c>
      <c r="P213">
        <v>88.9</v>
      </c>
      <c r="Q213">
        <v>72.900000000000006</v>
      </c>
    </row>
    <row r="214" spans="1:17" x14ac:dyDescent="0.25">
      <c r="A214">
        <v>3594</v>
      </c>
      <c r="B214" t="s">
        <v>238</v>
      </c>
      <c r="C214">
        <v>26.55</v>
      </c>
      <c r="D214">
        <v>0.4</v>
      </c>
      <c r="E214">
        <v>26.4</v>
      </c>
      <c r="F214">
        <v>26.6</v>
      </c>
      <c r="G214">
        <v>26.4</v>
      </c>
      <c r="H214">
        <v>26.51</v>
      </c>
      <c r="I214" s="1">
        <v>92579</v>
      </c>
      <c r="J214" s="1">
        <v>2454384</v>
      </c>
      <c r="K214" s="1">
        <v>85</v>
      </c>
      <c r="L214">
        <v>26.5</v>
      </c>
      <c r="M214">
        <v>26.55</v>
      </c>
      <c r="N214" s="1">
        <v>62780700</v>
      </c>
      <c r="O214">
        <v>26.55</v>
      </c>
      <c r="P214">
        <v>29.2</v>
      </c>
      <c r="Q214">
        <v>23.9</v>
      </c>
    </row>
    <row r="215" spans="1:17" x14ac:dyDescent="0.25">
      <c r="A215">
        <v>3609</v>
      </c>
      <c r="B215" t="s">
        <v>239</v>
      </c>
      <c r="C215">
        <v>13.4</v>
      </c>
      <c r="D215">
        <v>0</v>
      </c>
      <c r="E215">
        <v>13.3</v>
      </c>
      <c r="F215">
        <v>13.4</v>
      </c>
      <c r="G215">
        <v>13.25</v>
      </c>
      <c r="H215">
        <v>13.3</v>
      </c>
      <c r="I215" s="1">
        <v>4000</v>
      </c>
      <c r="J215" s="1">
        <v>53200</v>
      </c>
      <c r="K215" s="1">
        <v>4</v>
      </c>
      <c r="L215">
        <v>13.3</v>
      </c>
      <c r="M215">
        <v>13.4</v>
      </c>
      <c r="N215" s="1">
        <v>30339387</v>
      </c>
      <c r="O215">
        <v>13.4</v>
      </c>
      <c r="P215">
        <v>14.7</v>
      </c>
      <c r="Q215">
        <v>12.1</v>
      </c>
    </row>
    <row r="216" spans="1:17" x14ac:dyDescent="0.25">
      <c r="A216">
        <v>3611</v>
      </c>
      <c r="B216" t="s">
        <v>240</v>
      </c>
      <c r="C216">
        <v>229</v>
      </c>
      <c r="D216">
        <v>0.5</v>
      </c>
      <c r="E216">
        <v>228.5</v>
      </c>
      <c r="F216">
        <v>230</v>
      </c>
      <c r="G216">
        <v>228</v>
      </c>
      <c r="H216">
        <v>228.78</v>
      </c>
      <c r="I216" s="1">
        <v>88113</v>
      </c>
      <c r="J216" s="1">
        <v>20158603</v>
      </c>
      <c r="K216" s="1">
        <v>62</v>
      </c>
      <c r="L216">
        <v>229</v>
      </c>
      <c r="M216">
        <v>229.5</v>
      </c>
      <c r="N216" s="1">
        <v>38555400</v>
      </c>
      <c r="O216">
        <v>229</v>
      </c>
      <c r="P216">
        <v>251.5</v>
      </c>
      <c r="Q216">
        <v>206.5</v>
      </c>
    </row>
    <row r="217" spans="1:17" x14ac:dyDescent="0.25">
      <c r="A217">
        <v>3615</v>
      </c>
      <c r="B217" t="s">
        <v>241</v>
      </c>
      <c r="C217">
        <v>23.75</v>
      </c>
      <c r="D217">
        <v>0</v>
      </c>
      <c r="E217">
        <v>23.75</v>
      </c>
      <c r="F217">
        <v>23.95</v>
      </c>
      <c r="G217">
        <v>23.5</v>
      </c>
      <c r="H217">
        <v>23.64</v>
      </c>
      <c r="I217" s="1">
        <v>228363</v>
      </c>
      <c r="J217" s="1">
        <v>5399372</v>
      </c>
      <c r="K217">
        <v>161</v>
      </c>
      <c r="L217">
        <v>23.7</v>
      </c>
      <c r="M217">
        <v>23.75</v>
      </c>
      <c r="N217" s="1">
        <v>68466976</v>
      </c>
      <c r="O217">
        <v>23.75</v>
      </c>
      <c r="P217">
        <v>26.1</v>
      </c>
      <c r="Q217">
        <v>21.4</v>
      </c>
    </row>
    <row r="218" spans="1:17" x14ac:dyDescent="0.25">
      <c r="A218">
        <v>3623</v>
      </c>
      <c r="B218" t="s">
        <v>242</v>
      </c>
      <c r="C218">
        <v>41.45</v>
      </c>
      <c r="D218">
        <v>-0.15</v>
      </c>
      <c r="E218">
        <v>41.5</v>
      </c>
      <c r="F218">
        <v>41.5</v>
      </c>
      <c r="G218">
        <v>41.45</v>
      </c>
      <c r="H218">
        <v>41.47</v>
      </c>
      <c r="I218" s="1">
        <v>7909</v>
      </c>
      <c r="J218" s="1">
        <v>327975</v>
      </c>
      <c r="K218">
        <v>12</v>
      </c>
      <c r="L218">
        <v>41.45</v>
      </c>
      <c r="M218">
        <v>41.65</v>
      </c>
      <c r="N218" s="1">
        <v>29178800</v>
      </c>
      <c r="O218">
        <v>41.45</v>
      </c>
      <c r="P218">
        <v>45.55</v>
      </c>
      <c r="Q218">
        <v>37.35</v>
      </c>
    </row>
    <row r="219" spans="1:17" x14ac:dyDescent="0.25">
      <c r="A219">
        <v>3624</v>
      </c>
      <c r="B219" t="s">
        <v>243</v>
      </c>
      <c r="C219">
        <v>27.15</v>
      </c>
      <c r="D219">
        <v>0.85</v>
      </c>
      <c r="E219">
        <v>26.7</v>
      </c>
      <c r="F219">
        <v>27.8</v>
      </c>
      <c r="G219">
        <v>25.7</v>
      </c>
      <c r="H219">
        <v>26.86</v>
      </c>
      <c r="I219" s="1">
        <v>8993606</v>
      </c>
      <c r="J219" s="1">
        <v>241530166</v>
      </c>
      <c r="K219" s="1">
        <v>4418</v>
      </c>
      <c r="L219">
        <v>27</v>
      </c>
      <c r="M219">
        <v>27.2</v>
      </c>
      <c r="N219" s="1">
        <v>117340842</v>
      </c>
      <c r="O219">
        <v>27.15</v>
      </c>
      <c r="P219">
        <v>29.85</v>
      </c>
      <c r="Q219">
        <v>24.45</v>
      </c>
    </row>
    <row r="220" spans="1:17" x14ac:dyDescent="0.25">
      <c r="A220">
        <v>3625</v>
      </c>
      <c r="B220" t="s">
        <v>244</v>
      </c>
      <c r="C220">
        <v>30.9</v>
      </c>
      <c r="D220">
        <v>0.35</v>
      </c>
      <c r="E220">
        <v>30.6</v>
      </c>
      <c r="F220">
        <v>31.25</v>
      </c>
      <c r="G220">
        <v>30.6</v>
      </c>
      <c r="H220">
        <v>30.86</v>
      </c>
      <c r="I220" s="1">
        <v>433698</v>
      </c>
      <c r="J220" s="1">
        <v>13383969</v>
      </c>
      <c r="K220" s="1">
        <v>306</v>
      </c>
      <c r="L220">
        <v>30.85</v>
      </c>
      <c r="M220">
        <v>30.9</v>
      </c>
      <c r="N220" s="1">
        <v>71915824</v>
      </c>
      <c r="O220">
        <v>30.9</v>
      </c>
      <c r="P220">
        <v>33.950000000000003</v>
      </c>
      <c r="Q220">
        <v>27.85</v>
      </c>
    </row>
    <row r="221" spans="1:17" x14ac:dyDescent="0.25">
      <c r="A221">
        <v>3628</v>
      </c>
      <c r="B221" t="s">
        <v>245</v>
      </c>
      <c r="C221">
        <v>38.6</v>
      </c>
      <c r="D221">
        <v>0.25</v>
      </c>
      <c r="E221">
        <v>38.700000000000003</v>
      </c>
      <c r="F221">
        <v>38.700000000000003</v>
      </c>
      <c r="G221">
        <v>38.4</v>
      </c>
      <c r="H221">
        <v>38.479999999999997</v>
      </c>
      <c r="I221" s="1">
        <v>16000</v>
      </c>
      <c r="J221" s="1">
        <v>615750</v>
      </c>
      <c r="K221">
        <v>11</v>
      </c>
      <c r="L221">
        <v>38.4</v>
      </c>
      <c r="M221">
        <v>38.6</v>
      </c>
      <c r="N221" s="1">
        <v>45000000</v>
      </c>
      <c r="O221">
        <v>38.6</v>
      </c>
      <c r="P221">
        <v>42.45</v>
      </c>
      <c r="Q221">
        <v>34.75</v>
      </c>
    </row>
    <row r="222" spans="1:17" x14ac:dyDescent="0.25">
      <c r="A222">
        <v>3629</v>
      </c>
      <c r="B222" t="s">
        <v>246</v>
      </c>
      <c r="C222" t="s">
        <v>78</v>
      </c>
      <c r="D222" t="s">
        <v>78</v>
      </c>
      <c r="E222" t="s">
        <v>78</v>
      </c>
      <c r="F222" t="s">
        <v>78</v>
      </c>
      <c r="G222" t="s">
        <v>78</v>
      </c>
      <c r="H222">
        <v>16.43</v>
      </c>
      <c r="I222" s="1">
        <v>0</v>
      </c>
      <c r="J222" s="1">
        <v>0</v>
      </c>
      <c r="K222">
        <v>0</v>
      </c>
      <c r="L222">
        <v>17.95</v>
      </c>
      <c r="M222">
        <v>0</v>
      </c>
      <c r="N222" s="1">
        <v>20246000</v>
      </c>
      <c r="O222">
        <v>17.95</v>
      </c>
      <c r="P222">
        <v>19.7</v>
      </c>
      <c r="Q222">
        <v>16.2</v>
      </c>
    </row>
    <row r="223" spans="1:17" x14ac:dyDescent="0.25">
      <c r="A223">
        <v>3630</v>
      </c>
      <c r="B223" t="s">
        <v>247</v>
      </c>
      <c r="C223">
        <v>41.15</v>
      </c>
      <c r="D223">
        <v>-0.75</v>
      </c>
      <c r="E223">
        <v>41.9</v>
      </c>
      <c r="F223">
        <v>42.15</v>
      </c>
      <c r="G223">
        <v>41.05</v>
      </c>
      <c r="H223">
        <v>41.5</v>
      </c>
      <c r="I223" s="1">
        <v>553010</v>
      </c>
      <c r="J223" s="1">
        <v>22949260</v>
      </c>
      <c r="K223">
        <v>363</v>
      </c>
      <c r="L223">
        <v>41.15</v>
      </c>
      <c r="M223">
        <v>41.3</v>
      </c>
      <c r="N223" s="1">
        <v>158357848</v>
      </c>
      <c r="O223">
        <v>41.15</v>
      </c>
      <c r="P223">
        <v>45.25</v>
      </c>
      <c r="Q223">
        <v>37.049999999999997</v>
      </c>
    </row>
    <row r="224" spans="1:17" x14ac:dyDescent="0.25">
      <c r="A224">
        <v>3631</v>
      </c>
      <c r="B224" t="s">
        <v>248</v>
      </c>
      <c r="C224">
        <v>29.2</v>
      </c>
      <c r="D224">
        <v>0.1</v>
      </c>
      <c r="E224">
        <v>29.8</v>
      </c>
      <c r="F224">
        <v>29.8</v>
      </c>
      <c r="G224">
        <v>29</v>
      </c>
      <c r="H224">
        <v>29.1</v>
      </c>
      <c r="I224" s="1">
        <v>22000</v>
      </c>
      <c r="J224" s="1">
        <v>640250</v>
      </c>
      <c r="K224" s="1">
        <v>15</v>
      </c>
      <c r="L224">
        <v>28.8</v>
      </c>
      <c r="M224">
        <v>29.15</v>
      </c>
      <c r="N224" s="1">
        <v>79920909</v>
      </c>
      <c r="O224">
        <v>29.2</v>
      </c>
      <c r="P224">
        <v>32.1</v>
      </c>
      <c r="Q224">
        <v>26.3</v>
      </c>
    </row>
    <row r="225" spans="1:17" x14ac:dyDescent="0.25">
      <c r="A225">
        <v>3632</v>
      </c>
      <c r="B225" t="s">
        <v>249</v>
      </c>
      <c r="C225">
        <v>15.4</v>
      </c>
      <c r="D225">
        <v>-0.05</v>
      </c>
      <c r="E225">
        <v>15.6</v>
      </c>
      <c r="F225">
        <v>15.6</v>
      </c>
      <c r="G225">
        <v>15.3</v>
      </c>
      <c r="H225">
        <v>15.45</v>
      </c>
      <c r="I225" s="1">
        <v>79590</v>
      </c>
      <c r="J225" s="1">
        <v>1229942</v>
      </c>
      <c r="K225">
        <v>83</v>
      </c>
      <c r="L225">
        <v>15.45</v>
      </c>
      <c r="M225">
        <v>15.5</v>
      </c>
      <c r="N225" s="1">
        <v>47189738</v>
      </c>
      <c r="O225">
        <v>15.4</v>
      </c>
      <c r="P225">
        <v>16.899999999999999</v>
      </c>
      <c r="Q225">
        <v>13.9</v>
      </c>
    </row>
    <row r="226" spans="1:17" x14ac:dyDescent="0.25">
      <c r="A226">
        <v>3642</v>
      </c>
      <c r="B226" t="s">
        <v>250</v>
      </c>
      <c r="C226">
        <v>18.8</v>
      </c>
      <c r="D226">
        <v>0</v>
      </c>
      <c r="E226">
        <v>18.850000000000001</v>
      </c>
      <c r="F226">
        <v>18.850000000000001</v>
      </c>
      <c r="G226">
        <v>18.8</v>
      </c>
      <c r="H226">
        <v>18.850000000000001</v>
      </c>
      <c r="I226" s="1">
        <v>75031</v>
      </c>
      <c r="J226" s="1">
        <v>1414177</v>
      </c>
      <c r="K226">
        <v>24</v>
      </c>
      <c r="L226">
        <v>18.75</v>
      </c>
      <c r="M226">
        <v>18.8</v>
      </c>
      <c r="N226" s="1">
        <v>30368642</v>
      </c>
      <c r="O226">
        <v>18.8</v>
      </c>
      <c r="P226">
        <v>20.65</v>
      </c>
      <c r="Q226">
        <v>16.95</v>
      </c>
    </row>
    <row r="227" spans="1:17" x14ac:dyDescent="0.25">
      <c r="A227">
        <v>3646</v>
      </c>
      <c r="B227" t="s">
        <v>251</v>
      </c>
      <c r="C227">
        <v>17.399999999999999</v>
      </c>
      <c r="D227">
        <v>-0.15</v>
      </c>
      <c r="E227">
        <v>17.5</v>
      </c>
      <c r="F227">
        <v>17.600000000000001</v>
      </c>
      <c r="G227">
        <v>17.399999999999999</v>
      </c>
      <c r="H227">
        <v>17.52</v>
      </c>
      <c r="I227" s="1">
        <v>14024</v>
      </c>
      <c r="J227" s="1">
        <v>245663</v>
      </c>
      <c r="K227">
        <v>24</v>
      </c>
      <c r="L227">
        <v>17.45</v>
      </c>
      <c r="M227">
        <v>17.600000000000001</v>
      </c>
      <c r="N227" s="1">
        <v>39061371</v>
      </c>
      <c r="O227">
        <v>17.399999999999999</v>
      </c>
      <c r="P227">
        <v>19.100000000000001</v>
      </c>
      <c r="Q227">
        <v>15.7</v>
      </c>
    </row>
    <row r="228" spans="1:17" x14ac:dyDescent="0.25">
      <c r="A228">
        <v>3652</v>
      </c>
      <c r="B228" t="s">
        <v>252</v>
      </c>
      <c r="C228">
        <v>21.45</v>
      </c>
      <c r="D228">
        <v>0.2</v>
      </c>
      <c r="E228">
        <v>21.25</v>
      </c>
      <c r="F228">
        <v>21.45</v>
      </c>
      <c r="G228">
        <v>21.25</v>
      </c>
      <c r="H228">
        <v>21.28</v>
      </c>
      <c r="I228" s="1">
        <v>7000</v>
      </c>
      <c r="J228" s="1">
        <v>148950</v>
      </c>
      <c r="K228">
        <v>6</v>
      </c>
      <c r="L228">
        <v>21.25</v>
      </c>
      <c r="M228">
        <v>21.45</v>
      </c>
      <c r="N228" s="1">
        <v>47097500</v>
      </c>
      <c r="O228">
        <v>21.45</v>
      </c>
      <c r="P228">
        <v>23.55</v>
      </c>
      <c r="Q228">
        <v>19.350000000000001</v>
      </c>
    </row>
    <row r="229" spans="1:17" x14ac:dyDescent="0.25">
      <c r="A229">
        <v>3663</v>
      </c>
      <c r="B229" t="s">
        <v>253</v>
      </c>
      <c r="C229">
        <v>16.2</v>
      </c>
      <c r="D229">
        <v>0.2</v>
      </c>
      <c r="E229">
        <v>16.2</v>
      </c>
      <c r="F229">
        <v>16.2</v>
      </c>
      <c r="G229">
        <v>15.95</v>
      </c>
      <c r="H229">
        <v>16.11</v>
      </c>
      <c r="I229" s="1">
        <v>115001</v>
      </c>
      <c r="J229" s="1">
        <v>1852416</v>
      </c>
      <c r="K229" s="1">
        <v>60</v>
      </c>
      <c r="L229">
        <v>16.100000000000001</v>
      </c>
      <c r="M229">
        <v>16.2</v>
      </c>
      <c r="N229" s="1">
        <v>73498057</v>
      </c>
      <c r="O229">
        <v>16.2</v>
      </c>
      <c r="P229">
        <v>17.8</v>
      </c>
      <c r="Q229">
        <v>14.6</v>
      </c>
    </row>
    <row r="230" spans="1:17" x14ac:dyDescent="0.25">
      <c r="A230">
        <v>3664</v>
      </c>
      <c r="B230" t="s">
        <v>254</v>
      </c>
      <c r="C230">
        <v>21.3</v>
      </c>
      <c r="D230">
        <v>0.95</v>
      </c>
      <c r="E230">
        <v>20.149999999999999</v>
      </c>
      <c r="F230">
        <v>21.4</v>
      </c>
      <c r="G230">
        <v>20.149999999999999</v>
      </c>
      <c r="H230">
        <v>20.86</v>
      </c>
      <c r="I230" s="1">
        <v>127263</v>
      </c>
      <c r="J230" s="1">
        <v>2655124</v>
      </c>
      <c r="K230" s="1">
        <v>90</v>
      </c>
      <c r="L230">
        <v>21.3</v>
      </c>
      <c r="M230">
        <v>21.35</v>
      </c>
      <c r="N230" s="1">
        <v>53374678</v>
      </c>
      <c r="O230">
        <v>21.3</v>
      </c>
      <c r="P230">
        <v>23.4</v>
      </c>
      <c r="Q230">
        <v>19.2</v>
      </c>
    </row>
    <row r="231" spans="1:17" x14ac:dyDescent="0.25">
      <c r="A231">
        <v>3666</v>
      </c>
      <c r="B231" t="s">
        <v>255</v>
      </c>
      <c r="C231">
        <v>25.75</v>
      </c>
      <c r="D231">
        <v>-0.2</v>
      </c>
      <c r="E231">
        <v>26.35</v>
      </c>
      <c r="F231">
        <v>26.35</v>
      </c>
      <c r="G231">
        <v>25.75</v>
      </c>
      <c r="H231">
        <v>26.03</v>
      </c>
      <c r="I231" s="1">
        <v>346662</v>
      </c>
      <c r="J231" s="1">
        <v>9025112</v>
      </c>
      <c r="K231" s="1">
        <v>196</v>
      </c>
      <c r="L231">
        <v>25.75</v>
      </c>
      <c r="M231">
        <v>25.8</v>
      </c>
      <c r="N231" s="1">
        <v>48299600</v>
      </c>
      <c r="O231">
        <v>25.75</v>
      </c>
      <c r="P231">
        <v>28.3</v>
      </c>
      <c r="Q231">
        <v>23.2</v>
      </c>
    </row>
    <row r="232" spans="1:17" x14ac:dyDescent="0.25">
      <c r="A232">
        <v>3672</v>
      </c>
      <c r="B232" t="s">
        <v>256</v>
      </c>
      <c r="C232">
        <v>19</v>
      </c>
      <c r="D232">
        <v>0.2</v>
      </c>
      <c r="E232">
        <v>18.95</v>
      </c>
      <c r="F232">
        <v>19.2</v>
      </c>
      <c r="G232">
        <v>18.8</v>
      </c>
      <c r="H232">
        <v>18.96</v>
      </c>
      <c r="I232" s="1">
        <v>31056</v>
      </c>
      <c r="J232" s="1">
        <v>588714</v>
      </c>
      <c r="K232" s="1">
        <v>31</v>
      </c>
      <c r="L232">
        <v>18.95</v>
      </c>
      <c r="M232">
        <v>19.100000000000001</v>
      </c>
      <c r="N232" s="1">
        <v>33168375</v>
      </c>
      <c r="O232">
        <v>19</v>
      </c>
      <c r="P232">
        <v>20.9</v>
      </c>
      <c r="Q232">
        <v>17.100000000000001</v>
      </c>
    </row>
    <row r="233" spans="1:17" x14ac:dyDescent="0.25">
      <c r="A233">
        <v>3675</v>
      </c>
      <c r="B233" t="s">
        <v>257</v>
      </c>
      <c r="C233">
        <v>55.1</v>
      </c>
      <c r="D233">
        <v>-1</v>
      </c>
      <c r="E233">
        <v>55.9</v>
      </c>
      <c r="F233">
        <v>56.5</v>
      </c>
      <c r="G233">
        <v>54.5</v>
      </c>
      <c r="H233">
        <v>55.25</v>
      </c>
      <c r="I233" s="1">
        <v>275000</v>
      </c>
      <c r="J233" s="1">
        <v>15194800</v>
      </c>
      <c r="K233">
        <v>197</v>
      </c>
      <c r="L233">
        <v>55.1</v>
      </c>
      <c r="M233">
        <v>55.2</v>
      </c>
      <c r="N233" s="1">
        <v>44428250</v>
      </c>
      <c r="O233">
        <v>55.1</v>
      </c>
      <c r="P233">
        <v>60.6</v>
      </c>
      <c r="Q233">
        <v>49.6</v>
      </c>
    </row>
    <row r="234" spans="1:17" x14ac:dyDescent="0.25">
      <c r="A234">
        <v>3680</v>
      </c>
      <c r="B234" t="s">
        <v>258</v>
      </c>
      <c r="C234">
        <v>39.049999999999997</v>
      </c>
      <c r="D234">
        <v>0.6</v>
      </c>
      <c r="E234">
        <v>38.700000000000003</v>
      </c>
      <c r="F234">
        <v>40</v>
      </c>
      <c r="G234">
        <v>38.65</v>
      </c>
      <c r="H234">
        <v>39.44</v>
      </c>
      <c r="I234" s="1">
        <v>803150</v>
      </c>
      <c r="J234" s="1">
        <v>31677192</v>
      </c>
      <c r="K234">
        <v>457</v>
      </c>
      <c r="L234">
        <v>39.049999999999997</v>
      </c>
      <c r="M234">
        <v>39.25</v>
      </c>
      <c r="N234" s="1">
        <v>70560582</v>
      </c>
      <c r="O234">
        <v>39.049999999999997</v>
      </c>
      <c r="P234">
        <v>42.95</v>
      </c>
      <c r="Q234">
        <v>35.15</v>
      </c>
    </row>
    <row r="235" spans="1:17" x14ac:dyDescent="0.25">
      <c r="A235">
        <v>3684</v>
      </c>
      <c r="B235" t="s">
        <v>259</v>
      </c>
      <c r="C235">
        <v>42.8</v>
      </c>
      <c r="D235">
        <v>1.1499999999999999</v>
      </c>
      <c r="E235">
        <v>42</v>
      </c>
      <c r="F235">
        <v>42.9</v>
      </c>
      <c r="G235">
        <v>41.8</v>
      </c>
      <c r="H235">
        <v>42.28</v>
      </c>
      <c r="I235" s="1">
        <v>273600</v>
      </c>
      <c r="J235" s="1">
        <v>11567709</v>
      </c>
      <c r="K235">
        <v>134</v>
      </c>
      <c r="L235">
        <v>42.8</v>
      </c>
      <c r="M235">
        <v>42.85</v>
      </c>
      <c r="N235" s="1">
        <v>24601536</v>
      </c>
      <c r="O235">
        <v>42.8</v>
      </c>
      <c r="P235">
        <v>47.05</v>
      </c>
      <c r="Q235">
        <v>38.549999999999997</v>
      </c>
    </row>
    <row r="236" spans="1:17" x14ac:dyDescent="0.25">
      <c r="A236">
        <v>3685</v>
      </c>
      <c r="B236" t="s">
        <v>260</v>
      </c>
      <c r="C236">
        <v>58.7</v>
      </c>
      <c r="D236">
        <v>-0.3</v>
      </c>
      <c r="E236">
        <v>59</v>
      </c>
      <c r="F236">
        <v>59.1</v>
      </c>
      <c r="G236">
        <v>58.7</v>
      </c>
      <c r="H236">
        <v>58.81</v>
      </c>
      <c r="I236" s="1">
        <v>65000</v>
      </c>
      <c r="J236" s="1">
        <v>3822900</v>
      </c>
      <c r="K236" s="1">
        <v>28</v>
      </c>
      <c r="L236">
        <v>58.6</v>
      </c>
      <c r="M236">
        <v>58.7</v>
      </c>
      <c r="N236" s="1">
        <v>79990000</v>
      </c>
      <c r="O236">
        <v>58.7</v>
      </c>
      <c r="P236">
        <v>64.5</v>
      </c>
      <c r="Q236">
        <v>52.9</v>
      </c>
    </row>
    <row r="237" spans="1:17" x14ac:dyDescent="0.25">
      <c r="A237">
        <v>3687</v>
      </c>
      <c r="B237" t="s">
        <v>261</v>
      </c>
      <c r="C237">
        <v>35.85</v>
      </c>
      <c r="D237">
        <v>0</v>
      </c>
      <c r="E237">
        <v>36</v>
      </c>
      <c r="F237">
        <v>36.1</v>
      </c>
      <c r="G237">
        <v>35.85</v>
      </c>
      <c r="H237">
        <v>35.950000000000003</v>
      </c>
      <c r="I237" s="1">
        <v>45012</v>
      </c>
      <c r="J237" s="1">
        <v>1618182</v>
      </c>
      <c r="K237" s="1">
        <v>47</v>
      </c>
      <c r="L237">
        <v>35.85</v>
      </c>
      <c r="M237">
        <v>36</v>
      </c>
      <c r="N237" s="1">
        <v>30059572</v>
      </c>
      <c r="O237">
        <v>35.85</v>
      </c>
      <c r="P237">
        <v>39.4</v>
      </c>
      <c r="Q237">
        <v>32.299999999999997</v>
      </c>
    </row>
    <row r="238" spans="1:17" x14ac:dyDescent="0.25">
      <c r="A238">
        <v>3689</v>
      </c>
      <c r="B238" t="s">
        <v>262</v>
      </c>
      <c r="C238">
        <v>50.3</v>
      </c>
      <c r="D238">
        <v>-1.3</v>
      </c>
      <c r="E238">
        <v>52</v>
      </c>
      <c r="F238">
        <v>52</v>
      </c>
      <c r="G238">
        <v>50.3</v>
      </c>
      <c r="H238">
        <v>50.95</v>
      </c>
      <c r="I238" s="1">
        <v>596268</v>
      </c>
      <c r="J238" s="1">
        <v>30380934</v>
      </c>
      <c r="K238">
        <v>376</v>
      </c>
      <c r="L238">
        <v>50.3</v>
      </c>
      <c r="M238">
        <v>50.4</v>
      </c>
      <c r="N238" s="1">
        <v>69675807</v>
      </c>
      <c r="O238">
        <v>50.3</v>
      </c>
      <c r="P238">
        <v>55.3</v>
      </c>
      <c r="Q238">
        <v>45.3</v>
      </c>
    </row>
    <row r="239" spans="1:17" x14ac:dyDescent="0.25">
      <c r="A239">
        <v>3691</v>
      </c>
      <c r="B239" t="s">
        <v>263</v>
      </c>
      <c r="C239">
        <v>251</v>
      </c>
      <c r="D239">
        <v>-0.5</v>
      </c>
      <c r="E239">
        <v>252</v>
      </c>
      <c r="F239">
        <v>254.5</v>
      </c>
      <c r="G239">
        <v>251</v>
      </c>
      <c r="H239">
        <v>252.06</v>
      </c>
      <c r="I239" s="1">
        <v>172280</v>
      </c>
      <c r="J239" s="1">
        <v>43424060</v>
      </c>
      <c r="K239">
        <v>165</v>
      </c>
      <c r="L239">
        <v>251</v>
      </c>
      <c r="M239">
        <v>251.5</v>
      </c>
      <c r="N239" s="1">
        <v>60989036</v>
      </c>
      <c r="O239">
        <v>251</v>
      </c>
      <c r="P239">
        <v>276</v>
      </c>
      <c r="Q239">
        <v>226</v>
      </c>
    </row>
    <row r="240" spans="1:17" x14ac:dyDescent="0.25">
      <c r="A240">
        <v>3693</v>
      </c>
      <c r="B240" t="s">
        <v>264</v>
      </c>
      <c r="C240">
        <v>41.6</v>
      </c>
      <c r="D240">
        <v>0.1</v>
      </c>
      <c r="E240">
        <v>41.3</v>
      </c>
      <c r="F240">
        <v>41.6</v>
      </c>
      <c r="G240">
        <v>41.3</v>
      </c>
      <c r="H240">
        <v>41.4</v>
      </c>
      <c r="I240" s="1">
        <v>11000</v>
      </c>
      <c r="J240" s="1">
        <v>455400</v>
      </c>
      <c r="K240" s="1">
        <v>11</v>
      </c>
      <c r="L240">
        <v>41.5</v>
      </c>
      <c r="M240">
        <v>41.6</v>
      </c>
      <c r="N240" s="1">
        <v>38517694</v>
      </c>
      <c r="O240">
        <v>41.6</v>
      </c>
      <c r="P240">
        <v>45.75</v>
      </c>
      <c r="Q240">
        <v>37.450000000000003</v>
      </c>
    </row>
    <row r="241" spans="1:17" x14ac:dyDescent="0.25">
      <c r="A241">
        <v>3707</v>
      </c>
      <c r="B241" t="s">
        <v>265</v>
      </c>
      <c r="C241">
        <v>22.45</v>
      </c>
      <c r="D241">
        <v>0.15</v>
      </c>
      <c r="E241">
        <v>22.6</v>
      </c>
      <c r="F241">
        <v>22.75</v>
      </c>
      <c r="G241">
        <v>22.2</v>
      </c>
      <c r="H241">
        <v>22.53</v>
      </c>
      <c r="I241" s="1">
        <v>2014892</v>
      </c>
      <c r="J241" s="1">
        <v>45400278</v>
      </c>
      <c r="K241" s="1">
        <v>1185</v>
      </c>
      <c r="L241">
        <v>22.45</v>
      </c>
      <c r="M241">
        <v>22.5</v>
      </c>
      <c r="N241" s="1">
        <v>230040964</v>
      </c>
      <c r="O241">
        <v>22.45</v>
      </c>
      <c r="P241">
        <v>24.65</v>
      </c>
      <c r="Q241">
        <v>20.25</v>
      </c>
    </row>
    <row r="242" spans="1:17" x14ac:dyDescent="0.25">
      <c r="A242">
        <v>3709</v>
      </c>
      <c r="B242" t="s">
        <v>1399</v>
      </c>
      <c r="C242">
        <v>20.5</v>
      </c>
      <c r="D242">
        <v>0.2</v>
      </c>
      <c r="E242">
        <v>20.5</v>
      </c>
      <c r="F242">
        <v>20.5</v>
      </c>
      <c r="G242">
        <v>20.25</v>
      </c>
      <c r="H242">
        <v>20.45</v>
      </c>
      <c r="I242" s="1">
        <v>10050</v>
      </c>
      <c r="J242" s="1">
        <v>205525</v>
      </c>
      <c r="K242">
        <v>9</v>
      </c>
      <c r="L242">
        <v>20.3</v>
      </c>
      <c r="M242">
        <v>20.6</v>
      </c>
      <c r="N242" s="1">
        <v>79569450</v>
      </c>
      <c r="O242">
        <v>20.5</v>
      </c>
      <c r="P242">
        <v>22.55</v>
      </c>
      <c r="Q242">
        <v>18.45</v>
      </c>
    </row>
    <row r="243" spans="1:17" x14ac:dyDescent="0.25">
      <c r="A243">
        <v>3710</v>
      </c>
      <c r="B243" t="s">
        <v>1400</v>
      </c>
      <c r="C243">
        <v>9.3699999999999992</v>
      </c>
      <c r="D243">
        <v>0.27</v>
      </c>
      <c r="E243">
        <v>9.9</v>
      </c>
      <c r="F243">
        <v>9.9</v>
      </c>
      <c r="G243">
        <v>9.25</v>
      </c>
      <c r="H243">
        <v>9.5</v>
      </c>
      <c r="I243" s="1">
        <v>908740</v>
      </c>
      <c r="J243" s="1">
        <v>8630395</v>
      </c>
      <c r="K243">
        <v>336</v>
      </c>
      <c r="L243">
        <v>9.3699999999999992</v>
      </c>
      <c r="M243">
        <v>9.3800000000000008</v>
      </c>
      <c r="N243" s="1">
        <v>207290721</v>
      </c>
      <c r="O243">
        <v>9.3699999999999992</v>
      </c>
      <c r="P243">
        <v>10.3</v>
      </c>
      <c r="Q243">
        <v>8.44</v>
      </c>
    </row>
    <row r="244" spans="1:17" x14ac:dyDescent="0.25">
      <c r="A244">
        <v>4102</v>
      </c>
      <c r="B244" t="s">
        <v>266</v>
      </c>
      <c r="C244">
        <v>16.399999999999999</v>
      </c>
      <c r="D244">
        <v>-0.05</v>
      </c>
      <c r="E244">
        <v>16.399999999999999</v>
      </c>
      <c r="F244">
        <v>16.399999999999999</v>
      </c>
      <c r="G244">
        <v>16.149999999999999</v>
      </c>
      <c r="H244">
        <v>16.28</v>
      </c>
      <c r="I244" s="1">
        <v>59344</v>
      </c>
      <c r="J244" s="1">
        <v>965918</v>
      </c>
      <c r="K244">
        <v>59</v>
      </c>
      <c r="L244">
        <v>16.399999999999999</v>
      </c>
      <c r="M244">
        <v>16.600000000000001</v>
      </c>
      <c r="N244" s="1">
        <v>42373443</v>
      </c>
      <c r="O244">
        <v>16.399999999999999</v>
      </c>
      <c r="P244">
        <v>18</v>
      </c>
      <c r="Q244">
        <v>14.8</v>
      </c>
    </row>
    <row r="245" spans="1:17" x14ac:dyDescent="0.25">
      <c r="A245">
        <v>4103</v>
      </c>
      <c r="B245" t="s">
        <v>267</v>
      </c>
      <c r="C245">
        <v>73.3</v>
      </c>
      <c r="D245">
        <v>-0.3</v>
      </c>
      <c r="E245">
        <v>74.2</v>
      </c>
      <c r="F245">
        <v>74.2</v>
      </c>
      <c r="G245">
        <v>72.900000000000006</v>
      </c>
      <c r="H245">
        <v>73.319999999999993</v>
      </c>
      <c r="I245" s="1">
        <v>42000</v>
      </c>
      <c r="J245" s="1">
        <v>3079500</v>
      </c>
      <c r="K245">
        <v>29</v>
      </c>
      <c r="L245">
        <v>72.900000000000006</v>
      </c>
      <c r="M245">
        <v>73.400000000000006</v>
      </c>
      <c r="N245" s="1">
        <v>109996975</v>
      </c>
      <c r="O245">
        <v>73.3</v>
      </c>
      <c r="P245">
        <v>80.599999999999994</v>
      </c>
      <c r="Q245">
        <v>66</v>
      </c>
    </row>
    <row r="246" spans="1:17" x14ac:dyDescent="0.25">
      <c r="A246">
        <v>4105</v>
      </c>
      <c r="B246" t="s">
        <v>268</v>
      </c>
      <c r="C246">
        <v>102.5</v>
      </c>
      <c r="D246">
        <v>0.5</v>
      </c>
      <c r="E246">
        <v>103</v>
      </c>
      <c r="F246">
        <v>103.5</v>
      </c>
      <c r="G246">
        <v>102</v>
      </c>
      <c r="H246">
        <v>102.42</v>
      </c>
      <c r="I246" s="1">
        <v>1089797</v>
      </c>
      <c r="J246" s="1">
        <v>111619794</v>
      </c>
      <c r="K246">
        <v>690</v>
      </c>
      <c r="L246">
        <v>102</v>
      </c>
      <c r="M246">
        <v>102.5</v>
      </c>
      <c r="N246" s="1">
        <v>248649959</v>
      </c>
      <c r="O246">
        <v>102.5</v>
      </c>
      <c r="P246">
        <v>112.5</v>
      </c>
      <c r="Q246">
        <v>92.3</v>
      </c>
    </row>
    <row r="247" spans="1:17" x14ac:dyDescent="0.25">
      <c r="A247">
        <v>4107</v>
      </c>
      <c r="B247" t="s">
        <v>269</v>
      </c>
      <c r="C247">
        <v>98.8</v>
      </c>
      <c r="D247">
        <v>0</v>
      </c>
      <c r="E247">
        <v>100</v>
      </c>
      <c r="F247">
        <v>102</v>
      </c>
      <c r="G247">
        <v>98.8</v>
      </c>
      <c r="H247">
        <v>99.9</v>
      </c>
      <c r="I247" s="1">
        <v>1064200</v>
      </c>
      <c r="J247" s="1">
        <v>106316655</v>
      </c>
      <c r="K247">
        <v>871</v>
      </c>
      <c r="L247">
        <v>98.8</v>
      </c>
      <c r="M247">
        <v>99</v>
      </c>
      <c r="N247" s="1">
        <v>69298336</v>
      </c>
      <c r="O247">
        <v>98.8</v>
      </c>
      <c r="P247">
        <v>108.5</v>
      </c>
      <c r="Q247">
        <v>89</v>
      </c>
    </row>
    <row r="248" spans="1:17" x14ac:dyDescent="0.25">
      <c r="A248">
        <v>4109</v>
      </c>
      <c r="B248" t="s">
        <v>270</v>
      </c>
      <c r="C248">
        <v>18.05</v>
      </c>
      <c r="D248">
        <v>0.1</v>
      </c>
      <c r="E248">
        <v>18</v>
      </c>
      <c r="F248">
        <v>18.25</v>
      </c>
      <c r="G248">
        <v>18</v>
      </c>
      <c r="H248">
        <v>18.14</v>
      </c>
      <c r="I248" s="1">
        <v>297800</v>
      </c>
      <c r="J248" s="1">
        <v>5403150</v>
      </c>
      <c r="K248" s="1">
        <v>96</v>
      </c>
      <c r="L248">
        <v>18</v>
      </c>
      <c r="M248">
        <v>18.05</v>
      </c>
      <c r="N248" s="1">
        <v>81877271</v>
      </c>
      <c r="O248">
        <v>18.05</v>
      </c>
      <c r="P248">
        <v>19.850000000000001</v>
      </c>
      <c r="Q248">
        <v>16.25</v>
      </c>
    </row>
    <row r="249" spans="1:17" x14ac:dyDescent="0.25">
      <c r="A249">
        <v>4111</v>
      </c>
      <c r="B249" t="s">
        <v>271</v>
      </c>
      <c r="C249">
        <v>24.35</v>
      </c>
      <c r="D249">
        <v>-0.2</v>
      </c>
      <c r="E249">
        <v>24.55</v>
      </c>
      <c r="F249">
        <v>24.6</v>
      </c>
      <c r="G249">
        <v>24.3</v>
      </c>
      <c r="H249">
        <v>24.41</v>
      </c>
      <c r="I249" s="1">
        <v>92895</v>
      </c>
      <c r="J249" s="1">
        <v>2267536</v>
      </c>
      <c r="K249">
        <v>83</v>
      </c>
      <c r="L249">
        <v>24.35</v>
      </c>
      <c r="M249">
        <v>24.5</v>
      </c>
      <c r="N249" s="1">
        <v>56982985</v>
      </c>
      <c r="O249">
        <v>24.35</v>
      </c>
      <c r="P249">
        <v>26.75</v>
      </c>
      <c r="Q249">
        <v>21.95</v>
      </c>
    </row>
    <row r="250" spans="1:17" x14ac:dyDescent="0.25">
      <c r="A250">
        <v>4113</v>
      </c>
      <c r="B250" t="s">
        <v>272</v>
      </c>
      <c r="C250">
        <v>11</v>
      </c>
      <c r="D250">
        <v>0.6</v>
      </c>
      <c r="E250">
        <v>10.35</v>
      </c>
      <c r="F250">
        <v>11</v>
      </c>
      <c r="G250">
        <v>10.3</v>
      </c>
      <c r="H250">
        <v>10.71</v>
      </c>
      <c r="I250" s="1">
        <v>965168</v>
      </c>
      <c r="J250" s="1">
        <v>10340348</v>
      </c>
      <c r="K250">
        <v>234</v>
      </c>
      <c r="L250">
        <v>11</v>
      </c>
      <c r="M250">
        <v>11.05</v>
      </c>
      <c r="N250" s="1">
        <v>205764581</v>
      </c>
      <c r="O250">
        <v>11</v>
      </c>
      <c r="P250">
        <v>12.1</v>
      </c>
      <c r="Q250">
        <v>9.9</v>
      </c>
    </row>
    <row r="251" spans="1:17" x14ac:dyDescent="0.25">
      <c r="A251">
        <v>4114</v>
      </c>
      <c r="B251" t="s">
        <v>273</v>
      </c>
      <c r="C251">
        <v>25.85</v>
      </c>
      <c r="D251">
        <v>0</v>
      </c>
      <c r="E251">
        <v>25.8</v>
      </c>
      <c r="F251">
        <v>26</v>
      </c>
      <c r="G251">
        <v>25.8</v>
      </c>
      <c r="H251">
        <v>25.86</v>
      </c>
      <c r="I251" s="1">
        <v>139445</v>
      </c>
      <c r="J251" s="1">
        <v>3605389</v>
      </c>
      <c r="K251">
        <v>92</v>
      </c>
      <c r="L251">
        <v>25.85</v>
      </c>
      <c r="M251">
        <v>25.9</v>
      </c>
      <c r="N251" s="1">
        <v>184018154</v>
      </c>
      <c r="O251">
        <v>25.85</v>
      </c>
      <c r="P251">
        <v>28.4</v>
      </c>
      <c r="Q251">
        <v>23.3</v>
      </c>
    </row>
    <row r="252" spans="1:17" x14ac:dyDescent="0.25">
      <c r="A252">
        <v>4116</v>
      </c>
      <c r="B252" t="s">
        <v>274</v>
      </c>
      <c r="C252">
        <v>36.450000000000003</v>
      </c>
      <c r="D252">
        <v>0.25</v>
      </c>
      <c r="E252">
        <v>36.200000000000003</v>
      </c>
      <c r="F252">
        <v>36.450000000000003</v>
      </c>
      <c r="G252">
        <v>36.200000000000003</v>
      </c>
      <c r="H252">
        <v>36.229999999999997</v>
      </c>
      <c r="I252" s="1">
        <v>25000</v>
      </c>
      <c r="J252" s="1">
        <v>905850</v>
      </c>
      <c r="K252">
        <v>23</v>
      </c>
      <c r="L252">
        <v>36.200000000000003</v>
      </c>
      <c r="M252">
        <v>36.35</v>
      </c>
      <c r="N252" s="1">
        <v>44566000</v>
      </c>
      <c r="O252">
        <v>36.450000000000003</v>
      </c>
      <c r="P252">
        <v>40.049999999999997</v>
      </c>
      <c r="Q252">
        <v>32.85</v>
      </c>
    </row>
    <row r="253" spans="1:17" x14ac:dyDescent="0.25">
      <c r="A253">
        <v>4120</v>
      </c>
      <c r="B253" t="s">
        <v>275</v>
      </c>
      <c r="C253">
        <v>79.099999999999994</v>
      </c>
      <c r="D253">
        <v>0.4</v>
      </c>
      <c r="E253">
        <v>78.900000000000006</v>
      </c>
      <c r="F253">
        <v>79.400000000000006</v>
      </c>
      <c r="G253">
        <v>78.400000000000006</v>
      </c>
      <c r="H253">
        <v>78.89</v>
      </c>
      <c r="I253" s="1">
        <v>199250</v>
      </c>
      <c r="J253" s="1">
        <v>15718125</v>
      </c>
      <c r="K253">
        <v>149</v>
      </c>
      <c r="L253">
        <v>78.7</v>
      </c>
      <c r="M253">
        <v>79.099999999999994</v>
      </c>
      <c r="N253" s="1">
        <v>86747119</v>
      </c>
      <c r="O253">
        <v>79.099999999999994</v>
      </c>
      <c r="P253">
        <v>87</v>
      </c>
      <c r="Q253">
        <v>71.2</v>
      </c>
    </row>
    <row r="254" spans="1:17" x14ac:dyDescent="0.25">
      <c r="A254">
        <v>4121</v>
      </c>
      <c r="B254" t="s">
        <v>276</v>
      </c>
      <c r="C254">
        <v>12.85</v>
      </c>
      <c r="D254">
        <v>0.1</v>
      </c>
      <c r="E254">
        <v>12.95</v>
      </c>
      <c r="F254">
        <v>12.95</v>
      </c>
      <c r="G254">
        <v>12.8</v>
      </c>
      <c r="H254">
        <v>12.84</v>
      </c>
      <c r="I254" s="1">
        <v>87031</v>
      </c>
      <c r="J254" s="1">
        <v>1117489</v>
      </c>
      <c r="K254">
        <v>63</v>
      </c>
      <c r="L254">
        <v>12.85</v>
      </c>
      <c r="M254">
        <v>12.9</v>
      </c>
      <c r="N254" s="1">
        <v>73316764</v>
      </c>
      <c r="O254">
        <v>12.85</v>
      </c>
      <c r="P254">
        <v>14.1</v>
      </c>
      <c r="Q254">
        <v>11.6</v>
      </c>
    </row>
    <row r="255" spans="1:17" x14ac:dyDescent="0.25">
      <c r="A255">
        <v>4123</v>
      </c>
      <c r="B255" t="s">
        <v>277</v>
      </c>
      <c r="C255">
        <v>49</v>
      </c>
      <c r="D255">
        <v>0.5</v>
      </c>
      <c r="E255">
        <v>48.7</v>
      </c>
      <c r="F255">
        <v>49.3</v>
      </c>
      <c r="G255">
        <v>48.5</v>
      </c>
      <c r="H255">
        <v>48.82</v>
      </c>
      <c r="I255" s="1">
        <v>205170</v>
      </c>
      <c r="J255" s="1">
        <v>10017342</v>
      </c>
      <c r="K255">
        <v>141</v>
      </c>
      <c r="L255">
        <v>48.65</v>
      </c>
      <c r="M255">
        <v>49</v>
      </c>
      <c r="N255" s="1">
        <v>320608401</v>
      </c>
      <c r="O255">
        <v>49</v>
      </c>
      <c r="P255">
        <v>53.9</v>
      </c>
      <c r="Q255">
        <v>44.1</v>
      </c>
    </row>
    <row r="256" spans="1:17" x14ac:dyDescent="0.25">
      <c r="A256">
        <v>4126</v>
      </c>
      <c r="B256" t="s">
        <v>278</v>
      </c>
      <c r="C256">
        <v>82.9</v>
      </c>
      <c r="D256">
        <v>-0.9</v>
      </c>
      <c r="E256">
        <v>84.2</v>
      </c>
      <c r="F256">
        <v>84.2</v>
      </c>
      <c r="G256">
        <v>82.8</v>
      </c>
      <c r="H256">
        <v>83.19</v>
      </c>
      <c r="I256" s="1">
        <v>129187</v>
      </c>
      <c r="J256" s="1">
        <v>10747521</v>
      </c>
      <c r="K256">
        <v>84</v>
      </c>
      <c r="L256">
        <v>82.9</v>
      </c>
      <c r="M256">
        <v>83.4</v>
      </c>
      <c r="N256" s="1">
        <v>66015216</v>
      </c>
      <c r="O256">
        <v>82.9</v>
      </c>
      <c r="P256">
        <v>91.1</v>
      </c>
      <c r="Q256">
        <v>74.7</v>
      </c>
    </row>
    <row r="257" spans="1:17" x14ac:dyDescent="0.25">
      <c r="A257">
        <v>4127</v>
      </c>
      <c r="B257" t="s">
        <v>279</v>
      </c>
      <c r="C257">
        <v>11.65</v>
      </c>
      <c r="D257">
        <v>0.1</v>
      </c>
      <c r="E257">
        <v>11.55</v>
      </c>
      <c r="F257">
        <v>11.65</v>
      </c>
      <c r="G257">
        <v>11.55</v>
      </c>
      <c r="H257">
        <v>11.58</v>
      </c>
      <c r="I257" s="1">
        <v>67004</v>
      </c>
      <c r="J257" s="1">
        <v>775998</v>
      </c>
      <c r="K257">
        <v>38</v>
      </c>
      <c r="L257">
        <v>11.55</v>
      </c>
      <c r="M257">
        <v>11.65</v>
      </c>
      <c r="N257" s="1">
        <v>45760000</v>
      </c>
      <c r="O257">
        <v>11.65</v>
      </c>
      <c r="P257">
        <v>12.8</v>
      </c>
      <c r="Q257">
        <v>10.5</v>
      </c>
    </row>
    <row r="258" spans="1:17" x14ac:dyDescent="0.25">
      <c r="A258">
        <v>4128</v>
      </c>
      <c r="B258" t="s">
        <v>280</v>
      </c>
      <c r="C258">
        <v>22.2</v>
      </c>
      <c r="D258">
        <v>0.05</v>
      </c>
      <c r="E258">
        <v>22.25</v>
      </c>
      <c r="F258">
        <v>22.25</v>
      </c>
      <c r="G258">
        <v>22.1</v>
      </c>
      <c r="H258">
        <v>22.19</v>
      </c>
      <c r="I258" s="1">
        <v>441535</v>
      </c>
      <c r="J258" s="1">
        <v>9799369</v>
      </c>
      <c r="K258">
        <v>239</v>
      </c>
      <c r="L258">
        <v>22.2</v>
      </c>
      <c r="M258">
        <v>22.25</v>
      </c>
      <c r="N258" s="1">
        <v>425342650</v>
      </c>
      <c r="O258">
        <v>22.2</v>
      </c>
      <c r="P258">
        <v>24.4</v>
      </c>
      <c r="Q258">
        <v>20</v>
      </c>
    </row>
    <row r="259" spans="1:17" x14ac:dyDescent="0.25">
      <c r="A259">
        <v>4129</v>
      </c>
      <c r="B259" t="s">
        <v>281</v>
      </c>
      <c r="C259">
        <v>64.2</v>
      </c>
      <c r="D259">
        <v>0.7</v>
      </c>
      <c r="E259">
        <v>63.9</v>
      </c>
      <c r="F259">
        <v>64.599999999999994</v>
      </c>
      <c r="G259">
        <v>63.2</v>
      </c>
      <c r="H259">
        <v>64.12</v>
      </c>
      <c r="I259" s="1">
        <v>409879</v>
      </c>
      <c r="J259" s="1">
        <v>26280026</v>
      </c>
      <c r="K259">
        <v>292</v>
      </c>
      <c r="L259">
        <v>64.2</v>
      </c>
      <c r="M259">
        <v>64.3</v>
      </c>
      <c r="N259" s="1">
        <v>79712847</v>
      </c>
      <c r="O259">
        <v>64.2</v>
      </c>
      <c r="P259">
        <v>70.599999999999994</v>
      </c>
      <c r="Q259">
        <v>57.8</v>
      </c>
    </row>
    <row r="260" spans="1:17" x14ac:dyDescent="0.25">
      <c r="A260">
        <v>4130</v>
      </c>
      <c r="B260" t="s">
        <v>282</v>
      </c>
      <c r="C260">
        <v>34.049999999999997</v>
      </c>
      <c r="D260">
        <v>0.45</v>
      </c>
      <c r="E260">
        <v>34.5</v>
      </c>
      <c r="F260">
        <v>34.5</v>
      </c>
      <c r="G260">
        <v>33.85</v>
      </c>
      <c r="H260">
        <v>34.22</v>
      </c>
      <c r="I260" s="1">
        <v>321089</v>
      </c>
      <c r="J260" s="1">
        <v>10986748</v>
      </c>
      <c r="K260">
        <v>224</v>
      </c>
      <c r="L260">
        <v>33.950000000000003</v>
      </c>
      <c r="M260">
        <v>34.049999999999997</v>
      </c>
      <c r="N260" s="1">
        <v>100806000</v>
      </c>
      <c r="O260">
        <v>34.049999999999997</v>
      </c>
      <c r="P260">
        <v>37.450000000000003</v>
      </c>
      <c r="Q260">
        <v>30.65</v>
      </c>
    </row>
    <row r="261" spans="1:17" x14ac:dyDescent="0.25">
      <c r="A261">
        <v>4131</v>
      </c>
      <c r="B261" t="s">
        <v>283</v>
      </c>
      <c r="C261">
        <v>8.19</v>
      </c>
      <c r="D261">
        <v>0.28999999999999998</v>
      </c>
      <c r="E261">
        <v>8.19</v>
      </c>
      <c r="F261">
        <v>8.19</v>
      </c>
      <c r="G261">
        <v>8.19</v>
      </c>
      <c r="H261">
        <v>8.19</v>
      </c>
      <c r="I261" s="1">
        <v>2000</v>
      </c>
      <c r="J261" s="1">
        <v>16380</v>
      </c>
      <c r="K261">
        <v>2</v>
      </c>
      <c r="L261">
        <v>7.81</v>
      </c>
      <c r="M261">
        <v>8.19</v>
      </c>
      <c r="N261" s="1">
        <v>38291934</v>
      </c>
      <c r="O261">
        <v>8.19</v>
      </c>
      <c r="P261">
        <v>9</v>
      </c>
      <c r="Q261">
        <v>7.38</v>
      </c>
    </row>
    <row r="262" spans="1:17" x14ac:dyDescent="0.25">
      <c r="A262">
        <v>4138</v>
      </c>
      <c r="B262" t="s">
        <v>284</v>
      </c>
      <c r="C262">
        <v>50.7</v>
      </c>
      <c r="D262">
        <v>0.2</v>
      </c>
      <c r="E262">
        <v>50.7</v>
      </c>
      <c r="F262">
        <v>50.7</v>
      </c>
      <c r="G262">
        <v>50.5</v>
      </c>
      <c r="H262">
        <v>50.62</v>
      </c>
      <c r="I262" s="1">
        <v>25198</v>
      </c>
      <c r="J262" s="1">
        <v>1275628</v>
      </c>
      <c r="K262" s="1">
        <v>29</v>
      </c>
      <c r="L262">
        <v>50.7</v>
      </c>
      <c r="M262">
        <v>50.8</v>
      </c>
      <c r="N262" s="1">
        <v>30000000</v>
      </c>
      <c r="O262">
        <v>50.7</v>
      </c>
      <c r="P262">
        <v>55.7</v>
      </c>
      <c r="Q262">
        <v>45.65</v>
      </c>
    </row>
    <row r="263" spans="1:17" x14ac:dyDescent="0.25">
      <c r="A263">
        <v>4139</v>
      </c>
      <c r="B263" t="s">
        <v>285</v>
      </c>
      <c r="C263">
        <v>57.4</v>
      </c>
      <c r="D263">
        <v>-0.6</v>
      </c>
      <c r="E263">
        <v>58.5</v>
      </c>
      <c r="F263">
        <v>58.5</v>
      </c>
      <c r="G263">
        <v>55.5</v>
      </c>
      <c r="H263">
        <v>57.25</v>
      </c>
      <c r="I263" s="1">
        <v>91004</v>
      </c>
      <c r="J263" s="1">
        <v>5209629</v>
      </c>
      <c r="K263">
        <v>81</v>
      </c>
      <c r="L263">
        <v>56.8</v>
      </c>
      <c r="M263">
        <v>57.4</v>
      </c>
      <c r="N263" s="1">
        <v>38147670</v>
      </c>
      <c r="O263">
        <v>57.4</v>
      </c>
      <c r="P263">
        <v>63.1</v>
      </c>
      <c r="Q263">
        <v>51.7</v>
      </c>
    </row>
    <row r="264" spans="1:17" x14ac:dyDescent="0.25">
      <c r="A264">
        <v>4147</v>
      </c>
      <c r="B264" t="s">
        <v>286</v>
      </c>
      <c r="C264">
        <v>185</v>
      </c>
      <c r="D264">
        <v>0</v>
      </c>
      <c r="E264">
        <v>185.5</v>
      </c>
      <c r="F264">
        <v>187.5</v>
      </c>
      <c r="G264">
        <v>185</v>
      </c>
      <c r="H264">
        <v>185.94</v>
      </c>
      <c r="I264" s="1">
        <v>468693</v>
      </c>
      <c r="J264" s="1">
        <v>87148705</v>
      </c>
      <c r="K264">
        <v>391</v>
      </c>
      <c r="L264">
        <v>185</v>
      </c>
      <c r="M264">
        <v>185.5</v>
      </c>
      <c r="N264" s="1">
        <v>250300750</v>
      </c>
      <c r="O264">
        <v>185</v>
      </c>
      <c r="P264">
        <v>203.5</v>
      </c>
      <c r="Q264">
        <v>166.5</v>
      </c>
    </row>
    <row r="265" spans="1:17" x14ac:dyDescent="0.25">
      <c r="A265">
        <v>4152</v>
      </c>
      <c r="B265" t="s">
        <v>287</v>
      </c>
      <c r="C265">
        <v>86.4</v>
      </c>
      <c r="D265">
        <v>7.6</v>
      </c>
      <c r="E265">
        <v>79.5</v>
      </c>
      <c r="F265">
        <v>86.5</v>
      </c>
      <c r="G265">
        <v>79.5</v>
      </c>
      <c r="H265">
        <v>83.69</v>
      </c>
      <c r="I265" s="1">
        <v>143323</v>
      </c>
      <c r="J265" s="1">
        <v>11994503</v>
      </c>
      <c r="K265">
        <v>146</v>
      </c>
      <c r="L265">
        <v>85.8</v>
      </c>
      <c r="M265">
        <v>86.4</v>
      </c>
      <c r="N265" s="1">
        <v>56213105</v>
      </c>
      <c r="O265">
        <v>86.4</v>
      </c>
      <c r="P265">
        <v>95</v>
      </c>
      <c r="Q265">
        <v>77.8</v>
      </c>
    </row>
    <row r="266" spans="1:17" x14ac:dyDescent="0.25">
      <c r="A266">
        <v>4153</v>
      </c>
      <c r="B266" t="s">
        <v>288</v>
      </c>
      <c r="C266">
        <v>31.95</v>
      </c>
      <c r="D266">
        <v>0.45</v>
      </c>
      <c r="E266">
        <v>31.8</v>
      </c>
      <c r="F266">
        <v>31.95</v>
      </c>
      <c r="G266">
        <v>31.3</v>
      </c>
      <c r="H266">
        <v>31.68</v>
      </c>
      <c r="I266" s="1">
        <v>81450</v>
      </c>
      <c r="J266" s="1">
        <v>2580069</v>
      </c>
      <c r="K266" s="1">
        <v>61</v>
      </c>
      <c r="L266">
        <v>31.65</v>
      </c>
      <c r="M266">
        <v>32</v>
      </c>
      <c r="N266" s="1">
        <v>49366574</v>
      </c>
      <c r="O266">
        <v>31.95</v>
      </c>
      <c r="P266">
        <v>35.1</v>
      </c>
      <c r="Q266">
        <v>28.8</v>
      </c>
    </row>
    <row r="267" spans="1:17" x14ac:dyDescent="0.25">
      <c r="A267">
        <v>4154</v>
      </c>
      <c r="B267" t="s">
        <v>289</v>
      </c>
      <c r="C267">
        <v>22.55</v>
      </c>
      <c r="D267">
        <v>-0.45</v>
      </c>
      <c r="E267">
        <v>22.7</v>
      </c>
      <c r="F267">
        <v>22.7</v>
      </c>
      <c r="G267">
        <v>22.55</v>
      </c>
      <c r="H267">
        <v>22.67</v>
      </c>
      <c r="I267" s="1">
        <v>5000</v>
      </c>
      <c r="J267" s="1">
        <v>113350</v>
      </c>
      <c r="K267">
        <v>5</v>
      </c>
      <c r="L267">
        <v>22.1</v>
      </c>
      <c r="M267">
        <v>23</v>
      </c>
      <c r="N267" s="1">
        <v>19526000</v>
      </c>
      <c r="O267">
        <v>22.55</v>
      </c>
      <c r="P267">
        <v>24.8</v>
      </c>
      <c r="Q267">
        <v>20.3</v>
      </c>
    </row>
    <row r="268" spans="1:17" x14ac:dyDescent="0.25">
      <c r="A268">
        <v>4157</v>
      </c>
      <c r="B268" t="s">
        <v>290</v>
      </c>
      <c r="C268">
        <v>21.7</v>
      </c>
      <c r="D268">
        <v>-0.1</v>
      </c>
      <c r="E268">
        <v>21.75</v>
      </c>
      <c r="F268">
        <v>21.95</v>
      </c>
      <c r="G268">
        <v>21.7</v>
      </c>
      <c r="H268">
        <v>21.78</v>
      </c>
      <c r="I268" s="1">
        <v>362001</v>
      </c>
      <c r="J268" s="1">
        <v>7885621</v>
      </c>
      <c r="K268">
        <v>185</v>
      </c>
      <c r="L268">
        <v>21.7</v>
      </c>
      <c r="M268">
        <v>21.85</v>
      </c>
      <c r="N268" s="1">
        <v>716760425</v>
      </c>
      <c r="O268">
        <v>21.7</v>
      </c>
      <c r="P268">
        <v>23.85</v>
      </c>
      <c r="Q268">
        <v>19.55</v>
      </c>
    </row>
    <row r="269" spans="1:17" x14ac:dyDescent="0.25">
      <c r="A269">
        <v>4160</v>
      </c>
      <c r="B269" t="s">
        <v>291</v>
      </c>
      <c r="C269">
        <v>28.7</v>
      </c>
      <c r="D269">
        <v>1.5</v>
      </c>
      <c r="E269">
        <v>26.9</v>
      </c>
      <c r="F269">
        <v>28.8</v>
      </c>
      <c r="G269">
        <v>26.7</v>
      </c>
      <c r="H269">
        <v>27.81</v>
      </c>
      <c r="I269" s="1">
        <v>151016</v>
      </c>
      <c r="J269" s="1">
        <v>4200398</v>
      </c>
      <c r="K269">
        <v>101</v>
      </c>
      <c r="L269">
        <v>27.8</v>
      </c>
      <c r="M269">
        <v>28.7</v>
      </c>
      <c r="N269" s="1">
        <v>24247016</v>
      </c>
      <c r="O269">
        <v>28.7</v>
      </c>
      <c r="P269">
        <v>31.55</v>
      </c>
      <c r="Q269">
        <v>25.85</v>
      </c>
    </row>
    <row r="270" spans="1:17" x14ac:dyDescent="0.25">
      <c r="A270">
        <v>4161</v>
      </c>
      <c r="B270" t="s">
        <v>292</v>
      </c>
      <c r="C270">
        <v>45.8</v>
      </c>
      <c r="D270">
        <v>-0.2</v>
      </c>
      <c r="E270">
        <v>46</v>
      </c>
      <c r="F270">
        <v>46</v>
      </c>
      <c r="G270">
        <v>45.1</v>
      </c>
      <c r="H270">
        <v>45.42</v>
      </c>
      <c r="I270" s="1">
        <v>208000</v>
      </c>
      <c r="J270" s="1">
        <v>9448150</v>
      </c>
      <c r="K270">
        <v>115</v>
      </c>
      <c r="L270">
        <v>45.15</v>
      </c>
      <c r="M270">
        <v>45.8</v>
      </c>
      <c r="N270" s="1">
        <v>52257844</v>
      </c>
      <c r="O270">
        <v>45.8</v>
      </c>
      <c r="P270">
        <v>50.3</v>
      </c>
      <c r="Q270">
        <v>41.25</v>
      </c>
    </row>
    <row r="271" spans="1:17" x14ac:dyDescent="0.25">
      <c r="A271">
        <v>4162</v>
      </c>
      <c r="B271" t="s">
        <v>293</v>
      </c>
      <c r="C271">
        <v>152.5</v>
      </c>
      <c r="D271">
        <v>3.5</v>
      </c>
      <c r="E271">
        <v>150.5</v>
      </c>
      <c r="F271">
        <v>153</v>
      </c>
      <c r="G271">
        <v>150.5</v>
      </c>
      <c r="H271">
        <v>151.96</v>
      </c>
      <c r="I271" s="1">
        <v>659393</v>
      </c>
      <c r="J271" s="1">
        <v>100203428</v>
      </c>
      <c r="K271">
        <v>538</v>
      </c>
      <c r="L271">
        <v>152</v>
      </c>
      <c r="M271">
        <v>152.5</v>
      </c>
      <c r="N271" s="1">
        <v>147128840</v>
      </c>
      <c r="O271">
        <v>152.5</v>
      </c>
      <c r="P271">
        <v>167.5</v>
      </c>
      <c r="Q271">
        <v>137.5</v>
      </c>
    </row>
    <row r="272" spans="1:17" x14ac:dyDescent="0.25">
      <c r="A272">
        <v>4163</v>
      </c>
      <c r="B272" t="s">
        <v>294</v>
      </c>
      <c r="C272">
        <v>109</v>
      </c>
      <c r="D272">
        <v>8</v>
      </c>
      <c r="E272">
        <v>102</v>
      </c>
      <c r="F272">
        <v>110</v>
      </c>
      <c r="G272">
        <v>102</v>
      </c>
      <c r="H272">
        <v>106.86</v>
      </c>
      <c r="I272" s="1">
        <v>1191330</v>
      </c>
      <c r="J272" s="1">
        <v>127304304</v>
      </c>
      <c r="K272">
        <v>910</v>
      </c>
      <c r="L272">
        <v>109</v>
      </c>
      <c r="M272">
        <v>109.5</v>
      </c>
      <c r="N272" s="1">
        <v>40238000</v>
      </c>
      <c r="O272">
        <v>109</v>
      </c>
      <c r="P272">
        <v>119.5</v>
      </c>
      <c r="Q272">
        <v>98.1</v>
      </c>
    </row>
    <row r="273" spans="1:17" x14ac:dyDescent="0.25">
      <c r="A273">
        <v>4167</v>
      </c>
      <c r="B273" t="s">
        <v>295</v>
      </c>
      <c r="C273">
        <v>28</v>
      </c>
      <c r="D273">
        <v>-0.1</v>
      </c>
      <c r="E273">
        <v>28.1</v>
      </c>
      <c r="F273">
        <v>28.15</v>
      </c>
      <c r="G273">
        <v>27.8</v>
      </c>
      <c r="H273">
        <v>27.94</v>
      </c>
      <c r="I273" s="1">
        <v>765000</v>
      </c>
      <c r="J273" s="1">
        <v>21377050</v>
      </c>
      <c r="K273">
        <v>375</v>
      </c>
      <c r="L273">
        <v>27.95</v>
      </c>
      <c r="M273">
        <v>28</v>
      </c>
      <c r="N273" s="1">
        <v>246601750</v>
      </c>
      <c r="O273">
        <v>28</v>
      </c>
      <c r="P273">
        <v>30.8</v>
      </c>
      <c r="Q273">
        <v>25.2</v>
      </c>
    </row>
    <row r="274" spans="1:17" x14ac:dyDescent="0.25">
      <c r="A274">
        <v>4168</v>
      </c>
      <c r="B274" t="s">
        <v>296</v>
      </c>
      <c r="C274">
        <v>22.85</v>
      </c>
      <c r="D274">
        <v>0.1</v>
      </c>
      <c r="E274">
        <v>22.7</v>
      </c>
      <c r="F274">
        <v>23</v>
      </c>
      <c r="G274">
        <v>22.65</v>
      </c>
      <c r="H274">
        <v>22.83</v>
      </c>
      <c r="I274" s="1">
        <v>69100</v>
      </c>
      <c r="J274" s="1">
        <v>1577700</v>
      </c>
      <c r="K274">
        <v>68</v>
      </c>
      <c r="L274">
        <v>22.85</v>
      </c>
      <c r="M274">
        <v>22.9</v>
      </c>
      <c r="N274" s="1">
        <v>77783456</v>
      </c>
      <c r="O274">
        <v>22.85</v>
      </c>
      <c r="P274">
        <v>25.1</v>
      </c>
      <c r="Q274">
        <v>20.6</v>
      </c>
    </row>
    <row r="275" spans="1:17" x14ac:dyDescent="0.25">
      <c r="A275">
        <v>4171</v>
      </c>
      <c r="B275" t="s">
        <v>297</v>
      </c>
      <c r="C275">
        <v>19.600000000000001</v>
      </c>
      <c r="D275">
        <v>0.4</v>
      </c>
      <c r="E275">
        <v>19.649999999999999</v>
      </c>
      <c r="F275">
        <v>19.649999999999999</v>
      </c>
      <c r="G275">
        <v>19.2</v>
      </c>
      <c r="H275">
        <v>19.41</v>
      </c>
      <c r="I275" s="1">
        <v>5000</v>
      </c>
      <c r="J275" s="1">
        <v>97050</v>
      </c>
      <c r="K275">
        <v>5</v>
      </c>
      <c r="L275">
        <v>19.3</v>
      </c>
      <c r="M275">
        <v>19.7</v>
      </c>
      <c r="N275" s="1">
        <v>34340000</v>
      </c>
      <c r="O275">
        <v>19.600000000000001</v>
      </c>
      <c r="P275">
        <v>21.55</v>
      </c>
      <c r="Q275">
        <v>17.649999999999999</v>
      </c>
    </row>
    <row r="276" spans="1:17" x14ac:dyDescent="0.25">
      <c r="A276">
        <v>4173</v>
      </c>
      <c r="B276" t="s">
        <v>298</v>
      </c>
      <c r="C276">
        <v>20.25</v>
      </c>
      <c r="D276">
        <v>0.1</v>
      </c>
      <c r="E276">
        <v>20.2</v>
      </c>
      <c r="F276">
        <v>20.6</v>
      </c>
      <c r="G276">
        <v>20</v>
      </c>
      <c r="H276">
        <v>20.239999999999998</v>
      </c>
      <c r="I276" s="1">
        <v>299006</v>
      </c>
      <c r="J276" s="1">
        <v>6052320</v>
      </c>
      <c r="K276">
        <v>189</v>
      </c>
      <c r="L276">
        <v>20</v>
      </c>
      <c r="M276">
        <v>20.25</v>
      </c>
      <c r="N276" s="1">
        <v>44574355</v>
      </c>
      <c r="O276">
        <v>20.25</v>
      </c>
      <c r="P276">
        <v>22.25</v>
      </c>
      <c r="Q276">
        <v>18.25</v>
      </c>
    </row>
    <row r="277" spans="1:17" x14ac:dyDescent="0.25">
      <c r="A277">
        <v>4174</v>
      </c>
      <c r="B277" t="s">
        <v>299</v>
      </c>
      <c r="C277">
        <v>150.5</v>
      </c>
      <c r="D277">
        <v>0.5</v>
      </c>
      <c r="E277">
        <v>151</v>
      </c>
      <c r="F277">
        <v>151.5</v>
      </c>
      <c r="G277">
        <v>149</v>
      </c>
      <c r="H277">
        <v>150.41</v>
      </c>
      <c r="I277" s="1">
        <v>369734</v>
      </c>
      <c r="J277" s="1">
        <v>55612466</v>
      </c>
      <c r="K277">
        <v>344</v>
      </c>
      <c r="L277">
        <v>150</v>
      </c>
      <c r="M277">
        <v>150.5</v>
      </c>
      <c r="N277" s="1">
        <v>172165674</v>
      </c>
      <c r="O277">
        <v>150.5</v>
      </c>
      <c r="P277">
        <v>165.5</v>
      </c>
      <c r="Q277">
        <v>135.5</v>
      </c>
    </row>
    <row r="278" spans="1:17" x14ac:dyDescent="0.25">
      <c r="A278">
        <v>4175</v>
      </c>
      <c r="B278" t="s">
        <v>300</v>
      </c>
      <c r="C278">
        <v>61.4</v>
      </c>
      <c r="D278">
        <v>0.4</v>
      </c>
      <c r="E278">
        <v>61.5</v>
      </c>
      <c r="F278">
        <v>61.5</v>
      </c>
      <c r="G278">
        <v>61</v>
      </c>
      <c r="H278">
        <v>61.12</v>
      </c>
      <c r="I278" s="1">
        <v>42000</v>
      </c>
      <c r="J278" s="1">
        <v>2567100</v>
      </c>
      <c r="K278">
        <v>33</v>
      </c>
      <c r="L278">
        <v>61</v>
      </c>
      <c r="M278">
        <v>61.3</v>
      </c>
      <c r="N278" s="1">
        <v>28240000</v>
      </c>
      <c r="O278">
        <v>61.4</v>
      </c>
      <c r="P278">
        <v>67.5</v>
      </c>
      <c r="Q278">
        <v>55.3</v>
      </c>
    </row>
    <row r="279" spans="1:17" x14ac:dyDescent="0.25">
      <c r="A279">
        <v>4180</v>
      </c>
      <c r="B279" t="s">
        <v>301</v>
      </c>
      <c r="C279">
        <v>84.2</v>
      </c>
      <c r="D279">
        <v>0.9</v>
      </c>
      <c r="E279">
        <v>83.5</v>
      </c>
      <c r="F279">
        <v>84.7</v>
      </c>
      <c r="G279">
        <v>83</v>
      </c>
      <c r="H279">
        <v>83.8</v>
      </c>
      <c r="I279" s="1">
        <v>215200</v>
      </c>
      <c r="J279" s="1">
        <v>18034140</v>
      </c>
      <c r="K279">
        <v>160</v>
      </c>
      <c r="L279">
        <v>84</v>
      </c>
      <c r="M279">
        <v>84.2</v>
      </c>
      <c r="N279" s="1">
        <v>120369650</v>
      </c>
      <c r="O279">
        <v>84.2</v>
      </c>
      <c r="P279">
        <v>92.6</v>
      </c>
      <c r="Q279">
        <v>75.8</v>
      </c>
    </row>
    <row r="280" spans="1:17" x14ac:dyDescent="0.25">
      <c r="A280">
        <v>4183</v>
      </c>
      <c r="B280" t="s">
        <v>302</v>
      </c>
      <c r="C280">
        <v>18.149999999999999</v>
      </c>
      <c r="D280">
        <v>0.15</v>
      </c>
      <c r="E280">
        <v>18</v>
      </c>
      <c r="F280">
        <v>18.149999999999999</v>
      </c>
      <c r="G280">
        <v>17.850000000000001</v>
      </c>
      <c r="H280">
        <v>18.07</v>
      </c>
      <c r="I280" s="1">
        <v>11000</v>
      </c>
      <c r="J280" s="1">
        <v>198750</v>
      </c>
      <c r="K280">
        <v>8</v>
      </c>
      <c r="L280">
        <v>17.95</v>
      </c>
      <c r="M280">
        <v>18.100000000000001</v>
      </c>
      <c r="N280" s="1">
        <v>23800000</v>
      </c>
      <c r="O280">
        <v>18.149999999999999</v>
      </c>
      <c r="P280">
        <v>19.95</v>
      </c>
      <c r="Q280">
        <v>16.350000000000001</v>
      </c>
    </row>
    <row r="281" spans="1:17" x14ac:dyDescent="0.25">
      <c r="A281">
        <v>4188</v>
      </c>
      <c r="B281" t="s">
        <v>303</v>
      </c>
      <c r="C281">
        <v>28</v>
      </c>
      <c r="D281">
        <v>0</v>
      </c>
      <c r="E281">
        <v>28</v>
      </c>
      <c r="F281">
        <v>28</v>
      </c>
      <c r="G281">
        <v>27.95</v>
      </c>
      <c r="H281">
        <v>27.98</v>
      </c>
      <c r="I281" s="1">
        <v>10000</v>
      </c>
      <c r="J281" s="1">
        <v>279800</v>
      </c>
      <c r="K281">
        <v>8</v>
      </c>
      <c r="L281">
        <v>27.95</v>
      </c>
      <c r="M281">
        <v>28</v>
      </c>
      <c r="N281" s="1">
        <v>52695000</v>
      </c>
      <c r="O281">
        <v>28</v>
      </c>
      <c r="P281">
        <v>30.8</v>
      </c>
      <c r="Q281">
        <v>25.2</v>
      </c>
    </row>
    <row r="282" spans="1:17" x14ac:dyDescent="0.25">
      <c r="A282">
        <v>4192</v>
      </c>
      <c r="B282" t="s">
        <v>304</v>
      </c>
      <c r="C282">
        <v>28.4</v>
      </c>
      <c r="D282">
        <v>0.5</v>
      </c>
      <c r="E282">
        <v>27.65</v>
      </c>
      <c r="F282">
        <v>28.4</v>
      </c>
      <c r="G282">
        <v>27.65</v>
      </c>
      <c r="H282">
        <v>28.2</v>
      </c>
      <c r="I282" s="1">
        <v>36000</v>
      </c>
      <c r="J282" s="1">
        <v>1015050</v>
      </c>
      <c r="K282">
        <v>22</v>
      </c>
      <c r="L282">
        <v>27.7</v>
      </c>
      <c r="M282">
        <v>28.4</v>
      </c>
      <c r="N282" s="1">
        <v>69867000</v>
      </c>
      <c r="O282">
        <v>28.4</v>
      </c>
      <c r="P282">
        <v>31.2</v>
      </c>
      <c r="Q282">
        <v>25.6</v>
      </c>
    </row>
    <row r="283" spans="1:17" x14ac:dyDescent="0.25">
      <c r="A283">
        <v>4198</v>
      </c>
      <c r="B283" t="s">
        <v>305</v>
      </c>
      <c r="C283">
        <v>9.49</v>
      </c>
      <c r="D283">
        <v>0.59</v>
      </c>
      <c r="E283">
        <v>9.1</v>
      </c>
      <c r="F283">
        <v>9.6300000000000008</v>
      </c>
      <c r="G283">
        <v>9.1</v>
      </c>
      <c r="H283">
        <v>9.2200000000000006</v>
      </c>
      <c r="I283" s="1">
        <v>48006</v>
      </c>
      <c r="J283" s="1">
        <v>442468</v>
      </c>
      <c r="K283">
        <v>24</v>
      </c>
      <c r="L283">
        <v>9.1999999999999993</v>
      </c>
      <c r="M283">
        <v>9.5500000000000007</v>
      </c>
      <c r="N283" s="1">
        <v>141800000</v>
      </c>
      <c r="O283">
        <v>9.49</v>
      </c>
      <c r="P283">
        <v>10.4</v>
      </c>
      <c r="Q283">
        <v>8.5500000000000007</v>
      </c>
    </row>
    <row r="284" spans="1:17" x14ac:dyDescent="0.25">
      <c r="A284">
        <v>4205</v>
      </c>
      <c r="B284" t="s">
        <v>306</v>
      </c>
      <c r="C284">
        <v>63.5</v>
      </c>
      <c r="D284">
        <v>1</v>
      </c>
      <c r="E284">
        <v>63.5</v>
      </c>
      <c r="F284">
        <v>64</v>
      </c>
      <c r="G284">
        <v>63</v>
      </c>
      <c r="H284">
        <v>63.35</v>
      </c>
      <c r="I284" s="1">
        <v>22477</v>
      </c>
      <c r="J284" s="1">
        <v>1423835</v>
      </c>
      <c r="K284">
        <v>28</v>
      </c>
      <c r="L284">
        <v>62.7</v>
      </c>
      <c r="M284">
        <v>63.5</v>
      </c>
      <c r="N284" s="1">
        <v>80701842</v>
      </c>
      <c r="O284">
        <v>63.5</v>
      </c>
      <c r="P284">
        <v>69.8</v>
      </c>
      <c r="Q284">
        <v>57.2</v>
      </c>
    </row>
    <row r="285" spans="1:17" x14ac:dyDescent="0.25">
      <c r="A285">
        <v>4207</v>
      </c>
      <c r="B285" t="s">
        <v>307</v>
      </c>
      <c r="C285">
        <v>12.7</v>
      </c>
      <c r="D285">
        <v>0</v>
      </c>
      <c r="E285">
        <v>12.7</v>
      </c>
      <c r="F285">
        <v>12.8</v>
      </c>
      <c r="G285">
        <v>12.6</v>
      </c>
      <c r="H285">
        <v>12.67</v>
      </c>
      <c r="I285" s="1">
        <v>215319</v>
      </c>
      <c r="J285" s="1">
        <v>2728818</v>
      </c>
      <c r="K285">
        <v>85</v>
      </c>
      <c r="L285">
        <v>12.65</v>
      </c>
      <c r="M285">
        <v>12.7</v>
      </c>
      <c r="N285" s="1">
        <v>170152169</v>
      </c>
      <c r="O285">
        <v>12.7</v>
      </c>
      <c r="P285">
        <v>13.95</v>
      </c>
      <c r="Q285">
        <v>11.45</v>
      </c>
    </row>
    <row r="286" spans="1:17" x14ac:dyDescent="0.25">
      <c r="A286">
        <v>4303</v>
      </c>
      <c r="B286" t="s">
        <v>308</v>
      </c>
      <c r="C286">
        <v>130.5</v>
      </c>
      <c r="D286">
        <v>-1.5</v>
      </c>
      <c r="E286">
        <v>131</v>
      </c>
      <c r="F286">
        <v>131</v>
      </c>
      <c r="G286">
        <v>130.5</v>
      </c>
      <c r="H286">
        <v>130.94</v>
      </c>
      <c r="I286" s="1">
        <v>65205</v>
      </c>
      <c r="J286" s="1">
        <v>8538150</v>
      </c>
      <c r="K286">
        <v>15</v>
      </c>
      <c r="L286">
        <v>130</v>
      </c>
      <c r="M286">
        <v>132.5</v>
      </c>
      <c r="N286" s="1">
        <v>20000000</v>
      </c>
      <c r="O286">
        <v>130.5</v>
      </c>
      <c r="P286">
        <v>143.5</v>
      </c>
      <c r="Q286">
        <v>117.5</v>
      </c>
    </row>
    <row r="287" spans="1:17" x14ac:dyDescent="0.25">
      <c r="A287">
        <v>4304</v>
      </c>
      <c r="B287" t="s">
        <v>309</v>
      </c>
      <c r="C287">
        <v>4.78</v>
      </c>
      <c r="D287">
        <v>7.0000000000000007E-2</v>
      </c>
      <c r="E287">
        <v>4.8</v>
      </c>
      <c r="F287">
        <v>4.8099999999999996</v>
      </c>
      <c r="G287">
        <v>4.72</v>
      </c>
      <c r="H287">
        <v>4.7699999999999996</v>
      </c>
      <c r="I287" s="1">
        <v>29006</v>
      </c>
      <c r="J287" s="1">
        <v>138255</v>
      </c>
      <c r="K287">
        <v>16</v>
      </c>
      <c r="L287">
        <v>4.7300000000000004</v>
      </c>
      <c r="M287">
        <v>4.78</v>
      </c>
      <c r="N287" s="1">
        <v>51333500</v>
      </c>
      <c r="O287">
        <v>4.78</v>
      </c>
      <c r="P287">
        <v>5.25</v>
      </c>
      <c r="Q287">
        <v>4.3099999999999996</v>
      </c>
    </row>
    <row r="288" spans="1:17" x14ac:dyDescent="0.25">
      <c r="A288">
        <v>4305</v>
      </c>
      <c r="B288" t="s">
        <v>310</v>
      </c>
      <c r="C288">
        <v>30.9</v>
      </c>
      <c r="D288">
        <v>0</v>
      </c>
      <c r="E288">
        <v>30.9</v>
      </c>
      <c r="F288">
        <v>30.9</v>
      </c>
      <c r="G288">
        <v>30.9</v>
      </c>
      <c r="H288">
        <v>30.9</v>
      </c>
      <c r="I288" s="1">
        <v>3007</v>
      </c>
      <c r="J288" s="1">
        <v>92916</v>
      </c>
      <c r="K288">
        <v>4</v>
      </c>
      <c r="L288">
        <v>30.65</v>
      </c>
      <c r="M288">
        <v>31.05</v>
      </c>
      <c r="N288" s="1">
        <v>55014000</v>
      </c>
      <c r="O288">
        <v>30.9</v>
      </c>
      <c r="P288">
        <v>33.950000000000003</v>
      </c>
      <c r="Q288">
        <v>27.85</v>
      </c>
    </row>
    <row r="289" spans="1:17" x14ac:dyDescent="0.25">
      <c r="A289">
        <v>4401</v>
      </c>
      <c r="B289" t="s">
        <v>311</v>
      </c>
      <c r="C289">
        <v>71.8</v>
      </c>
      <c r="D289">
        <v>0.4</v>
      </c>
      <c r="E289">
        <v>71.900000000000006</v>
      </c>
      <c r="F289">
        <v>72.400000000000006</v>
      </c>
      <c r="G289">
        <v>71</v>
      </c>
      <c r="H289">
        <v>71.64</v>
      </c>
      <c r="I289" s="1">
        <v>56001</v>
      </c>
      <c r="J289" s="1">
        <v>4012072</v>
      </c>
      <c r="K289">
        <v>54</v>
      </c>
      <c r="L289">
        <v>71.8</v>
      </c>
      <c r="M289">
        <v>71.900000000000006</v>
      </c>
      <c r="N289" s="1">
        <v>120286286</v>
      </c>
      <c r="O289">
        <v>71.8</v>
      </c>
      <c r="P289">
        <v>78.900000000000006</v>
      </c>
      <c r="Q289">
        <v>64.7</v>
      </c>
    </row>
    <row r="290" spans="1:17" x14ac:dyDescent="0.25">
      <c r="A290">
        <v>4402</v>
      </c>
      <c r="B290" t="s">
        <v>312</v>
      </c>
      <c r="C290">
        <v>12.35</v>
      </c>
      <c r="D290">
        <v>0.15</v>
      </c>
      <c r="E290">
        <v>12.45</v>
      </c>
      <c r="F290">
        <v>12.5</v>
      </c>
      <c r="G290">
        <v>12.2</v>
      </c>
      <c r="H290">
        <v>12.39</v>
      </c>
      <c r="I290" s="1">
        <v>81968</v>
      </c>
      <c r="J290" s="1">
        <v>1015260</v>
      </c>
      <c r="K290">
        <v>61</v>
      </c>
      <c r="L290">
        <v>12.25</v>
      </c>
      <c r="M290">
        <v>12.3</v>
      </c>
      <c r="N290" s="1">
        <v>45991830</v>
      </c>
      <c r="O290">
        <v>12.35</v>
      </c>
      <c r="P290">
        <v>13.55</v>
      </c>
      <c r="Q290">
        <v>11.15</v>
      </c>
    </row>
    <row r="291" spans="1:17" x14ac:dyDescent="0.25">
      <c r="A291">
        <v>4406</v>
      </c>
      <c r="B291" t="s">
        <v>313</v>
      </c>
      <c r="C291">
        <v>8.81</v>
      </c>
      <c r="D291">
        <v>-0.64</v>
      </c>
      <c r="E291">
        <v>9.6300000000000008</v>
      </c>
      <c r="F291">
        <v>9.6300000000000008</v>
      </c>
      <c r="G291">
        <v>8.81</v>
      </c>
      <c r="H291">
        <v>9.1999999999999993</v>
      </c>
      <c r="I291" s="1">
        <v>234000</v>
      </c>
      <c r="J291" s="1">
        <v>2152550</v>
      </c>
      <c r="K291">
        <v>80</v>
      </c>
      <c r="L291">
        <v>8.81</v>
      </c>
      <c r="M291">
        <v>9.1999999999999993</v>
      </c>
      <c r="N291" s="1">
        <v>51912000</v>
      </c>
      <c r="O291">
        <v>8.81</v>
      </c>
      <c r="P291">
        <v>9.69</v>
      </c>
      <c r="Q291">
        <v>7.93</v>
      </c>
    </row>
    <row r="292" spans="1:17" x14ac:dyDescent="0.25">
      <c r="A292">
        <v>4413</v>
      </c>
      <c r="B292" t="s">
        <v>314</v>
      </c>
      <c r="C292" t="s">
        <v>78</v>
      </c>
      <c r="D292" t="s">
        <v>78</v>
      </c>
      <c r="E292" t="s">
        <v>78</v>
      </c>
      <c r="F292" t="s">
        <v>78</v>
      </c>
      <c r="G292" t="s">
        <v>78</v>
      </c>
      <c r="H292">
        <v>15.04</v>
      </c>
      <c r="I292" s="1">
        <v>90</v>
      </c>
      <c r="J292" s="1">
        <v>1354</v>
      </c>
      <c r="K292">
        <v>1</v>
      </c>
      <c r="L292">
        <v>15</v>
      </c>
      <c r="M292">
        <v>15.05</v>
      </c>
      <c r="N292" s="1">
        <v>23314689</v>
      </c>
      <c r="O292">
        <v>15.05</v>
      </c>
      <c r="P292">
        <v>16.55</v>
      </c>
      <c r="Q292">
        <v>13.55</v>
      </c>
    </row>
    <row r="293" spans="1:17" x14ac:dyDescent="0.25">
      <c r="A293">
        <v>4416</v>
      </c>
      <c r="B293" t="s">
        <v>315</v>
      </c>
      <c r="C293">
        <v>80</v>
      </c>
      <c r="D293">
        <v>0.2</v>
      </c>
      <c r="E293">
        <v>80</v>
      </c>
      <c r="F293">
        <v>80</v>
      </c>
      <c r="G293">
        <v>80</v>
      </c>
      <c r="H293">
        <v>80</v>
      </c>
      <c r="I293" s="1">
        <v>2000</v>
      </c>
      <c r="J293" s="1">
        <v>160000</v>
      </c>
      <c r="K293">
        <v>2</v>
      </c>
      <c r="L293">
        <v>79.7</v>
      </c>
      <c r="M293">
        <v>80.900000000000006</v>
      </c>
      <c r="N293" s="1">
        <v>60015612</v>
      </c>
      <c r="O293">
        <v>80</v>
      </c>
      <c r="P293">
        <v>88</v>
      </c>
      <c r="Q293">
        <v>72</v>
      </c>
    </row>
    <row r="294" spans="1:17" x14ac:dyDescent="0.25">
      <c r="A294">
        <v>4417</v>
      </c>
      <c r="B294" t="s">
        <v>316</v>
      </c>
      <c r="C294">
        <v>31.7</v>
      </c>
      <c r="D294">
        <v>-0.15</v>
      </c>
      <c r="E294">
        <v>31.9</v>
      </c>
      <c r="F294">
        <v>31.95</v>
      </c>
      <c r="G294">
        <v>31.5</v>
      </c>
      <c r="H294">
        <v>31.68</v>
      </c>
      <c r="I294" s="1">
        <v>141639</v>
      </c>
      <c r="J294" s="1">
        <v>4487352</v>
      </c>
      <c r="K294">
        <v>80</v>
      </c>
      <c r="L294">
        <v>31.6</v>
      </c>
      <c r="M294">
        <v>31.7</v>
      </c>
      <c r="N294" s="1">
        <v>83971399</v>
      </c>
      <c r="O294">
        <v>31.7</v>
      </c>
      <c r="P294">
        <v>34.85</v>
      </c>
      <c r="Q294">
        <v>28.55</v>
      </c>
    </row>
    <row r="295" spans="1:17" x14ac:dyDescent="0.25">
      <c r="A295">
        <v>4419</v>
      </c>
      <c r="B295" t="s">
        <v>1401</v>
      </c>
      <c r="C295">
        <v>7.9</v>
      </c>
      <c r="D295">
        <v>0.49</v>
      </c>
      <c r="E295">
        <v>7.9</v>
      </c>
      <c r="F295">
        <v>7.9</v>
      </c>
      <c r="G295">
        <v>7.9</v>
      </c>
      <c r="H295">
        <v>7.9</v>
      </c>
      <c r="I295" s="1">
        <v>1023</v>
      </c>
      <c r="J295" s="1">
        <v>8086</v>
      </c>
      <c r="K295">
        <v>8</v>
      </c>
      <c r="L295">
        <v>7.9</v>
      </c>
      <c r="M295">
        <v>8.15</v>
      </c>
      <c r="N295" s="1">
        <v>29578917</v>
      </c>
      <c r="O295">
        <v>7.9</v>
      </c>
      <c r="P295">
        <v>8.69</v>
      </c>
      <c r="Q295">
        <v>7.11</v>
      </c>
    </row>
    <row r="296" spans="1:17" x14ac:dyDescent="0.25">
      <c r="A296">
        <v>4420</v>
      </c>
      <c r="B296" t="s">
        <v>317</v>
      </c>
      <c r="C296">
        <v>25.8</v>
      </c>
      <c r="D296">
        <v>0</v>
      </c>
      <c r="E296">
        <v>25.9</v>
      </c>
      <c r="F296">
        <v>26</v>
      </c>
      <c r="G296">
        <v>25.55</v>
      </c>
      <c r="H296">
        <v>25.81</v>
      </c>
      <c r="I296" s="1">
        <v>26000</v>
      </c>
      <c r="J296" s="1">
        <v>670950</v>
      </c>
      <c r="K296">
        <v>18</v>
      </c>
      <c r="L296">
        <v>25.8</v>
      </c>
      <c r="M296">
        <v>25.95</v>
      </c>
      <c r="N296" s="1">
        <v>40455000</v>
      </c>
      <c r="O296">
        <v>25.8</v>
      </c>
      <c r="P296">
        <v>28.35</v>
      </c>
      <c r="Q296">
        <v>23.25</v>
      </c>
    </row>
    <row r="297" spans="1:17" x14ac:dyDescent="0.25">
      <c r="A297">
        <v>4429</v>
      </c>
      <c r="B297" t="s">
        <v>318</v>
      </c>
      <c r="C297">
        <v>22.3</v>
      </c>
      <c r="D297">
        <v>0.2</v>
      </c>
      <c r="E297">
        <v>22.1</v>
      </c>
      <c r="F297">
        <v>23.25</v>
      </c>
      <c r="G297">
        <v>22.1</v>
      </c>
      <c r="H297">
        <v>22.59</v>
      </c>
      <c r="I297" s="1">
        <v>16002</v>
      </c>
      <c r="J297" s="1">
        <v>361444</v>
      </c>
      <c r="K297">
        <v>10</v>
      </c>
      <c r="L297">
        <v>22.15</v>
      </c>
      <c r="M297">
        <v>22.5</v>
      </c>
      <c r="N297" s="1">
        <v>34350000</v>
      </c>
      <c r="O297">
        <v>22.3</v>
      </c>
      <c r="P297">
        <v>24.5</v>
      </c>
      <c r="Q297">
        <v>20.100000000000001</v>
      </c>
    </row>
    <row r="298" spans="1:17" x14ac:dyDescent="0.25">
      <c r="A298">
        <v>4430</v>
      </c>
      <c r="B298" t="s">
        <v>319</v>
      </c>
      <c r="C298">
        <v>24.85</v>
      </c>
      <c r="D298">
        <v>0.15</v>
      </c>
      <c r="E298">
        <v>24.7</v>
      </c>
      <c r="F298">
        <v>24.85</v>
      </c>
      <c r="G298">
        <v>24.7</v>
      </c>
      <c r="H298">
        <v>24.74</v>
      </c>
      <c r="I298" s="1">
        <v>30000</v>
      </c>
      <c r="J298" s="1">
        <v>742200</v>
      </c>
      <c r="K298">
        <v>19</v>
      </c>
      <c r="L298">
        <v>24.75</v>
      </c>
      <c r="M298">
        <v>25</v>
      </c>
      <c r="N298" s="1">
        <v>56273609</v>
      </c>
      <c r="O298">
        <v>24.85</v>
      </c>
      <c r="P298">
        <v>27.3</v>
      </c>
      <c r="Q298">
        <v>22.4</v>
      </c>
    </row>
    <row r="299" spans="1:17" x14ac:dyDescent="0.25">
      <c r="A299">
        <v>4432</v>
      </c>
      <c r="B299" t="s">
        <v>320</v>
      </c>
      <c r="C299">
        <v>32.450000000000003</v>
      </c>
      <c r="D299">
        <v>-0.15</v>
      </c>
      <c r="E299">
        <v>32.6</v>
      </c>
      <c r="F299">
        <v>32.950000000000003</v>
      </c>
      <c r="G299">
        <v>32.450000000000003</v>
      </c>
      <c r="H299">
        <v>32.53</v>
      </c>
      <c r="I299" s="1">
        <v>49160</v>
      </c>
      <c r="J299" s="1">
        <v>1599273</v>
      </c>
      <c r="K299">
        <v>22</v>
      </c>
      <c r="L299">
        <v>32.25</v>
      </c>
      <c r="M299">
        <v>32.450000000000003</v>
      </c>
      <c r="N299" s="1">
        <v>50589000</v>
      </c>
      <c r="O299">
        <v>32.450000000000003</v>
      </c>
      <c r="P299">
        <v>35.65</v>
      </c>
      <c r="Q299">
        <v>29.25</v>
      </c>
    </row>
    <row r="300" spans="1:17" x14ac:dyDescent="0.25">
      <c r="A300">
        <v>4433</v>
      </c>
      <c r="B300" t="s">
        <v>321</v>
      </c>
      <c r="C300">
        <v>20.45</v>
      </c>
      <c r="D300">
        <v>-0.1</v>
      </c>
      <c r="E300">
        <v>20.5</v>
      </c>
      <c r="F300">
        <v>20.55</v>
      </c>
      <c r="G300">
        <v>20.45</v>
      </c>
      <c r="H300">
        <v>20.54</v>
      </c>
      <c r="I300" s="1">
        <v>12000</v>
      </c>
      <c r="J300" s="1">
        <v>246450</v>
      </c>
      <c r="K300">
        <v>4</v>
      </c>
      <c r="L300">
        <v>20.45</v>
      </c>
      <c r="M300">
        <v>20.5</v>
      </c>
      <c r="N300" s="1">
        <v>31533432</v>
      </c>
      <c r="O300">
        <v>20.45</v>
      </c>
      <c r="P300">
        <v>22.45</v>
      </c>
      <c r="Q300">
        <v>18.45</v>
      </c>
    </row>
    <row r="301" spans="1:17" x14ac:dyDescent="0.25">
      <c r="A301">
        <v>4502</v>
      </c>
      <c r="B301" t="s">
        <v>322</v>
      </c>
      <c r="C301">
        <v>80.8</v>
      </c>
      <c r="D301">
        <v>0.4</v>
      </c>
      <c r="E301">
        <v>80.099999999999994</v>
      </c>
      <c r="F301">
        <v>80.8</v>
      </c>
      <c r="G301">
        <v>80.099999999999994</v>
      </c>
      <c r="H301">
        <v>80.59</v>
      </c>
      <c r="I301" s="1">
        <v>67000</v>
      </c>
      <c r="J301" s="1">
        <v>5399600</v>
      </c>
      <c r="K301">
        <v>56</v>
      </c>
      <c r="L301">
        <v>80.099999999999994</v>
      </c>
      <c r="M301">
        <v>80.900000000000006</v>
      </c>
      <c r="N301" s="1">
        <v>44303661</v>
      </c>
      <c r="O301">
        <v>80.8</v>
      </c>
      <c r="P301">
        <v>88.8</v>
      </c>
      <c r="Q301">
        <v>72.8</v>
      </c>
    </row>
    <row r="302" spans="1:17" x14ac:dyDescent="0.25">
      <c r="A302">
        <v>4503</v>
      </c>
      <c r="B302" t="s">
        <v>323</v>
      </c>
      <c r="C302">
        <v>49.1</v>
      </c>
      <c r="D302">
        <v>-0.15</v>
      </c>
      <c r="E302">
        <v>49.1</v>
      </c>
      <c r="F302">
        <v>49.45</v>
      </c>
      <c r="G302">
        <v>49</v>
      </c>
      <c r="H302">
        <v>49.1</v>
      </c>
      <c r="I302" s="1">
        <v>37003</v>
      </c>
      <c r="J302" s="1">
        <v>1816697</v>
      </c>
      <c r="K302" s="1">
        <v>22</v>
      </c>
      <c r="L302">
        <v>49.1</v>
      </c>
      <c r="M302">
        <v>49.4</v>
      </c>
      <c r="N302" s="1">
        <v>39263326</v>
      </c>
      <c r="O302">
        <v>49.1</v>
      </c>
      <c r="P302">
        <v>54</v>
      </c>
      <c r="Q302">
        <v>44.2</v>
      </c>
    </row>
    <row r="303" spans="1:17" x14ac:dyDescent="0.25">
      <c r="A303">
        <v>4506</v>
      </c>
      <c r="B303" t="s">
        <v>324</v>
      </c>
      <c r="C303">
        <v>55.5</v>
      </c>
      <c r="D303">
        <v>0.4</v>
      </c>
      <c r="E303">
        <v>55.3</v>
      </c>
      <c r="F303">
        <v>55.5</v>
      </c>
      <c r="G303">
        <v>55.1</v>
      </c>
      <c r="H303">
        <v>55.32</v>
      </c>
      <c r="I303" s="1">
        <v>16506</v>
      </c>
      <c r="J303" s="1">
        <v>913130</v>
      </c>
      <c r="K303" s="1">
        <v>20</v>
      </c>
      <c r="L303">
        <v>55.1</v>
      </c>
      <c r="M303">
        <v>55.5</v>
      </c>
      <c r="N303" s="1">
        <v>177012000</v>
      </c>
      <c r="O303">
        <v>55.5</v>
      </c>
      <c r="P303">
        <v>61</v>
      </c>
      <c r="Q303">
        <v>49.95</v>
      </c>
    </row>
    <row r="304" spans="1:17" x14ac:dyDescent="0.25">
      <c r="A304">
        <v>4510</v>
      </c>
      <c r="B304" t="s">
        <v>325</v>
      </c>
      <c r="C304">
        <v>18.649999999999999</v>
      </c>
      <c r="D304">
        <v>0</v>
      </c>
      <c r="E304">
        <v>18.8</v>
      </c>
      <c r="F304">
        <v>18.8</v>
      </c>
      <c r="G304">
        <v>18.600000000000001</v>
      </c>
      <c r="H304">
        <v>18.71</v>
      </c>
      <c r="I304" s="1">
        <v>131371</v>
      </c>
      <c r="J304" s="1">
        <v>2458345</v>
      </c>
      <c r="K304">
        <v>95</v>
      </c>
      <c r="L304">
        <v>18.600000000000001</v>
      </c>
      <c r="M304">
        <v>18.7</v>
      </c>
      <c r="N304" s="1">
        <v>108010689</v>
      </c>
      <c r="O304">
        <v>18.649999999999999</v>
      </c>
      <c r="P304">
        <v>20.5</v>
      </c>
      <c r="Q304">
        <v>16.8</v>
      </c>
    </row>
    <row r="305" spans="1:17" x14ac:dyDescent="0.25">
      <c r="A305">
        <v>4513</v>
      </c>
      <c r="B305" t="s">
        <v>326</v>
      </c>
      <c r="C305">
        <v>9.27</v>
      </c>
      <c r="D305">
        <v>7.0000000000000007E-2</v>
      </c>
      <c r="E305">
        <v>9.1999999999999993</v>
      </c>
      <c r="F305">
        <v>9.27</v>
      </c>
      <c r="G305">
        <v>9.1199999999999992</v>
      </c>
      <c r="H305">
        <v>9.19</v>
      </c>
      <c r="I305" s="1">
        <v>50004</v>
      </c>
      <c r="J305" s="1">
        <v>459366</v>
      </c>
      <c r="K305">
        <v>17</v>
      </c>
      <c r="L305">
        <v>9.15</v>
      </c>
      <c r="M305">
        <v>9.26</v>
      </c>
      <c r="N305" s="1">
        <v>76880300</v>
      </c>
      <c r="O305">
        <v>9.27</v>
      </c>
      <c r="P305">
        <v>10.15</v>
      </c>
      <c r="Q305">
        <v>8.35</v>
      </c>
    </row>
    <row r="306" spans="1:17" x14ac:dyDescent="0.25">
      <c r="A306">
        <v>4523</v>
      </c>
      <c r="B306" t="s">
        <v>327</v>
      </c>
      <c r="C306">
        <v>16.149999999999999</v>
      </c>
      <c r="D306">
        <v>0.1</v>
      </c>
      <c r="E306">
        <v>15.9</v>
      </c>
      <c r="F306">
        <v>16.149999999999999</v>
      </c>
      <c r="G306">
        <v>15.9</v>
      </c>
      <c r="H306">
        <v>15.97</v>
      </c>
      <c r="I306" s="1">
        <v>51200</v>
      </c>
      <c r="J306" s="1">
        <v>817880</v>
      </c>
      <c r="K306">
        <v>35</v>
      </c>
      <c r="L306">
        <v>15.9</v>
      </c>
      <c r="M306">
        <v>16.2</v>
      </c>
      <c r="N306" s="1">
        <v>64000000</v>
      </c>
      <c r="O306">
        <v>16.149999999999999</v>
      </c>
      <c r="P306">
        <v>17.75</v>
      </c>
      <c r="Q306">
        <v>14.55</v>
      </c>
    </row>
    <row r="307" spans="1:17" x14ac:dyDescent="0.25">
      <c r="A307">
        <v>4527</v>
      </c>
      <c r="B307" t="s">
        <v>328</v>
      </c>
      <c r="C307">
        <v>30.7</v>
      </c>
      <c r="D307">
        <v>-0.05</v>
      </c>
      <c r="E307">
        <v>30.7</v>
      </c>
      <c r="F307">
        <v>30.7</v>
      </c>
      <c r="G307">
        <v>30.55</v>
      </c>
      <c r="H307">
        <v>30.62</v>
      </c>
      <c r="I307" s="1">
        <v>71133</v>
      </c>
      <c r="J307" s="1">
        <v>2178339</v>
      </c>
      <c r="K307">
        <v>61</v>
      </c>
      <c r="L307">
        <v>30.7</v>
      </c>
      <c r="M307">
        <v>30.75</v>
      </c>
      <c r="N307" s="1">
        <v>76152370</v>
      </c>
      <c r="O307">
        <v>30.7</v>
      </c>
      <c r="P307">
        <v>33.75</v>
      </c>
      <c r="Q307">
        <v>27.65</v>
      </c>
    </row>
    <row r="308" spans="1:17" x14ac:dyDescent="0.25">
      <c r="A308">
        <v>4528</v>
      </c>
      <c r="B308" t="s">
        <v>329</v>
      </c>
      <c r="C308">
        <v>80.400000000000006</v>
      </c>
      <c r="D308">
        <v>0.6</v>
      </c>
      <c r="E308">
        <v>80.2</v>
      </c>
      <c r="F308">
        <v>80.599999999999994</v>
      </c>
      <c r="G308">
        <v>79.099999999999994</v>
      </c>
      <c r="H308">
        <v>80.11</v>
      </c>
      <c r="I308" s="1">
        <v>271028</v>
      </c>
      <c r="J308" s="1">
        <v>21712140</v>
      </c>
      <c r="K308">
        <v>196</v>
      </c>
      <c r="L308">
        <v>80.3</v>
      </c>
      <c r="M308">
        <v>80.400000000000006</v>
      </c>
      <c r="N308" s="1">
        <v>76514268</v>
      </c>
      <c r="O308">
        <v>80.400000000000006</v>
      </c>
      <c r="P308">
        <v>88.4</v>
      </c>
      <c r="Q308">
        <v>72.400000000000006</v>
      </c>
    </row>
    <row r="309" spans="1:17" x14ac:dyDescent="0.25">
      <c r="A309">
        <v>4529</v>
      </c>
      <c r="B309" t="s">
        <v>1402</v>
      </c>
      <c r="C309">
        <v>32.25</v>
      </c>
      <c r="D309">
        <v>-0.05</v>
      </c>
      <c r="E309">
        <v>32.15</v>
      </c>
      <c r="F309">
        <v>32.549999999999997</v>
      </c>
      <c r="G309">
        <v>32.15</v>
      </c>
      <c r="H309">
        <v>32.369999999999997</v>
      </c>
      <c r="I309" s="1">
        <v>95098</v>
      </c>
      <c r="J309" s="1">
        <v>3078510</v>
      </c>
      <c r="K309">
        <v>65</v>
      </c>
      <c r="L309">
        <v>32.25</v>
      </c>
      <c r="M309">
        <v>32.4</v>
      </c>
      <c r="N309" s="1">
        <v>81087296</v>
      </c>
      <c r="O309">
        <v>32.25</v>
      </c>
      <c r="P309">
        <v>35.450000000000003</v>
      </c>
      <c r="Q309">
        <v>29.05</v>
      </c>
    </row>
    <row r="310" spans="1:17" x14ac:dyDescent="0.25">
      <c r="A310">
        <v>4530</v>
      </c>
      <c r="B310" t="s">
        <v>330</v>
      </c>
      <c r="C310">
        <v>7.74</v>
      </c>
      <c r="D310">
        <v>-0.08</v>
      </c>
      <c r="E310">
        <v>7.7</v>
      </c>
      <c r="F310">
        <v>7.95</v>
      </c>
      <c r="G310">
        <v>7.7</v>
      </c>
      <c r="H310">
        <v>7.79</v>
      </c>
      <c r="I310" s="1">
        <v>53001</v>
      </c>
      <c r="J310" s="1">
        <v>412927</v>
      </c>
      <c r="K310">
        <v>32</v>
      </c>
      <c r="L310">
        <v>7.74</v>
      </c>
      <c r="M310">
        <v>7.94</v>
      </c>
      <c r="N310" s="1">
        <v>46172276</v>
      </c>
      <c r="O310">
        <v>7.74</v>
      </c>
      <c r="P310">
        <v>8.51</v>
      </c>
      <c r="Q310">
        <v>6.97</v>
      </c>
    </row>
    <row r="311" spans="1:17" x14ac:dyDescent="0.25">
      <c r="A311">
        <v>4533</v>
      </c>
      <c r="B311" t="s">
        <v>331</v>
      </c>
      <c r="C311">
        <v>13.05</v>
      </c>
      <c r="D311">
        <v>0</v>
      </c>
      <c r="E311">
        <v>13.15</v>
      </c>
      <c r="F311">
        <v>13.15</v>
      </c>
      <c r="G311">
        <v>12.85</v>
      </c>
      <c r="H311">
        <v>13.06</v>
      </c>
      <c r="I311" s="1">
        <v>432009</v>
      </c>
      <c r="J311" s="1">
        <v>5643126</v>
      </c>
      <c r="K311">
        <v>133</v>
      </c>
      <c r="L311">
        <v>13.05</v>
      </c>
      <c r="M311">
        <v>13.1</v>
      </c>
      <c r="N311" s="1">
        <v>158434110</v>
      </c>
      <c r="O311">
        <v>13.05</v>
      </c>
      <c r="P311">
        <v>14.35</v>
      </c>
      <c r="Q311">
        <v>11.75</v>
      </c>
    </row>
    <row r="312" spans="1:17" x14ac:dyDescent="0.25">
      <c r="A312">
        <v>4534</v>
      </c>
      <c r="B312" t="s">
        <v>332</v>
      </c>
      <c r="C312">
        <v>18.149999999999999</v>
      </c>
      <c r="D312">
        <v>0.15</v>
      </c>
      <c r="E312">
        <v>18.100000000000001</v>
      </c>
      <c r="F312">
        <v>18.399999999999999</v>
      </c>
      <c r="G312">
        <v>18</v>
      </c>
      <c r="H312">
        <v>18.11</v>
      </c>
      <c r="I312" s="1">
        <v>95990</v>
      </c>
      <c r="J312" s="1">
        <v>1738470</v>
      </c>
      <c r="K312">
        <v>59</v>
      </c>
      <c r="L312">
        <v>18.05</v>
      </c>
      <c r="M312">
        <v>18.149999999999999</v>
      </c>
      <c r="N312" s="1">
        <v>87444822</v>
      </c>
      <c r="O312">
        <v>18.149999999999999</v>
      </c>
      <c r="P312">
        <v>19.95</v>
      </c>
      <c r="Q312">
        <v>16.350000000000001</v>
      </c>
    </row>
    <row r="313" spans="1:17" x14ac:dyDescent="0.25">
      <c r="A313">
        <v>4535</v>
      </c>
      <c r="B313" t="s">
        <v>333</v>
      </c>
      <c r="C313">
        <v>41.9</v>
      </c>
      <c r="D313">
        <v>0</v>
      </c>
      <c r="E313">
        <v>41.9</v>
      </c>
      <c r="F313">
        <v>42.05</v>
      </c>
      <c r="G313">
        <v>41.9</v>
      </c>
      <c r="H313">
        <v>41.94</v>
      </c>
      <c r="I313" s="1">
        <v>33358</v>
      </c>
      <c r="J313" s="1">
        <v>1398901</v>
      </c>
      <c r="K313">
        <v>22</v>
      </c>
      <c r="L313">
        <v>41.95</v>
      </c>
      <c r="M313">
        <v>42</v>
      </c>
      <c r="N313" s="1">
        <v>75661740</v>
      </c>
      <c r="O313">
        <v>41.9</v>
      </c>
      <c r="P313">
        <v>46.05</v>
      </c>
      <c r="Q313">
        <v>37.75</v>
      </c>
    </row>
    <row r="314" spans="1:17" x14ac:dyDescent="0.25">
      <c r="A314">
        <v>4541</v>
      </c>
      <c r="B314" t="s">
        <v>334</v>
      </c>
      <c r="C314">
        <v>28.85</v>
      </c>
      <c r="D314">
        <v>0</v>
      </c>
      <c r="E314">
        <v>28.85</v>
      </c>
      <c r="F314">
        <v>28.9</v>
      </c>
      <c r="G314">
        <v>28.7</v>
      </c>
      <c r="H314">
        <v>28.79</v>
      </c>
      <c r="I314" s="1">
        <v>70100</v>
      </c>
      <c r="J314" s="1">
        <v>2017860</v>
      </c>
      <c r="K314">
        <v>31</v>
      </c>
      <c r="L314">
        <v>28.8</v>
      </c>
      <c r="M314">
        <v>28.85</v>
      </c>
      <c r="N314" s="1">
        <v>54143426</v>
      </c>
      <c r="O314">
        <v>28.85</v>
      </c>
      <c r="P314">
        <v>31.7</v>
      </c>
      <c r="Q314">
        <v>26</v>
      </c>
    </row>
    <row r="315" spans="1:17" x14ac:dyDescent="0.25">
      <c r="A315">
        <v>4542</v>
      </c>
      <c r="B315" t="s">
        <v>335</v>
      </c>
      <c r="C315">
        <v>31.5</v>
      </c>
      <c r="D315">
        <v>-0.35</v>
      </c>
      <c r="E315">
        <v>29.8</v>
      </c>
      <c r="F315">
        <v>32</v>
      </c>
      <c r="G315">
        <v>29.8</v>
      </c>
      <c r="H315">
        <v>30.36</v>
      </c>
      <c r="I315" s="1">
        <v>28000</v>
      </c>
      <c r="J315" s="1">
        <v>850000</v>
      </c>
      <c r="K315">
        <v>19</v>
      </c>
      <c r="L315">
        <v>31.5</v>
      </c>
      <c r="M315">
        <v>31.55</v>
      </c>
      <c r="N315" s="1">
        <v>28285400</v>
      </c>
      <c r="O315">
        <v>31.5</v>
      </c>
      <c r="P315">
        <v>34.65</v>
      </c>
      <c r="Q315">
        <v>28.35</v>
      </c>
    </row>
    <row r="316" spans="1:17" x14ac:dyDescent="0.25">
      <c r="A316">
        <v>4543</v>
      </c>
      <c r="B316" t="s">
        <v>336</v>
      </c>
      <c r="C316">
        <v>19.05</v>
      </c>
      <c r="D316">
        <v>-0.1</v>
      </c>
      <c r="E316">
        <v>19.149999999999999</v>
      </c>
      <c r="F316">
        <v>19.149999999999999</v>
      </c>
      <c r="G316">
        <v>19.05</v>
      </c>
      <c r="H316">
        <v>19.100000000000001</v>
      </c>
      <c r="I316" s="1">
        <v>2000</v>
      </c>
      <c r="J316" s="1">
        <v>38200</v>
      </c>
      <c r="K316">
        <v>2</v>
      </c>
      <c r="L316">
        <v>18.8</v>
      </c>
      <c r="M316">
        <v>19.100000000000001</v>
      </c>
      <c r="N316" s="1">
        <v>56840000</v>
      </c>
      <c r="O316">
        <v>19.05</v>
      </c>
      <c r="P316">
        <v>20.95</v>
      </c>
      <c r="Q316">
        <v>17.149999999999999</v>
      </c>
    </row>
    <row r="317" spans="1:17" x14ac:dyDescent="0.25">
      <c r="A317">
        <v>4549</v>
      </c>
      <c r="B317" t="s">
        <v>337</v>
      </c>
      <c r="C317">
        <v>95</v>
      </c>
      <c r="D317">
        <v>4</v>
      </c>
      <c r="E317">
        <v>91.5</v>
      </c>
      <c r="F317">
        <v>95</v>
      </c>
      <c r="G317">
        <v>91.3</v>
      </c>
      <c r="H317">
        <v>93.54</v>
      </c>
      <c r="I317" s="1">
        <v>225446</v>
      </c>
      <c r="J317" s="1">
        <v>21089263</v>
      </c>
      <c r="K317">
        <v>160</v>
      </c>
      <c r="L317">
        <v>95</v>
      </c>
      <c r="M317">
        <v>95.3</v>
      </c>
      <c r="N317" s="1">
        <v>40389224</v>
      </c>
      <c r="O317">
        <v>95</v>
      </c>
      <c r="P317">
        <v>104.5</v>
      </c>
      <c r="Q317">
        <v>85.5</v>
      </c>
    </row>
    <row r="318" spans="1:17" x14ac:dyDescent="0.25">
      <c r="A318">
        <v>4550</v>
      </c>
      <c r="B318" t="s">
        <v>338</v>
      </c>
      <c r="C318">
        <v>18.8</v>
      </c>
      <c r="D318">
        <v>-0.05</v>
      </c>
      <c r="E318">
        <v>18.7</v>
      </c>
      <c r="F318">
        <v>18.8</v>
      </c>
      <c r="G318">
        <v>18.7</v>
      </c>
      <c r="H318">
        <v>18.72</v>
      </c>
      <c r="I318" s="1">
        <v>4000</v>
      </c>
      <c r="J318" s="1">
        <v>74900</v>
      </c>
      <c r="K318">
        <v>3</v>
      </c>
      <c r="L318">
        <v>18.7</v>
      </c>
      <c r="M318">
        <v>18.95</v>
      </c>
      <c r="N318" s="1">
        <v>34456415</v>
      </c>
      <c r="O318">
        <v>18.8</v>
      </c>
      <c r="P318">
        <v>20.65</v>
      </c>
      <c r="Q318">
        <v>16.95</v>
      </c>
    </row>
    <row r="319" spans="1:17" x14ac:dyDescent="0.25">
      <c r="A319">
        <v>4554</v>
      </c>
      <c r="B319" t="s">
        <v>339</v>
      </c>
      <c r="C319">
        <v>29.9</v>
      </c>
      <c r="D319">
        <v>-0.4</v>
      </c>
      <c r="E319">
        <v>30</v>
      </c>
      <c r="F319">
        <v>30</v>
      </c>
      <c r="G319">
        <v>29.55</v>
      </c>
      <c r="H319">
        <v>29.82</v>
      </c>
      <c r="I319" s="1">
        <v>32000</v>
      </c>
      <c r="J319" s="1">
        <v>954200</v>
      </c>
      <c r="K319" s="1">
        <v>29</v>
      </c>
      <c r="L319">
        <v>29.9</v>
      </c>
      <c r="M319">
        <v>30.45</v>
      </c>
      <c r="N319" s="1">
        <v>21374900</v>
      </c>
      <c r="O319">
        <v>29.9</v>
      </c>
      <c r="P319">
        <v>32.85</v>
      </c>
      <c r="Q319">
        <v>26.95</v>
      </c>
    </row>
    <row r="320" spans="1:17" x14ac:dyDescent="0.25">
      <c r="A320">
        <v>4556</v>
      </c>
      <c r="B320" t="s">
        <v>340</v>
      </c>
      <c r="C320">
        <v>30.35</v>
      </c>
      <c r="D320">
        <v>-0.45</v>
      </c>
      <c r="E320">
        <v>30.35</v>
      </c>
      <c r="F320">
        <v>30.35</v>
      </c>
      <c r="G320">
        <v>30.2</v>
      </c>
      <c r="H320">
        <v>30.28</v>
      </c>
      <c r="I320" s="1">
        <v>14001</v>
      </c>
      <c r="J320" s="1">
        <v>423930</v>
      </c>
      <c r="K320">
        <v>6</v>
      </c>
      <c r="L320">
        <v>30.55</v>
      </c>
      <c r="M320">
        <v>30.7</v>
      </c>
      <c r="N320" s="1">
        <v>35228000</v>
      </c>
      <c r="O320">
        <v>30.35</v>
      </c>
      <c r="P320">
        <v>33.35</v>
      </c>
      <c r="Q320">
        <v>27.35</v>
      </c>
    </row>
    <row r="321" spans="1:17" x14ac:dyDescent="0.25">
      <c r="A321">
        <v>4609</v>
      </c>
      <c r="B321" t="s">
        <v>341</v>
      </c>
      <c r="C321" t="s">
        <v>78</v>
      </c>
      <c r="D321" t="s">
        <v>78</v>
      </c>
      <c r="E321" t="s">
        <v>78</v>
      </c>
      <c r="F321" t="s">
        <v>78</v>
      </c>
      <c r="G321" t="s">
        <v>78</v>
      </c>
      <c r="H321">
        <v>9.74</v>
      </c>
      <c r="I321" s="1">
        <v>0</v>
      </c>
      <c r="J321" s="1">
        <v>0</v>
      </c>
      <c r="K321">
        <v>0</v>
      </c>
      <c r="L321">
        <v>9.7100000000000009</v>
      </c>
      <c r="M321">
        <v>9.85</v>
      </c>
      <c r="N321" s="1">
        <v>47946820</v>
      </c>
      <c r="O321">
        <v>9.85</v>
      </c>
      <c r="P321">
        <v>10.8</v>
      </c>
      <c r="Q321">
        <v>8.8699999999999992</v>
      </c>
    </row>
    <row r="322" spans="1:17" x14ac:dyDescent="0.25">
      <c r="A322">
        <v>4702</v>
      </c>
      <c r="B322" t="s">
        <v>342</v>
      </c>
      <c r="C322">
        <v>5.65</v>
      </c>
      <c r="D322">
        <v>0</v>
      </c>
      <c r="E322">
        <v>5.65</v>
      </c>
      <c r="F322">
        <v>5.69</v>
      </c>
      <c r="G322">
        <v>5.64</v>
      </c>
      <c r="H322">
        <v>5.65</v>
      </c>
      <c r="I322" s="1">
        <v>124014</v>
      </c>
      <c r="J322" s="1">
        <v>701176</v>
      </c>
      <c r="K322">
        <v>48</v>
      </c>
      <c r="L322">
        <v>5.64</v>
      </c>
      <c r="M322">
        <v>5.65</v>
      </c>
      <c r="N322" s="1">
        <v>225000000</v>
      </c>
      <c r="O322">
        <v>5.65</v>
      </c>
      <c r="P322">
        <v>6.21</v>
      </c>
      <c r="Q322">
        <v>5.09</v>
      </c>
    </row>
    <row r="323" spans="1:17" x14ac:dyDescent="0.25">
      <c r="A323">
        <v>4706</v>
      </c>
      <c r="B323" t="s">
        <v>343</v>
      </c>
      <c r="C323">
        <v>21.25</v>
      </c>
      <c r="D323">
        <v>0</v>
      </c>
      <c r="E323">
        <v>21.1</v>
      </c>
      <c r="F323">
        <v>21.25</v>
      </c>
      <c r="G323">
        <v>21.1</v>
      </c>
      <c r="H323">
        <v>21.19</v>
      </c>
      <c r="I323" s="1">
        <v>10001</v>
      </c>
      <c r="J323" s="1">
        <v>211971</v>
      </c>
      <c r="K323" s="1">
        <v>11</v>
      </c>
      <c r="L323">
        <v>21.15</v>
      </c>
      <c r="M323">
        <v>21.25</v>
      </c>
      <c r="N323" s="1">
        <v>79030093</v>
      </c>
      <c r="O323">
        <v>21.25</v>
      </c>
      <c r="P323">
        <v>23.35</v>
      </c>
      <c r="Q323">
        <v>19.149999999999999</v>
      </c>
    </row>
    <row r="324" spans="1:17" x14ac:dyDescent="0.25">
      <c r="A324">
        <v>4707</v>
      </c>
      <c r="B324" t="s">
        <v>344</v>
      </c>
      <c r="C324">
        <v>9.57</v>
      </c>
      <c r="D324">
        <v>-0.01</v>
      </c>
      <c r="E324">
        <v>9.61</v>
      </c>
      <c r="F324">
        <v>9.65</v>
      </c>
      <c r="G324">
        <v>9.57</v>
      </c>
      <c r="H324">
        <v>9.61</v>
      </c>
      <c r="I324" s="1">
        <v>159255</v>
      </c>
      <c r="J324" s="1">
        <v>1529686</v>
      </c>
      <c r="K324">
        <v>74</v>
      </c>
      <c r="L324">
        <v>9.57</v>
      </c>
      <c r="M324">
        <v>9.6199999999999992</v>
      </c>
      <c r="N324" s="1">
        <v>245706232</v>
      </c>
      <c r="O324">
        <v>9.57</v>
      </c>
      <c r="P324">
        <v>10.5</v>
      </c>
      <c r="Q324">
        <v>8.6199999999999992</v>
      </c>
    </row>
    <row r="325" spans="1:17" x14ac:dyDescent="0.25">
      <c r="A325">
        <v>4711</v>
      </c>
      <c r="B325" t="s">
        <v>345</v>
      </c>
      <c r="C325">
        <v>16.95</v>
      </c>
      <c r="D325">
        <v>0.1</v>
      </c>
      <c r="E325">
        <v>16.8</v>
      </c>
      <c r="F325">
        <v>16.95</v>
      </c>
      <c r="G325">
        <v>16.75</v>
      </c>
      <c r="H325">
        <v>16.8</v>
      </c>
      <c r="I325" s="1">
        <v>17000</v>
      </c>
      <c r="J325" s="1">
        <v>285550</v>
      </c>
      <c r="K325" s="1">
        <v>10</v>
      </c>
      <c r="L325">
        <v>16.8</v>
      </c>
      <c r="M325">
        <v>16.95</v>
      </c>
      <c r="N325" s="1">
        <v>61056000</v>
      </c>
      <c r="O325">
        <v>16.95</v>
      </c>
      <c r="P325">
        <v>18.600000000000001</v>
      </c>
      <c r="Q325">
        <v>15.3</v>
      </c>
    </row>
    <row r="326" spans="1:17" x14ac:dyDescent="0.25">
      <c r="A326">
        <v>4712</v>
      </c>
      <c r="B326" t="s">
        <v>346</v>
      </c>
      <c r="C326">
        <v>10</v>
      </c>
      <c r="D326">
        <v>-0.1</v>
      </c>
      <c r="E326">
        <v>10</v>
      </c>
      <c r="F326">
        <v>10.199999999999999</v>
      </c>
      <c r="G326">
        <v>10</v>
      </c>
      <c r="H326">
        <v>10.08</v>
      </c>
      <c r="I326" s="1">
        <v>72075</v>
      </c>
      <c r="J326" s="1">
        <v>726650</v>
      </c>
      <c r="K326">
        <v>29</v>
      </c>
      <c r="L326">
        <v>9.9499999999999993</v>
      </c>
      <c r="M326">
        <v>10</v>
      </c>
      <c r="N326" s="1">
        <v>60524372</v>
      </c>
      <c r="O326">
        <v>10</v>
      </c>
      <c r="P326">
        <v>11</v>
      </c>
      <c r="Q326">
        <v>9</v>
      </c>
    </row>
    <row r="327" spans="1:17" x14ac:dyDescent="0.25">
      <c r="A327">
        <v>4714</v>
      </c>
      <c r="B327" t="s">
        <v>347</v>
      </c>
      <c r="C327">
        <v>16</v>
      </c>
      <c r="D327">
        <v>0.3</v>
      </c>
      <c r="E327">
        <v>15.65</v>
      </c>
      <c r="F327">
        <v>16.05</v>
      </c>
      <c r="G327">
        <v>15.65</v>
      </c>
      <c r="H327">
        <v>15.89</v>
      </c>
      <c r="I327" s="1">
        <v>1045585</v>
      </c>
      <c r="J327" s="1">
        <v>16609488</v>
      </c>
      <c r="K327">
        <v>508</v>
      </c>
      <c r="L327">
        <v>15.9</v>
      </c>
      <c r="M327">
        <v>16</v>
      </c>
      <c r="N327" s="1">
        <v>84996617</v>
      </c>
      <c r="O327">
        <v>16</v>
      </c>
      <c r="P327">
        <v>17.600000000000001</v>
      </c>
      <c r="Q327">
        <v>14.4</v>
      </c>
    </row>
    <row r="328" spans="1:17" x14ac:dyDescent="0.25">
      <c r="A328">
        <v>4716</v>
      </c>
      <c r="B328" t="s">
        <v>348</v>
      </c>
      <c r="C328">
        <v>23.9</v>
      </c>
      <c r="D328">
        <v>1.4</v>
      </c>
      <c r="E328">
        <v>22.5</v>
      </c>
      <c r="F328">
        <v>23.9</v>
      </c>
      <c r="G328">
        <v>22.05</v>
      </c>
      <c r="H328">
        <v>23.14</v>
      </c>
      <c r="I328" s="1">
        <v>440957</v>
      </c>
      <c r="J328" s="1">
        <v>10202519</v>
      </c>
      <c r="K328">
        <v>215</v>
      </c>
      <c r="L328">
        <v>23.65</v>
      </c>
      <c r="M328">
        <v>23.9</v>
      </c>
      <c r="N328" s="1">
        <v>74427288</v>
      </c>
      <c r="O328">
        <v>23.9</v>
      </c>
      <c r="P328">
        <v>26.25</v>
      </c>
      <c r="Q328">
        <v>21.55</v>
      </c>
    </row>
    <row r="329" spans="1:17" x14ac:dyDescent="0.25">
      <c r="A329">
        <v>4721</v>
      </c>
      <c r="B329" t="s">
        <v>349</v>
      </c>
      <c r="C329">
        <v>109.5</v>
      </c>
      <c r="D329">
        <v>1.5</v>
      </c>
      <c r="E329">
        <v>107.5</v>
      </c>
      <c r="F329">
        <v>110</v>
      </c>
      <c r="G329">
        <v>106.5</v>
      </c>
      <c r="H329">
        <v>107.97</v>
      </c>
      <c r="I329" s="1">
        <v>3440779</v>
      </c>
      <c r="J329" s="1">
        <v>371507298</v>
      </c>
      <c r="K329" s="1">
        <v>2380</v>
      </c>
      <c r="L329">
        <v>109</v>
      </c>
      <c r="M329">
        <v>109.5</v>
      </c>
      <c r="N329" s="1">
        <v>74986304</v>
      </c>
      <c r="O329">
        <v>109.5</v>
      </c>
      <c r="P329">
        <v>120</v>
      </c>
      <c r="Q329">
        <v>98.6</v>
      </c>
    </row>
    <row r="330" spans="1:17" x14ac:dyDescent="0.25">
      <c r="A330">
        <v>4726</v>
      </c>
      <c r="B330" t="s">
        <v>350</v>
      </c>
      <c r="C330">
        <v>26.35</v>
      </c>
      <c r="D330">
        <v>-0.2</v>
      </c>
      <c r="E330">
        <v>26.35</v>
      </c>
      <c r="F330">
        <v>26.75</v>
      </c>
      <c r="G330">
        <v>26.25</v>
      </c>
      <c r="H330">
        <v>26.39</v>
      </c>
      <c r="I330" s="1">
        <v>57020</v>
      </c>
      <c r="J330" s="1">
        <v>1504776</v>
      </c>
      <c r="K330">
        <v>42</v>
      </c>
      <c r="L330">
        <v>26.35</v>
      </c>
      <c r="M330">
        <v>26.4</v>
      </c>
      <c r="N330" s="1">
        <v>112145500</v>
      </c>
      <c r="O330">
        <v>26.35</v>
      </c>
      <c r="P330">
        <v>28.95</v>
      </c>
      <c r="Q330">
        <v>23.75</v>
      </c>
    </row>
    <row r="331" spans="1:17" x14ac:dyDescent="0.25">
      <c r="A331">
        <v>4728</v>
      </c>
      <c r="B331" t="s">
        <v>351</v>
      </c>
      <c r="C331">
        <v>27.75</v>
      </c>
      <c r="D331">
        <v>0.05</v>
      </c>
      <c r="E331">
        <v>27.7</v>
      </c>
      <c r="F331">
        <v>28.1</v>
      </c>
      <c r="G331">
        <v>27.7</v>
      </c>
      <c r="H331">
        <v>27.77</v>
      </c>
      <c r="I331" s="1">
        <v>117012</v>
      </c>
      <c r="J331" s="1">
        <v>3249186</v>
      </c>
      <c r="K331">
        <v>62</v>
      </c>
      <c r="L331">
        <v>27.75</v>
      </c>
      <c r="M331">
        <v>27.95</v>
      </c>
      <c r="N331" s="1">
        <v>54463000</v>
      </c>
      <c r="O331">
        <v>27.75</v>
      </c>
      <c r="P331">
        <v>30.5</v>
      </c>
      <c r="Q331">
        <v>25</v>
      </c>
    </row>
    <row r="332" spans="1:17" x14ac:dyDescent="0.25">
      <c r="A332">
        <v>4729</v>
      </c>
      <c r="B332" t="s">
        <v>352</v>
      </c>
      <c r="C332">
        <v>21.7</v>
      </c>
      <c r="D332">
        <v>0.3</v>
      </c>
      <c r="E332">
        <v>21.4</v>
      </c>
      <c r="F332">
        <v>22.1</v>
      </c>
      <c r="G332">
        <v>21.4</v>
      </c>
      <c r="H332">
        <v>21.86</v>
      </c>
      <c r="I332" s="1">
        <v>274000</v>
      </c>
      <c r="J332" s="1">
        <v>5990750</v>
      </c>
      <c r="K332">
        <v>177</v>
      </c>
      <c r="L332">
        <v>21.65</v>
      </c>
      <c r="M332">
        <v>21.75</v>
      </c>
      <c r="N332" s="1">
        <v>104932000</v>
      </c>
      <c r="O332">
        <v>21.7</v>
      </c>
      <c r="P332">
        <v>23.85</v>
      </c>
      <c r="Q332">
        <v>19.55</v>
      </c>
    </row>
    <row r="333" spans="1:17" x14ac:dyDescent="0.25">
      <c r="A333">
        <v>4735</v>
      </c>
      <c r="B333" t="s">
        <v>353</v>
      </c>
      <c r="C333">
        <v>50.5</v>
      </c>
      <c r="D333">
        <v>0</v>
      </c>
      <c r="E333">
        <v>50.8</v>
      </c>
      <c r="F333">
        <v>50.9</v>
      </c>
      <c r="G333">
        <v>50.4</v>
      </c>
      <c r="H333">
        <v>50.57</v>
      </c>
      <c r="I333" s="1">
        <v>256016</v>
      </c>
      <c r="J333" s="1">
        <v>12946732</v>
      </c>
      <c r="K333">
        <v>210</v>
      </c>
      <c r="L333">
        <v>50.5</v>
      </c>
      <c r="M333">
        <v>50.6</v>
      </c>
      <c r="N333" s="1">
        <v>34111375</v>
      </c>
      <c r="O333">
        <v>50.5</v>
      </c>
      <c r="P333">
        <v>55.5</v>
      </c>
      <c r="Q333">
        <v>45.45</v>
      </c>
    </row>
    <row r="334" spans="1:17" x14ac:dyDescent="0.25">
      <c r="A334">
        <v>4736</v>
      </c>
      <c r="B334" t="s">
        <v>354</v>
      </c>
      <c r="C334">
        <v>97.4</v>
      </c>
      <c r="D334">
        <v>-0.1</v>
      </c>
      <c r="E334">
        <v>98</v>
      </c>
      <c r="F334">
        <v>98.3</v>
      </c>
      <c r="G334">
        <v>97.2</v>
      </c>
      <c r="H334">
        <v>97.45</v>
      </c>
      <c r="I334" s="1">
        <v>122177</v>
      </c>
      <c r="J334" s="1">
        <v>11905837</v>
      </c>
      <c r="K334">
        <v>122</v>
      </c>
      <c r="L334">
        <v>97.3</v>
      </c>
      <c r="M334">
        <v>97.5</v>
      </c>
      <c r="N334" s="1">
        <v>78327735</v>
      </c>
      <c r="O334">
        <v>97.4</v>
      </c>
      <c r="P334">
        <v>107</v>
      </c>
      <c r="Q334">
        <v>87.7</v>
      </c>
    </row>
    <row r="335" spans="1:17" x14ac:dyDescent="0.25">
      <c r="A335">
        <v>4741</v>
      </c>
      <c r="B335" t="s">
        <v>1403</v>
      </c>
      <c r="C335">
        <v>67.5</v>
      </c>
      <c r="D335">
        <v>0.1</v>
      </c>
      <c r="E335">
        <v>69.5</v>
      </c>
      <c r="F335">
        <v>69.5</v>
      </c>
      <c r="G335">
        <v>67</v>
      </c>
      <c r="H335">
        <v>67.53</v>
      </c>
      <c r="I335" s="1">
        <v>26002</v>
      </c>
      <c r="J335" s="1">
        <v>1755835</v>
      </c>
      <c r="K335">
        <v>16</v>
      </c>
      <c r="L335">
        <v>66.7</v>
      </c>
      <c r="M335">
        <v>67.599999999999994</v>
      </c>
      <c r="N335" s="1">
        <v>32841584</v>
      </c>
      <c r="O335">
        <v>67.5</v>
      </c>
      <c r="P335">
        <v>74.2</v>
      </c>
      <c r="Q335">
        <v>60.8</v>
      </c>
    </row>
    <row r="336" spans="1:17" x14ac:dyDescent="0.25">
      <c r="A336">
        <v>4743</v>
      </c>
      <c r="B336" t="s">
        <v>355</v>
      </c>
      <c r="C336">
        <v>20.3</v>
      </c>
      <c r="D336">
        <v>0.1</v>
      </c>
      <c r="E336">
        <v>20.350000000000001</v>
      </c>
      <c r="F336">
        <v>20.45</v>
      </c>
      <c r="G336">
        <v>20.2</v>
      </c>
      <c r="H336">
        <v>20.28</v>
      </c>
      <c r="I336" s="1">
        <v>198437</v>
      </c>
      <c r="J336" s="1">
        <v>4023869</v>
      </c>
      <c r="K336" s="1">
        <v>118</v>
      </c>
      <c r="L336">
        <v>20.3</v>
      </c>
      <c r="M336">
        <v>20.399999999999999</v>
      </c>
      <c r="N336" s="1">
        <v>195752229</v>
      </c>
      <c r="O336">
        <v>20.3</v>
      </c>
      <c r="P336">
        <v>22.3</v>
      </c>
      <c r="Q336">
        <v>18.3</v>
      </c>
    </row>
    <row r="337" spans="1:17" x14ac:dyDescent="0.25">
      <c r="A337">
        <v>4745</v>
      </c>
      <c r="B337" t="s">
        <v>356</v>
      </c>
      <c r="C337">
        <v>39</v>
      </c>
      <c r="D337">
        <v>-0.3</v>
      </c>
      <c r="E337">
        <v>39.299999999999997</v>
      </c>
      <c r="F337">
        <v>39.299999999999997</v>
      </c>
      <c r="G337">
        <v>38.799999999999997</v>
      </c>
      <c r="H337">
        <v>38.909999999999997</v>
      </c>
      <c r="I337" s="1">
        <v>62000</v>
      </c>
      <c r="J337" s="1">
        <v>2412350</v>
      </c>
      <c r="K337">
        <v>39</v>
      </c>
      <c r="L337">
        <v>38.85</v>
      </c>
      <c r="M337">
        <v>39</v>
      </c>
      <c r="N337" s="1">
        <v>57698085</v>
      </c>
      <c r="O337">
        <v>39</v>
      </c>
      <c r="P337">
        <v>42.9</v>
      </c>
      <c r="Q337">
        <v>35.1</v>
      </c>
    </row>
    <row r="338" spans="1:17" x14ac:dyDescent="0.25">
      <c r="A338">
        <v>4747</v>
      </c>
      <c r="B338" t="s">
        <v>357</v>
      </c>
      <c r="C338">
        <v>38.75</v>
      </c>
      <c r="D338">
        <v>-0.15</v>
      </c>
      <c r="E338">
        <v>38.9</v>
      </c>
      <c r="F338">
        <v>39</v>
      </c>
      <c r="G338">
        <v>38.65</v>
      </c>
      <c r="H338">
        <v>38.729999999999997</v>
      </c>
      <c r="I338" s="1">
        <v>9000</v>
      </c>
      <c r="J338" s="1">
        <v>348550</v>
      </c>
      <c r="K338">
        <v>5</v>
      </c>
      <c r="L338">
        <v>38.700000000000003</v>
      </c>
      <c r="M338">
        <v>38.799999999999997</v>
      </c>
      <c r="N338" s="1">
        <v>30018750</v>
      </c>
      <c r="O338">
        <v>38.75</v>
      </c>
      <c r="P338">
        <v>42.6</v>
      </c>
      <c r="Q338">
        <v>34.9</v>
      </c>
    </row>
    <row r="339" spans="1:17" x14ac:dyDescent="0.25">
      <c r="A339">
        <v>4754</v>
      </c>
      <c r="B339" t="s">
        <v>358</v>
      </c>
      <c r="C339" t="s">
        <v>78</v>
      </c>
      <c r="D339" t="s">
        <v>78</v>
      </c>
      <c r="E339" t="s">
        <v>78</v>
      </c>
      <c r="F339" t="s">
        <v>78</v>
      </c>
      <c r="G339" t="s">
        <v>78</v>
      </c>
      <c r="H339">
        <v>40.549999999999997</v>
      </c>
      <c r="I339" s="1">
        <v>0</v>
      </c>
      <c r="J339" s="1">
        <v>0</v>
      </c>
      <c r="K339">
        <v>0</v>
      </c>
      <c r="L339">
        <v>40</v>
      </c>
      <c r="M339">
        <v>40.5</v>
      </c>
      <c r="N339" s="1">
        <v>15634340</v>
      </c>
      <c r="O339">
        <v>40.15</v>
      </c>
      <c r="P339">
        <v>44.15</v>
      </c>
      <c r="Q339">
        <v>36.15</v>
      </c>
    </row>
    <row r="340" spans="1:17" x14ac:dyDescent="0.25">
      <c r="A340">
        <v>4803</v>
      </c>
      <c r="B340" t="s">
        <v>359</v>
      </c>
      <c r="C340">
        <v>170</v>
      </c>
      <c r="D340">
        <v>-2</v>
      </c>
      <c r="E340">
        <v>172</v>
      </c>
      <c r="F340">
        <v>175</v>
      </c>
      <c r="G340">
        <v>168</v>
      </c>
      <c r="H340">
        <v>170.78</v>
      </c>
      <c r="I340" s="1">
        <v>517098</v>
      </c>
      <c r="J340" s="1">
        <v>88307856</v>
      </c>
      <c r="K340">
        <v>434</v>
      </c>
      <c r="L340">
        <v>169.5</v>
      </c>
      <c r="M340">
        <v>170.5</v>
      </c>
      <c r="N340" s="1">
        <v>32277001</v>
      </c>
      <c r="O340">
        <v>170</v>
      </c>
      <c r="P340">
        <v>187</v>
      </c>
      <c r="Q340">
        <v>153</v>
      </c>
    </row>
    <row r="341" spans="1:17" x14ac:dyDescent="0.25">
      <c r="A341">
        <v>4804</v>
      </c>
      <c r="B341" t="s">
        <v>360</v>
      </c>
      <c r="C341">
        <v>38.799999999999997</v>
      </c>
      <c r="D341">
        <v>0</v>
      </c>
      <c r="E341">
        <v>38.799999999999997</v>
      </c>
      <c r="F341">
        <v>39</v>
      </c>
      <c r="G341">
        <v>38.5</v>
      </c>
      <c r="H341">
        <v>38.729999999999997</v>
      </c>
      <c r="I341" s="1">
        <v>78002</v>
      </c>
      <c r="J341" s="1">
        <v>3020677</v>
      </c>
      <c r="K341">
        <v>55</v>
      </c>
      <c r="L341">
        <v>38.799999999999997</v>
      </c>
      <c r="M341">
        <v>38.85</v>
      </c>
      <c r="N341" s="1">
        <v>36031920</v>
      </c>
      <c r="O341">
        <v>38.799999999999997</v>
      </c>
      <c r="P341">
        <v>42.65</v>
      </c>
      <c r="Q341">
        <v>34.950000000000003</v>
      </c>
    </row>
    <row r="342" spans="1:17" x14ac:dyDescent="0.25">
      <c r="A342">
        <v>4806</v>
      </c>
      <c r="B342" t="s">
        <v>361</v>
      </c>
      <c r="C342">
        <v>45.5</v>
      </c>
      <c r="D342">
        <v>0.95</v>
      </c>
      <c r="E342">
        <v>45</v>
      </c>
      <c r="F342">
        <v>45.95</v>
      </c>
      <c r="G342">
        <v>44.7</v>
      </c>
      <c r="H342">
        <v>45.27</v>
      </c>
      <c r="I342" s="1">
        <v>754910</v>
      </c>
      <c r="J342" s="1">
        <v>34175800</v>
      </c>
      <c r="K342" s="1">
        <v>304</v>
      </c>
      <c r="L342">
        <v>45.25</v>
      </c>
      <c r="M342">
        <v>45.5</v>
      </c>
      <c r="N342" s="1">
        <v>31807144</v>
      </c>
      <c r="O342">
        <v>45.5</v>
      </c>
      <c r="P342">
        <v>50</v>
      </c>
      <c r="Q342">
        <v>40.950000000000003</v>
      </c>
    </row>
    <row r="343" spans="1:17" x14ac:dyDescent="0.25">
      <c r="A343">
        <v>4903</v>
      </c>
      <c r="B343" t="s">
        <v>362</v>
      </c>
      <c r="C343">
        <v>26</v>
      </c>
      <c r="D343">
        <v>0.85</v>
      </c>
      <c r="E343">
        <v>25.25</v>
      </c>
      <c r="F343">
        <v>26</v>
      </c>
      <c r="G343">
        <v>24.8</v>
      </c>
      <c r="H343">
        <v>25.48</v>
      </c>
      <c r="I343" s="1">
        <v>1644623</v>
      </c>
      <c r="J343" s="1">
        <v>41908698</v>
      </c>
      <c r="K343" s="1">
        <v>799</v>
      </c>
      <c r="L343">
        <v>25.4</v>
      </c>
      <c r="M343">
        <v>26</v>
      </c>
      <c r="N343" s="1">
        <v>90279327</v>
      </c>
      <c r="O343">
        <v>26</v>
      </c>
      <c r="P343">
        <v>28.6</v>
      </c>
      <c r="Q343">
        <v>23.4</v>
      </c>
    </row>
    <row r="344" spans="1:17" x14ac:dyDescent="0.25">
      <c r="A344">
        <v>4905</v>
      </c>
      <c r="B344" t="s">
        <v>363</v>
      </c>
      <c r="C344">
        <v>70.599999999999994</v>
      </c>
      <c r="D344">
        <v>0.3</v>
      </c>
      <c r="E344">
        <v>70.900000000000006</v>
      </c>
      <c r="F344">
        <v>70.900000000000006</v>
      </c>
      <c r="G344">
        <v>70</v>
      </c>
      <c r="H344">
        <v>70.28</v>
      </c>
      <c r="I344" s="1">
        <v>60001</v>
      </c>
      <c r="J344" s="1">
        <v>4216671</v>
      </c>
      <c r="K344">
        <v>40</v>
      </c>
      <c r="L344">
        <v>70.599999999999994</v>
      </c>
      <c r="M344">
        <v>70.7</v>
      </c>
      <c r="N344" s="1">
        <v>46322516</v>
      </c>
      <c r="O344">
        <v>70.599999999999994</v>
      </c>
      <c r="P344">
        <v>77.599999999999994</v>
      </c>
      <c r="Q344">
        <v>63.6</v>
      </c>
    </row>
    <row r="345" spans="1:17" x14ac:dyDescent="0.25">
      <c r="A345">
        <v>4907</v>
      </c>
      <c r="B345" t="s">
        <v>364</v>
      </c>
      <c r="C345">
        <v>38.15</v>
      </c>
      <c r="D345">
        <v>-0.15</v>
      </c>
      <c r="E345">
        <v>38.5</v>
      </c>
      <c r="F345">
        <v>38.6</v>
      </c>
      <c r="G345">
        <v>38.049999999999997</v>
      </c>
      <c r="H345">
        <v>38.26</v>
      </c>
      <c r="I345" s="1">
        <v>76000</v>
      </c>
      <c r="J345" s="1">
        <v>2907550</v>
      </c>
      <c r="K345" s="1">
        <v>56</v>
      </c>
      <c r="L345">
        <v>38.15</v>
      </c>
      <c r="M345">
        <v>38.200000000000003</v>
      </c>
      <c r="N345" s="1">
        <v>118145778</v>
      </c>
      <c r="O345">
        <v>38.15</v>
      </c>
      <c r="P345">
        <v>41.95</v>
      </c>
      <c r="Q345">
        <v>34.35</v>
      </c>
    </row>
    <row r="346" spans="1:17" x14ac:dyDescent="0.25">
      <c r="A346">
        <v>4908</v>
      </c>
      <c r="B346" t="s">
        <v>365</v>
      </c>
      <c r="C346">
        <v>26.2</v>
      </c>
      <c r="D346">
        <v>0.45</v>
      </c>
      <c r="E346">
        <v>26.15</v>
      </c>
      <c r="F346">
        <v>27.9</v>
      </c>
      <c r="G346">
        <v>26.15</v>
      </c>
      <c r="H346">
        <v>26.9</v>
      </c>
      <c r="I346" s="1">
        <v>2897497</v>
      </c>
      <c r="J346" s="1">
        <v>77942695</v>
      </c>
      <c r="K346" s="1">
        <v>1833</v>
      </c>
      <c r="L346">
        <v>26.2</v>
      </c>
      <c r="M346">
        <v>26.25</v>
      </c>
      <c r="N346" s="1">
        <v>77667157</v>
      </c>
      <c r="O346">
        <v>26.2</v>
      </c>
      <c r="P346">
        <v>28.8</v>
      </c>
      <c r="Q346">
        <v>23.6</v>
      </c>
    </row>
    <row r="347" spans="1:17" x14ac:dyDescent="0.25">
      <c r="A347">
        <v>4909</v>
      </c>
      <c r="B347" t="s">
        <v>366</v>
      </c>
      <c r="C347">
        <v>18.95</v>
      </c>
      <c r="D347">
        <v>0.1</v>
      </c>
      <c r="E347">
        <v>18.850000000000001</v>
      </c>
      <c r="F347">
        <v>19.100000000000001</v>
      </c>
      <c r="G347">
        <v>18.850000000000001</v>
      </c>
      <c r="H347">
        <v>19</v>
      </c>
      <c r="I347" s="1">
        <v>229131</v>
      </c>
      <c r="J347" s="1">
        <v>4354272</v>
      </c>
      <c r="K347" s="1">
        <v>69</v>
      </c>
      <c r="L347">
        <v>18.95</v>
      </c>
      <c r="M347">
        <v>19</v>
      </c>
      <c r="N347" s="1">
        <v>93356864</v>
      </c>
      <c r="O347">
        <v>18.95</v>
      </c>
      <c r="P347">
        <v>20.8</v>
      </c>
      <c r="Q347">
        <v>17.100000000000001</v>
      </c>
    </row>
    <row r="348" spans="1:17" x14ac:dyDescent="0.25">
      <c r="A348">
        <v>4911</v>
      </c>
      <c r="B348" t="s">
        <v>367</v>
      </c>
      <c r="C348">
        <v>51.7</v>
      </c>
      <c r="D348">
        <v>-0.2</v>
      </c>
      <c r="E348">
        <v>51.6</v>
      </c>
      <c r="F348">
        <v>51.7</v>
      </c>
      <c r="G348">
        <v>51.1</v>
      </c>
      <c r="H348">
        <v>51.34</v>
      </c>
      <c r="I348" s="1">
        <v>16000</v>
      </c>
      <c r="J348" s="1">
        <v>821500</v>
      </c>
      <c r="K348">
        <v>12</v>
      </c>
      <c r="L348">
        <v>51.3</v>
      </c>
      <c r="M348">
        <v>51.6</v>
      </c>
      <c r="N348" s="1">
        <v>55660000</v>
      </c>
      <c r="O348">
        <v>51.7</v>
      </c>
      <c r="P348">
        <v>56.8</v>
      </c>
      <c r="Q348">
        <v>46.55</v>
      </c>
    </row>
    <row r="349" spans="1:17" x14ac:dyDescent="0.25">
      <c r="A349">
        <v>4924</v>
      </c>
      <c r="B349" t="s">
        <v>368</v>
      </c>
      <c r="C349">
        <v>9.48</v>
      </c>
      <c r="D349">
        <v>0.13</v>
      </c>
      <c r="E349">
        <v>9.6999999999999993</v>
      </c>
      <c r="F349">
        <v>9.6999999999999993</v>
      </c>
      <c r="G349">
        <v>9.3000000000000007</v>
      </c>
      <c r="H349">
        <v>9.34</v>
      </c>
      <c r="I349" s="1">
        <v>50000</v>
      </c>
      <c r="J349" s="1">
        <v>467100</v>
      </c>
      <c r="K349">
        <v>13</v>
      </c>
      <c r="L349">
        <v>9.3699999999999992</v>
      </c>
      <c r="M349">
        <v>9.48</v>
      </c>
      <c r="N349" s="1">
        <v>37164409</v>
      </c>
      <c r="O349">
        <v>9.48</v>
      </c>
      <c r="P349">
        <v>10.4</v>
      </c>
      <c r="Q349">
        <v>8.5399999999999991</v>
      </c>
    </row>
    <row r="350" spans="1:17" x14ac:dyDescent="0.25">
      <c r="A350">
        <v>4933</v>
      </c>
      <c r="B350" t="s">
        <v>369</v>
      </c>
      <c r="C350">
        <v>21.5</v>
      </c>
      <c r="D350">
        <v>-0.1</v>
      </c>
      <c r="E350">
        <v>21.6</v>
      </c>
      <c r="F350">
        <v>21.6</v>
      </c>
      <c r="G350">
        <v>21.35</v>
      </c>
      <c r="H350">
        <v>21.41</v>
      </c>
      <c r="I350" s="1">
        <v>57200</v>
      </c>
      <c r="J350" s="1">
        <v>1224929</v>
      </c>
      <c r="K350">
        <v>35</v>
      </c>
      <c r="L350">
        <v>21.5</v>
      </c>
      <c r="M350">
        <v>21.55</v>
      </c>
      <c r="N350" s="1">
        <v>77331675</v>
      </c>
      <c r="O350">
        <v>21.5</v>
      </c>
      <c r="P350">
        <v>23.65</v>
      </c>
      <c r="Q350">
        <v>19.350000000000001</v>
      </c>
    </row>
    <row r="351" spans="1:17" x14ac:dyDescent="0.25">
      <c r="A351">
        <v>4939</v>
      </c>
      <c r="B351" t="s">
        <v>370</v>
      </c>
      <c r="C351">
        <v>20.350000000000001</v>
      </c>
      <c r="D351">
        <v>-0.55000000000000004</v>
      </c>
      <c r="E351">
        <v>21</v>
      </c>
      <c r="F351">
        <v>21.15</v>
      </c>
      <c r="G351">
        <v>20.2</v>
      </c>
      <c r="H351">
        <v>20.62</v>
      </c>
      <c r="I351" s="1">
        <v>6202194</v>
      </c>
      <c r="J351" s="1">
        <v>127893802</v>
      </c>
      <c r="K351" s="1">
        <v>2382</v>
      </c>
      <c r="L351">
        <v>20.350000000000001</v>
      </c>
      <c r="M351">
        <v>20.399999999999999</v>
      </c>
      <c r="N351" s="1">
        <v>98200868</v>
      </c>
      <c r="O351">
        <v>20.350000000000001</v>
      </c>
      <c r="P351">
        <v>22.35</v>
      </c>
      <c r="Q351">
        <v>18.350000000000001</v>
      </c>
    </row>
    <row r="352" spans="1:17" x14ac:dyDescent="0.25">
      <c r="A352">
        <v>4944</v>
      </c>
      <c r="B352" t="s">
        <v>371</v>
      </c>
      <c r="C352">
        <v>13.9</v>
      </c>
      <c r="D352">
        <v>-0.1</v>
      </c>
      <c r="E352">
        <v>14</v>
      </c>
      <c r="F352">
        <v>14</v>
      </c>
      <c r="G352">
        <v>13.8</v>
      </c>
      <c r="H352">
        <v>13.88</v>
      </c>
      <c r="I352" s="1">
        <v>389005</v>
      </c>
      <c r="J352" s="1">
        <v>5397716</v>
      </c>
      <c r="K352" s="1">
        <v>218</v>
      </c>
      <c r="L352">
        <v>13.9</v>
      </c>
      <c r="M352">
        <v>14</v>
      </c>
      <c r="N352" s="1">
        <v>211568563</v>
      </c>
      <c r="O352">
        <v>13.9</v>
      </c>
      <c r="P352">
        <v>15.25</v>
      </c>
      <c r="Q352">
        <v>12.55</v>
      </c>
    </row>
    <row r="353" spans="1:17" x14ac:dyDescent="0.25">
      <c r="A353">
        <v>4946</v>
      </c>
      <c r="B353" t="s">
        <v>372</v>
      </c>
      <c r="C353">
        <v>43.55</v>
      </c>
      <c r="D353">
        <v>0.05</v>
      </c>
      <c r="E353">
        <v>43.7</v>
      </c>
      <c r="F353">
        <v>43.95</v>
      </c>
      <c r="G353">
        <v>43.3</v>
      </c>
      <c r="H353">
        <v>43.51</v>
      </c>
      <c r="I353" s="1">
        <v>163003</v>
      </c>
      <c r="J353" s="1">
        <v>7092029</v>
      </c>
      <c r="K353" s="1">
        <v>116</v>
      </c>
      <c r="L353">
        <v>43.5</v>
      </c>
      <c r="M353">
        <v>43.55</v>
      </c>
      <c r="N353" s="1">
        <v>27320796</v>
      </c>
      <c r="O353">
        <v>43.55</v>
      </c>
      <c r="P353">
        <v>47.9</v>
      </c>
      <c r="Q353">
        <v>39.200000000000003</v>
      </c>
    </row>
    <row r="354" spans="1:17" x14ac:dyDescent="0.25">
      <c r="A354">
        <v>4947</v>
      </c>
      <c r="B354" t="s">
        <v>373</v>
      </c>
      <c r="C354">
        <v>227</v>
      </c>
      <c r="D354">
        <v>-1.5</v>
      </c>
      <c r="E354">
        <v>231</v>
      </c>
      <c r="F354">
        <v>231</v>
      </c>
      <c r="G354">
        <v>227</v>
      </c>
      <c r="H354">
        <v>228.29</v>
      </c>
      <c r="I354" s="1">
        <v>303125</v>
      </c>
      <c r="J354" s="1">
        <v>69201625</v>
      </c>
      <c r="K354" s="1">
        <v>277</v>
      </c>
      <c r="L354">
        <v>227</v>
      </c>
      <c r="M354">
        <v>227.5</v>
      </c>
      <c r="N354" s="1">
        <v>55986268</v>
      </c>
      <c r="O354">
        <v>227</v>
      </c>
      <c r="P354">
        <v>249.5</v>
      </c>
      <c r="Q354">
        <v>204.5</v>
      </c>
    </row>
    <row r="355" spans="1:17" x14ac:dyDescent="0.25">
      <c r="A355">
        <v>4950</v>
      </c>
      <c r="B355" t="s">
        <v>374</v>
      </c>
      <c r="C355">
        <v>18.05</v>
      </c>
      <c r="D355">
        <v>-0.05</v>
      </c>
      <c r="E355">
        <v>18.05</v>
      </c>
      <c r="F355">
        <v>18.100000000000001</v>
      </c>
      <c r="G355">
        <v>17.8</v>
      </c>
      <c r="H355">
        <v>18.010000000000002</v>
      </c>
      <c r="I355" s="1">
        <v>5017</v>
      </c>
      <c r="J355" s="1">
        <v>90359</v>
      </c>
      <c r="K355" s="1">
        <v>6</v>
      </c>
      <c r="L355">
        <v>17.8</v>
      </c>
      <c r="M355">
        <v>18.05</v>
      </c>
      <c r="N355" s="1">
        <v>45779000</v>
      </c>
      <c r="O355">
        <v>18.05</v>
      </c>
      <c r="P355">
        <v>19.850000000000001</v>
      </c>
      <c r="Q355">
        <v>16.25</v>
      </c>
    </row>
    <row r="356" spans="1:17" x14ac:dyDescent="0.25">
      <c r="A356">
        <v>4953</v>
      </c>
      <c r="B356" t="s">
        <v>375</v>
      </c>
      <c r="C356">
        <v>27.1</v>
      </c>
      <c r="D356">
        <v>0</v>
      </c>
      <c r="E356">
        <v>27.2</v>
      </c>
      <c r="F356">
        <v>27.2</v>
      </c>
      <c r="G356">
        <v>26.8</v>
      </c>
      <c r="H356">
        <v>27.02</v>
      </c>
      <c r="I356" s="1">
        <v>131010</v>
      </c>
      <c r="J356" s="1">
        <v>3539521</v>
      </c>
      <c r="K356" s="1">
        <v>54</v>
      </c>
      <c r="L356">
        <v>26.95</v>
      </c>
      <c r="M356">
        <v>27.1</v>
      </c>
      <c r="N356" s="1">
        <v>43878322</v>
      </c>
      <c r="O356">
        <v>27.1</v>
      </c>
      <c r="P356">
        <v>29.8</v>
      </c>
      <c r="Q356">
        <v>24.4</v>
      </c>
    </row>
    <row r="357" spans="1:17" x14ac:dyDescent="0.25">
      <c r="A357">
        <v>4965</v>
      </c>
      <c r="B357" t="s">
        <v>376</v>
      </c>
      <c r="C357">
        <v>49.5</v>
      </c>
      <c r="D357">
        <v>0.3</v>
      </c>
      <c r="E357">
        <v>49.2</v>
      </c>
      <c r="F357">
        <v>49.7</v>
      </c>
      <c r="G357">
        <v>49.2</v>
      </c>
      <c r="H357">
        <v>49.4</v>
      </c>
      <c r="I357" s="1">
        <v>10121</v>
      </c>
      <c r="J357" s="1">
        <v>499989</v>
      </c>
      <c r="K357">
        <v>10</v>
      </c>
      <c r="L357">
        <v>49.4</v>
      </c>
      <c r="M357">
        <v>49.7</v>
      </c>
      <c r="N357" s="1">
        <v>26602249</v>
      </c>
      <c r="O357">
        <v>49.5</v>
      </c>
      <c r="P357">
        <v>54.4</v>
      </c>
      <c r="Q357">
        <v>44.55</v>
      </c>
    </row>
    <row r="358" spans="1:17" x14ac:dyDescent="0.25">
      <c r="A358">
        <v>4966</v>
      </c>
      <c r="B358" t="s">
        <v>377</v>
      </c>
      <c r="C358">
        <v>589</v>
      </c>
      <c r="D358">
        <v>1</v>
      </c>
      <c r="E358">
        <v>587</v>
      </c>
      <c r="F358">
        <v>598</v>
      </c>
      <c r="G358">
        <v>583</v>
      </c>
      <c r="H358">
        <v>589.12</v>
      </c>
      <c r="I358" s="1">
        <v>651900</v>
      </c>
      <c r="J358" s="1">
        <v>384047500</v>
      </c>
      <c r="K358">
        <v>600</v>
      </c>
      <c r="L358">
        <v>589</v>
      </c>
      <c r="M358">
        <v>591</v>
      </c>
      <c r="N358" s="1">
        <v>78367696</v>
      </c>
      <c r="O358">
        <v>589</v>
      </c>
      <c r="P358">
        <v>647</v>
      </c>
      <c r="Q358">
        <v>531</v>
      </c>
    </row>
    <row r="359" spans="1:17" x14ac:dyDescent="0.25">
      <c r="A359">
        <v>4971</v>
      </c>
      <c r="B359" t="s">
        <v>378</v>
      </c>
      <c r="C359">
        <v>109.5</v>
      </c>
      <c r="D359">
        <v>2.5</v>
      </c>
      <c r="E359">
        <v>107.5</v>
      </c>
      <c r="F359">
        <v>114</v>
      </c>
      <c r="G359">
        <v>107</v>
      </c>
      <c r="H359">
        <v>111.4</v>
      </c>
      <c r="I359" s="1">
        <v>3227379</v>
      </c>
      <c r="J359" s="1">
        <v>359526811</v>
      </c>
      <c r="K359" s="1">
        <v>2320</v>
      </c>
      <c r="L359">
        <v>109.5</v>
      </c>
      <c r="M359">
        <v>110</v>
      </c>
      <c r="N359" s="1">
        <v>36135543</v>
      </c>
      <c r="O359">
        <v>109.5</v>
      </c>
      <c r="P359">
        <v>120</v>
      </c>
      <c r="Q359">
        <v>98.6</v>
      </c>
    </row>
    <row r="360" spans="1:17" x14ac:dyDescent="0.25">
      <c r="A360">
        <v>4972</v>
      </c>
      <c r="B360" t="s">
        <v>379</v>
      </c>
      <c r="C360">
        <v>30.4</v>
      </c>
      <c r="D360">
        <v>-0.1</v>
      </c>
      <c r="E360">
        <v>30.3</v>
      </c>
      <c r="F360">
        <v>30.6</v>
      </c>
      <c r="G360">
        <v>30.3</v>
      </c>
      <c r="H360">
        <v>30.51</v>
      </c>
      <c r="I360" s="1">
        <v>17648</v>
      </c>
      <c r="J360" s="1">
        <v>538448</v>
      </c>
      <c r="K360">
        <v>18</v>
      </c>
      <c r="L360">
        <v>30.4</v>
      </c>
      <c r="M360">
        <v>30.55</v>
      </c>
      <c r="N360" s="1">
        <v>39811803</v>
      </c>
      <c r="O360">
        <v>30.4</v>
      </c>
      <c r="P360">
        <v>33.4</v>
      </c>
      <c r="Q360">
        <v>27.4</v>
      </c>
    </row>
    <row r="361" spans="1:17" x14ac:dyDescent="0.25">
      <c r="A361">
        <v>4973</v>
      </c>
      <c r="B361" t="s">
        <v>380</v>
      </c>
      <c r="C361">
        <v>19.149999999999999</v>
      </c>
      <c r="D361">
        <v>0.05</v>
      </c>
      <c r="E361">
        <v>19.100000000000001</v>
      </c>
      <c r="F361">
        <v>19.149999999999999</v>
      </c>
      <c r="G361">
        <v>19.05</v>
      </c>
      <c r="H361">
        <v>19.07</v>
      </c>
      <c r="I361" s="1">
        <v>139018</v>
      </c>
      <c r="J361" s="1">
        <v>2650742</v>
      </c>
      <c r="K361" s="1">
        <v>74</v>
      </c>
      <c r="L361">
        <v>19.100000000000001</v>
      </c>
      <c r="M361">
        <v>19.149999999999999</v>
      </c>
      <c r="N361" s="1">
        <v>64832673</v>
      </c>
      <c r="O361">
        <v>19.149999999999999</v>
      </c>
      <c r="P361">
        <v>21.05</v>
      </c>
      <c r="Q361">
        <v>17.25</v>
      </c>
    </row>
    <row r="362" spans="1:17" x14ac:dyDescent="0.25">
      <c r="A362">
        <v>4974</v>
      </c>
      <c r="B362" t="s">
        <v>381</v>
      </c>
      <c r="C362">
        <v>47.25</v>
      </c>
      <c r="D362">
        <v>0.05</v>
      </c>
      <c r="E362">
        <v>47.45</v>
      </c>
      <c r="F362">
        <v>47.55</v>
      </c>
      <c r="G362">
        <v>47.1</v>
      </c>
      <c r="H362">
        <v>47.25</v>
      </c>
      <c r="I362" s="1">
        <v>142018</v>
      </c>
      <c r="J362" s="1">
        <v>6710784</v>
      </c>
      <c r="K362">
        <v>121</v>
      </c>
      <c r="L362">
        <v>47.25</v>
      </c>
      <c r="M362">
        <v>47.35</v>
      </c>
      <c r="N362" s="1">
        <v>72500104</v>
      </c>
      <c r="O362">
        <v>47.25</v>
      </c>
      <c r="P362">
        <v>51.9</v>
      </c>
      <c r="Q362">
        <v>42.55</v>
      </c>
    </row>
    <row r="363" spans="1:17" x14ac:dyDescent="0.25">
      <c r="A363">
        <v>4979</v>
      </c>
      <c r="B363" t="s">
        <v>382</v>
      </c>
      <c r="C363">
        <v>35.4</v>
      </c>
      <c r="D363">
        <v>-0.4</v>
      </c>
      <c r="E363">
        <v>36.200000000000003</v>
      </c>
      <c r="F363">
        <v>36.6</v>
      </c>
      <c r="G363">
        <v>35.4</v>
      </c>
      <c r="H363">
        <v>35.81</v>
      </c>
      <c r="I363" s="1">
        <v>1101048</v>
      </c>
      <c r="J363" s="1">
        <v>39428038</v>
      </c>
      <c r="K363">
        <v>695</v>
      </c>
      <c r="L363">
        <v>35.4</v>
      </c>
      <c r="M363">
        <v>35.5</v>
      </c>
      <c r="N363" s="1">
        <v>91021613</v>
      </c>
      <c r="O363">
        <v>35.4</v>
      </c>
      <c r="P363">
        <v>38.9</v>
      </c>
      <c r="Q363">
        <v>31.9</v>
      </c>
    </row>
    <row r="364" spans="1:17" x14ac:dyDescent="0.25">
      <c r="A364">
        <v>4987</v>
      </c>
      <c r="B364" t="s">
        <v>383</v>
      </c>
      <c r="C364">
        <v>61.4</v>
      </c>
      <c r="D364">
        <v>-0.8</v>
      </c>
      <c r="E364">
        <v>61.4</v>
      </c>
      <c r="F364">
        <v>61.4</v>
      </c>
      <c r="G364">
        <v>61.1</v>
      </c>
      <c r="H364">
        <v>61.25</v>
      </c>
      <c r="I364" s="1">
        <v>9550</v>
      </c>
      <c r="J364" s="1">
        <v>584968</v>
      </c>
      <c r="K364" s="1">
        <v>15</v>
      </c>
      <c r="L364">
        <v>61.5</v>
      </c>
      <c r="M364">
        <v>61.9</v>
      </c>
      <c r="N364" s="1">
        <v>25200000</v>
      </c>
      <c r="O364">
        <v>61.4</v>
      </c>
      <c r="P364">
        <v>67.5</v>
      </c>
      <c r="Q364">
        <v>55.3</v>
      </c>
    </row>
    <row r="365" spans="1:17" x14ac:dyDescent="0.25">
      <c r="A365">
        <v>4991</v>
      </c>
      <c r="B365" t="s">
        <v>384</v>
      </c>
      <c r="C365">
        <v>84.8</v>
      </c>
      <c r="D365">
        <v>-0.1</v>
      </c>
      <c r="E365">
        <v>85.3</v>
      </c>
      <c r="F365">
        <v>86.6</v>
      </c>
      <c r="G365">
        <v>84.6</v>
      </c>
      <c r="H365">
        <v>85.48</v>
      </c>
      <c r="I365" s="1">
        <v>1715123</v>
      </c>
      <c r="J365" s="1">
        <v>146603555</v>
      </c>
      <c r="K365" s="1">
        <v>1209</v>
      </c>
      <c r="L365">
        <v>84.8</v>
      </c>
      <c r="M365">
        <v>85</v>
      </c>
      <c r="N365" s="1">
        <v>79846460</v>
      </c>
      <c r="O365">
        <v>84.8</v>
      </c>
      <c r="P365">
        <v>93.2</v>
      </c>
      <c r="Q365">
        <v>76.400000000000006</v>
      </c>
    </row>
    <row r="366" spans="1:17" x14ac:dyDescent="0.25">
      <c r="A366">
        <v>4995</v>
      </c>
      <c r="B366" t="s">
        <v>385</v>
      </c>
      <c r="C366">
        <v>38.049999999999997</v>
      </c>
      <c r="D366">
        <v>0.35</v>
      </c>
      <c r="E366">
        <v>38.35</v>
      </c>
      <c r="F366">
        <v>38.35</v>
      </c>
      <c r="G366">
        <v>38.049999999999997</v>
      </c>
      <c r="H366">
        <v>38.200000000000003</v>
      </c>
      <c r="I366" s="1">
        <v>2000</v>
      </c>
      <c r="J366" s="1">
        <v>76400</v>
      </c>
      <c r="K366">
        <v>2</v>
      </c>
      <c r="L366">
        <v>37.35</v>
      </c>
      <c r="M366">
        <v>38.049999999999997</v>
      </c>
      <c r="N366" s="1">
        <v>34449910</v>
      </c>
      <c r="O366">
        <v>38.049999999999997</v>
      </c>
      <c r="P366">
        <v>41.85</v>
      </c>
      <c r="Q366">
        <v>34.25</v>
      </c>
    </row>
    <row r="367" spans="1:17" x14ac:dyDescent="0.25">
      <c r="A367">
        <v>5009</v>
      </c>
      <c r="B367" t="s">
        <v>386</v>
      </c>
      <c r="C367">
        <v>19.850000000000001</v>
      </c>
      <c r="D367">
        <v>0</v>
      </c>
      <c r="E367">
        <v>19.850000000000001</v>
      </c>
      <c r="F367">
        <v>19.95</v>
      </c>
      <c r="G367">
        <v>19.8</v>
      </c>
      <c r="H367">
        <v>19.87</v>
      </c>
      <c r="I367" s="1">
        <v>777711</v>
      </c>
      <c r="J367" s="1">
        <v>15449778</v>
      </c>
      <c r="K367">
        <v>268</v>
      </c>
      <c r="L367">
        <v>19.8</v>
      </c>
      <c r="M367">
        <v>19.850000000000001</v>
      </c>
      <c r="N367" s="1">
        <v>466735991</v>
      </c>
      <c r="O367">
        <v>19.850000000000001</v>
      </c>
      <c r="P367">
        <v>21.8</v>
      </c>
      <c r="Q367">
        <v>17.899999999999999</v>
      </c>
    </row>
    <row r="368" spans="1:17" x14ac:dyDescent="0.25">
      <c r="A368">
        <v>5011</v>
      </c>
      <c r="B368" t="s">
        <v>387</v>
      </c>
      <c r="C368">
        <v>16.100000000000001</v>
      </c>
      <c r="D368">
        <v>0.7</v>
      </c>
      <c r="E368">
        <v>15.4</v>
      </c>
      <c r="F368">
        <v>16.100000000000001</v>
      </c>
      <c r="G368">
        <v>15.4</v>
      </c>
      <c r="H368">
        <v>15.84</v>
      </c>
      <c r="I368" s="1">
        <v>29000</v>
      </c>
      <c r="J368" s="1">
        <v>459400</v>
      </c>
      <c r="K368">
        <v>9</v>
      </c>
      <c r="L368">
        <v>15.5</v>
      </c>
      <c r="M368">
        <v>16.100000000000001</v>
      </c>
      <c r="N368" s="1">
        <v>41135869</v>
      </c>
      <c r="O368">
        <v>16.100000000000001</v>
      </c>
      <c r="P368">
        <v>17.7</v>
      </c>
      <c r="Q368">
        <v>14.5</v>
      </c>
    </row>
    <row r="369" spans="1:17" x14ac:dyDescent="0.25">
      <c r="A369">
        <v>5013</v>
      </c>
      <c r="B369" t="s">
        <v>388</v>
      </c>
      <c r="C369">
        <v>28.6</v>
      </c>
      <c r="D369">
        <v>0</v>
      </c>
      <c r="E369">
        <v>28.5</v>
      </c>
      <c r="F369">
        <v>28.65</v>
      </c>
      <c r="G369">
        <v>28.5</v>
      </c>
      <c r="H369">
        <v>28.6</v>
      </c>
      <c r="I369" s="1">
        <v>38004</v>
      </c>
      <c r="J369" s="1">
        <v>1086912</v>
      </c>
      <c r="K369">
        <v>18</v>
      </c>
      <c r="L369">
        <v>28.6</v>
      </c>
      <c r="M369">
        <v>28.65</v>
      </c>
      <c r="N369" s="1">
        <v>133416000</v>
      </c>
      <c r="O369">
        <v>28.6</v>
      </c>
      <c r="P369">
        <v>31.45</v>
      </c>
      <c r="Q369">
        <v>25.75</v>
      </c>
    </row>
    <row r="370" spans="1:17" x14ac:dyDescent="0.25">
      <c r="A370">
        <v>5014</v>
      </c>
      <c r="B370" t="s">
        <v>389</v>
      </c>
      <c r="C370">
        <v>17.649999999999999</v>
      </c>
      <c r="D370">
        <v>0.25</v>
      </c>
      <c r="E370">
        <v>17.75</v>
      </c>
      <c r="F370">
        <v>17.899999999999999</v>
      </c>
      <c r="G370">
        <v>17.45</v>
      </c>
      <c r="H370">
        <v>17.670000000000002</v>
      </c>
      <c r="I370" s="1">
        <v>2943239</v>
      </c>
      <c r="J370" s="1">
        <v>51998659</v>
      </c>
      <c r="K370">
        <v>950</v>
      </c>
      <c r="L370">
        <v>17.600000000000001</v>
      </c>
      <c r="M370">
        <v>17.649999999999999</v>
      </c>
      <c r="N370" s="1">
        <v>165333054</v>
      </c>
      <c r="O370">
        <v>17.649999999999999</v>
      </c>
      <c r="P370">
        <v>19.399999999999999</v>
      </c>
      <c r="Q370">
        <v>15.9</v>
      </c>
    </row>
    <row r="371" spans="1:17" x14ac:dyDescent="0.25">
      <c r="A371">
        <v>5015</v>
      </c>
      <c r="B371" t="s">
        <v>390</v>
      </c>
      <c r="C371">
        <v>31.5</v>
      </c>
      <c r="D371">
        <v>0.2</v>
      </c>
      <c r="E371">
        <v>31.5</v>
      </c>
      <c r="F371">
        <v>31.65</v>
      </c>
      <c r="G371">
        <v>31.4</v>
      </c>
      <c r="H371">
        <v>31.55</v>
      </c>
      <c r="I371" s="1">
        <v>139210</v>
      </c>
      <c r="J371" s="1">
        <v>4391436</v>
      </c>
      <c r="K371">
        <v>76</v>
      </c>
      <c r="L371">
        <v>31.5</v>
      </c>
      <c r="M371">
        <v>31.6</v>
      </c>
      <c r="N371" s="1">
        <v>60639189</v>
      </c>
      <c r="O371">
        <v>31.5</v>
      </c>
      <c r="P371">
        <v>34.65</v>
      </c>
      <c r="Q371">
        <v>28.35</v>
      </c>
    </row>
    <row r="372" spans="1:17" x14ac:dyDescent="0.25">
      <c r="A372">
        <v>5016</v>
      </c>
      <c r="B372" t="s">
        <v>391</v>
      </c>
      <c r="C372">
        <v>34.799999999999997</v>
      </c>
      <c r="D372">
        <v>0.45</v>
      </c>
      <c r="E372">
        <v>34.4</v>
      </c>
      <c r="F372">
        <v>34.799999999999997</v>
      </c>
      <c r="G372">
        <v>34.35</v>
      </c>
      <c r="H372">
        <v>34.65</v>
      </c>
      <c r="I372" s="1">
        <v>46199</v>
      </c>
      <c r="J372" s="1">
        <v>1600874</v>
      </c>
      <c r="K372">
        <v>35</v>
      </c>
      <c r="L372">
        <v>34.6</v>
      </c>
      <c r="M372">
        <v>34.799999999999997</v>
      </c>
      <c r="N372" s="1">
        <v>49622076</v>
      </c>
      <c r="O372">
        <v>34.799999999999997</v>
      </c>
      <c r="P372">
        <v>38.25</v>
      </c>
      <c r="Q372">
        <v>31.35</v>
      </c>
    </row>
    <row r="373" spans="1:17" x14ac:dyDescent="0.25">
      <c r="A373">
        <v>5102</v>
      </c>
      <c r="B373" t="s">
        <v>392</v>
      </c>
      <c r="C373">
        <v>16.600000000000001</v>
      </c>
      <c r="D373">
        <v>0.15</v>
      </c>
      <c r="E373">
        <v>16.5</v>
      </c>
      <c r="F373">
        <v>16.850000000000001</v>
      </c>
      <c r="G373">
        <v>16.5</v>
      </c>
      <c r="H373">
        <v>16.66</v>
      </c>
      <c r="I373" s="1">
        <v>71000</v>
      </c>
      <c r="J373" s="1">
        <v>1183050</v>
      </c>
      <c r="K373">
        <v>40</v>
      </c>
      <c r="L373">
        <v>16.600000000000001</v>
      </c>
      <c r="M373">
        <v>16.75</v>
      </c>
      <c r="N373" s="1">
        <v>64085067</v>
      </c>
      <c r="O373">
        <v>16.600000000000001</v>
      </c>
      <c r="P373">
        <v>18.25</v>
      </c>
      <c r="Q373">
        <v>14.95</v>
      </c>
    </row>
    <row r="374" spans="1:17" x14ac:dyDescent="0.25">
      <c r="A374">
        <v>5201</v>
      </c>
      <c r="B374" t="s">
        <v>393</v>
      </c>
      <c r="C374">
        <v>18.5</v>
      </c>
      <c r="D374">
        <v>0.05</v>
      </c>
      <c r="E374">
        <v>18.8</v>
      </c>
      <c r="F374">
        <v>18.8</v>
      </c>
      <c r="G374">
        <v>18.5</v>
      </c>
      <c r="H374">
        <v>18.559999999999999</v>
      </c>
      <c r="I374" s="1">
        <v>16025</v>
      </c>
      <c r="J374" s="1">
        <v>297460</v>
      </c>
      <c r="K374">
        <v>20</v>
      </c>
      <c r="L374">
        <v>18.5</v>
      </c>
      <c r="M374">
        <v>18.600000000000001</v>
      </c>
      <c r="N374" s="1">
        <v>30674600</v>
      </c>
      <c r="O374">
        <v>18.5</v>
      </c>
      <c r="P374">
        <v>20.350000000000001</v>
      </c>
      <c r="Q374">
        <v>16.649999999999999</v>
      </c>
    </row>
    <row r="375" spans="1:17" x14ac:dyDescent="0.25">
      <c r="A375">
        <v>5202</v>
      </c>
      <c r="B375" t="s">
        <v>394</v>
      </c>
      <c r="C375">
        <v>26.7</v>
      </c>
      <c r="D375">
        <v>-1.8</v>
      </c>
      <c r="E375">
        <v>28.5</v>
      </c>
      <c r="F375">
        <v>29.5</v>
      </c>
      <c r="G375">
        <v>26.7</v>
      </c>
      <c r="H375">
        <v>27.47</v>
      </c>
      <c r="I375" s="1">
        <v>68760</v>
      </c>
      <c r="J375" s="1">
        <v>1888686</v>
      </c>
      <c r="K375">
        <v>55</v>
      </c>
      <c r="L375">
        <v>26.7</v>
      </c>
      <c r="M375">
        <v>27.1</v>
      </c>
      <c r="N375" s="1">
        <v>59094000</v>
      </c>
      <c r="O375">
        <v>26.7</v>
      </c>
      <c r="P375">
        <v>29.35</v>
      </c>
      <c r="Q375">
        <v>24.05</v>
      </c>
    </row>
    <row r="376" spans="1:17" x14ac:dyDescent="0.25">
      <c r="A376">
        <v>5205</v>
      </c>
      <c r="B376" t="s">
        <v>395</v>
      </c>
      <c r="C376">
        <v>9</v>
      </c>
      <c r="D376">
        <v>0.4</v>
      </c>
      <c r="E376">
        <v>8.5</v>
      </c>
      <c r="F376">
        <v>9</v>
      </c>
      <c r="G376">
        <v>8.5</v>
      </c>
      <c r="H376">
        <v>8.7200000000000006</v>
      </c>
      <c r="I376" s="1">
        <v>3200</v>
      </c>
      <c r="J376" s="1">
        <v>27889</v>
      </c>
      <c r="K376" s="1">
        <v>8</v>
      </c>
      <c r="L376">
        <v>9</v>
      </c>
      <c r="M376">
        <v>9.4499999999999993</v>
      </c>
      <c r="N376" s="1">
        <v>17005200</v>
      </c>
      <c r="O376">
        <v>9</v>
      </c>
      <c r="P376">
        <v>9.9</v>
      </c>
      <c r="Q376">
        <v>8.1</v>
      </c>
    </row>
    <row r="377" spans="1:17" x14ac:dyDescent="0.25">
      <c r="A377">
        <v>5206</v>
      </c>
      <c r="B377" t="s">
        <v>396</v>
      </c>
      <c r="C377">
        <v>9.65</v>
      </c>
      <c r="D377">
        <v>0.04</v>
      </c>
      <c r="E377">
        <v>9.56</v>
      </c>
      <c r="F377">
        <v>9.65</v>
      </c>
      <c r="G377">
        <v>9.51</v>
      </c>
      <c r="H377">
        <v>9.5299999999999994</v>
      </c>
      <c r="I377" s="1">
        <v>42000</v>
      </c>
      <c r="J377" s="1">
        <v>400380</v>
      </c>
      <c r="K377">
        <v>20</v>
      </c>
      <c r="L377">
        <v>9.5500000000000007</v>
      </c>
      <c r="M377">
        <v>9.66</v>
      </c>
      <c r="N377" s="1">
        <v>148500000</v>
      </c>
      <c r="O377">
        <v>9.65</v>
      </c>
      <c r="P377">
        <v>10.6</v>
      </c>
      <c r="Q377">
        <v>8.69</v>
      </c>
    </row>
    <row r="378" spans="1:17" x14ac:dyDescent="0.25">
      <c r="A378">
        <v>5209</v>
      </c>
      <c r="B378" t="s">
        <v>397</v>
      </c>
      <c r="C378">
        <v>46.5</v>
      </c>
      <c r="D378">
        <v>0</v>
      </c>
      <c r="E378">
        <v>46.5</v>
      </c>
      <c r="F378">
        <v>46.5</v>
      </c>
      <c r="G378">
        <v>46.5</v>
      </c>
      <c r="H378">
        <v>46.5</v>
      </c>
      <c r="I378" s="1">
        <v>6000</v>
      </c>
      <c r="J378" s="1">
        <v>279000</v>
      </c>
      <c r="K378" s="1">
        <v>1</v>
      </c>
      <c r="L378">
        <v>46.1</v>
      </c>
      <c r="M378">
        <v>46.5</v>
      </c>
      <c r="N378" s="1">
        <v>23491500</v>
      </c>
      <c r="O378">
        <v>46.5</v>
      </c>
      <c r="P378">
        <v>51.1</v>
      </c>
      <c r="Q378">
        <v>41.85</v>
      </c>
    </row>
    <row r="379" spans="1:17" x14ac:dyDescent="0.25">
      <c r="A379">
        <v>5210</v>
      </c>
      <c r="B379" t="s">
        <v>398</v>
      </c>
      <c r="C379">
        <v>7.33</v>
      </c>
      <c r="D379">
        <v>0.08</v>
      </c>
      <c r="E379">
        <v>7.35</v>
      </c>
      <c r="F379">
        <v>7.35</v>
      </c>
      <c r="G379">
        <v>7.2</v>
      </c>
      <c r="H379">
        <v>7.3</v>
      </c>
      <c r="I379" s="1">
        <v>87005</v>
      </c>
      <c r="J379" s="1">
        <v>635305</v>
      </c>
      <c r="K379">
        <v>31</v>
      </c>
      <c r="L379">
        <v>7.21</v>
      </c>
      <c r="M379">
        <v>7.33</v>
      </c>
      <c r="N379" s="1">
        <v>65699779</v>
      </c>
      <c r="O379">
        <v>7.33</v>
      </c>
      <c r="P379">
        <v>8.06</v>
      </c>
      <c r="Q379">
        <v>6.6</v>
      </c>
    </row>
    <row r="380" spans="1:17" x14ac:dyDescent="0.25">
      <c r="A380">
        <v>5211</v>
      </c>
      <c r="B380" t="s">
        <v>399</v>
      </c>
      <c r="C380">
        <v>20.7</v>
      </c>
      <c r="D380">
        <v>0.15</v>
      </c>
      <c r="E380">
        <v>20.65</v>
      </c>
      <c r="F380">
        <v>20.7</v>
      </c>
      <c r="G380">
        <v>20.55</v>
      </c>
      <c r="H380">
        <v>20.63</v>
      </c>
      <c r="I380" s="1">
        <v>47000</v>
      </c>
      <c r="J380" s="1">
        <v>969600</v>
      </c>
      <c r="K380" s="1">
        <v>30</v>
      </c>
      <c r="L380">
        <v>20.65</v>
      </c>
      <c r="M380">
        <v>20.7</v>
      </c>
      <c r="N380" s="1">
        <v>32024727</v>
      </c>
      <c r="O380">
        <v>20.7</v>
      </c>
      <c r="P380">
        <v>22.75</v>
      </c>
      <c r="Q380">
        <v>18.649999999999999</v>
      </c>
    </row>
    <row r="381" spans="1:17" x14ac:dyDescent="0.25">
      <c r="A381">
        <v>5212</v>
      </c>
      <c r="B381" t="s">
        <v>400</v>
      </c>
      <c r="C381">
        <v>25.9</v>
      </c>
      <c r="D381">
        <v>0</v>
      </c>
      <c r="E381">
        <v>25.85</v>
      </c>
      <c r="F381">
        <v>27.2</v>
      </c>
      <c r="G381">
        <v>24.1</v>
      </c>
      <c r="H381">
        <v>25.05</v>
      </c>
      <c r="I381" s="1">
        <v>35317</v>
      </c>
      <c r="J381" s="1">
        <v>884594</v>
      </c>
      <c r="K381" s="1">
        <v>15</v>
      </c>
      <c r="L381">
        <v>24.7</v>
      </c>
      <c r="M381">
        <v>25.8</v>
      </c>
      <c r="N381" s="1">
        <v>34633000</v>
      </c>
      <c r="O381">
        <v>25.9</v>
      </c>
      <c r="P381">
        <v>28.45</v>
      </c>
      <c r="Q381">
        <v>23.35</v>
      </c>
    </row>
    <row r="382" spans="1:17" x14ac:dyDescent="0.25">
      <c r="A382">
        <v>5213</v>
      </c>
      <c r="B382" t="s">
        <v>401</v>
      </c>
      <c r="C382">
        <v>17.5</v>
      </c>
      <c r="D382">
        <v>0.15</v>
      </c>
      <c r="E382">
        <v>17.350000000000001</v>
      </c>
      <c r="F382">
        <v>17.55</v>
      </c>
      <c r="G382">
        <v>17.3</v>
      </c>
      <c r="H382">
        <v>17.41</v>
      </c>
      <c r="I382" s="1">
        <v>810964</v>
      </c>
      <c r="J382" s="1">
        <v>14120568</v>
      </c>
      <c r="K382">
        <v>222</v>
      </c>
      <c r="L382">
        <v>17.399999999999999</v>
      </c>
      <c r="M382">
        <v>17.5</v>
      </c>
      <c r="N382" s="1">
        <v>342081337</v>
      </c>
      <c r="O382">
        <v>17.5</v>
      </c>
      <c r="P382">
        <v>19.25</v>
      </c>
      <c r="Q382">
        <v>15.75</v>
      </c>
    </row>
    <row r="383" spans="1:17" x14ac:dyDescent="0.25">
      <c r="A383">
        <v>5227</v>
      </c>
      <c r="B383" t="s">
        <v>402</v>
      </c>
      <c r="C383">
        <v>25.35</v>
      </c>
      <c r="D383">
        <v>-0.15</v>
      </c>
      <c r="E383">
        <v>25.5</v>
      </c>
      <c r="F383">
        <v>25.85</v>
      </c>
      <c r="G383">
        <v>25.3</v>
      </c>
      <c r="H383">
        <v>25.47</v>
      </c>
      <c r="I383" s="1">
        <v>226700</v>
      </c>
      <c r="J383" s="1">
        <v>5774788</v>
      </c>
      <c r="K383">
        <v>154</v>
      </c>
      <c r="L383">
        <v>25.35</v>
      </c>
      <c r="M383">
        <v>25.5</v>
      </c>
      <c r="N383" s="1">
        <v>210573654</v>
      </c>
      <c r="O383">
        <v>25.35</v>
      </c>
      <c r="P383">
        <v>27.85</v>
      </c>
      <c r="Q383">
        <v>22.85</v>
      </c>
    </row>
    <row r="384" spans="1:17" x14ac:dyDescent="0.25">
      <c r="A384">
        <v>5230</v>
      </c>
      <c r="B384" t="s">
        <v>403</v>
      </c>
      <c r="C384">
        <v>43.1</v>
      </c>
      <c r="D384">
        <v>0.2</v>
      </c>
      <c r="E384">
        <v>42.9</v>
      </c>
      <c r="F384">
        <v>43.4</v>
      </c>
      <c r="G384">
        <v>42.9</v>
      </c>
      <c r="H384">
        <v>43.12</v>
      </c>
      <c r="I384" s="1">
        <v>71766</v>
      </c>
      <c r="J384" s="1">
        <v>3094711</v>
      </c>
      <c r="K384">
        <v>70</v>
      </c>
      <c r="L384">
        <v>43.1</v>
      </c>
      <c r="M384">
        <v>43.15</v>
      </c>
      <c r="N384" s="1">
        <v>51955824</v>
      </c>
      <c r="O384">
        <v>43.1</v>
      </c>
      <c r="P384">
        <v>47.4</v>
      </c>
      <c r="Q384">
        <v>38.799999999999997</v>
      </c>
    </row>
    <row r="385" spans="1:17" x14ac:dyDescent="0.25">
      <c r="A385">
        <v>5245</v>
      </c>
      <c r="B385" t="s">
        <v>404</v>
      </c>
      <c r="C385">
        <v>98.8</v>
      </c>
      <c r="D385">
        <v>0.9</v>
      </c>
      <c r="E385">
        <v>99.5</v>
      </c>
      <c r="F385">
        <v>99.5</v>
      </c>
      <c r="G385">
        <v>98</v>
      </c>
      <c r="H385">
        <v>98.61</v>
      </c>
      <c r="I385" s="1">
        <v>73000</v>
      </c>
      <c r="J385" s="1">
        <v>7198300</v>
      </c>
      <c r="K385">
        <v>63</v>
      </c>
      <c r="L385">
        <v>98.5</v>
      </c>
      <c r="M385">
        <v>98.9</v>
      </c>
      <c r="N385" s="1">
        <v>46626000</v>
      </c>
      <c r="O385">
        <v>98.8</v>
      </c>
      <c r="P385">
        <v>108.5</v>
      </c>
      <c r="Q385">
        <v>89</v>
      </c>
    </row>
    <row r="386" spans="1:17" x14ac:dyDescent="0.25">
      <c r="A386">
        <v>5251</v>
      </c>
      <c r="B386" t="s">
        <v>405</v>
      </c>
      <c r="C386">
        <v>20.3</v>
      </c>
      <c r="D386">
        <v>0</v>
      </c>
      <c r="E386">
        <v>20.350000000000001</v>
      </c>
      <c r="F386">
        <v>20.350000000000001</v>
      </c>
      <c r="G386">
        <v>20.25</v>
      </c>
      <c r="H386">
        <v>20.3</v>
      </c>
      <c r="I386" s="1">
        <v>8176</v>
      </c>
      <c r="J386" s="1">
        <v>166003</v>
      </c>
      <c r="K386" s="1">
        <v>20</v>
      </c>
      <c r="L386">
        <v>20.25</v>
      </c>
      <c r="M386">
        <v>20.55</v>
      </c>
      <c r="N386" s="1">
        <v>38054077</v>
      </c>
      <c r="O386">
        <v>20.3</v>
      </c>
      <c r="P386">
        <v>22.3</v>
      </c>
      <c r="Q386">
        <v>18.3</v>
      </c>
    </row>
    <row r="387" spans="1:17" x14ac:dyDescent="0.25">
      <c r="A387">
        <v>5255</v>
      </c>
      <c r="B387" t="s">
        <v>406</v>
      </c>
      <c r="C387">
        <v>48.4</v>
      </c>
      <c r="D387">
        <v>-0.95</v>
      </c>
      <c r="E387">
        <v>49.35</v>
      </c>
      <c r="F387">
        <v>49.9</v>
      </c>
      <c r="G387">
        <v>48.4</v>
      </c>
      <c r="H387">
        <v>48.85</v>
      </c>
      <c r="I387" s="1">
        <v>423447</v>
      </c>
      <c r="J387" s="1">
        <v>20686382</v>
      </c>
      <c r="K387">
        <v>307</v>
      </c>
      <c r="L387">
        <v>48.4</v>
      </c>
      <c r="M387">
        <v>48.45</v>
      </c>
      <c r="N387" s="1">
        <v>45435407</v>
      </c>
      <c r="O387">
        <v>48.4</v>
      </c>
      <c r="P387">
        <v>53.2</v>
      </c>
      <c r="Q387">
        <v>43.6</v>
      </c>
    </row>
    <row r="388" spans="1:17" x14ac:dyDescent="0.25">
      <c r="A388">
        <v>5263</v>
      </c>
      <c r="B388" t="s">
        <v>407</v>
      </c>
      <c r="C388">
        <v>263.5</v>
      </c>
      <c r="D388">
        <v>3.5</v>
      </c>
      <c r="E388">
        <v>261</v>
      </c>
      <c r="F388">
        <v>265</v>
      </c>
      <c r="G388">
        <v>261</v>
      </c>
      <c r="H388">
        <v>263.5</v>
      </c>
      <c r="I388" s="1">
        <v>138209</v>
      </c>
      <c r="J388" s="1">
        <v>36418258</v>
      </c>
      <c r="K388">
        <v>123</v>
      </c>
      <c r="L388">
        <v>262</v>
      </c>
      <c r="M388">
        <v>263.5</v>
      </c>
      <c r="N388" s="1">
        <v>44677977</v>
      </c>
      <c r="O388">
        <v>263.5</v>
      </c>
      <c r="P388">
        <v>289.5</v>
      </c>
      <c r="Q388">
        <v>237.5</v>
      </c>
    </row>
    <row r="389" spans="1:17" x14ac:dyDescent="0.25">
      <c r="A389">
        <v>5272</v>
      </c>
      <c r="B389" t="s">
        <v>408</v>
      </c>
      <c r="C389">
        <v>40.6</v>
      </c>
      <c r="D389">
        <v>0.1</v>
      </c>
      <c r="E389">
        <v>40.65</v>
      </c>
      <c r="F389">
        <v>41</v>
      </c>
      <c r="G389">
        <v>40.5</v>
      </c>
      <c r="H389">
        <v>40.729999999999997</v>
      </c>
      <c r="I389" s="1">
        <v>73786</v>
      </c>
      <c r="J389" s="1">
        <v>3005422</v>
      </c>
      <c r="K389" s="1">
        <v>70</v>
      </c>
      <c r="L389">
        <v>40.6</v>
      </c>
      <c r="M389">
        <v>40.85</v>
      </c>
      <c r="N389" s="1">
        <v>57956118</v>
      </c>
      <c r="O389">
        <v>40.6</v>
      </c>
      <c r="P389">
        <v>44.65</v>
      </c>
      <c r="Q389">
        <v>36.549999999999997</v>
      </c>
    </row>
    <row r="390" spans="1:17" x14ac:dyDescent="0.25">
      <c r="A390">
        <v>5274</v>
      </c>
      <c r="B390" t="s">
        <v>409</v>
      </c>
      <c r="C390">
        <v>718</v>
      </c>
      <c r="D390">
        <v>18</v>
      </c>
      <c r="E390">
        <v>703</v>
      </c>
      <c r="F390">
        <v>722</v>
      </c>
      <c r="G390">
        <v>703</v>
      </c>
      <c r="H390">
        <v>717.03</v>
      </c>
      <c r="I390" s="1">
        <v>161313</v>
      </c>
      <c r="J390" s="1">
        <v>115666169</v>
      </c>
      <c r="K390">
        <v>174</v>
      </c>
      <c r="L390">
        <v>715</v>
      </c>
      <c r="M390">
        <v>719</v>
      </c>
      <c r="N390" s="1">
        <v>33937827</v>
      </c>
      <c r="O390">
        <v>718</v>
      </c>
      <c r="P390">
        <v>789</v>
      </c>
      <c r="Q390">
        <v>647</v>
      </c>
    </row>
    <row r="391" spans="1:17" x14ac:dyDescent="0.25">
      <c r="A391">
        <v>5276</v>
      </c>
      <c r="B391" t="s">
        <v>410</v>
      </c>
      <c r="C391">
        <v>20.45</v>
      </c>
      <c r="D391">
        <v>0.15</v>
      </c>
      <c r="E391">
        <v>20.399999999999999</v>
      </c>
      <c r="F391">
        <v>20.45</v>
      </c>
      <c r="G391">
        <v>20.399999999999999</v>
      </c>
      <c r="H391">
        <v>20.43</v>
      </c>
      <c r="I391" s="1">
        <v>5000</v>
      </c>
      <c r="J391" s="1">
        <v>102150</v>
      </c>
      <c r="K391">
        <v>4</v>
      </c>
      <c r="L391">
        <v>20</v>
      </c>
      <c r="M391">
        <v>20.399999999999999</v>
      </c>
      <c r="N391" s="1">
        <v>39500000</v>
      </c>
      <c r="O391">
        <v>20.45</v>
      </c>
      <c r="P391">
        <v>22.45</v>
      </c>
      <c r="Q391">
        <v>18.45</v>
      </c>
    </row>
    <row r="392" spans="1:17" x14ac:dyDescent="0.25">
      <c r="A392">
        <v>5278</v>
      </c>
      <c r="B392" t="s">
        <v>411</v>
      </c>
      <c r="C392">
        <v>43.25</v>
      </c>
      <c r="D392">
        <v>0.05</v>
      </c>
      <c r="E392">
        <v>46.85</v>
      </c>
      <c r="F392">
        <v>46.85</v>
      </c>
      <c r="G392">
        <v>43.25</v>
      </c>
      <c r="H392">
        <v>44.15</v>
      </c>
      <c r="I392" s="1">
        <v>10000</v>
      </c>
      <c r="J392" s="1">
        <v>441500</v>
      </c>
      <c r="K392">
        <v>8</v>
      </c>
      <c r="L392">
        <v>43.25</v>
      </c>
      <c r="M392">
        <v>44.5</v>
      </c>
      <c r="N392" s="1">
        <v>14281975</v>
      </c>
      <c r="O392">
        <v>43.25</v>
      </c>
      <c r="P392">
        <v>47.55</v>
      </c>
      <c r="Q392">
        <v>38.950000000000003</v>
      </c>
    </row>
    <row r="393" spans="1:17" x14ac:dyDescent="0.25">
      <c r="A393">
        <v>5281</v>
      </c>
      <c r="B393" t="s">
        <v>412</v>
      </c>
      <c r="C393">
        <v>36.75</v>
      </c>
      <c r="D393">
        <v>0.35</v>
      </c>
      <c r="E393">
        <v>36.4</v>
      </c>
      <c r="F393">
        <v>36.799999999999997</v>
      </c>
      <c r="G393">
        <v>36.35</v>
      </c>
      <c r="H393">
        <v>36.53</v>
      </c>
      <c r="I393" s="1">
        <v>93200</v>
      </c>
      <c r="J393" s="1">
        <v>3404549</v>
      </c>
      <c r="K393">
        <v>70</v>
      </c>
      <c r="L393">
        <v>36.700000000000003</v>
      </c>
      <c r="M393">
        <v>36.75</v>
      </c>
      <c r="N393" s="1">
        <v>37010000</v>
      </c>
      <c r="O393">
        <v>36.75</v>
      </c>
      <c r="P393">
        <v>40.4</v>
      </c>
      <c r="Q393">
        <v>33.1</v>
      </c>
    </row>
    <row r="394" spans="1:17" x14ac:dyDescent="0.25">
      <c r="A394">
        <v>5287</v>
      </c>
      <c r="B394" t="s">
        <v>413</v>
      </c>
      <c r="C394">
        <v>239</v>
      </c>
      <c r="D394">
        <v>0</v>
      </c>
      <c r="E394">
        <v>242.5</v>
      </c>
      <c r="F394">
        <v>244</v>
      </c>
      <c r="G394">
        <v>238</v>
      </c>
      <c r="H394">
        <v>240.93</v>
      </c>
      <c r="I394" s="1">
        <v>195293</v>
      </c>
      <c r="J394" s="1">
        <v>47052027</v>
      </c>
      <c r="K394">
        <v>180</v>
      </c>
      <c r="L394">
        <v>238.5</v>
      </c>
      <c r="M394">
        <v>239.5</v>
      </c>
      <c r="N394" s="1">
        <v>42580500</v>
      </c>
      <c r="O394">
        <v>239</v>
      </c>
      <c r="P394">
        <v>262.5</v>
      </c>
      <c r="Q394">
        <v>215.5</v>
      </c>
    </row>
    <row r="395" spans="1:17" x14ac:dyDescent="0.25">
      <c r="A395">
        <v>5289</v>
      </c>
      <c r="B395" t="s">
        <v>414</v>
      </c>
      <c r="C395">
        <v>122.5</v>
      </c>
      <c r="D395">
        <v>-0.5</v>
      </c>
      <c r="E395">
        <v>124</v>
      </c>
      <c r="F395">
        <v>124.5</v>
      </c>
      <c r="G395">
        <v>122</v>
      </c>
      <c r="H395">
        <v>122.91</v>
      </c>
      <c r="I395" s="1">
        <v>793873</v>
      </c>
      <c r="J395" s="1">
        <v>97578437</v>
      </c>
      <c r="K395">
        <v>562</v>
      </c>
      <c r="L395">
        <v>122.5</v>
      </c>
      <c r="M395">
        <v>123</v>
      </c>
      <c r="N395" s="1">
        <v>72168136</v>
      </c>
      <c r="O395">
        <v>122.5</v>
      </c>
      <c r="P395">
        <v>134.5</v>
      </c>
      <c r="Q395">
        <v>110.5</v>
      </c>
    </row>
    <row r="396" spans="1:17" x14ac:dyDescent="0.25">
      <c r="A396">
        <v>5291</v>
      </c>
      <c r="B396" t="s">
        <v>415</v>
      </c>
      <c r="C396">
        <v>15</v>
      </c>
      <c r="D396">
        <v>-0.05</v>
      </c>
      <c r="E396">
        <v>15</v>
      </c>
      <c r="F396">
        <v>15.1</v>
      </c>
      <c r="G396">
        <v>15</v>
      </c>
      <c r="H396">
        <v>15.04</v>
      </c>
      <c r="I396" s="1">
        <v>32000</v>
      </c>
      <c r="J396" s="1">
        <v>481400</v>
      </c>
      <c r="K396">
        <v>18</v>
      </c>
      <c r="L396">
        <v>14.85</v>
      </c>
      <c r="M396">
        <v>15.1</v>
      </c>
      <c r="N396" s="1">
        <v>33551308</v>
      </c>
      <c r="O396">
        <v>15</v>
      </c>
      <c r="P396">
        <v>16.5</v>
      </c>
      <c r="Q396">
        <v>13.5</v>
      </c>
    </row>
    <row r="397" spans="1:17" x14ac:dyDescent="0.25">
      <c r="A397">
        <v>5301</v>
      </c>
      <c r="B397" t="s">
        <v>416</v>
      </c>
      <c r="C397">
        <v>41.5</v>
      </c>
      <c r="D397">
        <v>1.35</v>
      </c>
      <c r="E397">
        <v>40.200000000000003</v>
      </c>
      <c r="F397">
        <v>41.5</v>
      </c>
      <c r="G397">
        <v>40.15</v>
      </c>
      <c r="H397">
        <v>40.799999999999997</v>
      </c>
      <c r="I397" s="1">
        <v>451894</v>
      </c>
      <c r="J397" s="1">
        <v>18438533</v>
      </c>
      <c r="K397">
        <v>230</v>
      </c>
      <c r="L397">
        <v>41.25</v>
      </c>
      <c r="M397">
        <v>41.5</v>
      </c>
      <c r="N397" s="1">
        <v>137975000</v>
      </c>
      <c r="O397">
        <v>41.5</v>
      </c>
      <c r="P397">
        <v>45.65</v>
      </c>
      <c r="Q397">
        <v>37.35</v>
      </c>
    </row>
    <row r="398" spans="1:17" x14ac:dyDescent="0.25">
      <c r="A398">
        <v>5302</v>
      </c>
      <c r="B398" t="s">
        <v>417</v>
      </c>
      <c r="C398">
        <v>6.17</v>
      </c>
      <c r="D398">
        <v>0</v>
      </c>
      <c r="E398">
        <v>6.19</v>
      </c>
      <c r="F398">
        <v>6.26</v>
      </c>
      <c r="G398">
        <v>6.1</v>
      </c>
      <c r="H398">
        <v>6.14</v>
      </c>
      <c r="I398" s="1">
        <v>76000</v>
      </c>
      <c r="J398" s="1">
        <v>466920</v>
      </c>
      <c r="K398">
        <v>33</v>
      </c>
      <c r="L398">
        <v>6.12</v>
      </c>
      <c r="M398">
        <v>6.17</v>
      </c>
      <c r="N398" s="1">
        <v>162377000</v>
      </c>
      <c r="O398">
        <v>6.17</v>
      </c>
      <c r="P398">
        <v>6.78</v>
      </c>
      <c r="Q398">
        <v>5.56</v>
      </c>
    </row>
    <row r="399" spans="1:17" x14ac:dyDescent="0.25">
      <c r="A399">
        <v>5304</v>
      </c>
      <c r="B399" t="s">
        <v>418</v>
      </c>
      <c r="C399">
        <v>2.15</v>
      </c>
      <c r="D399">
        <v>0.05</v>
      </c>
      <c r="E399">
        <v>2.11</v>
      </c>
      <c r="F399">
        <v>2.15</v>
      </c>
      <c r="G399">
        <v>2.11</v>
      </c>
      <c r="H399">
        <v>2.13</v>
      </c>
      <c r="I399" s="1">
        <v>11999</v>
      </c>
      <c r="J399" s="1">
        <v>25546</v>
      </c>
      <c r="K399">
        <v>10</v>
      </c>
      <c r="L399">
        <v>2.15</v>
      </c>
      <c r="M399">
        <v>2.16</v>
      </c>
      <c r="N399" s="1">
        <v>185962436</v>
      </c>
      <c r="O399">
        <v>2.15</v>
      </c>
      <c r="P399">
        <v>2.36</v>
      </c>
      <c r="Q399">
        <v>1.94</v>
      </c>
    </row>
    <row r="400" spans="1:17" x14ac:dyDescent="0.25">
      <c r="A400">
        <v>5306</v>
      </c>
      <c r="B400" t="s">
        <v>419</v>
      </c>
      <c r="C400">
        <v>130</v>
      </c>
      <c r="D400">
        <v>0</v>
      </c>
      <c r="E400">
        <v>130</v>
      </c>
      <c r="F400">
        <v>132</v>
      </c>
      <c r="G400">
        <v>130</v>
      </c>
      <c r="H400">
        <v>130.59</v>
      </c>
      <c r="I400" s="1">
        <v>85392</v>
      </c>
      <c r="J400" s="1">
        <v>11151068</v>
      </c>
      <c r="K400">
        <v>86</v>
      </c>
      <c r="L400">
        <v>130</v>
      </c>
      <c r="M400">
        <v>131</v>
      </c>
      <c r="N400" s="1">
        <v>120000000</v>
      </c>
      <c r="O400">
        <v>130</v>
      </c>
      <c r="P400">
        <v>143</v>
      </c>
      <c r="Q400">
        <v>117</v>
      </c>
    </row>
    <row r="401" spans="1:17" x14ac:dyDescent="0.25">
      <c r="A401">
        <v>5309</v>
      </c>
      <c r="B401" t="s">
        <v>420</v>
      </c>
      <c r="C401">
        <v>8.6</v>
      </c>
      <c r="D401">
        <v>-7.0000000000000007E-2</v>
      </c>
      <c r="E401">
        <v>8.68</v>
      </c>
      <c r="F401">
        <v>8.7100000000000009</v>
      </c>
      <c r="G401">
        <v>8.5399999999999991</v>
      </c>
      <c r="H401">
        <v>8.59</v>
      </c>
      <c r="I401" s="1">
        <v>343839</v>
      </c>
      <c r="J401" s="1">
        <v>2954338</v>
      </c>
      <c r="K401">
        <v>131</v>
      </c>
      <c r="L401">
        <v>8.6</v>
      </c>
      <c r="M401">
        <v>8.61</v>
      </c>
      <c r="N401" s="1">
        <v>213638104</v>
      </c>
      <c r="O401">
        <v>8.6</v>
      </c>
      <c r="P401">
        <v>9.4600000000000009</v>
      </c>
      <c r="Q401">
        <v>7.74</v>
      </c>
    </row>
    <row r="402" spans="1:17" x14ac:dyDescent="0.25">
      <c r="A402">
        <v>5310</v>
      </c>
      <c r="B402" t="s">
        <v>421</v>
      </c>
      <c r="C402">
        <v>31.5</v>
      </c>
      <c r="D402">
        <v>2.2999999999999998</v>
      </c>
      <c r="E402">
        <v>29.2</v>
      </c>
      <c r="F402">
        <v>31.8</v>
      </c>
      <c r="G402">
        <v>29.2</v>
      </c>
      <c r="H402">
        <v>30.68</v>
      </c>
      <c r="I402" s="1">
        <v>259525</v>
      </c>
      <c r="J402" s="1">
        <v>7961499</v>
      </c>
      <c r="K402">
        <v>117</v>
      </c>
      <c r="L402">
        <v>31.4</v>
      </c>
      <c r="M402">
        <v>31.5</v>
      </c>
      <c r="N402" s="1">
        <v>49601237</v>
      </c>
      <c r="O402">
        <v>31.5</v>
      </c>
      <c r="P402">
        <v>34.65</v>
      </c>
      <c r="Q402">
        <v>28.35</v>
      </c>
    </row>
    <row r="403" spans="1:17" x14ac:dyDescent="0.25">
      <c r="A403">
        <v>5312</v>
      </c>
      <c r="B403" t="s">
        <v>422</v>
      </c>
      <c r="C403">
        <v>67</v>
      </c>
      <c r="D403">
        <v>-0.6</v>
      </c>
      <c r="E403">
        <v>67.400000000000006</v>
      </c>
      <c r="F403">
        <v>67.5</v>
      </c>
      <c r="G403">
        <v>66.8</v>
      </c>
      <c r="H403">
        <v>67.06</v>
      </c>
      <c r="I403" s="1">
        <v>35002</v>
      </c>
      <c r="J403" s="1">
        <v>2347135</v>
      </c>
      <c r="K403">
        <v>19</v>
      </c>
      <c r="L403">
        <v>66.8</v>
      </c>
      <c r="M403">
        <v>67.5</v>
      </c>
      <c r="N403" s="1">
        <v>60059898</v>
      </c>
      <c r="O403">
        <v>67</v>
      </c>
      <c r="P403">
        <v>73.7</v>
      </c>
      <c r="Q403">
        <v>60.3</v>
      </c>
    </row>
    <row r="404" spans="1:17" x14ac:dyDescent="0.25">
      <c r="A404">
        <v>5314</v>
      </c>
      <c r="B404" t="s">
        <v>423</v>
      </c>
      <c r="C404">
        <v>4.59</v>
      </c>
      <c r="D404">
        <v>7.0000000000000007E-2</v>
      </c>
      <c r="E404">
        <v>4.32</v>
      </c>
      <c r="F404">
        <v>4.59</v>
      </c>
      <c r="G404">
        <v>4.32</v>
      </c>
      <c r="H404">
        <v>4.49</v>
      </c>
      <c r="I404" s="1">
        <v>4807</v>
      </c>
      <c r="J404" s="1">
        <v>21572</v>
      </c>
      <c r="K404">
        <v>15</v>
      </c>
      <c r="L404">
        <v>4.5199999999999996</v>
      </c>
      <c r="M404">
        <v>4.5999999999999996</v>
      </c>
      <c r="N404" s="1">
        <v>60000000</v>
      </c>
      <c r="O404">
        <v>4.59</v>
      </c>
      <c r="P404">
        <v>5.04</v>
      </c>
      <c r="Q404">
        <v>4.1399999999999997</v>
      </c>
    </row>
    <row r="405" spans="1:17" x14ac:dyDescent="0.25">
      <c r="A405">
        <v>5315</v>
      </c>
      <c r="B405" t="s">
        <v>424</v>
      </c>
      <c r="C405">
        <v>17.95</v>
      </c>
      <c r="D405">
        <v>0</v>
      </c>
      <c r="E405">
        <v>18.100000000000001</v>
      </c>
      <c r="F405">
        <v>18.25</v>
      </c>
      <c r="G405">
        <v>17.8</v>
      </c>
      <c r="H405">
        <v>17.989999999999998</v>
      </c>
      <c r="I405" s="1">
        <v>660838</v>
      </c>
      <c r="J405" s="1">
        <v>11886810</v>
      </c>
      <c r="K405">
        <v>296</v>
      </c>
      <c r="L405">
        <v>17.95</v>
      </c>
      <c r="M405">
        <v>18</v>
      </c>
      <c r="N405" s="1">
        <v>106351832</v>
      </c>
      <c r="O405">
        <v>17.95</v>
      </c>
      <c r="P405">
        <v>19.7</v>
      </c>
      <c r="Q405">
        <v>16.2</v>
      </c>
    </row>
    <row r="406" spans="1:17" x14ac:dyDescent="0.25">
      <c r="A406">
        <v>5317</v>
      </c>
      <c r="B406" t="s">
        <v>425</v>
      </c>
      <c r="C406">
        <v>63.5</v>
      </c>
      <c r="D406">
        <v>2</v>
      </c>
      <c r="E406">
        <v>60.8</v>
      </c>
      <c r="F406">
        <v>63.5</v>
      </c>
      <c r="G406">
        <v>59.4</v>
      </c>
      <c r="H406">
        <v>61.26</v>
      </c>
      <c r="I406" s="1">
        <v>3920170</v>
      </c>
      <c r="J406" s="1">
        <v>240152451</v>
      </c>
      <c r="K406" s="1">
        <v>2611</v>
      </c>
      <c r="L406">
        <v>63.5</v>
      </c>
      <c r="M406">
        <v>63.6</v>
      </c>
      <c r="N406" s="1">
        <v>134615405</v>
      </c>
      <c r="O406">
        <v>63.5</v>
      </c>
      <c r="P406">
        <v>69.8</v>
      </c>
      <c r="Q406">
        <v>57.2</v>
      </c>
    </row>
    <row r="407" spans="1:17" x14ac:dyDescent="0.25">
      <c r="A407">
        <v>5321</v>
      </c>
      <c r="B407" t="s">
        <v>426</v>
      </c>
      <c r="C407">
        <v>20.05</v>
      </c>
      <c r="D407">
        <v>0.05</v>
      </c>
      <c r="E407">
        <v>19.600000000000001</v>
      </c>
      <c r="F407">
        <v>20.149999999999999</v>
      </c>
      <c r="G407">
        <v>19.5</v>
      </c>
      <c r="H407">
        <v>19.73</v>
      </c>
      <c r="I407" s="1">
        <v>37175</v>
      </c>
      <c r="J407" s="1">
        <v>733292</v>
      </c>
      <c r="K407" s="1">
        <v>37</v>
      </c>
      <c r="L407">
        <v>19.649999999999999</v>
      </c>
      <c r="M407">
        <v>20.100000000000001</v>
      </c>
      <c r="N407" s="1">
        <v>28800000</v>
      </c>
      <c r="O407">
        <v>20.05</v>
      </c>
      <c r="P407">
        <v>22.05</v>
      </c>
      <c r="Q407">
        <v>18.05</v>
      </c>
    </row>
    <row r="408" spans="1:17" x14ac:dyDescent="0.25">
      <c r="A408">
        <v>5324</v>
      </c>
      <c r="B408" t="s">
        <v>427</v>
      </c>
      <c r="C408">
        <v>9.89</v>
      </c>
      <c r="D408">
        <v>7.0000000000000007E-2</v>
      </c>
      <c r="E408">
        <v>9.82</v>
      </c>
      <c r="F408">
        <v>9.9</v>
      </c>
      <c r="G408">
        <v>9.8000000000000007</v>
      </c>
      <c r="H408">
        <v>9.84</v>
      </c>
      <c r="I408" s="1">
        <v>18393</v>
      </c>
      <c r="J408" s="1">
        <v>181022</v>
      </c>
      <c r="K408" s="1">
        <v>28</v>
      </c>
      <c r="L408">
        <v>9.7799999999999994</v>
      </c>
      <c r="M408">
        <v>9.89</v>
      </c>
      <c r="N408" s="1">
        <v>106379090</v>
      </c>
      <c r="O408">
        <v>9.89</v>
      </c>
      <c r="P408">
        <v>10.85</v>
      </c>
      <c r="Q408">
        <v>8.91</v>
      </c>
    </row>
    <row r="409" spans="1:17" x14ac:dyDescent="0.25">
      <c r="A409">
        <v>5328</v>
      </c>
      <c r="B409" t="s">
        <v>428</v>
      </c>
      <c r="C409">
        <v>10.1</v>
      </c>
      <c r="D409">
        <v>-0.1</v>
      </c>
      <c r="E409">
        <v>10.15</v>
      </c>
      <c r="F409">
        <v>10.25</v>
      </c>
      <c r="G409">
        <v>10</v>
      </c>
      <c r="H409">
        <v>10.07</v>
      </c>
      <c r="I409" s="1">
        <v>564814</v>
      </c>
      <c r="J409" s="1">
        <v>5689678</v>
      </c>
      <c r="K409" s="1">
        <v>235</v>
      </c>
      <c r="L409">
        <v>10.050000000000001</v>
      </c>
      <c r="M409">
        <v>10.1</v>
      </c>
      <c r="N409" s="1">
        <v>173910724</v>
      </c>
      <c r="O409">
        <v>10.1</v>
      </c>
      <c r="P409">
        <v>11.1</v>
      </c>
      <c r="Q409">
        <v>9.09</v>
      </c>
    </row>
    <row r="410" spans="1:17" x14ac:dyDescent="0.25">
      <c r="A410">
        <v>5340</v>
      </c>
      <c r="B410" t="s">
        <v>429</v>
      </c>
      <c r="C410">
        <v>12.1</v>
      </c>
      <c r="D410">
        <v>0.15</v>
      </c>
      <c r="E410">
        <v>12</v>
      </c>
      <c r="F410">
        <v>12.2</v>
      </c>
      <c r="G410">
        <v>11.8</v>
      </c>
      <c r="H410">
        <v>12</v>
      </c>
      <c r="I410" s="1">
        <v>3382400</v>
      </c>
      <c r="J410" s="1">
        <v>40597430</v>
      </c>
      <c r="K410" s="1">
        <v>1172</v>
      </c>
      <c r="L410">
        <v>12.05</v>
      </c>
      <c r="M410">
        <v>12.1</v>
      </c>
      <c r="N410" s="1">
        <v>165893964</v>
      </c>
      <c r="O410">
        <v>12.1</v>
      </c>
      <c r="P410">
        <v>13.3</v>
      </c>
      <c r="Q410">
        <v>10.9</v>
      </c>
    </row>
    <row r="411" spans="1:17" x14ac:dyDescent="0.25">
      <c r="A411">
        <v>5344</v>
      </c>
      <c r="B411" t="s">
        <v>430</v>
      </c>
      <c r="C411">
        <v>6.38</v>
      </c>
      <c r="D411">
        <v>-0.02</v>
      </c>
      <c r="E411">
        <v>6.4</v>
      </c>
      <c r="F411">
        <v>6.4</v>
      </c>
      <c r="G411">
        <v>6.38</v>
      </c>
      <c r="H411">
        <v>6.4</v>
      </c>
      <c r="I411" s="1">
        <v>7000</v>
      </c>
      <c r="J411" s="1">
        <v>44780</v>
      </c>
      <c r="K411">
        <v>3</v>
      </c>
      <c r="L411">
        <v>6.38</v>
      </c>
      <c r="M411">
        <v>6.49</v>
      </c>
      <c r="N411" s="1">
        <v>79447460</v>
      </c>
      <c r="O411">
        <v>6.38</v>
      </c>
      <c r="P411">
        <v>7.01</v>
      </c>
      <c r="Q411">
        <v>5.75</v>
      </c>
    </row>
    <row r="412" spans="1:17" x14ac:dyDescent="0.25">
      <c r="A412">
        <v>5345</v>
      </c>
      <c r="B412" t="s">
        <v>431</v>
      </c>
      <c r="C412">
        <v>7.89</v>
      </c>
      <c r="D412">
        <v>0.26</v>
      </c>
      <c r="E412">
        <v>7.89</v>
      </c>
      <c r="F412">
        <v>7.89</v>
      </c>
      <c r="G412">
        <v>7.89</v>
      </c>
      <c r="H412">
        <v>7.89</v>
      </c>
      <c r="I412" s="1">
        <v>22267</v>
      </c>
      <c r="J412" s="1">
        <v>175620</v>
      </c>
      <c r="K412">
        <v>17</v>
      </c>
      <c r="L412">
        <v>7.51</v>
      </c>
      <c r="M412">
        <v>7.89</v>
      </c>
      <c r="N412" s="1">
        <v>50000000</v>
      </c>
      <c r="O412">
        <v>7.89</v>
      </c>
      <c r="P412">
        <v>8.67</v>
      </c>
      <c r="Q412">
        <v>7.11</v>
      </c>
    </row>
    <row r="413" spans="1:17" x14ac:dyDescent="0.25">
      <c r="A413">
        <v>5347</v>
      </c>
      <c r="B413" t="s">
        <v>432</v>
      </c>
      <c r="C413">
        <v>66</v>
      </c>
      <c r="D413">
        <v>1</v>
      </c>
      <c r="E413">
        <v>65.5</v>
      </c>
      <c r="F413">
        <v>67.099999999999994</v>
      </c>
      <c r="G413">
        <v>63.9</v>
      </c>
      <c r="H413">
        <v>65.77</v>
      </c>
      <c r="I413" s="1">
        <v>2672100</v>
      </c>
      <c r="J413" s="1">
        <v>175743376</v>
      </c>
      <c r="K413" s="1">
        <v>2005</v>
      </c>
      <c r="L413">
        <v>65.900000000000006</v>
      </c>
      <c r="M413">
        <v>66</v>
      </c>
      <c r="N413" s="1">
        <v>1638982267</v>
      </c>
      <c r="O413">
        <v>66</v>
      </c>
      <c r="P413">
        <v>72.599999999999994</v>
      </c>
      <c r="Q413">
        <v>59.4</v>
      </c>
    </row>
    <row r="414" spans="1:17" x14ac:dyDescent="0.25">
      <c r="A414">
        <v>5348</v>
      </c>
      <c r="B414" t="s">
        <v>433</v>
      </c>
      <c r="C414">
        <v>6.92</v>
      </c>
      <c r="D414">
        <v>0.42</v>
      </c>
      <c r="E414">
        <v>6.48</v>
      </c>
      <c r="F414">
        <v>6.92</v>
      </c>
      <c r="G414">
        <v>6.48</v>
      </c>
      <c r="H414">
        <v>6.67</v>
      </c>
      <c r="I414" s="1">
        <v>7000</v>
      </c>
      <c r="J414" s="1">
        <v>46680</v>
      </c>
      <c r="K414">
        <v>6</v>
      </c>
      <c r="L414">
        <v>6.15</v>
      </c>
      <c r="M414">
        <v>6.93</v>
      </c>
      <c r="N414" s="1">
        <v>25950310</v>
      </c>
      <c r="O414">
        <v>6.92</v>
      </c>
      <c r="P414">
        <v>7.61</v>
      </c>
      <c r="Q414">
        <v>6.23</v>
      </c>
    </row>
    <row r="415" spans="1:17" x14ac:dyDescent="0.25">
      <c r="A415">
        <v>5349</v>
      </c>
      <c r="B415" t="s">
        <v>434</v>
      </c>
      <c r="C415">
        <v>36.049999999999997</v>
      </c>
      <c r="D415">
        <v>1.9</v>
      </c>
      <c r="E415">
        <v>34.75</v>
      </c>
      <c r="F415">
        <v>36.950000000000003</v>
      </c>
      <c r="G415">
        <v>34.4</v>
      </c>
      <c r="H415">
        <v>35.74</v>
      </c>
      <c r="I415" s="1">
        <v>7533524</v>
      </c>
      <c r="J415" s="1">
        <v>269219516</v>
      </c>
      <c r="K415" s="1">
        <v>4338</v>
      </c>
      <c r="L415">
        <v>36.049999999999997</v>
      </c>
      <c r="M415">
        <v>36.200000000000003</v>
      </c>
      <c r="N415" s="1">
        <v>224096373</v>
      </c>
      <c r="O415">
        <v>36.049999999999997</v>
      </c>
      <c r="P415">
        <v>39.65</v>
      </c>
      <c r="Q415">
        <v>32.450000000000003</v>
      </c>
    </row>
    <row r="416" spans="1:17" x14ac:dyDescent="0.25">
      <c r="A416">
        <v>5351</v>
      </c>
      <c r="B416" t="s">
        <v>435</v>
      </c>
      <c r="C416">
        <v>15.65</v>
      </c>
      <c r="D416">
        <v>0.1</v>
      </c>
      <c r="E416">
        <v>15.5</v>
      </c>
      <c r="F416">
        <v>15.85</v>
      </c>
      <c r="G416">
        <v>15.3</v>
      </c>
      <c r="H416">
        <v>15.61</v>
      </c>
      <c r="I416" s="1">
        <v>3390180</v>
      </c>
      <c r="J416" s="1">
        <v>52936990</v>
      </c>
      <c r="K416" s="1">
        <v>1434</v>
      </c>
      <c r="L416">
        <v>15.6</v>
      </c>
      <c r="M416">
        <v>15.65</v>
      </c>
      <c r="N416" s="1">
        <v>436939837</v>
      </c>
      <c r="O416">
        <v>15.65</v>
      </c>
      <c r="P416">
        <v>17.2</v>
      </c>
      <c r="Q416">
        <v>14.1</v>
      </c>
    </row>
    <row r="417" spans="1:17" x14ac:dyDescent="0.25">
      <c r="A417">
        <v>5353</v>
      </c>
      <c r="B417" t="s">
        <v>436</v>
      </c>
      <c r="C417">
        <v>12.55</v>
      </c>
      <c r="D417">
        <v>-0.15</v>
      </c>
      <c r="E417">
        <v>12.7</v>
      </c>
      <c r="F417">
        <v>12.7</v>
      </c>
      <c r="G417">
        <v>12.4</v>
      </c>
      <c r="H417">
        <v>12.49</v>
      </c>
      <c r="I417" s="1">
        <v>147668</v>
      </c>
      <c r="J417" s="1">
        <v>1844600</v>
      </c>
      <c r="K417">
        <v>62</v>
      </c>
      <c r="L417">
        <v>12.5</v>
      </c>
      <c r="M417">
        <v>12.55</v>
      </c>
      <c r="N417" s="1">
        <v>75000000</v>
      </c>
      <c r="O417">
        <v>12.55</v>
      </c>
      <c r="P417">
        <v>13.8</v>
      </c>
      <c r="Q417">
        <v>11.3</v>
      </c>
    </row>
    <row r="418" spans="1:17" x14ac:dyDescent="0.25">
      <c r="A418">
        <v>5355</v>
      </c>
      <c r="B418" t="s">
        <v>437</v>
      </c>
      <c r="C418">
        <v>7.58</v>
      </c>
      <c r="D418">
        <v>0.01</v>
      </c>
      <c r="E418">
        <v>7.57</v>
      </c>
      <c r="F418">
        <v>7.58</v>
      </c>
      <c r="G418">
        <v>7.53</v>
      </c>
      <c r="H418">
        <v>7.56</v>
      </c>
      <c r="I418" s="1">
        <v>104009</v>
      </c>
      <c r="J418" s="1">
        <v>786693</v>
      </c>
      <c r="K418">
        <v>28</v>
      </c>
      <c r="L418">
        <v>7.54</v>
      </c>
      <c r="M418">
        <v>7.58</v>
      </c>
      <c r="N418" s="1">
        <v>166122792</v>
      </c>
      <c r="O418">
        <v>7.58</v>
      </c>
      <c r="P418">
        <v>8.33</v>
      </c>
      <c r="Q418">
        <v>6.83</v>
      </c>
    </row>
    <row r="419" spans="1:17" x14ac:dyDescent="0.25">
      <c r="A419">
        <v>5356</v>
      </c>
      <c r="B419" t="s">
        <v>438</v>
      </c>
      <c r="C419">
        <v>40.450000000000003</v>
      </c>
      <c r="D419">
        <v>0.2</v>
      </c>
      <c r="E419">
        <v>40.4</v>
      </c>
      <c r="F419">
        <v>40.450000000000003</v>
      </c>
      <c r="G419">
        <v>40.25</v>
      </c>
      <c r="H419">
        <v>40.31</v>
      </c>
      <c r="I419" s="1">
        <v>156445</v>
      </c>
      <c r="J419" s="1">
        <v>6306768</v>
      </c>
      <c r="K419">
        <v>123</v>
      </c>
      <c r="L419">
        <v>40.299999999999997</v>
      </c>
      <c r="M419">
        <v>40.450000000000003</v>
      </c>
      <c r="N419" s="1">
        <v>128800000</v>
      </c>
      <c r="O419">
        <v>40.450000000000003</v>
      </c>
      <c r="P419">
        <v>44.45</v>
      </c>
      <c r="Q419">
        <v>36.450000000000003</v>
      </c>
    </row>
    <row r="420" spans="1:17" x14ac:dyDescent="0.25">
      <c r="A420">
        <v>5364</v>
      </c>
      <c r="B420" t="s">
        <v>439</v>
      </c>
      <c r="C420" t="s">
        <v>78</v>
      </c>
      <c r="D420" t="s">
        <v>78</v>
      </c>
      <c r="E420" t="s">
        <v>78</v>
      </c>
      <c r="F420" t="s">
        <v>78</v>
      </c>
      <c r="G420" t="s">
        <v>78</v>
      </c>
      <c r="H420">
        <v>22.49</v>
      </c>
      <c r="I420" s="1">
        <v>173</v>
      </c>
      <c r="J420" s="1">
        <v>3891</v>
      </c>
      <c r="K420" s="1">
        <v>5</v>
      </c>
      <c r="L420">
        <v>22.45</v>
      </c>
      <c r="M420">
        <v>23.3</v>
      </c>
      <c r="N420" s="1">
        <v>14099940</v>
      </c>
      <c r="O420">
        <v>22.5</v>
      </c>
      <c r="P420">
        <v>24.75</v>
      </c>
      <c r="Q420">
        <v>20.25</v>
      </c>
    </row>
    <row r="421" spans="1:17" x14ac:dyDescent="0.25">
      <c r="A421">
        <v>5371</v>
      </c>
      <c r="B421" t="s">
        <v>440</v>
      </c>
      <c r="C421">
        <v>34.1</v>
      </c>
      <c r="D421">
        <v>0.1</v>
      </c>
      <c r="E421">
        <v>34.200000000000003</v>
      </c>
      <c r="F421">
        <v>34.25</v>
      </c>
      <c r="G421">
        <v>34.049999999999997</v>
      </c>
      <c r="H421">
        <v>34.1</v>
      </c>
      <c r="I421" s="1">
        <v>413156</v>
      </c>
      <c r="J421" s="1">
        <v>14090204</v>
      </c>
      <c r="K421">
        <v>297</v>
      </c>
      <c r="L421">
        <v>34.1</v>
      </c>
      <c r="M421">
        <v>34.15</v>
      </c>
      <c r="N421" s="1">
        <v>434423110</v>
      </c>
      <c r="O421">
        <v>34.1</v>
      </c>
      <c r="P421">
        <v>37.5</v>
      </c>
      <c r="Q421">
        <v>30.7</v>
      </c>
    </row>
    <row r="422" spans="1:17" x14ac:dyDescent="0.25">
      <c r="A422">
        <v>5381</v>
      </c>
      <c r="B422" t="s">
        <v>441</v>
      </c>
      <c r="C422">
        <v>5</v>
      </c>
      <c r="D422">
        <v>0.06</v>
      </c>
      <c r="E422">
        <v>4.95</v>
      </c>
      <c r="F422">
        <v>5</v>
      </c>
      <c r="G422">
        <v>4.95</v>
      </c>
      <c r="H422">
        <v>4.95</v>
      </c>
      <c r="I422" s="1">
        <v>93168</v>
      </c>
      <c r="J422" s="1">
        <v>461609</v>
      </c>
      <c r="K422" s="1">
        <v>43</v>
      </c>
      <c r="L422">
        <v>5</v>
      </c>
      <c r="M422">
        <v>5.08</v>
      </c>
      <c r="N422" s="1">
        <v>285094388</v>
      </c>
      <c r="O422">
        <v>5</v>
      </c>
      <c r="P422">
        <v>5.5</v>
      </c>
      <c r="Q422">
        <v>4.5</v>
      </c>
    </row>
    <row r="423" spans="1:17" x14ac:dyDescent="0.25">
      <c r="A423">
        <v>5386</v>
      </c>
      <c r="B423" t="s">
        <v>443</v>
      </c>
      <c r="C423">
        <v>32</v>
      </c>
      <c r="D423">
        <v>0.05</v>
      </c>
      <c r="E423">
        <v>31.95</v>
      </c>
      <c r="F423">
        <v>32.200000000000003</v>
      </c>
      <c r="G423">
        <v>31.9</v>
      </c>
      <c r="H423">
        <v>32.04</v>
      </c>
      <c r="I423" s="1">
        <v>14055</v>
      </c>
      <c r="J423" s="1">
        <v>450285</v>
      </c>
      <c r="K423">
        <v>13</v>
      </c>
      <c r="L423">
        <v>31.9</v>
      </c>
      <c r="M423">
        <v>32.15</v>
      </c>
      <c r="N423" s="1">
        <v>13516047</v>
      </c>
      <c r="O423">
        <v>32</v>
      </c>
      <c r="P423">
        <v>35.200000000000003</v>
      </c>
      <c r="Q423">
        <v>28.8</v>
      </c>
    </row>
    <row r="424" spans="1:17" x14ac:dyDescent="0.25">
      <c r="A424">
        <v>5392</v>
      </c>
      <c r="B424" t="s">
        <v>444</v>
      </c>
      <c r="C424">
        <v>63.9</v>
      </c>
      <c r="D424">
        <v>1.1000000000000001</v>
      </c>
      <c r="E424">
        <v>63.2</v>
      </c>
      <c r="F424">
        <v>64.5</v>
      </c>
      <c r="G424">
        <v>62.6</v>
      </c>
      <c r="H424">
        <v>63.47</v>
      </c>
      <c r="I424" s="1">
        <v>2466092</v>
      </c>
      <c r="J424" s="1">
        <v>156513142</v>
      </c>
      <c r="K424" s="1">
        <v>1510</v>
      </c>
      <c r="L424">
        <v>63.8</v>
      </c>
      <c r="M424">
        <v>63.9</v>
      </c>
      <c r="N424" s="1">
        <v>108559657</v>
      </c>
      <c r="O424">
        <v>63.9</v>
      </c>
      <c r="P424">
        <v>70.2</v>
      </c>
      <c r="Q424">
        <v>57.6</v>
      </c>
    </row>
    <row r="425" spans="1:17" x14ac:dyDescent="0.25">
      <c r="A425">
        <v>5398</v>
      </c>
      <c r="B425" t="s">
        <v>1404</v>
      </c>
      <c r="C425">
        <v>31</v>
      </c>
      <c r="D425">
        <v>0</v>
      </c>
      <c r="E425">
        <v>30.8</v>
      </c>
      <c r="F425">
        <v>31</v>
      </c>
      <c r="G425">
        <v>30.6</v>
      </c>
      <c r="H425">
        <v>30.81</v>
      </c>
      <c r="I425" s="1">
        <v>13005</v>
      </c>
      <c r="J425" s="1">
        <v>400705</v>
      </c>
      <c r="K425">
        <v>16</v>
      </c>
      <c r="L425">
        <v>30.6</v>
      </c>
      <c r="M425">
        <v>31</v>
      </c>
      <c r="N425" s="1">
        <v>49950460</v>
      </c>
      <c r="O425">
        <v>31</v>
      </c>
      <c r="P425">
        <v>34.1</v>
      </c>
      <c r="Q425">
        <v>27.9</v>
      </c>
    </row>
    <row r="426" spans="1:17" x14ac:dyDescent="0.25">
      <c r="A426">
        <v>5403</v>
      </c>
      <c r="B426" t="s">
        <v>445</v>
      </c>
      <c r="C426">
        <v>37.35</v>
      </c>
      <c r="D426">
        <v>-0.05</v>
      </c>
      <c r="E426">
        <v>37.450000000000003</v>
      </c>
      <c r="F426">
        <v>37.5</v>
      </c>
      <c r="G426">
        <v>37.35</v>
      </c>
      <c r="H426">
        <v>37.42</v>
      </c>
      <c r="I426" s="1">
        <v>61288</v>
      </c>
      <c r="J426" s="1">
        <v>2293612</v>
      </c>
      <c r="K426" s="1">
        <v>37</v>
      </c>
      <c r="L426">
        <v>37.35</v>
      </c>
      <c r="M426">
        <v>37.450000000000003</v>
      </c>
      <c r="N426" s="1">
        <v>62630041</v>
      </c>
      <c r="O426">
        <v>37.35</v>
      </c>
      <c r="P426">
        <v>41.05</v>
      </c>
      <c r="Q426">
        <v>33.65</v>
      </c>
    </row>
    <row r="427" spans="1:17" x14ac:dyDescent="0.25">
      <c r="A427">
        <v>5410</v>
      </c>
      <c r="B427" t="s">
        <v>446</v>
      </c>
      <c r="C427">
        <v>13.4</v>
      </c>
      <c r="D427">
        <v>0.1</v>
      </c>
      <c r="E427">
        <v>13.3</v>
      </c>
      <c r="F427">
        <v>13.5</v>
      </c>
      <c r="G427">
        <v>13.3</v>
      </c>
      <c r="H427">
        <v>13.4</v>
      </c>
      <c r="I427" s="1">
        <v>553912</v>
      </c>
      <c r="J427" s="1">
        <v>7422058</v>
      </c>
      <c r="K427">
        <v>163</v>
      </c>
      <c r="L427">
        <v>13.4</v>
      </c>
      <c r="M427">
        <v>13.45</v>
      </c>
      <c r="N427" s="1">
        <v>85900123</v>
      </c>
      <c r="O427">
        <v>13.4</v>
      </c>
      <c r="P427">
        <v>14.7</v>
      </c>
      <c r="Q427">
        <v>12.1</v>
      </c>
    </row>
    <row r="428" spans="1:17" x14ac:dyDescent="0.25">
      <c r="A428">
        <v>5425</v>
      </c>
      <c r="B428" t="s">
        <v>447</v>
      </c>
      <c r="C428">
        <v>69</v>
      </c>
      <c r="D428">
        <v>0.2</v>
      </c>
      <c r="E428">
        <v>69.099999999999994</v>
      </c>
      <c r="F428">
        <v>70.2</v>
      </c>
      <c r="G428">
        <v>68.5</v>
      </c>
      <c r="H428">
        <v>69.52</v>
      </c>
      <c r="I428" s="1">
        <v>2232751</v>
      </c>
      <c r="J428" s="1">
        <v>155223419</v>
      </c>
      <c r="K428" s="1">
        <v>1462</v>
      </c>
      <c r="L428">
        <v>69</v>
      </c>
      <c r="M428">
        <v>69.400000000000006</v>
      </c>
      <c r="N428" s="1">
        <v>241144327</v>
      </c>
      <c r="O428">
        <v>69</v>
      </c>
      <c r="P428">
        <v>75.900000000000006</v>
      </c>
      <c r="Q428">
        <v>62.1</v>
      </c>
    </row>
    <row r="429" spans="1:17" x14ac:dyDescent="0.25">
      <c r="A429">
        <v>5426</v>
      </c>
      <c r="B429" t="s">
        <v>448</v>
      </c>
      <c r="C429">
        <v>15.4</v>
      </c>
      <c r="D429">
        <v>-0.1</v>
      </c>
      <c r="E429">
        <v>15.5</v>
      </c>
      <c r="F429">
        <v>15.65</v>
      </c>
      <c r="G429">
        <v>15.25</v>
      </c>
      <c r="H429">
        <v>15.44</v>
      </c>
      <c r="I429" s="1">
        <v>181005</v>
      </c>
      <c r="J429" s="1">
        <v>2795375</v>
      </c>
      <c r="K429">
        <v>66</v>
      </c>
      <c r="L429">
        <v>15.4</v>
      </c>
      <c r="M429">
        <v>15.45</v>
      </c>
      <c r="N429" s="1">
        <v>143800000</v>
      </c>
      <c r="O429">
        <v>15.4</v>
      </c>
      <c r="P429">
        <v>16.899999999999999</v>
      </c>
      <c r="Q429">
        <v>13.9</v>
      </c>
    </row>
    <row r="430" spans="1:17" x14ac:dyDescent="0.25">
      <c r="A430">
        <v>5432</v>
      </c>
      <c r="B430" t="s">
        <v>449</v>
      </c>
      <c r="C430" t="s">
        <v>78</v>
      </c>
      <c r="D430" t="s">
        <v>78</v>
      </c>
      <c r="E430" t="s">
        <v>78</v>
      </c>
      <c r="F430" t="s">
        <v>78</v>
      </c>
      <c r="G430" t="s">
        <v>78</v>
      </c>
      <c r="H430">
        <v>19.850000000000001</v>
      </c>
      <c r="I430" s="1">
        <v>306</v>
      </c>
      <c r="J430" s="1">
        <v>6073</v>
      </c>
      <c r="K430">
        <v>2</v>
      </c>
      <c r="L430">
        <v>20.55</v>
      </c>
      <c r="M430">
        <v>21.8</v>
      </c>
      <c r="N430" s="1">
        <v>20687804</v>
      </c>
      <c r="O430">
        <v>21.8</v>
      </c>
      <c r="P430">
        <v>23.95</v>
      </c>
      <c r="Q430">
        <v>19.649999999999999</v>
      </c>
    </row>
    <row r="431" spans="1:17" x14ac:dyDescent="0.25">
      <c r="A431">
        <v>5438</v>
      </c>
      <c r="B431" t="s">
        <v>450</v>
      </c>
      <c r="C431">
        <v>16.600000000000001</v>
      </c>
      <c r="D431">
        <v>0.1</v>
      </c>
      <c r="E431">
        <v>16.600000000000001</v>
      </c>
      <c r="F431">
        <v>16.75</v>
      </c>
      <c r="G431">
        <v>16.55</v>
      </c>
      <c r="H431">
        <v>16.649999999999999</v>
      </c>
      <c r="I431" s="1">
        <v>191622</v>
      </c>
      <c r="J431" s="1">
        <v>3190456</v>
      </c>
      <c r="K431">
        <v>104</v>
      </c>
      <c r="L431">
        <v>16.55</v>
      </c>
      <c r="M431">
        <v>16.600000000000001</v>
      </c>
      <c r="N431" s="1">
        <v>112536565</v>
      </c>
      <c r="O431">
        <v>16.600000000000001</v>
      </c>
      <c r="P431">
        <v>18.25</v>
      </c>
      <c r="Q431">
        <v>14.95</v>
      </c>
    </row>
    <row r="432" spans="1:17" x14ac:dyDescent="0.25">
      <c r="A432">
        <v>5439</v>
      </c>
      <c r="B432" t="s">
        <v>451</v>
      </c>
      <c r="C432">
        <v>30.6</v>
      </c>
      <c r="D432">
        <v>-0.05</v>
      </c>
      <c r="E432">
        <v>30.65</v>
      </c>
      <c r="F432">
        <v>30.8</v>
      </c>
      <c r="G432">
        <v>30.3</v>
      </c>
      <c r="H432">
        <v>30.53</v>
      </c>
      <c r="I432" s="1">
        <v>412831</v>
      </c>
      <c r="J432" s="1">
        <v>12605575</v>
      </c>
      <c r="K432">
        <v>318</v>
      </c>
      <c r="L432">
        <v>30.6</v>
      </c>
      <c r="M432">
        <v>30.65</v>
      </c>
      <c r="N432" s="1">
        <v>85975752</v>
      </c>
      <c r="O432">
        <v>30.6</v>
      </c>
      <c r="P432">
        <v>33.65</v>
      </c>
      <c r="Q432">
        <v>27.55</v>
      </c>
    </row>
    <row r="433" spans="1:17" x14ac:dyDescent="0.25">
      <c r="A433">
        <v>5443</v>
      </c>
      <c r="B433" t="s">
        <v>452</v>
      </c>
      <c r="C433">
        <v>21.25</v>
      </c>
      <c r="D433">
        <v>0.15</v>
      </c>
      <c r="E433">
        <v>21.2</v>
      </c>
      <c r="F433">
        <v>21.45</v>
      </c>
      <c r="G433">
        <v>21.1</v>
      </c>
      <c r="H433">
        <v>21.24</v>
      </c>
      <c r="I433" s="1">
        <v>549566</v>
      </c>
      <c r="J433" s="1">
        <v>11675513</v>
      </c>
      <c r="K433" s="1">
        <v>306</v>
      </c>
      <c r="L433">
        <v>21.25</v>
      </c>
      <c r="M433">
        <v>21.3</v>
      </c>
      <c r="N433" s="1">
        <v>165136144</v>
      </c>
      <c r="O433">
        <v>21.25</v>
      </c>
      <c r="P433">
        <v>23.35</v>
      </c>
      <c r="Q433">
        <v>19.149999999999999</v>
      </c>
    </row>
    <row r="434" spans="1:17" x14ac:dyDescent="0.25">
      <c r="A434">
        <v>5450</v>
      </c>
      <c r="B434" t="s">
        <v>453</v>
      </c>
      <c r="C434">
        <v>7.04</v>
      </c>
      <c r="D434">
        <v>-0.04</v>
      </c>
      <c r="E434">
        <v>7.14</v>
      </c>
      <c r="F434">
        <v>7.14</v>
      </c>
      <c r="G434">
        <v>6.98</v>
      </c>
      <c r="H434">
        <v>7.03</v>
      </c>
      <c r="I434" s="1">
        <v>65014</v>
      </c>
      <c r="J434" s="1">
        <v>457339</v>
      </c>
      <c r="K434">
        <v>37</v>
      </c>
      <c r="L434">
        <v>7</v>
      </c>
      <c r="M434">
        <v>7.05</v>
      </c>
      <c r="N434" s="1">
        <v>50392250</v>
      </c>
      <c r="O434">
        <v>7.04</v>
      </c>
      <c r="P434">
        <v>7.74</v>
      </c>
      <c r="Q434">
        <v>6.34</v>
      </c>
    </row>
    <row r="435" spans="1:17" x14ac:dyDescent="0.25">
      <c r="A435">
        <v>5452</v>
      </c>
      <c r="B435" t="s">
        <v>454</v>
      </c>
      <c r="C435">
        <v>9.1999999999999993</v>
      </c>
      <c r="D435">
        <v>0</v>
      </c>
      <c r="E435">
        <v>9.2799999999999994</v>
      </c>
      <c r="F435">
        <v>9.2799999999999994</v>
      </c>
      <c r="G435">
        <v>9.1999999999999993</v>
      </c>
      <c r="H435">
        <v>9.2200000000000006</v>
      </c>
      <c r="I435" s="1">
        <v>121930</v>
      </c>
      <c r="J435" s="1">
        <v>1123783</v>
      </c>
      <c r="K435" s="1">
        <v>63</v>
      </c>
      <c r="L435">
        <v>9.1999999999999993</v>
      </c>
      <c r="M435">
        <v>9.24</v>
      </c>
      <c r="N435" s="1">
        <v>148763669</v>
      </c>
      <c r="O435">
        <v>9.1999999999999993</v>
      </c>
      <c r="P435">
        <v>10.1</v>
      </c>
      <c r="Q435">
        <v>8.2799999999999994</v>
      </c>
    </row>
    <row r="436" spans="1:17" x14ac:dyDescent="0.25">
      <c r="A436">
        <v>5455</v>
      </c>
      <c r="B436" t="s">
        <v>1405</v>
      </c>
      <c r="C436">
        <v>8.9499999999999993</v>
      </c>
      <c r="D436">
        <v>-0.8</v>
      </c>
      <c r="E436">
        <v>8.9</v>
      </c>
      <c r="F436">
        <v>8.9499999999999993</v>
      </c>
      <c r="G436">
        <v>8.9</v>
      </c>
      <c r="H436">
        <v>8.94</v>
      </c>
      <c r="I436" s="1">
        <v>2330</v>
      </c>
      <c r="J436" s="1">
        <v>20820</v>
      </c>
      <c r="K436">
        <v>8</v>
      </c>
      <c r="L436">
        <v>8.94</v>
      </c>
      <c r="M436">
        <v>10</v>
      </c>
      <c r="N436" s="1">
        <v>65501813</v>
      </c>
      <c r="O436">
        <v>8.9499999999999993</v>
      </c>
      <c r="P436">
        <v>9.84</v>
      </c>
      <c r="Q436">
        <v>8.06</v>
      </c>
    </row>
    <row r="437" spans="1:17" x14ac:dyDescent="0.25">
      <c r="A437">
        <v>5457</v>
      </c>
      <c r="B437" t="s">
        <v>456</v>
      </c>
      <c r="C437">
        <v>60.8</v>
      </c>
      <c r="D437">
        <v>-1.2</v>
      </c>
      <c r="E437">
        <v>62</v>
      </c>
      <c r="F437">
        <v>63.4</v>
      </c>
      <c r="G437">
        <v>60.5</v>
      </c>
      <c r="H437">
        <v>61.98</v>
      </c>
      <c r="I437" s="1">
        <v>5936277</v>
      </c>
      <c r="J437" s="1">
        <v>367936457</v>
      </c>
      <c r="K437" s="1">
        <v>3284</v>
      </c>
      <c r="L437">
        <v>60.8</v>
      </c>
      <c r="M437">
        <v>61</v>
      </c>
      <c r="N437" s="1">
        <v>167800000</v>
      </c>
      <c r="O437">
        <v>60.8</v>
      </c>
      <c r="P437">
        <v>66.8</v>
      </c>
      <c r="Q437">
        <v>54.8</v>
      </c>
    </row>
    <row r="438" spans="1:17" x14ac:dyDescent="0.25">
      <c r="A438">
        <v>5460</v>
      </c>
      <c r="B438" t="s">
        <v>457</v>
      </c>
      <c r="C438">
        <v>12.25</v>
      </c>
      <c r="D438">
        <v>0.1</v>
      </c>
      <c r="E438">
        <v>12.25</v>
      </c>
      <c r="F438">
        <v>12.25</v>
      </c>
      <c r="G438">
        <v>12.1</v>
      </c>
      <c r="H438">
        <v>12.16</v>
      </c>
      <c r="I438" s="1">
        <v>174092</v>
      </c>
      <c r="J438" s="1">
        <v>2116419</v>
      </c>
      <c r="K438">
        <v>73</v>
      </c>
      <c r="L438">
        <v>12.2</v>
      </c>
      <c r="M438">
        <v>12.25</v>
      </c>
      <c r="N438" s="1">
        <v>72032030</v>
      </c>
      <c r="O438">
        <v>12.25</v>
      </c>
      <c r="P438">
        <v>13.45</v>
      </c>
      <c r="Q438">
        <v>11.05</v>
      </c>
    </row>
    <row r="439" spans="1:17" x14ac:dyDescent="0.25">
      <c r="A439">
        <v>5464</v>
      </c>
      <c r="B439" t="s">
        <v>458</v>
      </c>
      <c r="C439">
        <v>12.7</v>
      </c>
      <c r="D439">
        <v>0</v>
      </c>
      <c r="E439">
        <v>12.65</v>
      </c>
      <c r="F439">
        <v>12.7</v>
      </c>
      <c r="G439">
        <v>12.65</v>
      </c>
      <c r="H439">
        <v>12.67</v>
      </c>
      <c r="I439" s="1">
        <v>19001</v>
      </c>
      <c r="J439" s="1">
        <v>240762</v>
      </c>
      <c r="K439">
        <v>19</v>
      </c>
      <c r="L439">
        <v>12.65</v>
      </c>
      <c r="M439">
        <v>12.7</v>
      </c>
      <c r="N439" s="1">
        <v>71071490</v>
      </c>
      <c r="O439">
        <v>12.7</v>
      </c>
      <c r="P439">
        <v>13.95</v>
      </c>
      <c r="Q439">
        <v>11.45</v>
      </c>
    </row>
    <row r="440" spans="1:17" x14ac:dyDescent="0.25">
      <c r="A440">
        <v>5465</v>
      </c>
      <c r="B440" t="s">
        <v>459</v>
      </c>
      <c r="C440">
        <v>23.7</v>
      </c>
      <c r="D440">
        <v>0.9</v>
      </c>
      <c r="E440">
        <v>22.5</v>
      </c>
      <c r="F440">
        <v>23.7</v>
      </c>
      <c r="G440">
        <v>22.05</v>
      </c>
      <c r="H440">
        <v>22.91</v>
      </c>
      <c r="I440" s="1">
        <v>136000</v>
      </c>
      <c r="J440" s="1">
        <v>3116200</v>
      </c>
      <c r="K440" s="1">
        <v>77</v>
      </c>
      <c r="L440">
        <v>23.7</v>
      </c>
      <c r="M440">
        <v>23.9</v>
      </c>
      <c r="N440" s="1">
        <v>144091811</v>
      </c>
      <c r="O440">
        <v>23.7</v>
      </c>
      <c r="P440">
        <v>26.05</v>
      </c>
      <c r="Q440">
        <v>21.35</v>
      </c>
    </row>
    <row r="441" spans="1:17" x14ac:dyDescent="0.25">
      <c r="A441">
        <v>5468</v>
      </c>
      <c r="B441" t="s">
        <v>460</v>
      </c>
      <c r="C441">
        <v>4.82</v>
      </c>
      <c r="D441">
        <v>0.14000000000000001</v>
      </c>
      <c r="E441">
        <v>4.4000000000000004</v>
      </c>
      <c r="F441">
        <v>4.82</v>
      </c>
      <c r="G441">
        <v>4.4000000000000004</v>
      </c>
      <c r="H441">
        <v>4.6100000000000003</v>
      </c>
      <c r="I441" s="1">
        <v>6495</v>
      </c>
      <c r="J441" s="1">
        <v>29962</v>
      </c>
      <c r="K441" s="1">
        <v>6</v>
      </c>
      <c r="L441">
        <v>4.4000000000000004</v>
      </c>
      <c r="M441">
        <v>4.78</v>
      </c>
      <c r="N441" s="1">
        <v>69822909</v>
      </c>
      <c r="O441">
        <v>4.82</v>
      </c>
      <c r="P441">
        <v>5.3</v>
      </c>
      <c r="Q441">
        <v>4.34</v>
      </c>
    </row>
    <row r="442" spans="1:17" x14ac:dyDescent="0.25">
      <c r="A442">
        <v>5474</v>
      </c>
      <c r="B442" t="s">
        <v>461</v>
      </c>
      <c r="C442">
        <v>53.2</v>
      </c>
      <c r="D442">
        <v>0.4</v>
      </c>
      <c r="E442">
        <v>53.2</v>
      </c>
      <c r="F442">
        <v>53.8</v>
      </c>
      <c r="G442">
        <v>53</v>
      </c>
      <c r="H442">
        <v>53.33</v>
      </c>
      <c r="I442" s="1">
        <v>96002</v>
      </c>
      <c r="J442" s="1">
        <v>5119706</v>
      </c>
      <c r="K442">
        <v>86</v>
      </c>
      <c r="L442">
        <v>53.1</v>
      </c>
      <c r="M442">
        <v>53.5</v>
      </c>
      <c r="N442" s="1">
        <v>33729787</v>
      </c>
      <c r="O442">
        <v>53.2</v>
      </c>
      <c r="P442">
        <v>58.5</v>
      </c>
      <c r="Q442">
        <v>47.9</v>
      </c>
    </row>
    <row r="443" spans="1:17" x14ac:dyDescent="0.25">
      <c r="A443">
        <v>5475</v>
      </c>
      <c r="B443" t="s">
        <v>462</v>
      </c>
      <c r="C443">
        <v>10.35</v>
      </c>
      <c r="D443">
        <v>0.5</v>
      </c>
      <c r="E443">
        <v>9.9499999999999993</v>
      </c>
      <c r="F443">
        <v>10.45</v>
      </c>
      <c r="G443">
        <v>9.66</v>
      </c>
      <c r="H443">
        <v>10.08</v>
      </c>
      <c r="I443" s="1">
        <v>8627939</v>
      </c>
      <c r="J443" s="1">
        <v>87010655</v>
      </c>
      <c r="K443" s="1">
        <v>2359</v>
      </c>
      <c r="L443">
        <v>10.3</v>
      </c>
      <c r="M443">
        <v>10.35</v>
      </c>
      <c r="N443" s="1">
        <v>160425796</v>
      </c>
      <c r="O443">
        <v>10.35</v>
      </c>
      <c r="P443">
        <v>11.35</v>
      </c>
      <c r="Q443">
        <v>9.32</v>
      </c>
    </row>
    <row r="444" spans="1:17" x14ac:dyDescent="0.25">
      <c r="A444">
        <v>5478</v>
      </c>
      <c r="B444" t="s">
        <v>463</v>
      </c>
      <c r="C444">
        <v>70.099999999999994</v>
      </c>
      <c r="D444">
        <v>0.3</v>
      </c>
      <c r="E444">
        <v>70</v>
      </c>
      <c r="F444">
        <v>70.599999999999994</v>
      </c>
      <c r="G444">
        <v>69.900000000000006</v>
      </c>
      <c r="H444">
        <v>70.180000000000007</v>
      </c>
      <c r="I444" s="1">
        <v>214698</v>
      </c>
      <c r="J444" s="1">
        <v>15066960</v>
      </c>
      <c r="K444" s="1">
        <v>156</v>
      </c>
      <c r="L444">
        <v>70.099999999999994</v>
      </c>
      <c r="M444">
        <v>70.2</v>
      </c>
      <c r="N444" s="1">
        <v>127474332</v>
      </c>
      <c r="O444">
        <v>70.099999999999994</v>
      </c>
      <c r="P444">
        <v>77.099999999999994</v>
      </c>
      <c r="Q444">
        <v>63.1</v>
      </c>
    </row>
    <row r="445" spans="1:17" x14ac:dyDescent="0.25">
      <c r="A445">
        <v>5480</v>
      </c>
      <c r="B445" t="s">
        <v>464</v>
      </c>
      <c r="C445">
        <v>12</v>
      </c>
      <c r="D445">
        <v>-0.1</v>
      </c>
      <c r="E445">
        <v>12.05</v>
      </c>
      <c r="F445">
        <v>12.1</v>
      </c>
      <c r="G445">
        <v>11.95</v>
      </c>
      <c r="H445">
        <v>12.01</v>
      </c>
      <c r="I445" s="1">
        <v>133000</v>
      </c>
      <c r="J445" s="1">
        <v>1597450</v>
      </c>
      <c r="K445" s="1">
        <v>63</v>
      </c>
      <c r="L445">
        <v>12</v>
      </c>
      <c r="M445">
        <v>12.1</v>
      </c>
      <c r="N445" s="1">
        <v>199097830</v>
      </c>
      <c r="O445">
        <v>12</v>
      </c>
      <c r="P445">
        <v>13.2</v>
      </c>
      <c r="Q445">
        <v>10.8</v>
      </c>
    </row>
    <row r="446" spans="1:17" x14ac:dyDescent="0.25">
      <c r="A446">
        <v>5481</v>
      </c>
      <c r="B446" t="s">
        <v>465</v>
      </c>
      <c r="C446">
        <v>24.8</v>
      </c>
      <c r="D446">
        <v>0.3</v>
      </c>
      <c r="E446">
        <v>24.65</v>
      </c>
      <c r="F446">
        <v>25.3</v>
      </c>
      <c r="G446">
        <v>24.6</v>
      </c>
      <c r="H446">
        <v>24.98</v>
      </c>
      <c r="I446" s="1">
        <v>933110</v>
      </c>
      <c r="J446" s="1">
        <v>23305905</v>
      </c>
      <c r="K446">
        <v>452</v>
      </c>
      <c r="L446">
        <v>24.8</v>
      </c>
      <c r="M446">
        <v>24.9</v>
      </c>
      <c r="N446" s="1">
        <v>94693891</v>
      </c>
      <c r="O446">
        <v>24.8</v>
      </c>
      <c r="P446">
        <v>27.25</v>
      </c>
      <c r="Q446">
        <v>22.35</v>
      </c>
    </row>
    <row r="447" spans="1:17" x14ac:dyDescent="0.25">
      <c r="A447">
        <v>5483</v>
      </c>
      <c r="B447" t="s">
        <v>466</v>
      </c>
      <c r="C447">
        <v>76.3</v>
      </c>
      <c r="D447">
        <v>-0.7</v>
      </c>
      <c r="E447">
        <v>78.099999999999994</v>
      </c>
      <c r="F447">
        <v>78.400000000000006</v>
      </c>
      <c r="G447">
        <v>76.3</v>
      </c>
      <c r="H447">
        <v>77.05</v>
      </c>
      <c r="I447" s="1">
        <v>5287458</v>
      </c>
      <c r="J447" s="1">
        <v>407420933</v>
      </c>
      <c r="K447" s="1">
        <v>2952</v>
      </c>
      <c r="L447">
        <v>76.3</v>
      </c>
      <c r="M447">
        <v>76.400000000000006</v>
      </c>
      <c r="N447" s="1">
        <v>592093651</v>
      </c>
      <c r="O447">
        <v>76.3</v>
      </c>
      <c r="P447">
        <v>83.9</v>
      </c>
      <c r="Q447">
        <v>68.7</v>
      </c>
    </row>
    <row r="448" spans="1:17" x14ac:dyDescent="0.25">
      <c r="A448">
        <v>5487</v>
      </c>
      <c r="B448" t="s">
        <v>467</v>
      </c>
      <c r="C448" t="s">
        <v>78</v>
      </c>
      <c r="D448" t="s">
        <v>78</v>
      </c>
      <c r="E448" t="s">
        <v>78</v>
      </c>
      <c r="F448" t="s">
        <v>78</v>
      </c>
      <c r="G448" t="s">
        <v>78</v>
      </c>
      <c r="H448">
        <v>25.8</v>
      </c>
      <c r="I448" s="1">
        <v>0</v>
      </c>
      <c r="J448" s="1">
        <v>0</v>
      </c>
      <c r="K448">
        <v>0</v>
      </c>
      <c r="L448">
        <v>25.85</v>
      </c>
      <c r="M448">
        <v>26.2</v>
      </c>
      <c r="N448" s="1">
        <v>22134516</v>
      </c>
      <c r="O448">
        <v>25.85</v>
      </c>
      <c r="P448">
        <v>28.4</v>
      </c>
      <c r="Q448">
        <v>23.3</v>
      </c>
    </row>
    <row r="449" spans="1:17" x14ac:dyDescent="0.25">
      <c r="A449">
        <v>5488</v>
      </c>
      <c r="B449" t="s">
        <v>468</v>
      </c>
      <c r="C449">
        <v>8.5500000000000007</v>
      </c>
      <c r="D449">
        <v>-0.05</v>
      </c>
      <c r="E449">
        <v>8.68</v>
      </c>
      <c r="F449">
        <v>8.68</v>
      </c>
      <c r="G449">
        <v>8.48</v>
      </c>
      <c r="H449">
        <v>8.57</v>
      </c>
      <c r="I449" s="1">
        <v>404510</v>
      </c>
      <c r="J449" s="1">
        <v>3468621</v>
      </c>
      <c r="K449">
        <v>90</v>
      </c>
      <c r="L449">
        <v>8.49</v>
      </c>
      <c r="M449">
        <v>8.5500000000000007</v>
      </c>
      <c r="N449" s="1">
        <v>91586124</v>
      </c>
      <c r="O449">
        <v>8.5500000000000007</v>
      </c>
      <c r="P449">
        <v>9.4</v>
      </c>
      <c r="Q449">
        <v>7.7</v>
      </c>
    </row>
    <row r="450" spans="1:17" x14ac:dyDescent="0.25">
      <c r="A450">
        <v>5489</v>
      </c>
      <c r="B450" t="s">
        <v>469</v>
      </c>
      <c r="C450">
        <v>37.1</v>
      </c>
      <c r="D450">
        <v>-0.15</v>
      </c>
      <c r="E450">
        <v>36.950000000000003</v>
      </c>
      <c r="F450">
        <v>37.299999999999997</v>
      </c>
      <c r="G450">
        <v>36.9</v>
      </c>
      <c r="H450">
        <v>37.07</v>
      </c>
      <c r="I450" s="1">
        <v>279265</v>
      </c>
      <c r="J450" s="1">
        <v>10352180</v>
      </c>
      <c r="K450">
        <v>158</v>
      </c>
      <c r="L450">
        <v>37</v>
      </c>
      <c r="M450">
        <v>37.1</v>
      </c>
      <c r="N450" s="1">
        <v>103175441</v>
      </c>
      <c r="O450">
        <v>37.1</v>
      </c>
      <c r="P450">
        <v>40.799999999999997</v>
      </c>
      <c r="Q450">
        <v>33.4</v>
      </c>
    </row>
    <row r="451" spans="1:17" x14ac:dyDescent="0.25">
      <c r="A451">
        <v>5490</v>
      </c>
      <c r="B451" t="s">
        <v>470</v>
      </c>
      <c r="C451">
        <v>49.6</v>
      </c>
      <c r="D451">
        <v>0.8</v>
      </c>
      <c r="E451">
        <v>48.9</v>
      </c>
      <c r="F451">
        <v>50</v>
      </c>
      <c r="G451">
        <v>48.9</v>
      </c>
      <c r="H451">
        <v>49.52</v>
      </c>
      <c r="I451" s="1">
        <v>229031</v>
      </c>
      <c r="J451" s="1">
        <v>11341228</v>
      </c>
      <c r="K451">
        <v>172</v>
      </c>
      <c r="L451">
        <v>49.5</v>
      </c>
      <c r="M451">
        <v>49.6</v>
      </c>
      <c r="N451" s="1">
        <v>94396601</v>
      </c>
      <c r="O451">
        <v>49.6</v>
      </c>
      <c r="P451">
        <v>54.5</v>
      </c>
      <c r="Q451">
        <v>44.65</v>
      </c>
    </row>
    <row r="452" spans="1:17" x14ac:dyDescent="0.25">
      <c r="A452">
        <v>5493</v>
      </c>
      <c r="B452" t="s">
        <v>472</v>
      </c>
      <c r="C452">
        <v>26.8</v>
      </c>
      <c r="D452">
        <v>0</v>
      </c>
      <c r="E452">
        <v>26.6</v>
      </c>
      <c r="F452">
        <v>26.8</v>
      </c>
      <c r="G452">
        <v>26.6</v>
      </c>
      <c r="H452">
        <v>26.61</v>
      </c>
      <c r="I452" s="1">
        <v>15000</v>
      </c>
      <c r="J452" s="1">
        <v>399200</v>
      </c>
      <c r="K452">
        <v>7</v>
      </c>
      <c r="L452">
        <v>26.6</v>
      </c>
      <c r="M452">
        <v>26.8</v>
      </c>
      <c r="N452" s="1">
        <v>44264695</v>
      </c>
      <c r="O452">
        <v>26.8</v>
      </c>
      <c r="P452">
        <v>29.45</v>
      </c>
      <c r="Q452">
        <v>24.15</v>
      </c>
    </row>
    <row r="453" spans="1:17" x14ac:dyDescent="0.25">
      <c r="A453">
        <v>5498</v>
      </c>
      <c r="B453" t="s">
        <v>473</v>
      </c>
      <c r="C453">
        <v>12.45</v>
      </c>
      <c r="D453">
        <v>-0.15</v>
      </c>
      <c r="E453">
        <v>12.75</v>
      </c>
      <c r="F453">
        <v>12.75</v>
      </c>
      <c r="G453">
        <v>12.4</v>
      </c>
      <c r="H453">
        <v>12.51</v>
      </c>
      <c r="I453" s="1">
        <v>1054000</v>
      </c>
      <c r="J453" s="1">
        <v>13186550</v>
      </c>
      <c r="K453">
        <v>319</v>
      </c>
      <c r="L453">
        <v>12.45</v>
      </c>
      <c r="M453">
        <v>12.5</v>
      </c>
      <c r="N453" s="1">
        <v>161895880</v>
      </c>
      <c r="O453">
        <v>12.45</v>
      </c>
      <c r="P453">
        <v>13.65</v>
      </c>
      <c r="Q453">
        <v>11.25</v>
      </c>
    </row>
    <row r="454" spans="1:17" x14ac:dyDescent="0.25">
      <c r="A454">
        <v>5508</v>
      </c>
      <c r="B454" t="s">
        <v>474</v>
      </c>
      <c r="C454">
        <v>31.65</v>
      </c>
      <c r="D454">
        <v>0.15</v>
      </c>
      <c r="E454">
        <v>31.6</v>
      </c>
      <c r="F454">
        <v>31.65</v>
      </c>
      <c r="G454">
        <v>31.3</v>
      </c>
      <c r="H454">
        <v>31.52</v>
      </c>
      <c r="I454" s="1">
        <v>193800</v>
      </c>
      <c r="J454" s="1">
        <v>6108220</v>
      </c>
      <c r="K454">
        <v>99</v>
      </c>
      <c r="L454">
        <v>31.5</v>
      </c>
      <c r="M454">
        <v>31.65</v>
      </c>
      <c r="N454" s="1">
        <v>217428133</v>
      </c>
      <c r="O454">
        <v>31.65</v>
      </c>
      <c r="P454">
        <v>34.799999999999997</v>
      </c>
      <c r="Q454">
        <v>28.5</v>
      </c>
    </row>
    <row r="455" spans="1:17" x14ac:dyDescent="0.25">
      <c r="A455">
        <v>5511</v>
      </c>
      <c r="B455" t="s">
        <v>475</v>
      </c>
      <c r="C455">
        <v>19.850000000000001</v>
      </c>
      <c r="D455">
        <v>-0.05</v>
      </c>
      <c r="E455">
        <v>19.95</v>
      </c>
      <c r="F455">
        <v>20</v>
      </c>
      <c r="G455">
        <v>19.850000000000001</v>
      </c>
      <c r="H455">
        <v>19.93</v>
      </c>
      <c r="I455" s="1">
        <v>59854</v>
      </c>
      <c r="J455" s="1">
        <v>1192673</v>
      </c>
      <c r="K455">
        <v>19</v>
      </c>
      <c r="L455">
        <v>19.8</v>
      </c>
      <c r="M455">
        <v>19.850000000000001</v>
      </c>
      <c r="N455" s="1">
        <v>113442248</v>
      </c>
      <c r="O455">
        <v>19.850000000000001</v>
      </c>
      <c r="P455">
        <v>21.8</v>
      </c>
      <c r="Q455">
        <v>17.899999999999999</v>
      </c>
    </row>
    <row r="456" spans="1:17" x14ac:dyDescent="0.25">
      <c r="A456">
        <v>5512</v>
      </c>
      <c r="B456" t="s">
        <v>476</v>
      </c>
      <c r="C456">
        <v>9.9499999999999993</v>
      </c>
      <c r="D456">
        <v>0.38</v>
      </c>
      <c r="E456">
        <v>9.56</v>
      </c>
      <c r="F456">
        <v>9.9700000000000006</v>
      </c>
      <c r="G456">
        <v>9.5500000000000007</v>
      </c>
      <c r="H456">
        <v>9.8699999999999992</v>
      </c>
      <c r="I456" s="1">
        <v>14296212</v>
      </c>
      <c r="J456" s="1">
        <v>141110953</v>
      </c>
      <c r="K456" s="1">
        <v>3565</v>
      </c>
      <c r="L456">
        <v>9.93</v>
      </c>
      <c r="M456">
        <v>9.9499999999999993</v>
      </c>
      <c r="N456" s="1">
        <v>743992712</v>
      </c>
      <c r="O456">
        <v>9.9499999999999993</v>
      </c>
      <c r="P456">
        <v>10.9</v>
      </c>
      <c r="Q456">
        <v>8.9600000000000009</v>
      </c>
    </row>
    <row r="457" spans="1:17" x14ac:dyDescent="0.25">
      <c r="A457">
        <v>5514</v>
      </c>
      <c r="B457" t="s">
        <v>477</v>
      </c>
      <c r="C457">
        <v>10.199999999999999</v>
      </c>
      <c r="D457">
        <v>0.2</v>
      </c>
      <c r="E457">
        <v>10</v>
      </c>
      <c r="F457">
        <v>10.3</v>
      </c>
      <c r="G457">
        <v>10</v>
      </c>
      <c r="H457">
        <v>10.119999999999999</v>
      </c>
      <c r="I457" s="1">
        <v>209242</v>
      </c>
      <c r="J457" s="1">
        <v>2117089</v>
      </c>
      <c r="K457">
        <v>79</v>
      </c>
      <c r="L457">
        <v>10.199999999999999</v>
      </c>
      <c r="M457">
        <v>10.25</v>
      </c>
      <c r="N457" s="1">
        <v>176643300</v>
      </c>
      <c r="O457">
        <v>10.199999999999999</v>
      </c>
      <c r="P457">
        <v>11.2</v>
      </c>
      <c r="Q457">
        <v>9.18</v>
      </c>
    </row>
    <row r="458" spans="1:17" x14ac:dyDescent="0.25">
      <c r="A458">
        <v>5516</v>
      </c>
      <c r="B458" t="s">
        <v>478</v>
      </c>
      <c r="C458">
        <v>9.4</v>
      </c>
      <c r="D458">
        <v>0.23</v>
      </c>
      <c r="E458">
        <v>9.33</v>
      </c>
      <c r="F458">
        <v>9.4</v>
      </c>
      <c r="G458">
        <v>9.32</v>
      </c>
      <c r="H458">
        <v>9.32</v>
      </c>
      <c r="I458" s="1">
        <v>10500</v>
      </c>
      <c r="J458" s="1">
        <v>97900</v>
      </c>
      <c r="K458">
        <v>6</v>
      </c>
      <c r="L458">
        <v>9.0299999999999994</v>
      </c>
      <c r="M458">
        <v>9.4</v>
      </c>
      <c r="N458" s="1">
        <v>38295000</v>
      </c>
      <c r="O458">
        <v>9.4</v>
      </c>
      <c r="P458">
        <v>10.3</v>
      </c>
      <c r="Q458">
        <v>8.4600000000000009</v>
      </c>
    </row>
    <row r="459" spans="1:17" x14ac:dyDescent="0.25">
      <c r="A459">
        <v>5520</v>
      </c>
      <c r="B459" t="s">
        <v>479</v>
      </c>
      <c r="C459">
        <v>27.4</v>
      </c>
      <c r="D459">
        <v>0.1</v>
      </c>
      <c r="E459">
        <v>27.4</v>
      </c>
      <c r="F459">
        <v>27.4</v>
      </c>
      <c r="G459">
        <v>27.4</v>
      </c>
      <c r="H459">
        <v>27.4</v>
      </c>
      <c r="I459" s="1">
        <v>1000</v>
      </c>
      <c r="J459" s="1">
        <v>27400</v>
      </c>
      <c r="K459">
        <v>1</v>
      </c>
      <c r="L459">
        <v>27.2</v>
      </c>
      <c r="M459">
        <v>27.4</v>
      </c>
      <c r="N459" s="1">
        <v>70959112</v>
      </c>
      <c r="O459">
        <v>27.4</v>
      </c>
      <c r="P459">
        <v>30.1</v>
      </c>
      <c r="Q459">
        <v>24.7</v>
      </c>
    </row>
    <row r="460" spans="1:17" x14ac:dyDescent="0.25">
      <c r="A460">
        <v>5523</v>
      </c>
      <c r="B460" t="s">
        <v>480</v>
      </c>
      <c r="C460">
        <v>11.85</v>
      </c>
      <c r="D460">
        <v>0.05</v>
      </c>
      <c r="E460">
        <v>11.95</v>
      </c>
      <c r="F460">
        <v>11.95</v>
      </c>
      <c r="G460">
        <v>11.7</v>
      </c>
      <c r="H460">
        <v>11.78</v>
      </c>
      <c r="I460" s="1">
        <v>238117</v>
      </c>
      <c r="J460" s="1">
        <v>2804385</v>
      </c>
      <c r="K460" s="1">
        <v>73</v>
      </c>
      <c r="L460">
        <v>11.85</v>
      </c>
      <c r="M460">
        <v>11.9</v>
      </c>
      <c r="N460" s="1">
        <v>155001464</v>
      </c>
      <c r="O460">
        <v>11.85</v>
      </c>
      <c r="P460">
        <v>13</v>
      </c>
      <c r="Q460">
        <v>10.7</v>
      </c>
    </row>
    <row r="461" spans="1:17" x14ac:dyDescent="0.25">
      <c r="A461">
        <v>5529</v>
      </c>
      <c r="B461" t="s">
        <v>481</v>
      </c>
      <c r="C461">
        <v>9.17</v>
      </c>
      <c r="D461">
        <v>-0.02</v>
      </c>
      <c r="E461">
        <v>9.14</v>
      </c>
      <c r="F461">
        <v>9.17</v>
      </c>
      <c r="G461">
        <v>9.0500000000000007</v>
      </c>
      <c r="H461">
        <v>9.14</v>
      </c>
      <c r="I461" s="1">
        <v>21006</v>
      </c>
      <c r="J461" s="1">
        <v>192044</v>
      </c>
      <c r="K461">
        <v>16</v>
      </c>
      <c r="L461">
        <v>9.1199999999999992</v>
      </c>
      <c r="M461">
        <v>9.17</v>
      </c>
      <c r="N461" s="1">
        <v>104270202</v>
      </c>
      <c r="O461">
        <v>9.17</v>
      </c>
      <c r="P461">
        <v>10.050000000000001</v>
      </c>
      <c r="Q461">
        <v>8.26</v>
      </c>
    </row>
    <row r="462" spans="1:17" x14ac:dyDescent="0.25">
      <c r="A462">
        <v>5530</v>
      </c>
      <c r="B462" t="s">
        <v>482</v>
      </c>
      <c r="C462">
        <v>68.599999999999994</v>
      </c>
      <c r="D462">
        <v>-0.2</v>
      </c>
      <c r="E462">
        <v>69</v>
      </c>
      <c r="F462">
        <v>69</v>
      </c>
      <c r="G462">
        <v>68.2</v>
      </c>
      <c r="H462">
        <v>68.430000000000007</v>
      </c>
      <c r="I462" s="1">
        <v>434461</v>
      </c>
      <c r="J462" s="1">
        <v>29731323</v>
      </c>
      <c r="K462" s="1">
        <v>275</v>
      </c>
      <c r="L462">
        <v>68.5</v>
      </c>
      <c r="M462">
        <v>68.599999999999994</v>
      </c>
      <c r="N462" s="1">
        <v>420084199</v>
      </c>
      <c r="O462">
        <v>68.599999999999994</v>
      </c>
      <c r="P462">
        <v>75.400000000000006</v>
      </c>
      <c r="Q462">
        <v>61.8</v>
      </c>
    </row>
    <row r="463" spans="1:17" x14ac:dyDescent="0.25">
      <c r="A463">
        <v>5536</v>
      </c>
      <c r="B463" t="s">
        <v>483</v>
      </c>
      <c r="C463">
        <v>207</v>
      </c>
      <c r="D463">
        <v>0.5</v>
      </c>
      <c r="E463">
        <v>209</v>
      </c>
      <c r="F463">
        <v>209.5</v>
      </c>
      <c r="G463">
        <v>206</v>
      </c>
      <c r="H463">
        <v>207.9</v>
      </c>
      <c r="I463" s="1">
        <v>438674</v>
      </c>
      <c r="J463" s="1">
        <v>91201854</v>
      </c>
      <c r="K463">
        <v>359</v>
      </c>
      <c r="L463">
        <v>207</v>
      </c>
      <c r="M463">
        <v>207.5</v>
      </c>
      <c r="N463" s="1">
        <v>47152819</v>
      </c>
      <c r="O463">
        <v>207</v>
      </c>
      <c r="P463">
        <v>227.5</v>
      </c>
      <c r="Q463">
        <v>186.5</v>
      </c>
    </row>
    <row r="464" spans="1:17" x14ac:dyDescent="0.25">
      <c r="A464">
        <v>5543</v>
      </c>
      <c r="B464" t="s">
        <v>484</v>
      </c>
      <c r="C464">
        <v>19.7</v>
      </c>
      <c r="D464">
        <v>-0.25</v>
      </c>
      <c r="E464">
        <v>20</v>
      </c>
      <c r="F464">
        <v>20.2</v>
      </c>
      <c r="G464">
        <v>19.7</v>
      </c>
      <c r="H464">
        <v>19.89</v>
      </c>
      <c r="I464" s="1">
        <v>21000</v>
      </c>
      <c r="J464" s="1">
        <v>417750</v>
      </c>
      <c r="K464">
        <v>15</v>
      </c>
      <c r="L464">
        <v>19.600000000000001</v>
      </c>
      <c r="M464">
        <v>19.95</v>
      </c>
      <c r="N464" s="1">
        <v>30699996</v>
      </c>
      <c r="O464">
        <v>19.7</v>
      </c>
      <c r="P464">
        <v>21.65</v>
      </c>
      <c r="Q464">
        <v>17.75</v>
      </c>
    </row>
    <row r="465" spans="1:17" x14ac:dyDescent="0.25">
      <c r="A465">
        <v>5601</v>
      </c>
      <c r="B465" t="s">
        <v>485</v>
      </c>
      <c r="C465">
        <v>22.1</v>
      </c>
      <c r="D465">
        <v>0.3</v>
      </c>
      <c r="E465">
        <v>21.8</v>
      </c>
      <c r="F465">
        <v>22.1</v>
      </c>
      <c r="G465">
        <v>21.8</v>
      </c>
      <c r="H465">
        <v>21.88</v>
      </c>
      <c r="I465" s="1">
        <v>14000</v>
      </c>
      <c r="J465" s="1">
        <v>306300</v>
      </c>
      <c r="K465">
        <v>5</v>
      </c>
      <c r="L465">
        <v>21.05</v>
      </c>
      <c r="M465">
        <v>22</v>
      </c>
      <c r="N465" s="1">
        <v>64800000</v>
      </c>
      <c r="O465">
        <v>22.1</v>
      </c>
      <c r="P465">
        <v>24.3</v>
      </c>
      <c r="Q465">
        <v>19.899999999999999</v>
      </c>
    </row>
    <row r="466" spans="1:17" x14ac:dyDescent="0.25">
      <c r="A466">
        <v>5603</v>
      </c>
      <c r="B466" t="s">
        <v>486</v>
      </c>
      <c r="C466">
        <v>12.35</v>
      </c>
      <c r="D466">
        <v>0.05</v>
      </c>
      <c r="E466">
        <v>12.3</v>
      </c>
      <c r="F466">
        <v>12.35</v>
      </c>
      <c r="G466">
        <v>12.25</v>
      </c>
      <c r="H466">
        <v>12.3</v>
      </c>
      <c r="I466" s="1">
        <v>79122</v>
      </c>
      <c r="J466" s="1">
        <v>973100</v>
      </c>
      <c r="K466">
        <v>34</v>
      </c>
      <c r="L466">
        <v>12.3</v>
      </c>
      <c r="M466">
        <v>12.35</v>
      </c>
      <c r="N466" s="1">
        <v>78324575</v>
      </c>
      <c r="O466">
        <v>12.35</v>
      </c>
      <c r="P466">
        <v>13.55</v>
      </c>
      <c r="Q466">
        <v>11.15</v>
      </c>
    </row>
    <row r="467" spans="1:17" x14ac:dyDescent="0.25">
      <c r="A467">
        <v>5604</v>
      </c>
      <c r="B467" t="s">
        <v>487</v>
      </c>
      <c r="C467">
        <v>29.5</v>
      </c>
      <c r="D467">
        <v>0.05</v>
      </c>
      <c r="E467">
        <v>29.45</v>
      </c>
      <c r="F467">
        <v>29.5</v>
      </c>
      <c r="G467">
        <v>29.45</v>
      </c>
      <c r="H467">
        <v>29.46</v>
      </c>
      <c r="I467" s="1">
        <v>7004</v>
      </c>
      <c r="J467" s="1">
        <v>206366</v>
      </c>
      <c r="K467">
        <v>7</v>
      </c>
      <c r="L467">
        <v>29.5</v>
      </c>
      <c r="M467">
        <v>29.8</v>
      </c>
      <c r="N467" s="1">
        <v>108782968</v>
      </c>
      <c r="O467">
        <v>29.5</v>
      </c>
      <c r="P467">
        <v>32.450000000000003</v>
      </c>
      <c r="Q467">
        <v>26.55</v>
      </c>
    </row>
    <row r="468" spans="1:17" x14ac:dyDescent="0.25">
      <c r="A468">
        <v>5609</v>
      </c>
      <c r="B468" t="s">
        <v>488</v>
      </c>
      <c r="C468">
        <v>21</v>
      </c>
      <c r="D468">
        <v>0</v>
      </c>
      <c r="E468">
        <v>21</v>
      </c>
      <c r="F468">
        <v>21.2</v>
      </c>
      <c r="G468">
        <v>21</v>
      </c>
      <c r="H468">
        <v>21.05</v>
      </c>
      <c r="I468" s="1">
        <v>263860</v>
      </c>
      <c r="J468" s="1">
        <v>5555533</v>
      </c>
      <c r="K468">
        <v>113</v>
      </c>
      <c r="L468">
        <v>21</v>
      </c>
      <c r="M468">
        <v>21.1</v>
      </c>
      <c r="N468" s="1">
        <v>129000000</v>
      </c>
      <c r="O468">
        <v>21</v>
      </c>
      <c r="P468">
        <v>23.1</v>
      </c>
      <c r="Q468">
        <v>18.899999999999999</v>
      </c>
    </row>
    <row r="469" spans="1:17" x14ac:dyDescent="0.25">
      <c r="A469">
        <v>5701</v>
      </c>
      <c r="B469" t="s">
        <v>489</v>
      </c>
      <c r="C469">
        <v>2.34</v>
      </c>
      <c r="D469">
        <v>0.04</v>
      </c>
      <c r="E469">
        <v>2.2999999999999998</v>
      </c>
      <c r="F469">
        <v>2.35</v>
      </c>
      <c r="G469">
        <v>2.2599999999999998</v>
      </c>
      <c r="H469">
        <v>2.2999999999999998</v>
      </c>
      <c r="I469" s="1">
        <v>230373</v>
      </c>
      <c r="J469" s="1">
        <v>530585</v>
      </c>
      <c r="K469">
        <v>56</v>
      </c>
      <c r="L469">
        <v>2.33</v>
      </c>
      <c r="M469">
        <v>2.34</v>
      </c>
      <c r="N469" s="1">
        <v>253756957</v>
      </c>
      <c r="O469">
        <v>2.34</v>
      </c>
      <c r="P469">
        <v>2.57</v>
      </c>
      <c r="Q469">
        <v>2.11</v>
      </c>
    </row>
    <row r="470" spans="1:17" x14ac:dyDescent="0.25">
      <c r="A470">
        <v>5703</v>
      </c>
      <c r="B470" t="s">
        <v>490</v>
      </c>
      <c r="C470">
        <v>25.15</v>
      </c>
      <c r="D470">
        <v>0.05</v>
      </c>
      <c r="E470">
        <v>24.6</v>
      </c>
      <c r="F470">
        <v>25.15</v>
      </c>
      <c r="G470">
        <v>24.6</v>
      </c>
      <c r="H470">
        <v>24.97</v>
      </c>
      <c r="I470" s="1">
        <v>3000</v>
      </c>
      <c r="J470" s="1">
        <v>74900</v>
      </c>
      <c r="K470">
        <v>2</v>
      </c>
      <c r="L470">
        <v>24.6</v>
      </c>
      <c r="M470">
        <v>25.1</v>
      </c>
      <c r="N470" s="1">
        <v>70239594</v>
      </c>
      <c r="O470">
        <v>25.15</v>
      </c>
      <c r="P470">
        <v>27.65</v>
      </c>
      <c r="Q470">
        <v>22.65</v>
      </c>
    </row>
    <row r="471" spans="1:17" x14ac:dyDescent="0.25">
      <c r="A471">
        <v>5704</v>
      </c>
      <c r="B471" t="s">
        <v>491</v>
      </c>
      <c r="C471">
        <v>23.7</v>
      </c>
      <c r="D471">
        <v>0.8</v>
      </c>
      <c r="E471">
        <v>23.8</v>
      </c>
      <c r="F471">
        <v>23.8</v>
      </c>
      <c r="G471">
        <v>23.7</v>
      </c>
      <c r="H471">
        <v>23.75</v>
      </c>
      <c r="I471" s="1">
        <v>2000</v>
      </c>
      <c r="J471" s="1">
        <v>47500</v>
      </c>
      <c r="K471">
        <v>2</v>
      </c>
      <c r="L471">
        <v>22.95</v>
      </c>
      <c r="M471">
        <v>23.4</v>
      </c>
      <c r="N471" s="1">
        <v>38861658</v>
      </c>
      <c r="O471">
        <v>23.7</v>
      </c>
      <c r="P471">
        <v>26.05</v>
      </c>
      <c r="Q471">
        <v>21.35</v>
      </c>
    </row>
    <row r="472" spans="1:17" x14ac:dyDescent="0.25">
      <c r="A472">
        <v>5820</v>
      </c>
      <c r="B472" t="s">
        <v>492</v>
      </c>
      <c r="C472">
        <v>8.3800000000000008</v>
      </c>
      <c r="D472">
        <v>0.04</v>
      </c>
      <c r="E472">
        <v>8.36</v>
      </c>
      <c r="F472">
        <v>8.4</v>
      </c>
      <c r="G472">
        <v>8.35</v>
      </c>
      <c r="H472">
        <v>8.3699999999999992</v>
      </c>
      <c r="I472" s="1">
        <v>739821</v>
      </c>
      <c r="J472" s="1">
        <v>6194741</v>
      </c>
      <c r="K472">
        <v>228</v>
      </c>
      <c r="L472">
        <v>8.3699999999999992</v>
      </c>
      <c r="M472">
        <v>8.3800000000000008</v>
      </c>
      <c r="N472" s="1">
        <v>3542360671</v>
      </c>
      <c r="O472">
        <v>8.3800000000000008</v>
      </c>
      <c r="P472">
        <v>9.2100000000000009</v>
      </c>
      <c r="Q472">
        <v>7.55</v>
      </c>
    </row>
    <row r="473" spans="1:17" x14ac:dyDescent="0.25">
      <c r="A473">
        <v>5878</v>
      </c>
      <c r="B473" t="s">
        <v>493</v>
      </c>
      <c r="C473">
        <v>44.7</v>
      </c>
      <c r="D473">
        <v>-0.3</v>
      </c>
      <c r="E473">
        <v>45</v>
      </c>
      <c r="F473">
        <v>45</v>
      </c>
      <c r="G473">
        <v>44.7</v>
      </c>
      <c r="H473">
        <v>44.84</v>
      </c>
      <c r="I473" s="1">
        <v>3067</v>
      </c>
      <c r="J473" s="1">
        <v>137515</v>
      </c>
      <c r="K473">
        <v>4</v>
      </c>
      <c r="L473">
        <v>44.3</v>
      </c>
      <c r="M473">
        <v>45</v>
      </c>
      <c r="N473" s="1">
        <v>23688000</v>
      </c>
      <c r="O473">
        <v>44.7</v>
      </c>
      <c r="P473">
        <v>49.15</v>
      </c>
      <c r="Q473">
        <v>40.25</v>
      </c>
    </row>
    <row r="474" spans="1:17" x14ac:dyDescent="0.25">
      <c r="A474">
        <v>5902</v>
      </c>
      <c r="B474" t="s">
        <v>494</v>
      </c>
      <c r="C474">
        <v>12.45</v>
      </c>
      <c r="D474">
        <v>0.15</v>
      </c>
      <c r="E474">
        <v>12.4</v>
      </c>
      <c r="F474">
        <v>12.45</v>
      </c>
      <c r="G474">
        <v>12.15</v>
      </c>
      <c r="H474">
        <v>12.32</v>
      </c>
      <c r="I474" s="1">
        <v>22024</v>
      </c>
      <c r="J474" s="1">
        <v>271246</v>
      </c>
      <c r="K474">
        <v>9</v>
      </c>
      <c r="L474">
        <v>12.35</v>
      </c>
      <c r="M474">
        <v>12.45</v>
      </c>
      <c r="N474" s="1">
        <v>94500000</v>
      </c>
      <c r="O474">
        <v>12.45</v>
      </c>
      <c r="P474">
        <v>13.65</v>
      </c>
      <c r="Q474">
        <v>11.25</v>
      </c>
    </row>
    <row r="475" spans="1:17" x14ac:dyDescent="0.25">
      <c r="A475">
        <v>5903</v>
      </c>
      <c r="B475" t="s">
        <v>495</v>
      </c>
      <c r="C475">
        <v>178</v>
      </c>
      <c r="D475">
        <v>1.5</v>
      </c>
      <c r="E475">
        <v>176.5</v>
      </c>
      <c r="F475">
        <v>178.5</v>
      </c>
      <c r="G475">
        <v>176.5</v>
      </c>
      <c r="H475">
        <v>177.84</v>
      </c>
      <c r="I475" s="1">
        <v>43250</v>
      </c>
      <c r="J475" s="1">
        <v>7691373</v>
      </c>
      <c r="K475">
        <v>50</v>
      </c>
      <c r="L475">
        <v>178</v>
      </c>
      <c r="M475">
        <v>178.5</v>
      </c>
      <c r="N475" s="1">
        <v>223220000</v>
      </c>
      <c r="O475">
        <v>178</v>
      </c>
      <c r="P475">
        <v>195.5</v>
      </c>
      <c r="Q475">
        <v>160.5</v>
      </c>
    </row>
    <row r="476" spans="1:17" x14ac:dyDescent="0.25">
      <c r="A476">
        <v>5904</v>
      </c>
      <c r="B476" t="s">
        <v>496</v>
      </c>
      <c r="C476">
        <v>372.5</v>
      </c>
      <c r="D476">
        <v>-3.5</v>
      </c>
      <c r="E476">
        <v>373</v>
      </c>
      <c r="F476">
        <v>373.5</v>
      </c>
      <c r="G476">
        <v>372.5</v>
      </c>
      <c r="H476">
        <v>372.97</v>
      </c>
      <c r="I476" s="1">
        <v>5360</v>
      </c>
      <c r="J476" s="1">
        <v>1999100</v>
      </c>
      <c r="K476">
        <v>13</v>
      </c>
      <c r="L476">
        <v>372.5</v>
      </c>
      <c r="M476">
        <v>375</v>
      </c>
      <c r="N476" s="1">
        <v>97685031</v>
      </c>
      <c r="O476">
        <v>372.5</v>
      </c>
      <c r="P476">
        <v>409.5</v>
      </c>
      <c r="Q476">
        <v>335.5</v>
      </c>
    </row>
    <row r="477" spans="1:17" x14ac:dyDescent="0.25">
      <c r="A477">
        <v>5905</v>
      </c>
      <c r="B477" t="s">
        <v>497</v>
      </c>
      <c r="C477">
        <v>7.86</v>
      </c>
      <c r="D477">
        <v>0.05</v>
      </c>
      <c r="E477">
        <v>7.78</v>
      </c>
      <c r="F477">
        <v>7.88</v>
      </c>
      <c r="G477">
        <v>7.78</v>
      </c>
      <c r="H477">
        <v>7.85</v>
      </c>
      <c r="I477" s="1">
        <v>333537</v>
      </c>
      <c r="J477" s="1">
        <v>2618161</v>
      </c>
      <c r="K477">
        <v>116</v>
      </c>
      <c r="L477">
        <v>7.83</v>
      </c>
      <c r="M477">
        <v>7.87</v>
      </c>
      <c r="N477" s="1">
        <v>203916957</v>
      </c>
      <c r="O477">
        <v>7.86</v>
      </c>
      <c r="P477">
        <v>8.64</v>
      </c>
      <c r="Q477">
        <v>7.08</v>
      </c>
    </row>
    <row r="478" spans="1:17" x14ac:dyDescent="0.25">
      <c r="A478">
        <v>6015</v>
      </c>
      <c r="B478" t="s">
        <v>498</v>
      </c>
      <c r="C478">
        <v>8.0399999999999991</v>
      </c>
      <c r="D478">
        <v>7.0000000000000007E-2</v>
      </c>
      <c r="E478">
        <v>8</v>
      </c>
      <c r="F478">
        <v>8.06</v>
      </c>
      <c r="G478">
        <v>8</v>
      </c>
      <c r="H478">
        <v>8.0299999999999994</v>
      </c>
      <c r="I478" s="1">
        <v>479012</v>
      </c>
      <c r="J478" s="1">
        <v>3844206</v>
      </c>
      <c r="K478">
        <v>132</v>
      </c>
      <c r="L478">
        <v>8.0399999999999991</v>
      </c>
      <c r="M478">
        <v>8.0500000000000007</v>
      </c>
      <c r="N478" s="1">
        <v>368232775</v>
      </c>
      <c r="O478">
        <v>8.0399999999999991</v>
      </c>
      <c r="P478">
        <v>8.84</v>
      </c>
      <c r="Q478">
        <v>7.24</v>
      </c>
    </row>
    <row r="479" spans="1:17" x14ac:dyDescent="0.25">
      <c r="A479">
        <v>6016</v>
      </c>
      <c r="B479" t="s">
        <v>499</v>
      </c>
      <c r="C479">
        <v>9.17</v>
      </c>
      <c r="D479">
        <v>0.1</v>
      </c>
      <c r="E479">
        <v>9.08</v>
      </c>
      <c r="F479">
        <v>9.18</v>
      </c>
      <c r="G479">
        <v>9.08</v>
      </c>
      <c r="H479">
        <v>9.14</v>
      </c>
      <c r="I479" s="1">
        <v>999968</v>
      </c>
      <c r="J479" s="1">
        <v>9144004</v>
      </c>
      <c r="K479" s="1">
        <v>311</v>
      </c>
      <c r="L479">
        <v>9.16</v>
      </c>
      <c r="M479">
        <v>9.17</v>
      </c>
      <c r="N479" s="1">
        <v>613336792</v>
      </c>
      <c r="O479">
        <v>9.17</v>
      </c>
      <c r="P479">
        <v>10.050000000000001</v>
      </c>
      <c r="Q479">
        <v>8.26</v>
      </c>
    </row>
    <row r="480" spans="1:17" x14ac:dyDescent="0.25">
      <c r="A480">
        <v>6020</v>
      </c>
      <c r="B480" t="s">
        <v>500</v>
      </c>
      <c r="C480">
        <v>14.7</v>
      </c>
      <c r="D480">
        <v>-0.1</v>
      </c>
      <c r="E480">
        <v>14.8</v>
      </c>
      <c r="F480">
        <v>14.8</v>
      </c>
      <c r="G480">
        <v>14.7</v>
      </c>
      <c r="H480">
        <v>14.76</v>
      </c>
      <c r="I480" s="1">
        <v>7010</v>
      </c>
      <c r="J480" s="1">
        <v>103498</v>
      </c>
      <c r="K480">
        <v>7</v>
      </c>
      <c r="L480">
        <v>14.75</v>
      </c>
      <c r="M480">
        <v>14.8</v>
      </c>
      <c r="N480" s="1">
        <v>252353154</v>
      </c>
      <c r="O480">
        <v>14.7</v>
      </c>
      <c r="P480">
        <v>16.149999999999999</v>
      </c>
      <c r="Q480">
        <v>13.25</v>
      </c>
    </row>
    <row r="481" spans="1:17" x14ac:dyDescent="0.25">
      <c r="A481">
        <v>6021</v>
      </c>
      <c r="B481" t="s">
        <v>501</v>
      </c>
      <c r="C481">
        <v>10.5</v>
      </c>
      <c r="D481">
        <v>0.15</v>
      </c>
      <c r="E481">
        <v>10.5</v>
      </c>
      <c r="F481">
        <v>10.55</v>
      </c>
      <c r="G481">
        <v>10.4</v>
      </c>
      <c r="H481">
        <v>10.5</v>
      </c>
      <c r="I481" s="1">
        <v>355218</v>
      </c>
      <c r="J481" s="1">
        <v>3728667</v>
      </c>
      <c r="K481">
        <v>97</v>
      </c>
      <c r="L481">
        <v>10.45</v>
      </c>
      <c r="M481">
        <v>10.5</v>
      </c>
      <c r="N481" s="1">
        <v>306755974</v>
      </c>
      <c r="O481">
        <v>10.5</v>
      </c>
      <c r="P481">
        <v>11.55</v>
      </c>
      <c r="Q481">
        <v>9.4499999999999993</v>
      </c>
    </row>
    <row r="482" spans="1:17" x14ac:dyDescent="0.25">
      <c r="A482">
        <v>6023</v>
      </c>
      <c r="B482" t="s">
        <v>502</v>
      </c>
      <c r="C482">
        <v>41.05</v>
      </c>
      <c r="D482">
        <v>0</v>
      </c>
      <c r="E482">
        <v>41.05</v>
      </c>
      <c r="F482">
        <v>41.1</v>
      </c>
      <c r="G482">
        <v>41.05</v>
      </c>
      <c r="H482">
        <v>41.09</v>
      </c>
      <c r="I482" s="1">
        <v>29089</v>
      </c>
      <c r="J482" s="1">
        <v>1195153</v>
      </c>
      <c r="K482" s="1">
        <v>30</v>
      </c>
      <c r="L482">
        <v>41</v>
      </c>
      <c r="M482">
        <v>41.05</v>
      </c>
      <c r="N482" s="1">
        <v>232276288</v>
      </c>
      <c r="O482">
        <v>41.05</v>
      </c>
      <c r="P482">
        <v>45.15</v>
      </c>
      <c r="Q482">
        <v>36.950000000000003</v>
      </c>
    </row>
    <row r="483" spans="1:17" x14ac:dyDescent="0.25">
      <c r="A483">
        <v>6026</v>
      </c>
      <c r="B483" t="s">
        <v>504</v>
      </c>
      <c r="C483">
        <v>13.1</v>
      </c>
      <c r="D483">
        <v>0.05</v>
      </c>
      <c r="E483">
        <v>13.1</v>
      </c>
      <c r="F483">
        <v>13.2</v>
      </c>
      <c r="G483">
        <v>13.05</v>
      </c>
      <c r="H483">
        <v>13.13</v>
      </c>
      <c r="I483" s="1">
        <v>603500</v>
      </c>
      <c r="J483" s="1">
        <v>7924050</v>
      </c>
      <c r="K483">
        <v>203</v>
      </c>
      <c r="L483">
        <v>13.05</v>
      </c>
      <c r="M483">
        <v>13.1</v>
      </c>
      <c r="N483" s="1">
        <v>241700000</v>
      </c>
      <c r="O483">
        <v>13.1</v>
      </c>
      <c r="P483">
        <v>14.4</v>
      </c>
      <c r="Q483">
        <v>11.8</v>
      </c>
    </row>
    <row r="484" spans="1:17" x14ac:dyDescent="0.25">
      <c r="A484">
        <v>6101</v>
      </c>
      <c r="B484" t="s">
        <v>1406</v>
      </c>
      <c r="C484">
        <v>53.9</v>
      </c>
      <c r="D484">
        <v>0.1</v>
      </c>
      <c r="E484">
        <v>53.8</v>
      </c>
      <c r="F484">
        <v>56.3</v>
      </c>
      <c r="G484">
        <v>52.8</v>
      </c>
      <c r="H484">
        <v>54.92</v>
      </c>
      <c r="I484" s="1">
        <v>679339</v>
      </c>
      <c r="J484" s="1">
        <v>37309067</v>
      </c>
      <c r="K484" s="1">
        <v>455</v>
      </c>
      <c r="L484">
        <v>53.8</v>
      </c>
      <c r="M484">
        <v>53.9</v>
      </c>
      <c r="N484" s="1">
        <v>69826850</v>
      </c>
      <c r="O484">
        <v>53.9</v>
      </c>
      <c r="P484">
        <v>59.2</v>
      </c>
      <c r="Q484">
        <v>48.55</v>
      </c>
    </row>
    <row r="485" spans="1:17" x14ac:dyDescent="0.25">
      <c r="A485">
        <v>6103</v>
      </c>
      <c r="B485" t="s">
        <v>506</v>
      </c>
      <c r="C485">
        <v>8.1</v>
      </c>
      <c r="D485">
        <v>0</v>
      </c>
      <c r="E485">
        <v>8.1</v>
      </c>
      <c r="F485">
        <v>8.1</v>
      </c>
      <c r="G485">
        <v>8.1</v>
      </c>
      <c r="H485">
        <v>8.1</v>
      </c>
      <c r="I485" s="1">
        <v>3300</v>
      </c>
      <c r="J485" s="1">
        <v>26729</v>
      </c>
      <c r="K485">
        <v>3</v>
      </c>
      <c r="L485">
        <v>8.1</v>
      </c>
      <c r="M485">
        <v>8.86</v>
      </c>
      <c r="N485" s="1">
        <v>57084974</v>
      </c>
      <c r="O485">
        <v>8.1</v>
      </c>
      <c r="P485">
        <v>8.91</v>
      </c>
      <c r="Q485">
        <v>7.29</v>
      </c>
    </row>
    <row r="486" spans="1:17" x14ac:dyDescent="0.25">
      <c r="A486">
        <v>6104</v>
      </c>
      <c r="B486" t="s">
        <v>507</v>
      </c>
      <c r="C486">
        <v>36.4</v>
      </c>
      <c r="D486">
        <v>0.05</v>
      </c>
      <c r="E486">
        <v>36.85</v>
      </c>
      <c r="F486">
        <v>36.85</v>
      </c>
      <c r="G486">
        <v>36.4</v>
      </c>
      <c r="H486">
        <v>36.51</v>
      </c>
      <c r="I486" s="1">
        <v>157229</v>
      </c>
      <c r="J486" s="1">
        <v>5741074</v>
      </c>
      <c r="K486">
        <v>133</v>
      </c>
      <c r="L486">
        <v>36.4</v>
      </c>
      <c r="M486">
        <v>36.549999999999997</v>
      </c>
      <c r="N486" s="1">
        <v>90709184</v>
      </c>
      <c r="O486">
        <v>36.4</v>
      </c>
      <c r="P486">
        <v>40</v>
      </c>
      <c r="Q486">
        <v>32.799999999999997</v>
      </c>
    </row>
    <row r="487" spans="1:17" x14ac:dyDescent="0.25">
      <c r="A487">
        <v>6109</v>
      </c>
      <c r="B487" t="s">
        <v>510</v>
      </c>
      <c r="C487">
        <v>12.1</v>
      </c>
      <c r="D487">
        <v>0</v>
      </c>
      <c r="E487">
        <v>11.95</v>
      </c>
      <c r="F487">
        <v>12.1</v>
      </c>
      <c r="G487">
        <v>11.95</v>
      </c>
      <c r="H487">
        <v>12.05</v>
      </c>
      <c r="I487" s="1">
        <v>22000</v>
      </c>
      <c r="J487" s="1">
        <v>265100</v>
      </c>
      <c r="K487">
        <v>15</v>
      </c>
      <c r="L487">
        <v>11.95</v>
      </c>
      <c r="M487">
        <v>12.1</v>
      </c>
      <c r="N487" s="1">
        <v>72686518</v>
      </c>
      <c r="O487">
        <v>12.1</v>
      </c>
      <c r="P487">
        <v>13.3</v>
      </c>
      <c r="Q487">
        <v>10.9</v>
      </c>
    </row>
    <row r="488" spans="1:17" x14ac:dyDescent="0.25">
      <c r="A488">
        <v>6111</v>
      </c>
      <c r="B488" t="s">
        <v>511</v>
      </c>
      <c r="C488">
        <v>83.4</v>
      </c>
      <c r="D488">
        <v>0.4</v>
      </c>
      <c r="E488">
        <v>83.2</v>
      </c>
      <c r="F488">
        <v>83.7</v>
      </c>
      <c r="G488">
        <v>83.1</v>
      </c>
      <c r="H488">
        <v>83.31</v>
      </c>
      <c r="I488" s="1">
        <v>80200</v>
      </c>
      <c r="J488" s="1">
        <v>6681420</v>
      </c>
      <c r="K488">
        <v>74</v>
      </c>
      <c r="L488">
        <v>83.1</v>
      </c>
      <c r="M488">
        <v>83.4</v>
      </c>
      <c r="N488" s="1">
        <v>48181630</v>
      </c>
      <c r="O488">
        <v>83.4</v>
      </c>
      <c r="P488">
        <v>91.7</v>
      </c>
      <c r="Q488">
        <v>75.099999999999994</v>
      </c>
    </row>
    <row r="489" spans="1:17" x14ac:dyDescent="0.25">
      <c r="A489">
        <v>6113</v>
      </c>
      <c r="B489" t="s">
        <v>512</v>
      </c>
      <c r="C489">
        <v>9.14</v>
      </c>
      <c r="D489">
        <v>7.0000000000000007E-2</v>
      </c>
      <c r="E489">
        <v>9.07</v>
      </c>
      <c r="F489">
        <v>9.2200000000000006</v>
      </c>
      <c r="G489">
        <v>9.07</v>
      </c>
      <c r="H489">
        <v>9.19</v>
      </c>
      <c r="I489" s="1">
        <v>19000</v>
      </c>
      <c r="J489" s="1">
        <v>174520</v>
      </c>
      <c r="K489" s="1">
        <v>18</v>
      </c>
      <c r="L489">
        <v>9.09</v>
      </c>
      <c r="M489">
        <v>9.14</v>
      </c>
      <c r="N489" s="1">
        <v>50047100</v>
      </c>
      <c r="O489">
        <v>9.14</v>
      </c>
      <c r="P489">
        <v>10.050000000000001</v>
      </c>
      <c r="Q489">
        <v>8.23</v>
      </c>
    </row>
    <row r="490" spans="1:17" x14ac:dyDescent="0.25">
      <c r="A490">
        <v>6114</v>
      </c>
      <c r="B490" t="s">
        <v>513</v>
      </c>
      <c r="C490">
        <v>42.2</v>
      </c>
      <c r="D490">
        <v>-0.4</v>
      </c>
      <c r="E490">
        <v>42.6</v>
      </c>
      <c r="F490">
        <v>42.9</v>
      </c>
      <c r="G490">
        <v>42.05</v>
      </c>
      <c r="H490">
        <v>42.26</v>
      </c>
      <c r="I490" s="1">
        <v>53500</v>
      </c>
      <c r="J490" s="1">
        <v>2260949</v>
      </c>
      <c r="K490" s="1">
        <v>50</v>
      </c>
      <c r="L490">
        <v>42.1</v>
      </c>
      <c r="M490">
        <v>42.2</v>
      </c>
      <c r="N490" s="1">
        <v>41820893</v>
      </c>
      <c r="O490">
        <v>42.2</v>
      </c>
      <c r="P490">
        <v>46.4</v>
      </c>
      <c r="Q490">
        <v>38</v>
      </c>
    </row>
    <row r="491" spans="1:17" x14ac:dyDescent="0.25">
      <c r="A491">
        <v>6118</v>
      </c>
      <c r="B491" t="s">
        <v>514</v>
      </c>
      <c r="C491">
        <v>7.3</v>
      </c>
      <c r="D491">
        <v>-0.06</v>
      </c>
      <c r="E491">
        <v>7.4</v>
      </c>
      <c r="F491">
        <v>7.43</v>
      </c>
      <c r="G491">
        <v>7.23</v>
      </c>
      <c r="H491">
        <v>7.34</v>
      </c>
      <c r="I491" s="1">
        <v>160368</v>
      </c>
      <c r="J491" s="1">
        <v>1176934</v>
      </c>
      <c r="K491">
        <v>62</v>
      </c>
      <c r="L491">
        <v>7.29</v>
      </c>
      <c r="M491">
        <v>7.3</v>
      </c>
      <c r="N491" s="1">
        <v>90889573</v>
      </c>
      <c r="O491">
        <v>7.3</v>
      </c>
      <c r="P491">
        <v>8.0299999999999994</v>
      </c>
      <c r="Q491">
        <v>6.57</v>
      </c>
    </row>
    <row r="492" spans="1:17" x14ac:dyDescent="0.25">
      <c r="A492">
        <v>6121</v>
      </c>
      <c r="B492" t="s">
        <v>833</v>
      </c>
      <c r="C492">
        <v>166.5</v>
      </c>
      <c r="D492">
        <v>2</v>
      </c>
      <c r="E492">
        <v>166</v>
      </c>
      <c r="F492">
        <v>170</v>
      </c>
      <c r="G492">
        <v>165.5</v>
      </c>
      <c r="H492">
        <v>167.43</v>
      </c>
      <c r="I492" s="1">
        <v>744307</v>
      </c>
      <c r="J492" s="1">
        <v>124621112</v>
      </c>
      <c r="K492">
        <v>610</v>
      </c>
      <c r="L492">
        <v>166.5</v>
      </c>
      <c r="M492">
        <v>167</v>
      </c>
      <c r="N492" s="1">
        <v>184970519</v>
      </c>
      <c r="O492">
        <v>166.5</v>
      </c>
      <c r="P492">
        <v>183</v>
      </c>
      <c r="Q492">
        <v>150</v>
      </c>
    </row>
    <row r="493" spans="1:17" x14ac:dyDescent="0.25">
      <c r="A493">
        <v>6122</v>
      </c>
      <c r="B493" t="s">
        <v>515</v>
      </c>
      <c r="C493">
        <v>11.65</v>
      </c>
      <c r="D493">
        <v>-0.1</v>
      </c>
      <c r="E493">
        <v>11.8</v>
      </c>
      <c r="F493">
        <v>11.85</v>
      </c>
      <c r="G493">
        <v>11.6</v>
      </c>
      <c r="H493">
        <v>11.7</v>
      </c>
      <c r="I493" s="1">
        <v>653006</v>
      </c>
      <c r="J493" s="1">
        <v>7636916</v>
      </c>
      <c r="K493" s="1">
        <v>211</v>
      </c>
      <c r="L493">
        <v>11.65</v>
      </c>
      <c r="M493">
        <v>11.7</v>
      </c>
      <c r="N493" s="1">
        <v>68729089</v>
      </c>
      <c r="O493">
        <v>11.65</v>
      </c>
      <c r="P493">
        <v>12.8</v>
      </c>
      <c r="Q493">
        <v>10.5</v>
      </c>
    </row>
    <row r="494" spans="1:17" x14ac:dyDescent="0.25">
      <c r="A494">
        <v>6123</v>
      </c>
      <c r="B494" t="s">
        <v>516</v>
      </c>
      <c r="C494">
        <v>42.9</v>
      </c>
      <c r="D494">
        <v>0.45</v>
      </c>
      <c r="E494">
        <v>42.55</v>
      </c>
      <c r="F494">
        <v>43.5</v>
      </c>
      <c r="G494">
        <v>42.4</v>
      </c>
      <c r="H494">
        <v>42.91</v>
      </c>
      <c r="I494" s="1">
        <v>328450</v>
      </c>
      <c r="J494" s="1">
        <v>14092386</v>
      </c>
      <c r="K494">
        <v>207</v>
      </c>
      <c r="L494">
        <v>42.9</v>
      </c>
      <c r="M494">
        <v>42.95</v>
      </c>
      <c r="N494" s="1">
        <v>57825028</v>
      </c>
      <c r="O494">
        <v>42.9</v>
      </c>
      <c r="P494">
        <v>47.15</v>
      </c>
      <c r="Q494">
        <v>38.65</v>
      </c>
    </row>
    <row r="495" spans="1:17" x14ac:dyDescent="0.25">
      <c r="A495">
        <v>6124</v>
      </c>
      <c r="B495" t="s">
        <v>517</v>
      </c>
      <c r="C495">
        <v>25.7</v>
      </c>
      <c r="D495">
        <v>-0.1</v>
      </c>
      <c r="E495">
        <v>25.5</v>
      </c>
      <c r="F495">
        <v>25.7</v>
      </c>
      <c r="G495">
        <v>25.35</v>
      </c>
      <c r="H495">
        <v>25.54</v>
      </c>
      <c r="I495" s="1">
        <v>14000</v>
      </c>
      <c r="J495" s="1">
        <v>357600</v>
      </c>
      <c r="K495">
        <v>13</v>
      </c>
      <c r="L495">
        <v>25.1</v>
      </c>
      <c r="M495">
        <v>25.75</v>
      </c>
      <c r="N495" s="1">
        <v>182479945</v>
      </c>
      <c r="O495">
        <v>25.7</v>
      </c>
      <c r="P495">
        <v>28.25</v>
      </c>
      <c r="Q495">
        <v>23.15</v>
      </c>
    </row>
    <row r="496" spans="1:17" x14ac:dyDescent="0.25">
      <c r="A496">
        <v>6125</v>
      </c>
      <c r="B496" t="s">
        <v>518</v>
      </c>
      <c r="C496">
        <v>12.55</v>
      </c>
      <c r="D496">
        <v>0.4</v>
      </c>
      <c r="E496">
        <v>12.2</v>
      </c>
      <c r="F496">
        <v>12.95</v>
      </c>
      <c r="G496">
        <v>12.15</v>
      </c>
      <c r="H496">
        <v>12.69</v>
      </c>
      <c r="I496" s="1">
        <v>6215303</v>
      </c>
      <c r="J496" s="1">
        <v>78893230</v>
      </c>
      <c r="K496" s="1">
        <v>1977</v>
      </c>
      <c r="L496">
        <v>12.55</v>
      </c>
      <c r="M496">
        <v>12.6</v>
      </c>
      <c r="N496" s="1">
        <v>254011150</v>
      </c>
      <c r="O496">
        <v>12.55</v>
      </c>
      <c r="P496">
        <v>13.8</v>
      </c>
      <c r="Q496">
        <v>11.3</v>
      </c>
    </row>
    <row r="497" spans="1:17" x14ac:dyDescent="0.25">
      <c r="A497">
        <v>6126</v>
      </c>
      <c r="B497" t="s">
        <v>519</v>
      </c>
      <c r="C497">
        <v>14.3</v>
      </c>
      <c r="D497">
        <v>0.15</v>
      </c>
      <c r="E497">
        <v>14.2</v>
      </c>
      <c r="F497">
        <v>14.3</v>
      </c>
      <c r="G497">
        <v>14.2</v>
      </c>
      <c r="H497">
        <v>14.26</v>
      </c>
      <c r="I497" s="1">
        <v>635200</v>
      </c>
      <c r="J497" s="1">
        <v>9060987</v>
      </c>
      <c r="K497">
        <v>247</v>
      </c>
      <c r="L497">
        <v>14.25</v>
      </c>
      <c r="M497">
        <v>14.3</v>
      </c>
      <c r="N497" s="1">
        <v>120403506</v>
      </c>
      <c r="O497">
        <v>14.3</v>
      </c>
      <c r="P497">
        <v>15.7</v>
      </c>
      <c r="Q497">
        <v>12.9</v>
      </c>
    </row>
    <row r="498" spans="1:17" x14ac:dyDescent="0.25">
      <c r="A498">
        <v>6127</v>
      </c>
      <c r="B498" t="s">
        <v>520</v>
      </c>
      <c r="C498">
        <v>20.7</v>
      </c>
      <c r="D498">
        <v>1.85</v>
      </c>
      <c r="E498">
        <v>19</v>
      </c>
      <c r="F498">
        <v>20.7</v>
      </c>
      <c r="G498">
        <v>18.95</v>
      </c>
      <c r="H498">
        <v>20.45</v>
      </c>
      <c r="I498" s="1">
        <v>15165249</v>
      </c>
      <c r="J498" s="1">
        <v>310119504</v>
      </c>
      <c r="K498" s="1">
        <v>3990</v>
      </c>
      <c r="L498">
        <v>20.7</v>
      </c>
      <c r="M498">
        <v>0</v>
      </c>
      <c r="N498" s="1">
        <v>85963698</v>
      </c>
      <c r="O498">
        <v>20.7</v>
      </c>
      <c r="P498">
        <v>22.75</v>
      </c>
      <c r="Q498">
        <v>18.649999999999999</v>
      </c>
    </row>
    <row r="499" spans="1:17" x14ac:dyDescent="0.25">
      <c r="A499">
        <v>6129</v>
      </c>
      <c r="B499" t="s">
        <v>521</v>
      </c>
      <c r="C499">
        <v>8.26</v>
      </c>
      <c r="D499">
        <v>-0.01</v>
      </c>
      <c r="E499">
        <v>8.35</v>
      </c>
      <c r="F499">
        <v>8.3800000000000008</v>
      </c>
      <c r="G499">
        <v>8.26</v>
      </c>
      <c r="H499">
        <v>8.32</v>
      </c>
      <c r="I499" s="1">
        <v>221142</v>
      </c>
      <c r="J499" s="1">
        <v>1839245</v>
      </c>
      <c r="K499">
        <v>97</v>
      </c>
      <c r="L499">
        <v>8.26</v>
      </c>
      <c r="M499">
        <v>8.2799999999999994</v>
      </c>
      <c r="N499" s="1">
        <v>180943675</v>
      </c>
      <c r="O499">
        <v>8.26</v>
      </c>
      <c r="P499">
        <v>9.08</v>
      </c>
      <c r="Q499">
        <v>7.44</v>
      </c>
    </row>
    <row r="500" spans="1:17" x14ac:dyDescent="0.25">
      <c r="A500">
        <v>6130</v>
      </c>
      <c r="B500" t="s">
        <v>522</v>
      </c>
      <c r="C500">
        <v>53.9</v>
      </c>
      <c r="D500">
        <v>2.1</v>
      </c>
      <c r="E500">
        <v>53.5</v>
      </c>
      <c r="F500">
        <v>54</v>
      </c>
      <c r="G500">
        <v>51.5</v>
      </c>
      <c r="H500">
        <v>53.52</v>
      </c>
      <c r="I500" s="1">
        <v>47000</v>
      </c>
      <c r="J500" s="1">
        <v>2515300</v>
      </c>
      <c r="K500" s="1">
        <v>34</v>
      </c>
      <c r="L500">
        <v>52.1</v>
      </c>
      <c r="M500">
        <v>53.9</v>
      </c>
      <c r="N500" s="1">
        <v>26700000</v>
      </c>
      <c r="O500">
        <v>53.9</v>
      </c>
      <c r="P500">
        <v>59.2</v>
      </c>
      <c r="Q500">
        <v>48.55</v>
      </c>
    </row>
    <row r="501" spans="1:17" x14ac:dyDescent="0.25">
      <c r="A501">
        <v>6134</v>
      </c>
      <c r="B501" t="s">
        <v>523</v>
      </c>
      <c r="C501">
        <v>14.15</v>
      </c>
      <c r="D501">
        <v>0.2</v>
      </c>
      <c r="E501">
        <v>14.15</v>
      </c>
      <c r="F501">
        <v>14.3</v>
      </c>
      <c r="G501">
        <v>13.9</v>
      </c>
      <c r="H501">
        <v>14.05</v>
      </c>
      <c r="I501" s="1">
        <v>115478</v>
      </c>
      <c r="J501" s="1">
        <v>1622163</v>
      </c>
      <c r="K501">
        <v>61</v>
      </c>
      <c r="L501">
        <v>14.1</v>
      </c>
      <c r="M501">
        <v>14.15</v>
      </c>
      <c r="N501" s="1">
        <v>94270574</v>
      </c>
      <c r="O501">
        <v>14.15</v>
      </c>
      <c r="P501">
        <v>15.55</v>
      </c>
      <c r="Q501">
        <v>12.75</v>
      </c>
    </row>
    <row r="502" spans="1:17" x14ac:dyDescent="0.25">
      <c r="A502">
        <v>6138</v>
      </c>
      <c r="B502" t="s">
        <v>524</v>
      </c>
      <c r="C502">
        <v>45.05</v>
      </c>
      <c r="D502">
        <v>0.1</v>
      </c>
      <c r="E502">
        <v>45.35</v>
      </c>
      <c r="F502">
        <v>45.65</v>
      </c>
      <c r="G502">
        <v>45</v>
      </c>
      <c r="H502">
        <v>45.28</v>
      </c>
      <c r="I502" s="1">
        <v>850390</v>
      </c>
      <c r="J502" s="1">
        <v>38508566</v>
      </c>
      <c r="K502" s="1">
        <v>584</v>
      </c>
      <c r="L502">
        <v>45.05</v>
      </c>
      <c r="M502">
        <v>45.1</v>
      </c>
      <c r="N502" s="1">
        <v>102762572</v>
      </c>
      <c r="O502">
        <v>45.05</v>
      </c>
      <c r="P502">
        <v>49.55</v>
      </c>
      <c r="Q502">
        <v>40.549999999999997</v>
      </c>
    </row>
    <row r="503" spans="1:17" x14ac:dyDescent="0.25">
      <c r="A503">
        <v>6140</v>
      </c>
      <c r="B503" t="s">
        <v>525</v>
      </c>
      <c r="C503">
        <v>11.9</v>
      </c>
      <c r="D503">
        <v>0.4</v>
      </c>
      <c r="E503">
        <v>11.5</v>
      </c>
      <c r="F503">
        <v>11.9</v>
      </c>
      <c r="G503">
        <v>11.5</v>
      </c>
      <c r="H503">
        <v>11.6</v>
      </c>
      <c r="I503" s="1">
        <v>63001</v>
      </c>
      <c r="J503" s="1">
        <v>731112</v>
      </c>
      <c r="K503" s="1">
        <v>27</v>
      </c>
      <c r="L503">
        <v>11.6</v>
      </c>
      <c r="M503">
        <v>11.85</v>
      </c>
      <c r="N503" s="1">
        <v>38367906</v>
      </c>
      <c r="O503">
        <v>11.9</v>
      </c>
      <c r="P503">
        <v>13.05</v>
      </c>
      <c r="Q503">
        <v>10.75</v>
      </c>
    </row>
    <row r="504" spans="1:17" x14ac:dyDescent="0.25">
      <c r="A504">
        <v>6143</v>
      </c>
      <c r="B504" t="s">
        <v>526</v>
      </c>
      <c r="C504">
        <v>53.3</v>
      </c>
      <c r="D504">
        <v>0.4</v>
      </c>
      <c r="E504">
        <v>53.2</v>
      </c>
      <c r="F504">
        <v>53.6</v>
      </c>
      <c r="G504">
        <v>52.9</v>
      </c>
      <c r="H504">
        <v>53.1</v>
      </c>
      <c r="I504" s="1">
        <v>73596</v>
      </c>
      <c r="J504" s="1">
        <v>3908003</v>
      </c>
      <c r="K504" s="1">
        <v>44</v>
      </c>
      <c r="L504">
        <v>53.2</v>
      </c>
      <c r="M504">
        <v>53.3</v>
      </c>
      <c r="N504" s="1">
        <v>83280897</v>
      </c>
      <c r="O504">
        <v>53.3</v>
      </c>
      <c r="P504">
        <v>58.6</v>
      </c>
      <c r="Q504">
        <v>48</v>
      </c>
    </row>
    <row r="505" spans="1:17" x14ac:dyDescent="0.25">
      <c r="A505">
        <v>6144</v>
      </c>
      <c r="B505" t="s">
        <v>527</v>
      </c>
      <c r="C505">
        <v>9.89</v>
      </c>
      <c r="D505">
        <v>7.0000000000000007E-2</v>
      </c>
      <c r="E505">
        <v>9.61</v>
      </c>
      <c r="F505">
        <v>9.89</v>
      </c>
      <c r="G505">
        <v>9.61</v>
      </c>
      <c r="H505">
        <v>9.75</v>
      </c>
      <c r="I505" s="1">
        <v>2030</v>
      </c>
      <c r="J505" s="1">
        <v>19799</v>
      </c>
      <c r="K505" s="1">
        <v>3</v>
      </c>
      <c r="L505">
        <v>9.34</v>
      </c>
      <c r="M505">
        <v>9.89</v>
      </c>
      <c r="N505" s="1">
        <v>73117806</v>
      </c>
      <c r="O505">
        <v>9.89</v>
      </c>
      <c r="P505">
        <v>10.85</v>
      </c>
      <c r="Q505">
        <v>8.91</v>
      </c>
    </row>
    <row r="506" spans="1:17" x14ac:dyDescent="0.25">
      <c r="A506">
        <v>6146</v>
      </c>
      <c r="B506" t="s">
        <v>528</v>
      </c>
      <c r="C506">
        <v>160.5</v>
      </c>
      <c r="D506">
        <v>6</v>
      </c>
      <c r="E506">
        <v>156</v>
      </c>
      <c r="F506">
        <v>160.5</v>
      </c>
      <c r="G506">
        <v>156</v>
      </c>
      <c r="H506">
        <v>158.51</v>
      </c>
      <c r="I506" s="1">
        <v>393028</v>
      </c>
      <c r="J506" s="1">
        <v>62299459</v>
      </c>
      <c r="K506" s="1">
        <v>351</v>
      </c>
      <c r="L506">
        <v>160</v>
      </c>
      <c r="M506">
        <v>160.5</v>
      </c>
      <c r="N506" s="1">
        <v>91455697</v>
      </c>
      <c r="O506">
        <v>160.5</v>
      </c>
      <c r="P506">
        <v>176.5</v>
      </c>
      <c r="Q506">
        <v>144.5</v>
      </c>
    </row>
    <row r="507" spans="1:17" x14ac:dyDescent="0.25">
      <c r="A507">
        <v>6147</v>
      </c>
      <c r="B507" t="s">
        <v>529</v>
      </c>
      <c r="C507">
        <v>56.4</v>
      </c>
      <c r="D507">
        <v>0.8</v>
      </c>
      <c r="E507">
        <v>55.6</v>
      </c>
      <c r="F507">
        <v>57</v>
      </c>
      <c r="G507">
        <v>55</v>
      </c>
      <c r="H507">
        <v>55.97</v>
      </c>
      <c r="I507" s="1">
        <v>5777414</v>
      </c>
      <c r="J507" s="1">
        <v>323374447</v>
      </c>
      <c r="K507" s="1">
        <v>2916</v>
      </c>
      <c r="L507">
        <v>56.4</v>
      </c>
      <c r="M507">
        <v>56.5</v>
      </c>
      <c r="N507" s="1">
        <v>654261998</v>
      </c>
      <c r="O507">
        <v>56.4</v>
      </c>
      <c r="P507">
        <v>62</v>
      </c>
      <c r="Q507">
        <v>50.8</v>
      </c>
    </row>
    <row r="508" spans="1:17" x14ac:dyDescent="0.25">
      <c r="A508">
        <v>6148</v>
      </c>
      <c r="B508" t="s">
        <v>530</v>
      </c>
      <c r="C508">
        <v>4.92</v>
      </c>
      <c r="D508">
        <v>-0.03</v>
      </c>
      <c r="E508">
        <v>4.9000000000000004</v>
      </c>
      <c r="F508">
        <v>4.9400000000000004</v>
      </c>
      <c r="G508">
        <v>4.82</v>
      </c>
      <c r="H508">
        <v>4.84</v>
      </c>
      <c r="I508" s="1">
        <v>92101</v>
      </c>
      <c r="J508" s="1">
        <v>445709</v>
      </c>
      <c r="K508" s="1">
        <v>34</v>
      </c>
      <c r="L508">
        <v>4.9000000000000004</v>
      </c>
      <c r="M508">
        <v>4.93</v>
      </c>
      <c r="N508" s="1">
        <v>90002000</v>
      </c>
      <c r="O508">
        <v>4.92</v>
      </c>
      <c r="P508">
        <v>5.41</v>
      </c>
      <c r="Q508">
        <v>4.43</v>
      </c>
    </row>
    <row r="509" spans="1:17" x14ac:dyDescent="0.25">
      <c r="A509">
        <v>6150</v>
      </c>
      <c r="B509" t="s">
        <v>531</v>
      </c>
      <c r="C509">
        <v>73.099999999999994</v>
      </c>
      <c r="D509">
        <v>2</v>
      </c>
      <c r="E509">
        <v>70.599999999999994</v>
      </c>
      <c r="F509">
        <v>74.900000000000006</v>
      </c>
      <c r="G509">
        <v>70.599999999999994</v>
      </c>
      <c r="H509">
        <v>72.77</v>
      </c>
      <c r="I509" s="1">
        <v>2664082</v>
      </c>
      <c r="J509" s="1">
        <v>193863949</v>
      </c>
      <c r="K509" s="1">
        <v>1667</v>
      </c>
      <c r="L509">
        <v>73.099999999999994</v>
      </c>
      <c r="M509">
        <v>73.3</v>
      </c>
      <c r="N509" s="1">
        <v>30264054</v>
      </c>
      <c r="O509">
        <v>73.099999999999994</v>
      </c>
      <c r="P509">
        <v>80.400000000000006</v>
      </c>
      <c r="Q509">
        <v>65.8</v>
      </c>
    </row>
    <row r="510" spans="1:17" x14ac:dyDescent="0.25">
      <c r="A510">
        <v>6151</v>
      </c>
      <c r="B510" t="s">
        <v>532</v>
      </c>
      <c r="C510">
        <v>24</v>
      </c>
      <c r="D510">
        <v>0.05</v>
      </c>
      <c r="E510">
        <v>23.9</v>
      </c>
      <c r="F510">
        <v>24</v>
      </c>
      <c r="G510">
        <v>23.7</v>
      </c>
      <c r="H510">
        <v>23.88</v>
      </c>
      <c r="I510" s="1">
        <v>99406</v>
      </c>
      <c r="J510" s="1">
        <v>2373795</v>
      </c>
      <c r="K510" s="1">
        <v>69</v>
      </c>
      <c r="L510">
        <v>23.9</v>
      </c>
      <c r="M510">
        <v>23.95</v>
      </c>
      <c r="N510" s="1">
        <v>55257300</v>
      </c>
      <c r="O510">
        <v>24</v>
      </c>
      <c r="P510">
        <v>26.4</v>
      </c>
      <c r="Q510">
        <v>21.6</v>
      </c>
    </row>
    <row r="511" spans="1:17" x14ac:dyDescent="0.25">
      <c r="A511">
        <v>6154</v>
      </c>
      <c r="B511" t="s">
        <v>533</v>
      </c>
      <c r="C511">
        <v>16.5</v>
      </c>
      <c r="D511">
        <v>0</v>
      </c>
      <c r="E511">
        <v>16.5</v>
      </c>
      <c r="F511">
        <v>16.5</v>
      </c>
      <c r="G511">
        <v>16.45</v>
      </c>
      <c r="H511">
        <v>16.48</v>
      </c>
      <c r="I511" s="1">
        <v>6052</v>
      </c>
      <c r="J511" s="1">
        <v>99715</v>
      </c>
      <c r="K511">
        <v>5</v>
      </c>
      <c r="L511">
        <v>16.5</v>
      </c>
      <c r="M511">
        <v>16.55</v>
      </c>
      <c r="N511" s="1">
        <v>80080000</v>
      </c>
      <c r="O511">
        <v>16.5</v>
      </c>
      <c r="P511">
        <v>18.149999999999999</v>
      </c>
      <c r="Q511">
        <v>14.85</v>
      </c>
    </row>
    <row r="512" spans="1:17" x14ac:dyDescent="0.25">
      <c r="A512">
        <v>6156</v>
      </c>
      <c r="B512" t="s">
        <v>534</v>
      </c>
      <c r="C512">
        <v>21.1</v>
      </c>
      <c r="D512">
        <v>0.15</v>
      </c>
      <c r="E512">
        <v>21.2</v>
      </c>
      <c r="F512">
        <v>21.35</v>
      </c>
      <c r="G512">
        <v>20.95</v>
      </c>
      <c r="H512">
        <v>21.05</v>
      </c>
      <c r="I512" s="1">
        <v>174786</v>
      </c>
      <c r="J512" s="1">
        <v>3679377</v>
      </c>
      <c r="K512">
        <v>111</v>
      </c>
      <c r="L512">
        <v>21</v>
      </c>
      <c r="M512">
        <v>21.15</v>
      </c>
      <c r="N512" s="1">
        <v>77381355</v>
      </c>
      <c r="O512">
        <v>21.1</v>
      </c>
      <c r="P512">
        <v>23.2</v>
      </c>
      <c r="Q512">
        <v>19</v>
      </c>
    </row>
    <row r="513" spans="1:17" x14ac:dyDescent="0.25">
      <c r="A513">
        <v>6158</v>
      </c>
      <c r="B513" t="s">
        <v>535</v>
      </c>
      <c r="C513">
        <v>19.55</v>
      </c>
      <c r="D513">
        <v>0.35</v>
      </c>
      <c r="E513">
        <v>19.25</v>
      </c>
      <c r="F513">
        <v>19.55</v>
      </c>
      <c r="G513">
        <v>19.25</v>
      </c>
      <c r="H513">
        <v>19.420000000000002</v>
      </c>
      <c r="I513" s="1">
        <v>218529</v>
      </c>
      <c r="J513" s="1">
        <v>4243081</v>
      </c>
      <c r="K513">
        <v>110</v>
      </c>
      <c r="L513">
        <v>19.55</v>
      </c>
      <c r="M513">
        <v>19.600000000000001</v>
      </c>
      <c r="N513" s="1">
        <v>113978975</v>
      </c>
      <c r="O513">
        <v>19.55</v>
      </c>
      <c r="P513">
        <v>21.5</v>
      </c>
      <c r="Q513">
        <v>17.600000000000001</v>
      </c>
    </row>
    <row r="514" spans="1:17" x14ac:dyDescent="0.25">
      <c r="A514">
        <v>6160</v>
      </c>
      <c r="B514" t="s">
        <v>536</v>
      </c>
      <c r="C514">
        <v>18</v>
      </c>
      <c r="D514">
        <v>0</v>
      </c>
      <c r="E514">
        <v>18</v>
      </c>
      <c r="F514">
        <v>18.3</v>
      </c>
      <c r="G514">
        <v>17.95</v>
      </c>
      <c r="H514">
        <v>18.09</v>
      </c>
      <c r="I514" s="1">
        <v>73011</v>
      </c>
      <c r="J514" s="1">
        <v>1320948</v>
      </c>
      <c r="K514">
        <v>58</v>
      </c>
      <c r="L514">
        <v>18.05</v>
      </c>
      <c r="M514">
        <v>18.149999999999999</v>
      </c>
      <c r="N514" s="1">
        <v>68489120</v>
      </c>
      <c r="O514">
        <v>18</v>
      </c>
      <c r="P514">
        <v>19.8</v>
      </c>
      <c r="Q514">
        <v>16.2</v>
      </c>
    </row>
    <row r="515" spans="1:17" x14ac:dyDescent="0.25">
      <c r="A515">
        <v>6161</v>
      </c>
      <c r="B515" t="s">
        <v>537</v>
      </c>
      <c r="C515">
        <v>14</v>
      </c>
      <c r="D515">
        <v>-0.05</v>
      </c>
      <c r="E515">
        <v>14.05</v>
      </c>
      <c r="F515">
        <v>14.05</v>
      </c>
      <c r="G515">
        <v>13.95</v>
      </c>
      <c r="H515">
        <v>13.99</v>
      </c>
      <c r="I515" s="1">
        <v>90553</v>
      </c>
      <c r="J515" s="1">
        <v>1267242</v>
      </c>
      <c r="K515">
        <v>77</v>
      </c>
      <c r="L515">
        <v>13.95</v>
      </c>
      <c r="M515">
        <v>14</v>
      </c>
      <c r="N515" s="1">
        <v>120833290</v>
      </c>
      <c r="O515">
        <v>14</v>
      </c>
      <c r="P515">
        <v>15.4</v>
      </c>
      <c r="Q515">
        <v>12.6</v>
      </c>
    </row>
    <row r="516" spans="1:17" x14ac:dyDescent="0.25">
      <c r="A516">
        <v>6163</v>
      </c>
      <c r="B516" t="s">
        <v>538</v>
      </c>
      <c r="C516">
        <v>13.35</v>
      </c>
      <c r="D516">
        <v>0.1</v>
      </c>
      <c r="E516">
        <v>13.3</v>
      </c>
      <c r="F516">
        <v>13.45</v>
      </c>
      <c r="G516">
        <v>13.3</v>
      </c>
      <c r="H516">
        <v>13.35</v>
      </c>
      <c r="I516" s="1">
        <v>341107</v>
      </c>
      <c r="J516" s="1">
        <v>4554776</v>
      </c>
      <c r="K516">
        <v>156</v>
      </c>
      <c r="L516">
        <v>13.35</v>
      </c>
      <c r="M516">
        <v>13.4</v>
      </c>
      <c r="N516" s="1">
        <v>103481692</v>
      </c>
      <c r="O516">
        <v>13.35</v>
      </c>
      <c r="P516">
        <v>14.65</v>
      </c>
      <c r="Q516">
        <v>12.05</v>
      </c>
    </row>
    <row r="517" spans="1:17" x14ac:dyDescent="0.25">
      <c r="A517">
        <v>6167</v>
      </c>
      <c r="B517" t="s">
        <v>539</v>
      </c>
      <c r="C517">
        <v>7.8</v>
      </c>
      <c r="D517">
        <v>-0.08</v>
      </c>
      <c r="E517">
        <v>7.9</v>
      </c>
      <c r="F517">
        <v>7.92</v>
      </c>
      <c r="G517">
        <v>7.78</v>
      </c>
      <c r="H517">
        <v>7.81</v>
      </c>
      <c r="I517" s="1">
        <v>293013</v>
      </c>
      <c r="J517" s="1">
        <v>2289186</v>
      </c>
      <c r="K517">
        <v>119</v>
      </c>
      <c r="L517">
        <v>7.8</v>
      </c>
      <c r="M517">
        <v>7.83</v>
      </c>
      <c r="N517" s="1">
        <v>162173221</v>
      </c>
      <c r="O517">
        <v>7.8</v>
      </c>
      <c r="P517">
        <v>8.58</v>
      </c>
      <c r="Q517">
        <v>7.02</v>
      </c>
    </row>
    <row r="518" spans="1:17" x14ac:dyDescent="0.25">
      <c r="A518">
        <v>6169</v>
      </c>
      <c r="B518" t="s">
        <v>540</v>
      </c>
      <c r="C518">
        <v>39</v>
      </c>
      <c r="D518">
        <v>0</v>
      </c>
      <c r="E518">
        <v>38.85</v>
      </c>
      <c r="F518">
        <v>39.9</v>
      </c>
      <c r="G518">
        <v>38.85</v>
      </c>
      <c r="H518">
        <v>39.19</v>
      </c>
      <c r="I518" s="1">
        <v>120000</v>
      </c>
      <c r="J518" s="1">
        <v>4702250</v>
      </c>
      <c r="K518">
        <v>91</v>
      </c>
      <c r="L518">
        <v>39</v>
      </c>
      <c r="M518">
        <v>39.299999999999997</v>
      </c>
      <c r="N518" s="1">
        <v>35473750</v>
      </c>
      <c r="O518">
        <v>39</v>
      </c>
      <c r="P518">
        <v>42.9</v>
      </c>
      <c r="Q518">
        <v>35.1</v>
      </c>
    </row>
    <row r="519" spans="1:17" x14ac:dyDescent="0.25">
      <c r="A519">
        <v>6170</v>
      </c>
      <c r="B519" t="s">
        <v>541</v>
      </c>
      <c r="C519">
        <v>12.15</v>
      </c>
      <c r="D519">
        <v>0.2</v>
      </c>
      <c r="E519">
        <v>12</v>
      </c>
      <c r="F519">
        <v>12.15</v>
      </c>
      <c r="G519">
        <v>12</v>
      </c>
      <c r="H519">
        <v>12.09</v>
      </c>
      <c r="I519" s="1">
        <v>286798</v>
      </c>
      <c r="J519" s="1">
        <v>3466353</v>
      </c>
      <c r="K519" s="1">
        <v>169</v>
      </c>
      <c r="L519">
        <v>12.1</v>
      </c>
      <c r="M519">
        <v>12.15</v>
      </c>
      <c r="N519" s="1">
        <v>89670038</v>
      </c>
      <c r="O519">
        <v>12.15</v>
      </c>
      <c r="P519">
        <v>13.35</v>
      </c>
      <c r="Q519">
        <v>10.95</v>
      </c>
    </row>
    <row r="520" spans="1:17" x14ac:dyDescent="0.25">
      <c r="A520">
        <v>6171</v>
      </c>
      <c r="B520" t="s">
        <v>542</v>
      </c>
      <c r="C520" t="s">
        <v>78</v>
      </c>
      <c r="D520" t="s">
        <v>78</v>
      </c>
      <c r="E520" t="s">
        <v>78</v>
      </c>
      <c r="F520" t="s">
        <v>78</v>
      </c>
      <c r="G520" t="s">
        <v>78</v>
      </c>
      <c r="H520">
        <v>10.33</v>
      </c>
      <c r="I520" s="1">
        <v>0</v>
      </c>
      <c r="J520" s="1">
        <v>0</v>
      </c>
      <c r="K520">
        <v>0</v>
      </c>
      <c r="L520">
        <v>10.35</v>
      </c>
      <c r="M520">
        <v>10.55</v>
      </c>
      <c r="N520" s="1">
        <v>75351921</v>
      </c>
      <c r="O520">
        <v>10.5</v>
      </c>
      <c r="P520">
        <v>11.55</v>
      </c>
      <c r="Q520">
        <v>9.4499999999999993</v>
      </c>
    </row>
    <row r="521" spans="1:17" x14ac:dyDescent="0.25">
      <c r="A521">
        <v>6173</v>
      </c>
      <c r="B521" t="s">
        <v>834</v>
      </c>
      <c r="C521">
        <v>38.5</v>
      </c>
      <c r="D521">
        <v>0.55000000000000004</v>
      </c>
      <c r="E521">
        <v>38.35</v>
      </c>
      <c r="F521">
        <v>39.200000000000003</v>
      </c>
      <c r="G521">
        <v>38.25</v>
      </c>
      <c r="H521">
        <v>38.700000000000003</v>
      </c>
      <c r="I521" s="1">
        <v>2594955</v>
      </c>
      <c r="J521" s="1">
        <v>100431415</v>
      </c>
      <c r="K521" s="1">
        <v>1514</v>
      </c>
      <c r="L521">
        <v>38.5</v>
      </c>
      <c r="M521">
        <v>38.549999999999997</v>
      </c>
      <c r="N521" s="1">
        <v>172000000</v>
      </c>
      <c r="O521">
        <v>38.5</v>
      </c>
      <c r="P521">
        <v>42.35</v>
      </c>
      <c r="Q521">
        <v>34.65</v>
      </c>
    </row>
    <row r="522" spans="1:17" x14ac:dyDescent="0.25">
      <c r="A522">
        <v>6174</v>
      </c>
      <c r="B522" t="s">
        <v>543</v>
      </c>
      <c r="C522">
        <v>13.05</v>
      </c>
      <c r="D522">
        <v>-0.3</v>
      </c>
      <c r="E522">
        <v>13.05</v>
      </c>
      <c r="F522">
        <v>13.25</v>
      </c>
      <c r="G522">
        <v>12.8</v>
      </c>
      <c r="H522">
        <v>12.91</v>
      </c>
      <c r="I522" s="1">
        <v>92339</v>
      </c>
      <c r="J522" s="1">
        <v>1191970</v>
      </c>
      <c r="K522" s="1">
        <v>27</v>
      </c>
      <c r="L522">
        <v>13.05</v>
      </c>
      <c r="M522">
        <v>13.1</v>
      </c>
      <c r="N522" s="1">
        <v>50000000</v>
      </c>
      <c r="O522">
        <v>13.05</v>
      </c>
      <c r="P522">
        <v>14.35</v>
      </c>
      <c r="Q522">
        <v>11.75</v>
      </c>
    </row>
    <row r="523" spans="1:17" x14ac:dyDescent="0.25">
      <c r="A523">
        <v>6175</v>
      </c>
      <c r="B523" t="s">
        <v>544</v>
      </c>
      <c r="C523">
        <v>43</v>
      </c>
      <c r="D523">
        <v>0.1</v>
      </c>
      <c r="E523">
        <v>42.5</v>
      </c>
      <c r="F523">
        <v>43.3</v>
      </c>
      <c r="G523">
        <v>41.55</v>
      </c>
      <c r="H523">
        <v>42.37</v>
      </c>
      <c r="I523" s="1">
        <v>7250899</v>
      </c>
      <c r="J523" s="1">
        <v>307230060</v>
      </c>
      <c r="K523" s="1">
        <v>4055</v>
      </c>
      <c r="L523">
        <v>43</v>
      </c>
      <c r="M523">
        <v>43.05</v>
      </c>
      <c r="N523" s="1">
        <v>137870516</v>
      </c>
      <c r="O523">
        <v>43</v>
      </c>
      <c r="P523">
        <v>47.3</v>
      </c>
      <c r="Q523">
        <v>38.700000000000003</v>
      </c>
    </row>
    <row r="524" spans="1:17" x14ac:dyDescent="0.25">
      <c r="A524">
        <v>6179</v>
      </c>
      <c r="B524" t="s">
        <v>545</v>
      </c>
      <c r="C524">
        <v>44.9</v>
      </c>
      <c r="D524">
        <v>0.1</v>
      </c>
      <c r="E524">
        <v>44.9</v>
      </c>
      <c r="F524">
        <v>45</v>
      </c>
      <c r="G524">
        <v>44.5</v>
      </c>
      <c r="H524">
        <v>44.86</v>
      </c>
      <c r="I524" s="1">
        <v>70000</v>
      </c>
      <c r="J524" s="1">
        <v>3139850</v>
      </c>
      <c r="K524" s="1">
        <v>53</v>
      </c>
      <c r="L524">
        <v>44.35</v>
      </c>
      <c r="M524">
        <v>44.9</v>
      </c>
      <c r="N524" s="1">
        <v>69350569</v>
      </c>
      <c r="O524">
        <v>44.9</v>
      </c>
      <c r="P524">
        <v>49.35</v>
      </c>
      <c r="Q524">
        <v>40.450000000000003</v>
      </c>
    </row>
    <row r="525" spans="1:17" x14ac:dyDescent="0.25">
      <c r="A525">
        <v>6180</v>
      </c>
      <c r="B525" t="s">
        <v>546</v>
      </c>
      <c r="C525">
        <v>84.3</v>
      </c>
      <c r="D525">
        <v>0.8</v>
      </c>
      <c r="E525">
        <v>83.5</v>
      </c>
      <c r="F525">
        <v>85.6</v>
      </c>
      <c r="G525">
        <v>83.5</v>
      </c>
      <c r="H525">
        <v>84.59</v>
      </c>
      <c r="I525" s="1">
        <v>9371419</v>
      </c>
      <c r="J525" s="1">
        <v>792712216</v>
      </c>
      <c r="K525" s="1">
        <v>5458</v>
      </c>
      <c r="L525">
        <v>84.3</v>
      </c>
      <c r="M525">
        <v>84.4</v>
      </c>
      <c r="N525" s="1">
        <v>171462982</v>
      </c>
      <c r="O525">
        <v>84.3</v>
      </c>
      <c r="P525">
        <v>92.7</v>
      </c>
      <c r="Q525">
        <v>75.900000000000006</v>
      </c>
    </row>
    <row r="526" spans="1:17" x14ac:dyDescent="0.25">
      <c r="A526">
        <v>6182</v>
      </c>
      <c r="B526" t="s">
        <v>547</v>
      </c>
      <c r="C526">
        <v>42.6</v>
      </c>
      <c r="D526">
        <v>0.45</v>
      </c>
      <c r="E526">
        <v>42.85</v>
      </c>
      <c r="F526">
        <v>43.4</v>
      </c>
      <c r="G526">
        <v>42.5</v>
      </c>
      <c r="H526">
        <v>42.91</v>
      </c>
      <c r="I526" s="1">
        <v>37119490</v>
      </c>
      <c r="J526" s="1">
        <v>1592962737</v>
      </c>
      <c r="K526" s="1">
        <v>15204</v>
      </c>
      <c r="L526">
        <v>42.6</v>
      </c>
      <c r="M526">
        <v>42.65</v>
      </c>
      <c r="N526" s="1">
        <v>476537016</v>
      </c>
      <c r="O526">
        <v>42.6</v>
      </c>
      <c r="P526">
        <v>46.85</v>
      </c>
      <c r="Q526">
        <v>38.35</v>
      </c>
    </row>
    <row r="527" spans="1:17" x14ac:dyDescent="0.25">
      <c r="A527">
        <v>6185</v>
      </c>
      <c r="B527" t="s">
        <v>548</v>
      </c>
      <c r="C527">
        <v>19.899999999999999</v>
      </c>
      <c r="D527">
        <v>0.05</v>
      </c>
      <c r="E527">
        <v>19.8</v>
      </c>
      <c r="F527">
        <v>19.95</v>
      </c>
      <c r="G527">
        <v>19.8</v>
      </c>
      <c r="H527">
        <v>19.87</v>
      </c>
      <c r="I527" s="1">
        <v>99831</v>
      </c>
      <c r="J527" s="1">
        <v>1984079</v>
      </c>
      <c r="K527" s="1">
        <v>60</v>
      </c>
      <c r="L527">
        <v>19.899999999999999</v>
      </c>
      <c r="M527">
        <v>19.95</v>
      </c>
      <c r="N527" s="1">
        <v>123612726</v>
      </c>
      <c r="O527">
        <v>19.899999999999999</v>
      </c>
      <c r="P527">
        <v>21.85</v>
      </c>
      <c r="Q527">
        <v>17.95</v>
      </c>
    </row>
    <row r="528" spans="1:17" x14ac:dyDescent="0.25">
      <c r="A528">
        <v>6186</v>
      </c>
      <c r="B528" t="s">
        <v>549</v>
      </c>
      <c r="C528">
        <v>15.2</v>
      </c>
      <c r="D528">
        <v>0.05</v>
      </c>
      <c r="E528">
        <v>15.2</v>
      </c>
      <c r="F528">
        <v>15.2</v>
      </c>
      <c r="G528">
        <v>14.95</v>
      </c>
      <c r="H528">
        <v>15.05</v>
      </c>
      <c r="I528" s="1">
        <v>63088</v>
      </c>
      <c r="J528" s="1">
        <v>949375</v>
      </c>
      <c r="K528" s="1">
        <v>53</v>
      </c>
      <c r="L528">
        <v>15.15</v>
      </c>
      <c r="M528">
        <v>15.2</v>
      </c>
      <c r="N528" s="1">
        <v>71690408</v>
      </c>
      <c r="O528">
        <v>15.2</v>
      </c>
      <c r="P528">
        <v>16.7</v>
      </c>
      <c r="Q528">
        <v>13.7</v>
      </c>
    </row>
    <row r="529" spans="1:17" x14ac:dyDescent="0.25">
      <c r="A529">
        <v>6187</v>
      </c>
      <c r="B529" t="s">
        <v>550</v>
      </c>
      <c r="C529">
        <v>64.3</v>
      </c>
      <c r="D529">
        <v>-0.1</v>
      </c>
      <c r="E529">
        <v>64.8</v>
      </c>
      <c r="F529">
        <v>65</v>
      </c>
      <c r="G529">
        <v>64.2</v>
      </c>
      <c r="H529">
        <v>64.599999999999994</v>
      </c>
      <c r="I529" s="1">
        <v>330257</v>
      </c>
      <c r="J529" s="1">
        <v>21333972</v>
      </c>
      <c r="K529" s="1">
        <v>241</v>
      </c>
      <c r="L529">
        <v>64.3</v>
      </c>
      <c r="M529">
        <v>64.400000000000006</v>
      </c>
      <c r="N529" s="1">
        <v>84238902</v>
      </c>
      <c r="O529">
        <v>64.3</v>
      </c>
      <c r="P529">
        <v>70.7</v>
      </c>
      <c r="Q529">
        <v>57.9</v>
      </c>
    </row>
    <row r="530" spans="1:17" x14ac:dyDescent="0.25">
      <c r="A530">
        <v>6188</v>
      </c>
      <c r="B530" t="s">
        <v>551</v>
      </c>
      <c r="C530">
        <v>31.7</v>
      </c>
      <c r="D530">
        <v>0.3</v>
      </c>
      <c r="E530">
        <v>31.95</v>
      </c>
      <c r="F530">
        <v>32.15</v>
      </c>
      <c r="G530">
        <v>31.6</v>
      </c>
      <c r="H530">
        <v>31.82</v>
      </c>
      <c r="I530" s="1">
        <v>1261121</v>
      </c>
      <c r="J530" s="1">
        <v>40134403</v>
      </c>
      <c r="K530">
        <v>621</v>
      </c>
      <c r="L530">
        <v>31.7</v>
      </c>
      <c r="M530">
        <v>31.75</v>
      </c>
      <c r="N530" s="1">
        <v>278358910</v>
      </c>
      <c r="O530">
        <v>31.7</v>
      </c>
      <c r="P530">
        <v>34.85</v>
      </c>
      <c r="Q530">
        <v>28.55</v>
      </c>
    </row>
    <row r="531" spans="1:17" x14ac:dyDescent="0.25">
      <c r="A531">
        <v>6190</v>
      </c>
      <c r="B531" t="s">
        <v>552</v>
      </c>
      <c r="C531">
        <v>14.35</v>
      </c>
      <c r="D531">
        <v>0.55000000000000004</v>
      </c>
      <c r="E531">
        <v>13.95</v>
      </c>
      <c r="F531">
        <v>14.85</v>
      </c>
      <c r="G531">
        <v>13.9</v>
      </c>
      <c r="H531">
        <v>14.49</v>
      </c>
      <c r="I531" s="1">
        <v>4460617</v>
      </c>
      <c r="J531" s="1">
        <v>64630199</v>
      </c>
      <c r="K531" s="1">
        <v>1835</v>
      </c>
      <c r="L531">
        <v>14.3</v>
      </c>
      <c r="M531">
        <v>14.35</v>
      </c>
      <c r="N531" s="1">
        <v>140368537</v>
      </c>
      <c r="O531">
        <v>14.35</v>
      </c>
      <c r="P531">
        <v>15.75</v>
      </c>
      <c r="Q531">
        <v>12.95</v>
      </c>
    </row>
    <row r="532" spans="1:17" x14ac:dyDescent="0.25">
      <c r="A532">
        <v>6194</v>
      </c>
      <c r="B532" t="s">
        <v>553</v>
      </c>
      <c r="C532">
        <v>19.05</v>
      </c>
      <c r="D532">
        <v>0.05</v>
      </c>
      <c r="E532">
        <v>19.05</v>
      </c>
      <c r="F532">
        <v>19.149999999999999</v>
      </c>
      <c r="G532">
        <v>19</v>
      </c>
      <c r="H532">
        <v>19.02</v>
      </c>
      <c r="I532" s="1">
        <v>64005</v>
      </c>
      <c r="J532" s="1">
        <v>1217545</v>
      </c>
      <c r="K532" s="1">
        <v>27</v>
      </c>
      <c r="L532">
        <v>18.95</v>
      </c>
      <c r="M532">
        <v>19.05</v>
      </c>
      <c r="N532" s="1">
        <v>78000000</v>
      </c>
      <c r="O532">
        <v>19.05</v>
      </c>
      <c r="P532">
        <v>20.95</v>
      </c>
      <c r="Q532">
        <v>17.149999999999999</v>
      </c>
    </row>
    <row r="533" spans="1:17" x14ac:dyDescent="0.25">
      <c r="A533">
        <v>6195</v>
      </c>
      <c r="B533" t="s">
        <v>554</v>
      </c>
      <c r="C533">
        <v>58.8</v>
      </c>
      <c r="D533">
        <v>0.3</v>
      </c>
      <c r="E533">
        <v>58.5</v>
      </c>
      <c r="F533">
        <v>58.8</v>
      </c>
      <c r="G533">
        <v>58.5</v>
      </c>
      <c r="H533">
        <v>58.61</v>
      </c>
      <c r="I533" s="1">
        <v>24003</v>
      </c>
      <c r="J533" s="1">
        <v>1406875</v>
      </c>
      <c r="K533">
        <v>21</v>
      </c>
      <c r="L533">
        <v>58.6</v>
      </c>
      <c r="M533">
        <v>58.8</v>
      </c>
      <c r="N533" s="1">
        <v>43438037</v>
      </c>
      <c r="O533">
        <v>58.8</v>
      </c>
      <c r="P533">
        <v>64.599999999999994</v>
      </c>
      <c r="Q533">
        <v>53</v>
      </c>
    </row>
    <row r="534" spans="1:17" x14ac:dyDescent="0.25">
      <c r="A534">
        <v>6198</v>
      </c>
      <c r="B534" t="s">
        <v>555</v>
      </c>
      <c r="C534">
        <v>19.649999999999999</v>
      </c>
      <c r="D534">
        <v>1.25</v>
      </c>
      <c r="E534">
        <v>17.75</v>
      </c>
      <c r="F534">
        <v>20</v>
      </c>
      <c r="G534">
        <v>17.7</v>
      </c>
      <c r="H534">
        <v>19.14</v>
      </c>
      <c r="I534" s="1">
        <v>17017</v>
      </c>
      <c r="J534" s="1">
        <v>325626</v>
      </c>
      <c r="K534">
        <v>29</v>
      </c>
      <c r="L534">
        <v>17.149999999999999</v>
      </c>
      <c r="M534">
        <v>20.2</v>
      </c>
      <c r="N534" s="1">
        <v>20135350</v>
      </c>
      <c r="O534">
        <v>19.649999999999999</v>
      </c>
      <c r="P534">
        <v>21.6</v>
      </c>
      <c r="Q534">
        <v>17.7</v>
      </c>
    </row>
    <row r="535" spans="1:17" x14ac:dyDescent="0.25">
      <c r="A535">
        <v>6199</v>
      </c>
      <c r="B535" t="s">
        <v>556</v>
      </c>
      <c r="C535">
        <v>24</v>
      </c>
      <c r="D535">
        <v>-1.05</v>
      </c>
      <c r="E535">
        <v>23.25</v>
      </c>
      <c r="F535">
        <v>24.1</v>
      </c>
      <c r="G535">
        <v>23.05</v>
      </c>
      <c r="H535">
        <v>23.69</v>
      </c>
      <c r="I535" s="1">
        <v>8002</v>
      </c>
      <c r="J535" s="1">
        <v>189597</v>
      </c>
      <c r="K535">
        <v>9</v>
      </c>
      <c r="L535">
        <v>23.05</v>
      </c>
      <c r="M535">
        <v>24.05</v>
      </c>
      <c r="N535" s="1">
        <v>61760018</v>
      </c>
      <c r="O535">
        <v>24</v>
      </c>
      <c r="P535">
        <v>26.4</v>
      </c>
      <c r="Q535">
        <v>21.6</v>
      </c>
    </row>
    <row r="536" spans="1:17" x14ac:dyDescent="0.25">
      <c r="A536">
        <v>6203</v>
      </c>
      <c r="B536" t="s">
        <v>557</v>
      </c>
      <c r="C536">
        <v>29.15</v>
      </c>
      <c r="D536">
        <v>-0.25</v>
      </c>
      <c r="E536">
        <v>29.4</v>
      </c>
      <c r="F536">
        <v>29.45</v>
      </c>
      <c r="G536">
        <v>29.1</v>
      </c>
      <c r="H536">
        <v>29.16</v>
      </c>
      <c r="I536" s="1">
        <v>38350</v>
      </c>
      <c r="J536" s="1">
        <v>1118302</v>
      </c>
      <c r="K536" s="1">
        <v>31</v>
      </c>
      <c r="L536">
        <v>29.15</v>
      </c>
      <c r="M536">
        <v>29.4</v>
      </c>
      <c r="N536" s="1">
        <v>79953277</v>
      </c>
      <c r="O536">
        <v>29.15</v>
      </c>
      <c r="P536">
        <v>32.049999999999997</v>
      </c>
      <c r="Q536">
        <v>26.25</v>
      </c>
    </row>
    <row r="537" spans="1:17" x14ac:dyDescent="0.25">
      <c r="A537">
        <v>6204</v>
      </c>
      <c r="B537" t="s">
        <v>558</v>
      </c>
      <c r="C537">
        <v>23.15</v>
      </c>
      <c r="D537">
        <v>0.1</v>
      </c>
      <c r="E537">
        <v>23.05</v>
      </c>
      <c r="F537">
        <v>23.2</v>
      </c>
      <c r="G537">
        <v>23</v>
      </c>
      <c r="H537">
        <v>23.12</v>
      </c>
      <c r="I537" s="1">
        <v>62000</v>
      </c>
      <c r="J537" s="1">
        <v>1433750</v>
      </c>
      <c r="K537">
        <v>32</v>
      </c>
      <c r="L537">
        <v>23.05</v>
      </c>
      <c r="M537">
        <v>23.15</v>
      </c>
      <c r="N537" s="1">
        <v>36097000</v>
      </c>
      <c r="O537">
        <v>23.15</v>
      </c>
      <c r="P537">
        <v>25.45</v>
      </c>
      <c r="Q537">
        <v>20.85</v>
      </c>
    </row>
    <row r="538" spans="1:17" x14ac:dyDescent="0.25">
      <c r="A538">
        <v>6207</v>
      </c>
      <c r="B538" t="s">
        <v>559</v>
      </c>
      <c r="C538">
        <v>31</v>
      </c>
      <c r="D538">
        <v>-0.5</v>
      </c>
      <c r="E538">
        <v>31.8</v>
      </c>
      <c r="F538">
        <v>32.65</v>
      </c>
      <c r="G538">
        <v>31</v>
      </c>
      <c r="H538">
        <v>31.89</v>
      </c>
      <c r="I538" s="1">
        <v>4380619</v>
      </c>
      <c r="J538" s="1">
        <v>139709139</v>
      </c>
      <c r="K538" s="1">
        <v>2050</v>
      </c>
      <c r="L538">
        <v>31</v>
      </c>
      <c r="M538">
        <v>31.05</v>
      </c>
      <c r="N538" s="1">
        <v>83954589</v>
      </c>
      <c r="O538">
        <v>31</v>
      </c>
      <c r="P538">
        <v>34.1</v>
      </c>
      <c r="Q538">
        <v>27.9</v>
      </c>
    </row>
    <row r="539" spans="1:17" x14ac:dyDescent="0.25">
      <c r="A539">
        <v>6208</v>
      </c>
      <c r="B539" t="s">
        <v>560</v>
      </c>
      <c r="C539">
        <v>29.6</v>
      </c>
      <c r="D539">
        <v>1.1000000000000001</v>
      </c>
      <c r="E539">
        <v>28.55</v>
      </c>
      <c r="F539">
        <v>30.4</v>
      </c>
      <c r="G539">
        <v>28.55</v>
      </c>
      <c r="H539">
        <v>29.67</v>
      </c>
      <c r="I539" s="1">
        <v>1505759</v>
      </c>
      <c r="J539" s="1">
        <v>44674335</v>
      </c>
      <c r="K539">
        <v>733</v>
      </c>
      <c r="L539">
        <v>29.6</v>
      </c>
      <c r="M539">
        <v>29.65</v>
      </c>
      <c r="N539" s="1">
        <v>98993565</v>
      </c>
      <c r="O539">
        <v>29.6</v>
      </c>
      <c r="P539">
        <v>32.549999999999997</v>
      </c>
      <c r="Q539">
        <v>26.65</v>
      </c>
    </row>
    <row r="540" spans="1:17" x14ac:dyDescent="0.25">
      <c r="A540">
        <v>6210</v>
      </c>
      <c r="B540" t="s">
        <v>561</v>
      </c>
      <c r="C540">
        <v>41.2</v>
      </c>
      <c r="D540">
        <v>0.3</v>
      </c>
      <c r="E540">
        <v>40.9</v>
      </c>
      <c r="F540">
        <v>41.2</v>
      </c>
      <c r="G540">
        <v>40.6</v>
      </c>
      <c r="H540">
        <v>40.93</v>
      </c>
      <c r="I540" s="1">
        <v>28000</v>
      </c>
      <c r="J540" s="1">
        <v>1145950</v>
      </c>
      <c r="K540" s="1">
        <v>21</v>
      </c>
      <c r="L540">
        <v>41</v>
      </c>
      <c r="M540">
        <v>41.15</v>
      </c>
      <c r="N540" s="1">
        <v>35048000</v>
      </c>
      <c r="O540">
        <v>41.2</v>
      </c>
      <c r="P540">
        <v>45.3</v>
      </c>
      <c r="Q540">
        <v>37.1</v>
      </c>
    </row>
    <row r="541" spans="1:17" x14ac:dyDescent="0.25">
      <c r="A541">
        <v>6212</v>
      </c>
      <c r="B541" t="s">
        <v>562</v>
      </c>
      <c r="C541">
        <v>30.7</v>
      </c>
      <c r="D541">
        <v>0.8</v>
      </c>
      <c r="E541">
        <v>30.85</v>
      </c>
      <c r="F541">
        <v>30.85</v>
      </c>
      <c r="G541">
        <v>30.7</v>
      </c>
      <c r="H541">
        <v>30.78</v>
      </c>
      <c r="I541" s="1">
        <v>2000</v>
      </c>
      <c r="J541" s="1">
        <v>61550</v>
      </c>
      <c r="K541" s="1">
        <v>2</v>
      </c>
      <c r="L541">
        <v>29.7</v>
      </c>
      <c r="M541">
        <v>30.8</v>
      </c>
      <c r="N541" s="1">
        <v>102000000</v>
      </c>
      <c r="O541">
        <v>30.7</v>
      </c>
      <c r="P541">
        <v>33.75</v>
      </c>
      <c r="Q541">
        <v>27.65</v>
      </c>
    </row>
    <row r="542" spans="1:17" x14ac:dyDescent="0.25">
      <c r="A542">
        <v>6217</v>
      </c>
      <c r="B542" t="s">
        <v>563</v>
      </c>
      <c r="C542">
        <v>33.799999999999997</v>
      </c>
      <c r="D542">
        <v>0.2</v>
      </c>
      <c r="E542">
        <v>33.6</v>
      </c>
      <c r="F542">
        <v>33.85</v>
      </c>
      <c r="G542">
        <v>33.5</v>
      </c>
      <c r="H542">
        <v>33.700000000000003</v>
      </c>
      <c r="I542" s="1">
        <v>136709</v>
      </c>
      <c r="J542" s="1">
        <v>4607226</v>
      </c>
      <c r="K542">
        <v>108</v>
      </c>
      <c r="L542">
        <v>33.75</v>
      </c>
      <c r="M542">
        <v>33.799999999999997</v>
      </c>
      <c r="N542" s="1">
        <v>63845185</v>
      </c>
      <c r="O542">
        <v>33.799999999999997</v>
      </c>
      <c r="P542">
        <v>37.15</v>
      </c>
      <c r="Q542">
        <v>30.45</v>
      </c>
    </row>
    <row r="543" spans="1:17" x14ac:dyDescent="0.25">
      <c r="A543">
        <v>6218</v>
      </c>
      <c r="B543" t="s">
        <v>564</v>
      </c>
      <c r="C543">
        <v>19.45</v>
      </c>
      <c r="D543">
        <v>0.05</v>
      </c>
      <c r="E543">
        <v>19.399999999999999</v>
      </c>
      <c r="F543">
        <v>19.55</v>
      </c>
      <c r="G543">
        <v>19.3</v>
      </c>
      <c r="H543">
        <v>19.41</v>
      </c>
      <c r="I543" s="1">
        <v>60000</v>
      </c>
      <c r="J543" s="1">
        <v>1164450</v>
      </c>
      <c r="K543" s="1">
        <v>30</v>
      </c>
      <c r="L543">
        <v>19.350000000000001</v>
      </c>
      <c r="M543">
        <v>19.45</v>
      </c>
      <c r="N543" s="1">
        <v>64262000</v>
      </c>
      <c r="O543">
        <v>19.45</v>
      </c>
      <c r="P543">
        <v>21.35</v>
      </c>
      <c r="Q543">
        <v>17.55</v>
      </c>
    </row>
    <row r="544" spans="1:17" x14ac:dyDescent="0.25">
      <c r="A544">
        <v>6219</v>
      </c>
      <c r="B544" t="s">
        <v>565</v>
      </c>
      <c r="C544">
        <v>10.45</v>
      </c>
      <c r="D544">
        <v>0.15</v>
      </c>
      <c r="E544">
        <v>10.35</v>
      </c>
      <c r="F544">
        <v>10.45</v>
      </c>
      <c r="G544">
        <v>10.25</v>
      </c>
      <c r="H544">
        <v>10.36</v>
      </c>
      <c r="I544" s="1">
        <v>49622</v>
      </c>
      <c r="J544" s="1">
        <v>514118</v>
      </c>
      <c r="K544">
        <v>21</v>
      </c>
      <c r="L544">
        <v>10.25</v>
      </c>
      <c r="M544">
        <v>10.45</v>
      </c>
      <c r="N544" s="1">
        <v>154016276</v>
      </c>
      <c r="O544">
        <v>10.45</v>
      </c>
      <c r="P544">
        <v>11.45</v>
      </c>
      <c r="Q544">
        <v>9.41</v>
      </c>
    </row>
    <row r="545" spans="1:17" x14ac:dyDescent="0.25">
      <c r="A545">
        <v>6220</v>
      </c>
      <c r="B545" t="s">
        <v>566</v>
      </c>
      <c r="C545">
        <v>52.5</v>
      </c>
      <c r="D545">
        <v>0.2</v>
      </c>
      <c r="E545">
        <v>53.3</v>
      </c>
      <c r="F545">
        <v>53.3</v>
      </c>
      <c r="G545">
        <v>52.4</v>
      </c>
      <c r="H545">
        <v>52.73</v>
      </c>
      <c r="I545" s="1">
        <v>491118</v>
      </c>
      <c r="J545" s="1">
        <v>25895765</v>
      </c>
      <c r="K545">
        <v>359</v>
      </c>
      <c r="L545">
        <v>52.5</v>
      </c>
      <c r="M545">
        <v>52.6</v>
      </c>
      <c r="N545" s="1">
        <v>124554488</v>
      </c>
      <c r="O545">
        <v>52.5</v>
      </c>
      <c r="P545">
        <v>57.7</v>
      </c>
      <c r="Q545">
        <v>47.25</v>
      </c>
    </row>
    <row r="546" spans="1:17" x14ac:dyDescent="0.25">
      <c r="A546">
        <v>6221</v>
      </c>
      <c r="B546" t="s">
        <v>567</v>
      </c>
      <c r="C546">
        <v>24.6</v>
      </c>
      <c r="D546">
        <v>0</v>
      </c>
      <c r="E546">
        <v>24.5</v>
      </c>
      <c r="F546">
        <v>24.6</v>
      </c>
      <c r="G546">
        <v>24.5</v>
      </c>
      <c r="H546">
        <v>24.53</v>
      </c>
      <c r="I546" s="1">
        <v>3184</v>
      </c>
      <c r="J546" s="1">
        <v>78108</v>
      </c>
      <c r="K546" s="1">
        <v>4</v>
      </c>
      <c r="L546">
        <v>24.55</v>
      </c>
      <c r="M546">
        <v>24.6</v>
      </c>
      <c r="N546" s="1">
        <v>39751608</v>
      </c>
      <c r="O546">
        <v>24.6</v>
      </c>
      <c r="P546">
        <v>27.05</v>
      </c>
      <c r="Q546">
        <v>22.15</v>
      </c>
    </row>
    <row r="547" spans="1:17" x14ac:dyDescent="0.25">
      <c r="A547">
        <v>6222</v>
      </c>
      <c r="B547" t="s">
        <v>568</v>
      </c>
      <c r="C547">
        <v>8.82</v>
      </c>
      <c r="D547">
        <v>-0.08</v>
      </c>
      <c r="E547">
        <v>8.0299999999999994</v>
      </c>
      <c r="F547">
        <v>8.82</v>
      </c>
      <c r="G547">
        <v>8.0299999999999994</v>
      </c>
      <c r="H547">
        <v>8.42</v>
      </c>
      <c r="I547" s="1">
        <v>6000</v>
      </c>
      <c r="J547" s="1">
        <v>50490</v>
      </c>
      <c r="K547">
        <v>6</v>
      </c>
      <c r="L547">
        <v>8.25</v>
      </c>
      <c r="M547">
        <v>8.7899999999999991</v>
      </c>
      <c r="N547" s="1">
        <v>48785442</v>
      </c>
      <c r="O547">
        <v>8.82</v>
      </c>
      <c r="P547">
        <v>9.6999999999999993</v>
      </c>
      <c r="Q547">
        <v>7.94</v>
      </c>
    </row>
    <row r="548" spans="1:17" x14ac:dyDescent="0.25">
      <c r="A548">
        <v>6223</v>
      </c>
      <c r="B548" t="s">
        <v>569</v>
      </c>
      <c r="C548">
        <v>67.8</v>
      </c>
      <c r="D548">
        <v>1.4</v>
      </c>
      <c r="E548">
        <v>66.400000000000006</v>
      </c>
      <c r="F548">
        <v>68</v>
      </c>
      <c r="G548">
        <v>66.400000000000006</v>
      </c>
      <c r="H548">
        <v>67.260000000000005</v>
      </c>
      <c r="I548" s="1">
        <v>304464</v>
      </c>
      <c r="J548" s="1">
        <v>20477216</v>
      </c>
      <c r="K548">
        <v>237</v>
      </c>
      <c r="L548">
        <v>67.8</v>
      </c>
      <c r="M548">
        <v>67.900000000000006</v>
      </c>
      <c r="N548" s="1">
        <v>79901388</v>
      </c>
      <c r="O548">
        <v>67.8</v>
      </c>
      <c r="P548">
        <v>74.5</v>
      </c>
      <c r="Q548">
        <v>61.1</v>
      </c>
    </row>
    <row r="549" spans="1:17" x14ac:dyDescent="0.25">
      <c r="A549">
        <v>6227</v>
      </c>
      <c r="B549" t="s">
        <v>570</v>
      </c>
      <c r="C549">
        <v>20.149999999999999</v>
      </c>
      <c r="D549">
        <v>-0.1</v>
      </c>
      <c r="E549">
        <v>20.399999999999999</v>
      </c>
      <c r="F549">
        <v>20.399999999999999</v>
      </c>
      <c r="G549">
        <v>20.149999999999999</v>
      </c>
      <c r="H549">
        <v>20.22</v>
      </c>
      <c r="I549" s="1">
        <v>14000</v>
      </c>
      <c r="J549" s="1">
        <v>283100</v>
      </c>
      <c r="K549">
        <v>8</v>
      </c>
      <c r="L549">
        <v>20.149999999999999</v>
      </c>
      <c r="M549">
        <v>20.25</v>
      </c>
      <c r="N549" s="1">
        <v>76111786</v>
      </c>
      <c r="O549">
        <v>20.149999999999999</v>
      </c>
      <c r="P549">
        <v>22.15</v>
      </c>
      <c r="Q549">
        <v>18.149999999999999</v>
      </c>
    </row>
    <row r="550" spans="1:17" x14ac:dyDescent="0.25">
      <c r="A550">
        <v>6228</v>
      </c>
      <c r="B550" t="s">
        <v>571</v>
      </c>
      <c r="C550">
        <v>9.6999999999999993</v>
      </c>
      <c r="D550">
        <v>-0.16</v>
      </c>
      <c r="E550">
        <v>9.86</v>
      </c>
      <c r="F550">
        <v>9.86</v>
      </c>
      <c r="G550">
        <v>9.6999999999999993</v>
      </c>
      <c r="H550">
        <v>9.8000000000000007</v>
      </c>
      <c r="I550" s="1">
        <v>3032</v>
      </c>
      <c r="J550" s="1">
        <v>29727</v>
      </c>
      <c r="K550">
        <v>4</v>
      </c>
      <c r="L550">
        <v>9.6999999999999993</v>
      </c>
      <c r="M550">
        <v>9.85</v>
      </c>
      <c r="N550" s="1">
        <v>21223141</v>
      </c>
      <c r="O550">
        <v>9.6999999999999993</v>
      </c>
      <c r="P550">
        <v>10.65</v>
      </c>
      <c r="Q550">
        <v>8.73</v>
      </c>
    </row>
    <row r="551" spans="1:17" x14ac:dyDescent="0.25">
      <c r="A551">
        <v>6229</v>
      </c>
      <c r="B551" t="s">
        <v>572</v>
      </c>
      <c r="C551">
        <v>17.2</v>
      </c>
      <c r="D551">
        <v>-0.3</v>
      </c>
      <c r="E551">
        <v>17.5</v>
      </c>
      <c r="F551">
        <v>17.600000000000001</v>
      </c>
      <c r="G551">
        <v>17.2</v>
      </c>
      <c r="H551">
        <v>17.29</v>
      </c>
      <c r="I551" s="1">
        <v>148009</v>
      </c>
      <c r="J551" s="1">
        <v>2559353</v>
      </c>
      <c r="K551">
        <v>83</v>
      </c>
      <c r="L551">
        <v>17.2</v>
      </c>
      <c r="M551">
        <v>17.350000000000001</v>
      </c>
      <c r="N551" s="1">
        <v>36087700</v>
      </c>
      <c r="O551">
        <v>17.2</v>
      </c>
      <c r="P551">
        <v>18.899999999999999</v>
      </c>
      <c r="Q551">
        <v>15.5</v>
      </c>
    </row>
    <row r="552" spans="1:17" x14ac:dyDescent="0.25">
      <c r="A552">
        <v>6231</v>
      </c>
      <c r="B552" t="s">
        <v>573</v>
      </c>
      <c r="C552">
        <v>48.7</v>
      </c>
      <c r="D552">
        <v>-0.15</v>
      </c>
      <c r="E552">
        <v>49.6</v>
      </c>
      <c r="F552">
        <v>49.7</v>
      </c>
      <c r="G552">
        <v>48.7</v>
      </c>
      <c r="H552">
        <v>49.15</v>
      </c>
      <c r="I552" s="1">
        <v>84169</v>
      </c>
      <c r="J552" s="1">
        <v>4136711</v>
      </c>
      <c r="K552">
        <v>71</v>
      </c>
      <c r="L552">
        <v>48.6</v>
      </c>
      <c r="M552">
        <v>49</v>
      </c>
      <c r="N552" s="1">
        <v>38043488</v>
      </c>
      <c r="O552">
        <v>48.7</v>
      </c>
      <c r="P552">
        <v>53.5</v>
      </c>
      <c r="Q552">
        <v>43.85</v>
      </c>
    </row>
    <row r="553" spans="1:17" x14ac:dyDescent="0.25">
      <c r="A553">
        <v>6233</v>
      </c>
      <c r="B553" t="s">
        <v>574</v>
      </c>
      <c r="C553">
        <v>10.35</v>
      </c>
      <c r="D553">
        <v>0.1</v>
      </c>
      <c r="E553">
        <v>10.25</v>
      </c>
      <c r="F553">
        <v>10.4</v>
      </c>
      <c r="G553">
        <v>10.25</v>
      </c>
      <c r="H553">
        <v>10.32</v>
      </c>
      <c r="I553" s="1">
        <v>46020</v>
      </c>
      <c r="J553" s="1">
        <v>474703</v>
      </c>
      <c r="K553" s="1">
        <v>39</v>
      </c>
      <c r="L553">
        <v>10.3</v>
      </c>
      <c r="M553">
        <v>10.35</v>
      </c>
      <c r="N553" s="1">
        <v>84574896</v>
      </c>
      <c r="O553">
        <v>10.35</v>
      </c>
      <c r="P553">
        <v>11.35</v>
      </c>
      <c r="Q553">
        <v>9.32</v>
      </c>
    </row>
    <row r="554" spans="1:17" x14ac:dyDescent="0.25">
      <c r="A554">
        <v>6234</v>
      </c>
      <c r="B554" t="s">
        <v>575</v>
      </c>
      <c r="C554">
        <v>16.399999999999999</v>
      </c>
      <c r="D554">
        <v>0</v>
      </c>
      <c r="E554">
        <v>16.45</v>
      </c>
      <c r="F554">
        <v>16.45</v>
      </c>
      <c r="G554">
        <v>16.25</v>
      </c>
      <c r="H554">
        <v>16.32</v>
      </c>
      <c r="I554" s="1">
        <v>82205</v>
      </c>
      <c r="J554" s="1">
        <v>1341360</v>
      </c>
      <c r="K554">
        <v>56</v>
      </c>
      <c r="L554">
        <v>16.350000000000001</v>
      </c>
      <c r="M554">
        <v>16.399999999999999</v>
      </c>
      <c r="N554" s="1">
        <v>92864383</v>
      </c>
      <c r="O554">
        <v>16.399999999999999</v>
      </c>
      <c r="P554">
        <v>18</v>
      </c>
      <c r="Q554">
        <v>14.8</v>
      </c>
    </row>
    <row r="555" spans="1:17" x14ac:dyDescent="0.25">
      <c r="A555">
        <v>6236</v>
      </c>
      <c r="B555" t="s">
        <v>576</v>
      </c>
      <c r="C555" t="s">
        <v>78</v>
      </c>
      <c r="D555" t="s">
        <v>78</v>
      </c>
      <c r="E555" t="s">
        <v>78</v>
      </c>
      <c r="F555" t="s">
        <v>78</v>
      </c>
      <c r="G555" t="s">
        <v>78</v>
      </c>
      <c r="H555">
        <v>22.1</v>
      </c>
      <c r="I555" s="1">
        <v>0</v>
      </c>
      <c r="J555" s="1">
        <v>0</v>
      </c>
      <c r="K555">
        <v>0</v>
      </c>
      <c r="L555">
        <v>0</v>
      </c>
      <c r="M555">
        <v>19.899999999999999</v>
      </c>
      <c r="N555" s="1">
        <v>31654039</v>
      </c>
      <c r="O555">
        <v>19.899999999999999</v>
      </c>
      <c r="P555">
        <v>21.85</v>
      </c>
      <c r="Q555">
        <v>17.95</v>
      </c>
    </row>
    <row r="556" spans="1:17" x14ac:dyDescent="0.25">
      <c r="A556">
        <v>6237</v>
      </c>
      <c r="B556" t="s">
        <v>577</v>
      </c>
      <c r="C556">
        <v>24.85</v>
      </c>
      <c r="D556">
        <v>-0.15</v>
      </c>
      <c r="E556">
        <v>25.1</v>
      </c>
      <c r="F556">
        <v>25.3</v>
      </c>
      <c r="G556">
        <v>24.75</v>
      </c>
      <c r="H556">
        <v>24.96</v>
      </c>
      <c r="I556" s="1">
        <v>296175</v>
      </c>
      <c r="J556" s="1">
        <v>7393533</v>
      </c>
      <c r="K556">
        <v>191</v>
      </c>
      <c r="L556">
        <v>24.85</v>
      </c>
      <c r="M556">
        <v>25</v>
      </c>
      <c r="N556" s="1">
        <v>78992371</v>
      </c>
      <c r="O556">
        <v>24.85</v>
      </c>
      <c r="P556">
        <v>27.3</v>
      </c>
      <c r="Q556">
        <v>22.4</v>
      </c>
    </row>
    <row r="557" spans="1:17" x14ac:dyDescent="0.25">
      <c r="A557">
        <v>6238</v>
      </c>
      <c r="B557" t="s">
        <v>578</v>
      </c>
      <c r="C557">
        <v>277.5</v>
      </c>
      <c r="D557">
        <v>-7.5</v>
      </c>
      <c r="E557">
        <v>291</v>
      </c>
      <c r="F557">
        <v>291</v>
      </c>
      <c r="G557">
        <v>276</v>
      </c>
      <c r="H557">
        <v>283.22000000000003</v>
      </c>
      <c r="I557" s="1">
        <v>1326632</v>
      </c>
      <c r="J557" s="1">
        <v>375731877</v>
      </c>
      <c r="K557" s="1">
        <v>1181</v>
      </c>
      <c r="L557">
        <v>277.5</v>
      </c>
      <c r="M557">
        <v>278</v>
      </c>
      <c r="N557" s="1">
        <v>49953114</v>
      </c>
      <c r="O557">
        <v>277.5</v>
      </c>
      <c r="P557">
        <v>305</v>
      </c>
      <c r="Q557">
        <v>250</v>
      </c>
    </row>
    <row r="558" spans="1:17" x14ac:dyDescent="0.25">
      <c r="A558">
        <v>6240</v>
      </c>
      <c r="B558" t="s">
        <v>579</v>
      </c>
      <c r="C558">
        <v>24.2</v>
      </c>
      <c r="D558">
        <v>-0.8</v>
      </c>
      <c r="E558">
        <v>24.2</v>
      </c>
      <c r="F558">
        <v>24.2</v>
      </c>
      <c r="G558">
        <v>24.2</v>
      </c>
      <c r="H558">
        <v>24.2</v>
      </c>
      <c r="I558" s="1">
        <v>1000</v>
      </c>
      <c r="J558" s="1">
        <v>24200</v>
      </c>
      <c r="K558" s="1">
        <v>1</v>
      </c>
      <c r="L558">
        <v>24.1</v>
      </c>
      <c r="M558">
        <v>24.8</v>
      </c>
      <c r="N558" s="1">
        <v>23098370</v>
      </c>
      <c r="O558">
        <v>24.2</v>
      </c>
      <c r="P558">
        <v>26.6</v>
      </c>
      <c r="Q558">
        <v>21.8</v>
      </c>
    </row>
    <row r="559" spans="1:17" x14ac:dyDescent="0.25">
      <c r="A559">
        <v>6241</v>
      </c>
      <c r="B559" t="s">
        <v>580</v>
      </c>
      <c r="C559">
        <v>12.75</v>
      </c>
      <c r="D559">
        <v>0.3</v>
      </c>
      <c r="E559">
        <v>12.45</v>
      </c>
      <c r="F559">
        <v>12.75</v>
      </c>
      <c r="G559">
        <v>12.4</v>
      </c>
      <c r="H559">
        <v>12.53</v>
      </c>
      <c r="I559" s="1">
        <v>3520</v>
      </c>
      <c r="J559" s="1">
        <v>44100</v>
      </c>
      <c r="K559" s="1">
        <v>4</v>
      </c>
      <c r="L559">
        <v>12.45</v>
      </c>
      <c r="M559">
        <v>12.65</v>
      </c>
      <c r="N559" s="1">
        <v>23717288</v>
      </c>
      <c r="O559">
        <v>12.75</v>
      </c>
      <c r="P559">
        <v>14</v>
      </c>
      <c r="Q559">
        <v>11.5</v>
      </c>
    </row>
    <row r="560" spans="1:17" x14ac:dyDescent="0.25">
      <c r="A560">
        <v>6242</v>
      </c>
      <c r="B560" t="s">
        <v>581</v>
      </c>
      <c r="C560">
        <v>62</v>
      </c>
      <c r="D560">
        <v>1</v>
      </c>
      <c r="E560">
        <v>61.2</v>
      </c>
      <c r="F560">
        <v>62.3</v>
      </c>
      <c r="G560">
        <v>61.2</v>
      </c>
      <c r="H560">
        <v>61.91</v>
      </c>
      <c r="I560" s="1">
        <v>30000</v>
      </c>
      <c r="J560" s="1">
        <v>1857300</v>
      </c>
      <c r="K560" s="1">
        <v>28</v>
      </c>
      <c r="L560">
        <v>61.9</v>
      </c>
      <c r="M560">
        <v>62.3</v>
      </c>
      <c r="N560" s="1">
        <v>22200000</v>
      </c>
      <c r="O560">
        <v>62</v>
      </c>
      <c r="P560">
        <v>68.2</v>
      </c>
      <c r="Q560">
        <v>55.8</v>
      </c>
    </row>
    <row r="561" spans="1:17" x14ac:dyDescent="0.25">
      <c r="A561">
        <v>6244</v>
      </c>
      <c r="B561" t="s">
        <v>582</v>
      </c>
      <c r="C561">
        <v>22.45</v>
      </c>
      <c r="D561">
        <v>-0.1</v>
      </c>
      <c r="E561">
        <v>22.7</v>
      </c>
      <c r="F561">
        <v>22.75</v>
      </c>
      <c r="G561">
        <v>22.45</v>
      </c>
      <c r="H561">
        <v>22.53</v>
      </c>
      <c r="I561" s="1">
        <v>1321697</v>
      </c>
      <c r="J561" s="1">
        <v>29778871</v>
      </c>
      <c r="K561">
        <v>606</v>
      </c>
      <c r="L561">
        <v>22.45</v>
      </c>
      <c r="M561">
        <v>22.5</v>
      </c>
      <c r="N561" s="1">
        <v>540033408</v>
      </c>
      <c r="O561">
        <v>22.45</v>
      </c>
      <c r="P561">
        <v>24.65</v>
      </c>
      <c r="Q561">
        <v>20.25</v>
      </c>
    </row>
    <row r="562" spans="1:17" x14ac:dyDescent="0.25">
      <c r="A562">
        <v>6245</v>
      </c>
      <c r="B562" t="s">
        <v>583</v>
      </c>
      <c r="C562">
        <v>47</v>
      </c>
      <c r="D562">
        <v>1</v>
      </c>
      <c r="E562">
        <v>46.3</v>
      </c>
      <c r="F562">
        <v>47</v>
      </c>
      <c r="G562">
        <v>45.55</v>
      </c>
      <c r="H562">
        <v>46.18</v>
      </c>
      <c r="I562" s="1">
        <v>1064749</v>
      </c>
      <c r="J562" s="1">
        <v>49165688</v>
      </c>
      <c r="K562" s="1">
        <v>615</v>
      </c>
      <c r="L562">
        <v>46.9</v>
      </c>
      <c r="M562">
        <v>47</v>
      </c>
      <c r="N562" s="1">
        <v>104649438</v>
      </c>
      <c r="O562">
        <v>47</v>
      </c>
      <c r="P562">
        <v>51.7</v>
      </c>
      <c r="Q562">
        <v>42.3</v>
      </c>
    </row>
    <row r="563" spans="1:17" x14ac:dyDescent="0.25">
      <c r="A563">
        <v>6246</v>
      </c>
      <c r="B563" t="s">
        <v>584</v>
      </c>
      <c r="C563">
        <v>20.75</v>
      </c>
      <c r="D563">
        <v>-1.1000000000000001</v>
      </c>
      <c r="E563">
        <v>21.85</v>
      </c>
      <c r="F563">
        <v>21.85</v>
      </c>
      <c r="G563">
        <v>20.100000000000001</v>
      </c>
      <c r="H563">
        <v>20.68</v>
      </c>
      <c r="I563" s="1">
        <v>329834</v>
      </c>
      <c r="J563" s="1">
        <v>6819477</v>
      </c>
      <c r="K563" s="1">
        <v>244</v>
      </c>
      <c r="L563">
        <v>20.55</v>
      </c>
      <c r="M563">
        <v>20.75</v>
      </c>
      <c r="N563" s="1">
        <v>28369012</v>
      </c>
      <c r="O563">
        <v>20.75</v>
      </c>
      <c r="P563">
        <v>22.8</v>
      </c>
      <c r="Q563">
        <v>18.7</v>
      </c>
    </row>
    <row r="564" spans="1:17" x14ac:dyDescent="0.25">
      <c r="A564">
        <v>6247</v>
      </c>
      <c r="B564" t="s">
        <v>585</v>
      </c>
      <c r="C564">
        <v>10.75</v>
      </c>
      <c r="D564">
        <v>-0.05</v>
      </c>
      <c r="E564">
        <v>10.6</v>
      </c>
      <c r="F564">
        <v>10.75</v>
      </c>
      <c r="G564">
        <v>10.5</v>
      </c>
      <c r="H564">
        <v>10.53</v>
      </c>
      <c r="I564" s="1">
        <v>23000</v>
      </c>
      <c r="J564" s="1">
        <v>242100</v>
      </c>
      <c r="K564">
        <v>10</v>
      </c>
      <c r="L564">
        <v>10.65</v>
      </c>
      <c r="M564">
        <v>10.75</v>
      </c>
      <c r="N564" s="1">
        <v>60321000</v>
      </c>
      <c r="O564">
        <v>10.75</v>
      </c>
      <c r="P564">
        <v>11.8</v>
      </c>
      <c r="Q564">
        <v>9.68</v>
      </c>
    </row>
    <row r="565" spans="1:17" x14ac:dyDescent="0.25">
      <c r="A565">
        <v>6248</v>
      </c>
      <c r="B565" t="s">
        <v>586</v>
      </c>
      <c r="C565">
        <v>26.5</v>
      </c>
      <c r="D565">
        <v>1.55</v>
      </c>
      <c r="E565">
        <v>25.1</v>
      </c>
      <c r="F565">
        <v>27.4</v>
      </c>
      <c r="G565">
        <v>24</v>
      </c>
      <c r="H565">
        <v>25.89</v>
      </c>
      <c r="I565" s="1">
        <v>303638</v>
      </c>
      <c r="J565" s="1">
        <v>7860883</v>
      </c>
      <c r="K565">
        <v>220</v>
      </c>
      <c r="L565">
        <v>25.6</v>
      </c>
      <c r="M565">
        <v>26.5</v>
      </c>
      <c r="N565" s="1">
        <v>30675184</v>
      </c>
      <c r="O565">
        <v>26.5</v>
      </c>
      <c r="P565">
        <v>29.15</v>
      </c>
      <c r="Q565">
        <v>23.85</v>
      </c>
    </row>
    <row r="566" spans="1:17" x14ac:dyDescent="0.25">
      <c r="A566">
        <v>6259</v>
      </c>
      <c r="B566" t="s">
        <v>587</v>
      </c>
      <c r="C566">
        <v>3.01</v>
      </c>
      <c r="D566">
        <v>0.01</v>
      </c>
      <c r="E566">
        <v>3.01</v>
      </c>
      <c r="F566">
        <v>3.01</v>
      </c>
      <c r="G566">
        <v>3.01</v>
      </c>
      <c r="H566">
        <v>3.01</v>
      </c>
      <c r="I566" s="1">
        <v>10000</v>
      </c>
      <c r="J566" s="1">
        <v>30100</v>
      </c>
      <c r="K566">
        <v>2</v>
      </c>
      <c r="L566">
        <v>3.01</v>
      </c>
      <c r="M566">
        <v>3.1</v>
      </c>
      <c r="N566" s="1">
        <v>72936430</v>
      </c>
      <c r="O566">
        <v>3.01</v>
      </c>
      <c r="P566">
        <v>3.31</v>
      </c>
      <c r="Q566">
        <v>2.71</v>
      </c>
    </row>
    <row r="567" spans="1:17" x14ac:dyDescent="0.25">
      <c r="A567">
        <v>6261</v>
      </c>
      <c r="B567" t="s">
        <v>588</v>
      </c>
      <c r="C567">
        <v>57.5</v>
      </c>
      <c r="D567">
        <v>-0.7</v>
      </c>
      <c r="E567">
        <v>58.4</v>
      </c>
      <c r="F567">
        <v>59</v>
      </c>
      <c r="G567">
        <v>57.5</v>
      </c>
      <c r="H567">
        <v>57.94</v>
      </c>
      <c r="I567" s="1">
        <v>706665</v>
      </c>
      <c r="J567" s="1">
        <v>40944794</v>
      </c>
      <c r="K567">
        <v>494</v>
      </c>
      <c r="L567">
        <v>57.5</v>
      </c>
      <c r="M567">
        <v>57.7</v>
      </c>
      <c r="N567" s="1">
        <v>128497989</v>
      </c>
      <c r="O567">
        <v>57.5</v>
      </c>
      <c r="P567">
        <v>63.2</v>
      </c>
      <c r="Q567">
        <v>51.8</v>
      </c>
    </row>
    <row r="568" spans="1:17" x14ac:dyDescent="0.25">
      <c r="A568">
        <v>6263</v>
      </c>
      <c r="B568" t="s">
        <v>589</v>
      </c>
      <c r="C568">
        <v>61.6</v>
      </c>
      <c r="D568">
        <v>-0.1</v>
      </c>
      <c r="E568">
        <v>61.7</v>
      </c>
      <c r="F568">
        <v>61.8</v>
      </c>
      <c r="G568">
        <v>61.3</v>
      </c>
      <c r="H568">
        <v>61.5</v>
      </c>
      <c r="I568" s="1">
        <v>59369</v>
      </c>
      <c r="J568" s="1">
        <v>3651128</v>
      </c>
      <c r="K568">
        <v>54</v>
      </c>
      <c r="L568">
        <v>61.5</v>
      </c>
      <c r="M568">
        <v>61.6</v>
      </c>
      <c r="N568" s="1">
        <v>62500964</v>
      </c>
      <c r="O568">
        <v>61.6</v>
      </c>
      <c r="P568">
        <v>67.7</v>
      </c>
      <c r="Q568">
        <v>55.5</v>
      </c>
    </row>
    <row r="569" spans="1:17" x14ac:dyDescent="0.25">
      <c r="A569">
        <v>6264</v>
      </c>
      <c r="B569" t="s">
        <v>590</v>
      </c>
      <c r="C569">
        <v>6.01</v>
      </c>
      <c r="D569">
        <v>0</v>
      </c>
      <c r="E569">
        <v>6.01</v>
      </c>
      <c r="F569">
        <v>6.01</v>
      </c>
      <c r="G569">
        <v>5.96</v>
      </c>
      <c r="H569">
        <v>6</v>
      </c>
      <c r="I569" s="1">
        <v>22828</v>
      </c>
      <c r="J569" s="1">
        <v>136888</v>
      </c>
      <c r="K569" s="1">
        <v>22</v>
      </c>
      <c r="L569">
        <v>5.96</v>
      </c>
      <c r="M569">
        <v>6.02</v>
      </c>
      <c r="N569" s="1">
        <v>116355291</v>
      </c>
      <c r="O569">
        <v>6.01</v>
      </c>
      <c r="P569">
        <v>6.61</v>
      </c>
      <c r="Q569">
        <v>5.41</v>
      </c>
    </row>
    <row r="570" spans="1:17" x14ac:dyDescent="0.25">
      <c r="A570">
        <v>6265</v>
      </c>
      <c r="B570" t="s">
        <v>591</v>
      </c>
      <c r="C570">
        <v>6.82</v>
      </c>
      <c r="D570">
        <v>-0.05</v>
      </c>
      <c r="E570">
        <v>6.88</v>
      </c>
      <c r="F570">
        <v>6.88</v>
      </c>
      <c r="G570">
        <v>6.82</v>
      </c>
      <c r="H570">
        <v>6.85</v>
      </c>
      <c r="I570" s="1">
        <v>26000</v>
      </c>
      <c r="J570" s="1">
        <v>178210</v>
      </c>
      <c r="K570">
        <v>16</v>
      </c>
      <c r="L570">
        <v>6.82</v>
      </c>
      <c r="M570">
        <v>6.87</v>
      </c>
      <c r="N570" s="1">
        <v>118172151</v>
      </c>
      <c r="O570">
        <v>6.82</v>
      </c>
      <c r="P570">
        <v>7.5</v>
      </c>
      <c r="Q570">
        <v>6.14</v>
      </c>
    </row>
    <row r="571" spans="1:17" x14ac:dyDescent="0.25">
      <c r="A571">
        <v>6266</v>
      </c>
      <c r="B571" t="s">
        <v>592</v>
      </c>
      <c r="C571">
        <v>13.5</v>
      </c>
      <c r="D571">
        <v>0</v>
      </c>
      <c r="E571">
        <v>13.45</v>
      </c>
      <c r="F571">
        <v>13.6</v>
      </c>
      <c r="G571">
        <v>13.45</v>
      </c>
      <c r="H571">
        <v>13.53</v>
      </c>
      <c r="I571" s="1">
        <v>408837</v>
      </c>
      <c r="J571" s="1">
        <v>5532964</v>
      </c>
      <c r="K571" s="1">
        <v>129</v>
      </c>
      <c r="L571">
        <v>13.5</v>
      </c>
      <c r="M571">
        <v>13.6</v>
      </c>
      <c r="N571" s="1">
        <v>92197356</v>
      </c>
      <c r="O571">
        <v>13.5</v>
      </c>
      <c r="P571">
        <v>14.85</v>
      </c>
      <c r="Q571">
        <v>12.15</v>
      </c>
    </row>
    <row r="572" spans="1:17" x14ac:dyDescent="0.25">
      <c r="A572">
        <v>6270</v>
      </c>
      <c r="B572" t="s">
        <v>593</v>
      </c>
      <c r="C572">
        <v>12.5</v>
      </c>
      <c r="D572">
        <v>0</v>
      </c>
      <c r="E572">
        <v>12.65</v>
      </c>
      <c r="F572">
        <v>12.65</v>
      </c>
      <c r="G572">
        <v>12.45</v>
      </c>
      <c r="H572">
        <v>12.49</v>
      </c>
      <c r="I572" s="1">
        <v>94094</v>
      </c>
      <c r="J572" s="1">
        <v>1175515</v>
      </c>
      <c r="K572">
        <v>50</v>
      </c>
      <c r="L572">
        <v>12.45</v>
      </c>
      <c r="M572">
        <v>12.55</v>
      </c>
      <c r="N572" s="1">
        <v>72145759</v>
      </c>
      <c r="O572">
        <v>12.5</v>
      </c>
      <c r="P572">
        <v>13.75</v>
      </c>
      <c r="Q572">
        <v>11.25</v>
      </c>
    </row>
    <row r="573" spans="1:17" x14ac:dyDescent="0.25">
      <c r="A573">
        <v>6274</v>
      </c>
      <c r="B573" t="s">
        <v>594</v>
      </c>
      <c r="C573">
        <v>83.8</v>
      </c>
      <c r="D573">
        <v>1.8</v>
      </c>
      <c r="E573">
        <v>83</v>
      </c>
      <c r="F573">
        <v>84.8</v>
      </c>
      <c r="G573">
        <v>82</v>
      </c>
      <c r="H573">
        <v>83.33</v>
      </c>
      <c r="I573" s="1">
        <v>3482441</v>
      </c>
      <c r="J573" s="1">
        <v>290187874</v>
      </c>
      <c r="K573" s="1">
        <v>2239</v>
      </c>
      <c r="L573">
        <v>83.7</v>
      </c>
      <c r="M573">
        <v>83.8</v>
      </c>
      <c r="N573" s="1">
        <v>244670808</v>
      </c>
      <c r="O573">
        <v>83.8</v>
      </c>
      <c r="P573">
        <v>92.1</v>
      </c>
      <c r="Q573">
        <v>75.5</v>
      </c>
    </row>
    <row r="574" spans="1:17" x14ac:dyDescent="0.25">
      <c r="A574">
        <v>6275</v>
      </c>
      <c r="B574" t="s">
        <v>595</v>
      </c>
      <c r="C574">
        <v>18.2</v>
      </c>
      <c r="D574">
        <v>0.1</v>
      </c>
      <c r="E574">
        <v>18.2</v>
      </c>
      <c r="F574">
        <v>18.3</v>
      </c>
      <c r="G574">
        <v>18.100000000000001</v>
      </c>
      <c r="H574">
        <v>18.16</v>
      </c>
      <c r="I574" s="1">
        <v>272007</v>
      </c>
      <c r="J574" s="1">
        <v>4938533</v>
      </c>
      <c r="K574" s="1">
        <v>121</v>
      </c>
      <c r="L574">
        <v>18.149999999999999</v>
      </c>
      <c r="M574">
        <v>18.2</v>
      </c>
      <c r="N574" s="1">
        <v>61683939</v>
      </c>
      <c r="O574">
        <v>18.2</v>
      </c>
      <c r="P574">
        <v>20</v>
      </c>
      <c r="Q574">
        <v>16.399999999999999</v>
      </c>
    </row>
    <row r="575" spans="1:17" x14ac:dyDescent="0.25">
      <c r="A575">
        <v>6276</v>
      </c>
      <c r="B575" t="s">
        <v>596</v>
      </c>
      <c r="C575">
        <v>14.45</v>
      </c>
      <c r="D575">
        <v>0.65</v>
      </c>
      <c r="E575">
        <v>13.8</v>
      </c>
      <c r="F575">
        <v>15.15</v>
      </c>
      <c r="G575">
        <v>13.8</v>
      </c>
      <c r="H575">
        <v>14.85</v>
      </c>
      <c r="I575" s="1">
        <v>1886626</v>
      </c>
      <c r="J575" s="1">
        <v>28014838</v>
      </c>
      <c r="K575" s="1">
        <v>601</v>
      </c>
      <c r="L575">
        <v>14.45</v>
      </c>
      <c r="M575">
        <v>14.5</v>
      </c>
      <c r="N575" s="1">
        <v>33733000</v>
      </c>
      <c r="O575">
        <v>14.45</v>
      </c>
      <c r="P575">
        <v>15.85</v>
      </c>
      <c r="Q575">
        <v>13.05</v>
      </c>
    </row>
    <row r="576" spans="1:17" x14ac:dyDescent="0.25">
      <c r="A576">
        <v>6279</v>
      </c>
      <c r="B576" t="s">
        <v>597</v>
      </c>
      <c r="C576">
        <v>152.5</v>
      </c>
      <c r="D576">
        <v>1</v>
      </c>
      <c r="E576">
        <v>152</v>
      </c>
      <c r="F576">
        <v>153</v>
      </c>
      <c r="G576">
        <v>151.5</v>
      </c>
      <c r="H576">
        <v>152.16</v>
      </c>
      <c r="I576" s="1">
        <v>196251</v>
      </c>
      <c r="J576" s="1">
        <v>29862403</v>
      </c>
      <c r="K576">
        <v>175</v>
      </c>
      <c r="L576">
        <v>152.5</v>
      </c>
      <c r="M576">
        <v>153</v>
      </c>
      <c r="N576" s="1">
        <v>97181705</v>
      </c>
      <c r="O576">
        <v>152.5</v>
      </c>
      <c r="P576">
        <v>167.5</v>
      </c>
      <c r="Q576">
        <v>137.5</v>
      </c>
    </row>
    <row r="577" spans="1:17" x14ac:dyDescent="0.25">
      <c r="A577">
        <v>6284</v>
      </c>
      <c r="B577" t="s">
        <v>598</v>
      </c>
      <c r="C577">
        <v>27.95</v>
      </c>
      <c r="D577">
        <v>0.35</v>
      </c>
      <c r="E577">
        <v>27.75</v>
      </c>
      <c r="F577">
        <v>28.15</v>
      </c>
      <c r="G577">
        <v>27.65</v>
      </c>
      <c r="H577">
        <v>27.92</v>
      </c>
      <c r="I577" s="1">
        <v>635406</v>
      </c>
      <c r="J577" s="1">
        <v>17742022</v>
      </c>
      <c r="K577">
        <v>288</v>
      </c>
      <c r="L577">
        <v>27.95</v>
      </c>
      <c r="M577">
        <v>28</v>
      </c>
      <c r="N577" s="1">
        <v>102558254</v>
      </c>
      <c r="O577">
        <v>27.95</v>
      </c>
      <c r="P577">
        <v>30.7</v>
      </c>
      <c r="Q577">
        <v>25.2</v>
      </c>
    </row>
    <row r="578" spans="1:17" x14ac:dyDescent="0.25">
      <c r="A578">
        <v>6287</v>
      </c>
      <c r="B578" t="s">
        <v>599</v>
      </c>
      <c r="C578">
        <v>3.8</v>
      </c>
      <c r="D578">
        <v>-0.02</v>
      </c>
      <c r="E578">
        <v>3.72</v>
      </c>
      <c r="F578">
        <v>3.8</v>
      </c>
      <c r="G578">
        <v>3.72</v>
      </c>
      <c r="H578">
        <v>3.77</v>
      </c>
      <c r="I578" s="1">
        <v>33014</v>
      </c>
      <c r="J578" s="1">
        <v>124481</v>
      </c>
      <c r="K578">
        <v>14</v>
      </c>
      <c r="L578">
        <v>3.75</v>
      </c>
      <c r="M578">
        <v>3.82</v>
      </c>
      <c r="N578" s="1">
        <v>318145590</v>
      </c>
      <c r="O578">
        <v>3.8</v>
      </c>
      <c r="P578">
        <v>4.18</v>
      </c>
      <c r="Q578">
        <v>3.42</v>
      </c>
    </row>
    <row r="579" spans="1:17" x14ac:dyDescent="0.25">
      <c r="A579">
        <v>6290</v>
      </c>
      <c r="B579" t="s">
        <v>600</v>
      </c>
      <c r="C579">
        <v>63.3</v>
      </c>
      <c r="D579">
        <v>-0.6</v>
      </c>
      <c r="E579">
        <v>64</v>
      </c>
      <c r="F579">
        <v>64.099999999999994</v>
      </c>
      <c r="G579">
        <v>63.1</v>
      </c>
      <c r="H579">
        <v>63.48</v>
      </c>
      <c r="I579" s="1">
        <v>965057</v>
      </c>
      <c r="J579" s="1">
        <v>61257412</v>
      </c>
      <c r="K579">
        <v>531</v>
      </c>
      <c r="L579">
        <v>63.3</v>
      </c>
      <c r="M579">
        <v>63.5</v>
      </c>
      <c r="N579" s="1">
        <v>133987200</v>
      </c>
      <c r="O579">
        <v>63.3</v>
      </c>
      <c r="P579">
        <v>69.599999999999994</v>
      </c>
      <c r="Q579">
        <v>57</v>
      </c>
    </row>
    <row r="580" spans="1:17" x14ac:dyDescent="0.25">
      <c r="A580">
        <v>6291</v>
      </c>
      <c r="B580" t="s">
        <v>601</v>
      </c>
      <c r="C580">
        <v>4.88</v>
      </c>
      <c r="D580">
        <v>0.38</v>
      </c>
      <c r="E580">
        <v>4.88</v>
      </c>
      <c r="F580">
        <v>4.88</v>
      </c>
      <c r="G580">
        <v>4.88</v>
      </c>
      <c r="H580">
        <v>4.88</v>
      </c>
      <c r="I580" s="1">
        <v>1000</v>
      </c>
      <c r="J580" s="1">
        <v>4880</v>
      </c>
      <c r="K580">
        <v>1</v>
      </c>
      <c r="L580">
        <v>0</v>
      </c>
      <c r="M580">
        <v>4.59</v>
      </c>
      <c r="N580" s="1">
        <v>22300000</v>
      </c>
      <c r="O580">
        <v>4.88</v>
      </c>
      <c r="P580">
        <v>5.36</v>
      </c>
      <c r="Q580">
        <v>4.4000000000000004</v>
      </c>
    </row>
    <row r="581" spans="1:17" x14ac:dyDescent="0.25">
      <c r="A581">
        <v>6292</v>
      </c>
      <c r="B581" t="s">
        <v>602</v>
      </c>
      <c r="C581">
        <v>31.6</v>
      </c>
      <c r="D581">
        <v>0.2</v>
      </c>
      <c r="E581">
        <v>31.5</v>
      </c>
      <c r="F581">
        <v>31.8</v>
      </c>
      <c r="G581">
        <v>31.5</v>
      </c>
      <c r="H581">
        <v>31.72</v>
      </c>
      <c r="I581" s="1">
        <v>18000</v>
      </c>
      <c r="J581" s="1">
        <v>571000</v>
      </c>
      <c r="K581" s="1">
        <v>12</v>
      </c>
      <c r="L581">
        <v>31.65</v>
      </c>
      <c r="M581">
        <v>31.8</v>
      </c>
      <c r="N581" s="1">
        <v>46900712</v>
      </c>
      <c r="O581">
        <v>31.6</v>
      </c>
      <c r="P581">
        <v>34.75</v>
      </c>
      <c r="Q581">
        <v>28.45</v>
      </c>
    </row>
    <row r="582" spans="1:17" x14ac:dyDescent="0.25">
      <c r="A582">
        <v>6294</v>
      </c>
      <c r="B582" t="s">
        <v>603</v>
      </c>
      <c r="C582">
        <v>107</v>
      </c>
      <c r="D582">
        <v>-0.5</v>
      </c>
      <c r="E582">
        <v>108</v>
      </c>
      <c r="F582">
        <v>108.5</v>
      </c>
      <c r="G582">
        <v>107</v>
      </c>
      <c r="H582">
        <v>107.54</v>
      </c>
      <c r="I582" s="1">
        <v>57544</v>
      </c>
      <c r="J582" s="1">
        <v>6188208</v>
      </c>
      <c r="K582">
        <v>58</v>
      </c>
      <c r="L582">
        <v>107</v>
      </c>
      <c r="M582">
        <v>107.5</v>
      </c>
      <c r="N582" s="1">
        <v>21275100</v>
      </c>
      <c r="O582">
        <v>107</v>
      </c>
      <c r="P582">
        <v>117.5</v>
      </c>
      <c r="Q582">
        <v>96.3</v>
      </c>
    </row>
    <row r="583" spans="1:17" x14ac:dyDescent="0.25">
      <c r="A583">
        <v>6298</v>
      </c>
      <c r="B583" t="s">
        <v>604</v>
      </c>
      <c r="C583">
        <v>19.899999999999999</v>
      </c>
      <c r="D583">
        <v>0.05</v>
      </c>
      <c r="E583">
        <v>19.899999999999999</v>
      </c>
      <c r="F583">
        <v>20.100000000000001</v>
      </c>
      <c r="G583">
        <v>19.850000000000001</v>
      </c>
      <c r="H583">
        <v>19.920000000000002</v>
      </c>
      <c r="I583" s="1">
        <v>106775</v>
      </c>
      <c r="J583" s="1">
        <v>2127471</v>
      </c>
      <c r="K583">
        <v>66</v>
      </c>
      <c r="L583">
        <v>19.899999999999999</v>
      </c>
      <c r="M583">
        <v>19.95</v>
      </c>
      <c r="N583" s="1">
        <v>168951974</v>
      </c>
      <c r="O583">
        <v>19.899999999999999</v>
      </c>
      <c r="P583">
        <v>21.85</v>
      </c>
      <c r="Q583">
        <v>17.95</v>
      </c>
    </row>
    <row r="584" spans="1:17" x14ac:dyDescent="0.25">
      <c r="A584">
        <v>6404</v>
      </c>
      <c r="B584" t="s">
        <v>605</v>
      </c>
      <c r="C584">
        <v>15.7</v>
      </c>
      <c r="D584">
        <v>-0.15</v>
      </c>
      <c r="E584">
        <v>15.85</v>
      </c>
      <c r="F584">
        <v>16.05</v>
      </c>
      <c r="G584">
        <v>15.7</v>
      </c>
      <c r="H584">
        <v>15.82</v>
      </c>
      <c r="I584" s="1">
        <v>48012</v>
      </c>
      <c r="J584" s="1">
        <v>759332</v>
      </c>
      <c r="K584" s="1">
        <v>36</v>
      </c>
      <c r="L584">
        <v>15.7</v>
      </c>
      <c r="M584">
        <v>15.95</v>
      </c>
      <c r="N584" s="1">
        <v>37904000</v>
      </c>
      <c r="O584">
        <v>15.7</v>
      </c>
      <c r="P584">
        <v>17.25</v>
      </c>
      <c r="Q584">
        <v>14.15</v>
      </c>
    </row>
    <row r="585" spans="1:17" x14ac:dyDescent="0.25">
      <c r="A585">
        <v>6411</v>
      </c>
      <c r="B585" t="s">
        <v>606</v>
      </c>
      <c r="C585">
        <v>83.7</v>
      </c>
      <c r="D585">
        <v>0.7</v>
      </c>
      <c r="E585">
        <v>84.9</v>
      </c>
      <c r="F585">
        <v>85</v>
      </c>
      <c r="G585">
        <v>83.7</v>
      </c>
      <c r="H585">
        <v>84.41</v>
      </c>
      <c r="I585" s="1">
        <v>556620</v>
      </c>
      <c r="J585" s="1">
        <v>46984386</v>
      </c>
      <c r="K585">
        <v>443</v>
      </c>
      <c r="L585">
        <v>83.7</v>
      </c>
      <c r="M585">
        <v>84</v>
      </c>
      <c r="N585" s="1">
        <v>69802980</v>
      </c>
      <c r="O585">
        <v>83.7</v>
      </c>
      <c r="P585">
        <v>92</v>
      </c>
      <c r="Q585">
        <v>75.400000000000006</v>
      </c>
    </row>
    <row r="586" spans="1:17" x14ac:dyDescent="0.25">
      <c r="A586">
        <v>6417</v>
      </c>
      <c r="B586" t="s">
        <v>607</v>
      </c>
      <c r="C586">
        <v>36.700000000000003</v>
      </c>
      <c r="D586">
        <v>0.4</v>
      </c>
      <c r="E586">
        <v>36.200000000000003</v>
      </c>
      <c r="F586">
        <v>36.700000000000003</v>
      </c>
      <c r="G586">
        <v>36.200000000000003</v>
      </c>
      <c r="H586">
        <v>36.39</v>
      </c>
      <c r="I586" s="1">
        <v>35000</v>
      </c>
      <c r="J586" s="1">
        <v>1273800</v>
      </c>
      <c r="K586" s="1">
        <v>17</v>
      </c>
      <c r="L586">
        <v>36.049999999999997</v>
      </c>
      <c r="M586">
        <v>36.700000000000003</v>
      </c>
      <c r="N586" s="1">
        <v>35614000</v>
      </c>
      <c r="O586">
        <v>36.700000000000003</v>
      </c>
      <c r="P586">
        <v>40.35</v>
      </c>
      <c r="Q586">
        <v>33.049999999999997</v>
      </c>
    </row>
    <row r="587" spans="1:17" x14ac:dyDescent="0.25">
      <c r="A587">
        <v>6419</v>
      </c>
      <c r="B587" t="s">
        <v>608</v>
      </c>
      <c r="C587">
        <v>13.25</v>
      </c>
      <c r="D587">
        <v>0</v>
      </c>
      <c r="E587">
        <v>13.3</v>
      </c>
      <c r="F587">
        <v>13.35</v>
      </c>
      <c r="G587">
        <v>13.25</v>
      </c>
      <c r="H587">
        <v>13.29</v>
      </c>
      <c r="I587" s="1">
        <v>15000</v>
      </c>
      <c r="J587" s="1">
        <v>199400</v>
      </c>
      <c r="K587">
        <v>12</v>
      </c>
      <c r="L587">
        <v>13.2</v>
      </c>
      <c r="M587">
        <v>13.3</v>
      </c>
      <c r="N587" s="1">
        <v>27805170</v>
      </c>
      <c r="O587">
        <v>13.25</v>
      </c>
      <c r="P587">
        <v>14.55</v>
      </c>
      <c r="Q587">
        <v>11.95</v>
      </c>
    </row>
    <row r="588" spans="1:17" x14ac:dyDescent="0.25">
      <c r="A588">
        <v>6426</v>
      </c>
      <c r="B588" t="s">
        <v>609</v>
      </c>
      <c r="C588">
        <v>86.6</v>
      </c>
      <c r="D588">
        <v>-1</v>
      </c>
      <c r="E588">
        <v>87.3</v>
      </c>
      <c r="F588">
        <v>88</v>
      </c>
      <c r="G588">
        <v>85.8</v>
      </c>
      <c r="H588">
        <v>86.88</v>
      </c>
      <c r="I588" s="1">
        <v>788319</v>
      </c>
      <c r="J588" s="1">
        <v>68491343</v>
      </c>
      <c r="K588" s="1">
        <v>662</v>
      </c>
      <c r="L588">
        <v>86.6</v>
      </c>
      <c r="M588">
        <v>86.8</v>
      </c>
      <c r="N588" s="1">
        <v>33509000</v>
      </c>
      <c r="O588">
        <v>86.6</v>
      </c>
      <c r="P588">
        <v>95.2</v>
      </c>
      <c r="Q588">
        <v>78</v>
      </c>
    </row>
    <row r="589" spans="1:17" x14ac:dyDescent="0.25">
      <c r="A589">
        <v>6432</v>
      </c>
      <c r="B589" t="s">
        <v>610</v>
      </c>
      <c r="C589">
        <v>19.8</v>
      </c>
      <c r="D589">
        <v>-0.05</v>
      </c>
      <c r="E589">
        <v>19.850000000000001</v>
      </c>
      <c r="F589">
        <v>20.100000000000001</v>
      </c>
      <c r="G589">
        <v>19.8</v>
      </c>
      <c r="H589">
        <v>19.899999999999999</v>
      </c>
      <c r="I589" s="1">
        <v>22002</v>
      </c>
      <c r="J589" s="1">
        <v>437888</v>
      </c>
      <c r="K589" s="1">
        <v>20</v>
      </c>
      <c r="L589">
        <v>19.75</v>
      </c>
      <c r="M589">
        <v>19.850000000000001</v>
      </c>
      <c r="N589" s="1">
        <v>20311658</v>
      </c>
      <c r="O589">
        <v>19.8</v>
      </c>
      <c r="P589">
        <v>21.75</v>
      </c>
      <c r="Q589">
        <v>17.850000000000001</v>
      </c>
    </row>
    <row r="590" spans="1:17" x14ac:dyDescent="0.25">
      <c r="A590">
        <v>6435</v>
      </c>
      <c r="B590" t="s">
        <v>611</v>
      </c>
      <c r="C590">
        <v>106.5</v>
      </c>
      <c r="D590">
        <v>-1</v>
      </c>
      <c r="E590">
        <v>108.5</v>
      </c>
      <c r="F590">
        <v>109</v>
      </c>
      <c r="G590">
        <v>106</v>
      </c>
      <c r="H590">
        <v>107.29</v>
      </c>
      <c r="I590" s="1">
        <v>1179182</v>
      </c>
      <c r="J590" s="1">
        <v>126514564</v>
      </c>
      <c r="K590" s="1">
        <v>882</v>
      </c>
      <c r="L590">
        <v>106.5</v>
      </c>
      <c r="M590">
        <v>107</v>
      </c>
      <c r="N590" s="1">
        <v>33063000</v>
      </c>
      <c r="O590">
        <v>106.5</v>
      </c>
      <c r="P590">
        <v>117</v>
      </c>
      <c r="Q590">
        <v>95.9</v>
      </c>
    </row>
    <row r="591" spans="1:17" x14ac:dyDescent="0.25">
      <c r="A591">
        <v>6438</v>
      </c>
      <c r="B591" t="s">
        <v>612</v>
      </c>
      <c r="C591">
        <v>75.400000000000006</v>
      </c>
      <c r="D591">
        <v>0.2</v>
      </c>
      <c r="E591">
        <v>75.5</v>
      </c>
      <c r="F591">
        <v>76.5</v>
      </c>
      <c r="G591">
        <v>75.2</v>
      </c>
      <c r="H591">
        <v>75.69</v>
      </c>
      <c r="I591" s="1">
        <v>303150</v>
      </c>
      <c r="J591" s="1">
        <v>22945875</v>
      </c>
      <c r="K591" s="1">
        <v>214</v>
      </c>
      <c r="L591">
        <v>75.400000000000006</v>
      </c>
      <c r="M591">
        <v>75.5</v>
      </c>
      <c r="N591" s="1">
        <v>57800000</v>
      </c>
      <c r="O591">
        <v>75.400000000000006</v>
      </c>
      <c r="P591">
        <v>82.9</v>
      </c>
      <c r="Q591">
        <v>67.900000000000006</v>
      </c>
    </row>
    <row r="592" spans="1:17" x14ac:dyDescent="0.25">
      <c r="A592">
        <v>6441</v>
      </c>
      <c r="B592" t="s">
        <v>1407</v>
      </c>
      <c r="C592">
        <v>66.3</v>
      </c>
      <c r="D592">
        <v>0.4</v>
      </c>
      <c r="E592">
        <v>65.900000000000006</v>
      </c>
      <c r="F592">
        <v>66.599999999999994</v>
      </c>
      <c r="G592">
        <v>65.599999999999994</v>
      </c>
      <c r="H592">
        <v>66.14</v>
      </c>
      <c r="I592" s="1">
        <v>76921</v>
      </c>
      <c r="J592" s="1">
        <v>5087862</v>
      </c>
      <c r="K592" s="1">
        <v>34</v>
      </c>
      <c r="L592">
        <v>66</v>
      </c>
      <c r="M592">
        <v>66.3</v>
      </c>
      <c r="N592" s="1">
        <v>28756375</v>
      </c>
      <c r="O592">
        <v>66.3</v>
      </c>
      <c r="P592">
        <v>72.900000000000006</v>
      </c>
      <c r="Q592">
        <v>59.7</v>
      </c>
    </row>
    <row r="593" spans="1:17" x14ac:dyDescent="0.25">
      <c r="A593">
        <v>6446</v>
      </c>
      <c r="B593" t="s">
        <v>613</v>
      </c>
      <c r="C593">
        <v>143</v>
      </c>
      <c r="D593">
        <v>0</v>
      </c>
      <c r="E593">
        <v>143.5</v>
      </c>
      <c r="F593">
        <v>143.5</v>
      </c>
      <c r="G593">
        <v>142</v>
      </c>
      <c r="H593">
        <v>142.36000000000001</v>
      </c>
      <c r="I593" s="1">
        <v>148141</v>
      </c>
      <c r="J593" s="1">
        <v>21089663</v>
      </c>
      <c r="K593">
        <v>105</v>
      </c>
      <c r="L593">
        <v>142</v>
      </c>
      <c r="M593">
        <v>143</v>
      </c>
      <c r="N593" s="1">
        <v>218721979</v>
      </c>
      <c r="O593">
        <v>143</v>
      </c>
      <c r="P593">
        <v>157</v>
      </c>
      <c r="Q593">
        <v>129</v>
      </c>
    </row>
    <row r="594" spans="1:17" x14ac:dyDescent="0.25">
      <c r="A594">
        <v>6457</v>
      </c>
      <c r="B594" t="s">
        <v>614</v>
      </c>
      <c r="C594">
        <v>34.5</v>
      </c>
      <c r="D594">
        <v>0.45</v>
      </c>
      <c r="E594">
        <v>34.049999999999997</v>
      </c>
      <c r="F594">
        <v>35.200000000000003</v>
      </c>
      <c r="G594">
        <v>34.049999999999997</v>
      </c>
      <c r="H594">
        <v>34.56</v>
      </c>
      <c r="I594" s="1">
        <v>175015</v>
      </c>
      <c r="J594" s="1">
        <v>6048972</v>
      </c>
      <c r="K594" s="1">
        <v>112</v>
      </c>
      <c r="L594">
        <v>34.4</v>
      </c>
      <c r="M594">
        <v>34.5</v>
      </c>
      <c r="N594" s="1">
        <v>28898703</v>
      </c>
      <c r="O594">
        <v>34.5</v>
      </c>
      <c r="P594">
        <v>37.950000000000003</v>
      </c>
      <c r="Q594">
        <v>31.05</v>
      </c>
    </row>
    <row r="595" spans="1:17" x14ac:dyDescent="0.25">
      <c r="A595">
        <v>6462</v>
      </c>
      <c r="B595" t="s">
        <v>615</v>
      </c>
      <c r="C595">
        <v>226.5</v>
      </c>
      <c r="D595">
        <v>2.5</v>
      </c>
      <c r="E595">
        <v>224.5</v>
      </c>
      <c r="F595">
        <v>230</v>
      </c>
      <c r="G595">
        <v>224.5</v>
      </c>
      <c r="H595">
        <v>226.79</v>
      </c>
      <c r="I595" s="1">
        <v>1465680</v>
      </c>
      <c r="J595" s="1">
        <v>332396360</v>
      </c>
      <c r="K595" s="1">
        <v>1215</v>
      </c>
      <c r="L595">
        <v>226</v>
      </c>
      <c r="M595">
        <v>226.5</v>
      </c>
      <c r="N595" s="1">
        <v>70432254</v>
      </c>
      <c r="O595">
        <v>226.5</v>
      </c>
      <c r="P595">
        <v>249</v>
      </c>
      <c r="Q595">
        <v>204</v>
      </c>
    </row>
    <row r="596" spans="1:17" x14ac:dyDescent="0.25">
      <c r="A596">
        <v>6465</v>
      </c>
      <c r="B596" t="s">
        <v>616</v>
      </c>
      <c r="C596">
        <v>63.5</v>
      </c>
      <c r="D596">
        <v>0.1</v>
      </c>
      <c r="E596">
        <v>63.3</v>
      </c>
      <c r="F596">
        <v>63.5</v>
      </c>
      <c r="G596">
        <v>63.3</v>
      </c>
      <c r="H596">
        <v>63.29</v>
      </c>
      <c r="I596" s="1">
        <v>2536</v>
      </c>
      <c r="J596" s="1">
        <v>160513</v>
      </c>
      <c r="K596">
        <v>5</v>
      </c>
      <c r="L596">
        <v>63.5</v>
      </c>
      <c r="M596">
        <v>64.5</v>
      </c>
      <c r="N596" s="1">
        <v>30072585</v>
      </c>
      <c r="O596">
        <v>63.5</v>
      </c>
      <c r="P596">
        <v>69.8</v>
      </c>
      <c r="Q596">
        <v>57.2</v>
      </c>
    </row>
    <row r="597" spans="1:17" x14ac:dyDescent="0.25">
      <c r="A597">
        <v>6469</v>
      </c>
      <c r="B597" t="s">
        <v>617</v>
      </c>
      <c r="C597">
        <v>85.2</v>
      </c>
      <c r="D597">
        <v>0</v>
      </c>
      <c r="E597">
        <v>84.6</v>
      </c>
      <c r="F597">
        <v>85.3</v>
      </c>
      <c r="G597">
        <v>84.6</v>
      </c>
      <c r="H597">
        <v>85.04</v>
      </c>
      <c r="I597" s="1">
        <v>7327</v>
      </c>
      <c r="J597" s="1">
        <v>623095</v>
      </c>
      <c r="K597" s="1">
        <v>9</v>
      </c>
      <c r="L597">
        <v>84.9</v>
      </c>
      <c r="M597">
        <v>85.2</v>
      </c>
      <c r="N597" s="1">
        <v>30501450</v>
      </c>
      <c r="O597">
        <v>85.2</v>
      </c>
      <c r="P597">
        <v>93.7</v>
      </c>
      <c r="Q597">
        <v>76.7</v>
      </c>
    </row>
    <row r="598" spans="1:17" x14ac:dyDescent="0.25">
      <c r="A598">
        <v>6470</v>
      </c>
      <c r="B598" t="s">
        <v>618</v>
      </c>
      <c r="C598">
        <v>35.85</v>
      </c>
      <c r="D598">
        <v>-0.1</v>
      </c>
      <c r="E598">
        <v>35.950000000000003</v>
      </c>
      <c r="F598">
        <v>35.950000000000003</v>
      </c>
      <c r="G598">
        <v>35.85</v>
      </c>
      <c r="H598">
        <v>35.880000000000003</v>
      </c>
      <c r="I598" s="1">
        <v>9000</v>
      </c>
      <c r="J598" s="1">
        <v>322950</v>
      </c>
      <c r="K598" s="1">
        <v>9</v>
      </c>
      <c r="L598">
        <v>35.85</v>
      </c>
      <c r="M598">
        <v>35.9</v>
      </c>
      <c r="N598" s="1">
        <v>32694100</v>
      </c>
      <c r="O598">
        <v>35.85</v>
      </c>
      <c r="P598">
        <v>39.4</v>
      </c>
      <c r="Q598">
        <v>32.299999999999997</v>
      </c>
    </row>
    <row r="599" spans="1:17" x14ac:dyDescent="0.25">
      <c r="A599">
        <v>6472</v>
      </c>
      <c r="B599" t="s">
        <v>619</v>
      </c>
      <c r="C599">
        <v>36</v>
      </c>
      <c r="D599">
        <v>-0.1</v>
      </c>
      <c r="E599">
        <v>35.65</v>
      </c>
      <c r="F599">
        <v>36.299999999999997</v>
      </c>
      <c r="G599">
        <v>35.5</v>
      </c>
      <c r="H599">
        <v>35.99</v>
      </c>
      <c r="I599" s="1">
        <v>23000</v>
      </c>
      <c r="J599" s="1">
        <v>827700</v>
      </c>
      <c r="K599">
        <v>21</v>
      </c>
      <c r="L599">
        <v>35.9</v>
      </c>
      <c r="M599">
        <v>36</v>
      </c>
      <c r="N599" s="1">
        <v>26462000</v>
      </c>
      <c r="O599">
        <v>36</v>
      </c>
      <c r="P599">
        <v>39.6</v>
      </c>
      <c r="Q599">
        <v>32.4</v>
      </c>
    </row>
    <row r="600" spans="1:17" x14ac:dyDescent="0.25">
      <c r="A600">
        <v>6482</v>
      </c>
      <c r="B600" t="s">
        <v>620</v>
      </c>
      <c r="C600">
        <v>33.549999999999997</v>
      </c>
      <c r="D600">
        <v>-0.05</v>
      </c>
      <c r="E600">
        <v>33.950000000000003</v>
      </c>
      <c r="F600">
        <v>33.950000000000003</v>
      </c>
      <c r="G600">
        <v>33.549999999999997</v>
      </c>
      <c r="H600">
        <v>33.72</v>
      </c>
      <c r="I600" s="1">
        <v>2095</v>
      </c>
      <c r="J600" s="1">
        <v>70653</v>
      </c>
      <c r="K600">
        <v>4</v>
      </c>
      <c r="L600">
        <v>32.950000000000003</v>
      </c>
      <c r="M600">
        <v>33.549999999999997</v>
      </c>
      <c r="N600" s="1">
        <v>15602400</v>
      </c>
      <c r="O600">
        <v>33.549999999999997</v>
      </c>
      <c r="P600">
        <v>36.9</v>
      </c>
      <c r="Q600">
        <v>30.2</v>
      </c>
    </row>
    <row r="601" spans="1:17" x14ac:dyDescent="0.25">
      <c r="A601">
        <v>6485</v>
      </c>
      <c r="B601" t="s">
        <v>621</v>
      </c>
      <c r="C601">
        <v>38.6</v>
      </c>
      <c r="D601">
        <v>0</v>
      </c>
      <c r="E601">
        <v>38.299999999999997</v>
      </c>
      <c r="F601">
        <v>38.6</v>
      </c>
      <c r="G601">
        <v>38.299999999999997</v>
      </c>
      <c r="H601">
        <v>38.42</v>
      </c>
      <c r="I601" s="1">
        <v>11551</v>
      </c>
      <c r="J601" s="1">
        <v>443759</v>
      </c>
      <c r="K601">
        <v>20</v>
      </c>
      <c r="L601">
        <v>38.5</v>
      </c>
      <c r="M601">
        <v>38.700000000000003</v>
      </c>
      <c r="N601" s="1">
        <v>34223050</v>
      </c>
      <c r="O601">
        <v>38.6</v>
      </c>
      <c r="P601">
        <v>42.45</v>
      </c>
      <c r="Q601">
        <v>34.75</v>
      </c>
    </row>
    <row r="602" spans="1:17" x14ac:dyDescent="0.25">
      <c r="A602">
        <v>6486</v>
      </c>
      <c r="B602" t="s">
        <v>622</v>
      </c>
      <c r="C602">
        <v>43.25</v>
      </c>
      <c r="D602">
        <v>0.35</v>
      </c>
      <c r="E602">
        <v>42.9</v>
      </c>
      <c r="F602">
        <v>43.4</v>
      </c>
      <c r="G602">
        <v>42.9</v>
      </c>
      <c r="H602">
        <v>43.22</v>
      </c>
      <c r="I602" s="1">
        <v>162170</v>
      </c>
      <c r="J602" s="1">
        <v>7008802</v>
      </c>
      <c r="K602">
        <v>118</v>
      </c>
      <c r="L602">
        <v>43.25</v>
      </c>
      <c r="M602">
        <v>43.3</v>
      </c>
      <c r="N602" s="1">
        <v>46180000</v>
      </c>
      <c r="O602">
        <v>43.25</v>
      </c>
      <c r="P602">
        <v>47.55</v>
      </c>
      <c r="Q602">
        <v>38.950000000000003</v>
      </c>
    </row>
    <row r="603" spans="1:17" x14ac:dyDescent="0.25">
      <c r="A603">
        <v>6488</v>
      </c>
      <c r="B603" t="s">
        <v>623</v>
      </c>
      <c r="C603">
        <v>397.5</v>
      </c>
      <c r="D603">
        <v>-6.5</v>
      </c>
      <c r="E603">
        <v>408</v>
      </c>
      <c r="F603">
        <v>409.5</v>
      </c>
      <c r="G603">
        <v>397.5</v>
      </c>
      <c r="H603">
        <v>402</v>
      </c>
      <c r="I603" s="1">
        <v>3946959</v>
      </c>
      <c r="J603" s="1">
        <v>1586694201</v>
      </c>
      <c r="K603" s="1">
        <v>3240</v>
      </c>
      <c r="L603">
        <v>397.5</v>
      </c>
      <c r="M603">
        <v>398</v>
      </c>
      <c r="N603" s="1">
        <v>437250000</v>
      </c>
      <c r="O603">
        <v>397.5</v>
      </c>
      <c r="P603">
        <v>437</v>
      </c>
      <c r="Q603">
        <v>358</v>
      </c>
    </row>
    <row r="604" spans="1:17" x14ac:dyDescent="0.25">
      <c r="A604">
        <v>6492</v>
      </c>
      <c r="B604" t="s">
        <v>624</v>
      </c>
      <c r="C604">
        <v>67.7</v>
      </c>
      <c r="D604">
        <v>2</v>
      </c>
      <c r="E604">
        <v>65.7</v>
      </c>
      <c r="F604">
        <v>67.7</v>
      </c>
      <c r="G604">
        <v>65</v>
      </c>
      <c r="H604">
        <v>66.03</v>
      </c>
      <c r="I604" s="1">
        <v>84000</v>
      </c>
      <c r="J604" s="1">
        <v>5546300</v>
      </c>
      <c r="K604">
        <v>68</v>
      </c>
      <c r="L604">
        <v>65.8</v>
      </c>
      <c r="M604">
        <v>67.8</v>
      </c>
      <c r="N604" s="1">
        <v>74345620</v>
      </c>
      <c r="O604">
        <v>67.7</v>
      </c>
      <c r="P604">
        <v>74.400000000000006</v>
      </c>
      <c r="Q604">
        <v>61</v>
      </c>
    </row>
    <row r="605" spans="1:17" x14ac:dyDescent="0.25">
      <c r="A605">
        <v>6494</v>
      </c>
      <c r="B605" t="s">
        <v>625</v>
      </c>
      <c r="C605">
        <v>64.599999999999994</v>
      </c>
      <c r="D605">
        <v>0.3</v>
      </c>
      <c r="E605">
        <v>64.3</v>
      </c>
      <c r="F605">
        <v>64.900000000000006</v>
      </c>
      <c r="G605">
        <v>63.2</v>
      </c>
      <c r="H605">
        <v>64.52</v>
      </c>
      <c r="I605" s="1">
        <v>30000</v>
      </c>
      <c r="J605" s="1">
        <v>1935500</v>
      </c>
      <c r="K605">
        <v>23</v>
      </c>
      <c r="L605">
        <v>64.5</v>
      </c>
      <c r="M605">
        <v>64.8</v>
      </c>
      <c r="N605" s="1">
        <v>26559690</v>
      </c>
      <c r="O605">
        <v>64.599999999999994</v>
      </c>
      <c r="P605">
        <v>71</v>
      </c>
      <c r="Q605">
        <v>58.2</v>
      </c>
    </row>
    <row r="606" spans="1:17" x14ac:dyDescent="0.25">
      <c r="A606">
        <v>6496</v>
      </c>
      <c r="B606" t="s">
        <v>626</v>
      </c>
      <c r="C606">
        <v>73.900000000000006</v>
      </c>
      <c r="D606">
        <v>0.1</v>
      </c>
      <c r="E606">
        <v>73.7</v>
      </c>
      <c r="F606">
        <v>73.900000000000006</v>
      </c>
      <c r="G606">
        <v>73.2</v>
      </c>
      <c r="H606">
        <v>73.58</v>
      </c>
      <c r="I606" s="1">
        <v>135015</v>
      </c>
      <c r="J606" s="1">
        <v>9935013</v>
      </c>
      <c r="K606" s="1">
        <v>117</v>
      </c>
      <c r="L606">
        <v>73.8</v>
      </c>
      <c r="M606">
        <v>73.900000000000006</v>
      </c>
      <c r="N606" s="1">
        <v>46667000</v>
      </c>
      <c r="O606">
        <v>73.900000000000006</v>
      </c>
      <c r="P606">
        <v>81.2</v>
      </c>
      <c r="Q606">
        <v>66.599999999999994</v>
      </c>
    </row>
    <row r="607" spans="1:17" x14ac:dyDescent="0.25">
      <c r="A607">
        <v>6497</v>
      </c>
      <c r="B607" t="s">
        <v>627</v>
      </c>
      <c r="C607">
        <v>33.200000000000003</v>
      </c>
      <c r="D607">
        <v>0.2</v>
      </c>
      <c r="E607">
        <v>33.4</v>
      </c>
      <c r="F607">
        <v>33.4</v>
      </c>
      <c r="G607">
        <v>33</v>
      </c>
      <c r="H607">
        <v>33.090000000000003</v>
      </c>
      <c r="I607" s="1">
        <v>63000</v>
      </c>
      <c r="J607" s="1">
        <v>2084550</v>
      </c>
      <c r="K607">
        <v>58</v>
      </c>
      <c r="L607">
        <v>33</v>
      </c>
      <c r="M607">
        <v>33.25</v>
      </c>
      <c r="N607" s="1">
        <v>130128940</v>
      </c>
      <c r="O607">
        <v>33.200000000000003</v>
      </c>
      <c r="P607">
        <v>36.5</v>
      </c>
      <c r="Q607">
        <v>29.9</v>
      </c>
    </row>
    <row r="608" spans="1:17" x14ac:dyDescent="0.25">
      <c r="A608">
        <v>6499</v>
      </c>
      <c r="B608" t="s">
        <v>628</v>
      </c>
      <c r="C608">
        <v>83.4</v>
      </c>
      <c r="D608">
        <v>-0.1</v>
      </c>
      <c r="E608">
        <v>83.2</v>
      </c>
      <c r="F608">
        <v>84.1</v>
      </c>
      <c r="G608">
        <v>83</v>
      </c>
      <c r="H608">
        <v>83.53</v>
      </c>
      <c r="I608" s="1">
        <v>15000</v>
      </c>
      <c r="J608" s="1">
        <v>1253000</v>
      </c>
      <c r="K608">
        <v>14</v>
      </c>
      <c r="L608">
        <v>83.3</v>
      </c>
      <c r="M608">
        <v>83.4</v>
      </c>
      <c r="N608" s="1">
        <v>51703804</v>
      </c>
      <c r="O608">
        <v>83.4</v>
      </c>
      <c r="P608">
        <v>91.7</v>
      </c>
      <c r="Q608">
        <v>75.099999999999994</v>
      </c>
    </row>
    <row r="609" spans="1:17" x14ac:dyDescent="0.25">
      <c r="A609">
        <v>6506</v>
      </c>
      <c r="B609" t="s">
        <v>629</v>
      </c>
      <c r="C609">
        <v>22.35</v>
      </c>
      <c r="D609">
        <v>0.85</v>
      </c>
      <c r="E609">
        <v>21.4</v>
      </c>
      <c r="F609">
        <v>22.35</v>
      </c>
      <c r="G609">
        <v>21.35</v>
      </c>
      <c r="H609">
        <v>21.7</v>
      </c>
      <c r="I609" s="1">
        <v>122342</v>
      </c>
      <c r="J609" s="1">
        <v>2654490</v>
      </c>
      <c r="K609">
        <v>54</v>
      </c>
      <c r="L609">
        <v>21.75</v>
      </c>
      <c r="M609">
        <v>22.35</v>
      </c>
      <c r="N609" s="1">
        <v>78394088</v>
      </c>
      <c r="O609">
        <v>22.35</v>
      </c>
      <c r="P609">
        <v>24.55</v>
      </c>
      <c r="Q609">
        <v>20.149999999999999</v>
      </c>
    </row>
    <row r="610" spans="1:17" x14ac:dyDescent="0.25">
      <c r="A610">
        <v>6508</v>
      </c>
      <c r="B610" t="s">
        <v>630</v>
      </c>
      <c r="C610">
        <v>26.6</v>
      </c>
      <c r="D610">
        <v>0.1</v>
      </c>
      <c r="E610">
        <v>26.4</v>
      </c>
      <c r="F610">
        <v>26.7</v>
      </c>
      <c r="G610">
        <v>26.4</v>
      </c>
      <c r="H610">
        <v>26.55</v>
      </c>
      <c r="I610" s="1">
        <v>132130</v>
      </c>
      <c r="J610" s="1">
        <v>3507606</v>
      </c>
      <c r="K610">
        <v>64</v>
      </c>
      <c r="L610">
        <v>26.5</v>
      </c>
      <c r="M610">
        <v>26.6</v>
      </c>
      <c r="N610" s="1">
        <v>83247249</v>
      </c>
      <c r="O610">
        <v>26.6</v>
      </c>
      <c r="P610">
        <v>29.25</v>
      </c>
      <c r="Q610">
        <v>23.95</v>
      </c>
    </row>
    <row r="611" spans="1:17" x14ac:dyDescent="0.25">
      <c r="A611">
        <v>6509</v>
      </c>
      <c r="B611" t="s">
        <v>631</v>
      </c>
      <c r="C611">
        <v>21.15</v>
      </c>
      <c r="D611">
        <v>0</v>
      </c>
      <c r="E611">
        <v>21.5</v>
      </c>
      <c r="F611">
        <v>22.1</v>
      </c>
      <c r="G611">
        <v>21.15</v>
      </c>
      <c r="H611">
        <v>21.66</v>
      </c>
      <c r="I611" s="1">
        <v>12386215</v>
      </c>
      <c r="J611" s="1">
        <v>268335833</v>
      </c>
      <c r="K611" s="1">
        <v>4917</v>
      </c>
      <c r="L611">
        <v>21.1</v>
      </c>
      <c r="M611">
        <v>21.15</v>
      </c>
      <c r="N611" s="1">
        <v>176133101</v>
      </c>
      <c r="O611">
        <v>21.15</v>
      </c>
      <c r="P611">
        <v>23.25</v>
      </c>
      <c r="Q611">
        <v>19.05</v>
      </c>
    </row>
    <row r="612" spans="1:17" x14ac:dyDescent="0.25">
      <c r="A612">
        <v>6510</v>
      </c>
      <c r="B612" t="s">
        <v>632</v>
      </c>
      <c r="C612">
        <v>1145</v>
      </c>
      <c r="D612">
        <v>50</v>
      </c>
      <c r="E612">
        <v>1090</v>
      </c>
      <c r="F612">
        <v>1155</v>
      </c>
      <c r="G612">
        <v>1080</v>
      </c>
      <c r="H612">
        <v>1127.44</v>
      </c>
      <c r="I612" s="1">
        <v>525725</v>
      </c>
      <c r="J612" s="1">
        <v>592725625</v>
      </c>
      <c r="K612">
        <v>533</v>
      </c>
      <c r="L612">
        <v>1140</v>
      </c>
      <c r="M612">
        <v>1145</v>
      </c>
      <c r="N612" s="1">
        <v>32789022</v>
      </c>
      <c r="O612">
        <v>1145</v>
      </c>
      <c r="P612">
        <v>1255</v>
      </c>
      <c r="Q612">
        <v>1035</v>
      </c>
    </row>
    <row r="613" spans="1:17" x14ac:dyDescent="0.25">
      <c r="A613">
        <v>6512</v>
      </c>
      <c r="B613" t="s">
        <v>633</v>
      </c>
      <c r="C613">
        <v>20</v>
      </c>
      <c r="D613">
        <v>0</v>
      </c>
      <c r="E613">
        <v>19.850000000000001</v>
      </c>
      <c r="F613">
        <v>20</v>
      </c>
      <c r="G613">
        <v>19.75</v>
      </c>
      <c r="H613">
        <v>19.899999999999999</v>
      </c>
      <c r="I613" s="1">
        <v>14000</v>
      </c>
      <c r="J613" s="1">
        <v>278600</v>
      </c>
      <c r="K613">
        <v>7</v>
      </c>
      <c r="L613">
        <v>19.850000000000001</v>
      </c>
      <c r="M613">
        <v>20</v>
      </c>
      <c r="N613" s="1">
        <v>25000000</v>
      </c>
      <c r="O613">
        <v>20</v>
      </c>
      <c r="P613">
        <v>22</v>
      </c>
      <c r="Q613">
        <v>18</v>
      </c>
    </row>
    <row r="614" spans="1:17" x14ac:dyDescent="0.25">
      <c r="A614">
        <v>6514</v>
      </c>
      <c r="B614" t="s">
        <v>634</v>
      </c>
      <c r="C614">
        <v>32.450000000000003</v>
      </c>
      <c r="D614">
        <v>-0.7</v>
      </c>
      <c r="E614">
        <v>32.1</v>
      </c>
      <c r="F614">
        <v>32.9</v>
      </c>
      <c r="G614">
        <v>32.1</v>
      </c>
      <c r="H614">
        <v>32.479999999999997</v>
      </c>
      <c r="I614" s="1">
        <v>35150</v>
      </c>
      <c r="J614" s="1">
        <v>1141564</v>
      </c>
      <c r="K614">
        <v>29</v>
      </c>
      <c r="L614">
        <v>32.4</v>
      </c>
      <c r="M614">
        <v>32.9</v>
      </c>
      <c r="N614" s="1">
        <v>24562505</v>
      </c>
      <c r="O614">
        <v>32.450000000000003</v>
      </c>
      <c r="P614">
        <v>35.65</v>
      </c>
      <c r="Q614">
        <v>29.25</v>
      </c>
    </row>
    <row r="615" spans="1:17" x14ac:dyDescent="0.25">
      <c r="A615">
        <v>6523</v>
      </c>
      <c r="B615" t="s">
        <v>635</v>
      </c>
      <c r="C615">
        <v>83.7</v>
      </c>
      <c r="D615">
        <v>0.4</v>
      </c>
      <c r="E615">
        <v>83.3</v>
      </c>
      <c r="F615">
        <v>83.7</v>
      </c>
      <c r="G615">
        <v>83.3</v>
      </c>
      <c r="H615">
        <v>83.49</v>
      </c>
      <c r="I615" s="1">
        <v>12000</v>
      </c>
      <c r="J615" s="1">
        <v>1001900</v>
      </c>
      <c r="K615">
        <v>12</v>
      </c>
      <c r="L615">
        <v>83.7</v>
      </c>
      <c r="M615">
        <v>84.9</v>
      </c>
      <c r="N615" s="1">
        <v>45815625</v>
      </c>
      <c r="O615">
        <v>83.7</v>
      </c>
      <c r="P615">
        <v>92</v>
      </c>
      <c r="Q615">
        <v>75.400000000000006</v>
      </c>
    </row>
    <row r="616" spans="1:17" x14ac:dyDescent="0.25">
      <c r="A616">
        <v>6532</v>
      </c>
      <c r="B616" t="s">
        <v>636</v>
      </c>
      <c r="C616">
        <v>27.85</v>
      </c>
      <c r="D616">
        <v>0.05</v>
      </c>
      <c r="E616">
        <v>27.8</v>
      </c>
      <c r="F616">
        <v>28.15</v>
      </c>
      <c r="G616">
        <v>27.8</v>
      </c>
      <c r="H616">
        <v>27.95</v>
      </c>
      <c r="I616" s="1">
        <v>136000</v>
      </c>
      <c r="J616" s="1">
        <v>3800650</v>
      </c>
      <c r="K616">
        <v>96</v>
      </c>
      <c r="L616">
        <v>27.8</v>
      </c>
      <c r="M616">
        <v>27.85</v>
      </c>
      <c r="N616" s="1">
        <v>31626725</v>
      </c>
      <c r="O616">
        <v>27.85</v>
      </c>
      <c r="P616">
        <v>30.6</v>
      </c>
      <c r="Q616">
        <v>25.1</v>
      </c>
    </row>
    <row r="617" spans="1:17" x14ac:dyDescent="0.25">
      <c r="A617">
        <v>6535</v>
      </c>
      <c r="B617" t="s">
        <v>637</v>
      </c>
      <c r="C617">
        <v>29.5</v>
      </c>
      <c r="D617">
        <v>0.25</v>
      </c>
      <c r="E617">
        <v>29.45</v>
      </c>
      <c r="F617">
        <v>29.6</v>
      </c>
      <c r="G617">
        <v>29.25</v>
      </c>
      <c r="H617">
        <v>29.47</v>
      </c>
      <c r="I617" s="1">
        <v>24000</v>
      </c>
      <c r="J617" s="1">
        <v>707200</v>
      </c>
      <c r="K617">
        <v>22</v>
      </c>
      <c r="L617">
        <v>29.55</v>
      </c>
      <c r="M617">
        <v>29.6</v>
      </c>
      <c r="N617" s="1">
        <v>95365400</v>
      </c>
      <c r="O617">
        <v>29.5</v>
      </c>
      <c r="P617">
        <v>32.450000000000003</v>
      </c>
      <c r="Q617">
        <v>26.55</v>
      </c>
    </row>
    <row r="618" spans="1:17" x14ac:dyDescent="0.25">
      <c r="A618">
        <v>6538</v>
      </c>
      <c r="B618" t="s">
        <v>638</v>
      </c>
      <c r="C618">
        <v>35.75</v>
      </c>
      <c r="D618">
        <v>-0.1</v>
      </c>
      <c r="E618">
        <v>35.5</v>
      </c>
      <c r="F618">
        <v>35.75</v>
      </c>
      <c r="G618">
        <v>35.4</v>
      </c>
      <c r="H618">
        <v>35.54</v>
      </c>
      <c r="I618" s="1">
        <v>8000</v>
      </c>
      <c r="J618" s="1">
        <v>284300</v>
      </c>
      <c r="K618">
        <v>8</v>
      </c>
      <c r="L618">
        <v>35.75</v>
      </c>
      <c r="M618">
        <v>35.799999999999997</v>
      </c>
      <c r="N618" s="1">
        <v>30300000</v>
      </c>
      <c r="O618">
        <v>35.75</v>
      </c>
      <c r="P618">
        <v>39.299999999999997</v>
      </c>
      <c r="Q618">
        <v>32.200000000000003</v>
      </c>
    </row>
    <row r="619" spans="1:17" x14ac:dyDescent="0.25">
      <c r="A619">
        <v>6542</v>
      </c>
      <c r="B619" t="s">
        <v>639</v>
      </c>
      <c r="C619">
        <v>44.35</v>
      </c>
      <c r="D619">
        <v>0.35</v>
      </c>
      <c r="E619">
        <v>44.3</v>
      </c>
      <c r="F619">
        <v>45</v>
      </c>
      <c r="G619">
        <v>44.3</v>
      </c>
      <c r="H619">
        <v>44.54</v>
      </c>
      <c r="I619" s="1">
        <v>19671</v>
      </c>
      <c r="J619" s="1">
        <v>876126</v>
      </c>
      <c r="K619">
        <v>21</v>
      </c>
      <c r="L619">
        <v>44.3</v>
      </c>
      <c r="M619">
        <v>44.95</v>
      </c>
      <c r="N619" s="1">
        <v>31500630</v>
      </c>
      <c r="O619">
        <v>44.35</v>
      </c>
      <c r="P619">
        <v>48.75</v>
      </c>
      <c r="Q619">
        <v>39.950000000000003</v>
      </c>
    </row>
    <row r="620" spans="1:17" x14ac:dyDescent="0.25">
      <c r="A620">
        <v>6548</v>
      </c>
      <c r="B620" t="s">
        <v>640</v>
      </c>
      <c r="C620">
        <v>435.5</v>
      </c>
      <c r="D620">
        <v>2</v>
      </c>
      <c r="E620">
        <v>430.5</v>
      </c>
      <c r="F620">
        <v>440</v>
      </c>
      <c r="G620">
        <v>428</v>
      </c>
      <c r="H620">
        <v>433.62</v>
      </c>
      <c r="I620" s="1">
        <v>183046</v>
      </c>
      <c r="J620" s="1">
        <v>79372533</v>
      </c>
      <c r="K620">
        <v>152</v>
      </c>
      <c r="L620">
        <v>435</v>
      </c>
      <c r="M620">
        <v>435.5</v>
      </c>
      <c r="N620" s="1">
        <v>36107105</v>
      </c>
      <c r="O620">
        <v>435.5</v>
      </c>
      <c r="P620">
        <v>479</v>
      </c>
      <c r="Q620">
        <v>392</v>
      </c>
    </row>
    <row r="621" spans="1:17" x14ac:dyDescent="0.25">
      <c r="A621">
        <v>6554</v>
      </c>
      <c r="B621" t="s">
        <v>641</v>
      </c>
      <c r="C621">
        <v>69.7</v>
      </c>
      <c r="D621">
        <v>0.2</v>
      </c>
      <c r="E621">
        <v>69.8</v>
      </c>
      <c r="F621">
        <v>70.2</v>
      </c>
      <c r="G621">
        <v>69.7</v>
      </c>
      <c r="H621">
        <v>69.92</v>
      </c>
      <c r="I621" s="1">
        <v>5077339</v>
      </c>
      <c r="J621" s="1">
        <v>355009588</v>
      </c>
      <c r="K621" s="1">
        <v>1140</v>
      </c>
      <c r="L621">
        <v>69.7</v>
      </c>
      <c r="M621">
        <v>69.8</v>
      </c>
      <c r="N621" s="1">
        <v>143670354</v>
      </c>
      <c r="O621">
        <v>69.7</v>
      </c>
      <c r="P621">
        <v>76.599999999999994</v>
      </c>
      <c r="Q621">
        <v>62.8</v>
      </c>
    </row>
    <row r="622" spans="1:17" x14ac:dyDescent="0.25">
      <c r="A622">
        <v>6556</v>
      </c>
      <c r="B622" t="s">
        <v>1408</v>
      </c>
      <c r="C622">
        <v>36.450000000000003</v>
      </c>
      <c r="D622">
        <v>0.25</v>
      </c>
      <c r="E622">
        <v>36</v>
      </c>
      <c r="F622">
        <v>36.5</v>
      </c>
      <c r="G622">
        <v>36</v>
      </c>
      <c r="H622">
        <v>36.270000000000003</v>
      </c>
      <c r="I622" s="1">
        <v>44520</v>
      </c>
      <c r="J622" s="1">
        <v>1614872</v>
      </c>
      <c r="K622">
        <v>16</v>
      </c>
      <c r="L622">
        <v>35.4</v>
      </c>
      <c r="M622">
        <v>36.5</v>
      </c>
      <c r="N622" s="1">
        <v>23000000</v>
      </c>
      <c r="O622">
        <v>36.450000000000003</v>
      </c>
      <c r="P622">
        <v>40.049999999999997</v>
      </c>
      <c r="Q622">
        <v>32.85</v>
      </c>
    </row>
    <row r="623" spans="1:17" x14ac:dyDescent="0.25">
      <c r="A623">
        <v>6560</v>
      </c>
      <c r="B623" t="s">
        <v>642</v>
      </c>
      <c r="C623">
        <v>34.35</v>
      </c>
      <c r="D623">
        <v>0.25</v>
      </c>
      <c r="E623">
        <v>35</v>
      </c>
      <c r="F623">
        <v>35.200000000000003</v>
      </c>
      <c r="G623">
        <v>34.299999999999997</v>
      </c>
      <c r="H623">
        <v>34.729999999999997</v>
      </c>
      <c r="I623" s="1">
        <v>31000</v>
      </c>
      <c r="J623" s="1">
        <v>1076550</v>
      </c>
      <c r="K623" s="1">
        <v>28</v>
      </c>
      <c r="L623">
        <v>34.35</v>
      </c>
      <c r="M623">
        <v>34.450000000000003</v>
      </c>
      <c r="N623" s="1">
        <v>17151446</v>
      </c>
      <c r="O623">
        <v>34.35</v>
      </c>
      <c r="P623">
        <v>37.75</v>
      </c>
      <c r="Q623">
        <v>30.95</v>
      </c>
    </row>
    <row r="624" spans="1:17" x14ac:dyDescent="0.25">
      <c r="A624">
        <v>6568</v>
      </c>
      <c r="B624" t="s">
        <v>643</v>
      </c>
      <c r="C624">
        <v>174</v>
      </c>
      <c r="D624">
        <v>-1</v>
      </c>
      <c r="E624">
        <v>176</v>
      </c>
      <c r="F624">
        <v>178.5</v>
      </c>
      <c r="G624">
        <v>173</v>
      </c>
      <c r="H624">
        <v>176.25</v>
      </c>
      <c r="I624" s="1">
        <v>76010</v>
      </c>
      <c r="J624" s="1">
        <v>13396755</v>
      </c>
      <c r="K624">
        <v>67</v>
      </c>
      <c r="L624">
        <v>174</v>
      </c>
      <c r="M624">
        <v>175</v>
      </c>
      <c r="N624" s="1">
        <v>24700900</v>
      </c>
      <c r="O624">
        <v>174</v>
      </c>
      <c r="P624">
        <v>191</v>
      </c>
      <c r="Q624">
        <v>157</v>
      </c>
    </row>
    <row r="625" spans="1:17" x14ac:dyDescent="0.25">
      <c r="A625">
        <v>6569</v>
      </c>
      <c r="B625" t="s">
        <v>644</v>
      </c>
      <c r="C625">
        <v>159</v>
      </c>
      <c r="D625">
        <v>3</v>
      </c>
      <c r="E625">
        <v>156.5</v>
      </c>
      <c r="F625">
        <v>159</v>
      </c>
      <c r="G625">
        <v>156.5</v>
      </c>
      <c r="H625">
        <v>158.16999999999999</v>
      </c>
      <c r="I625" s="1">
        <v>27110</v>
      </c>
      <c r="J625" s="1">
        <v>4287865</v>
      </c>
      <c r="K625">
        <v>28</v>
      </c>
      <c r="L625">
        <v>158.5</v>
      </c>
      <c r="M625">
        <v>159.5</v>
      </c>
      <c r="N625" s="1">
        <v>20007471</v>
      </c>
      <c r="O625">
        <v>159</v>
      </c>
      <c r="P625">
        <v>174.5</v>
      </c>
      <c r="Q625">
        <v>143.5</v>
      </c>
    </row>
    <row r="626" spans="1:17" x14ac:dyDescent="0.25">
      <c r="A626">
        <v>6570</v>
      </c>
      <c r="B626" t="s">
        <v>1409</v>
      </c>
      <c r="C626">
        <v>28</v>
      </c>
      <c r="D626">
        <v>0.15</v>
      </c>
      <c r="E626">
        <v>28</v>
      </c>
      <c r="F626">
        <v>28</v>
      </c>
      <c r="G626">
        <v>27.8</v>
      </c>
      <c r="H626">
        <v>27.94</v>
      </c>
      <c r="I626" s="1">
        <v>85000</v>
      </c>
      <c r="J626" s="1">
        <v>2375150</v>
      </c>
      <c r="K626">
        <v>45</v>
      </c>
      <c r="L626">
        <v>27.85</v>
      </c>
      <c r="M626">
        <v>28</v>
      </c>
      <c r="N626" s="1">
        <v>27104664</v>
      </c>
      <c r="O626">
        <v>28</v>
      </c>
      <c r="P626">
        <v>30.8</v>
      </c>
      <c r="Q626">
        <v>25.2</v>
      </c>
    </row>
    <row r="627" spans="1:17" x14ac:dyDescent="0.25">
      <c r="A627">
        <v>6574</v>
      </c>
      <c r="B627" t="s">
        <v>1410</v>
      </c>
      <c r="C627">
        <v>134</v>
      </c>
      <c r="D627">
        <v>4</v>
      </c>
      <c r="E627">
        <v>130</v>
      </c>
      <c r="F627">
        <v>134</v>
      </c>
      <c r="G627">
        <v>129</v>
      </c>
      <c r="H627">
        <v>132.06</v>
      </c>
      <c r="I627" s="1">
        <v>18001</v>
      </c>
      <c r="J627" s="1">
        <v>2377134</v>
      </c>
      <c r="K627">
        <v>16</v>
      </c>
      <c r="L627">
        <v>128.5</v>
      </c>
      <c r="M627">
        <v>135</v>
      </c>
      <c r="N627" s="1">
        <v>21990000</v>
      </c>
      <c r="O627">
        <v>134</v>
      </c>
      <c r="P627">
        <v>147</v>
      </c>
      <c r="Q627">
        <v>121</v>
      </c>
    </row>
    <row r="628" spans="1:17" x14ac:dyDescent="0.25">
      <c r="A628">
        <v>6577</v>
      </c>
      <c r="B628" t="s">
        <v>645</v>
      </c>
      <c r="C628">
        <v>58.3</v>
      </c>
      <c r="D628">
        <v>0</v>
      </c>
      <c r="E628">
        <v>58.3</v>
      </c>
      <c r="F628">
        <v>58.4</v>
      </c>
      <c r="G628">
        <v>58</v>
      </c>
      <c r="H628">
        <v>58.25</v>
      </c>
      <c r="I628" s="1">
        <v>25000</v>
      </c>
      <c r="J628" s="1">
        <v>1456300</v>
      </c>
      <c r="K628">
        <v>19</v>
      </c>
      <c r="L628">
        <v>58.1</v>
      </c>
      <c r="M628">
        <v>58.3</v>
      </c>
      <c r="N628" s="1">
        <v>38254870</v>
      </c>
      <c r="O628">
        <v>58.3</v>
      </c>
      <c r="P628">
        <v>64.099999999999994</v>
      </c>
      <c r="Q628">
        <v>52.5</v>
      </c>
    </row>
    <row r="629" spans="1:17" x14ac:dyDescent="0.25">
      <c r="A629">
        <v>6593</v>
      </c>
      <c r="B629" t="s">
        <v>1411</v>
      </c>
      <c r="C629">
        <v>41.7</v>
      </c>
      <c r="D629">
        <v>-0.2</v>
      </c>
      <c r="E629">
        <v>42.2</v>
      </c>
      <c r="F629">
        <v>42.2</v>
      </c>
      <c r="G629">
        <v>41.6</v>
      </c>
      <c r="H629">
        <v>41.82</v>
      </c>
      <c r="I629" s="1">
        <v>46500</v>
      </c>
      <c r="J629" s="1">
        <v>1944700</v>
      </c>
      <c r="K629">
        <v>38</v>
      </c>
      <c r="L629">
        <v>41.7</v>
      </c>
      <c r="M629">
        <v>41.9</v>
      </c>
      <c r="N629" s="1">
        <v>19565901</v>
      </c>
      <c r="O629">
        <v>41.7</v>
      </c>
      <c r="P629">
        <v>45.85</v>
      </c>
      <c r="Q629">
        <v>37.549999999999997</v>
      </c>
    </row>
    <row r="630" spans="1:17" x14ac:dyDescent="0.25">
      <c r="A630">
        <v>6594</v>
      </c>
      <c r="B630" t="s">
        <v>646</v>
      </c>
      <c r="C630">
        <v>29.8</v>
      </c>
      <c r="D630">
        <v>-0.15</v>
      </c>
      <c r="E630">
        <v>30</v>
      </c>
      <c r="F630">
        <v>30</v>
      </c>
      <c r="G630">
        <v>29.5</v>
      </c>
      <c r="H630">
        <v>29.63</v>
      </c>
      <c r="I630" s="1">
        <v>39000</v>
      </c>
      <c r="J630" s="1">
        <v>1155650</v>
      </c>
      <c r="K630">
        <v>34</v>
      </c>
      <c r="L630">
        <v>29.75</v>
      </c>
      <c r="M630">
        <v>30.05</v>
      </c>
      <c r="N630" s="1">
        <v>19300000</v>
      </c>
      <c r="O630">
        <v>29.8</v>
      </c>
      <c r="P630">
        <v>32.75</v>
      </c>
      <c r="Q630">
        <v>26.85</v>
      </c>
    </row>
    <row r="631" spans="1:17" x14ac:dyDescent="0.25">
      <c r="A631">
        <v>6603</v>
      </c>
      <c r="B631" t="s">
        <v>647</v>
      </c>
      <c r="C631">
        <v>16.75</v>
      </c>
      <c r="D631">
        <v>0.15</v>
      </c>
      <c r="E631">
        <v>17.05</v>
      </c>
      <c r="F631">
        <v>18.2</v>
      </c>
      <c r="G631">
        <v>16.3</v>
      </c>
      <c r="H631">
        <v>17.11</v>
      </c>
      <c r="I631" s="1">
        <v>20464060</v>
      </c>
      <c r="J631" s="1">
        <v>350213918</v>
      </c>
      <c r="K631" s="1">
        <v>7356</v>
      </c>
      <c r="L631">
        <v>16.75</v>
      </c>
      <c r="M631">
        <v>16.8</v>
      </c>
      <c r="N631" s="1">
        <v>131190264</v>
      </c>
      <c r="O631">
        <v>16.75</v>
      </c>
      <c r="P631">
        <v>18.399999999999999</v>
      </c>
      <c r="Q631">
        <v>15.1</v>
      </c>
    </row>
    <row r="632" spans="1:17" x14ac:dyDescent="0.25">
      <c r="A632">
        <v>6609</v>
      </c>
      <c r="B632" t="s">
        <v>648</v>
      </c>
      <c r="C632">
        <v>26.7</v>
      </c>
      <c r="D632">
        <v>-0.05</v>
      </c>
      <c r="E632">
        <v>26.95</v>
      </c>
      <c r="F632">
        <v>27.3</v>
      </c>
      <c r="G632">
        <v>26.7</v>
      </c>
      <c r="H632">
        <v>26.82</v>
      </c>
      <c r="I632" s="1">
        <v>216624</v>
      </c>
      <c r="J632" s="1">
        <v>5810260</v>
      </c>
      <c r="K632">
        <v>107</v>
      </c>
      <c r="L632">
        <v>26.7</v>
      </c>
      <c r="M632">
        <v>26.75</v>
      </c>
      <c r="N632" s="1">
        <v>71035535</v>
      </c>
      <c r="O632">
        <v>26.7</v>
      </c>
      <c r="P632">
        <v>29.35</v>
      </c>
      <c r="Q632">
        <v>24.05</v>
      </c>
    </row>
    <row r="633" spans="1:17" x14ac:dyDescent="0.25">
      <c r="A633">
        <v>6613</v>
      </c>
      <c r="B633" t="s">
        <v>1412</v>
      </c>
      <c r="C633">
        <v>179</v>
      </c>
      <c r="D633">
        <v>-1.5</v>
      </c>
      <c r="E633">
        <v>179</v>
      </c>
      <c r="F633">
        <v>184</v>
      </c>
      <c r="G633">
        <v>176</v>
      </c>
      <c r="H633">
        <v>179.47</v>
      </c>
      <c r="I633" s="1">
        <v>698376</v>
      </c>
      <c r="J633" s="1">
        <v>125338304</v>
      </c>
      <c r="K633">
        <v>597</v>
      </c>
      <c r="L633">
        <v>179</v>
      </c>
      <c r="M633">
        <v>179.5</v>
      </c>
      <c r="N633" s="1">
        <v>33928000</v>
      </c>
      <c r="O633">
        <v>179</v>
      </c>
      <c r="P633">
        <v>9995</v>
      </c>
      <c r="Q633">
        <v>0.01</v>
      </c>
    </row>
    <row r="634" spans="1:17" x14ac:dyDescent="0.25">
      <c r="A634">
        <v>6803</v>
      </c>
      <c r="B634" t="s">
        <v>649</v>
      </c>
      <c r="C634">
        <v>164.5</v>
      </c>
      <c r="D634">
        <v>-1</v>
      </c>
      <c r="E634">
        <v>165.5</v>
      </c>
      <c r="F634">
        <v>166</v>
      </c>
      <c r="G634">
        <v>164.5</v>
      </c>
      <c r="H634">
        <v>165.36</v>
      </c>
      <c r="I634" s="1">
        <v>144199</v>
      </c>
      <c r="J634" s="1">
        <v>23844433</v>
      </c>
      <c r="K634">
        <v>128</v>
      </c>
      <c r="L634">
        <v>164.5</v>
      </c>
      <c r="M634">
        <v>166</v>
      </c>
      <c r="N634" s="1">
        <v>66804398</v>
      </c>
      <c r="O634">
        <v>164.5</v>
      </c>
      <c r="P634">
        <v>180.5</v>
      </c>
      <c r="Q634">
        <v>148.5</v>
      </c>
    </row>
    <row r="635" spans="1:17" x14ac:dyDescent="0.25">
      <c r="A635" t="s">
        <v>1413</v>
      </c>
      <c r="B635" t="s">
        <v>1414</v>
      </c>
      <c r="C635">
        <v>0.3</v>
      </c>
      <c r="D635">
        <v>-0.01</v>
      </c>
      <c r="E635">
        <v>0.3</v>
      </c>
      <c r="F635">
        <v>0.3</v>
      </c>
      <c r="G635">
        <v>0.28999999999999998</v>
      </c>
      <c r="H635">
        <v>0.3</v>
      </c>
      <c r="I635" s="1">
        <v>41000</v>
      </c>
      <c r="J635" s="1">
        <v>12280</v>
      </c>
      <c r="K635">
        <v>4</v>
      </c>
      <c r="L635">
        <v>0.3</v>
      </c>
      <c r="M635">
        <v>0.31</v>
      </c>
      <c r="N635" s="1">
        <v>10000000</v>
      </c>
      <c r="O635">
        <v>0.3</v>
      </c>
      <c r="P635">
        <v>0.69</v>
      </c>
      <c r="Q635">
        <v>0.01</v>
      </c>
    </row>
    <row r="636" spans="1:17" x14ac:dyDescent="0.25">
      <c r="A636" t="s">
        <v>650</v>
      </c>
      <c r="B636" t="s">
        <v>651</v>
      </c>
      <c r="C636">
        <v>3.1</v>
      </c>
      <c r="D636">
        <v>-0.01</v>
      </c>
      <c r="E636">
        <v>3.12</v>
      </c>
      <c r="F636">
        <v>3.12</v>
      </c>
      <c r="G636">
        <v>3.1</v>
      </c>
      <c r="H636">
        <v>3.1</v>
      </c>
      <c r="I636" s="1">
        <v>110000</v>
      </c>
      <c r="J636" s="1">
        <v>341200</v>
      </c>
      <c r="K636">
        <v>2</v>
      </c>
      <c r="L636">
        <v>3.12</v>
      </c>
      <c r="M636">
        <v>3.13</v>
      </c>
      <c r="N636" s="1">
        <v>20000000</v>
      </c>
      <c r="O636">
        <v>3.1</v>
      </c>
      <c r="P636">
        <v>9995</v>
      </c>
      <c r="Q636">
        <v>0.01</v>
      </c>
    </row>
    <row r="637" spans="1:17" x14ac:dyDescent="0.25">
      <c r="A637" t="s">
        <v>652</v>
      </c>
      <c r="B637" t="s">
        <v>653</v>
      </c>
      <c r="C637">
        <v>4.0599999999999996</v>
      </c>
      <c r="D637">
        <v>0</v>
      </c>
      <c r="E637">
        <v>4.07</v>
      </c>
      <c r="F637">
        <v>4.07</v>
      </c>
      <c r="G637">
        <v>4.0599999999999996</v>
      </c>
      <c r="H637">
        <v>4.0599999999999996</v>
      </c>
      <c r="I637" s="1">
        <v>12000</v>
      </c>
      <c r="J637" s="1">
        <v>48780</v>
      </c>
      <c r="K637">
        <v>2</v>
      </c>
      <c r="L637">
        <v>4.05</v>
      </c>
      <c r="M637">
        <v>4.0599999999999996</v>
      </c>
      <c r="N637" s="1">
        <v>20000000</v>
      </c>
      <c r="O637">
        <v>4.0599999999999996</v>
      </c>
      <c r="P637">
        <v>9995</v>
      </c>
      <c r="Q637">
        <v>0.01</v>
      </c>
    </row>
    <row r="638" spans="1:17" x14ac:dyDescent="0.25">
      <c r="A638" t="s">
        <v>654</v>
      </c>
      <c r="B638" t="s">
        <v>655</v>
      </c>
      <c r="C638" t="s">
        <v>78</v>
      </c>
      <c r="D638" t="s">
        <v>78</v>
      </c>
      <c r="E638" t="s">
        <v>78</v>
      </c>
      <c r="F638" t="s">
        <v>78</v>
      </c>
      <c r="G638" t="s">
        <v>78</v>
      </c>
      <c r="H638">
        <v>9.64</v>
      </c>
      <c r="I638" s="1">
        <v>0</v>
      </c>
      <c r="J638" s="1">
        <v>0</v>
      </c>
      <c r="K638">
        <v>0</v>
      </c>
      <c r="L638">
        <v>0</v>
      </c>
      <c r="M638">
        <v>0</v>
      </c>
      <c r="N638" s="1">
        <v>5000000</v>
      </c>
      <c r="O638">
        <v>10.1</v>
      </c>
      <c r="P638">
        <v>11.8</v>
      </c>
      <c r="Q638">
        <v>8.4</v>
      </c>
    </row>
    <row r="639" spans="1:17" x14ac:dyDescent="0.25">
      <c r="A639" t="s">
        <v>835</v>
      </c>
      <c r="B639" t="s">
        <v>836</v>
      </c>
      <c r="C639" t="s">
        <v>78</v>
      </c>
      <c r="D639" t="s">
        <v>78</v>
      </c>
      <c r="E639" t="s">
        <v>78</v>
      </c>
      <c r="F639" t="s">
        <v>78</v>
      </c>
      <c r="G639" t="s">
        <v>78</v>
      </c>
      <c r="H639">
        <v>8.65</v>
      </c>
      <c r="I639" s="1">
        <v>0</v>
      </c>
      <c r="J639" s="1">
        <v>0</v>
      </c>
      <c r="K639">
        <v>0</v>
      </c>
      <c r="L639">
        <v>9.1</v>
      </c>
      <c r="M639">
        <v>9.1999999999999993</v>
      </c>
      <c r="N639" s="1">
        <v>5000000</v>
      </c>
      <c r="O639">
        <v>9.1</v>
      </c>
      <c r="P639">
        <v>10.7</v>
      </c>
      <c r="Q639">
        <v>7.5</v>
      </c>
    </row>
    <row r="640" spans="1:17" x14ac:dyDescent="0.25">
      <c r="A640" t="s">
        <v>1415</v>
      </c>
      <c r="B640" t="s">
        <v>1416</v>
      </c>
      <c r="C640" t="s">
        <v>78</v>
      </c>
      <c r="D640" t="s">
        <v>78</v>
      </c>
      <c r="E640" t="s">
        <v>78</v>
      </c>
      <c r="F640" t="s">
        <v>78</v>
      </c>
      <c r="G640" t="s">
        <v>78</v>
      </c>
      <c r="H640">
        <v>0.03</v>
      </c>
      <c r="I640" s="1">
        <v>0</v>
      </c>
      <c r="J640" s="1">
        <v>0</v>
      </c>
      <c r="K640">
        <v>0</v>
      </c>
      <c r="L640">
        <v>0</v>
      </c>
      <c r="M640">
        <v>0.01</v>
      </c>
      <c r="N640" s="1">
        <v>10000000</v>
      </c>
      <c r="O640">
        <v>0.01</v>
      </c>
      <c r="P640">
        <v>0.75</v>
      </c>
      <c r="Q640">
        <v>0.01</v>
      </c>
    </row>
    <row r="641" spans="1:17" x14ac:dyDescent="0.25">
      <c r="A641" t="s">
        <v>656</v>
      </c>
      <c r="B641" t="s">
        <v>657</v>
      </c>
      <c r="C641" t="s">
        <v>78</v>
      </c>
      <c r="D641" t="s">
        <v>78</v>
      </c>
      <c r="E641" t="s">
        <v>78</v>
      </c>
      <c r="F641" t="s">
        <v>78</v>
      </c>
      <c r="G641" t="s">
        <v>78</v>
      </c>
      <c r="H641">
        <v>17.5</v>
      </c>
      <c r="I641" s="1">
        <v>0</v>
      </c>
      <c r="J641" s="1">
        <v>0</v>
      </c>
      <c r="K641">
        <v>0</v>
      </c>
      <c r="L641">
        <v>15.7</v>
      </c>
      <c r="M641">
        <v>16.100000000000001</v>
      </c>
      <c r="N641" s="1">
        <v>5000000</v>
      </c>
      <c r="O641">
        <v>15.7</v>
      </c>
      <c r="P641">
        <v>18</v>
      </c>
      <c r="Q641">
        <v>13.4</v>
      </c>
    </row>
    <row r="642" spans="1:17" x14ac:dyDescent="0.25">
      <c r="A642" t="s">
        <v>658</v>
      </c>
      <c r="B642" t="s">
        <v>659</v>
      </c>
      <c r="C642" t="s">
        <v>78</v>
      </c>
      <c r="D642" t="s">
        <v>78</v>
      </c>
      <c r="E642" t="s">
        <v>78</v>
      </c>
      <c r="F642" t="s">
        <v>78</v>
      </c>
      <c r="G642" t="s">
        <v>78</v>
      </c>
      <c r="H642">
        <v>37.299999999999997</v>
      </c>
      <c r="I642" s="1">
        <v>0</v>
      </c>
      <c r="J642" s="1">
        <v>0</v>
      </c>
      <c r="K642">
        <v>0</v>
      </c>
      <c r="L642">
        <v>36.200000000000003</v>
      </c>
      <c r="M642">
        <v>36.4</v>
      </c>
      <c r="N642" s="1">
        <v>5000000</v>
      </c>
      <c r="O642">
        <v>36.4</v>
      </c>
      <c r="P642">
        <v>41.3</v>
      </c>
      <c r="Q642">
        <v>31.4</v>
      </c>
    </row>
    <row r="643" spans="1:17" x14ac:dyDescent="0.25">
      <c r="A643" t="s">
        <v>1417</v>
      </c>
      <c r="B643" t="s">
        <v>1418</v>
      </c>
      <c r="C643" t="s">
        <v>78</v>
      </c>
      <c r="D643" t="s">
        <v>78</v>
      </c>
      <c r="E643" t="s">
        <v>78</v>
      </c>
      <c r="F643" t="s">
        <v>78</v>
      </c>
      <c r="G643" t="s">
        <v>78</v>
      </c>
      <c r="H643">
        <v>27.1</v>
      </c>
      <c r="I643" s="1">
        <v>0</v>
      </c>
      <c r="J643" s="1">
        <v>0</v>
      </c>
      <c r="K643">
        <v>0</v>
      </c>
      <c r="L643">
        <v>27.4</v>
      </c>
      <c r="M643">
        <v>27.6</v>
      </c>
      <c r="N643" s="1">
        <v>12000000</v>
      </c>
      <c r="O643">
        <v>27.6</v>
      </c>
      <c r="P643">
        <v>30.9</v>
      </c>
      <c r="Q643">
        <v>24.3</v>
      </c>
    </row>
    <row r="644" spans="1:17" x14ac:dyDescent="0.25">
      <c r="A644" t="s">
        <v>1419</v>
      </c>
      <c r="B644" t="s">
        <v>1420</v>
      </c>
      <c r="C644" t="s">
        <v>78</v>
      </c>
      <c r="D644" t="s">
        <v>78</v>
      </c>
      <c r="E644" t="s">
        <v>78</v>
      </c>
      <c r="F644" t="s">
        <v>78</v>
      </c>
      <c r="G644" t="s">
        <v>78</v>
      </c>
      <c r="H644">
        <v>1.1299999999999999</v>
      </c>
      <c r="I644" s="1">
        <v>0</v>
      </c>
      <c r="J644" s="1">
        <v>0</v>
      </c>
      <c r="K644">
        <v>0</v>
      </c>
      <c r="L644">
        <v>0.5</v>
      </c>
      <c r="M644">
        <v>0.52</v>
      </c>
      <c r="N644" s="1">
        <v>10000000</v>
      </c>
      <c r="O644">
        <v>0.52</v>
      </c>
      <c r="P644">
        <v>1.1599999999999999</v>
      </c>
      <c r="Q644">
        <v>0.01</v>
      </c>
    </row>
    <row r="645" spans="1:17" x14ac:dyDescent="0.25">
      <c r="A645" t="s">
        <v>1421</v>
      </c>
      <c r="B645" t="s">
        <v>1422</v>
      </c>
      <c r="C645" t="s">
        <v>78</v>
      </c>
      <c r="D645" t="s">
        <v>78</v>
      </c>
      <c r="E645" t="s">
        <v>78</v>
      </c>
      <c r="F645" t="s">
        <v>78</v>
      </c>
      <c r="G645" t="s">
        <v>78</v>
      </c>
      <c r="H645">
        <v>0.02</v>
      </c>
      <c r="I645" s="1">
        <v>0</v>
      </c>
      <c r="J645" s="1">
        <v>0</v>
      </c>
      <c r="K645">
        <v>0</v>
      </c>
      <c r="L645">
        <v>0.01</v>
      </c>
      <c r="M645">
        <v>0.02</v>
      </c>
      <c r="N645" s="1">
        <v>10000000</v>
      </c>
      <c r="O645">
        <v>0.02</v>
      </c>
      <c r="P645">
        <v>0.88</v>
      </c>
      <c r="Q645">
        <v>0.01</v>
      </c>
    </row>
    <row r="646" spans="1:17" x14ac:dyDescent="0.25">
      <c r="A646" t="s">
        <v>1423</v>
      </c>
      <c r="B646" t="s">
        <v>1424</v>
      </c>
      <c r="C646" t="s">
        <v>78</v>
      </c>
      <c r="D646" t="s">
        <v>78</v>
      </c>
      <c r="E646" t="s">
        <v>78</v>
      </c>
      <c r="F646" t="s">
        <v>78</v>
      </c>
      <c r="G646" t="s">
        <v>78</v>
      </c>
      <c r="H646">
        <v>7.0000000000000007E-2</v>
      </c>
      <c r="I646" s="1">
        <v>0</v>
      </c>
      <c r="J646" s="1">
        <v>0</v>
      </c>
      <c r="K646">
        <v>0</v>
      </c>
      <c r="L646">
        <v>0</v>
      </c>
      <c r="M646">
        <v>0</v>
      </c>
      <c r="N646" s="1">
        <v>10000000</v>
      </c>
      <c r="O646">
        <v>0.04</v>
      </c>
      <c r="P646">
        <v>1.2</v>
      </c>
      <c r="Q646">
        <v>0.01</v>
      </c>
    </row>
    <row r="647" spans="1:17" x14ac:dyDescent="0.25">
      <c r="A647" t="s">
        <v>1425</v>
      </c>
      <c r="B647" t="s">
        <v>1426</v>
      </c>
      <c r="C647" t="s">
        <v>78</v>
      </c>
      <c r="D647" t="s">
        <v>78</v>
      </c>
      <c r="E647" t="s">
        <v>78</v>
      </c>
      <c r="F647" t="s">
        <v>78</v>
      </c>
      <c r="G647" t="s">
        <v>78</v>
      </c>
      <c r="H647">
        <v>0.15</v>
      </c>
      <c r="I647" s="1">
        <v>0</v>
      </c>
      <c r="J647" s="1">
        <v>0</v>
      </c>
      <c r="K647">
        <v>0</v>
      </c>
      <c r="L647">
        <v>0</v>
      </c>
      <c r="M647">
        <v>0.01</v>
      </c>
      <c r="N647" s="1">
        <v>10000000</v>
      </c>
      <c r="O647">
        <v>0.01</v>
      </c>
      <c r="P647">
        <v>0.89</v>
      </c>
      <c r="Q647">
        <v>0.01</v>
      </c>
    </row>
    <row r="648" spans="1:17" x14ac:dyDescent="0.25">
      <c r="A648" t="s">
        <v>1427</v>
      </c>
      <c r="B648" t="s">
        <v>1428</v>
      </c>
      <c r="C648" t="s">
        <v>78</v>
      </c>
      <c r="D648" t="s">
        <v>78</v>
      </c>
      <c r="E648" t="s">
        <v>78</v>
      </c>
      <c r="F648" t="s">
        <v>78</v>
      </c>
      <c r="G648" t="s">
        <v>78</v>
      </c>
      <c r="H648">
        <v>0.02</v>
      </c>
      <c r="I648" s="1">
        <v>0</v>
      </c>
      <c r="J648" s="1">
        <v>0</v>
      </c>
      <c r="K648">
        <v>0</v>
      </c>
      <c r="L648">
        <v>0</v>
      </c>
      <c r="M648">
        <v>0.02</v>
      </c>
      <c r="N648" s="1">
        <v>5000000</v>
      </c>
      <c r="O648">
        <v>0.01</v>
      </c>
      <c r="P648">
        <v>1.1499999999999999</v>
      </c>
      <c r="Q648">
        <v>0.01</v>
      </c>
    </row>
    <row r="649" spans="1:17" x14ac:dyDescent="0.25">
      <c r="A649" t="s">
        <v>1429</v>
      </c>
      <c r="B649" t="s">
        <v>1430</v>
      </c>
      <c r="C649" t="s">
        <v>78</v>
      </c>
      <c r="D649" t="s">
        <v>78</v>
      </c>
      <c r="E649" t="s">
        <v>78</v>
      </c>
      <c r="F649" t="s">
        <v>78</v>
      </c>
      <c r="G649" t="s">
        <v>78</v>
      </c>
      <c r="H649">
        <v>0.04</v>
      </c>
      <c r="I649" s="1">
        <v>0</v>
      </c>
      <c r="J649" s="1">
        <v>0</v>
      </c>
      <c r="K649">
        <v>0</v>
      </c>
      <c r="L649">
        <v>0.01</v>
      </c>
      <c r="M649">
        <v>0.02</v>
      </c>
      <c r="N649" s="1">
        <v>10000000</v>
      </c>
      <c r="O649">
        <v>0.02</v>
      </c>
      <c r="P649">
        <v>1</v>
      </c>
      <c r="Q649">
        <v>0.01</v>
      </c>
    </row>
    <row r="650" spans="1:17" x14ac:dyDescent="0.25">
      <c r="A650" t="s">
        <v>1431</v>
      </c>
      <c r="B650" t="s">
        <v>1432</v>
      </c>
      <c r="C650" t="s">
        <v>78</v>
      </c>
      <c r="D650" t="s">
        <v>78</v>
      </c>
      <c r="E650" t="s">
        <v>78</v>
      </c>
      <c r="F650" t="s">
        <v>78</v>
      </c>
      <c r="G650" t="s">
        <v>78</v>
      </c>
      <c r="H650">
        <v>0.14000000000000001</v>
      </c>
      <c r="I650" s="1">
        <v>0</v>
      </c>
      <c r="J650" s="1">
        <v>0</v>
      </c>
      <c r="K650">
        <v>0</v>
      </c>
      <c r="L650">
        <v>0.09</v>
      </c>
      <c r="M650">
        <v>0.1</v>
      </c>
      <c r="N650" s="1">
        <v>10000000</v>
      </c>
      <c r="O650">
        <v>0.1</v>
      </c>
      <c r="P650">
        <v>0.55000000000000004</v>
      </c>
      <c r="Q650">
        <v>0.01</v>
      </c>
    </row>
    <row r="651" spans="1:17" x14ac:dyDescent="0.25">
      <c r="A651" t="s">
        <v>1433</v>
      </c>
      <c r="B651" t="s">
        <v>1434</v>
      </c>
      <c r="C651" t="s">
        <v>78</v>
      </c>
      <c r="D651" t="s">
        <v>78</v>
      </c>
      <c r="E651" t="s">
        <v>78</v>
      </c>
      <c r="F651" t="s">
        <v>78</v>
      </c>
      <c r="G651" t="s">
        <v>78</v>
      </c>
      <c r="H651">
        <v>0.13</v>
      </c>
      <c r="I651" s="1">
        <v>0</v>
      </c>
      <c r="J651" s="1">
        <v>0</v>
      </c>
      <c r="K651">
        <v>0</v>
      </c>
      <c r="L651">
        <v>0.04</v>
      </c>
      <c r="M651">
        <v>0.05</v>
      </c>
      <c r="N651" s="1">
        <v>10000000</v>
      </c>
      <c r="O651">
        <v>0.05</v>
      </c>
      <c r="P651">
        <v>1.04</v>
      </c>
      <c r="Q651">
        <v>0.01</v>
      </c>
    </row>
    <row r="652" spans="1:17" x14ac:dyDescent="0.25">
      <c r="A652" t="s">
        <v>1435</v>
      </c>
      <c r="B652" t="s">
        <v>1436</v>
      </c>
      <c r="C652" t="s">
        <v>78</v>
      </c>
      <c r="D652" t="s">
        <v>78</v>
      </c>
      <c r="E652" t="s">
        <v>78</v>
      </c>
      <c r="F652" t="s">
        <v>78</v>
      </c>
      <c r="G652" t="s">
        <v>78</v>
      </c>
      <c r="H652">
        <v>0.04</v>
      </c>
      <c r="I652" s="1">
        <v>0</v>
      </c>
      <c r="J652" s="1">
        <v>0</v>
      </c>
      <c r="K652">
        <v>0</v>
      </c>
      <c r="L652">
        <v>0</v>
      </c>
      <c r="M652">
        <v>0.01</v>
      </c>
      <c r="N652" s="1">
        <v>10000000</v>
      </c>
      <c r="O652">
        <v>0.01</v>
      </c>
      <c r="P652">
        <v>0.89</v>
      </c>
      <c r="Q652">
        <v>0.01</v>
      </c>
    </row>
    <row r="653" spans="1:17" x14ac:dyDescent="0.25">
      <c r="A653" t="s">
        <v>1437</v>
      </c>
      <c r="B653" t="s">
        <v>1438</v>
      </c>
      <c r="C653" t="s">
        <v>78</v>
      </c>
      <c r="D653" t="s">
        <v>78</v>
      </c>
      <c r="E653" t="s">
        <v>78</v>
      </c>
      <c r="F653" t="s">
        <v>78</v>
      </c>
      <c r="G653" t="s">
        <v>78</v>
      </c>
      <c r="H653">
        <v>2.9</v>
      </c>
      <c r="I653" s="1">
        <v>0</v>
      </c>
      <c r="J653" s="1">
        <v>0</v>
      </c>
      <c r="K653">
        <v>0</v>
      </c>
      <c r="L653">
        <v>2.6</v>
      </c>
      <c r="M653">
        <v>0</v>
      </c>
      <c r="N653" s="1">
        <v>10000000</v>
      </c>
      <c r="O653">
        <v>2.9</v>
      </c>
      <c r="P653">
        <v>3.34</v>
      </c>
      <c r="Q653">
        <v>2.46</v>
      </c>
    </row>
    <row r="654" spans="1:17" x14ac:dyDescent="0.25">
      <c r="A654" t="s">
        <v>1439</v>
      </c>
      <c r="B654" t="s">
        <v>1440</v>
      </c>
      <c r="C654" t="s">
        <v>78</v>
      </c>
      <c r="D654" t="s">
        <v>78</v>
      </c>
      <c r="E654" t="s">
        <v>78</v>
      </c>
      <c r="F654" t="s">
        <v>78</v>
      </c>
      <c r="G654" t="s">
        <v>78</v>
      </c>
      <c r="H654">
        <v>0.79</v>
      </c>
      <c r="I654" s="1">
        <v>0</v>
      </c>
      <c r="J654" s="1">
        <v>0</v>
      </c>
      <c r="K654">
        <v>0</v>
      </c>
      <c r="L654">
        <v>0.77</v>
      </c>
      <c r="M654">
        <v>0.78</v>
      </c>
      <c r="N654" s="1">
        <v>10000000</v>
      </c>
      <c r="O654">
        <v>0.78</v>
      </c>
      <c r="P654">
        <v>1.03</v>
      </c>
      <c r="Q654">
        <v>0.53</v>
      </c>
    </row>
    <row r="655" spans="1:17" x14ac:dyDescent="0.25">
      <c r="A655" t="s">
        <v>1441</v>
      </c>
      <c r="B655" t="s">
        <v>1442</v>
      </c>
      <c r="C655" t="s">
        <v>78</v>
      </c>
      <c r="D655" t="s">
        <v>78</v>
      </c>
      <c r="E655" t="s">
        <v>78</v>
      </c>
      <c r="F655" t="s">
        <v>78</v>
      </c>
      <c r="G655" t="s">
        <v>78</v>
      </c>
      <c r="H655">
        <v>0.34</v>
      </c>
      <c r="I655" s="1">
        <v>0</v>
      </c>
      <c r="J655" s="1">
        <v>0</v>
      </c>
      <c r="K655">
        <v>0</v>
      </c>
      <c r="L655">
        <v>0.27</v>
      </c>
      <c r="M655">
        <v>0.28999999999999998</v>
      </c>
      <c r="N655" s="1">
        <v>10000000</v>
      </c>
      <c r="O655">
        <v>0.27</v>
      </c>
      <c r="P655">
        <v>0.71</v>
      </c>
      <c r="Q655">
        <v>0.01</v>
      </c>
    </row>
    <row r="656" spans="1:17" x14ac:dyDescent="0.25">
      <c r="A656" t="s">
        <v>1443</v>
      </c>
      <c r="B656" t="s">
        <v>1444</v>
      </c>
      <c r="C656">
        <v>1.33</v>
      </c>
      <c r="D656">
        <v>0.28999999999999998</v>
      </c>
      <c r="E656">
        <v>1.33</v>
      </c>
      <c r="F656">
        <v>1.33</v>
      </c>
      <c r="G656">
        <v>1.33</v>
      </c>
      <c r="H656">
        <v>1.33</v>
      </c>
      <c r="I656" s="1">
        <v>5000</v>
      </c>
      <c r="J656" s="1">
        <v>6650</v>
      </c>
      <c r="K656">
        <v>1</v>
      </c>
      <c r="L656">
        <v>0.83</v>
      </c>
      <c r="M656">
        <v>0.87</v>
      </c>
      <c r="N656" s="1">
        <v>10000000</v>
      </c>
      <c r="O656">
        <v>1.33</v>
      </c>
      <c r="P656">
        <v>1.88</v>
      </c>
      <c r="Q656">
        <v>0.78</v>
      </c>
    </row>
    <row r="657" spans="1:17" x14ac:dyDescent="0.25">
      <c r="A657" t="s">
        <v>1445</v>
      </c>
      <c r="B657" t="s">
        <v>1446</v>
      </c>
      <c r="C657" t="s">
        <v>78</v>
      </c>
      <c r="D657" t="s">
        <v>78</v>
      </c>
      <c r="E657" t="s">
        <v>78</v>
      </c>
      <c r="F657" t="s">
        <v>78</v>
      </c>
      <c r="G657" t="s">
        <v>78</v>
      </c>
      <c r="H657">
        <v>0.3</v>
      </c>
      <c r="I657" s="1">
        <v>0</v>
      </c>
      <c r="J657" s="1">
        <v>0</v>
      </c>
      <c r="K657">
        <v>0</v>
      </c>
      <c r="L657">
        <v>0.31</v>
      </c>
      <c r="M657">
        <v>0.32</v>
      </c>
      <c r="N657" s="1">
        <v>10000000</v>
      </c>
      <c r="O657">
        <v>0.31</v>
      </c>
      <c r="P657">
        <v>1.23</v>
      </c>
      <c r="Q657">
        <v>0.01</v>
      </c>
    </row>
    <row r="658" spans="1:17" x14ac:dyDescent="0.25">
      <c r="A658" t="s">
        <v>1447</v>
      </c>
      <c r="B658" t="s">
        <v>1448</v>
      </c>
      <c r="C658" t="s">
        <v>78</v>
      </c>
      <c r="D658" t="s">
        <v>78</v>
      </c>
      <c r="E658" t="s">
        <v>78</v>
      </c>
      <c r="F658" t="s">
        <v>78</v>
      </c>
      <c r="G658" t="s">
        <v>78</v>
      </c>
      <c r="H658">
        <v>0.06</v>
      </c>
      <c r="I658" s="1">
        <v>0</v>
      </c>
      <c r="J658" s="1">
        <v>0</v>
      </c>
      <c r="K658">
        <v>0</v>
      </c>
      <c r="L658">
        <v>0.01</v>
      </c>
      <c r="M658">
        <v>0.04</v>
      </c>
      <c r="N658" s="1">
        <v>5000000</v>
      </c>
      <c r="O658">
        <v>0.04</v>
      </c>
      <c r="P658">
        <v>0.66</v>
      </c>
      <c r="Q658">
        <v>0.01</v>
      </c>
    </row>
    <row r="659" spans="1:17" x14ac:dyDescent="0.25">
      <c r="A659" t="s">
        <v>1449</v>
      </c>
      <c r="B659" t="s">
        <v>1450</v>
      </c>
      <c r="C659" t="s">
        <v>78</v>
      </c>
      <c r="D659" t="s">
        <v>78</v>
      </c>
      <c r="E659" t="s">
        <v>78</v>
      </c>
      <c r="F659" t="s">
        <v>78</v>
      </c>
      <c r="G659" t="s">
        <v>78</v>
      </c>
      <c r="H659">
        <v>0.05</v>
      </c>
      <c r="I659" s="1">
        <v>0</v>
      </c>
      <c r="J659" s="1">
        <v>0</v>
      </c>
      <c r="K659">
        <v>0</v>
      </c>
      <c r="L659">
        <v>0</v>
      </c>
      <c r="M659">
        <v>0.01</v>
      </c>
      <c r="N659" s="1">
        <v>5000000</v>
      </c>
      <c r="O659">
        <v>0.01</v>
      </c>
      <c r="P659">
        <v>2.02</v>
      </c>
      <c r="Q659">
        <v>0.01</v>
      </c>
    </row>
    <row r="660" spans="1:17" x14ac:dyDescent="0.25">
      <c r="A660" t="s">
        <v>1451</v>
      </c>
      <c r="B660" t="s">
        <v>1452</v>
      </c>
      <c r="C660" t="s">
        <v>78</v>
      </c>
      <c r="D660" t="s">
        <v>78</v>
      </c>
      <c r="E660" t="s">
        <v>78</v>
      </c>
      <c r="F660" t="s">
        <v>78</v>
      </c>
      <c r="G660" t="s">
        <v>78</v>
      </c>
      <c r="H660">
        <v>0.02</v>
      </c>
      <c r="I660" s="1">
        <v>0</v>
      </c>
      <c r="J660" s="1">
        <v>0</v>
      </c>
      <c r="K660">
        <v>0</v>
      </c>
      <c r="L660">
        <v>0</v>
      </c>
      <c r="M660">
        <v>0.01</v>
      </c>
      <c r="N660" s="1">
        <v>5000000</v>
      </c>
      <c r="O660">
        <v>0.01</v>
      </c>
      <c r="P660">
        <v>1.43</v>
      </c>
      <c r="Q660">
        <v>0.01</v>
      </c>
    </row>
    <row r="661" spans="1:17" x14ac:dyDescent="0.25">
      <c r="A661" t="s">
        <v>1453</v>
      </c>
      <c r="B661" t="s">
        <v>1454</v>
      </c>
      <c r="C661" t="s">
        <v>78</v>
      </c>
      <c r="D661" t="s">
        <v>78</v>
      </c>
      <c r="E661" t="s">
        <v>78</v>
      </c>
      <c r="F661" t="s">
        <v>78</v>
      </c>
      <c r="G661" t="s">
        <v>78</v>
      </c>
      <c r="H661">
        <v>0.93</v>
      </c>
      <c r="I661" s="1">
        <v>0</v>
      </c>
      <c r="J661" s="1">
        <v>0</v>
      </c>
      <c r="K661">
        <v>0</v>
      </c>
      <c r="L661">
        <v>1.08</v>
      </c>
      <c r="M661">
        <v>1.1599999999999999</v>
      </c>
      <c r="N661" s="1">
        <v>10000000</v>
      </c>
      <c r="O661">
        <v>1.1000000000000001</v>
      </c>
      <c r="P661">
        <v>1.59</v>
      </c>
      <c r="Q661">
        <v>0.61</v>
      </c>
    </row>
    <row r="662" spans="1:17" x14ac:dyDescent="0.25">
      <c r="A662" t="s">
        <v>1455</v>
      </c>
      <c r="B662" t="s">
        <v>1456</v>
      </c>
      <c r="C662" t="s">
        <v>78</v>
      </c>
      <c r="D662" t="s">
        <v>78</v>
      </c>
      <c r="E662" t="s">
        <v>78</v>
      </c>
      <c r="F662" t="s">
        <v>78</v>
      </c>
      <c r="G662" t="s">
        <v>78</v>
      </c>
      <c r="H662">
        <v>1.32</v>
      </c>
      <c r="I662" s="1">
        <v>0</v>
      </c>
      <c r="J662" s="1">
        <v>0</v>
      </c>
      <c r="K662">
        <v>0</v>
      </c>
      <c r="L662">
        <v>1.38</v>
      </c>
      <c r="M662">
        <v>1.46</v>
      </c>
      <c r="N662" s="1">
        <v>10000000</v>
      </c>
      <c r="O662">
        <v>1.38</v>
      </c>
      <c r="P662">
        <v>2.27</v>
      </c>
      <c r="Q662">
        <v>0.49</v>
      </c>
    </row>
    <row r="663" spans="1:17" x14ac:dyDescent="0.25">
      <c r="A663" t="s">
        <v>1457</v>
      </c>
      <c r="B663" t="s">
        <v>1458</v>
      </c>
      <c r="C663" t="s">
        <v>78</v>
      </c>
      <c r="D663" t="s">
        <v>78</v>
      </c>
      <c r="E663" t="s">
        <v>78</v>
      </c>
      <c r="F663" t="s">
        <v>78</v>
      </c>
      <c r="G663" t="s">
        <v>78</v>
      </c>
      <c r="H663">
        <v>0.03</v>
      </c>
      <c r="I663" s="1">
        <v>0</v>
      </c>
      <c r="J663" s="1">
        <v>0</v>
      </c>
      <c r="K663">
        <v>0</v>
      </c>
      <c r="L663">
        <v>0</v>
      </c>
      <c r="M663">
        <v>0.01</v>
      </c>
      <c r="N663" s="1">
        <v>5000000</v>
      </c>
      <c r="O663">
        <v>0.01</v>
      </c>
      <c r="P663">
        <v>1.59</v>
      </c>
      <c r="Q663">
        <v>0.01</v>
      </c>
    </row>
    <row r="664" spans="1:17" x14ac:dyDescent="0.25">
      <c r="A664" t="s">
        <v>1459</v>
      </c>
      <c r="B664" t="s">
        <v>1460</v>
      </c>
      <c r="C664" t="s">
        <v>78</v>
      </c>
      <c r="D664" t="s">
        <v>78</v>
      </c>
      <c r="E664" t="s">
        <v>78</v>
      </c>
      <c r="F664" t="s">
        <v>78</v>
      </c>
      <c r="G664" t="s">
        <v>78</v>
      </c>
      <c r="H664">
        <v>0.04</v>
      </c>
      <c r="I664" s="1">
        <v>0</v>
      </c>
      <c r="J664" s="1">
        <v>0</v>
      </c>
      <c r="K664">
        <v>0</v>
      </c>
      <c r="L664">
        <v>0</v>
      </c>
      <c r="M664">
        <v>0.01</v>
      </c>
      <c r="N664" s="1">
        <v>5000000</v>
      </c>
      <c r="O664">
        <v>0.01</v>
      </c>
      <c r="P664">
        <v>0.93</v>
      </c>
      <c r="Q664">
        <v>0.01</v>
      </c>
    </row>
    <row r="665" spans="1:17" x14ac:dyDescent="0.25">
      <c r="A665" t="s">
        <v>1461</v>
      </c>
      <c r="B665" t="s">
        <v>1462</v>
      </c>
      <c r="C665" t="s">
        <v>78</v>
      </c>
      <c r="D665" t="s">
        <v>78</v>
      </c>
      <c r="E665" t="s">
        <v>78</v>
      </c>
      <c r="F665" t="s">
        <v>78</v>
      </c>
      <c r="G665" t="s">
        <v>78</v>
      </c>
      <c r="H665">
        <v>0.33</v>
      </c>
      <c r="I665" s="1">
        <v>0</v>
      </c>
      <c r="J665" s="1">
        <v>0</v>
      </c>
      <c r="K665">
        <v>0</v>
      </c>
      <c r="L665">
        <v>0.28000000000000003</v>
      </c>
      <c r="M665">
        <v>0.28999999999999998</v>
      </c>
      <c r="N665" s="1">
        <v>5000000</v>
      </c>
      <c r="O665">
        <v>0.28999999999999998</v>
      </c>
      <c r="P665">
        <v>1.1100000000000001</v>
      </c>
      <c r="Q665">
        <v>0.01</v>
      </c>
    </row>
    <row r="666" spans="1:17" x14ac:dyDescent="0.25">
      <c r="A666" t="s">
        <v>1463</v>
      </c>
      <c r="B666" t="s">
        <v>1464</v>
      </c>
      <c r="C666">
        <v>0.09</v>
      </c>
      <c r="D666">
        <v>-0.01</v>
      </c>
      <c r="E666">
        <v>0.09</v>
      </c>
      <c r="F666">
        <v>0.09</v>
      </c>
      <c r="G666">
        <v>0.09</v>
      </c>
      <c r="H666">
        <v>0.09</v>
      </c>
      <c r="I666" s="1">
        <v>2000</v>
      </c>
      <c r="J666" s="1">
        <v>180</v>
      </c>
      <c r="K666">
        <v>1</v>
      </c>
      <c r="L666">
        <v>0.04</v>
      </c>
      <c r="M666">
        <v>0.09</v>
      </c>
      <c r="N666" s="1">
        <v>5000000</v>
      </c>
      <c r="O666">
        <v>0.09</v>
      </c>
      <c r="P666">
        <v>0.81</v>
      </c>
      <c r="Q666">
        <v>0.01</v>
      </c>
    </row>
    <row r="667" spans="1:17" x14ac:dyDescent="0.25">
      <c r="A667" t="s">
        <v>1465</v>
      </c>
      <c r="B667" t="s">
        <v>1466</v>
      </c>
      <c r="C667">
        <v>0.02</v>
      </c>
      <c r="D667">
        <v>0</v>
      </c>
      <c r="E667">
        <v>0.01</v>
      </c>
      <c r="F667">
        <v>0.02</v>
      </c>
      <c r="G667">
        <v>0.01</v>
      </c>
      <c r="H667">
        <v>0.01</v>
      </c>
      <c r="I667" s="1">
        <v>5000</v>
      </c>
      <c r="J667" s="1">
        <v>60</v>
      </c>
      <c r="K667">
        <v>2</v>
      </c>
      <c r="L667">
        <v>0</v>
      </c>
      <c r="M667">
        <v>0.02</v>
      </c>
      <c r="N667" s="1">
        <v>5000000</v>
      </c>
      <c r="O667">
        <v>0.02</v>
      </c>
      <c r="P667">
        <v>1.44</v>
      </c>
      <c r="Q667">
        <v>0.01</v>
      </c>
    </row>
    <row r="668" spans="1:17" x14ac:dyDescent="0.25">
      <c r="A668" t="s">
        <v>1467</v>
      </c>
      <c r="B668" t="s">
        <v>1468</v>
      </c>
      <c r="C668" t="s">
        <v>78</v>
      </c>
      <c r="D668" t="s">
        <v>78</v>
      </c>
      <c r="E668" t="s">
        <v>78</v>
      </c>
      <c r="F668" t="s">
        <v>78</v>
      </c>
      <c r="G668" t="s">
        <v>78</v>
      </c>
      <c r="H668">
        <v>1.78</v>
      </c>
      <c r="I668" s="1">
        <v>0</v>
      </c>
      <c r="J668" s="1">
        <v>0</v>
      </c>
      <c r="K668">
        <v>0</v>
      </c>
      <c r="L668">
        <v>1.76</v>
      </c>
      <c r="M668">
        <v>1.79</v>
      </c>
      <c r="N668" s="1">
        <v>5000000</v>
      </c>
      <c r="O668">
        <v>1.78</v>
      </c>
      <c r="P668">
        <v>2.99</v>
      </c>
      <c r="Q668">
        <v>0.56999999999999995</v>
      </c>
    </row>
    <row r="669" spans="1:17" x14ac:dyDescent="0.25">
      <c r="A669" t="s">
        <v>1469</v>
      </c>
      <c r="B669" t="s">
        <v>1470</v>
      </c>
      <c r="C669" t="s">
        <v>78</v>
      </c>
      <c r="D669" t="s">
        <v>78</v>
      </c>
      <c r="E669" t="s">
        <v>78</v>
      </c>
      <c r="F669" t="s">
        <v>78</v>
      </c>
      <c r="G669" t="s">
        <v>78</v>
      </c>
      <c r="H669">
        <v>0.5</v>
      </c>
      <c r="I669" s="1">
        <v>0</v>
      </c>
      <c r="J669" s="1">
        <v>0</v>
      </c>
      <c r="K669">
        <v>0</v>
      </c>
      <c r="L669">
        <v>0.48</v>
      </c>
      <c r="M669">
        <v>0.49</v>
      </c>
      <c r="N669" s="1">
        <v>5000000</v>
      </c>
      <c r="O669">
        <v>0.49</v>
      </c>
      <c r="P669">
        <v>1.29</v>
      </c>
      <c r="Q669">
        <v>0.01</v>
      </c>
    </row>
    <row r="670" spans="1:17" x14ac:dyDescent="0.25">
      <c r="A670" t="s">
        <v>1471</v>
      </c>
      <c r="B670" t="s">
        <v>1472</v>
      </c>
      <c r="C670" t="s">
        <v>78</v>
      </c>
      <c r="D670" t="s">
        <v>78</v>
      </c>
      <c r="E670" t="s">
        <v>78</v>
      </c>
      <c r="F670" t="s">
        <v>78</v>
      </c>
      <c r="G670" t="s">
        <v>78</v>
      </c>
      <c r="H670">
        <v>0.11</v>
      </c>
      <c r="I670" s="1">
        <v>0</v>
      </c>
      <c r="J670" s="1">
        <v>0</v>
      </c>
      <c r="K670">
        <v>0</v>
      </c>
      <c r="L670">
        <v>0</v>
      </c>
      <c r="M670">
        <v>0.01</v>
      </c>
      <c r="N670" s="1">
        <v>5000000</v>
      </c>
      <c r="O670">
        <v>0.01</v>
      </c>
      <c r="P670">
        <v>2</v>
      </c>
      <c r="Q670">
        <v>0.01</v>
      </c>
    </row>
    <row r="671" spans="1:17" x14ac:dyDescent="0.25">
      <c r="A671" t="s">
        <v>1473</v>
      </c>
      <c r="B671" t="s">
        <v>1474</v>
      </c>
      <c r="C671" t="s">
        <v>78</v>
      </c>
      <c r="D671" t="s">
        <v>78</v>
      </c>
      <c r="E671" t="s">
        <v>78</v>
      </c>
      <c r="F671" t="s">
        <v>78</v>
      </c>
      <c r="G671" t="s">
        <v>78</v>
      </c>
      <c r="H671">
        <v>0.28999999999999998</v>
      </c>
      <c r="I671" s="1">
        <v>0</v>
      </c>
      <c r="J671" s="1">
        <v>0</v>
      </c>
      <c r="K671">
        <v>0</v>
      </c>
      <c r="L671">
        <v>0.19</v>
      </c>
      <c r="M671">
        <v>0.2</v>
      </c>
      <c r="N671" s="1">
        <v>10000000</v>
      </c>
      <c r="O671">
        <v>0.2</v>
      </c>
      <c r="P671">
        <v>1</v>
      </c>
      <c r="Q671">
        <v>0.01</v>
      </c>
    </row>
    <row r="672" spans="1:17" x14ac:dyDescent="0.25">
      <c r="A672" t="s">
        <v>1475</v>
      </c>
      <c r="B672" t="s">
        <v>1476</v>
      </c>
      <c r="C672" t="s">
        <v>78</v>
      </c>
      <c r="D672" t="s">
        <v>78</v>
      </c>
      <c r="E672" t="s">
        <v>78</v>
      </c>
      <c r="F672" t="s">
        <v>78</v>
      </c>
      <c r="G672" t="s">
        <v>78</v>
      </c>
      <c r="H672">
        <v>0.01</v>
      </c>
      <c r="I672" s="1">
        <v>0</v>
      </c>
      <c r="J672" s="1">
        <v>0</v>
      </c>
      <c r="K672">
        <v>0</v>
      </c>
      <c r="L672">
        <v>0</v>
      </c>
      <c r="M672">
        <v>0.02</v>
      </c>
      <c r="N672" s="1">
        <v>10000000</v>
      </c>
      <c r="O672">
        <v>0.01</v>
      </c>
      <c r="P672">
        <v>1.91</v>
      </c>
      <c r="Q672">
        <v>0.01</v>
      </c>
    </row>
    <row r="673" spans="1:17" x14ac:dyDescent="0.25">
      <c r="A673" t="s">
        <v>1477</v>
      </c>
      <c r="B673" t="s">
        <v>1478</v>
      </c>
      <c r="C673">
        <v>0.2</v>
      </c>
      <c r="D673">
        <v>-0.04</v>
      </c>
      <c r="E673">
        <v>0.2</v>
      </c>
      <c r="F673">
        <v>0.2</v>
      </c>
      <c r="G673">
        <v>0.2</v>
      </c>
      <c r="H673">
        <v>0.2</v>
      </c>
      <c r="I673" s="1">
        <v>8000</v>
      </c>
      <c r="J673" s="1">
        <v>1600</v>
      </c>
      <c r="K673">
        <v>1</v>
      </c>
      <c r="L673">
        <v>0.21</v>
      </c>
      <c r="M673">
        <v>0.22</v>
      </c>
      <c r="N673" s="1">
        <v>5000000</v>
      </c>
      <c r="O673">
        <v>0.2</v>
      </c>
      <c r="P673">
        <v>0.8</v>
      </c>
      <c r="Q673">
        <v>0.01</v>
      </c>
    </row>
    <row r="674" spans="1:17" x14ac:dyDescent="0.25">
      <c r="A674" t="s">
        <v>1479</v>
      </c>
      <c r="B674" t="s">
        <v>1480</v>
      </c>
      <c r="C674" t="s">
        <v>78</v>
      </c>
      <c r="D674" t="s">
        <v>78</v>
      </c>
      <c r="E674" t="s">
        <v>78</v>
      </c>
      <c r="F674" t="s">
        <v>78</v>
      </c>
      <c r="G674" t="s">
        <v>78</v>
      </c>
      <c r="H674">
        <v>0.87</v>
      </c>
      <c r="I674" s="1">
        <v>0</v>
      </c>
      <c r="J674" s="1">
        <v>0</v>
      </c>
      <c r="K674">
        <v>0</v>
      </c>
      <c r="L674">
        <v>0.82</v>
      </c>
      <c r="M674">
        <v>0.86</v>
      </c>
      <c r="N674" s="1">
        <v>10000000</v>
      </c>
      <c r="O674">
        <v>0.82</v>
      </c>
      <c r="P674">
        <v>2.0299999999999998</v>
      </c>
      <c r="Q674">
        <v>0.01</v>
      </c>
    </row>
    <row r="675" spans="1:17" x14ac:dyDescent="0.25">
      <c r="A675" t="s">
        <v>1481</v>
      </c>
      <c r="B675" t="s">
        <v>1482</v>
      </c>
      <c r="C675" t="s">
        <v>78</v>
      </c>
      <c r="D675" t="s">
        <v>78</v>
      </c>
      <c r="E675" t="s">
        <v>78</v>
      </c>
      <c r="F675" t="s">
        <v>78</v>
      </c>
      <c r="G675" t="s">
        <v>78</v>
      </c>
      <c r="H675">
        <v>0.01</v>
      </c>
      <c r="I675" s="1">
        <v>0</v>
      </c>
      <c r="J675" s="1">
        <v>0</v>
      </c>
      <c r="K675">
        <v>0</v>
      </c>
      <c r="L675">
        <v>0.01</v>
      </c>
      <c r="M675">
        <v>0.05</v>
      </c>
      <c r="N675" s="1">
        <v>15000000</v>
      </c>
      <c r="O675">
        <v>0.01</v>
      </c>
      <c r="P675">
        <v>1.19</v>
      </c>
      <c r="Q675">
        <v>0.01</v>
      </c>
    </row>
    <row r="676" spans="1:17" x14ac:dyDescent="0.25">
      <c r="A676" t="s">
        <v>1483</v>
      </c>
      <c r="B676" t="s">
        <v>1484</v>
      </c>
      <c r="C676">
        <v>0.53</v>
      </c>
      <c r="D676">
        <v>0.02</v>
      </c>
      <c r="E676">
        <v>0.5</v>
      </c>
      <c r="F676">
        <v>0.53</v>
      </c>
      <c r="G676">
        <v>0.5</v>
      </c>
      <c r="H676">
        <v>0.52</v>
      </c>
      <c r="I676" s="1">
        <v>272000</v>
      </c>
      <c r="J676" s="1">
        <v>142200</v>
      </c>
      <c r="K676">
        <v>5</v>
      </c>
      <c r="L676">
        <v>0.52</v>
      </c>
      <c r="M676">
        <v>0.53</v>
      </c>
      <c r="N676" s="1">
        <v>5000000</v>
      </c>
      <c r="O676">
        <v>0.53</v>
      </c>
      <c r="P676">
        <v>1.58</v>
      </c>
      <c r="Q676">
        <v>0.01</v>
      </c>
    </row>
    <row r="677" spans="1:17" x14ac:dyDescent="0.25">
      <c r="A677" t="s">
        <v>1485</v>
      </c>
      <c r="B677" t="s">
        <v>1486</v>
      </c>
      <c r="C677" t="s">
        <v>78</v>
      </c>
      <c r="D677" t="s">
        <v>78</v>
      </c>
      <c r="E677" t="s">
        <v>78</v>
      </c>
      <c r="F677" t="s">
        <v>78</v>
      </c>
      <c r="G677" t="s">
        <v>78</v>
      </c>
      <c r="H677">
        <v>0.68</v>
      </c>
      <c r="I677" s="1">
        <v>0</v>
      </c>
      <c r="J677" s="1">
        <v>0</v>
      </c>
      <c r="K677">
        <v>0</v>
      </c>
      <c r="L677">
        <v>0.65</v>
      </c>
      <c r="M677">
        <v>0.66</v>
      </c>
      <c r="N677" s="1">
        <v>5000000</v>
      </c>
      <c r="O677">
        <v>0.66</v>
      </c>
      <c r="P677">
        <v>1.06</v>
      </c>
      <c r="Q677">
        <v>0.26</v>
      </c>
    </row>
    <row r="678" spans="1:17" x14ac:dyDescent="0.25">
      <c r="A678" t="s">
        <v>1487</v>
      </c>
      <c r="B678" t="s">
        <v>1488</v>
      </c>
      <c r="C678" t="s">
        <v>78</v>
      </c>
      <c r="D678" t="s">
        <v>78</v>
      </c>
      <c r="E678" t="s">
        <v>78</v>
      </c>
      <c r="F678" t="s">
        <v>78</v>
      </c>
      <c r="G678" t="s">
        <v>78</v>
      </c>
      <c r="H678">
        <v>0.77</v>
      </c>
      <c r="I678" s="1">
        <v>0</v>
      </c>
      <c r="J678" s="1">
        <v>0</v>
      </c>
      <c r="K678">
        <v>0</v>
      </c>
      <c r="L678">
        <v>0.75</v>
      </c>
      <c r="M678">
        <v>0.76</v>
      </c>
      <c r="N678" s="1">
        <v>5000000</v>
      </c>
      <c r="O678">
        <v>0.76</v>
      </c>
      <c r="P678">
        <v>1.26</v>
      </c>
      <c r="Q678">
        <v>0.26</v>
      </c>
    </row>
    <row r="679" spans="1:17" x14ac:dyDescent="0.25">
      <c r="A679" t="s">
        <v>1489</v>
      </c>
      <c r="B679" t="s">
        <v>1490</v>
      </c>
      <c r="C679">
        <v>0.01</v>
      </c>
      <c r="D679">
        <v>0</v>
      </c>
      <c r="E679">
        <v>0.01</v>
      </c>
      <c r="F679">
        <v>0.01</v>
      </c>
      <c r="G679">
        <v>0.01</v>
      </c>
      <c r="H679">
        <v>0.01</v>
      </c>
      <c r="I679" s="1">
        <v>10000</v>
      </c>
      <c r="J679" s="1">
        <v>100</v>
      </c>
      <c r="K679">
        <v>10</v>
      </c>
      <c r="L679">
        <v>0</v>
      </c>
      <c r="M679">
        <v>0.01</v>
      </c>
      <c r="N679" s="1">
        <v>5000000</v>
      </c>
      <c r="O679">
        <v>0.01</v>
      </c>
      <c r="P679">
        <v>2.02</v>
      </c>
      <c r="Q679">
        <v>0.01</v>
      </c>
    </row>
    <row r="680" spans="1:17" x14ac:dyDescent="0.25">
      <c r="A680" t="s">
        <v>1491</v>
      </c>
      <c r="B680" t="s">
        <v>1492</v>
      </c>
      <c r="C680" t="s">
        <v>78</v>
      </c>
      <c r="D680" t="s">
        <v>78</v>
      </c>
      <c r="E680" t="s">
        <v>78</v>
      </c>
      <c r="F680" t="s">
        <v>78</v>
      </c>
      <c r="G680" t="s">
        <v>78</v>
      </c>
      <c r="H680">
        <v>0.01</v>
      </c>
      <c r="I680" s="1">
        <v>0</v>
      </c>
      <c r="J680" s="1">
        <v>0</v>
      </c>
      <c r="K680">
        <v>0</v>
      </c>
      <c r="L680">
        <v>0</v>
      </c>
      <c r="M680">
        <v>0.01</v>
      </c>
      <c r="N680" s="1">
        <v>5000000</v>
      </c>
      <c r="O680">
        <v>0.01</v>
      </c>
      <c r="P680">
        <v>3.2</v>
      </c>
      <c r="Q680">
        <v>0.01</v>
      </c>
    </row>
    <row r="681" spans="1:17" x14ac:dyDescent="0.25">
      <c r="A681" t="s">
        <v>1493</v>
      </c>
      <c r="B681" t="s">
        <v>1494</v>
      </c>
      <c r="C681">
        <v>0.62</v>
      </c>
      <c r="D681">
        <v>0.01</v>
      </c>
      <c r="E681">
        <v>0.59</v>
      </c>
      <c r="F681">
        <v>0.62</v>
      </c>
      <c r="G681">
        <v>0.59</v>
      </c>
      <c r="H681">
        <v>0.61</v>
      </c>
      <c r="I681" s="1">
        <v>560000</v>
      </c>
      <c r="J681" s="1">
        <v>339570</v>
      </c>
      <c r="K681">
        <v>14</v>
      </c>
      <c r="L681">
        <v>0.62</v>
      </c>
      <c r="M681">
        <v>0.63</v>
      </c>
      <c r="N681" s="1">
        <v>5000000</v>
      </c>
      <c r="O681">
        <v>0.62</v>
      </c>
      <c r="P681">
        <v>1.1399999999999999</v>
      </c>
      <c r="Q681">
        <v>0.1</v>
      </c>
    </row>
    <row r="682" spans="1:17" x14ac:dyDescent="0.25">
      <c r="A682" t="s">
        <v>1495</v>
      </c>
      <c r="B682" t="s">
        <v>1496</v>
      </c>
      <c r="C682">
        <v>0.64</v>
      </c>
      <c r="D682">
        <v>0.01</v>
      </c>
      <c r="E682">
        <v>0.6</v>
      </c>
      <c r="F682">
        <v>0.64</v>
      </c>
      <c r="G682">
        <v>0.6</v>
      </c>
      <c r="H682">
        <v>0.62</v>
      </c>
      <c r="I682" s="1">
        <v>626000</v>
      </c>
      <c r="J682" s="1">
        <v>388390</v>
      </c>
      <c r="K682">
        <v>7</v>
      </c>
      <c r="L682">
        <v>0.64</v>
      </c>
      <c r="M682">
        <v>0.65</v>
      </c>
      <c r="N682" s="1">
        <v>5000000</v>
      </c>
      <c r="O682">
        <v>0.64</v>
      </c>
      <c r="P682">
        <v>1.05</v>
      </c>
      <c r="Q682">
        <v>0.23</v>
      </c>
    </row>
    <row r="683" spans="1:17" x14ac:dyDescent="0.25">
      <c r="A683" t="s">
        <v>1497</v>
      </c>
      <c r="B683" t="s">
        <v>1498</v>
      </c>
      <c r="C683" t="s">
        <v>78</v>
      </c>
      <c r="D683" t="s">
        <v>78</v>
      </c>
      <c r="E683" t="s">
        <v>78</v>
      </c>
      <c r="F683" t="s">
        <v>78</v>
      </c>
      <c r="G683" t="s">
        <v>78</v>
      </c>
      <c r="H683">
        <v>0.26</v>
      </c>
      <c r="I683" s="1">
        <v>0</v>
      </c>
      <c r="J683" s="1">
        <v>0</v>
      </c>
      <c r="K683">
        <v>0</v>
      </c>
      <c r="L683">
        <v>0.18</v>
      </c>
      <c r="M683">
        <v>0.19</v>
      </c>
      <c r="N683" s="1">
        <v>10000000</v>
      </c>
      <c r="O683">
        <v>0.19</v>
      </c>
      <c r="P683">
        <v>0.95</v>
      </c>
      <c r="Q683">
        <v>0.01</v>
      </c>
    </row>
    <row r="684" spans="1:17" x14ac:dyDescent="0.25">
      <c r="A684" t="s">
        <v>1499</v>
      </c>
      <c r="B684" t="s">
        <v>1500</v>
      </c>
      <c r="C684" t="s">
        <v>78</v>
      </c>
      <c r="D684" t="s">
        <v>78</v>
      </c>
      <c r="E684" t="s">
        <v>78</v>
      </c>
      <c r="F684" t="s">
        <v>78</v>
      </c>
      <c r="G684" t="s">
        <v>78</v>
      </c>
      <c r="H684">
        <v>0.04</v>
      </c>
      <c r="I684" s="1">
        <v>0</v>
      </c>
      <c r="J684" s="1">
        <v>0</v>
      </c>
      <c r="K684">
        <v>0</v>
      </c>
      <c r="L684">
        <v>0.01</v>
      </c>
      <c r="M684">
        <v>0.04</v>
      </c>
      <c r="N684" s="1">
        <v>10000000</v>
      </c>
      <c r="O684">
        <v>0.04</v>
      </c>
      <c r="P684">
        <v>0.91</v>
      </c>
      <c r="Q684">
        <v>0.01</v>
      </c>
    </row>
    <row r="685" spans="1:17" x14ac:dyDescent="0.25">
      <c r="A685" t="s">
        <v>1501</v>
      </c>
      <c r="B685" t="s">
        <v>1502</v>
      </c>
      <c r="C685" t="s">
        <v>78</v>
      </c>
      <c r="D685" t="s">
        <v>78</v>
      </c>
      <c r="E685" t="s">
        <v>78</v>
      </c>
      <c r="F685" t="s">
        <v>78</v>
      </c>
      <c r="G685" t="s">
        <v>78</v>
      </c>
      <c r="H685">
        <v>0.01</v>
      </c>
      <c r="I685" s="1">
        <v>0</v>
      </c>
      <c r="J685" s="1">
        <v>0</v>
      </c>
      <c r="K685">
        <v>0</v>
      </c>
      <c r="L685">
        <v>0</v>
      </c>
      <c r="M685">
        <v>0.01</v>
      </c>
      <c r="N685" s="1">
        <v>5000000</v>
      </c>
      <c r="O685">
        <v>0.01</v>
      </c>
      <c r="P685">
        <v>0.98</v>
      </c>
      <c r="Q685">
        <v>0.01</v>
      </c>
    </row>
    <row r="686" spans="1:17" x14ac:dyDescent="0.25">
      <c r="A686" t="s">
        <v>1503</v>
      </c>
      <c r="B686" t="s">
        <v>1504</v>
      </c>
      <c r="C686" t="s">
        <v>78</v>
      </c>
      <c r="D686" t="s">
        <v>78</v>
      </c>
      <c r="E686" t="s">
        <v>78</v>
      </c>
      <c r="F686" t="s">
        <v>78</v>
      </c>
      <c r="G686" t="s">
        <v>78</v>
      </c>
      <c r="H686">
        <v>0.01</v>
      </c>
      <c r="I686" s="1">
        <v>0</v>
      </c>
      <c r="J686" s="1">
        <v>0</v>
      </c>
      <c r="K686">
        <v>0</v>
      </c>
      <c r="L686">
        <v>0.01</v>
      </c>
      <c r="M686">
        <v>0.08</v>
      </c>
      <c r="N686" s="1">
        <v>10000000</v>
      </c>
      <c r="O686">
        <v>0.01</v>
      </c>
      <c r="P686">
        <v>0.8</v>
      </c>
      <c r="Q686">
        <v>0.01</v>
      </c>
    </row>
    <row r="687" spans="1:17" x14ac:dyDescent="0.25">
      <c r="A687" t="s">
        <v>1505</v>
      </c>
      <c r="B687" t="s">
        <v>1506</v>
      </c>
      <c r="C687" t="s">
        <v>78</v>
      </c>
      <c r="D687" t="s">
        <v>78</v>
      </c>
      <c r="E687" t="s">
        <v>78</v>
      </c>
      <c r="F687" t="s">
        <v>78</v>
      </c>
      <c r="G687" t="s">
        <v>78</v>
      </c>
      <c r="H687">
        <v>1.88</v>
      </c>
      <c r="I687" s="1">
        <v>0</v>
      </c>
      <c r="J687" s="1">
        <v>0</v>
      </c>
      <c r="K687">
        <v>0</v>
      </c>
      <c r="L687">
        <v>2.4</v>
      </c>
      <c r="M687">
        <v>2.48</v>
      </c>
      <c r="N687" s="1">
        <v>10000000</v>
      </c>
      <c r="O687">
        <v>2.4</v>
      </c>
      <c r="P687">
        <v>2.98</v>
      </c>
      <c r="Q687">
        <v>1.82</v>
      </c>
    </row>
    <row r="688" spans="1:17" x14ac:dyDescent="0.25">
      <c r="A688" t="s">
        <v>1507</v>
      </c>
      <c r="B688" t="s">
        <v>1508</v>
      </c>
      <c r="C688" t="s">
        <v>78</v>
      </c>
      <c r="D688" t="s">
        <v>78</v>
      </c>
      <c r="E688" t="s">
        <v>78</v>
      </c>
      <c r="F688" t="s">
        <v>78</v>
      </c>
      <c r="G688" t="s">
        <v>78</v>
      </c>
      <c r="H688">
        <v>3.02</v>
      </c>
      <c r="I688" s="1">
        <v>0</v>
      </c>
      <c r="J688" s="1">
        <v>0</v>
      </c>
      <c r="K688">
        <v>0</v>
      </c>
      <c r="L688">
        <v>2.4900000000000002</v>
      </c>
      <c r="M688">
        <v>2.59</v>
      </c>
      <c r="N688" s="1">
        <v>10000000</v>
      </c>
      <c r="O688">
        <v>2.4900000000000002</v>
      </c>
      <c r="P688">
        <v>3.51</v>
      </c>
      <c r="Q688">
        <v>1.47</v>
      </c>
    </row>
    <row r="689" spans="1:17" x14ac:dyDescent="0.25">
      <c r="A689" t="s">
        <v>1509</v>
      </c>
      <c r="B689" t="s">
        <v>1510</v>
      </c>
      <c r="C689" t="s">
        <v>78</v>
      </c>
      <c r="D689" t="s">
        <v>78</v>
      </c>
      <c r="E689" t="s">
        <v>78</v>
      </c>
      <c r="F689" t="s">
        <v>78</v>
      </c>
      <c r="G689" t="s">
        <v>78</v>
      </c>
      <c r="H689">
        <v>0.15</v>
      </c>
      <c r="I689" s="1">
        <v>0</v>
      </c>
      <c r="J689" s="1">
        <v>0</v>
      </c>
      <c r="K689">
        <v>0</v>
      </c>
      <c r="L689">
        <v>0.06</v>
      </c>
      <c r="M689">
        <v>7.0000000000000007E-2</v>
      </c>
      <c r="N689" s="1">
        <v>5000000</v>
      </c>
      <c r="O689">
        <v>7.0000000000000007E-2</v>
      </c>
      <c r="P689">
        <v>0.83</v>
      </c>
      <c r="Q689">
        <v>0.01</v>
      </c>
    </row>
    <row r="690" spans="1:17" x14ac:dyDescent="0.25">
      <c r="A690" t="s">
        <v>1511</v>
      </c>
      <c r="B690" t="s">
        <v>1512</v>
      </c>
      <c r="C690" t="s">
        <v>78</v>
      </c>
      <c r="D690" t="s">
        <v>78</v>
      </c>
      <c r="E690" t="s">
        <v>78</v>
      </c>
      <c r="F690" t="s">
        <v>78</v>
      </c>
      <c r="G690" t="s">
        <v>78</v>
      </c>
      <c r="H690">
        <v>0.04</v>
      </c>
      <c r="I690" s="1">
        <v>0</v>
      </c>
      <c r="J690" s="1">
        <v>0</v>
      </c>
      <c r="K690">
        <v>0</v>
      </c>
      <c r="L690">
        <v>0</v>
      </c>
      <c r="M690">
        <v>0.1</v>
      </c>
      <c r="N690" s="1">
        <v>5000000</v>
      </c>
      <c r="O690">
        <v>0.04</v>
      </c>
      <c r="P690">
        <v>2</v>
      </c>
      <c r="Q690">
        <v>0.01</v>
      </c>
    </row>
    <row r="691" spans="1:17" x14ac:dyDescent="0.25">
      <c r="A691" t="s">
        <v>1513</v>
      </c>
      <c r="B691" t="s">
        <v>1514</v>
      </c>
      <c r="C691" t="s">
        <v>78</v>
      </c>
      <c r="D691" t="s">
        <v>78</v>
      </c>
      <c r="E691" t="s">
        <v>78</v>
      </c>
      <c r="F691" t="s">
        <v>78</v>
      </c>
      <c r="G691" t="s">
        <v>78</v>
      </c>
      <c r="H691">
        <v>0.11</v>
      </c>
      <c r="I691" s="1">
        <v>0</v>
      </c>
      <c r="J691" s="1">
        <v>0</v>
      </c>
      <c r="K691">
        <v>0</v>
      </c>
      <c r="L691">
        <v>0</v>
      </c>
      <c r="M691">
        <v>0.1</v>
      </c>
      <c r="N691" s="1">
        <v>5000000</v>
      </c>
      <c r="O691">
        <v>0.1</v>
      </c>
      <c r="P691">
        <v>1.24</v>
      </c>
      <c r="Q691">
        <v>0.01</v>
      </c>
    </row>
    <row r="692" spans="1:17" x14ac:dyDescent="0.25">
      <c r="A692" t="s">
        <v>1515</v>
      </c>
      <c r="B692" t="s">
        <v>1516</v>
      </c>
      <c r="C692">
        <v>1.19</v>
      </c>
      <c r="D692">
        <v>0.01</v>
      </c>
      <c r="E692">
        <v>1.1599999999999999</v>
      </c>
      <c r="F692">
        <v>1.22</v>
      </c>
      <c r="G692">
        <v>1.1599999999999999</v>
      </c>
      <c r="H692">
        <v>1.19</v>
      </c>
      <c r="I692" s="1">
        <v>406000</v>
      </c>
      <c r="J692" s="1">
        <v>481490</v>
      </c>
      <c r="K692">
        <v>9</v>
      </c>
      <c r="L692">
        <v>1.2</v>
      </c>
      <c r="M692">
        <v>1.21</v>
      </c>
      <c r="N692" s="1">
        <v>10000000</v>
      </c>
      <c r="O692">
        <v>1.19</v>
      </c>
      <c r="P692">
        <v>2.64</v>
      </c>
      <c r="Q692">
        <v>0.01</v>
      </c>
    </row>
    <row r="693" spans="1:17" x14ac:dyDescent="0.25">
      <c r="A693" t="s">
        <v>1517</v>
      </c>
      <c r="B693" t="s">
        <v>1518</v>
      </c>
      <c r="C693" t="s">
        <v>78</v>
      </c>
      <c r="D693" t="s">
        <v>78</v>
      </c>
      <c r="E693" t="s">
        <v>78</v>
      </c>
      <c r="F693" t="s">
        <v>78</v>
      </c>
      <c r="G693" t="s">
        <v>78</v>
      </c>
      <c r="H693">
        <v>0.01</v>
      </c>
      <c r="I693" s="1">
        <v>0</v>
      </c>
      <c r="J693" s="1">
        <v>0</v>
      </c>
      <c r="K693">
        <v>0</v>
      </c>
      <c r="L693">
        <v>0.01</v>
      </c>
      <c r="M693">
        <v>0.02</v>
      </c>
      <c r="N693" s="1">
        <v>15000000</v>
      </c>
      <c r="O693">
        <v>0.01</v>
      </c>
      <c r="P693">
        <v>1.41</v>
      </c>
      <c r="Q693">
        <v>0.01</v>
      </c>
    </row>
    <row r="694" spans="1:17" x14ac:dyDescent="0.25">
      <c r="A694" t="s">
        <v>1519</v>
      </c>
      <c r="B694" t="s">
        <v>1520</v>
      </c>
      <c r="C694" t="s">
        <v>78</v>
      </c>
      <c r="D694" t="s">
        <v>78</v>
      </c>
      <c r="E694" t="s">
        <v>78</v>
      </c>
      <c r="F694" t="s">
        <v>78</v>
      </c>
      <c r="G694" t="s">
        <v>78</v>
      </c>
      <c r="H694">
        <v>1.55</v>
      </c>
      <c r="I694" s="1">
        <v>0</v>
      </c>
      <c r="J694" s="1">
        <v>0</v>
      </c>
      <c r="K694">
        <v>0</v>
      </c>
      <c r="L694">
        <v>1.7</v>
      </c>
      <c r="M694">
        <v>1.74</v>
      </c>
      <c r="N694" s="1">
        <v>10000000</v>
      </c>
      <c r="O694">
        <v>1.7</v>
      </c>
      <c r="P694">
        <v>2.39</v>
      </c>
      <c r="Q694">
        <v>1.01</v>
      </c>
    </row>
    <row r="695" spans="1:17" x14ac:dyDescent="0.25">
      <c r="A695" t="s">
        <v>1521</v>
      </c>
      <c r="B695" t="s">
        <v>1522</v>
      </c>
      <c r="C695">
        <v>0.8</v>
      </c>
      <c r="D695">
        <v>-0.16</v>
      </c>
      <c r="E695">
        <v>0.8</v>
      </c>
      <c r="F695">
        <v>0.8</v>
      </c>
      <c r="G695">
        <v>0.8</v>
      </c>
      <c r="H695">
        <v>0.8</v>
      </c>
      <c r="I695" s="1">
        <v>54000</v>
      </c>
      <c r="J695" s="1">
        <v>43200</v>
      </c>
      <c r="K695">
        <v>1</v>
      </c>
      <c r="L695">
        <v>0.65</v>
      </c>
      <c r="M695">
        <v>0.66</v>
      </c>
      <c r="N695" s="1">
        <v>10000000</v>
      </c>
      <c r="O695">
        <v>0.8</v>
      </c>
      <c r="P695">
        <v>3.55</v>
      </c>
      <c r="Q695">
        <v>0.01</v>
      </c>
    </row>
    <row r="696" spans="1:17" x14ac:dyDescent="0.25">
      <c r="A696" t="s">
        <v>1523</v>
      </c>
      <c r="B696" t="s">
        <v>1524</v>
      </c>
      <c r="C696" t="s">
        <v>78</v>
      </c>
      <c r="D696" t="s">
        <v>78</v>
      </c>
      <c r="E696" t="s">
        <v>78</v>
      </c>
      <c r="F696" t="s">
        <v>78</v>
      </c>
      <c r="G696" t="s">
        <v>78</v>
      </c>
      <c r="H696">
        <v>1.86</v>
      </c>
      <c r="I696" s="1">
        <v>0</v>
      </c>
      <c r="J696" s="1">
        <v>0</v>
      </c>
      <c r="K696">
        <v>0</v>
      </c>
      <c r="L696">
        <v>1.81</v>
      </c>
      <c r="M696">
        <v>1.89</v>
      </c>
      <c r="N696" s="1">
        <v>10000000</v>
      </c>
      <c r="O696">
        <v>1.86</v>
      </c>
      <c r="P696">
        <v>3.61</v>
      </c>
      <c r="Q696">
        <v>0.11</v>
      </c>
    </row>
    <row r="697" spans="1:17" x14ac:dyDescent="0.25">
      <c r="A697" t="s">
        <v>1525</v>
      </c>
      <c r="B697" t="s">
        <v>1526</v>
      </c>
      <c r="C697" t="s">
        <v>78</v>
      </c>
      <c r="D697" t="s">
        <v>78</v>
      </c>
      <c r="E697" t="s">
        <v>78</v>
      </c>
      <c r="F697" t="s">
        <v>78</v>
      </c>
      <c r="G697" t="s">
        <v>78</v>
      </c>
      <c r="H697">
        <v>0.05</v>
      </c>
      <c r="I697" s="1">
        <v>0</v>
      </c>
      <c r="J697" s="1">
        <v>0</v>
      </c>
      <c r="K697">
        <v>0</v>
      </c>
      <c r="L697">
        <v>0</v>
      </c>
      <c r="M697">
        <v>0.01</v>
      </c>
      <c r="N697" s="1">
        <v>5000000</v>
      </c>
      <c r="O697">
        <v>0.01</v>
      </c>
      <c r="P697">
        <v>6</v>
      </c>
      <c r="Q697">
        <v>0.01</v>
      </c>
    </row>
    <row r="698" spans="1:17" x14ac:dyDescent="0.25">
      <c r="A698" t="s">
        <v>1527</v>
      </c>
      <c r="B698" t="s">
        <v>1528</v>
      </c>
      <c r="C698" t="s">
        <v>78</v>
      </c>
      <c r="D698" t="s">
        <v>78</v>
      </c>
      <c r="E698" t="s">
        <v>78</v>
      </c>
      <c r="F698" t="s">
        <v>78</v>
      </c>
      <c r="G698" t="s">
        <v>78</v>
      </c>
      <c r="H698">
        <v>0.32</v>
      </c>
      <c r="I698" s="1">
        <v>0</v>
      </c>
      <c r="J698" s="1">
        <v>0</v>
      </c>
      <c r="K698">
        <v>0</v>
      </c>
      <c r="L698">
        <v>0</v>
      </c>
      <c r="M698">
        <v>0.02</v>
      </c>
      <c r="N698" s="1">
        <v>10000000</v>
      </c>
      <c r="O698">
        <v>0.02</v>
      </c>
      <c r="P698">
        <v>0.77</v>
      </c>
      <c r="Q698">
        <v>0.01</v>
      </c>
    </row>
    <row r="699" spans="1:17" x14ac:dyDescent="0.25">
      <c r="A699" t="s">
        <v>1529</v>
      </c>
      <c r="B699" t="s">
        <v>1530</v>
      </c>
      <c r="C699" t="s">
        <v>78</v>
      </c>
      <c r="D699" t="s">
        <v>78</v>
      </c>
      <c r="E699" t="s">
        <v>78</v>
      </c>
      <c r="F699" t="s">
        <v>78</v>
      </c>
      <c r="G699" t="s">
        <v>78</v>
      </c>
      <c r="H699">
        <v>0.01</v>
      </c>
      <c r="I699" s="1">
        <v>0</v>
      </c>
      <c r="J699" s="1">
        <v>0</v>
      </c>
      <c r="K699">
        <v>0</v>
      </c>
      <c r="L699">
        <v>0</v>
      </c>
      <c r="M699">
        <v>0.02</v>
      </c>
      <c r="N699" s="1">
        <v>10000000</v>
      </c>
      <c r="O699">
        <v>0.01</v>
      </c>
      <c r="P699">
        <v>0.93</v>
      </c>
      <c r="Q699">
        <v>0.01</v>
      </c>
    </row>
    <row r="700" spans="1:17" x14ac:dyDescent="0.25">
      <c r="A700" t="s">
        <v>1531</v>
      </c>
      <c r="B700" t="s">
        <v>1532</v>
      </c>
      <c r="C700" t="s">
        <v>78</v>
      </c>
      <c r="D700" t="s">
        <v>78</v>
      </c>
      <c r="E700" t="s">
        <v>78</v>
      </c>
      <c r="F700" t="s">
        <v>78</v>
      </c>
      <c r="G700" t="s">
        <v>78</v>
      </c>
      <c r="H700">
        <v>0.72</v>
      </c>
      <c r="I700" s="1">
        <v>0</v>
      </c>
      <c r="J700" s="1">
        <v>0</v>
      </c>
      <c r="K700">
        <v>0</v>
      </c>
      <c r="L700">
        <v>0.47</v>
      </c>
      <c r="M700">
        <v>0.5</v>
      </c>
      <c r="N700" s="1">
        <v>10000000</v>
      </c>
      <c r="O700">
        <v>0.5</v>
      </c>
      <c r="P700">
        <v>0.97</v>
      </c>
      <c r="Q700">
        <v>0.04</v>
      </c>
    </row>
    <row r="701" spans="1:17" x14ac:dyDescent="0.25">
      <c r="A701" t="s">
        <v>1533</v>
      </c>
      <c r="B701" t="s">
        <v>1534</v>
      </c>
      <c r="C701" t="s">
        <v>78</v>
      </c>
      <c r="D701" t="s">
        <v>78</v>
      </c>
      <c r="E701" t="s">
        <v>78</v>
      </c>
      <c r="F701" t="s">
        <v>78</v>
      </c>
      <c r="G701" t="s">
        <v>78</v>
      </c>
      <c r="H701">
        <v>0.01</v>
      </c>
      <c r="I701" s="1">
        <v>0</v>
      </c>
      <c r="J701" s="1">
        <v>0</v>
      </c>
      <c r="K701">
        <v>0</v>
      </c>
      <c r="L701">
        <v>0</v>
      </c>
      <c r="M701">
        <v>0.01</v>
      </c>
      <c r="N701" s="1">
        <v>5000000</v>
      </c>
      <c r="O701">
        <v>0.01</v>
      </c>
      <c r="P701">
        <v>1.1100000000000001</v>
      </c>
      <c r="Q701">
        <v>0.01</v>
      </c>
    </row>
    <row r="702" spans="1:17" x14ac:dyDescent="0.25">
      <c r="A702" t="s">
        <v>1535</v>
      </c>
      <c r="B702" t="s">
        <v>1536</v>
      </c>
      <c r="C702" t="s">
        <v>78</v>
      </c>
      <c r="D702" t="s">
        <v>78</v>
      </c>
      <c r="E702" t="s">
        <v>78</v>
      </c>
      <c r="F702" t="s">
        <v>78</v>
      </c>
      <c r="G702" t="s">
        <v>78</v>
      </c>
      <c r="H702">
        <v>0.01</v>
      </c>
      <c r="I702" s="1">
        <v>0</v>
      </c>
      <c r="J702" s="1">
        <v>0</v>
      </c>
      <c r="K702">
        <v>0</v>
      </c>
      <c r="L702">
        <v>0.01</v>
      </c>
      <c r="M702">
        <v>0.02</v>
      </c>
      <c r="N702" s="1">
        <v>10000000</v>
      </c>
      <c r="O702">
        <v>0.01</v>
      </c>
      <c r="P702">
        <v>0.87</v>
      </c>
      <c r="Q702">
        <v>0.01</v>
      </c>
    </row>
    <row r="703" spans="1:17" x14ac:dyDescent="0.25">
      <c r="A703" t="s">
        <v>1537</v>
      </c>
      <c r="B703" t="s">
        <v>1538</v>
      </c>
      <c r="C703">
        <v>0.05</v>
      </c>
      <c r="D703">
        <v>0</v>
      </c>
      <c r="E703">
        <v>0.05</v>
      </c>
      <c r="F703">
        <v>0.05</v>
      </c>
      <c r="G703">
        <v>0.05</v>
      </c>
      <c r="H703">
        <v>0.05</v>
      </c>
      <c r="I703" s="1">
        <v>20000</v>
      </c>
      <c r="J703" s="1">
        <v>1000</v>
      </c>
      <c r="K703">
        <v>1</v>
      </c>
      <c r="L703">
        <v>0.04</v>
      </c>
      <c r="M703">
        <v>0.05</v>
      </c>
      <c r="N703" s="1">
        <v>10000000</v>
      </c>
      <c r="O703">
        <v>0.05</v>
      </c>
      <c r="P703">
        <v>0.64</v>
      </c>
      <c r="Q703">
        <v>0.01</v>
      </c>
    </row>
    <row r="704" spans="1:17" x14ac:dyDescent="0.25">
      <c r="A704" t="s">
        <v>1539</v>
      </c>
      <c r="B704" t="s">
        <v>1540</v>
      </c>
      <c r="C704" t="s">
        <v>78</v>
      </c>
      <c r="D704" t="s">
        <v>78</v>
      </c>
      <c r="E704" t="s">
        <v>78</v>
      </c>
      <c r="F704" t="s">
        <v>78</v>
      </c>
      <c r="G704" t="s">
        <v>78</v>
      </c>
      <c r="H704">
        <v>0.05</v>
      </c>
      <c r="I704" s="1">
        <v>0</v>
      </c>
      <c r="J704" s="1">
        <v>0</v>
      </c>
      <c r="K704">
        <v>0</v>
      </c>
      <c r="L704">
        <v>0.03</v>
      </c>
      <c r="M704">
        <v>0.05</v>
      </c>
      <c r="N704" s="1">
        <v>10000000</v>
      </c>
      <c r="O704">
        <v>0.05</v>
      </c>
      <c r="P704">
        <v>1.01</v>
      </c>
      <c r="Q704">
        <v>0.01</v>
      </c>
    </row>
    <row r="705" spans="1:17" x14ac:dyDescent="0.25">
      <c r="A705" t="s">
        <v>1541</v>
      </c>
      <c r="B705" t="s">
        <v>1542</v>
      </c>
      <c r="C705" t="s">
        <v>78</v>
      </c>
      <c r="D705" t="s">
        <v>78</v>
      </c>
      <c r="E705" t="s">
        <v>78</v>
      </c>
      <c r="F705" t="s">
        <v>78</v>
      </c>
      <c r="G705" t="s">
        <v>78</v>
      </c>
      <c r="H705">
        <v>0.32</v>
      </c>
      <c r="I705" s="1">
        <v>0</v>
      </c>
      <c r="J705" s="1">
        <v>0</v>
      </c>
      <c r="K705">
        <v>0</v>
      </c>
      <c r="L705">
        <v>0.31</v>
      </c>
      <c r="M705">
        <v>0.32</v>
      </c>
      <c r="N705" s="1">
        <v>10000000</v>
      </c>
      <c r="O705">
        <v>0.32</v>
      </c>
      <c r="P705">
        <v>1.1399999999999999</v>
      </c>
      <c r="Q705">
        <v>0.01</v>
      </c>
    </row>
    <row r="706" spans="1:17" x14ac:dyDescent="0.25">
      <c r="A706" t="s">
        <v>1543</v>
      </c>
      <c r="B706" t="s">
        <v>1544</v>
      </c>
      <c r="C706">
        <v>0.85</v>
      </c>
      <c r="D706">
        <v>-0.26</v>
      </c>
      <c r="E706">
        <v>1.01</v>
      </c>
      <c r="F706">
        <v>1.01</v>
      </c>
      <c r="G706">
        <v>0.8</v>
      </c>
      <c r="H706">
        <v>0.85</v>
      </c>
      <c r="I706" s="1">
        <v>291000</v>
      </c>
      <c r="J706" s="1">
        <v>247630</v>
      </c>
      <c r="K706">
        <v>7</v>
      </c>
      <c r="L706">
        <v>0.84</v>
      </c>
      <c r="M706">
        <v>0.85</v>
      </c>
      <c r="N706" s="1">
        <v>10000000</v>
      </c>
      <c r="O706">
        <v>0.85</v>
      </c>
      <c r="P706">
        <v>2.2799999999999998</v>
      </c>
      <c r="Q706">
        <v>0.01</v>
      </c>
    </row>
    <row r="707" spans="1:17" x14ac:dyDescent="0.25">
      <c r="A707" t="s">
        <v>1545</v>
      </c>
      <c r="B707" t="s">
        <v>1546</v>
      </c>
      <c r="C707" t="s">
        <v>78</v>
      </c>
      <c r="D707" t="s">
        <v>78</v>
      </c>
      <c r="E707" t="s">
        <v>78</v>
      </c>
      <c r="F707" t="s">
        <v>78</v>
      </c>
      <c r="G707" t="s">
        <v>78</v>
      </c>
      <c r="H707">
        <v>3.47</v>
      </c>
      <c r="I707" s="1">
        <v>0</v>
      </c>
      <c r="J707" s="1">
        <v>0</v>
      </c>
      <c r="K707">
        <v>0</v>
      </c>
      <c r="L707">
        <v>2.5099999999999998</v>
      </c>
      <c r="M707">
        <v>2.57</v>
      </c>
      <c r="N707" s="1">
        <v>10000000</v>
      </c>
      <c r="O707">
        <v>2.5099999999999998</v>
      </c>
      <c r="P707">
        <v>3.09</v>
      </c>
      <c r="Q707">
        <v>1.93</v>
      </c>
    </row>
    <row r="708" spans="1:17" x14ac:dyDescent="0.25">
      <c r="A708" t="s">
        <v>1547</v>
      </c>
      <c r="B708" t="s">
        <v>1548</v>
      </c>
      <c r="C708">
        <v>0.28999999999999998</v>
      </c>
      <c r="D708">
        <v>-0.11</v>
      </c>
      <c r="E708">
        <v>0.32</v>
      </c>
      <c r="F708">
        <v>0.32</v>
      </c>
      <c r="G708">
        <v>0.28999999999999998</v>
      </c>
      <c r="H708">
        <v>0.3</v>
      </c>
      <c r="I708" s="1">
        <v>275000</v>
      </c>
      <c r="J708" s="1">
        <v>82900</v>
      </c>
      <c r="K708">
        <v>11</v>
      </c>
      <c r="L708">
        <v>0.33</v>
      </c>
      <c r="M708">
        <v>0.34</v>
      </c>
      <c r="N708" s="1">
        <v>5000000</v>
      </c>
      <c r="O708">
        <v>0.28999999999999998</v>
      </c>
      <c r="P708">
        <v>1.05</v>
      </c>
      <c r="Q708">
        <v>0.01</v>
      </c>
    </row>
    <row r="709" spans="1:17" x14ac:dyDescent="0.25">
      <c r="A709" t="s">
        <v>1549</v>
      </c>
      <c r="B709" t="s">
        <v>1550</v>
      </c>
      <c r="C709">
        <v>0.01</v>
      </c>
      <c r="D709">
        <v>0</v>
      </c>
      <c r="E709">
        <v>0.01</v>
      </c>
      <c r="F709">
        <v>0.01</v>
      </c>
      <c r="G709">
        <v>0.01</v>
      </c>
      <c r="H709">
        <v>0.01</v>
      </c>
      <c r="I709" s="1">
        <v>15000</v>
      </c>
      <c r="J709" s="1">
        <v>150</v>
      </c>
      <c r="K709">
        <v>1</v>
      </c>
      <c r="L709">
        <v>0.01</v>
      </c>
      <c r="M709">
        <v>0.02</v>
      </c>
      <c r="N709" s="1">
        <v>15000000</v>
      </c>
      <c r="O709">
        <v>0.01</v>
      </c>
      <c r="P709">
        <v>0.91</v>
      </c>
      <c r="Q709">
        <v>0.01</v>
      </c>
    </row>
    <row r="710" spans="1:17" x14ac:dyDescent="0.25">
      <c r="A710" t="s">
        <v>1551</v>
      </c>
      <c r="B710" t="s">
        <v>1552</v>
      </c>
      <c r="C710">
        <v>0.05</v>
      </c>
      <c r="D710">
        <v>0.01</v>
      </c>
      <c r="E710">
        <v>0.04</v>
      </c>
      <c r="F710">
        <v>0.05</v>
      </c>
      <c r="G710">
        <v>0.04</v>
      </c>
      <c r="H710">
        <v>0.04</v>
      </c>
      <c r="I710" s="1">
        <v>40000</v>
      </c>
      <c r="J710" s="1">
        <v>1800</v>
      </c>
      <c r="K710">
        <v>3</v>
      </c>
      <c r="L710">
        <v>0.04</v>
      </c>
      <c r="M710">
        <v>0.05</v>
      </c>
      <c r="N710" s="1">
        <v>10000000</v>
      </c>
      <c r="O710">
        <v>0.05</v>
      </c>
      <c r="P710">
        <v>0.46</v>
      </c>
      <c r="Q710">
        <v>0.01</v>
      </c>
    </row>
    <row r="711" spans="1:17" x14ac:dyDescent="0.25">
      <c r="A711" t="s">
        <v>1553</v>
      </c>
      <c r="B711" t="s">
        <v>1554</v>
      </c>
      <c r="C711" t="s">
        <v>78</v>
      </c>
      <c r="D711" t="s">
        <v>78</v>
      </c>
      <c r="E711" t="s">
        <v>78</v>
      </c>
      <c r="F711" t="s">
        <v>78</v>
      </c>
      <c r="G711" t="s">
        <v>78</v>
      </c>
      <c r="H711">
        <v>0.02</v>
      </c>
      <c r="I711" s="1">
        <v>0</v>
      </c>
      <c r="J711" s="1">
        <v>0</v>
      </c>
      <c r="K711">
        <v>0</v>
      </c>
      <c r="L711">
        <v>0</v>
      </c>
      <c r="M711">
        <v>0.01</v>
      </c>
      <c r="N711" s="1">
        <v>5000000</v>
      </c>
      <c r="O711">
        <v>0.01</v>
      </c>
      <c r="P711">
        <v>2.02</v>
      </c>
      <c r="Q711">
        <v>0.01</v>
      </c>
    </row>
    <row r="712" spans="1:17" x14ac:dyDescent="0.25">
      <c r="A712" t="s">
        <v>1555</v>
      </c>
      <c r="B712" t="s">
        <v>1556</v>
      </c>
      <c r="C712" t="s">
        <v>78</v>
      </c>
      <c r="D712" t="s">
        <v>78</v>
      </c>
      <c r="E712" t="s">
        <v>78</v>
      </c>
      <c r="F712" t="s">
        <v>78</v>
      </c>
      <c r="G712" t="s">
        <v>78</v>
      </c>
      <c r="H712">
        <v>1.3</v>
      </c>
      <c r="I712" s="1">
        <v>0</v>
      </c>
      <c r="J712" s="1">
        <v>0</v>
      </c>
      <c r="K712">
        <v>0</v>
      </c>
      <c r="L712">
        <v>0.73</v>
      </c>
      <c r="M712">
        <v>0.83</v>
      </c>
      <c r="N712" s="1">
        <v>10000000</v>
      </c>
      <c r="O712">
        <v>0.83</v>
      </c>
      <c r="P712">
        <v>1.38</v>
      </c>
      <c r="Q712">
        <v>0.28000000000000003</v>
      </c>
    </row>
    <row r="713" spans="1:17" x14ac:dyDescent="0.25">
      <c r="A713" t="s">
        <v>1557</v>
      </c>
      <c r="B713" t="s">
        <v>1558</v>
      </c>
      <c r="C713" t="s">
        <v>78</v>
      </c>
      <c r="D713" t="s">
        <v>78</v>
      </c>
      <c r="E713" t="s">
        <v>78</v>
      </c>
      <c r="F713" t="s">
        <v>78</v>
      </c>
      <c r="G713" t="s">
        <v>78</v>
      </c>
      <c r="H713">
        <v>0.37</v>
      </c>
      <c r="I713" s="1">
        <v>0</v>
      </c>
      <c r="J713" s="1">
        <v>0</v>
      </c>
      <c r="K713">
        <v>0</v>
      </c>
      <c r="L713">
        <v>0.35</v>
      </c>
      <c r="M713">
        <v>0.37</v>
      </c>
      <c r="N713" s="1">
        <v>10000000</v>
      </c>
      <c r="O713">
        <v>0.35</v>
      </c>
      <c r="P713">
        <v>0.87</v>
      </c>
      <c r="Q713">
        <v>0.01</v>
      </c>
    </row>
    <row r="714" spans="1:17" x14ac:dyDescent="0.25">
      <c r="A714" t="s">
        <v>1559</v>
      </c>
      <c r="B714" t="s">
        <v>1560</v>
      </c>
      <c r="C714" t="s">
        <v>78</v>
      </c>
      <c r="D714" t="s">
        <v>78</v>
      </c>
      <c r="E714" t="s">
        <v>78</v>
      </c>
      <c r="F714" t="s">
        <v>78</v>
      </c>
      <c r="G714" t="s">
        <v>78</v>
      </c>
      <c r="H714">
        <v>0.16</v>
      </c>
      <c r="I714" s="1">
        <v>0</v>
      </c>
      <c r="J714" s="1">
        <v>0</v>
      </c>
      <c r="K714">
        <v>0</v>
      </c>
      <c r="L714">
        <v>0.12</v>
      </c>
      <c r="M714">
        <v>0.13</v>
      </c>
      <c r="N714" s="1">
        <v>10000000</v>
      </c>
      <c r="O714">
        <v>0.12</v>
      </c>
      <c r="P714">
        <v>1</v>
      </c>
      <c r="Q714">
        <v>0.01</v>
      </c>
    </row>
    <row r="715" spans="1:17" x14ac:dyDescent="0.25">
      <c r="A715" t="s">
        <v>1561</v>
      </c>
      <c r="B715" t="s">
        <v>1562</v>
      </c>
      <c r="C715" t="s">
        <v>78</v>
      </c>
      <c r="D715" t="s">
        <v>78</v>
      </c>
      <c r="E715" t="s">
        <v>78</v>
      </c>
      <c r="F715" t="s">
        <v>78</v>
      </c>
      <c r="G715" t="s">
        <v>78</v>
      </c>
      <c r="H715">
        <v>0.25</v>
      </c>
      <c r="I715" s="1">
        <v>0</v>
      </c>
      <c r="J715" s="1">
        <v>0</v>
      </c>
      <c r="K715">
        <v>0</v>
      </c>
      <c r="L715">
        <v>0.19</v>
      </c>
      <c r="M715">
        <v>0.28000000000000003</v>
      </c>
      <c r="N715" s="1">
        <v>5000000</v>
      </c>
      <c r="O715">
        <v>0.25</v>
      </c>
      <c r="P715">
        <v>0.67</v>
      </c>
      <c r="Q715">
        <v>0.01</v>
      </c>
    </row>
    <row r="716" spans="1:17" x14ac:dyDescent="0.25">
      <c r="A716" t="s">
        <v>1563</v>
      </c>
      <c r="B716" t="s">
        <v>1564</v>
      </c>
      <c r="C716" t="s">
        <v>78</v>
      </c>
      <c r="D716" t="s">
        <v>78</v>
      </c>
      <c r="E716" t="s">
        <v>78</v>
      </c>
      <c r="F716" t="s">
        <v>78</v>
      </c>
      <c r="G716" t="s">
        <v>78</v>
      </c>
      <c r="H716">
        <v>1.54</v>
      </c>
      <c r="I716" s="1">
        <v>0</v>
      </c>
      <c r="J716" s="1">
        <v>0</v>
      </c>
      <c r="K716">
        <v>0</v>
      </c>
      <c r="L716">
        <v>1.77</v>
      </c>
      <c r="M716">
        <v>1.87</v>
      </c>
      <c r="N716" s="1">
        <v>5000000</v>
      </c>
      <c r="O716">
        <v>1.81</v>
      </c>
      <c r="P716">
        <v>2.68</v>
      </c>
      <c r="Q716">
        <v>0.94</v>
      </c>
    </row>
    <row r="717" spans="1:17" x14ac:dyDescent="0.25">
      <c r="A717" t="s">
        <v>1565</v>
      </c>
      <c r="B717" t="s">
        <v>1566</v>
      </c>
      <c r="C717" t="s">
        <v>78</v>
      </c>
      <c r="D717" t="s">
        <v>78</v>
      </c>
      <c r="E717" t="s">
        <v>78</v>
      </c>
      <c r="F717" t="s">
        <v>78</v>
      </c>
      <c r="G717" t="s">
        <v>78</v>
      </c>
      <c r="H717">
        <v>2.81</v>
      </c>
      <c r="I717" s="1">
        <v>0</v>
      </c>
      <c r="J717" s="1">
        <v>0</v>
      </c>
      <c r="K717">
        <v>0</v>
      </c>
      <c r="L717">
        <v>2.02</v>
      </c>
      <c r="M717">
        <v>2.12</v>
      </c>
      <c r="N717" s="1">
        <v>10000000</v>
      </c>
      <c r="O717">
        <v>2.02</v>
      </c>
      <c r="P717">
        <v>2.6</v>
      </c>
      <c r="Q717">
        <v>1.44</v>
      </c>
    </row>
    <row r="718" spans="1:17" x14ac:dyDescent="0.25">
      <c r="A718" t="s">
        <v>1567</v>
      </c>
      <c r="B718" t="s">
        <v>1568</v>
      </c>
      <c r="C718" t="s">
        <v>78</v>
      </c>
      <c r="D718" t="s">
        <v>78</v>
      </c>
      <c r="E718" t="s">
        <v>78</v>
      </c>
      <c r="F718" t="s">
        <v>78</v>
      </c>
      <c r="G718" t="s">
        <v>78</v>
      </c>
      <c r="H718">
        <v>0.01</v>
      </c>
      <c r="I718" s="1">
        <v>0</v>
      </c>
      <c r="J718" s="1">
        <v>0</v>
      </c>
      <c r="K718">
        <v>0</v>
      </c>
      <c r="L718">
        <v>0</v>
      </c>
      <c r="M718">
        <v>0.02</v>
      </c>
      <c r="N718" s="1">
        <v>5000000</v>
      </c>
      <c r="O718">
        <v>0.01</v>
      </c>
      <c r="P718">
        <v>0.72</v>
      </c>
      <c r="Q718">
        <v>0.01</v>
      </c>
    </row>
    <row r="719" spans="1:17" x14ac:dyDescent="0.25">
      <c r="A719" t="s">
        <v>1569</v>
      </c>
      <c r="B719" t="s">
        <v>1570</v>
      </c>
      <c r="C719">
        <v>0.45</v>
      </c>
      <c r="D719">
        <v>-0.08</v>
      </c>
      <c r="E719">
        <v>0.45</v>
      </c>
      <c r="F719">
        <v>0.45</v>
      </c>
      <c r="G719">
        <v>0.45</v>
      </c>
      <c r="H719">
        <v>0.45</v>
      </c>
      <c r="I719" s="1">
        <v>10000</v>
      </c>
      <c r="J719" s="1">
        <v>4500</v>
      </c>
      <c r="K719">
        <v>1</v>
      </c>
      <c r="L719">
        <v>0.46</v>
      </c>
      <c r="M719">
        <v>0.47</v>
      </c>
      <c r="N719" s="1">
        <v>10000000</v>
      </c>
      <c r="O719">
        <v>0.45</v>
      </c>
      <c r="P719">
        <v>1.0900000000000001</v>
      </c>
      <c r="Q719">
        <v>0.01</v>
      </c>
    </row>
    <row r="720" spans="1:17" x14ac:dyDescent="0.25">
      <c r="A720" t="s">
        <v>1571</v>
      </c>
      <c r="B720" t="s">
        <v>1572</v>
      </c>
      <c r="C720" t="s">
        <v>78</v>
      </c>
      <c r="D720" t="s">
        <v>78</v>
      </c>
      <c r="E720" t="s">
        <v>78</v>
      </c>
      <c r="F720" t="s">
        <v>78</v>
      </c>
      <c r="G720" t="s">
        <v>78</v>
      </c>
      <c r="H720">
        <v>0.03</v>
      </c>
      <c r="I720" s="1">
        <v>0</v>
      </c>
      <c r="J720" s="1">
        <v>0</v>
      </c>
      <c r="K720">
        <v>0</v>
      </c>
      <c r="L720">
        <v>0</v>
      </c>
      <c r="M720">
        <v>0.02</v>
      </c>
      <c r="N720" s="1">
        <v>10000000</v>
      </c>
      <c r="O720">
        <v>0.02</v>
      </c>
      <c r="P720">
        <v>1.72</v>
      </c>
      <c r="Q720">
        <v>0.01</v>
      </c>
    </row>
    <row r="721" spans="1:17" x14ac:dyDescent="0.25">
      <c r="A721" t="s">
        <v>1573</v>
      </c>
      <c r="B721" t="s">
        <v>1574</v>
      </c>
      <c r="C721" t="s">
        <v>78</v>
      </c>
      <c r="D721" t="s">
        <v>78</v>
      </c>
      <c r="E721" t="s">
        <v>78</v>
      </c>
      <c r="F721" t="s">
        <v>78</v>
      </c>
      <c r="G721" t="s">
        <v>78</v>
      </c>
      <c r="H721">
        <v>0.05</v>
      </c>
      <c r="I721" s="1">
        <v>0</v>
      </c>
      <c r="J721" s="1">
        <v>0</v>
      </c>
      <c r="K721">
        <v>0</v>
      </c>
      <c r="L721">
        <v>0</v>
      </c>
      <c r="M721">
        <v>0.02</v>
      </c>
      <c r="N721" s="1">
        <v>6900000</v>
      </c>
      <c r="O721">
        <v>0.02</v>
      </c>
      <c r="P721">
        <v>1.1200000000000001</v>
      </c>
      <c r="Q721">
        <v>0.01</v>
      </c>
    </row>
    <row r="722" spans="1:17" x14ac:dyDescent="0.25">
      <c r="A722" t="s">
        <v>1575</v>
      </c>
      <c r="B722" t="s">
        <v>1576</v>
      </c>
      <c r="C722" t="s">
        <v>78</v>
      </c>
      <c r="D722" t="s">
        <v>78</v>
      </c>
      <c r="E722" t="s">
        <v>78</v>
      </c>
      <c r="F722" t="s">
        <v>78</v>
      </c>
      <c r="G722" t="s">
        <v>78</v>
      </c>
      <c r="H722">
        <v>0.03</v>
      </c>
      <c r="I722" s="1">
        <v>0</v>
      </c>
      <c r="J722" s="1">
        <v>0</v>
      </c>
      <c r="K722">
        <v>0</v>
      </c>
      <c r="L722">
        <v>0.01</v>
      </c>
      <c r="M722">
        <v>0.02</v>
      </c>
      <c r="N722" s="1">
        <v>15000000</v>
      </c>
      <c r="O722">
        <v>0.02</v>
      </c>
      <c r="P722">
        <v>0.69</v>
      </c>
      <c r="Q722">
        <v>0.01</v>
      </c>
    </row>
    <row r="723" spans="1:17" x14ac:dyDescent="0.25">
      <c r="A723" t="s">
        <v>1577</v>
      </c>
      <c r="B723" t="s">
        <v>1578</v>
      </c>
      <c r="C723" t="s">
        <v>78</v>
      </c>
      <c r="D723" t="s">
        <v>78</v>
      </c>
      <c r="E723" t="s">
        <v>78</v>
      </c>
      <c r="F723" t="s">
        <v>78</v>
      </c>
      <c r="G723" t="s">
        <v>78</v>
      </c>
      <c r="H723">
        <v>0.01</v>
      </c>
      <c r="I723" s="1">
        <v>0</v>
      </c>
      <c r="J723" s="1">
        <v>0</v>
      </c>
      <c r="K723">
        <v>0</v>
      </c>
      <c r="L723">
        <v>0.01</v>
      </c>
      <c r="M723">
        <v>0.02</v>
      </c>
      <c r="N723" s="1">
        <v>15000000</v>
      </c>
      <c r="O723">
        <v>0.01</v>
      </c>
      <c r="P723">
        <v>0.9</v>
      </c>
      <c r="Q723">
        <v>0.01</v>
      </c>
    </row>
    <row r="724" spans="1:17" x14ac:dyDescent="0.25">
      <c r="A724" t="s">
        <v>1579</v>
      </c>
      <c r="B724" t="s">
        <v>1580</v>
      </c>
      <c r="C724">
        <v>3.07</v>
      </c>
      <c r="D724">
        <v>0.05</v>
      </c>
      <c r="E724">
        <v>3.02</v>
      </c>
      <c r="F724">
        <v>3.08</v>
      </c>
      <c r="G724">
        <v>3.01</v>
      </c>
      <c r="H724">
        <v>3.06</v>
      </c>
      <c r="I724" s="1">
        <v>199000</v>
      </c>
      <c r="J724" s="1">
        <v>608250</v>
      </c>
      <c r="K724">
        <v>24</v>
      </c>
      <c r="L724">
        <v>3.04</v>
      </c>
      <c r="M724">
        <v>3.07</v>
      </c>
      <c r="N724" s="1">
        <v>10000000</v>
      </c>
      <c r="O724">
        <v>3.07</v>
      </c>
      <c r="P724">
        <v>3.88</v>
      </c>
      <c r="Q724">
        <v>2.2599999999999998</v>
      </c>
    </row>
    <row r="725" spans="1:17" x14ac:dyDescent="0.25">
      <c r="A725" t="s">
        <v>1581</v>
      </c>
      <c r="B725" t="s">
        <v>1582</v>
      </c>
      <c r="C725">
        <v>0.2</v>
      </c>
      <c r="D725">
        <v>-0.02</v>
      </c>
      <c r="E725">
        <v>0.2</v>
      </c>
      <c r="F725">
        <v>0.2</v>
      </c>
      <c r="G725">
        <v>0.2</v>
      </c>
      <c r="H725">
        <v>0.2</v>
      </c>
      <c r="I725" s="1">
        <v>5000</v>
      </c>
      <c r="J725" s="1">
        <v>1000</v>
      </c>
      <c r="K725">
        <v>1</v>
      </c>
      <c r="L725">
        <v>0.2</v>
      </c>
      <c r="M725">
        <v>0.21</v>
      </c>
      <c r="N725" s="1">
        <v>10000000</v>
      </c>
      <c r="O725">
        <v>0.2</v>
      </c>
      <c r="P725">
        <v>0.9</v>
      </c>
      <c r="Q725">
        <v>0.01</v>
      </c>
    </row>
    <row r="726" spans="1:17" x14ac:dyDescent="0.25">
      <c r="A726" t="s">
        <v>1583</v>
      </c>
      <c r="B726" t="s">
        <v>1584</v>
      </c>
      <c r="C726" t="s">
        <v>78</v>
      </c>
      <c r="D726" t="s">
        <v>78</v>
      </c>
      <c r="E726" t="s">
        <v>78</v>
      </c>
      <c r="F726" t="s">
        <v>78</v>
      </c>
      <c r="G726" t="s">
        <v>78</v>
      </c>
      <c r="H726">
        <v>0.1</v>
      </c>
      <c r="I726" s="1">
        <v>0</v>
      </c>
      <c r="J726" s="1">
        <v>0</v>
      </c>
      <c r="K726">
        <v>0</v>
      </c>
      <c r="L726">
        <v>0.08</v>
      </c>
      <c r="M726">
        <v>0.1</v>
      </c>
      <c r="N726" s="1">
        <v>5000000</v>
      </c>
      <c r="O726">
        <v>0.1</v>
      </c>
      <c r="P726">
        <v>0.94</v>
      </c>
      <c r="Q726">
        <v>0.01</v>
      </c>
    </row>
    <row r="727" spans="1:17" x14ac:dyDescent="0.25">
      <c r="A727" t="s">
        <v>1585</v>
      </c>
      <c r="B727" t="s">
        <v>1586</v>
      </c>
      <c r="C727" t="s">
        <v>78</v>
      </c>
      <c r="D727" t="s">
        <v>78</v>
      </c>
      <c r="E727" t="s">
        <v>78</v>
      </c>
      <c r="F727" t="s">
        <v>78</v>
      </c>
      <c r="G727" t="s">
        <v>78</v>
      </c>
      <c r="H727">
        <v>3.75</v>
      </c>
      <c r="I727" s="1">
        <v>0</v>
      </c>
      <c r="J727" s="1">
        <v>0</v>
      </c>
      <c r="K727">
        <v>0</v>
      </c>
      <c r="L727">
        <v>3.19</v>
      </c>
      <c r="M727">
        <v>3.28</v>
      </c>
      <c r="N727" s="1">
        <v>10000000</v>
      </c>
      <c r="O727">
        <v>3.19</v>
      </c>
      <c r="P727">
        <v>4.0599999999999996</v>
      </c>
      <c r="Q727">
        <v>2.3199999999999998</v>
      </c>
    </row>
    <row r="728" spans="1:17" x14ac:dyDescent="0.25">
      <c r="A728" t="s">
        <v>1587</v>
      </c>
      <c r="B728" t="s">
        <v>1588</v>
      </c>
      <c r="C728" t="s">
        <v>78</v>
      </c>
      <c r="D728" t="s">
        <v>78</v>
      </c>
      <c r="E728" t="s">
        <v>78</v>
      </c>
      <c r="F728" t="s">
        <v>78</v>
      </c>
      <c r="G728" t="s">
        <v>78</v>
      </c>
      <c r="H728">
        <v>1.88</v>
      </c>
      <c r="I728" s="1">
        <v>0</v>
      </c>
      <c r="J728" s="1">
        <v>0</v>
      </c>
      <c r="K728">
        <v>0</v>
      </c>
      <c r="L728">
        <v>1.87</v>
      </c>
      <c r="M728">
        <v>1.91</v>
      </c>
      <c r="N728" s="1">
        <v>10000000</v>
      </c>
      <c r="O728">
        <v>1.88</v>
      </c>
      <c r="P728">
        <v>2.46</v>
      </c>
      <c r="Q728">
        <v>1.3</v>
      </c>
    </row>
    <row r="729" spans="1:17" x14ac:dyDescent="0.25">
      <c r="A729" t="s">
        <v>1589</v>
      </c>
      <c r="B729" t="s">
        <v>1590</v>
      </c>
      <c r="C729" t="s">
        <v>78</v>
      </c>
      <c r="D729" t="s">
        <v>78</v>
      </c>
      <c r="E729" t="s">
        <v>78</v>
      </c>
      <c r="F729" t="s">
        <v>78</v>
      </c>
      <c r="G729" t="s">
        <v>78</v>
      </c>
      <c r="H729">
        <v>0.08</v>
      </c>
      <c r="I729" s="1">
        <v>0</v>
      </c>
      <c r="J729" s="1">
        <v>0</v>
      </c>
      <c r="K729">
        <v>0</v>
      </c>
      <c r="L729">
        <v>0</v>
      </c>
      <c r="M729">
        <v>0.1</v>
      </c>
      <c r="N729" s="1">
        <v>5000000</v>
      </c>
      <c r="O729">
        <v>0.08</v>
      </c>
      <c r="P729">
        <v>1.06</v>
      </c>
      <c r="Q729">
        <v>0.01</v>
      </c>
    </row>
    <row r="730" spans="1:17" x14ac:dyDescent="0.25">
      <c r="A730" t="s">
        <v>1591</v>
      </c>
      <c r="B730" t="s">
        <v>1592</v>
      </c>
      <c r="C730">
        <v>0.61</v>
      </c>
      <c r="D730">
        <v>0</v>
      </c>
      <c r="E730">
        <v>0.6</v>
      </c>
      <c r="F730">
        <v>0.61</v>
      </c>
      <c r="G730">
        <v>0.6</v>
      </c>
      <c r="H730">
        <v>0.6</v>
      </c>
      <c r="I730" s="1">
        <v>323000</v>
      </c>
      <c r="J730" s="1">
        <v>194320</v>
      </c>
      <c r="K730">
        <v>8</v>
      </c>
      <c r="L730">
        <v>0.62</v>
      </c>
      <c r="M730">
        <v>0.63</v>
      </c>
      <c r="N730" s="1">
        <v>10000000</v>
      </c>
      <c r="O730">
        <v>0.61</v>
      </c>
      <c r="P730">
        <v>0.86</v>
      </c>
      <c r="Q730">
        <v>0.36</v>
      </c>
    </row>
    <row r="731" spans="1:17" x14ac:dyDescent="0.25">
      <c r="A731" t="s">
        <v>1593</v>
      </c>
      <c r="B731" t="s">
        <v>1594</v>
      </c>
      <c r="C731" t="s">
        <v>78</v>
      </c>
      <c r="D731" t="s">
        <v>78</v>
      </c>
      <c r="E731" t="s">
        <v>78</v>
      </c>
      <c r="F731" t="s">
        <v>78</v>
      </c>
      <c r="G731" t="s">
        <v>78</v>
      </c>
      <c r="H731">
        <v>1.49</v>
      </c>
      <c r="I731" s="1">
        <v>0</v>
      </c>
      <c r="J731" s="1">
        <v>0</v>
      </c>
      <c r="K731">
        <v>0</v>
      </c>
      <c r="L731">
        <v>2.15</v>
      </c>
      <c r="M731">
        <v>2.25</v>
      </c>
      <c r="N731" s="1">
        <v>5000000</v>
      </c>
      <c r="O731">
        <v>2.17</v>
      </c>
      <c r="P731">
        <v>2.75</v>
      </c>
      <c r="Q731">
        <v>1.59</v>
      </c>
    </row>
    <row r="732" spans="1:17" x14ac:dyDescent="0.25">
      <c r="A732" t="s">
        <v>1595</v>
      </c>
      <c r="B732" t="s">
        <v>1596</v>
      </c>
      <c r="C732">
        <v>0.23</v>
      </c>
      <c r="D732">
        <v>-0.02</v>
      </c>
      <c r="E732">
        <v>0.23</v>
      </c>
      <c r="F732">
        <v>0.23</v>
      </c>
      <c r="G732">
        <v>0.23</v>
      </c>
      <c r="H732">
        <v>0.23</v>
      </c>
      <c r="I732" s="1">
        <v>20000</v>
      </c>
      <c r="J732" s="1">
        <v>4600</v>
      </c>
      <c r="K732">
        <v>1</v>
      </c>
      <c r="L732">
        <v>0.23</v>
      </c>
      <c r="M732">
        <v>0.24</v>
      </c>
      <c r="N732" s="1">
        <v>5000000</v>
      </c>
      <c r="O732">
        <v>0.23</v>
      </c>
      <c r="P732">
        <v>1.25</v>
      </c>
      <c r="Q732">
        <v>0.01</v>
      </c>
    </row>
    <row r="733" spans="1:17" x14ac:dyDescent="0.25">
      <c r="A733" t="s">
        <v>1597</v>
      </c>
      <c r="B733" t="s">
        <v>1598</v>
      </c>
      <c r="C733" t="s">
        <v>78</v>
      </c>
      <c r="D733" t="s">
        <v>78</v>
      </c>
      <c r="E733" t="s">
        <v>78</v>
      </c>
      <c r="F733" t="s">
        <v>78</v>
      </c>
      <c r="G733" t="s">
        <v>78</v>
      </c>
      <c r="H733">
        <v>2.13</v>
      </c>
      <c r="I733" s="1">
        <v>0</v>
      </c>
      <c r="J733" s="1">
        <v>0</v>
      </c>
      <c r="K733">
        <v>0</v>
      </c>
      <c r="L733">
        <v>2.11</v>
      </c>
      <c r="M733">
        <v>2.15</v>
      </c>
      <c r="N733" s="1">
        <v>5000000</v>
      </c>
      <c r="O733">
        <v>2.13</v>
      </c>
      <c r="P733">
        <v>3.02</v>
      </c>
      <c r="Q733">
        <v>1.24</v>
      </c>
    </row>
    <row r="734" spans="1:17" x14ac:dyDescent="0.25">
      <c r="A734" t="s">
        <v>1599</v>
      </c>
      <c r="B734" t="s">
        <v>1600</v>
      </c>
      <c r="C734" t="s">
        <v>78</v>
      </c>
      <c r="D734" t="s">
        <v>78</v>
      </c>
      <c r="E734" t="s">
        <v>78</v>
      </c>
      <c r="F734" t="s">
        <v>78</v>
      </c>
      <c r="G734" t="s">
        <v>78</v>
      </c>
      <c r="H734">
        <v>0.02</v>
      </c>
      <c r="I734" s="1">
        <v>0</v>
      </c>
      <c r="J734" s="1">
        <v>0</v>
      </c>
      <c r="K734">
        <v>0</v>
      </c>
      <c r="L734">
        <v>0</v>
      </c>
      <c r="M734">
        <v>0.02</v>
      </c>
      <c r="N734" s="1">
        <v>10000000</v>
      </c>
      <c r="O734">
        <v>0.01</v>
      </c>
      <c r="P734">
        <v>1.6</v>
      </c>
      <c r="Q734">
        <v>0.01</v>
      </c>
    </row>
    <row r="735" spans="1:17" x14ac:dyDescent="0.25">
      <c r="A735" t="s">
        <v>1601</v>
      </c>
      <c r="B735" t="s">
        <v>1602</v>
      </c>
      <c r="C735" t="s">
        <v>78</v>
      </c>
      <c r="D735" t="s">
        <v>78</v>
      </c>
      <c r="E735" t="s">
        <v>78</v>
      </c>
      <c r="F735" t="s">
        <v>78</v>
      </c>
      <c r="G735" t="s">
        <v>78</v>
      </c>
      <c r="H735">
        <v>0.19</v>
      </c>
      <c r="I735" s="1">
        <v>0</v>
      </c>
      <c r="J735" s="1">
        <v>0</v>
      </c>
      <c r="K735">
        <v>0</v>
      </c>
      <c r="L735">
        <v>0</v>
      </c>
      <c r="M735">
        <v>0.02</v>
      </c>
      <c r="N735" s="1">
        <v>10000000</v>
      </c>
      <c r="O735">
        <v>0.02</v>
      </c>
      <c r="P735">
        <v>1.29</v>
      </c>
      <c r="Q735">
        <v>0.01</v>
      </c>
    </row>
    <row r="736" spans="1:17" x14ac:dyDescent="0.25">
      <c r="A736" t="s">
        <v>1603</v>
      </c>
      <c r="B736" t="s">
        <v>1604</v>
      </c>
      <c r="C736" t="s">
        <v>78</v>
      </c>
      <c r="D736" t="s">
        <v>78</v>
      </c>
      <c r="E736" t="s">
        <v>78</v>
      </c>
      <c r="F736" t="s">
        <v>78</v>
      </c>
      <c r="G736" t="s">
        <v>78</v>
      </c>
      <c r="H736">
        <v>0.62</v>
      </c>
      <c r="I736" s="1">
        <v>0</v>
      </c>
      <c r="J736" s="1">
        <v>0</v>
      </c>
      <c r="K736">
        <v>0</v>
      </c>
      <c r="L736">
        <v>0.62</v>
      </c>
      <c r="M736">
        <v>0.63</v>
      </c>
      <c r="N736" s="1">
        <v>10000000</v>
      </c>
      <c r="O736">
        <v>0.62</v>
      </c>
      <c r="P736">
        <v>1.62</v>
      </c>
      <c r="Q736">
        <v>0.01</v>
      </c>
    </row>
    <row r="737" spans="1:17" x14ac:dyDescent="0.25">
      <c r="A737" t="s">
        <v>1605</v>
      </c>
      <c r="B737" t="s">
        <v>1606</v>
      </c>
      <c r="C737" t="s">
        <v>78</v>
      </c>
      <c r="D737" t="s">
        <v>78</v>
      </c>
      <c r="E737" t="s">
        <v>78</v>
      </c>
      <c r="F737" t="s">
        <v>78</v>
      </c>
      <c r="G737" t="s">
        <v>78</v>
      </c>
      <c r="H737">
        <v>0.24</v>
      </c>
      <c r="I737" s="1">
        <v>0</v>
      </c>
      <c r="J737" s="1">
        <v>0</v>
      </c>
      <c r="K737">
        <v>0</v>
      </c>
      <c r="L737">
        <v>0</v>
      </c>
      <c r="M737">
        <v>0.02</v>
      </c>
      <c r="N737" s="1">
        <v>5000000</v>
      </c>
      <c r="O737">
        <v>0.02</v>
      </c>
      <c r="P737">
        <v>2.82</v>
      </c>
      <c r="Q737">
        <v>0.01</v>
      </c>
    </row>
    <row r="738" spans="1:17" x14ac:dyDescent="0.25">
      <c r="A738" t="s">
        <v>1607</v>
      </c>
      <c r="B738" t="s">
        <v>1608</v>
      </c>
      <c r="C738" t="s">
        <v>78</v>
      </c>
      <c r="D738" t="s">
        <v>78</v>
      </c>
      <c r="E738" t="s">
        <v>78</v>
      </c>
      <c r="F738" t="s">
        <v>78</v>
      </c>
      <c r="G738" t="s">
        <v>78</v>
      </c>
      <c r="H738">
        <v>0.05</v>
      </c>
      <c r="I738" s="1">
        <v>0</v>
      </c>
      <c r="J738" s="1">
        <v>0</v>
      </c>
      <c r="K738">
        <v>0</v>
      </c>
      <c r="L738">
        <v>0.01</v>
      </c>
      <c r="M738">
        <v>0.04</v>
      </c>
      <c r="N738" s="1">
        <v>10000000</v>
      </c>
      <c r="O738">
        <v>0.04</v>
      </c>
      <c r="P738">
        <v>1.83</v>
      </c>
      <c r="Q738">
        <v>0.01</v>
      </c>
    </row>
    <row r="739" spans="1:17" x14ac:dyDescent="0.25">
      <c r="A739" t="s">
        <v>1609</v>
      </c>
      <c r="B739" t="s">
        <v>1610</v>
      </c>
      <c r="C739" t="s">
        <v>78</v>
      </c>
      <c r="D739" t="s">
        <v>78</v>
      </c>
      <c r="E739" t="s">
        <v>78</v>
      </c>
      <c r="F739" t="s">
        <v>78</v>
      </c>
      <c r="G739" t="s">
        <v>78</v>
      </c>
      <c r="H739">
        <v>1.43</v>
      </c>
      <c r="I739" s="1">
        <v>0</v>
      </c>
      <c r="J739" s="1">
        <v>0</v>
      </c>
      <c r="K739">
        <v>0</v>
      </c>
      <c r="L739">
        <v>2.1800000000000002</v>
      </c>
      <c r="M739">
        <v>2.21</v>
      </c>
      <c r="N739" s="1">
        <v>10000000</v>
      </c>
      <c r="O739">
        <v>2.1800000000000002</v>
      </c>
      <c r="P739">
        <v>2.76</v>
      </c>
      <c r="Q739">
        <v>1.6</v>
      </c>
    </row>
    <row r="740" spans="1:17" x14ac:dyDescent="0.25">
      <c r="A740" t="s">
        <v>1611</v>
      </c>
      <c r="B740" t="s">
        <v>1612</v>
      </c>
      <c r="C740" t="s">
        <v>78</v>
      </c>
      <c r="D740" t="s">
        <v>78</v>
      </c>
      <c r="E740" t="s">
        <v>78</v>
      </c>
      <c r="F740" t="s">
        <v>78</v>
      </c>
      <c r="G740" t="s">
        <v>78</v>
      </c>
      <c r="H740">
        <v>2.09</v>
      </c>
      <c r="I740" s="1">
        <v>0</v>
      </c>
      <c r="J740" s="1">
        <v>0</v>
      </c>
      <c r="K740">
        <v>0</v>
      </c>
      <c r="L740">
        <v>1.55</v>
      </c>
      <c r="M740">
        <v>1.59</v>
      </c>
      <c r="N740" s="1">
        <v>10000000</v>
      </c>
      <c r="O740">
        <v>1.59</v>
      </c>
      <c r="P740">
        <v>2.14</v>
      </c>
      <c r="Q740">
        <v>1.04</v>
      </c>
    </row>
    <row r="741" spans="1:17" x14ac:dyDescent="0.25">
      <c r="A741" t="s">
        <v>1613</v>
      </c>
      <c r="B741" t="s">
        <v>1614</v>
      </c>
      <c r="C741">
        <v>0.67</v>
      </c>
      <c r="D741">
        <v>-0.02</v>
      </c>
      <c r="E741">
        <v>0.64</v>
      </c>
      <c r="F741">
        <v>0.67</v>
      </c>
      <c r="G741">
        <v>0.62</v>
      </c>
      <c r="H741">
        <v>0.64</v>
      </c>
      <c r="I741" s="1">
        <v>78000</v>
      </c>
      <c r="J741" s="1">
        <v>49850</v>
      </c>
      <c r="K741">
        <v>3</v>
      </c>
      <c r="L741">
        <v>0.66</v>
      </c>
      <c r="M741">
        <v>0.67</v>
      </c>
      <c r="N741" s="1">
        <v>10000000</v>
      </c>
      <c r="O741">
        <v>0.67</v>
      </c>
      <c r="P741">
        <v>2.91</v>
      </c>
      <c r="Q741">
        <v>0.01</v>
      </c>
    </row>
    <row r="742" spans="1:17" x14ac:dyDescent="0.25">
      <c r="A742" t="s">
        <v>1615</v>
      </c>
      <c r="B742" t="s">
        <v>1616</v>
      </c>
      <c r="C742" t="s">
        <v>78</v>
      </c>
      <c r="D742" t="s">
        <v>78</v>
      </c>
      <c r="E742" t="s">
        <v>78</v>
      </c>
      <c r="F742" t="s">
        <v>78</v>
      </c>
      <c r="G742" t="s">
        <v>78</v>
      </c>
      <c r="H742">
        <v>0.59</v>
      </c>
      <c r="I742" s="1">
        <v>0</v>
      </c>
      <c r="J742" s="1">
        <v>0</v>
      </c>
      <c r="K742">
        <v>0</v>
      </c>
      <c r="L742">
        <v>0</v>
      </c>
      <c r="M742">
        <v>0.01</v>
      </c>
      <c r="N742" s="1">
        <v>10000000</v>
      </c>
      <c r="O742">
        <v>0.01</v>
      </c>
      <c r="P742">
        <v>1.8</v>
      </c>
      <c r="Q742">
        <v>0.01</v>
      </c>
    </row>
    <row r="743" spans="1:17" x14ac:dyDescent="0.25">
      <c r="A743" t="s">
        <v>1617</v>
      </c>
      <c r="B743" t="s">
        <v>1618</v>
      </c>
      <c r="C743" t="s">
        <v>78</v>
      </c>
      <c r="D743" t="s">
        <v>78</v>
      </c>
      <c r="E743" t="s">
        <v>78</v>
      </c>
      <c r="F743" t="s">
        <v>78</v>
      </c>
      <c r="G743" t="s">
        <v>78</v>
      </c>
      <c r="H743">
        <v>0.11</v>
      </c>
      <c r="I743" s="1">
        <v>0</v>
      </c>
      <c r="J743" s="1">
        <v>0</v>
      </c>
      <c r="K743">
        <v>0</v>
      </c>
      <c r="L743">
        <v>0</v>
      </c>
      <c r="M743">
        <v>0.1</v>
      </c>
      <c r="N743" s="1">
        <v>10000000</v>
      </c>
      <c r="O743">
        <v>7.0000000000000007E-2</v>
      </c>
      <c r="P743">
        <v>1.03</v>
      </c>
      <c r="Q743">
        <v>0.01</v>
      </c>
    </row>
    <row r="744" spans="1:17" x14ac:dyDescent="0.25">
      <c r="A744" t="s">
        <v>1619</v>
      </c>
      <c r="B744" t="s">
        <v>1620</v>
      </c>
      <c r="C744" t="s">
        <v>78</v>
      </c>
      <c r="D744" t="s">
        <v>78</v>
      </c>
      <c r="E744" t="s">
        <v>78</v>
      </c>
      <c r="F744" t="s">
        <v>78</v>
      </c>
      <c r="G744" t="s">
        <v>78</v>
      </c>
      <c r="H744">
        <v>0.12</v>
      </c>
      <c r="I744" s="1">
        <v>0</v>
      </c>
      <c r="J744" s="1">
        <v>0</v>
      </c>
      <c r="K744">
        <v>0</v>
      </c>
      <c r="L744">
        <v>0.12</v>
      </c>
      <c r="M744">
        <v>0.13</v>
      </c>
      <c r="N744" s="1">
        <v>10000000</v>
      </c>
      <c r="O744">
        <v>0.12</v>
      </c>
      <c r="P744">
        <v>0.95</v>
      </c>
      <c r="Q744">
        <v>0.01</v>
      </c>
    </row>
    <row r="745" spans="1:17" x14ac:dyDescent="0.25">
      <c r="A745" t="s">
        <v>1621</v>
      </c>
      <c r="B745" t="s">
        <v>1622</v>
      </c>
      <c r="C745">
        <v>7.0000000000000007E-2</v>
      </c>
      <c r="D745">
        <v>0.01</v>
      </c>
      <c r="E745">
        <v>0.06</v>
      </c>
      <c r="F745">
        <v>7.0000000000000007E-2</v>
      </c>
      <c r="G745">
        <v>0.05</v>
      </c>
      <c r="H745">
        <v>0.06</v>
      </c>
      <c r="I745" s="1">
        <v>494000</v>
      </c>
      <c r="J745" s="1">
        <v>31100</v>
      </c>
      <c r="K745">
        <v>7</v>
      </c>
      <c r="L745">
        <v>0.06</v>
      </c>
      <c r="M745">
        <v>7.0000000000000007E-2</v>
      </c>
      <c r="N745" s="1">
        <v>10000000</v>
      </c>
      <c r="O745">
        <v>7.0000000000000007E-2</v>
      </c>
      <c r="P745">
        <v>0.66</v>
      </c>
      <c r="Q745">
        <v>0.01</v>
      </c>
    </row>
    <row r="746" spans="1:17" x14ac:dyDescent="0.25">
      <c r="A746" t="s">
        <v>1623</v>
      </c>
      <c r="B746" t="s">
        <v>1624</v>
      </c>
      <c r="C746">
        <v>0.3</v>
      </c>
      <c r="D746">
        <v>0</v>
      </c>
      <c r="E746">
        <v>0.28999999999999998</v>
      </c>
      <c r="F746">
        <v>0.3</v>
      </c>
      <c r="G746">
        <v>0.28999999999999998</v>
      </c>
      <c r="H746">
        <v>0.28999999999999998</v>
      </c>
      <c r="I746" s="1">
        <v>310000</v>
      </c>
      <c r="J746" s="1">
        <v>91000</v>
      </c>
      <c r="K746">
        <v>4</v>
      </c>
      <c r="L746">
        <v>0.3</v>
      </c>
      <c r="M746">
        <v>0.31</v>
      </c>
      <c r="N746" s="1">
        <v>10000000</v>
      </c>
      <c r="O746">
        <v>0.3</v>
      </c>
      <c r="P746">
        <v>0.76</v>
      </c>
      <c r="Q746">
        <v>0.01</v>
      </c>
    </row>
    <row r="747" spans="1:17" x14ac:dyDescent="0.25">
      <c r="A747" t="s">
        <v>1625</v>
      </c>
      <c r="B747" t="s">
        <v>1626</v>
      </c>
      <c r="C747" t="s">
        <v>78</v>
      </c>
      <c r="D747" t="s">
        <v>78</v>
      </c>
      <c r="E747" t="s">
        <v>78</v>
      </c>
      <c r="F747" t="s">
        <v>78</v>
      </c>
      <c r="G747" t="s">
        <v>78</v>
      </c>
      <c r="H747">
        <v>0.01</v>
      </c>
      <c r="I747" s="1">
        <v>0</v>
      </c>
      <c r="J747" s="1">
        <v>0</v>
      </c>
      <c r="K747">
        <v>0</v>
      </c>
      <c r="L747">
        <v>0.01</v>
      </c>
      <c r="M747">
        <v>0.02</v>
      </c>
      <c r="N747" s="1">
        <v>15000000</v>
      </c>
      <c r="O747">
        <v>0.01</v>
      </c>
      <c r="P747">
        <v>0.85</v>
      </c>
      <c r="Q747">
        <v>0.01</v>
      </c>
    </row>
    <row r="748" spans="1:17" x14ac:dyDescent="0.25">
      <c r="A748" t="s">
        <v>1627</v>
      </c>
      <c r="B748" t="s">
        <v>1628</v>
      </c>
      <c r="C748">
        <v>0.75</v>
      </c>
      <c r="D748">
        <v>0.03</v>
      </c>
      <c r="E748">
        <v>0.74</v>
      </c>
      <c r="F748">
        <v>0.75</v>
      </c>
      <c r="G748">
        <v>0.74</v>
      </c>
      <c r="H748">
        <v>0.75</v>
      </c>
      <c r="I748" s="1">
        <v>507000</v>
      </c>
      <c r="J748" s="1">
        <v>379160</v>
      </c>
      <c r="K748">
        <v>4</v>
      </c>
      <c r="L748">
        <v>0.74</v>
      </c>
      <c r="M748">
        <v>0.77</v>
      </c>
      <c r="N748" s="1">
        <v>5000000</v>
      </c>
      <c r="O748">
        <v>0.75</v>
      </c>
      <c r="P748">
        <v>1.45</v>
      </c>
      <c r="Q748">
        <v>0.05</v>
      </c>
    </row>
    <row r="749" spans="1:17" x14ac:dyDescent="0.25">
      <c r="A749" t="s">
        <v>1629</v>
      </c>
      <c r="B749" t="s">
        <v>1630</v>
      </c>
      <c r="C749" t="s">
        <v>78</v>
      </c>
      <c r="D749" t="s">
        <v>78</v>
      </c>
      <c r="E749" t="s">
        <v>78</v>
      </c>
      <c r="F749" t="s">
        <v>78</v>
      </c>
      <c r="G749" t="s">
        <v>78</v>
      </c>
      <c r="H749">
        <v>0.01</v>
      </c>
      <c r="I749" s="1">
        <v>0</v>
      </c>
      <c r="J749" s="1">
        <v>0</v>
      </c>
      <c r="K749">
        <v>0</v>
      </c>
      <c r="L749">
        <v>0</v>
      </c>
      <c r="M749">
        <v>0</v>
      </c>
      <c r="N749" s="1">
        <v>5000000</v>
      </c>
      <c r="O749">
        <v>0.01</v>
      </c>
      <c r="P749">
        <v>1.65</v>
      </c>
      <c r="Q749">
        <v>0.01</v>
      </c>
    </row>
    <row r="750" spans="1:17" x14ac:dyDescent="0.25">
      <c r="A750" t="s">
        <v>1631</v>
      </c>
      <c r="B750" t="s">
        <v>1632</v>
      </c>
      <c r="C750" t="s">
        <v>78</v>
      </c>
      <c r="D750" t="s">
        <v>78</v>
      </c>
      <c r="E750" t="s">
        <v>78</v>
      </c>
      <c r="F750" t="s">
        <v>78</v>
      </c>
      <c r="G750" t="s">
        <v>78</v>
      </c>
      <c r="H750">
        <v>0.01</v>
      </c>
      <c r="I750" s="1">
        <v>0</v>
      </c>
      <c r="J750" s="1">
        <v>0</v>
      </c>
      <c r="K750">
        <v>0</v>
      </c>
      <c r="L750">
        <v>0</v>
      </c>
      <c r="M750">
        <v>0.04</v>
      </c>
      <c r="N750" s="1">
        <v>5000000</v>
      </c>
      <c r="O750">
        <v>0.01</v>
      </c>
      <c r="P750">
        <v>1.97</v>
      </c>
      <c r="Q750">
        <v>0.01</v>
      </c>
    </row>
    <row r="751" spans="1:17" x14ac:dyDescent="0.25">
      <c r="A751" t="s">
        <v>1633</v>
      </c>
      <c r="B751" t="s">
        <v>1634</v>
      </c>
      <c r="C751" t="s">
        <v>78</v>
      </c>
      <c r="D751" t="s">
        <v>78</v>
      </c>
      <c r="E751" t="s">
        <v>78</v>
      </c>
      <c r="F751" t="s">
        <v>78</v>
      </c>
      <c r="G751" t="s">
        <v>78</v>
      </c>
      <c r="H751">
        <v>2.4500000000000002</v>
      </c>
      <c r="I751" s="1">
        <v>0</v>
      </c>
      <c r="J751" s="1">
        <v>0</v>
      </c>
      <c r="K751">
        <v>0</v>
      </c>
      <c r="L751">
        <v>4.2300000000000004</v>
      </c>
      <c r="M751">
        <v>4.33</v>
      </c>
      <c r="N751" s="1">
        <v>5000000</v>
      </c>
      <c r="O751">
        <v>4.2699999999999996</v>
      </c>
      <c r="P751">
        <v>5.4</v>
      </c>
      <c r="Q751">
        <v>3.11</v>
      </c>
    </row>
    <row r="752" spans="1:17" x14ac:dyDescent="0.25">
      <c r="A752" t="s">
        <v>1635</v>
      </c>
      <c r="B752" t="s">
        <v>1636</v>
      </c>
      <c r="C752" t="s">
        <v>78</v>
      </c>
      <c r="D752" t="s">
        <v>78</v>
      </c>
      <c r="E752" t="s">
        <v>78</v>
      </c>
      <c r="F752" t="s">
        <v>78</v>
      </c>
      <c r="G752" t="s">
        <v>78</v>
      </c>
      <c r="H752">
        <v>1.35</v>
      </c>
      <c r="I752" s="1">
        <v>0</v>
      </c>
      <c r="J752" s="1">
        <v>0</v>
      </c>
      <c r="K752">
        <v>0</v>
      </c>
      <c r="L752">
        <v>0.97</v>
      </c>
      <c r="M752">
        <v>1.02</v>
      </c>
      <c r="N752" s="1">
        <v>10000000</v>
      </c>
      <c r="O752">
        <v>1.02</v>
      </c>
      <c r="P752">
        <v>1.64</v>
      </c>
      <c r="Q752">
        <v>0.4</v>
      </c>
    </row>
    <row r="753" spans="1:17" x14ac:dyDescent="0.25">
      <c r="A753" t="s">
        <v>1637</v>
      </c>
      <c r="B753" t="s">
        <v>1638</v>
      </c>
      <c r="C753">
        <v>1.1100000000000001</v>
      </c>
      <c r="D753">
        <v>-0.12</v>
      </c>
      <c r="E753">
        <v>1.03</v>
      </c>
      <c r="F753">
        <v>1.1100000000000001</v>
      </c>
      <c r="G753">
        <v>1.03</v>
      </c>
      <c r="H753">
        <v>1.04</v>
      </c>
      <c r="I753" s="1">
        <v>88000</v>
      </c>
      <c r="J753" s="1">
        <v>91440</v>
      </c>
      <c r="K753">
        <v>2</v>
      </c>
      <c r="L753">
        <v>1.1200000000000001</v>
      </c>
      <c r="M753">
        <v>1.1299999999999999</v>
      </c>
      <c r="N753" s="1">
        <v>10000000</v>
      </c>
      <c r="O753">
        <v>1.1100000000000001</v>
      </c>
      <c r="P753">
        <v>1.79</v>
      </c>
      <c r="Q753">
        <v>0.43</v>
      </c>
    </row>
    <row r="754" spans="1:17" x14ac:dyDescent="0.25">
      <c r="A754" t="s">
        <v>1639</v>
      </c>
      <c r="B754" t="s">
        <v>1640</v>
      </c>
      <c r="C754" t="s">
        <v>78</v>
      </c>
      <c r="D754" t="s">
        <v>78</v>
      </c>
      <c r="E754" t="s">
        <v>78</v>
      </c>
      <c r="F754" t="s">
        <v>78</v>
      </c>
      <c r="G754" t="s">
        <v>78</v>
      </c>
      <c r="H754">
        <v>0.56000000000000005</v>
      </c>
      <c r="I754" s="1">
        <v>0</v>
      </c>
      <c r="J754" s="1">
        <v>0</v>
      </c>
      <c r="K754">
        <v>0</v>
      </c>
      <c r="L754">
        <v>0.51</v>
      </c>
      <c r="M754">
        <v>0.52</v>
      </c>
      <c r="N754" s="1">
        <v>10000000</v>
      </c>
      <c r="O754">
        <v>0.52</v>
      </c>
      <c r="P754">
        <v>0.93</v>
      </c>
      <c r="Q754">
        <v>0.11</v>
      </c>
    </row>
    <row r="755" spans="1:17" x14ac:dyDescent="0.25">
      <c r="A755" t="s">
        <v>1641</v>
      </c>
      <c r="B755" t="s">
        <v>1642</v>
      </c>
      <c r="C755" t="s">
        <v>78</v>
      </c>
      <c r="D755" t="s">
        <v>78</v>
      </c>
      <c r="E755" t="s">
        <v>78</v>
      </c>
      <c r="F755" t="s">
        <v>78</v>
      </c>
      <c r="G755" t="s">
        <v>78</v>
      </c>
      <c r="H755">
        <v>0.96</v>
      </c>
      <c r="I755" s="1">
        <v>0</v>
      </c>
      <c r="J755" s="1">
        <v>0</v>
      </c>
      <c r="K755">
        <v>0</v>
      </c>
      <c r="L755">
        <v>0.71</v>
      </c>
      <c r="M755">
        <v>0.72</v>
      </c>
      <c r="N755" s="1">
        <v>10000000</v>
      </c>
      <c r="O755">
        <v>0.72</v>
      </c>
      <c r="P755">
        <v>1.05</v>
      </c>
      <c r="Q755">
        <v>0.39</v>
      </c>
    </row>
    <row r="756" spans="1:17" x14ac:dyDescent="0.25">
      <c r="A756" t="s">
        <v>1643</v>
      </c>
      <c r="B756" t="s">
        <v>1644</v>
      </c>
      <c r="C756" t="s">
        <v>78</v>
      </c>
      <c r="D756" t="s">
        <v>78</v>
      </c>
      <c r="E756" t="s">
        <v>78</v>
      </c>
      <c r="F756" t="s">
        <v>78</v>
      </c>
      <c r="G756" t="s">
        <v>78</v>
      </c>
      <c r="H756">
        <v>0.04</v>
      </c>
      <c r="I756" s="1">
        <v>0</v>
      </c>
      <c r="J756" s="1">
        <v>0</v>
      </c>
      <c r="K756">
        <v>0</v>
      </c>
      <c r="L756">
        <v>0.04</v>
      </c>
      <c r="M756">
        <v>0.05</v>
      </c>
      <c r="N756" s="1">
        <v>5000000</v>
      </c>
      <c r="O756">
        <v>0.04</v>
      </c>
      <c r="P756">
        <v>1.22</v>
      </c>
      <c r="Q756">
        <v>0.01</v>
      </c>
    </row>
    <row r="757" spans="1:17" x14ac:dyDescent="0.25">
      <c r="A757" t="s">
        <v>1645</v>
      </c>
      <c r="B757" t="s">
        <v>1646</v>
      </c>
      <c r="C757" t="s">
        <v>78</v>
      </c>
      <c r="D757" t="s">
        <v>78</v>
      </c>
      <c r="E757" t="s">
        <v>78</v>
      </c>
      <c r="F757" t="s">
        <v>78</v>
      </c>
      <c r="G757" t="s">
        <v>78</v>
      </c>
      <c r="H757">
        <v>0.03</v>
      </c>
      <c r="I757" s="1">
        <v>0</v>
      </c>
      <c r="J757" s="1">
        <v>0</v>
      </c>
      <c r="K757">
        <v>0</v>
      </c>
      <c r="L757">
        <v>0.02</v>
      </c>
      <c r="M757">
        <v>0.03</v>
      </c>
      <c r="N757" s="1">
        <v>5000000</v>
      </c>
      <c r="O757">
        <v>0.03</v>
      </c>
      <c r="P757">
        <v>1.1499999999999999</v>
      </c>
      <c r="Q757">
        <v>0.01</v>
      </c>
    </row>
    <row r="758" spans="1:17" x14ac:dyDescent="0.25">
      <c r="A758" t="s">
        <v>1647</v>
      </c>
      <c r="B758" t="s">
        <v>1648</v>
      </c>
      <c r="C758" t="s">
        <v>78</v>
      </c>
      <c r="D758" t="s">
        <v>78</v>
      </c>
      <c r="E758" t="s">
        <v>78</v>
      </c>
      <c r="F758" t="s">
        <v>78</v>
      </c>
      <c r="G758" t="s">
        <v>78</v>
      </c>
      <c r="H758">
        <v>0.01</v>
      </c>
      <c r="I758" s="1">
        <v>0</v>
      </c>
      <c r="J758" s="1">
        <v>0</v>
      </c>
      <c r="K758">
        <v>0</v>
      </c>
      <c r="L758">
        <v>0</v>
      </c>
      <c r="M758">
        <v>0.01</v>
      </c>
      <c r="N758" s="1">
        <v>5000000</v>
      </c>
      <c r="O758">
        <v>0.01</v>
      </c>
      <c r="P758">
        <v>2.56</v>
      </c>
      <c r="Q758">
        <v>0.01</v>
      </c>
    </row>
    <row r="759" spans="1:17" x14ac:dyDescent="0.25">
      <c r="A759" t="s">
        <v>1649</v>
      </c>
      <c r="B759" t="s">
        <v>1650</v>
      </c>
      <c r="C759" t="s">
        <v>78</v>
      </c>
      <c r="D759" t="s">
        <v>78</v>
      </c>
      <c r="E759" t="s">
        <v>78</v>
      </c>
      <c r="F759" t="s">
        <v>78</v>
      </c>
      <c r="G759" t="s">
        <v>78</v>
      </c>
      <c r="H759">
        <v>1.46</v>
      </c>
      <c r="I759" s="1">
        <v>0</v>
      </c>
      <c r="J759" s="1">
        <v>0</v>
      </c>
      <c r="K759">
        <v>0</v>
      </c>
      <c r="L759">
        <v>1.37</v>
      </c>
      <c r="M759">
        <v>1.44</v>
      </c>
      <c r="N759" s="1">
        <v>5000000</v>
      </c>
      <c r="O759">
        <v>1.44</v>
      </c>
      <c r="P759">
        <v>2.34</v>
      </c>
      <c r="Q759">
        <v>0.54</v>
      </c>
    </row>
    <row r="760" spans="1:17" x14ac:dyDescent="0.25">
      <c r="A760" t="s">
        <v>1651</v>
      </c>
      <c r="B760" t="s">
        <v>1652</v>
      </c>
      <c r="C760">
        <v>0.02</v>
      </c>
      <c r="D760">
        <v>-0.02</v>
      </c>
      <c r="E760">
        <v>0.02</v>
      </c>
      <c r="F760">
        <v>0.02</v>
      </c>
      <c r="G760">
        <v>0.02</v>
      </c>
      <c r="H760">
        <v>0.02</v>
      </c>
      <c r="I760" s="1">
        <v>134000</v>
      </c>
      <c r="J760" s="1">
        <v>2680</v>
      </c>
      <c r="K760">
        <v>2</v>
      </c>
      <c r="L760">
        <v>0.02</v>
      </c>
      <c r="M760">
        <v>0.05</v>
      </c>
      <c r="N760" s="1">
        <v>5000000</v>
      </c>
      <c r="O760">
        <v>0.02</v>
      </c>
      <c r="P760">
        <v>1.99</v>
      </c>
      <c r="Q760">
        <v>0.01</v>
      </c>
    </row>
    <row r="761" spans="1:17" x14ac:dyDescent="0.25">
      <c r="A761" t="s">
        <v>1653</v>
      </c>
      <c r="B761" t="s">
        <v>1654</v>
      </c>
      <c r="C761" t="s">
        <v>78</v>
      </c>
      <c r="D761" t="s">
        <v>78</v>
      </c>
      <c r="E761" t="s">
        <v>78</v>
      </c>
      <c r="F761" t="s">
        <v>78</v>
      </c>
      <c r="G761" t="s">
        <v>78</v>
      </c>
      <c r="H761">
        <v>0.03</v>
      </c>
      <c r="I761" s="1">
        <v>0</v>
      </c>
      <c r="J761" s="1">
        <v>0</v>
      </c>
      <c r="K761">
        <v>0</v>
      </c>
      <c r="L761">
        <v>0</v>
      </c>
      <c r="M761">
        <v>0.01</v>
      </c>
      <c r="N761" s="1">
        <v>5000000</v>
      </c>
      <c r="O761">
        <v>0.01</v>
      </c>
      <c r="P761">
        <v>1.41</v>
      </c>
      <c r="Q761">
        <v>0.01</v>
      </c>
    </row>
    <row r="762" spans="1:17" x14ac:dyDescent="0.25">
      <c r="A762" t="s">
        <v>1655</v>
      </c>
      <c r="B762" t="s">
        <v>1656</v>
      </c>
      <c r="C762">
        <v>0.08</v>
      </c>
      <c r="D762">
        <v>-0.01</v>
      </c>
      <c r="E762">
        <v>0.08</v>
      </c>
      <c r="F762">
        <v>0.08</v>
      </c>
      <c r="G762">
        <v>0.08</v>
      </c>
      <c r="H762">
        <v>0.08</v>
      </c>
      <c r="I762" s="1">
        <v>40000</v>
      </c>
      <c r="J762" s="1">
        <v>3200</v>
      </c>
      <c r="K762">
        <v>2</v>
      </c>
      <c r="L762">
        <v>0.06</v>
      </c>
      <c r="M762">
        <v>0.09</v>
      </c>
      <c r="N762" s="1">
        <v>15000000</v>
      </c>
      <c r="O762">
        <v>0.08</v>
      </c>
      <c r="P762">
        <v>0.87</v>
      </c>
      <c r="Q762">
        <v>0.01</v>
      </c>
    </row>
    <row r="763" spans="1:17" x14ac:dyDescent="0.25">
      <c r="A763" t="s">
        <v>1657</v>
      </c>
      <c r="B763" t="s">
        <v>1658</v>
      </c>
      <c r="C763" t="s">
        <v>78</v>
      </c>
      <c r="D763" t="s">
        <v>78</v>
      </c>
      <c r="E763" t="s">
        <v>78</v>
      </c>
      <c r="F763" t="s">
        <v>78</v>
      </c>
      <c r="G763" t="s">
        <v>78</v>
      </c>
      <c r="H763">
        <v>0.08</v>
      </c>
      <c r="I763" s="1">
        <v>0</v>
      </c>
      <c r="J763" s="1">
        <v>0</v>
      </c>
      <c r="K763">
        <v>0</v>
      </c>
      <c r="L763">
        <v>0.02</v>
      </c>
      <c r="M763">
        <v>0.1</v>
      </c>
      <c r="N763" s="1">
        <v>5000000</v>
      </c>
      <c r="O763">
        <v>0.1</v>
      </c>
      <c r="P763">
        <v>1.46</v>
      </c>
      <c r="Q763">
        <v>0.01</v>
      </c>
    </row>
    <row r="764" spans="1:17" x14ac:dyDescent="0.25">
      <c r="A764" t="s">
        <v>1659</v>
      </c>
      <c r="B764" t="s">
        <v>1660</v>
      </c>
      <c r="C764" t="s">
        <v>78</v>
      </c>
      <c r="D764" t="s">
        <v>78</v>
      </c>
      <c r="E764" t="s">
        <v>78</v>
      </c>
      <c r="F764" t="s">
        <v>78</v>
      </c>
      <c r="G764" t="s">
        <v>78</v>
      </c>
      <c r="H764">
        <v>0.41</v>
      </c>
      <c r="I764" s="1">
        <v>0</v>
      </c>
      <c r="J764" s="1">
        <v>0</v>
      </c>
      <c r="K764">
        <v>0</v>
      </c>
      <c r="L764">
        <v>0.37</v>
      </c>
      <c r="M764">
        <v>0.38</v>
      </c>
      <c r="N764" s="1">
        <v>10000000</v>
      </c>
      <c r="O764">
        <v>0.38</v>
      </c>
      <c r="P764">
        <v>0.68</v>
      </c>
      <c r="Q764">
        <v>0.08</v>
      </c>
    </row>
    <row r="765" spans="1:17" x14ac:dyDescent="0.25">
      <c r="A765" t="s">
        <v>1661</v>
      </c>
      <c r="B765" t="s">
        <v>1662</v>
      </c>
      <c r="C765" t="s">
        <v>78</v>
      </c>
      <c r="D765" t="s">
        <v>78</v>
      </c>
      <c r="E765" t="s">
        <v>78</v>
      </c>
      <c r="F765" t="s">
        <v>78</v>
      </c>
      <c r="G765" t="s">
        <v>78</v>
      </c>
      <c r="H765">
        <v>0.32</v>
      </c>
      <c r="I765" s="1">
        <v>0</v>
      </c>
      <c r="J765" s="1">
        <v>0</v>
      </c>
      <c r="K765">
        <v>0</v>
      </c>
      <c r="L765">
        <v>0</v>
      </c>
      <c r="M765">
        <v>0.03</v>
      </c>
      <c r="N765" s="1">
        <v>10000000</v>
      </c>
      <c r="O765">
        <v>0.03</v>
      </c>
      <c r="P765">
        <v>1.17</v>
      </c>
      <c r="Q765">
        <v>0.01</v>
      </c>
    </row>
    <row r="766" spans="1:17" x14ac:dyDescent="0.25">
      <c r="A766" t="s">
        <v>1663</v>
      </c>
      <c r="B766" t="s">
        <v>1664</v>
      </c>
      <c r="C766" t="s">
        <v>78</v>
      </c>
      <c r="D766" t="s">
        <v>78</v>
      </c>
      <c r="E766" t="s">
        <v>78</v>
      </c>
      <c r="F766" t="s">
        <v>78</v>
      </c>
      <c r="G766" t="s">
        <v>78</v>
      </c>
      <c r="H766">
        <v>0.05</v>
      </c>
      <c r="I766" s="1">
        <v>0</v>
      </c>
      <c r="J766" s="1">
        <v>0</v>
      </c>
      <c r="K766">
        <v>0</v>
      </c>
      <c r="L766">
        <v>0.02</v>
      </c>
      <c r="M766">
        <v>0.03</v>
      </c>
      <c r="N766" s="1">
        <v>5000000</v>
      </c>
      <c r="O766">
        <v>0.03</v>
      </c>
      <c r="P766">
        <v>1.01</v>
      </c>
      <c r="Q766">
        <v>0.01</v>
      </c>
    </row>
    <row r="767" spans="1:17" x14ac:dyDescent="0.25">
      <c r="A767" t="s">
        <v>1665</v>
      </c>
      <c r="B767" t="s">
        <v>1666</v>
      </c>
      <c r="C767">
        <v>0.04</v>
      </c>
      <c r="D767">
        <v>-0.01</v>
      </c>
      <c r="E767">
        <v>0.04</v>
      </c>
      <c r="F767">
        <v>0.04</v>
      </c>
      <c r="G767">
        <v>0.04</v>
      </c>
      <c r="H767">
        <v>0.04</v>
      </c>
      <c r="I767" s="1">
        <v>40000</v>
      </c>
      <c r="J767" s="1">
        <v>1600</v>
      </c>
      <c r="K767">
        <v>1</v>
      </c>
      <c r="L767">
        <v>0.04</v>
      </c>
      <c r="M767">
        <v>0.05</v>
      </c>
      <c r="N767" s="1">
        <v>5000000</v>
      </c>
      <c r="O767">
        <v>0.04</v>
      </c>
      <c r="P767">
        <v>1.02</v>
      </c>
      <c r="Q767">
        <v>0.01</v>
      </c>
    </row>
    <row r="768" spans="1:17" x14ac:dyDescent="0.25">
      <c r="A768" t="s">
        <v>1667</v>
      </c>
      <c r="B768" t="s">
        <v>1668</v>
      </c>
      <c r="C768" t="s">
        <v>78</v>
      </c>
      <c r="D768" t="s">
        <v>78</v>
      </c>
      <c r="E768" t="s">
        <v>78</v>
      </c>
      <c r="F768" t="s">
        <v>78</v>
      </c>
      <c r="G768" t="s">
        <v>78</v>
      </c>
      <c r="H768">
        <v>2.86</v>
      </c>
      <c r="I768" s="1">
        <v>0</v>
      </c>
      <c r="J768" s="1">
        <v>0</v>
      </c>
      <c r="K768">
        <v>0</v>
      </c>
      <c r="L768">
        <v>2.61</v>
      </c>
      <c r="M768">
        <v>2.71</v>
      </c>
      <c r="N768" s="1">
        <v>5000000</v>
      </c>
      <c r="O768">
        <v>2.61</v>
      </c>
      <c r="P768">
        <v>3.28</v>
      </c>
      <c r="Q768">
        <v>1.94</v>
      </c>
    </row>
    <row r="769" spans="1:17" x14ac:dyDescent="0.25">
      <c r="A769" t="s">
        <v>1669</v>
      </c>
      <c r="B769" t="s">
        <v>1670</v>
      </c>
      <c r="C769" t="s">
        <v>78</v>
      </c>
      <c r="D769" t="s">
        <v>78</v>
      </c>
      <c r="E769" t="s">
        <v>78</v>
      </c>
      <c r="F769" t="s">
        <v>78</v>
      </c>
      <c r="G769" t="s">
        <v>78</v>
      </c>
      <c r="H769">
        <v>0.03</v>
      </c>
      <c r="I769" s="1">
        <v>0</v>
      </c>
      <c r="J769" s="1">
        <v>0</v>
      </c>
      <c r="K769">
        <v>0</v>
      </c>
      <c r="L769">
        <v>0.01</v>
      </c>
      <c r="M769">
        <v>0.04</v>
      </c>
      <c r="N769" s="1">
        <v>5000000</v>
      </c>
      <c r="O769">
        <v>0.03</v>
      </c>
      <c r="P769">
        <v>1.21</v>
      </c>
      <c r="Q769">
        <v>0.01</v>
      </c>
    </row>
    <row r="770" spans="1:17" x14ac:dyDescent="0.25">
      <c r="A770" t="s">
        <v>1671</v>
      </c>
      <c r="B770" t="s">
        <v>1672</v>
      </c>
      <c r="C770" t="s">
        <v>78</v>
      </c>
      <c r="D770" t="s">
        <v>78</v>
      </c>
      <c r="E770" t="s">
        <v>78</v>
      </c>
      <c r="F770" t="s">
        <v>78</v>
      </c>
      <c r="G770" t="s">
        <v>78</v>
      </c>
      <c r="H770">
        <v>0.02</v>
      </c>
      <c r="I770" s="1">
        <v>0</v>
      </c>
      <c r="J770" s="1">
        <v>0</v>
      </c>
      <c r="K770">
        <v>0</v>
      </c>
      <c r="L770">
        <v>0.01</v>
      </c>
      <c r="M770">
        <v>0.02</v>
      </c>
      <c r="N770" s="1">
        <v>12000000</v>
      </c>
      <c r="O770">
        <v>0.02</v>
      </c>
      <c r="P770">
        <v>0.81</v>
      </c>
      <c r="Q770">
        <v>0.01</v>
      </c>
    </row>
    <row r="771" spans="1:17" x14ac:dyDescent="0.25">
      <c r="A771" t="s">
        <v>1673</v>
      </c>
      <c r="B771" t="s">
        <v>1674</v>
      </c>
      <c r="C771" t="s">
        <v>78</v>
      </c>
      <c r="D771" t="s">
        <v>78</v>
      </c>
      <c r="E771" t="s">
        <v>78</v>
      </c>
      <c r="F771" t="s">
        <v>78</v>
      </c>
      <c r="G771" t="s">
        <v>78</v>
      </c>
      <c r="H771">
        <v>3.15</v>
      </c>
      <c r="I771" s="1">
        <v>0</v>
      </c>
      <c r="J771" s="1">
        <v>0</v>
      </c>
      <c r="K771">
        <v>0</v>
      </c>
      <c r="L771">
        <v>3.06</v>
      </c>
      <c r="M771">
        <v>3.14</v>
      </c>
      <c r="N771" s="1">
        <v>10000000</v>
      </c>
      <c r="O771">
        <v>3.07</v>
      </c>
      <c r="P771">
        <v>4.6900000000000004</v>
      </c>
      <c r="Q771">
        <v>1.45</v>
      </c>
    </row>
    <row r="772" spans="1:17" x14ac:dyDescent="0.25">
      <c r="A772" t="s">
        <v>1675</v>
      </c>
      <c r="B772" t="s">
        <v>1676</v>
      </c>
      <c r="C772" t="s">
        <v>78</v>
      </c>
      <c r="D772" t="s">
        <v>78</v>
      </c>
      <c r="E772" t="s">
        <v>78</v>
      </c>
      <c r="F772" t="s">
        <v>78</v>
      </c>
      <c r="G772" t="s">
        <v>78</v>
      </c>
      <c r="H772">
        <v>1.22</v>
      </c>
      <c r="I772" s="1">
        <v>0</v>
      </c>
      <c r="J772" s="1">
        <v>0</v>
      </c>
      <c r="K772">
        <v>0</v>
      </c>
      <c r="L772">
        <v>0.92</v>
      </c>
      <c r="M772">
        <v>0.95</v>
      </c>
      <c r="N772" s="1">
        <v>10000000</v>
      </c>
      <c r="O772">
        <v>0.95</v>
      </c>
      <c r="P772">
        <v>1.5</v>
      </c>
      <c r="Q772">
        <v>0.4</v>
      </c>
    </row>
    <row r="773" spans="1:17" x14ac:dyDescent="0.25">
      <c r="A773" t="s">
        <v>1677</v>
      </c>
      <c r="B773" t="s">
        <v>1678</v>
      </c>
      <c r="C773">
        <v>0.22</v>
      </c>
      <c r="D773">
        <v>-0.06</v>
      </c>
      <c r="E773">
        <v>0.22</v>
      </c>
      <c r="F773">
        <v>0.22</v>
      </c>
      <c r="G773">
        <v>0.22</v>
      </c>
      <c r="H773">
        <v>0.22</v>
      </c>
      <c r="I773" s="1">
        <v>150000</v>
      </c>
      <c r="J773" s="1">
        <v>33000</v>
      </c>
      <c r="K773">
        <v>1</v>
      </c>
      <c r="L773">
        <v>0.26</v>
      </c>
      <c r="M773">
        <v>0.27</v>
      </c>
      <c r="N773" s="1">
        <v>10000000</v>
      </c>
      <c r="O773">
        <v>0.22</v>
      </c>
      <c r="P773">
        <v>0.89</v>
      </c>
      <c r="Q773">
        <v>0.01</v>
      </c>
    </row>
    <row r="774" spans="1:17" x14ac:dyDescent="0.25">
      <c r="A774" t="s">
        <v>1679</v>
      </c>
      <c r="B774" t="s">
        <v>1680</v>
      </c>
      <c r="C774">
        <v>0.38</v>
      </c>
      <c r="D774">
        <v>-7.0000000000000007E-2</v>
      </c>
      <c r="E774">
        <v>0.41</v>
      </c>
      <c r="F774">
        <v>0.41</v>
      </c>
      <c r="G774">
        <v>0.37</v>
      </c>
      <c r="H774">
        <v>0.39</v>
      </c>
      <c r="I774" s="1">
        <v>888000</v>
      </c>
      <c r="J774" s="1">
        <v>348290</v>
      </c>
      <c r="K774">
        <v>19</v>
      </c>
      <c r="L774">
        <v>0.38</v>
      </c>
      <c r="M774">
        <v>0.41</v>
      </c>
      <c r="N774" s="1">
        <v>5000000</v>
      </c>
      <c r="O774">
        <v>0.38</v>
      </c>
      <c r="P774">
        <v>0.94</v>
      </c>
      <c r="Q774">
        <v>0.01</v>
      </c>
    </row>
    <row r="775" spans="1:17" x14ac:dyDescent="0.25">
      <c r="A775" t="s">
        <v>1681</v>
      </c>
      <c r="B775" t="s">
        <v>1682</v>
      </c>
      <c r="C775" t="s">
        <v>78</v>
      </c>
      <c r="D775" t="s">
        <v>78</v>
      </c>
      <c r="E775" t="s">
        <v>78</v>
      </c>
      <c r="F775" t="s">
        <v>78</v>
      </c>
      <c r="G775" t="s">
        <v>78</v>
      </c>
      <c r="H775">
        <v>1.1499999999999999</v>
      </c>
      <c r="I775" s="1">
        <v>0</v>
      </c>
      <c r="J775" s="1">
        <v>0</v>
      </c>
      <c r="K775">
        <v>0</v>
      </c>
      <c r="L775">
        <v>0.69</v>
      </c>
      <c r="M775">
        <v>0.71</v>
      </c>
      <c r="N775" s="1">
        <v>5000000</v>
      </c>
      <c r="O775">
        <v>0.71</v>
      </c>
      <c r="P775">
        <v>1.26</v>
      </c>
      <c r="Q775">
        <v>0.16</v>
      </c>
    </row>
    <row r="776" spans="1:17" x14ac:dyDescent="0.25">
      <c r="A776" t="s">
        <v>1683</v>
      </c>
      <c r="B776" t="s">
        <v>1684</v>
      </c>
      <c r="C776" t="s">
        <v>78</v>
      </c>
      <c r="D776" t="s">
        <v>78</v>
      </c>
      <c r="E776" t="s">
        <v>78</v>
      </c>
      <c r="F776" t="s">
        <v>78</v>
      </c>
      <c r="G776" t="s">
        <v>78</v>
      </c>
      <c r="H776">
        <v>1.34</v>
      </c>
      <c r="I776" s="1">
        <v>0</v>
      </c>
      <c r="J776" s="1">
        <v>0</v>
      </c>
      <c r="K776">
        <v>0</v>
      </c>
      <c r="L776">
        <v>2.04</v>
      </c>
      <c r="M776">
        <v>2.0699999999999998</v>
      </c>
      <c r="N776" s="1">
        <v>10000000</v>
      </c>
      <c r="O776">
        <v>2.04</v>
      </c>
      <c r="P776">
        <v>2.5</v>
      </c>
      <c r="Q776">
        <v>1.58</v>
      </c>
    </row>
    <row r="777" spans="1:17" x14ac:dyDescent="0.25">
      <c r="A777" t="s">
        <v>1685</v>
      </c>
      <c r="B777" t="s">
        <v>1686</v>
      </c>
      <c r="C777" t="s">
        <v>78</v>
      </c>
      <c r="D777" t="s">
        <v>78</v>
      </c>
      <c r="E777" t="s">
        <v>78</v>
      </c>
      <c r="F777" t="s">
        <v>78</v>
      </c>
      <c r="G777" t="s">
        <v>78</v>
      </c>
      <c r="H777">
        <v>0.22</v>
      </c>
      <c r="I777" s="1">
        <v>0</v>
      </c>
      <c r="J777" s="1">
        <v>0</v>
      </c>
      <c r="K777">
        <v>0</v>
      </c>
      <c r="L777">
        <v>0.1</v>
      </c>
      <c r="M777">
        <v>0.11</v>
      </c>
      <c r="N777" s="1">
        <v>5000000</v>
      </c>
      <c r="O777">
        <v>0.11</v>
      </c>
      <c r="P777">
        <v>2.0699999999999998</v>
      </c>
      <c r="Q777">
        <v>0.01</v>
      </c>
    </row>
    <row r="778" spans="1:17" x14ac:dyDescent="0.25">
      <c r="A778" t="s">
        <v>1687</v>
      </c>
      <c r="B778" t="s">
        <v>1688</v>
      </c>
      <c r="C778" t="s">
        <v>78</v>
      </c>
      <c r="D778" t="s">
        <v>78</v>
      </c>
      <c r="E778" t="s">
        <v>78</v>
      </c>
      <c r="F778" t="s">
        <v>78</v>
      </c>
      <c r="G778" t="s">
        <v>78</v>
      </c>
      <c r="H778">
        <v>0.02</v>
      </c>
      <c r="I778" s="1">
        <v>0</v>
      </c>
      <c r="J778" s="1">
        <v>0</v>
      </c>
      <c r="K778">
        <v>0</v>
      </c>
      <c r="L778">
        <v>0</v>
      </c>
      <c r="M778">
        <v>0.02</v>
      </c>
      <c r="N778" s="1">
        <v>10000000</v>
      </c>
      <c r="O778">
        <v>0.01</v>
      </c>
      <c r="P778">
        <v>1.0900000000000001</v>
      </c>
      <c r="Q778">
        <v>0.01</v>
      </c>
    </row>
    <row r="779" spans="1:17" x14ac:dyDescent="0.25">
      <c r="A779" t="s">
        <v>1689</v>
      </c>
      <c r="B779" t="s">
        <v>1690</v>
      </c>
      <c r="C779">
        <v>0.54</v>
      </c>
      <c r="D779">
        <v>-0.09</v>
      </c>
      <c r="E779">
        <v>0.55000000000000004</v>
      </c>
      <c r="F779">
        <v>0.55000000000000004</v>
      </c>
      <c r="G779">
        <v>0.54</v>
      </c>
      <c r="H779">
        <v>0.54</v>
      </c>
      <c r="I779" s="1">
        <v>307000</v>
      </c>
      <c r="J779" s="1">
        <v>167280</v>
      </c>
      <c r="K779">
        <v>5</v>
      </c>
      <c r="L779">
        <v>0.57999999999999996</v>
      </c>
      <c r="M779">
        <v>0.59</v>
      </c>
      <c r="N779" s="1">
        <v>10000000</v>
      </c>
      <c r="O779">
        <v>0.54</v>
      </c>
      <c r="P779">
        <v>1.22</v>
      </c>
      <c r="Q779">
        <v>0.01</v>
      </c>
    </row>
    <row r="780" spans="1:17" x14ac:dyDescent="0.25">
      <c r="A780" t="s">
        <v>1691</v>
      </c>
      <c r="B780" t="s">
        <v>1692</v>
      </c>
      <c r="C780">
        <v>0.88</v>
      </c>
      <c r="D780">
        <v>0.04</v>
      </c>
      <c r="E780">
        <v>0.88</v>
      </c>
      <c r="F780">
        <v>0.88</v>
      </c>
      <c r="G780">
        <v>0.88</v>
      </c>
      <c r="H780">
        <v>0.88</v>
      </c>
      <c r="I780" s="1">
        <v>2000</v>
      </c>
      <c r="J780" s="1">
        <v>1760</v>
      </c>
      <c r="K780">
        <v>1</v>
      </c>
      <c r="L780">
        <v>0.78</v>
      </c>
      <c r="M780">
        <v>0.88</v>
      </c>
      <c r="N780" s="1">
        <v>10000000</v>
      </c>
      <c r="O780">
        <v>0.88</v>
      </c>
      <c r="P780">
        <v>1.79</v>
      </c>
      <c r="Q780">
        <v>0.01</v>
      </c>
    </row>
    <row r="781" spans="1:17" x14ac:dyDescent="0.25">
      <c r="A781" t="s">
        <v>1693</v>
      </c>
      <c r="B781" t="s">
        <v>1694</v>
      </c>
      <c r="C781">
        <v>1.26</v>
      </c>
      <c r="D781">
        <v>0.14000000000000001</v>
      </c>
      <c r="E781">
        <v>1.04</v>
      </c>
      <c r="F781">
        <v>1.26</v>
      </c>
      <c r="G781">
        <v>1.04</v>
      </c>
      <c r="H781">
        <v>1.1299999999999999</v>
      </c>
      <c r="I781" s="1">
        <v>125000</v>
      </c>
      <c r="J781" s="1">
        <v>141650</v>
      </c>
      <c r="K781">
        <v>16</v>
      </c>
      <c r="L781">
        <v>1.26</v>
      </c>
      <c r="M781">
        <v>1.28</v>
      </c>
      <c r="N781" s="1">
        <v>5000000</v>
      </c>
      <c r="O781">
        <v>1.26</v>
      </c>
      <c r="P781">
        <v>2.12</v>
      </c>
      <c r="Q781">
        <v>0.4</v>
      </c>
    </row>
    <row r="782" spans="1:17" x14ac:dyDescent="0.25">
      <c r="A782" t="s">
        <v>1695</v>
      </c>
      <c r="B782" t="s">
        <v>1696</v>
      </c>
      <c r="C782">
        <v>0.69</v>
      </c>
      <c r="D782">
        <v>-0.02</v>
      </c>
      <c r="E782">
        <v>0.68</v>
      </c>
      <c r="F782">
        <v>0.69</v>
      </c>
      <c r="G782">
        <v>0.68</v>
      </c>
      <c r="H782">
        <v>0.68</v>
      </c>
      <c r="I782" s="1">
        <v>20000</v>
      </c>
      <c r="J782" s="1">
        <v>13700</v>
      </c>
      <c r="K782">
        <v>2</v>
      </c>
      <c r="L782">
        <v>0.6</v>
      </c>
      <c r="M782">
        <v>0.7</v>
      </c>
      <c r="N782" s="1">
        <v>5000000</v>
      </c>
      <c r="O782">
        <v>0.69</v>
      </c>
      <c r="P782">
        <v>1.59</v>
      </c>
      <c r="Q782">
        <v>0.01</v>
      </c>
    </row>
    <row r="783" spans="1:17" x14ac:dyDescent="0.25">
      <c r="A783" t="s">
        <v>1697</v>
      </c>
      <c r="B783" t="s">
        <v>1698</v>
      </c>
      <c r="C783" t="s">
        <v>78</v>
      </c>
      <c r="D783" t="s">
        <v>78</v>
      </c>
      <c r="E783" t="s">
        <v>78</v>
      </c>
      <c r="F783" t="s">
        <v>78</v>
      </c>
      <c r="G783" t="s">
        <v>78</v>
      </c>
      <c r="H783">
        <v>1.31</v>
      </c>
      <c r="I783" s="1">
        <v>0</v>
      </c>
      <c r="J783" s="1">
        <v>0</v>
      </c>
      <c r="K783">
        <v>0</v>
      </c>
      <c r="L783">
        <v>1.25</v>
      </c>
      <c r="M783">
        <v>1.26</v>
      </c>
      <c r="N783" s="1">
        <v>10000000</v>
      </c>
      <c r="O783">
        <v>1.26</v>
      </c>
      <c r="P783">
        <v>1.89</v>
      </c>
      <c r="Q783">
        <v>0.63</v>
      </c>
    </row>
    <row r="784" spans="1:17" x14ac:dyDescent="0.25">
      <c r="A784" t="s">
        <v>1699</v>
      </c>
      <c r="B784" t="s">
        <v>1700</v>
      </c>
      <c r="C784" t="s">
        <v>78</v>
      </c>
      <c r="D784" t="s">
        <v>78</v>
      </c>
      <c r="E784" t="s">
        <v>78</v>
      </c>
      <c r="F784" t="s">
        <v>78</v>
      </c>
      <c r="G784" t="s">
        <v>78</v>
      </c>
      <c r="H784">
        <v>0.2</v>
      </c>
      <c r="I784" s="1">
        <v>0</v>
      </c>
      <c r="J784" s="1">
        <v>0</v>
      </c>
      <c r="K784">
        <v>0</v>
      </c>
      <c r="L784">
        <v>0.1</v>
      </c>
      <c r="M784">
        <v>0.11</v>
      </c>
      <c r="N784" s="1">
        <v>5000000</v>
      </c>
      <c r="O784">
        <v>0.11</v>
      </c>
      <c r="P784">
        <v>1.23</v>
      </c>
      <c r="Q784">
        <v>0.01</v>
      </c>
    </row>
    <row r="785" spans="1:17" x14ac:dyDescent="0.25">
      <c r="A785" t="s">
        <v>1701</v>
      </c>
      <c r="B785" t="s">
        <v>1702</v>
      </c>
      <c r="C785" t="s">
        <v>78</v>
      </c>
      <c r="D785" t="s">
        <v>78</v>
      </c>
      <c r="E785" t="s">
        <v>78</v>
      </c>
      <c r="F785" t="s">
        <v>78</v>
      </c>
      <c r="G785" t="s">
        <v>78</v>
      </c>
      <c r="H785">
        <v>0.47</v>
      </c>
      <c r="I785" s="1">
        <v>0</v>
      </c>
      <c r="J785" s="1">
        <v>0</v>
      </c>
      <c r="K785">
        <v>0</v>
      </c>
      <c r="L785">
        <v>0.43</v>
      </c>
      <c r="M785">
        <v>0.44</v>
      </c>
      <c r="N785" s="1">
        <v>5000000</v>
      </c>
      <c r="O785">
        <v>0.44</v>
      </c>
      <c r="P785">
        <v>0.99</v>
      </c>
      <c r="Q785">
        <v>0.01</v>
      </c>
    </row>
    <row r="786" spans="1:17" x14ac:dyDescent="0.25">
      <c r="A786" t="s">
        <v>1703</v>
      </c>
      <c r="B786" t="s">
        <v>1704</v>
      </c>
      <c r="C786" t="s">
        <v>78</v>
      </c>
      <c r="D786" t="s">
        <v>78</v>
      </c>
      <c r="E786" t="s">
        <v>78</v>
      </c>
      <c r="F786" t="s">
        <v>78</v>
      </c>
      <c r="G786" t="s">
        <v>78</v>
      </c>
      <c r="H786">
        <v>0.01</v>
      </c>
      <c r="I786" s="1">
        <v>0</v>
      </c>
      <c r="J786" s="1">
        <v>0</v>
      </c>
      <c r="K786">
        <v>0</v>
      </c>
      <c r="L786">
        <v>0.01</v>
      </c>
      <c r="M786">
        <v>0.04</v>
      </c>
      <c r="N786" s="1">
        <v>5000000</v>
      </c>
      <c r="O786">
        <v>0.01</v>
      </c>
      <c r="P786">
        <v>1.55</v>
      </c>
      <c r="Q786">
        <v>0.01</v>
      </c>
    </row>
    <row r="787" spans="1:17" x14ac:dyDescent="0.25">
      <c r="A787" t="s">
        <v>1705</v>
      </c>
      <c r="B787" t="s">
        <v>1706</v>
      </c>
      <c r="C787" t="s">
        <v>78</v>
      </c>
      <c r="D787" t="s">
        <v>78</v>
      </c>
      <c r="E787" t="s">
        <v>78</v>
      </c>
      <c r="F787" t="s">
        <v>78</v>
      </c>
      <c r="G787" t="s">
        <v>78</v>
      </c>
      <c r="H787">
        <v>2.59</v>
      </c>
      <c r="I787" s="1">
        <v>0</v>
      </c>
      <c r="J787" s="1">
        <v>0</v>
      </c>
      <c r="K787">
        <v>0</v>
      </c>
      <c r="L787">
        <v>1.77</v>
      </c>
      <c r="M787">
        <v>1.81</v>
      </c>
      <c r="N787" s="1">
        <v>10000000</v>
      </c>
      <c r="O787">
        <v>1.81</v>
      </c>
      <c r="P787">
        <v>2.91</v>
      </c>
      <c r="Q787">
        <v>0.71</v>
      </c>
    </row>
    <row r="788" spans="1:17" x14ac:dyDescent="0.25">
      <c r="A788" t="s">
        <v>1707</v>
      </c>
      <c r="B788" t="s">
        <v>1708</v>
      </c>
      <c r="C788">
        <v>1.39</v>
      </c>
      <c r="D788">
        <v>0.11</v>
      </c>
      <c r="E788">
        <v>1.17</v>
      </c>
      <c r="F788">
        <v>1.39</v>
      </c>
      <c r="G788">
        <v>1.1200000000000001</v>
      </c>
      <c r="H788">
        <v>1.26</v>
      </c>
      <c r="I788" s="1">
        <v>1097000</v>
      </c>
      <c r="J788" s="1">
        <v>1385280</v>
      </c>
      <c r="K788">
        <v>41</v>
      </c>
      <c r="L788">
        <v>1.39</v>
      </c>
      <c r="M788">
        <v>1.47</v>
      </c>
      <c r="N788" s="1">
        <v>5000000</v>
      </c>
      <c r="O788">
        <v>1.39</v>
      </c>
      <c r="P788">
        <v>2.14</v>
      </c>
      <c r="Q788">
        <v>0.64</v>
      </c>
    </row>
    <row r="789" spans="1:17" x14ac:dyDescent="0.25">
      <c r="A789" t="s">
        <v>1709</v>
      </c>
      <c r="B789" t="s">
        <v>1710</v>
      </c>
      <c r="C789">
        <v>0.9</v>
      </c>
      <c r="D789">
        <v>0.04</v>
      </c>
      <c r="E789">
        <v>0.83</v>
      </c>
      <c r="F789">
        <v>0.9</v>
      </c>
      <c r="G789">
        <v>0.83</v>
      </c>
      <c r="H789">
        <v>0.87</v>
      </c>
      <c r="I789" s="1">
        <v>214000</v>
      </c>
      <c r="J789" s="1">
        <v>185150</v>
      </c>
      <c r="K789">
        <v>8</v>
      </c>
      <c r="L789">
        <v>0.89</v>
      </c>
      <c r="M789">
        <v>0.9</v>
      </c>
      <c r="N789" s="1">
        <v>5000000</v>
      </c>
      <c r="O789">
        <v>0.9</v>
      </c>
      <c r="P789">
        <v>1.42</v>
      </c>
      <c r="Q789">
        <v>0.38</v>
      </c>
    </row>
    <row r="790" spans="1:17" x14ac:dyDescent="0.25">
      <c r="A790" t="s">
        <v>1711</v>
      </c>
      <c r="B790" t="s">
        <v>1712</v>
      </c>
      <c r="C790" t="s">
        <v>78</v>
      </c>
      <c r="D790" t="s">
        <v>78</v>
      </c>
      <c r="E790" t="s">
        <v>78</v>
      </c>
      <c r="F790" t="s">
        <v>78</v>
      </c>
      <c r="G790" t="s">
        <v>78</v>
      </c>
      <c r="H790">
        <v>1.71</v>
      </c>
      <c r="I790" s="1">
        <v>0</v>
      </c>
      <c r="J790" s="1">
        <v>0</v>
      </c>
      <c r="K790">
        <v>0</v>
      </c>
      <c r="L790">
        <v>1.54</v>
      </c>
      <c r="M790">
        <v>1.6</v>
      </c>
      <c r="N790" s="1">
        <v>5000000</v>
      </c>
      <c r="O790">
        <v>1.6</v>
      </c>
      <c r="P790">
        <v>2.3199999999999998</v>
      </c>
      <c r="Q790">
        <v>0.9</v>
      </c>
    </row>
    <row r="791" spans="1:17" x14ac:dyDescent="0.25">
      <c r="A791" t="s">
        <v>1713</v>
      </c>
      <c r="B791" t="s">
        <v>1714</v>
      </c>
      <c r="C791" t="s">
        <v>78</v>
      </c>
      <c r="D791" t="s">
        <v>78</v>
      </c>
      <c r="E791" t="s">
        <v>78</v>
      </c>
      <c r="F791" t="s">
        <v>78</v>
      </c>
      <c r="G791" t="s">
        <v>78</v>
      </c>
      <c r="H791">
        <v>3.02</v>
      </c>
      <c r="I791" s="1">
        <v>0</v>
      </c>
      <c r="J791" s="1">
        <v>0</v>
      </c>
      <c r="K791">
        <v>0</v>
      </c>
      <c r="L791">
        <v>4.1100000000000003</v>
      </c>
      <c r="M791">
        <v>4.18</v>
      </c>
      <c r="N791" s="1">
        <v>10000000</v>
      </c>
      <c r="O791">
        <v>4.1100000000000003</v>
      </c>
      <c r="P791">
        <v>5.4</v>
      </c>
      <c r="Q791">
        <v>2.81</v>
      </c>
    </row>
    <row r="792" spans="1:17" x14ac:dyDescent="0.25">
      <c r="A792" t="s">
        <v>1715</v>
      </c>
      <c r="B792" t="s">
        <v>1716</v>
      </c>
      <c r="C792">
        <v>0.01</v>
      </c>
      <c r="D792">
        <v>0</v>
      </c>
      <c r="E792">
        <v>0.01</v>
      </c>
      <c r="F792">
        <v>0.01</v>
      </c>
      <c r="G792">
        <v>0.01</v>
      </c>
      <c r="H792">
        <v>0.01</v>
      </c>
      <c r="I792" s="1">
        <v>100000</v>
      </c>
      <c r="J792" s="1">
        <v>1000</v>
      </c>
      <c r="K792">
        <v>1</v>
      </c>
      <c r="L792">
        <v>0.01</v>
      </c>
      <c r="M792">
        <v>0.02</v>
      </c>
      <c r="N792" s="1">
        <v>5000000</v>
      </c>
      <c r="O792">
        <v>0.01</v>
      </c>
      <c r="P792">
        <v>1.41</v>
      </c>
      <c r="Q792">
        <v>0.01</v>
      </c>
    </row>
    <row r="793" spans="1:17" x14ac:dyDescent="0.25">
      <c r="A793" t="s">
        <v>1717</v>
      </c>
      <c r="B793" t="s">
        <v>1718</v>
      </c>
      <c r="C793">
        <v>1.01</v>
      </c>
      <c r="D793">
        <v>-0.09</v>
      </c>
      <c r="E793">
        <v>1.01</v>
      </c>
      <c r="F793">
        <v>1.01</v>
      </c>
      <c r="G793">
        <v>1.01</v>
      </c>
      <c r="H793">
        <v>1.01</v>
      </c>
      <c r="I793" s="1">
        <v>1000</v>
      </c>
      <c r="J793" s="1">
        <v>1010</v>
      </c>
      <c r="K793">
        <v>1</v>
      </c>
      <c r="L793">
        <v>1.01</v>
      </c>
      <c r="M793">
        <v>1.1100000000000001</v>
      </c>
      <c r="N793" s="1">
        <v>10000000</v>
      </c>
      <c r="O793">
        <v>1.01</v>
      </c>
      <c r="P793">
        <v>1.43</v>
      </c>
      <c r="Q793">
        <v>0.59</v>
      </c>
    </row>
    <row r="794" spans="1:17" x14ac:dyDescent="0.25">
      <c r="A794" t="s">
        <v>1719</v>
      </c>
      <c r="B794" t="s">
        <v>1720</v>
      </c>
      <c r="C794" t="s">
        <v>78</v>
      </c>
      <c r="D794" t="s">
        <v>78</v>
      </c>
      <c r="E794" t="s">
        <v>78</v>
      </c>
      <c r="F794" t="s">
        <v>78</v>
      </c>
      <c r="G794" t="s">
        <v>78</v>
      </c>
      <c r="H794">
        <v>0.05</v>
      </c>
      <c r="I794" s="1">
        <v>0</v>
      </c>
      <c r="J794" s="1">
        <v>0</v>
      </c>
      <c r="K794">
        <v>0</v>
      </c>
      <c r="L794">
        <v>0</v>
      </c>
      <c r="M794">
        <v>0.01</v>
      </c>
      <c r="N794" s="1">
        <v>5000000</v>
      </c>
      <c r="O794">
        <v>0.01</v>
      </c>
      <c r="P794">
        <v>2.04</v>
      </c>
      <c r="Q794">
        <v>0.01</v>
      </c>
    </row>
    <row r="795" spans="1:17" x14ac:dyDescent="0.25">
      <c r="A795" t="s">
        <v>1721</v>
      </c>
      <c r="B795" t="s">
        <v>1722</v>
      </c>
      <c r="C795" t="s">
        <v>78</v>
      </c>
      <c r="D795" t="s">
        <v>78</v>
      </c>
      <c r="E795" t="s">
        <v>78</v>
      </c>
      <c r="F795" t="s">
        <v>78</v>
      </c>
      <c r="G795" t="s">
        <v>78</v>
      </c>
      <c r="H795">
        <v>1.1299999999999999</v>
      </c>
      <c r="I795" s="1">
        <v>0</v>
      </c>
      <c r="J795" s="1">
        <v>0</v>
      </c>
      <c r="K795">
        <v>0</v>
      </c>
      <c r="L795">
        <v>1.03</v>
      </c>
      <c r="M795">
        <v>1.08</v>
      </c>
      <c r="N795" s="1">
        <v>10000000</v>
      </c>
      <c r="O795">
        <v>1.08</v>
      </c>
      <c r="P795">
        <v>1.49</v>
      </c>
      <c r="Q795">
        <v>0.68</v>
      </c>
    </row>
    <row r="796" spans="1:17" x14ac:dyDescent="0.25">
      <c r="A796" t="s">
        <v>1723</v>
      </c>
      <c r="B796" t="s">
        <v>1724</v>
      </c>
      <c r="C796" t="s">
        <v>78</v>
      </c>
      <c r="D796" t="s">
        <v>78</v>
      </c>
      <c r="E796" t="s">
        <v>78</v>
      </c>
      <c r="F796" t="s">
        <v>78</v>
      </c>
      <c r="G796" t="s">
        <v>78</v>
      </c>
      <c r="H796">
        <v>1.04</v>
      </c>
      <c r="I796" s="1">
        <v>0</v>
      </c>
      <c r="J796" s="1">
        <v>0</v>
      </c>
      <c r="K796">
        <v>0</v>
      </c>
      <c r="L796">
        <v>0.91</v>
      </c>
      <c r="M796">
        <v>0.92</v>
      </c>
      <c r="N796" s="1">
        <v>10000000</v>
      </c>
      <c r="O796">
        <v>0.92</v>
      </c>
      <c r="P796">
        <v>1.36</v>
      </c>
      <c r="Q796">
        <v>0.48</v>
      </c>
    </row>
    <row r="797" spans="1:17" x14ac:dyDescent="0.25">
      <c r="A797" t="s">
        <v>1725</v>
      </c>
      <c r="B797" t="s">
        <v>1726</v>
      </c>
      <c r="C797" t="s">
        <v>78</v>
      </c>
      <c r="D797" t="s">
        <v>78</v>
      </c>
      <c r="E797" t="s">
        <v>78</v>
      </c>
      <c r="F797" t="s">
        <v>78</v>
      </c>
      <c r="G797" t="s">
        <v>78</v>
      </c>
      <c r="H797">
        <v>1.24</v>
      </c>
      <c r="I797" s="1">
        <v>0</v>
      </c>
      <c r="J797" s="1">
        <v>0</v>
      </c>
      <c r="K797">
        <v>0</v>
      </c>
      <c r="L797">
        <v>1.77</v>
      </c>
      <c r="M797">
        <v>1.85</v>
      </c>
      <c r="N797" s="1">
        <v>10000000</v>
      </c>
      <c r="O797">
        <v>1.78</v>
      </c>
      <c r="P797">
        <v>2.21</v>
      </c>
      <c r="Q797">
        <v>1.35</v>
      </c>
    </row>
    <row r="798" spans="1:17" x14ac:dyDescent="0.25">
      <c r="A798" t="s">
        <v>1727</v>
      </c>
      <c r="B798" t="s">
        <v>1728</v>
      </c>
      <c r="C798">
        <v>0.53</v>
      </c>
      <c r="D798">
        <v>-0.08</v>
      </c>
      <c r="E798">
        <v>0.53</v>
      </c>
      <c r="F798">
        <v>0.53</v>
      </c>
      <c r="G798">
        <v>0.53</v>
      </c>
      <c r="H798">
        <v>0.53</v>
      </c>
      <c r="I798" s="1">
        <v>8000</v>
      </c>
      <c r="J798" s="1">
        <v>4240</v>
      </c>
      <c r="K798">
        <v>1</v>
      </c>
      <c r="L798">
        <v>0.57999999999999996</v>
      </c>
      <c r="M798">
        <v>0.59</v>
      </c>
      <c r="N798" s="1">
        <v>10000000</v>
      </c>
      <c r="O798">
        <v>0.53</v>
      </c>
      <c r="P798">
        <v>1.29</v>
      </c>
      <c r="Q798">
        <v>0.01</v>
      </c>
    </row>
    <row r="799" spans="1:17" x14ac:dyDescent="0.25">
      <c r="A799" t="s">
        <v>1729</v>
      </c>
      <c r="B799" t="s">
        <v>1730</v>
      </c>
      <c r="C799">
        <v>0.49</v>
      </c>
      <c r="D799">
        <v>0</v>
      </c>
      <c r="E799">
        <v>0.48</v>
      </c>
      <c r="F799">
        <v>0.5</v>
      </c>
      <c r="G799">
        <v>0.48</v>
      </c>
      <c r="H799">
        <v>0.5</v>
      </c>
      <c r="I799" s="1">
        <v>105000</v>
      </c>
      <c r="J799" s="1">
        <v>52050</v>
      </c>
      <c r="K799">
        <v>3</v>
      </c>
      <c r="L799">
        <v>0.48</v>
      </c>
      <c r="M799">
        <v>0.49</v>
      </c>
      <c r="N799" s="1">
        <v>10000000</v>
      </c>
      <c r="O799">
        <v>0.49</v>
      </c>
      <c r="P799">
        <v>1.07</v>
      </c>
      <c r="Q799">
        <v>0.01</v>
      </c>
    </row>
    <row r="800" spans="1:17" x14ac:dyDescent="0.25">
      <c r="A800" t="s">
        <v>1731</v>
      </c>
      <c r="B800" t="s">
        <v>1732</v>
      </c>
      <c r="C800" t="s">
        <v>78</v>
      </c>
      <c r="D800" t="s">
        <v>78</v>
      </c>
      <c r="E800" t="s">
        <v>78</v>
      </c>
      <c r="F800" t="s">
        <v>78</v>
      </c>
      <c r="G800" t="s">
        <v>78</v>
      </c>
      <c r="H800">
        <v>2.95</v>
      </c>
      <c r="I800" s="1">
        <v>0</v>
      </c>
      <c r="J800" s="1">
        <v>0</v>
      </c>
      <c r="K800">
        <v>0</v>
      </c>
      <c r="L800">
        <v>3.26</v>
      </c>
      <c r="M800">
        <v>3.3</v>
      </c>
      <c r="N800" s="1">
        <v>10000000</v>
      </c>
      <c r="O800">
        <v>3.27</v>
      </c>
      <c r="P800">
        <v>4.1399999999999997</v>
      </c>
      <c r="Q800">
        <v>2.4</v>
      </c>
    </row>
    <row r="801" spans="1:17" x14ac:dyDescent="0.25">
      <c r="A801" t="s">
        <v>1733</v>
      </c>
      <c r="B801" t="s">
        <v>1734</v>
      </c>
      <c r="C801">
        <v>0.41</v>
      </c>
      <c r="D801">
        <v>-0.08</v>
      </c>
      <c r="E801">
        <v>0.34</v>
      </c>
      <c r="F801">
        <v>0.41</v>
      </c>
      <c r="G801">
        <v>0.34</v>
      </c>
      <c r="H801">
        <v>0.34</v>
      </c>
      <c r="I801" s="1">
        <v>163000</v>
      </c>
      <c r="J801" s="1">
        <v>55590</v>
      </c>
      <c r="K801">
        <v>6</v>
      </c>
      <c r="L801">
        <v>0.4</v>
      </c>
      <c r="M801">
        <v>0.41</v>
      </c>
      <c r="N801" s="1">
        <v>5000000</v>
      </c>
      <c r="O801">
        <v>0.41</v>
      </c>
      <c r="P801">
        <v>1.74</v>
      </c>
      <c r="Q801">
        <v>0.01</v>
      </c>
    </row>
    <row r="802" spans="1:17" x14ac:dyDescent="0.25">
      <c r="A802" t="s">
        <v>1735</v>
      </c>
      <c r="B802" t="s">
        <v>1736</v>
      </c>
      <c r="C802" t="s">
        <v>78</v>
      </c>
      <c r="D802" t="s">
        <v>78</v>
      </c>
      <c r="E802" t="s">
        <v>78</v>
      </c>
      <c r="F802" t="s">
        <v>78</v>
      </c>
      <c r="G802" t="s">
        <v>78</v>
      </c>
      <c r="H802">
        <v>1.72</v>
      </c>
      <c r="I802" s="1">
        <v>0</v>
      </c>
      <c r="J802" s="1">
        <v>0</v>
      </c>
      <c r="K802">
        <v>0</v>
      </c>
      <c r="L802">
        <v>2.16</v>
      </c>
      <c r="M802">
        <v>2.2599999999999998</v>
      </c>
      <c r="N802" s="1">
        <v>10000000</v>
      </c>
      <c r="O802">
        <v>2.19</v>
      </c>
      <c r="P802">
        <v>2.77</v>
      </c>
      <c r="Q802">
        <v>1.61</v>
      </c>
    </row>
    <row r="803" spans="1:17" x14ac:dyDescent="0.25">
      <c r="A803" t="s">
        <v>1737</v>
      </c>
      <c r="B803" t="s">
        <v>1738</v>
      </c>
      <c r="C803" t="s">
        <v>78</v>
      </c>
      <c r="D803" t="s">
        <v>78</v>
      </c>
      <c r="E803" t="s">
        <v>78</v>
      </c>
      <c r="F803" t="s">
        <v>78</v>
      </c>
      <c r="G803" t="s">
        <v>78</v>
      </c>
      <c r="H803">
        <v>0.27</v>
      </c>
      <c r="I803" s="1">
        <v>0</v>
      </c>
      <c r="J803" s="1">
        <v>0</v>
      </c>
      <c r="K803">
        <v>0</v>
      </c>
      <c r="L803">
        <v>0.06</v>
      </c>
      <c r="M803">
        <v>0.1</v>
      </c>
      <c r="N803" s="1">
        <v>10000000</v>
      </c>
      <c r="O803">
        <v>0.1</v>
      </c>
      <c r="P803">
        <v>1.68</v>
      </c>
      <c r="Q803">
        <v>0.01</v>
      </c>
    </row>
    <row r="804" spans="1:17" x14ac:dyDescent="0.25">
      <c r="A804" t="s">
        <v>1739</v>
      </c>
      <c r="B804" t="s">
        <v>1740</v>
      </c>
      <c r="C804">
        <v>0.1</v>
      </c>
      <c r="D804">
        <v>-0.02</v>
      </c>
      <c r="E804">
        <v>0.1</v>
      </c>
      <c r="F804">
        <v>0.1</v>
      </c>
      <c r="G804">
        <v>0.1</v>
      </c>
      <c r="H804">
        <v>0.1</v>
      </c>
      <c r="I804" s="1">
        <v>80000</v>
      </c>
      <c r="J804" s="1">
        <v>8000</v>
      </c>
      <c r="K804">
        <v>1</v>
      </c>
      <c r="L804">
        <v>0.08</v>
      </c>
      <c r="M804">
        <v>0.09</v>
      </c>
      <c r="N804" s="1">
        <v>10000000</v>
      </c>
      <c r="O804">
        <v>0.1</v>
      </c>
      <c r="P804">
        <v>4.0199999999999996</v>
      </c>
      <c r="Q804">
        <v>0.01</v>
      </c>
    </row>
    <row r="805" spans="1:17" x14ac:dyDescent="0.25">
      <c r="A805" t="s">
        <v>1741</v>
      </c>
      <c r="B805" t="s">
        <v>1742</v>
      </c>
      <c r="C805" t="s">
        <v>78</v>
      </c>
      <c r="D805" t="s">
        <v>78</v>
      </c>
      <c r="E805" t="s">
        <v>78</v>
      </c>
      <c r="F805" t="s">
        <v>78</v>
      </c>
      <c r="G805" t="s">
        <v>78</v>
      </c>
      <c r="H805">
        <v>0.05</v>
      </c>
      <c r="I805" s="1">
        <v>0</v>
      </c>
      <c r="J805" s="1">
        <v>0</v>
      </c>
      <c r="K805">
        <v>0</v>
      </c>
      <c r="L805">
        <v>0.01</v>
      </c>
      <c r="M805">
        <v>0.04</v>
      </c>
      <c r="N805" s="1">
        <v>5000000</v>
      </c>
      <c r="O805">
        <v>0.04</v>
      </c>
      <c r="P805">
        <v>1.42</v>
      </c>
      <c r="Q805">
        <v>0.01</v>
      </c>
    </row>
    <row r="806" spans="1:17" x14ac:dyDescent="0.25">
      <c r="A806" t="s">
        <v>1743</v>
      </c>
      <c r="B806" t="s">
        <v>1744</v>
      </c>
      <c r="C806">
        <v>0.01</v>
      </c>
      <c r="D806">
        <v>0</v>
      </c>
      <c r="E806">
        <v>0.01</v>
      </c>
      <c r="F806">
        <v>0.01</v>
      </c>
      <c r="G806">
        <v>0.01</v>
      </c>
      <c r="H806">
        <v>0.01</v>
      </c>
      <c r="I806" s="1">
        <v>30000</v>
      </c>
      <c r="J806" s="1">
        <v>300</v>
      </c>
      <c r="K806">
        <v>1</v>
      </c>
      <c r="L806">
        <v>0</v>
      </c>
      <c r="M806">
        <v>0.01</v>
      </c>
      <c r="N806" s="1">
        <v>5000000</v>
      </c>
      <c r="O806">
        <v>0.01</v>
      </c>
      <c r="P806">
        <v>4.21</v>
      </c>
      <c r="Q806">
        <v>0.01</v>
      </c>
    </row>
    <row r="807" spans="1:17" x14ac:dyDescent="0.25">
      <c r="A807" t="s">
        <v>1745</v>
      </c>
      <c r="B807" t="s">
        <v>1746</v>
      </c>
      <c r="C807">
        <v>0.36</v>
      </c>
      <c r="D807">
        <v>-0.04</v>
      </c>
      <c r="E807">
        <v>0.35</v>
      </c>
      <c r="F807">
        <v>0.37</v>
      </c>
      <c r="G807">
        <v>0.35</v>
      </c>
      <c r="H807">
        <v>0.36</v>
      </c>
      <c r="I807" s="1">
        <v>630000</v>
      </c>
      <c r="J807" s="1">
        <v>227200</v>
      </c>
      <c r="K807">
        <v>13</v>
      </c>
      <c r="L807">
        <v>0</v>
      </c>
      <c r="M807">
        <v>0.37</v>
      </c>
      <c r="N807" s="1">
        <v>10000000</v>
      </c>
      <c r="O807">
        <v>0.36</v>
      </c>
      <c r="P807">
        <v>1.38</v>
      </c>
      <c r="Q807">
        <v>0.01</v>
      </c>
    </row>
    <row r="808" spans="1:17" x14ac:dyDescent="0.25">
      <c r="A808" t="s">
        <v>1747</v>
      </c>
      <c r="B808" t="s">
        <v>1748</v>
      </c>
      <c r="C808">
        <v>0.53</v>
      </c>
      <c r="D808">
        <v>0.01</v>
      </c>
      <c r="E808">
        <v>0.52</v>
      </c>
      <c r="F808">
        <v>0.53</v>
      </c>
      <c r="G808">
        <v>0.52</v>
      </c>
      <c r="H808">
        <v>0.53</v>
      </c>
      <c r="I808" s="1">
        <v>22000</v>
      </c>
      <c r="J808" s="1">
        <v>11640</v>
      </c>
      <c r="K808">
        <v>5</v>
      </c>
      <c r="L808">
        <v>0.53</v>
      </c>
      <c r="M808">
        <v>0.55000000000000004</v>
      </c>
      <c r="N808" s="1">
        <v>10000000</v>
      </c>
      <c r="O808">
        <v>0.53</v>
      </c>
      <c r="P808">
        <v>1.04</v>
      </c>
      <c r="Q808">
        <v>0.02</v>
      </c>
    </row>
    <row r="809" spans="1:17" x14ac:dyDescent="0.25">
      <c r="A809" t="s">
        <v>1749</v>
      </c>
      <c r="B809" t="s">
        <v>1750</v>
      </c>
      <c r="C809">
        <v>0.15</v>
      </c>
      <c r="D809">
        <v>0</v>
      </c>
      <c r="E809">
        <v>0.12</v>
      </c>
      <c r="F809">
        <v>0.15</v>
      </c>
      <c r="G809">
        <v>0.11</v>
      </c>
      <c r="H809">
        <v>0.12</v>
      </c>
      <c r="I809" s="1">
        <v>127000</v>
      </c>
      <c r="J809" s="1">
        <v>15250</v>
      </c>
      <c r="K809">
        <v>7</v>
      </c>
      <c r="L809">
        <v>0.12</v>
      </c>
      <c r="M809">
        <v>0.13</v>
      </c>
      <c r="N809" s="1">
        <v>10000000</v>
      </c>
      <c r="O809">
        <v>0.15</v>
      </c>
      <c r="P809">
        <v>0.72</v>
      </c>
      <c r="Q809">
        <v>0.01</v>
      </c>
    </row>
    <row r="810" spans="1:17" x14ac:dyDescent="0.25">
      <c r="A810" t="s">
        <v>1751</v>
      </c>
      <c r="B810" t="s">
        <v>1752</v>
      </c>
      <c r="C810" t="s">
        <v>78</v>
      </c>
      <c r="D810" t="s">
        <v>78</v>
      </c>
      <c r="E810" t="s">
        <v>78</v>
      </c>
      <c r="F810" t="s">
        <v>78</v>
      </c>
      <c r="G810" t="s">
        <v>78</v>
      </c>
      <c r="H810">
        <v>1.87</v>
      </c>
      <c r="I810" s="1">
        <v>0</v>
      </c>
      <c r="J810" s="1">
        <v>0</v>
      </c>
      <c r="K810">
        <v>0</v>
      </c>
      <c r="L810">
        <v>2.14</v>
      </c>
      <c r="M810">
        <v>2.2400000000000002</v>
      </c>
      <c r="N810" s="1">
        <v>5000000</v>
      </c>
      <c r="O810">
        <v>2.17</v>
      </c>
      <c r="P810">
        <v>2.89</v>
      </c>
      <c r="Q810">
        <v>1.45</v>
      </c>
    </row>
    <row r="811" spans="1:17" x14ac:dyDescent="0.25">
      <c r="A811" t="s">
        <v>1753</v>
      </c>
      <c r="B811" t="s">
        <v>1754</v>
      </c>
      <c r="C811">
        <v>7.0000000000000007E-2</v>
      </c>
      <c r="D811">
        <v>-0.01</v>
      </c>
      <c r="E811">
        <v>7.0000000000000007E-2</v>
      </c>
      <c r="F811">
        <v>7.0000000000000007E-2</v>
      </c>
      <c r="G811">
        <v>7.0000000000000007E-2</v>
      </c>
      <c r="H811">
        <v>7.0000000000000007E-2</v>
      </c>
      <c r="I811" s="1">
        <v>120000</v>
      </c>
      <c r="J811" s="1">
        <v>8400</v>
      </c>
      <c r="K811">
        <v>1</v>
      </c>
      <c r="L811">
        <v>7.0000000000000007E-2</v>
      </c>
      <c r="M811">
        <v>0.11</v>
      </c>
      <c r="N811" s="1">
        <v>5000000</v>
      </c>
      <c r="O811">
        <v>7.0000000000000007E-2</v>
      </c>
      <c r="P811">
        <v>1.23</v>
      </c>
      <c r="Q811">
        <v>0.01</v>
      </c>
    </row>
    <row r="812" spans="1:17" x14ac:dyDescent="0.25">
      <c r="A812" t="s">
        <v>1755</v>
      </c>
      <c r="B812" t="s">
        <v>1756</v>
      </c>
      <c r="C812">
        <v>0.01</v>
      </c>
      <c r="D812">
        <v>0</v>
      </c>
      <c r="E812">
        <v>0.01</v>
      </c>
      <c r="F812">
        <v>0.01</v>
      </c>
      <c r="G812">
        <v>0.01</v>
      </c>
      <c r="H812">
        <v>0.01</v>
      </c>
      <c r="I812" s="1">
        <v>60000</v>
      </c>
      <c r="J812" s="1">
        <v>600</v>
      </c>
      <c r="K812">
        <v>1</v>
      </c>
      <c r="L812">
        <v>0.01</v>
      </c>
      <c r="M812">
        <v>0.02</v>
      </c>
      <c r="N812" s="1">
        <v>5000000</v>
      </c>
      <c r="O812">
        <v>0.01</v>
      </c>
      <c r="P812">
        <v>0.99</v>
      </c>
      <c r="Q812">
        <v>0.01</v>
      </c>
    </row>
    <row r="813" spans="1:17" x14ac:dyDescent="0.25">
      <c r="A813" t="s">
        <v>1757</v>
      </c>
      <c r="B813" t="s">
        <v>1758</v>
      </c>
      <c r="C813" t="s">
        <v>78</v>
      </c>
      <c r="D813" t="s">
        <v>78</v>
      </c>
      <c r="E813" t="s">
        <v>78</v>
      </c>
      <c r="F813" t="s">
        <v>78</v>
      </c>
      <c r="G813" t="s">
        <v>78</v>
      </c>
      <c r="H813">
        <v>0.15</v>
      </c>
      <c r="I813" s="1">
        <v>0</v>
      </c>
      <c r="J813" s="1">
        <v>0</v>
      </c>
      <c r="K813">
        <v>0</v>
      </c>
      <c r="L813">
        <v>0.15</v>
      </c>
      <c r="M813">
        <v>0.16</v>
      </c>
      <c r="N813" s="1">
        <v>10000000</v>
      </c>
      <c r="O813">
        <v>0.15</v>
      </c>
      <c r="P813">
        <v>0.64</v>
      </c>
      <c r="Q813">
        <v>0.01</v>
      </c>
    </row>
    <row r="814" spans="1:17" x14ac:dyDescent="0.25">
      <c r="A814" t="s">
        <v>1759</v>
      </c>
      <c r="B814" t="s">
        <v>1760</v>
      </c>
      <c r="C814" t="s">
        <v>78</v>
      </c>
      <c r="D814" t="s">
        <v>78</v>
      </c>
      <c r="E814" t="s">
        <v>78</v>
      </c>
      <c r="F814" t="s">
        <v>78</v>
      </c>
      <c r="G814" t="s">
        <v>78</v>
      </c>
      <c r="H814">
        <v>0.05</v>
      </c>
      <c r="I814" s="1">
        <v>0</v>
      </c>
      <c r="J814" s="1">
        <v>0</v>
      </c>
      <c r="K814">
        <v>0</v>
      </c>
      <c r="L814">
        <v>0.01</v>
      </c>
      <c r="M814">
        <v>0.05</v>
      </c>
      <c r="N814" s="1">
        <v>5000000</v>
      </c>
      <c r="O814">
        <v>0.05</v>
      </c>
      <c r="P814">
        <v>5.95</v>
      </c>
      <c r="Q814">
        <v>0.01</v>
      </c>
    </row>
    <row r="815" spans="1:17" x14ac:dyDescent="0.25">
      <c r="A815" t="s">
        <v>1761</v>
      </c>
      <c r="B815" t="s">
        <v>1762</v>
      </c>
      <c r="C815" t="s">
        <v>78</v>
      </c>
      <c r="D815" t="s">
        <v>78</v>
      </c>
      <c r="E815" t="s">
        <v>78</v>
      </c>
      <c r="F815" t="s">
        <v>78</v>
      </c>
      <c r="G815" t="s">
        <v>78</v>
      </c>
      <c r="H815">
        <v>0.05</v>
      </c>
      <c r="I815" s="1">
        <v>0</v>
      </c>
      <c r="J815" s="1">
        <v>0</v>
      </c>
      <c r="K815">
        <v>0</v>
      </c>
      <c r="L815">
        <v>0.04</v>
      </c>
      <c r="M815">
        <v>0.05</v>
      </c>
      <c r="N815" s="1">
        <v>5000000</v>
      </c>
      <c r="O815">
        <v>0.05</v>
      </c>
      <c r="P815">
        <v>2.02</v>
      </c>
      <c r="Q815">
        <v>0.01</v>
      </c>
    </row>
    <row r="816" spans="1:17" x14ac:dyDescent="0.25">
      <c r="A816" t="s">
        <v>1763</v>
      </c>
      <c r="B816" t="s">
        <v>1764</v>
      </c>
      <c r="C816">
        <v>0.06</v>
      </c>
      <c r="D816">
        <v>-0.01</v>
      </c>
      <c r="E816">
        <v>0.06</v>
      </c>
      <c r="F816">
        <v>0.06</v>
      </c>
      <c r="G816">
        <v>0.06</v>
      </c>
      <c r="H816">
        <v>0.06</v>
      </c>
      <c r="I816" s="1">
        <v>100000</v>
      </c>
      <c r="J816" s="1">
        <v>6000</v>
      </c>
      <c r="K816">
        <v>2</v>
      </c>
      <c r="L816">
        <v>0.06</v>
      </c>
      <c r="M816">
        <v>7.0000000000000007E-2</v>
      </c>
      <c r="N816" s="1">
        <v>5000000</v>
      </c>
      <c r="O816">
        <v>0.06</v>
      </c>
      <c r="P816">
        <v>4.01</v>
      </c>
      <c r="Q816">
        <v>0.01</v>
      </c>
    </row>
    <row r="817" spans="1:17" x14ac:dyDescent="0.25">
      <c r="A817" t="s">
        <v>1765</v>
      </c>
      <c r="B817" t="s">
        <v>1766</v>
      </c>
      <c r="C817" t="s">
        <v>78</v>
      </c>
      <c r="D817" t="s">
        <v>78</v>
      </c>
      <c r="E817" t="s">
        <v>78</v>
      </c>
      <c r="F817" t="s">
        <v>78</v>
      </c>
      <c r="G817" t="s">
        <v>78</v>
      </c>
      <c r="H817">
        <v>0.41</v>
      </c>
      <c r="I817" s="1">
        <v>0</v>
      </c>
      <c r="J817" s="1">
        <v>0</v>
      </c>
      <c r="K817">
        <v>0</v>
      </c>
      <c r="L817">
        <v>0.37</v>
      </c>
      <c r="M817">
        <v>0.38</v>
      </c>
      <c r="N817" s="1">
        <v>10000000</v>
      </c>
      <c r="O817">
        <v>0.38</v>
      </c>
      <c r="P817">
        <v>0.71</v>
      </c>
      <c r="Q817">
        <v>0.05</v>
      </c>
    </row>
    <row r="818" spans="1:17" x14ac:dyDescent="0.25">
      <c r="A818" t="s">
        <v>1767</v>
      </c>
      <c r="B818" t="s">
        <v>1768</v>
      </c>
      <c r="C818" t="s">
        <v>78</v>
      </c>
      <c r="D818" t="s">
        <v>78</v>
      </c>
      <c r="E818" t="s">
        <v>78</v>
      </c>
      <c r="F818" t="s">
        <v>78</v>
      </c>
      <c r="G818" t="s">
        <v>78</v>
      </c>
      <c r="H818">
        <v>0.01</v>
      </c>
      <c r="I818" s="1">
        <v>0</v>
      </c>
      <c r="J818" s="1">
        <v>0</v>
      </c>
      <c r="K818">
        <v>0</v>
      </c>
      <c r="L818">
        <v>0.01</v>
      </c>
      <c r="M818">
        <v>0.05</v>
      </c>
      <c r="N818" s="1">
        <v>5000000</v>
      </c>
      <c r="O818">
        <v>0.01</v>
      </c>
      <c r="P818">
        <v>1.99</v>
      </c>
      <c r="Q818">
        <v>0.01</v>
      </c>
    </row>
    <row r="819" spans="1:17" x14ac:dyDescent="0.25">
      <c r="A819" t="s">
        <v>1769</v>
      </c>
      <c r="B819" t="s">
        <v>1770</v>
      </c>
      <c r="C819">
        <v>0.61</v>
      </c>
      <c r="D819">
        <v>0.01</v>
      </c>
      <c r="E819">
        <v>0.61</v>
      </c>
      <c r="F819">
        <v>0.61</v>
      </c>
      <c r="G819">
        <v>0.61</v>
      </c>
      <c r="H819">
        <v>0.61</v>
      </c>
      <c r="I819" s="1">
        <v>50000</v>
      </c>
      <c r="J819" s="1">
        <v>30500</v>
      </c>
      <c r="K819">
        <v>2</v>
      </c>
      <c r="L819">
        <v>0.61</v>
      </c>
      <c r="M819">
        <v>0.62</v>
      </c>
      <c r="N819" s="1">
        <v>10000000</v>
      </c>
      <c r="O819">
        <v>0.61</v>
      </c>
      <c r="P819">
        <v>0.98</v>
      </c>
      <c r="Q819">
        <v>0.24</v>
      </c>
    </row>
    <row r="820" spans="1:17" x14ac:dyDescent="0.25">
      <c r="A820" t="s">
        <v>1771</v>
      </c>
      <c r="B820" t="s">
        <v>1772</v>
      </c>
      <c r="C820">
        <v>0.63</v>
      </c>
      <c r="D820">
        <v>-0.06</v>
      </c>
      <c r="E820">
        <v>0.63</v>
      </c>
      <c r="F820">
        <v>0.63</v>
      </c>
      <c r="G820">
        <v>0.63</v>
      </c>
      <c r="H820">
        <v>0.63</v>
      </c>
      <c r="I820" s="1">
        <v>5000</v>
      </c>
      <c r="J820" s="1">
        <v>3150</v>
      </c>
      <c r="K820">
        <v>1</v>
      </c>
      <c r="L820">
        <v>0.64</v>
      </c>
      <c r="M820">
        <v>0.65</v>
      </c>
      <c r="N820" s="1">
        <v>10000000</v>
      </c>
      <c r="O820">
        <v>0.63</v>
      </c>
      <c r="P820">
        <v>1.2</v>
      </c>
      <c r="Q820">
        <v>0.06</v>
      </c>
    </row>
    <row r="821" spans="1:17" x14ac:dyDescent="0.25">
      <c r="A821" t="s">
        <v>1773</v>
      </c>
      <c r="B821" t="s">
        <v>1774</v>
      </c>
      <c r="C821" t="s">
        <v>78</v>
      </c>
      <c r="D821" t="s">
        <v>78</v>
      </c>
      <c r="E821" t="s">
        <v>78</v>
      </c>
      <c r="F821" t="s">
        <v>78</v>
      </c>
      <c r="G821" t="s">
        <v>78</v>
      </c>
      <c r="H821">
        <v>0.24</v>
      </c>
      <c r="I821" s="1">
        <v>0</v>
      </c>
      <c r="J821" s="1">
        <v>0</v>
      </c>
      <c r="K821">
        <v>0</v>
      </c>
      <c r="L821">
        <v>0.23</v>
      </c>
      <c r="M821">
        <v>0.24</v>
      </c>
      <c r="N821" s="1">
        <v>10000000</v>
      </c>
      <c r="O821">
        <v>0.24</v>
      </c>
      <c r="P821">
        <v>0.49</v>
      </c>
      <c r="Q821">
        <v>0.01</v>
      </c>
    </row>
    <row r="822" spans="1:17" x14ac:dyDescent="0.25">
      <c r="A822" t="s">
        <v>1775</v>
      </c>
      <c r="B822" t="s">
        <v>1776</v>
      </c>
      <c r="C822">
        <v>0.03</v>
      </c>
      <c r="D822">
        <v>0.01</v>
      </c>
      <c r="E822">
        <v>0.03</v>
      </c>
      <c r="F822">
        <v>0.03</v>
      </c>
      <c r="G822">
        <v>0.03</v>
      </c>
      <c r="H822">
        <v>0.03</v>
      </c>
      <c r="I822" s="1">
        <v>10000</v>
      </c>
      <c r="J822" s="1">
        <v>300</v>
      </c>
      <c r="K822">
        <v>1</v>
      </c>
      <c r="L822">
        <v>0.02</v>
      </c>
      <c r="M822">
        <v>0.03</v>
      </c>
      <c r="N822" s="1">
        <v>5000000</v>
      </c>
      <c r="O822">
        <v>0.03</v>
      </c>
      <c r="P822">
        <v>1.76</v>
      </c>
      <c r="Q822">
        <v>0.01</v>
      </c>
    </row>
    <row r="823" spans="1:17" x14ac:dyDescent="0.25">
      <c r="A823" t="s">
        <v>1777</v>
      </c>
      <c r="B823" t="s">
        <v>1778</v>
      </c>
      <c r="C823" t="s">
        <v>78</v>
      </c>
      <c r="D823" t="s">
        <v>78</v>
      </c>
      <c r="E823" t="s">
        <v>78</v>
      </c>
      <c r="F823" t="s">
        <v>78</v>
      </c>
      <c r="G823" t="s">
        <v>78</v>
      </c>
      <c r="H823">
        <v>0.36</v>
      </c>
      <c r="I823" s="1">
        <v>0</v>
      </c>
      <c r="J823" s="1">
        <v>0</v>
      </c>
      <c r="K823">
        <v>0</v>
      </c>
      <c r="L823">
        <v>0.32</v>
      </c>
      <c r="M823">
        <v>0.33</v>
      </c>
      <c r="N823" s="1">
        <v>5000000</v>
      </c>
      <c r="O823">
        <v>0.33</v>
      </c>
      <c r="P823">
        <v>1.19</v>
      </c>
      <c r="Q823">
        <v>0.01</v>
      </c>
    </row>
    <row r="824" spans="1:17" x14ac:dyDescent="0.25">
      <c r="A824" t="s">
        <v>1779</v>
      </c>
      <c r="B824" t="s">
        <v>1780</v>
      </c>
      <c r="C824" t="s">
        <v>78</v>
      </c>
      <c r="D824" t="s">
        <v>78</v>
      </c>
      <c r="E824" t="s">
        <v>78</v>
      </c>
      <c r="F824" t="s">
        <v>78</v>
      </c>
      <c r="G824" t="s">
        <v>78</v>
      </c>
      <c r="H824">
        <v>0.46</v>
      </c>
      <c r="I824" s="1">
        <v>0</v>
      </c>
      <c r="J824" s="1">
        <v>0</v>
      </c>
      <c r="K824">
        <v>0</v>
      </c>
      <c r="L824">
        <v>0.45</v>
      </c>
      <c r="M824">
        <v>0.46</v>
      </c>
      <c r="N824" s="1">
        <v>5000000</v>
      </c>
      <c r="O824">
        <v>0.46</v>
      </c>
      <c r="P824">
        <v>1.03</v>
      </c>
      <c r="Q824">
        <v>0.01</v>
      </c>
    </row>
    <row r="825" spans="1:17" x14ac:dyDescent="0.25">
      <c r="A825" t="s">
        <v>1781</v>
      </c>
      <c r="B825" t="s">
        <v>1782</v>
      </c>
      <c r="C825">
        <v>1.45</v>
      </c>
      <c r="D825">
        <v>-0.05</v>
      </c>
      <c r="E825">
        <v>1.39</v>
      </c>
      <c r="F825">
        <v>1.45</v>
      </c>
      <c r="G825">
        <v>1.39</v>
      </c>
      <c r="H825">
        <v>1.43</v>
      </c>
      <c r="I825" s="1">
        <v>232000</v>
      </c>
      <c r="J825" s="1">
        <v>331840</v>
      </c>
      <c r="K825">
        <v>4</v>
      </c>
      <c r="L825">
        <v>1.44</v>
      </c>
      <c r="M825">
        <v>1.47</v>
      </c>
      <c r="N825" s="1">
        <v>5000000</v>
      </c>
      <c r="O825">
        <v>1.45</v>
      </c>
      <c r="P825">
        <v>2.12</v>
      </c>
      <c r="Q825">
        <v>0.78</v>
      </c>
    </row>
    <row r="826" spans="1:17" x14ac:dyDescent="0.25">
      <c r="A826" t="s">
        <v>1783</v>
      </c>
      <c r="B826" t="s">
        <v>1784</v>
      </c>
      <c r="C826">
        <v>0.79</v>
      </c>
      <c r="D826">
        <v>-0.03</v>
      </c>
      <c r="E826">
        <v>0.77</v>
      </c>
      <c r="F826">
        <v>0.79</v>
      </c>
      <c r="G826">
        <v>0.77</v>
      </c>
      <c r="H826">
        <v>0.77</v>
      </c>
      <c r="I826" s="1">
        <v>83000</v>
      </c>
      <c r="J826" s="1">
        <v>64110</v>
      </c>
      <c r="K826">
        <v>2</v>
      </c>
      <c r="L826">
        <v>0.79</v>
      </c>
      <c r="M826">
        <v>0.8</v>
      </c>
      <c r="N826" s="1">
        <v>10000000</v>
      </c>
      <c r="O826">
        <v>0.79</v>
      </c>
      <c r="P826">
        <v>1.42</v>
      </c>
      <c r="Q826">
        <v>0.16</v>
      </c>
    </row>
    <row r="827" spans="1:17" x14ac:dyDescent="0.25">
      <c r="A827" t="s">
        <v>1785</v>
      </c>
      <c r="B827" t="s">
        <v>1786</v>
      </c>
      <c r="C827">
        <v>0.1</v>
      </c>
      <c r="D827">
        <v>-0.02</v>
      </c>
      <c r="E827">
        <v>0.1</v>
      </c>
      <c r="F827">
        <v>0.1</v>
      </c>
      <c r="G827">
        <v>0.1</v>
      </c>
      <c r="H827">
        <v>0.1</v>
      </c>
      <c r="I827" s="1">
        <v>200000</v>
      </c>
      <c r="J827" s="1">
        <v>20000</v>
      </c>
      <c r="K827">
        <v>1</v>
      </c>
      <c r="L827">
        <v>0.09</v>
      </c>
      <c r="M827">
        <v>0.1</v>
      </c>
      <c r="N827" s="1">
        <v>10000000</v>
      </c>
      <c r="O827">
        <v>0.1</v>
      </c>
      <c r="P827">
        <v>1.78</v>
      </c>
      <c r="Q827">
        <v>0.01</v>
      </c>
    </row>
    <row r="828" spans="1:17" x14ac:dyDescent="0.25">
      <c r="A828" t="s">
        <v>1787</v>
      </c>
      <c r="B828" t="s">
        <v>1788</v>
      </c>
      <c r="C828" t="s">
        <v>78</v>
      </c>
      <c r="D828" t="s">
        <v>78</v>
      </c>
      <c r="E828" t="s">
        <v>78</v>
      </c>
      <c r="F828" t="s">
        <v>78</v>
      </c>
      <c r="G828" t="s">
        <v>78</v>
      </c>
      <c r="H828">
        <v>0.1</v>
      </c>
      <c r="I828" s="1">
        <v>0</v>
      </c>
      <c r="J828" s="1">
        <v>0</v>
      </c>
      <c r="K828">
        <v>0</v>
      </c>
      <c r="L828">
        <v>0</v>
      </c>
      <c r="M828">
        <v>0.03</v>
      </c>
      <c r="N828" s="1">
        <v>10000000</v>
      </c>
      <c r="O828">
        <v>0.03</v>
      </c>
      <c r="P828">
        <v>0.96</v>
      </c>
      <c r="Q828">
        <v>0.01</v>
      </c>
    </row>
    <row r="829" spans="1:17" x14ac:dyDescent="0.25">
      <c r="A829" t="s">
        <v>1789</v>
      </c>
      <c r="B829" t="s">
        <v>1790</v>
      </c>
      <c r="C829" t="s">
        <v>78</v>
      </c>
      <c r="D829" t="s">
        <v>78</v>
      </c>
      <c r="E829" t="s">
        <v>78</v>
      </c>
      <c r="F829" t="s">
        <v>78</v>
      </c>
      <c r="G829" t="s">
        <v>78</v>
      </c>
      <c r="H829">
        <v>0.08</v>
      </c>
      <c r="I829" s="1">
        <v>0</v>
      </c>
      <c r="J829" s="1">
        <v>0</v>
      </c>
      <c r="K829">
        <v>0</v>
      </c>
      <c r="L829">
        <v>0.02</v>
      </c>
      <c r="M829">
        <v>0.03</v>
      </c>
      <c r="N829" s="1">
        <v>10000000</v>
      </c>
      <c r="O829">
        <v>0.03</v>
      </c>
      <c r="P829">
        <v>1.82</v>
      </c>
      <c r="Q829">
        <v>0.01</v>
      </c>
    </row>
    <row r="830" spans="1:17" x14ac:dyDescent="0.25">
      <c r="A830" t="s">
        <v>1791</v>
      </c>
      <c r="B830" t="s">
        <v>1792</v>
      </c>
      <c r="C830">
        <v>0.51</v>
      </c>
      <c r="D830">
        <v>0</v>
      </c>
      <c r="E830">
        <v>0.51</v>
      </c>
      <c r="F830">
        <v>0.51</v>
      </c>
      <c r="G830">
        <v>0.51</v>
      </c>
      <c r="H830">
        <v>0.51</v>
      </c>
      <c r="I830" s="1">
        <v>30000</v>
      </c>
      <c r="J830" s="1">
        <v>15300</v>
      </c>
      <c r="K830">
        <v>1</v>
      </c>
      <c r="L830">
        <v>0.51</v>
      </c>
      <c r="M830">
        <v>0.54</v>
      </c>
      <c r="N830" s="1">
        <v>10000000</v>
      </c>
      <c r="O830">
        <v>0.51</v>
      </c>
      <c r="P830">
        <v>0.95</v>
      </c>
      <c r="Q830">
        <v>7.0000000000000007E-2</v>
      </c>
    </row>
    <row r="831" spans="1:17" x14ac:dyDescent="0.25">
      <c r="A831" t="s">
        <v>1793</v>
      </c>
      <c r="B831" t="s">
        <v>1794</v>
      </c>
      <c r="C831" t="s">
        <v>78</v>
      </c>
      <c r="D831" t="s">
        <v>78</v>
      </c>
      <c r="E831" t="s">
        <v>78</v>
      </c>
      <c r="F831" t="s">
        <v>78</v>
      </c>
      <c r="G831" t="s">
        <v>78</v>
      </c>
      <c r="H831">
        <v>1.1200000000000001</v>
      </c>
      <c r="I831" s="1">
        <v>0</v>
      </c>
      <c r="J831" s="1">
        <v>0</v>
      </c>
      <c r="K831">
        <v>0</v>
      </c>
      <c r="L831">
        <v>0.93</v>
      </c>
      <c r="M831">
        <v>1.03</v>
      </c>
      <c r="N831" s="1">
        <v>5000000</v>
      </c>
      <c r="O831">
        <v>0.93</v>
      </c>
      <c r="P831">
        <v>1.6</v>
      </c>
      <c r="Q831">
        <v>0.26</v>
      </c>
    </row>
    <row r="832" spans="1:17" x14ac:dyDescent="0.25">
      <c r="A832" t="s">
        <v>1795</v>
      </c>
      <c r="B832" t="s">
        <v>1796</v>
      </c>
      <c r="C832" t="s">
        <v>78</v>
      </c>
      <c r="D832" t="s">
        <v>78</v>
      </c>
      <c r="E832" t="s">
        <v>78</v>
      </c>
      <c r="F832" t="s">
        <v>78</v>
      </c>
      <c r="G832" t="s">
        <v>78</v>
      </c>
      <c r="H832">
        <v>0.14000000000000001</v>
      </c>
      <c r="I832" s="1">
        <v>0</v>
      </c>
      <c r="J832" s="1">
        <v>0</v>
      </c>
      <c r="K832">
        <v>0</v>
      </c>
      <c r="L832">
        <v>0.09</v>
      </c>
      <c r="M832">
        <v>0.1</v>
      </c>
      <c r="N832" s="1">
        <v>10000000</v>
      </c>
      <c r="O832">
        <v>0.1</v>
      </c>
      <c r="P832">
        <v>0.82</v>
      </c>
      <c r="Q832">
        <v>0.01</v>
      </c>
    </row>
    <row r="833" spans="1:17" x14ac:dyDescent="0.25">
      <c r="A833" t="s">
        <v>1797</v>
      </c>
      <c r="B833" t="s">
        <v>1798</v>
      </c>
      <c r="C833" t="s">
        <v>78</v>
      </c>
      <c r="D833" t="s">
        <v>78</v>
      </c>
      <c r="E833" t="s">
        <v>78</v>
      </c>
      <c r="F833" t="s">
        <v>78</v>
      </c>
      <c r="G833" t="s">
        <v>78</v>
      </c>
      <c r="H833">
        <v>0.81</v>
      </c>
      <c r="I833" s="1">
        <v>0</v>
      </c>
      <c r="J833" s="1">
        <v>0</v>
      </c>
      <c r="K833">
        <v>0</v>
      </c>
      <c r="L833">
        <v>0.77</v>
      </c>
      <c r="M833">
        <v>0.78</v>
      </c>
      <c r="N833" s="1">
        <v>10000000</v>
      </c>
      <c r="O833">
        <v>0.78</v>
      </c>
      <c r="P833">
        <v>1.63</v>
      </c>
      <c r="Q833">
        <v>0.01</v>
      </c>
    </row>
    <row r="834" spans="1:17" x14ac:dyDescent="0.25">
      <c r="A834" t="s">
        <v>1799</v>
      </c>
      <c r="B834" t="s">
        <v>1800</v>
      </c>
      <c r="C834" t="s">
        <v>78</v>
      </c>
      <c r="D834" t="s">
        <v>78</v>
      </c>
      <c r="E834" t="s">
        <v>78</v>
      </c>
      <c r="F834" t="s">
        <v>78</v>
      </c>
      <c r="G834" t="s">
        <v>78</v>
      </c>
      <c r="H834">
        <v>0.13</v>
      </c>
      <c r="I834" s="1">
        <v>0</v>
      </c>
      <c r="J834" s="1">
        <v>0</v>
      </c>
      <c r="K834">
        <v>0</v>
      </c>
      <c r="L834">
        <v>0.11</v>
      </c>
      <c r="M834">
        <v>0.12</v>
      </c>
      <c r="N834" s="1">
        <v>5000000</v>
      </c>
      <c r="O834">
        <v>0.12</v>
      </c>
      <c r="P834">
        <v>1.2</v>
      </c>
      <c r="Q834">
        <v>0.01</v>
      </c>
    </row>
    <row r="835" spans="1:17" x14ac:dyDescent="0.25">
      <c r="A835" t="s">
        <v>1801</v>
      </c>
      <c r="B835" t="s">
        <v>1802</v>
      </c>
      <c r="C835">
        <v>7.0000000000000007E-2</v>
      </c>
      <c r="D835">
        <v>0</v>
      </c>
      <c r="E835">
        <v>7.0000000000000007E-2</v>
      </c>
      <c r="F835">
        <v>7.0000000000000007E-2</v>
      </c>
      <c r="G835">
        <v>7.0000000000000007E-2</v>
      </c>
      <c r="H835">
        <v>7.0000000000000007E-2</v>
      </c>
      <c r="I835" s="1">
        <v>40000</v>
      </c>
      <c r="J835" s="1">
        <v>2800</v>
      </c>
      <c r="K835">
        <v>1</v>
      </c>
      <c r="L835">
        <v>7.0000000000000007E-2</v>
      </c>
      <c r="M835">
        <v>0.08</v>
      </c>
      <c r="N835" s="1">
        <v>5000000</v>
      </c>
      <c r="O835">
        <v>7.0000000000000007E-2</v>
      </c>
      <c r="P835">
        <v>2.0499999999999998</v>
      </c>
      <c r="Q835">
        <v>0.01</v>
      </c>
    </row>
    <row r="836" spans="1:17" x14ac:dyDescent="0.25">
      <c r="A836" t="s">
        <v>1803</v>
      </c>
      <c r="B836" t="s">
        <v>1804</v>
      </c>
      <c r="C836" t="s">
        <v>78</v>
      </c>
      <c r="D836" t="s">
        <v>78</v>
      </c>
      <c r="E836" t="s">
        <v>78</v>
      </c>
      <c r="F836" t="s">
        <v>78</v>
      </c>
      <c r="G836" t="s">
        <v>78</v>
      </c>
      <c r="H836">
        <v>2.0699999999999998</v>
      </c>
      <c r="I836" s="1">
        <v>0</v>
      </c>
      <c r="J836" s="1">
        <v>0</v>
      </c>
      <c r="K836">
        <v>0</v>
      </c>
      <c r="L836">
        <v>2.7</v>
      </c>
      <c r="M836">
        <v>2.8</v>
      </c>
      <c r="N836" s="1">
        <v>5000000</v>
      </c>
      <c r="O836">
        <v>2.73</v>
      </c>
      <c r="P836">
        <v>3.6</v>
      </c>
      <c r="Q836">
        <v>1.86</v>
      </c>
    </row>
    <row r="837" spans="1:17" x14ac:dyDescent="0.25">
      <c r="A837" t="s">
        <v>1805</v>
      </c>
      <c r="B837" t="s">
        <v>1806</v>
      </c>
      <c r="C837" t="s">
        <v>78</v>
      </c>
      <c r="D837" t="s">
        <v>78</v>
      </c>
      <c r="E837" t="s">
        <v>78</v>
      </c>
      <c r="F837" t="s">
        <v>78</v>
      </c>
      <c r="G837" t="s">
        <v>78</v>
      </c>
      <c r="H837">
        <v>1</v>
      </c>
      <c r="I837" s="1">
        <v>0</v>
      </c>
      <c r="J837" s="1">
        <v>0</v>
      </c>
      <c r="K837">
        <v>0</v>
      </c>
      <c r="L837">
        <v>0.94</v>
      </c>
      <c r="M837">
        <v>0.95</v>
      </c>
      <c r="N837" s="1">
        <v>10000000</v>
      </c>
      <c r="O837">
        <v>0.95</v>
      </c>
      <c r="P837">
        <v>1.47</v>
      </c>
      <c r="Q837">
        <v>0.43</v>
      </c>
    </row>
    <row r="838" spans="1:17" x14ac:dyDescent="0.25">
      <c r="A838" t="s">
        <v>1807</v>
      </c>
      <c r="B838" t="s">
        <v>1808</v>
      </c>
      <c r="C838" t="s">
        <v>78</v>
      </c>
      <c r="D838" t="s">
        <v>78</v>
      </c>
      <c r="E838" t="s">
        <v>78</v>
      </c>
      <c r="F838" t="s">
        <v>78</v>
      </c>
      <c r="G838" t="s">
        <v>78</v>
      </c>
      <c r="H838">
        <v>0.03</v>
      </c>
      <c r="I838" s="1">
        <v>0</v>
      </c>
      <c r="J838" s="1">
        <v>0</v>
      </c>
      <c r="K838">
        <v>0</v>
      </c>
      <c r="L838">
        <v>0.02</v>
      </c>
      <c r="M838">
        <v>0.03</v>
      </c>
      <c r="N838" s="1">
        <v>5000000</v>
      </c>
      <c r="O838">
        <v>0.03</v>
      </c>
      <c r="P838">
        <v>1.21</v>
      </c>
      <c r="Q838">
        <v>0.01</v>
      </c>
    </row>
    <row r="839" spans="1:17" x14ac:dyDescent="0.25">
      <c r="A839" t="s">
        <v>1809</v>
      </c>
      <c r="B839" t="s">
        <v>1810</v>
      </c>
      <c r="C839">
        <v>0.62</v>
      </c>
      <c r="D839">
        <v>0.04</v>
      </c>
      <c r="E839">
        <v>0.59</v>
      </c>
      <c r="F839">
        <v>0.62</v>
      </c>
      <c r="G839">
        <v>0.59</v>
      </c>
      <c r="H839">
        <v>0.61</v>
      </c>
      <c r="I839" s="1">
        <v>328000</v>
      </c>
      <c r="J839" s="1">
        <v>200710</v>
      </c>
      <c r="K839">
        <v>7</v>
      </c>
      <c r="L839">
        <v>0.62</v>
      </c>
      <c r="M839">
        <v>0.63</v>
      </c>
      <c r="N839" s="1">
        <v>10000000</v>
      </c>
      <c r="O839">
        <v>0.62</v>
      </c>
      <c r="P839">
        <v>0.99</v>
      </c>
      <c r="Q839">
        <v>0.25</v>
      </c>
    </row>
    <row r="840" spans="1:17" x14ac:dyDescent="0.25">
      <c r="A840" t="s">
        <v>1811</v>
      </c>
      <c r="B840" t="s">
        <v>1812</v>
      </c>
      <c r="C840" t="s">
        <v>78</v>
      </c>
      <c r="D840" t="s">
        <v>78</v>
      </c>
      <c r="E840" t="s">
        <v>78</v>
      </c>
      <c r="F840" t="s">
        <v>78</v>
      </c>
      <c r="G840" t="s">
        <v>78</v>
      </c>
      <c r="H840">
        <v>7.0000000000000007E-2</v>
      </c>
      <c r="I840" s="1">
        <v>0</v>
      </c>
      <c r="J840" s="1">
        <v>0</v>
      </c>
      <c r="K840">
        <v>0</v>
      </c>
      <c r="L840">
        <v>0.02</v>
      </c>
      <c r="M840">
        <v>0.05</v>
      </c>
      <c r="N840" s="1">
        <v>5000000</v>
      </c>
      <c r="O840">
        <v>0.05</v>
      </c>
      <c r="P840">
        <v>1.03</v>
      </c>
      <c r="Q840">
        <v>0.01</v>
      </c>
    </row>
    <row r="841" spans="1:17" x14ac:dyDescent="0.25">
      <c r="A841" t="s">
        <v>1813</v>
      </c>
      <c r="B841" t="s">
        <v>1814</v>
      </c>
      <c r="C841">
        <v>0.59</v>
      </c>
      <c r="D841">
        <v>0</v>
      </c>
      <c r="E841">
        <v>0.59</v>
      </c>
      <c r="F841">
        <v>0.59</v>
      </c>
      <c r="G841">
        <v>0.59</v>
      </c>
      <c r="H841">
        <v>0.59</v>
      </c>
      <c r="I841" s="1">
        <v>10000</v>
      </c>
      <c r="J841" s="1">
        <v>5900</v>
      </c>
      <c r="K841">
        <v>1</v>
      </c>
      <c r="L841">
        <v>0.57999999999999996</v>
      </c>
      <c r="M841">
        <v>0.6</v>
      </c>
      <c r="N841" s="1">
        <v>10000000</v>
      </c>
      <c r="O841">
        <v>0.59</v>
      </c>
      <c r="P841">
        <v>1.18</v>
      </c>
      <c r="Q841">
        <v>0.01</v>
      </c>
    </row>
    <row r="842" spans="1:17" x14ac:dyDescent="0.25">
      <c r="A842" t="s">
        <v>1815</v>
      </c>
      <c r="B842" t="s">
        <v>1816</v>
      </c>
      <c r="C842">
        <v>0.22</v>
      </c>
      <c r="D842">
        <v>-0.05</v>
      </c>
      <c r="E842">
        <v>0.22</v>
      </c>
      <c r="F842">
        <v>0.22</v>
      </c>
      <c r="G842">
        <v>0.22</v>
      </c>
      <c r="H842">
        <v>0.22</v>
      </c>
      <c r="I842" s="1">
        <v>5000</v>
      </c>
      <c r="J842" s="1">
        <v>1100</v>
      </c>
      <c r="K842">
        <v>1</v>
      </c>
      <c r="L842">
        <v>0.22</v>
      </c>
      <c r="M842">
        <v>0.23</v>
      </c>
      <c r="N842" s="1">
        <v>10000000</v>
      </c>
      <c r="O842">
        <v>0.22</v>
      </c>
      <c r="P842">
        <v>1.34</v>
      </c>
      <c r="Q842">
        <v>0.01</v>
      </c>
    </row>
    <row r="843" spans="1:17" x14ac:dyDescent="0.25">
      <c r="A843" t="s">
        <v>1817</v>
      </c>
      <c r="B843" t="s">
        <v>1818</v>
      </c>
      <c r="C843" t="s">
        <v>78</v>
      </c>
      <c r="D843" t="s">
        <v>78</v>
      </c>
      <c r="E843" t="s">
        <v>78</v>
      </c>
      <c r="F843" t="s">
        <v>78</v>
      </c>
      <c r="G843" t="s">
        <v>78</v>
      </c>
      <c r="H843">
        <v>0.08</v>
      </c>
      <c r="I843" s="1">
        <v>0</v>
      </c>
      <c r="J843" s="1">
        <v>0</v>
      </c>
      <c r="K843">
        <v>0</v>
      </c>
      <c r="L843">
        <v>0.01</v>
      </c>
      <c r="M843">
        <v>0.09</v>
      </c>
      <c r="N843" s="1">
        <v>5000000</v>
      </c>
      <c r="O843">
        <v>0.09</v>
      </c>
      <c r="P843">
        <v>1.54</v>
      </c>
      <c r="Q843">
        <v>0.01</v>
      </c>
    </row>
    <row r="844" spans="1:17" x14ac:dyDescent="0.25">
      <c r="A844" t="s">
        <v>1819</v>
      </c>
      <c r="B844" t="s">
        <v>1820</v>
      </c>
      <c r="C844" t="s">
        <v>78</v>
      </c>
      <c r="D844" t="s">
        <v>78</v>
      </c>
      <c r="E844" t="s">
        <v>78</v>
      </c>
      <c r="F844" t="s">
        <v>78</v>
      </c>
      <c r="G844" t="s">
        <v>78</v>
      </c>
      <c r="H844">
        <v>0.48</v>
      </c>
      <c r="I844" s="1">
        <v>0</v>
      </c>
      <c r="J844" s="1">
        <v>0</v>
      </c>
      <c r="K844">
        <v>0</v>
      </c>
      <c r="L844">
        <v>0.46</v>
      </c>
      <c r="M844">
        <v>0.47</v>
      </c>
      <c r="N844" s="1">
        <v>10000000</v>
      </c>
      <c r="O844">
        <v>0.47</v>
      </c>
      <c r="P844">
        <v>1.1200000000000001</v>
      </c>
      <c r="Q844">
        <v>0.01</v>
      </c>
    </row>
    <row r="845" spans="1:17" x14ac:dyDescent="0.25">
      <c r="A845" t="s">
        <v>1821</v>
      </c>
      <c r="B845" t="s">
        <v>1822</v>
      </c>
      <c r="C845">
        <v>0.73</v>
      </c>
      <c r="D845">
        <v>-0.01</v>
      </c>
      <c r="E845">
        <v>0.73</v>
      </c>
      <c r="F845">
        <v>0.75</v>
      </c>
      <c r="G845">
        <v>0.71</v>
      </c>
      <c r="H845">
        <v>0.73</v>
      </c>
      <c r="I845" s="1">
        <v>128000</v>
      </c>
      <c r="J845" s="1">
        <v>93170</v>
      </c>
      <c r="K845">
        <v>7</v>
      </c>
      <c r="L845">
        <v>0.72</v>
      </c>
      <c r="M845">
        <v>0.73</v>
      </c>
      <c r="N845" s="1">
        <v>10000000</v>
      </c>
      <c r="O845">
        <v>0.73</v>
      </c>
      <c r="P845">
        <v>1.1599999999999999</v>
      </c>
      <c r="Q845">
        <v>0.3</v>
      </c>
    </row>
    <row r="846" spans="1:17" x14ac:dyDescent="0.25">
      <c r="A846" t="s">
        <v>1823</v>
      </c>
      <c r="B846" t="s">
        <v>1824</v>
      </c>
      <c r="C846">
        <v>0.31</v>
      </c>
      <c r="D846">
        <v>-0.03</v>
      </c>
      <c r="E846">
        <v>0.3</v>
      </c>
      <c r="F846">
        <v>0.31</v>
      </c>
      <c r="G846">
        <v>0.27</v>
      </c>
      <c r="H846">
        <v>0.28999999999999998</v>
      </c>
      <c r="I846" s="1">
        <v>474000</v>
      </c>
      <c r="J846" s="1">
        <v>135400</v>
      </c>
      <c r="K846">
        <v>13</v>
      </c>
      <c r="L846">
        <v>0.3</v>
      </c>
      <c r="M846">
        <v>0.31</v>
      </c>
      <c r="N846" s="1">
        <v>10000000</v>
      </c>
      <c r="O846">
        <v>0.31</v>
      </c>
      <c r="P846">
        <v>1.03</v>
      </c>
      <c r="Q846">
        <v>0.01</v>
      </c>
    </row>
    <row r="847" spans="1:17" x14ac:dyDescent="0.25">
      <c r="A847" t="s">
        <v>1825</v>
      </c>
      <c r="B847" t="s">
        <v>1826</v>
      </c>
      <c r="C847" t="s">
        <v>78</v>
      </c>
      <c r="D847" t="s">
        <v>78</v>
      </c>
      <c r="E847" t="s">
        <v>78</v>
      </c>
      <c r="F847" t="s">
        <v>78</v>
      </c>
      <c r="G847" t="s">
        <v>78</v>
      </c>
      <c r="H847">
        <v>0.23</v>
      </c>
      <c r="I847" s="1">
        <v>0</v>
      </c>
      <c r="J847" s="1">
        <v>0</v>
      </c>
      <c r="K847">
        <v>0</v>
      </c>
      <c r="L847">
        <v>0.16</v>
      </c>
      <c r="M847">
        <v>0.17</v>
      </c>
      <c r="N847" s="1">
        <v>10000000</v>
      </c>
      <c r="O847">
        <v>0.17</v>
      </c>
      <c r="P847">
        <v>1.6</v>
      </c>
      <c r="Q847">
        <v>0.01</v>
      </c>
    </row>
    <row r="848" spans="1:17" x14ac:dyDescent="0.25">
      <c r="A848" t="s">
        <v>1827</v>
      </c>
      <c r="B848" t="s">
        <v>1828</v>
      </c>
      <c r="C848" t="s">
        <v>78</v>
      </c>
      <c r="D848" t="s">
        <v>78</v>
      </c>
      <c r="E848" t="s">
        <v>78</v>
      </c>
      <c r="F848" t="s">
        <v>78</v>
      </c>
      <c r="G848" t="s">
        <v>78</v>
      </c>
      <c r="H848">
        <v>0.03</v>
      </c>
      <c r="I848" s="1">
        <v>0</v>
      </c>
      <c r="J848" s="1">
        <v>0</v>
      </c>
      <c r="K848">
        <v>0</v>
      </c>
      <c r="L848">
        <v>0.01</v>
      </c>
      <c r="M848">
        <v>0.02</v>
      </c>
      <c r="N848" s="1">
        <v>5000000</v>
      </c>
      <c r="O848">
        <v>0.02</v>
      </c>
      <c r="P848">
        <v>1.99</v>
      </c>
      <c r="Q848">
        <v>0.01</v>
      </c>
    </row>
    <row r="849" spans="1:17" x14ac:dyDescent="0.25">
      <c r="A849" t="s">
        <v>1829</v>
      </c>
      <c r="B849" t="s">
        <v>1830</v>
      </c>
      <c r="C849">
        <v>0.62</v>
      </c>
      <c r="D849">
        <v>0.12</v>
      </c>
      <c r="E849">
        <v>0.55000000000000004</v>
      </c>
      <c r="F849">
        <v>0.62</v>
      </c>
      <c r="G849">
        <v>0.55000000000000004</v>
      </c>
      <c r="H849">
        <v>0.62</v>
      </c>
      <c r="I849" s="1">
        <v>353000</v>
      </c>
      <c r="J849" s="1">
        <v>217480</v>
      </c>
      <c r="K849">
        <v>10</v>
      </c>
      <c r="L849">
        <v>0.63</v>
      </c>
      <c r="M849">
        <v>0.65</v>
      </c>
      <c r="N849" s="1">
        <v>5000000</v>
      </c>
      <c r="O849">
        <v>0.62</v>
      </c>
      <c r="P849">
        <v>1.48</v>
      </c>
      <c r="Q849">
        <v>0.01</v>
      </c>
    </row>
    <row r="850" spans="1:17" x14ac:dyDescent="0.25">
      <c r="A850" t="s">
        <v>1831</v>
      </c>
      <c r="B850" t="s">
        <v>1832</v>
      </c>
      <c r="C850" t="s">
        <v>78</v>
      </c>
      <c r="D850" t="s">
        <v>78</v>
      </c>
      <c r="E850" t="s">
        <v>78</v>
      </c>
      <c r="F850" t="s">
        <v>78</v>
      </c>
      <c r="G850" t="s">
        <v>78</v>
      </c>
      <c r="H850">
        <v>0.34</v>
      </c>
      <c r="I850" s="1">
        <v>0</v>
      </c>
      <c r="J850" s="1">
        <v>0</v>
      </c>
      <c r="K850">
        <v>0</v>
      </c>
      <c r="L850">
        <v>0.28999999999999998</v>
      </c>
      <c r="M850">
        <v>0.3</v>
      </c>
      <c r="N850" s="1">
        <v>10000000</v>
      </c>
      <c r="O850">
        <v>0.3</v>
      </c>
      <c r="P850">
        <v>0.72</v>
      </c>
      <c r="Q850">
        <v>0.01</v>
      </c>
    </row>
    <row r="851" spans="1:17" x14ac:dyDescent="0.25">
      <c r="A851" t="s">
        <v>1833</v>
      </c>
      <c r="B851" t="s">
        <v>1834</v>
      </c>
      <c r="C851">
        <v>0.24</v>
      </c>
      <c r="D851">
        <v>0</v>
      </c>
      <c r="E851">
        <v>0.24</v>
      </c>
      <c r="F851">
        <v>0.24</v>
      </c>
      <c r="G851">
        <v>0.24</v>
      </c>
      <c r="H851">
        <v>0.24</v>
      </c>
      <c r="I851" s="1">
        <v>10000</v>
      </c>
      <c r="J851" s="1">
        <v>2400</v>
      </c>
      <c r="K851">
        <v>1</v>
      </c>
      <c r="L851">
        <v>0.24</v>
      </c>
      <c r="M851">
        <v>0.25</v>
      </c>
      <c r="N851" s="1">
        <v>5000000</v>
      </c>
      <c r="O851">
        <v>0.24</v>
      </c>
      <c r="P851">
        <v>2.2200000000000002</v>
      </c>
      <c r="Q851">
        <v>0.01</v>
      </c>
    </row>
    <row r="852" spans="1:17" x14ac:dyDescent="0.25">
      <c r="A852" t="s">
        <v>1835</v>
      </c>
      <c r="B852" t="s">
        <v>1836</v>
      </c>
      <c r="C852">
        <v>0.16</v>
      </c>
      <c r="D852">
        <v>-0.03</v>
      </c>
      <c r="E852">
        <v>0.17</v>
      </c>
      <c r="F852">
        <v>0.17</v>
      </c>
      <c r="G852">
        <v>0.16</v>
      </c>
      <c r="H852">
        <v>0.17</v>
      </c>
      <c r="I852" s="1">
        <v>62000</v>
      </c>
      <c r="J852" s="1">
        <v>10490</v>
      </c>
      <c r="K852">
        <v>2</v>
      </c>
      <c r="L852">
        <v>0.16</v>
      </c>
      <c r="M852">
        <v>0.17</v>
      </c>
      <c r="N852" s="1">
        <v>10000000</v>
      </c>
      <c r="O852">
        <v>0.16</v>
      </c>
      <c r="P852">
        <v>1.1000000000000001</v>
      </c>
      <c r="Q852">
        <v>0.01</v>
      </c>
    </row>
    <row r="853" spans="1:17" x14ac:dyDescent="0.25">
      <c r="A853" t="s">
        <v>1837</v>
      </c>
      <c r="B853" t="s">
        <v>1838</v>
      </c>
      <c r="C853" t="s">
        <v>78</v>
      </c>
      <c r="D853" t="s">
        <v>78</v>
      </c>
      <c r="E853" t="s">
        <v>78</v>
      </c>
      <c r="F853" t="s">
        <v>78</v>
      </c>
      <c r="G853" t="s">
        <v>78</v>
      </c>
      <c r="H853">
        <v>0.24</v>
      </c>
      <c r="I853" s="1">
        <v>0</v>
      </c>
      <c r="J853" s="1">
        <v>0</v>
      </c>
      <c r="K853">
        <v>0</v>
      </c>
      <c r="L853">
        <v>0.21</v>
      </c>
      <c r="M853">
        <v>0.22</v>
      </c>
      <c r="N853" s="1">
        <v>5000000</v>
      </c>
      <c r="O853">
        <v>0.21</v>
      </c>
      <c r="P853">
        <v>1.45</v>
      </c>
      <c r="Q853">
        <v>0.01</v>
      </c>
    </row>
    <row r="854" spans="1:17" x14ac:dyDescent="0.25">
      <c r="A854" t="s">
        <v>1839</v>
      </c>
      <c r="B854" t="s">
        <v>1840</v>
      </c>
      <c r="C854">
        <v>0.43</v>
      </c>
      <c r="D854">
        <v>-0.02</v>
      </c>
      <c r="E854">
        <v>0.43</v>
      </c>
      <c r="F854">
        <v>0.44</v>
      </c>
      <c r="G854">
        <v>0.43</v>
      </c>
      <c r="H854">
        <v>0.43</v>
      </c>
      <c r="I854" s="1">
        <v>403000</v>
      </c>
      <c r="J854" s="1">
        <v>175290</v>
      </c>
      <c r="K854">
        <v>3</v>
      </c>
      <c r="L854">
        <v>0.44</v>
      </c>
      <c r="M854">
        <v>0.45</v>
      </c>
      <c r="N854" s="1">
        <v>5000000</v>
      </c>
      <c r="O854">
        <v>0.43</v>
      </c>
      <c r="P854">
        <v>1.55</v>
      </c>
      <c r="Q854">
        <v>0.01</v>
      </c>
    </row>
    <row r="855" spans="1:17" x14ac:dyDescent="0.25">
      <c r="A855" t="s">
        <v>1841</v>
      </c>
      <c r="B855" t="s">
        <v>1842</v>
      </c>
      <c r="C855">
        <v>0.18</v>
      </c>
      <c r="D855">
        <v>0</v>
      </c>
      <c r="E855">
        <v>0.18</v>
      </c>
      <c r="F855">
        <v>0.18</v>
      </c>
      <c r="G855">
        <v>0.18</v>
      </c>
      <c r="H855">
        <v>0.18</v>
      </c>
      <c r="I855" s="1">
        <v>200000</v>
      </c>
      <c r="J855" s="1">
        <v>36000</v>
      </c>
      <c r="K855">
        <v>1</v>
      </c>
      <c r="L855">
        <v>0.18</v>
      </c>
      <c r="M855">
        <v>0.19</v>
      </c>
      <c r="N855" s="1">
        <v>5000000</v>
      </c>
      <c r="O855">
        <v>0.18</v>
      </c>
      <c r="P855">
        <v>1.42</v>
      </c>
      <c r="Q855">
        <v>0.01</v>
      </c>
    </row>
    <row r="856" spans="1:17" x14ac:dyDescent="0.25">
      <c r="A856" t="s">
        <v>1843</v>
      </c>
      <c r="B856" t="s">
        <v>1844</v>
      </c>
      <c r="C856">
        <v>0.17</v>
      </c>
      <c r="D856">
        <v>0.01</v>
      </c>
      <c r="E856">
        <v>0.19</v>
      </c>
      <c r="F856">
        <v>0.19</v>
      </c>
      <c r="G856">
        <v>0.17</v>
      </c>
      <c r="H856">
        <v>0.18</v>
      </c>
      <c r="I856" s="1">
        <v>20000</v>
      </c>
      <c r="J856" s="1">
        <v>3550</v>
      </c>
      <c r="K856">
        <v>3</v>
      </c>
      <c r="L856">
        <v>0.14000000000000001</v>
      </c>
      <c r="M856">
        <v>0.17</v>
      </c>
      <c r="N856" s="1">
        <v>15000000</v>
      </c>
      <c r="O856">
        <v>0.17</v>
      </c>
      <c r="P856">
        <v>0.81</v>
      </c>
      <c r="Q856">
        <v>0.01</v>
      </c>
    </row>
    <row r="857" spans="1:17" x14ac:dyDescent="0.25">
      <c r="A857" t="s">
        <v>1845</v>
      </c>
      <c r="B857" t="s">
        <v>1846</v>
      </c>
      <c r="C857">
        <v>1.78</v>
      </c>
      <c r="D857">
        <v>0</v>
      </c>
      <c r="E857">
        <v>1.78</v>
      </c>
      <c r="F857">
        <v>1.78</v>
      </c>
      <c r="G857">
        <v>1.78</v>
      </c>
      <c r="H857">
        <v>1.78</v>
      </c>
      <c r="I857" s="1">
        <v>11000</v>
      </c>
      <c r="J857" s="1">
        <v>19580</v>
      </c>
      <c r="K857">
        <v>1</v>
      </c>
      <c r="L857">
        <v>1.77</v>
      </c>
      <c r="M857">
        <v>1.78</v>
      </c>
      <c r="N857" s="1">
        <v>10000000</v>
      </c>
      <c r="O857">
        <v>1.78</v>
      </c>
      <c r="P857">
        <v>2.38</v>
      </c>
      <c r="Q857">
        <v>1.18</v>
      </c>
    </row>
    <row r="858" spans="1:17" x14ac:dyDescent="0.25">
      <c r="A858" t="s">
        <v>1847</v>
      </c>
      <c r="B858" t="s">
        <v>1848</v>
      </c>
      <c r="C858">
        <v>0.62</v>
      </c>
      <c r="D858">
        <v>-0.08</v>
      </c>
      <c r="E858">
        <v>0.57999999999999996</v>
      </c>
      <c r="F858">
        <v>0.62</v>
      </c>
      <c r="G858">
        <v>0.56000000000000005</v>
      </c>
      <c r="H858">
        <v>0.59</v>
      </c>
      <c r="I858" s="1">
        <v>111000</v>
      </c>
      <c r="J858" s="1">
        <v>65220</v>
      </c>
      <c r="K858">
        <v>4</v>
      </c>
      <c r="L858">
        <v>0.61</v>
      </c>
      <c r="M858">
        <v>0.62</v>
      </c>
      <c r="N858" s="1">
        <v>10000000</v>
      </c>
      <c r="O858">
        <v>0.62</v>
      </c>
      <c r="P858">
        <v>1.38</v>
      </c>
      <c r="Q858">
        <v>0.01</v>
      </c>
    </row>
    <row r="859" spans="1:17" x14ac:dyDescent="0.25">
      <c r="A859" t="s">
        <v>1849</v>
      </c>
      <c r="B859" t="s">
        <v>1850</v>
      </c>
      <c r="C859">
        <v>0.86</v>
      </c>
      <c r="D859">
        <v>0.01</v>
      </c>
      <c r="E859">
        <v>0.83</v>
      </c>
      <c r="F859">
        <v>0.86</v>
      </c>
      <c r="G859">
        <v>0.83</v>
      </c>
      <c r="H859">
        <v>0.84</v>
      </c>
      <c r="I859" s="1">
        <v>15000</v>
      </c>
      <c r="J859" s="1">
        <v>12600</v>
      </c>
      <c r="K859">
        <v>2</v>
      </c>
      <c r="L859">
        <v>0.86</v>
      </c>
      <c r="M859">
        <v>0.87</v>
      </c>
      <c r="N859" s="1">
        <v>5000000</v>
      </c>
      <c r="O859">
        <v>0.86</v>
      </c>
      <c r="P859">
        <v>1.45</v>
      </c>
      <c r="Q859">
        <v>0.27</v>
      </c>
    </row>
    <row r="860" spans="1:17" x14ac:dyDescent="0.25">
      <c r="A860" t="s">
        <v>1851</v>
      </c>
      <c r="B860" t="s">
        <v>1852</v>
      </c>
      <c r="C860" t="s">
        <v>78</v>
      </c>
      <c r="D860" t="s">
        <v>78</v>
      </c>
      <c r="E860" t="s">
        <v>78</v>
      </c>
      <c r="F860" t="s">
        <v>78</v>
      </c>
      <c r="G860" t="s">
        <v>78</v>
      </c>
      <c r="H860">
        <v>0.09</v>
      </c>
      <c r="I860" s="1">
        <v>0</v>
      </c>
      <c r="J860" s="1">
        <v>0</v>
      </c>
      <c r="K860">
        <v>0</v>
      </c>
      <c r="L860">
        <v>0.01</v>
      </c>
      <c r="M860">
        <v>0.05</v>
      </c>
      <c r="N860" s="1">
        <v>7000000</v>
      </c>
      <c r="O860">
        <v>0.05</v>
      </c>
      <c r="P860">
        <v>5.95</v>
      </c>
      <c r="Q860">
        <v>0.01</v>
      </c>
    </row>
    <row r="861" spans="1:17" x14ac:dyDescent="0.25">
      <c r="A861" t="s">
        <v>1853</v>
      </c>
      <c r="B861" t="s">
        <v>1854</v>
      </c>
      <c r="C861">
        <v>0.44</v>
      </c>
      <c r="D861">
        <v>-0.06</v>
      </c>
      <c r="E861">
        <v>0.47</v>
      </c>
      <c r="F861">
        <v>0.47</v>
      </c>
      <c r="G861">
        <v>0.44</v>
      </c>
      <c r="H861">
        <v>0.46</v>
      </c>
      <c r="I861" s="1">
        <v>200000</v>
      </c>
      <c r="J861" s="1">
        <v>91000</v>
      </c>
      <c r="K861">
        <v>2</v>
      </c>
      <c r="L861">
        <v>0.37</v>
      </c>
      <c r="M861">
        <v>0.38</v>
      </c>
      <c r="N861" s="1">
        <v>5000000</v>
      </c>
      <c r="O861">
        <v>0.44</v>
      </c>
      <c r="P861">
        <v>1.42</v>
      </c>
      <c r="Q861">
        <v>0.01</v>
      </c>
    </row>
    <row r="862" spans="1:17" x14ac:dyDescent="0.25">
      <c r="A862" t="s">
        <v>1855</v>
      </c>
      <c r="B862" t="s">
        <v>1856</v>
      </c>
      <c r="C862">
        <v>0.14000000000000001</v>
      </c>
      <c r="D862">
        <v>0</v>
      </c>
      <c r="E862">
        <v>0.13</v>
      </c>
      <c r="F862">
        <v>0.14000000000000001</v>
      </c>
      <c r="G862">
        <v>0.12</v>
      </c>
      <c r="H862">
        <v>0.13</v>
      </c>
      <c r="I862" s="1">
        <v>509000</v>
      </c>
      <c r="J862" s="1">
        <v>68220</v>
      </c>
      <c r="K862">
        <v>27</v>
      </c>
      <c r="L862">
        <v>0.14000000000000001</v>
      </c>
      <c r="M862">
        <v>0.15</v>
      </c>
      <c r="N862" s="1">
        <v>5000000</v>
      </c>
      <c r="O862">
        <v>0.14000000000000001</v>
      </c>
      <c r="P862">
        <v>0.75</v>
      </c>
      <c r="Q862">
        <v>0.01</v>
      </c>
    </row>
    <row r="863" spans="1:17" x14ac:dyDescent="0.25">
      <c r="A863" t="s">
        <v>1857</v>
      </c>
      <c r="B863" t="s">
        <v>1858</v>
      </c>
      <c r="C863" t="s">
        <v>78</v>
      </c>
      <c r="D863" t="s">
        <v>78</v>
      </c>
      <c r="E863" t="s">
        <v>78</v>
      </c>
      <c r="F863" t="s">
        <v>78</v>
      </c>
      <c r="G863" t="s">
        <v>78</v>
      </c>
      <c r="H863">
        <v>0.14000000000000001</v>
      </c>
      <c r="I863" s="1">
        <v>0</v>
      </c>
      <c r="J863" s="1">
        <v>0</v>
      </c>
      <c r="K863">
        <v>0</v>
      </c>
      <c r="L863">
        <v>0.1</v>
      </c>
      <c r="M863">
        <v>0.11</v>
      </c>
      <c r="N863" s="1">
        <v>5000000</v>
      </c>
      <c r="O863">
        <v>0.11</v>
      </c>
      <c r="P863">
        <v>1.27</v>
      </c>
      <c r="Q863">
        <v>0.01</v>
      </c>
    </row>
    <row r="864" spans="1:17" x14ac:dyDescent="0.25">
      <c r="A864" t="s">
        <v>1859</v>
      </c>
      <c r="B864" t="s">
        <v>1860</v>
      </c>
      <c r="C864" t="s">
        <v>78</v>
      </c>
      <c r="D864" t="s">
        <v>78</v>
      </c>
      <c r="E864" t="s">
        <v>78</v>
      </c>
      <c r="F864" t="s">
        <v>78</v>
      </c>
      <c r="G864" t="s">
        <v>78</v>
      </c>
      <c r="H864">
        <v>0.02</v>
      </c>
      <c r="I864" s="1">
        <v>0</v>
      </c>
      <c r="J864" s="1">
        <v>0</v>
      </c>
      <c r="K864">
        <v>0</v>
      </c>
      <c r="L864">
        <v>0</v>
      </c>
      <c r="M864">
        <v>0.02</v>
      </c>
      <c r="N864" s="1">
        <v>5000000</v>
      </c>
      <c r="O864">
        <v>0.02</v>
      </c>
      <c r="P864">
        <v>1</v>
      </c>
      <c r="Q864">
        <v>0.01</v>
      </c>
    </row>
    <row r="865" spans="1:17" x14ac:dyDescent="0.25">
      <c r="A865" t="s">
        <v>1861</v>
      </c>
      <c r="B865" t="s">
        <v>1862</v>
      </c>
      <c r="C865">
        <v>3.24</v>
      </c>
      <c r="D865">
        <v>-0.06</v>
      </c>
      <c r="E865">
        <v>3.24</v>
      </c>
      <c r="F865">
        <v>3.24</v>
      </c>
      <c r="G865">
        <v>3.24</v>
      </c>
      <c r="H865">
        <v>3.24</v>
      </c>
      <c r="I865" s="1">
        <v>10000</v>
      </c>
      <c r="J865" s="1">
        <v>32400</v>
      </c>
      <c r="K865">
        <v>1</v>
      </c>
      <c r="L865">
        <v>3.33</v>
      </c>
      <c r="M865">
        <v>3.37</v>
      </c>
      <c r="N865" s="1">
        <v>10000000</v>
      </c>
      <c r="O865">
        <v>3.24</v>
      </c>
      <c r="P865">
        <v>5.9</v>
      </c>
      <c r="Q865">
        <v>0.55000000000000004</v>
      </c>
    </row>
    <row r="866" spans="1:17" x14ac:dyDescent="0.25">
      <c r="A866" t="s">
        <v>1863</v>
      </c>
      <c r="B866" t="s">
        <v>1864</v>
      </c>
      <c r="C866" t="s">
        <v>78</v>
      </c>
      <c r="D866" t="s">
        <v>78</v>
      </c>
      <c r="E866" t="s">
        <v>78</v>
      </c>
      <c r="F866" t="s">
        <v>78</v>
      </c>
      <c r="G866" t="s">
        <v>78</v>
      </c>
      <c r="H866">
        <v>0.56999999999999995</v>
      </c>
      <c r="I866" s="1">
        <v>0</v>
      </c>
      <c r="J866" s="1">
        <v>0</v>
      </c>
      <c r="K866">
        <v>0</v>
      </c>
      <c r="L866">
        <v>0.52</v>
      </c>
      <c r="M866">
        <v>0.53</v>
      </c>
      <c r="N866" s="1">
        <v>10000000</v>
      </c>
      <c r="O866">
        <v>0.53</v>
      </c>
      <c r="P866">
        <v>1</v>
      </c>
      <c r="Q866">
        <v>0.06</v>
      </c>
    </row>
    <row r="867" spans="1:17" x14ac:dyDescent="0.25">
      <c r="A867" t="s">
        <v>1865</v>
      </c>
      <c r="B867" t="s">
        <v>1866</v>
      </c>
      <c r="C867">
        <v>1.8</v>
      </c>
      <c r="D867">
        <v>-0.15</v>
      </c>
      <c r="E867">
        <v>1.89</v>
      </c>
      <c r="F867">
        <v>1.89</v>
      </c>
      <c r="G867">
        <v>1.8</v>
      </c>
      <c r="H867">
        <v>1.86</v>
      </c>
      <c r="I867" s="1">
        <v>155000</v>
      </c>
      <c r="J867" s="1">
        <v>288660</v>
      </c>
      <c r="K867">
        <v>4</v>
      </c>
      <c r="L867">
        <v>1.86</v>
      </c>
      <c r="M867">
        <v>1.89</v>
      </c>
      <c r="N867" s="1">
        <v>10000000</v>
      </c>
      <c r="O867">
        <v>1.8</v>
      </c>
      <c r="P867">
        <v>4.09</v>
      </c>
      <c r="Q867">
        <v>0.01</v>
      </c>
    </row>
    <row r="868" spans="1:17" x14ac:dyDescent="0.25">
      <c r="A868" t="s">
        <v>1867</v>
      </c>
      <c r="B868" t="s">
        <v>1868</v>
      </c>
      <c r="C868" t="s">
        <v>78</v>
      </c>
      <c r="D868" t="s">
        <v>78</v>
      </c>
      <c r="E868" t="s">
        <v>78</v>
      </c>
      <c r="F868" t="s">
        <v>78</v>
      </c>
      <c r="G868" t="s">
        <v>78</v>
      </c>
      <c r="H868">
        <v>0.71</v>
      </c>
      <c r="I868" s="1">
        <v>0</v>
      </c>
      <c r="J868" s="1">
        <v>0</v>
      </c>
      <c r="K868">
        <v>0</v>
      </c>
      <c r="L868">
        <v>0.7</v>
      </c>
      <c r="M868">
        <v>0.71</v>
      </c>
      <c r="N868" s="1">
        <v>10000000</v>
      </c>
      <c r="O868">
        <v>0.7</v>
      </c>
      <c r="P868">
        <v>1.2</v>
      </c>
      <c r="Q868">
        <v>0.2</v>
      </c>
    </row>
    <row r="869" spans="1:17" x14ac:dyDescent="0.25">
      <c r="A869" t="s">
        <v>1869</v>
      </c>
      <c r="B869" t="s">
        <v>1870</v>
      </c>
      <c r="C869" t="s">
        <v>78</v>
      </c>
      <c r="D869" t="s">
        <v>78</v>
      </c>
      <c r="E869" t="s">
        <v>78</v>
      </c>
      <c r="F869" t="s">
        <v>78</v>
      </c>
      <c r="G869" t="s">
        <v>78</v>
      </c>
      <c r="H869">
        <v>1.6</v>
      </c>
      <c r="I869" s="1">
        <v>0</v>
      </c>
      <c r="J869" s="1">
        <v>0</v>
      </c>
      <c r="K869">
        <v>0</v>
      </c>
      <c r="L869">
        <v>1.29</v>
      </c>
      <c r="M869">
        <v>1.33</v>
      </c>
      <c r="N869" s="1">
        <v>10000000</v>
      </c>
      <c r="O869">
        <v>1.33</v>
      </c>
      <c r="P869">
        <v>1.88</v>
      </c>
      <c r="Q869">
        <v>0.78</v>
      </c>
    </row>
    <row r="870" spans="1:17" x14ac:dyDescent="0.25">
      <c r="A870" t="s">
        <v>1871</v>
      </c>
      <c r="B870" t="s">
        <v>1872</v>
      </c>
      <c r="C870" t="s">
        <v>78</v>
      </c>
      <c r="D870" t="s">
        <v>78</v>
      </c>
      <c r="E870" t="s">
        <v>78</v>
      </c>
      <c r="F870" t="s">
        <v>78</v>
      </c>
      <c r="G870" t="s">
        <v>78</v>
      </c>
      <c r="H870">
        <v>0.16</v>
      </c>
      <c r="I870" s="1">
        <v>0</v>
      </c>
      <c r="J870" s="1">
        <v>0</v>
      </c>
      <c r="K870">
        <v>0</v>
      </c>
      <c r="L870">
        <v>0.15</v>
      </c>
      <c r="M870">
        <v>0.16</v>
      </c>
      <c r="N870" s="1">
        <v>10000000</v>
      </c>
      <c r="O870">
        <v>0.16</v>
      </c>
      <c r="P870">
        <v>1.32</v>
      </c>
      <c r="Q870">
        <v>0.01</v>
      </c>
    </row>
    <row r="871" spans="1:17" x14ac:dyDescent="0.25">
      <c r="A871" t="s">
        <v>1873</v>
      </c>
      <c r="B871" t="s">
        <v>1874</v>
      </c>
      <c r="C871">
        <v>0.27</v>
      </c>
      <c r="D871">
        <v>0</v>
      </c>
      <c r="E871">
        <v>0.27</v>
      </c>
      <c r="F871">
        <v>0.27</v>
      </c>
      <c r="G871">
        <v>0.27</v>
      </c>
      <c r="H871">
        <v>0.27</v>
      </c>
      <c r="I871" s="1">
        <v>20000</v>
      </c>
      <c r="J871" s="1">
        <v>5400</v>
      </c>
      <c r="K871">
        <v>1</v>
      </c>
      <c r="L871">
        <v>0.27</v>
      </c>
      <c r="M871">
        <v>0.28000000000000003</v>
      </c>
      <c r="N871" s="1">
        <v>5000000</v>
      </c>
      <c r="O871">
        <v>0.27</v>
      </c>
      <c r="P871">
        <v>1.76</v>
      </c>
      <c r="Q871">
        <v>0.01</v>
      </c>
    </row>
    <row r="872" spans="1:17" x14ac:dyDescent="0.25">
      <c r="A872" t="s">
        <v>1875</v>
      </c>
      <c r="B872" t="s">
        <v>1876</v>
      </c>
      <c r="C872">
        <v>0.73</v>
      </c>
      <c r="D872">
        <v>-0.12</v>
      </c>
      <c r="E872">
        <v>0.74</v>
      </c>
      <c r="F872">
        <v>0.74</v>
      </c>
      <c r="G872">
        <v>0.73</v>
      </c>
      <c r="H872">
        <v>0.73</v>
      </c>
      <c r="I872" s="1">
        <v>110000</v>
      </c>
      <c r="J872" s="1">
        <v>80400</v>
      </c>
      <c r="K872">
        <v>2</v>
      </c>
      <c r="L872">
        <v>0.8</v>
      </c>
      <c r="M872">
        <v>0.81</v>
      </c>
      <c r="N872" s="1">
        <v>5000000</v>
      </c>
      <c r="O872">
        <v>0.73</v>
      </c>
      <c r="P872">
        <v>1.49</v>
      </c>
      <c r="Q872">
        <v>0.01</v>
      </c>
    </row>
    <row r="873" spans="1:17" x14ac:dyDescent="0.25">
      <c r="A873" t="s">
        <v>1877</v>
      </c>
      <c r="B873" t="s">
        <v>1878</v>
      </c>
      <c r="C873" t="s">
        <v>78</v>
      </c>
      <c r="D873" t="s">
        <v>78</v>
      </c>
      <c r="E873" t="s">
        <v>78</v>
      </c>
      <c r="F873" t="s">
        <v>78</v>
      </c>
      <c r="G873" t="s">
        <v>78</v>
      </c>
      <c r="H873">
        <v>0.21</v>
      </c>
      <c r="I873" s="1">
        <v>0</v>
      </c>
      <c r="J873" s="1">
        <v>0</v>
      </c>
      <c r="K873">
        <v>0</v>
      </c>
      <c r="L873">
        <v>0.14000000000000001</v>
      </c>
      <c r="M873">
        <v>0.15</v>
      </c>
      <c r="N873" s="1">
        <v>10000000</v>
      </c>
      <c r="O873">
        <v>0.15</v>
      </c>
      <c r="P873">
        <v>1.74</v>
      </c>
      <c r="Q873">
        <v>0.01</v>
      </c>
    </row>
    <row r="874" spans="1:17" x14ac:dyDescent="0.25">
      <c r="A874" t="s">
        <v>1879</v>
      </c>
      <c r="B874" t="s">
        <v>1880</v>
      </c>
      <c r="C874" t="s">
        <v>78</v>
      </c>
      <c r="D874" t="s">
        <v>78</v>
      </c>
      <c r="E874" t="s">
        <v>78</v>
      </c>
      <c r="F874" t="s">
        <v>78</v>
      </c>
      <c r="G874" t="s">
        <v>78</v>
      </c>
      <c r="H874">
        <v>0.78</v>
      </c>
      <c r="I874" s="1">
        <v>0</v>
      </c>
      <c r="J874" s="1">
        <v>0</v>
      </c>
      <c r="K874">
        <v>0</v>
      </c>
      <c r="L874">
        <v>0.67</v>
      </c>
      <c r="M874">
        <v>0.68</v>
      </c>
      <c r="N874" s="1">
        <v>10000000</v>
      </c>
      <c r="O874">
        <v>0.67</v>
      </c>
      <c r="P874">
        <v>0.86</v>
      </c>
      <c r="Q874">
        <v>0.48</v>
      </c>
    </row>
    <row r="875" spans="1:17" x14ac:dyDescent="0.25">
      <c r="A875" t="s">
        <v>1881</v>
      </c>
      <c r="B875" t="s">
        <v>1882</v>
      </c>
      <c r="C875" t="s">
        <v>78</v>
      </c>
      <c r="D875" t="s">
        <v>78</v>
      </c>
      <c r="E875" t="s">
        <v>78</v>
      </c>
      <c r="F875" t="s">
        <v>78</v>
      </c>
      <c r="G875" t="s">
        <v>78</v>
      </c>
      <c r="H875">
        <v>1.63</v>
      </c>
      <c r="I875" s="1">
        <v>0</v>
      </c>
      <c r="J875" s="1">
        <v>0</v>
      </c>
      <c r="K875">
        <v>0</v>
      </c>
      <c r="L875">
        <v>2.06</v>
      </c>
      <c r="M875">
        <v>2.15</v>
      </c>
      <c r="N875" s="1">
        <v>10000000</v>
      </c>
      <c r="O875">
        <v>2.09</v>
      </c>
      <c r="P875">
        <v>2.81</v>
      </c>
      <c r="Q875">
        <v>1.37</v>
      </c>
    </row>
    <row r="876" spans="1:17" x14ac:dyDescent="0.25">
      <c r="A876" t="s">
        <v>1883</v>
      </c>
      <c r="B876" t="s">
        <v>1884</v>
      </c>
      <c r="C876" t="s">
        <v>78</v>
      </c>
      <c r="D876" t="s">
        <v>78</v>
      </c>
      <c r="E876" t="s">
        <v>78</v>
      </c>
      <c r="F876" t="s">
        <v>78</v>
      </c>
      <c r="G876" t="s">
        <v>78</v>
      </c>
      <c r="H876">
        <v>0.01</v>
      </c>
      <c r="I876" s="1">
        <v>0</v>
      </c>
      <c r="J876" s="1">
        <v>0</v>
      </c>
      <c r="K876">
        <v>0</v>
      </c>
      <c r="L876">
        <v>0</v>
      </c>
      <c r="M876">
        <v>0.01</v>
      </c>
      <c r="N876" s="1">
        <v>5000000</v>
      </c>
      <c r="O876">
        <v>0.01</v>
      </c>
      <c r="P876">
        <v>1.41</v>
      </c>
      <c r="Q876">
        <v>0.01</v>
      </c>
    </row>
    <row r="877" spans="1:17" x14ac:dyDescent="0.25">
      <c r="A877" t="s">
        <v>1885</v>
      </c>
      <c r="B877" t="s">
        <v>1886</v>
      </c>
      <c r="C877">
        <v>0.23</v>
      </c>
      <c r="D877">
        <v>0.01</v>
      </c>
      <c r="E877">
        <v>0.2</v>
      </c>
      <c r="F877">
        <v>0.23</v>
      </c>
      <c r="G877">
        <v>0.2</v>
      </c>
      <c r="H877">
        <v>0.21</v>
      </c>
      <c r="I877" s="1">
        <v>90000</v>
      </c>
      <c r="J877" s="1">
        <v>19230</v>
      </c>
      <c r="K877">
        <v>17</v>
      </c>
      <c r="L877">
        <v>0.21</v>
      </c>
      <c r="M877">
        <v>0.23</v>
      </c>
      <c r="N877" s="1">
        <v>10000000</v>
      </c>
      <c r="O877">
        <v>0.23</v>
      </c>
      <c r="P877">
        <v>0.73</v>
      </c>
      <c r="Q877">
        <v>0.01</v>
      </c>
    </row>
    <row r="878" spans="1:17" x14ac:dyDescent="0.25">
      <c r="A878" t="s">
        <v>1887</v>
      </c>
      <c r="B878" t="s">
        <v>1888</v>
      </c>
      <c r="C878">
        <v>0.42</v>
      </c>
      <c r="D878">
        <v>-0.06</v>
      </c>
      <c r="E878">
        <v>0.4</v>
      </c>
      <c r="F878">
        <v>0.44</v>
      </c>
      <c r="G878">
        <v>0.4</v>
      </c>
      <c r="H878">
        <v>0.42</v>
      </c>
      <c r="I878" s="1">
        <v>325000</v>
      </c>
      <c r="J878" s="1">
        <v>135800</v>
      </c>
      <c r="K878">
        <v>6</v>
      </c>
      <c r="L878">
        <v>0.42</v>
      </c>
      <c r="M878">
        <v>0.43</v>
      </c>
      <c r="N878" s="1">
        <v>10000000</v>
      </c>
      <c r="O878">
        <v>0.42</v>
      </c>
      <c r="P878">
        <v>1.23</v>
      </c>
      <c r="Q878">
        <v>0.01</v>
      </c>
    </row>
    <row r="879" spans="1:17" x14ac:dyDescent="0.25">
      <c r="A879" t="s">
        <v>1889</v>
      </c>
      <c r="B879" t="s">
        <v>1890</v>
      </c>
      <c r="C879">
        <v>0.18</v>
      </c>
      <c r="D879">
        <v>-0.05</v>
      </c>
      <c r="E879">
        <v>0.18</v>
      </c>
      <c r="F879">
        <v>0.18</v>
      </c>
      <c r="G879">
        <v>0.18</v>
      </c>
      <c r="H879">
        <v>0.18</v>
      </c>
      <c r="I879" s="1">
        <v>30000</v>
      </c>
      <c r="J879" s="1">
        <v>5400</v>
      </c>
      <c r="K879">
        <v>2</v>
      </c>
      <c r="L879">
        <v>0.18</v>
      </c>
      <c r="M879">
        <v>0.19</v>
      </c>
      <c r="N879" s="1">
        <v>10000000</v>
      </c>
      <c r="O879">
        <v>0.18</v>
      </c>
      <c r="P879">
        <v>0.66</v>
      </c>
      <c r="Q879">
        <v>0.01</v>
      </c>
    </row>
    <row r="880" spans="1:17" x14ac:dyDescent="0.25">
      <c r="A880" t="s">
        <v>1891</v>
      </c>
      <c r="B880" t="s">
        <v>1892</v>
      </c>
      <c r="C880" t="s">
        <v>78</v>
      </c>
      <c r="D880" t="s">
        <v>78</v>
      </c>
      <c r="E880" t="s">
        <v>78</v>
      </c>
      <c r="F880" t="s">
        <v>78</v>
      </c>
      <c r="G880" t="s">
        <v>78</v>
      </c>
      <c r="H880">
        <v>1.35</v>
      </c>
      <c r="I880" s="1">
        <v>0</v>
      </c>
      <c r="J880" s="1">
        <v>0</v>
      </c>
      <c r="K880">
        <v>0</v>
      </c>
      <c r="L880">
        <v>1.45</v>
      </c>
      <c r="M880">
        <v>1.46</v>
      </c>
      <c r="N880" s="1">
        <v>10000000</v>
      </c>
      <c r="O880">
        <v>1.45</v>
      </c>
      <c r="P880">
        <v>2.23</v>
      </c>
      <c r="Q880">
        <v>0.67</v>
      </c>
    </row>
    <row r="881" spans="1:17" x14ac:dyDescent="0.25">
      <c r="A881" t="s">
        <v>1893</v>
      </c>
      <c r="B881" t="s">
        <v>1894</v>
      </c>
      <c r="C881">
        <v>0.41</v>
      </c>
      <c r="D881">
        <v>-0.05</v>
      </c>
      <c r="E881">
        <v>0.39</v>
      </c>
      <c r="F881">
        <v>0.41</v>
      </c>
      <c r="G881">
        <v>0.39</v>
      </c>
      <c r="H881">
        <v>0.39</v>
      </c>
      <c r="I881" s="1">
        <v>209000</v>
      </c>
      <c r="J881" s="1">
        <v>81710</v>
      </c>
      <c r="K881">
        <v>2</v>
      </c>
      <c r="L881">
        <v>0.43</v>
      </c>
      <c r="M881">
        <v>0.44</v>
      </c>
      <c r="N881" s="1">
        <v>10000000</v>
      </c>
      <c r="O881">
        <v>0.41</v>
      </c>
      <c r="P881">
        <v>1.4</v>
      </c>
      <c r="Q881">
        <v>0.01</v>
      </c>
    </row>
    <row r="882" spans="1:17" x14ac:dyDescent="0.25">
      <c r="A882" t="s">
        <v>1895</v>
      </c>
      <c r="B882" t="s">
        <v>1896</v>
      </c>
      <c r="C882" t="s">
        <v>78</v>
      </c>
      <c r="D882" t="s">
        <v>78</v>
      </c>
      <c r="E882" t="s">
        <v>78</v>
      </c>
      <c r="F882" t="s">
        <v>78</v>
      </c>
      <c r="G882" t="s">
        <v>78</v>
      </c>
      <c r="H882">
        <v>0.05</v>
      </c>
      <c r="I882" s="1">
        <v>0</v>
      </c>
      <c r="J882" s="1">
        <v>0</v>
      </c>
      <c r="K882">
        <v>0</v>
      </c>
      <c r="L882">
        <v>0.01</v>
      </c>
      <c r="M882">
        <v>0.05</v>
      </c>
      <c r="N882" s="1">
        <v>5000000</v>
      </c>
      <c r="O882">
        <v>0.05</v>
      </c>
      <c r="P882">
        <v>2.85</v>
      </c>
      <c r="Q882">
        <v>0.01</v>
      </c>
    </row>
    <row r="883" spans="1:17" x14ac:dyDescent="0.25">
      <c r="A883" t="s">
        <v>1897</v>
      </c>
      <c r="B883" t="s">
        <v>1898</v>
      </c>
      <c r="C883" t="s">
        <v>78</v>
      </c>
      <c r="D883" t="s">
        <v>78</v>
      </c>
      <c r="E883" t="s">
        <v>78</v>
      </c>
      <c r="F883" t="s">
        <v>78</v>
      </c>
      <c r="G883" t="s">
        <v>78</v>
      </c>
      <c r="H883">
        <v>0.04</v>
      </c>
      <c r="I883" s="1">
        <v>0</v>
      </c>
      <c r="J883" s="1">
        <v>0</v>
      </c>
      <c r="K883">
        <v>0</v>
      </c>
      <c r="L883">
        <v>0.03</v>
      </c>
      <c r="M883">
        <v>0.1</v>
      </c>
      <c r="N883" s="1">
        <v>10000000</v>
      </c>
      <c r="O883">
        <v>0.04</v>
      </c>
      <c r="P883">
        <v>1.18</v>
      </c>
      <c r="Q883">
        <v>0.01</v>
      </c>
    </row>
    <row r="884" spans="1:17" x14ac:dyDescent="0.25">
      <c r="A884" t="s">
        <v>1899</v>
      </c>
      <c r="B884" t="s">
        <v>1900</v>
      </c>
      <c r="C884">
        <v>0.3</v>
      </c>
      <c r="D884">
        <v>-0.04</v>
      </c>
      <c r="E884">
        <v>0.3</v>
      </c>
      <c r="F884">
        <v>0.31</v>
      </c>
      <c r="G884">
        <v>0.28000000000000003</v>
      </c>
      <c r="H884">
        <v>0.3</v>
      </c>
      <c r="I884" s="1">
        <v>229000</v>
      </c>
      <c r="J884" s="1">
        <v>68860</v>
      </c>
      <c r="K884">
        <v>9</v>
      </c>
      <c r="L884">
        <v>0.31</v>
      </c>
      <c r="M884">
        <v>0.32</v>
      </c>
      <c r="N884" s="1">
        <v>10000000</v>
      </c>
      <c r="O884">
        <v>0.3</v>
      </c>
      <c r="P884">
        <v>0.85</v>
      </c>
      <c r="Q884">
        <v>0.01</v>
      </c>
    </row>
    <row r="885" spans="1:17" x14ac:dyDescent="0.25">
      <c r="A885" t="s">
        <v>1901</v>
      </c>
      <c r="B885" t="s">
        <v>1902</v>
      </c>
      <c r="C885">
        <v>0.62</v>
      </c>
      <c r="D885">
        <v>-0.04</v>
      </c>
      <c r="E885">
        <v>0.62</v>
      </c>
      <c r="F885">
        <v>0.62</v>
      </c>
      <c r="G885">
        <v>0.62</v>
      </c>
      <c r="H885">
        <v>0.62</v>
      </c>
      <c r="I885" s="1">
        <v>278000</v>
      </c>
      <c r="J885" s="1">
        <v>172360</v>
      </c>
      <c r="K885">
        <v>3</v>
      </c>
      <c r="L885">
        <v>0.62</v>
      </c>
      <c r="M885">
        <v>0.63</v>
      </c>
      <c r="N885" s="1">
        <v>10000000</v>
      </c>
      <c r="O885">
        <v>0.62</v>
      </c>
      <c r="P885">
        <v>1.31</v>
      </c>
      <c r="Q885">
        <v>0.01</v>
      </c>
    </row>
    <row r="886" spans="1:17" x14ac:dyDescent="0.25">
      <c r="A886" t="s">
        <v>1903</v>
      </c>
      <c r="B886" t="s">
        <v>1904</v>
      </c>
      <c r="C886">
        <v>0.09</v>
      </c>
      <c r="D886">
        <v>0</v>
      </c>
      <c r="E886">
        <v>0.09</v>
      </c>
      <c r="F886">
        <v>0.09</v>
      </c>
      <c r="G886">
        <v>0.09</v>
      </c>
      <c r="H886">
        <v>0.09</v>
      </c>
      <c r="I886" s="1">
        <v>50000</v>
      </c>
      <c r="J886" s="1">
        <v>4500</v>
      </c>
      <c r="K886">
        <v>1</v>
      </c>
      <c r="L886">
        <v>0.09</v>
      </c>
      <c r="M886">
        <v>0.13</v>
      </c>
      <c r="N886" s="1">
        <v>10000000</v>
      </c>
      <c r="O886">
        <v>0.09</v>
      </c>
      <c r="P886">
        <v>0.84</v>
      </c>
      <c r="Q886">
        <v>0.01</v>
      </c>
    </row>
    <row r="887" spans="1:17" x14ac:dyDescent="0.25">
      <c r="A887" t="s">
        <v>1905</v>
      </c>
      <c r="B887" t="s">
        <v>1906</v>
      </c>
      <c r="C887" t="s">
        <v>78</v>
      </c>
      <c r="D887" t="s">
        <v>78</v>
      </c>
      <c r="E887" t="s">
        <v>78</v>
      </c>
      <c r="F887" t="s">
        <v>78</v>
      </c>
      <c r="G887" t="s">
        <v>78</v>
      </c>
      <c r="H887">
        <v>0.09</v>
      </c>
      <c r="I887" s="1">
        <v>0</v>
      </c>
      <c r="J887" s="1">
        <v>0</v>
      </c>
      <c r="K887">
        <v>0</v>
      </c>
      <c r="L887">
        <v>0.05</v>
      </c>
      <c r="M887">
        <v>0.06</v>
      </c>
      <c r="N887" s="1">
        <v>5000000</v>
      </c>
      <c r="O887">
        <v>0.06</v>
      </c>
      <c r="P887">
        <v>1.24</v>
      </c>
      <c r="Q887">
        <v>0.01</v>
      </c>
    </row>
    <row r="888" spans="1:17" x14ac:dyDescent="0.25">
      <c r="A888" t="s">
        <v>1907</v>
      </c>
      <c r="B888" t="s">
        <v>1908</v>
      </c>
      <c r="C888">
        <v>0.45</v>
      </c>
      <c r="D888">
        <v>0</v>
      </c>
      <c r="E888">
        <v>0.48</v>
      </c>
      <c r="F888">
        <v>0.48</v>
      </c>
      <c r="G888">
        <v>0.45</v>
      </c>
      <c r="H888">
        <v>0.47</v>
      </c>
      <c r="I888" s="1">
        <v>13000</v>
      </c>
      <c r="J888" s="1">
        <v>6150</v>
      </c>
      <c r="K888">
        <v>2</v>
      </c>
      <c r="L888">
        <v>0.46</v>
      </c>
      <c r="M888">
        <v>0.47</v>
      </c>
      <c r="N888" s="1">
        <v>5000000</v>
      </c>
      <c r="O888">
        <v>0.45</v>
      </c>
      <c r="P888">
        <v>1.89</v>
      </c>
      <c r="Q888">
        <v>0.01</v>
      </c>
    </row>
    <row r="889" spans="1:17" x14ac:dyDescent="0.25">
      <c r="A889" t="s">
        <v>1909</v>
      </c>
      <c r="B889" t="s">
        <v>1910</v>
      </c>
      <c r="C889" t="s">
        <v>78</v>
      </c>
      <c r="D889" t="s">
        <v>78</v>
      </c>
      <c r="E889" t="s">
        <v>78</v>
      </c>
      <c r="F889" t="s">
        <v>78</v>
      </c>
      <c r="G889" t="s">
        <v>78</v>
      </c>
      <c r="H889">
        <v>0.9</v>
      </c>
      <c r="I889" s="1">
        <v>0</v>
      </c>
      <c r="J889" s="1">
        <v>0</v>
      </c>
      <c r="K889">
        <v>0</v>
      </c>
      <c r="L889">
        <v>0.78</v>
      </c>
      <c r="M889">
        <v>0.79</v>
      </c>
      <c r="N889" s="1">
        <v>10000000</v>
      </c>
      <c r="O889">
        <v>0.78</v>
      </c>
      <c r="P889">
        <v>0.96</v>
      </c>
      <c r="Q889">
        <v>0.6</v>
      </c>
    </row>
    <row r="890" spans="1:17" x14ac:dyDescent="0.25">
      <c r="A890" t="s">
        <v>1911</v>
      </c>
      <c r="B890" t="s">
        <v>1912</v>
      </c>
      <c r="C890" t="s">
        <v>78</v>
      </c>
      <c r="D890" t="s">
        <v>78</v>
      </c>
      <c r="E890" t="s">
        <v>78</v>
      </c>
      <c r="F890" t="s">
        <v>78</v>
      </c>
      <c r="G890" t="s">
        <v>78</v>
      </c>
      <c r="H890">
        <v>1.32</v>
      </c>
      <c r="I890" s="1">
        <v>0</v>
      </c>
      <c r="J890" s="1">
        <v>0</v>
      </c>
      <c r="K890">
        <v>0</v>
      </c>
      <c r="L890">
        <v>1.44</v>
      </c>
      <c r="M890">
        <v>1.53</v>
      </c>
      <c r="N890" s="1">
        <v>10000000</v>
      </c>
      <c r="O890">
        <v>1.5</v>
      </c>
      <c r="P890">
        <v>1.92</v>
      </c>
      <c r="Q890">
        <v>1.08</v>
      </c>
    </row>
    <row r="891" spans="1:17" x14ac:dyDescent="0.25">
      <c r="A891" t="s">
        <v>1913</v>
      </c>
      <c r="B891" t="s">
        <v>1914</v>
      </c>
      <c r="C891">
        <v>0.12</v>
      </c>
      <c r="D891">
        <v>0</v>
      </c>
      <c r="E891">
        <v>0.12</v>
      </c>
      <c r="F891">
        <v>0.12</v>
      </c>
      <c r="G891">
        <v>0.12</v>
      </c>
      <c r="H891">
        <v>0.12</v>
      </c>
      <c r="I891" s="1">
        <v>11000</v>
      </c>
      <c r="J891" s="1">
        <v>1320</v>
      </c>
      <c r="K891">
        <v>2</v>
      </c>
      <c r="L891">
        <v>0.11</v>
      </c>
      <c r="M891">
        <v>0.12</v>
      </c>
      <c r="N891" s="1">
        <v>10000000</v>
      </c>
      <c r="O891">
        <v>0.12</v>
      </c>
      <c r="P891">
        <v>0.99</v>
      </c>
      <c r="Q891">
        <v>0.01</v>
      </c>
    </row>
    <row r="892" spans="1:17" x14ac:dyDescent="0.25">
      <c r="A892" t="s">
        <v>1915</v>
      </c>
      <c r="B892" t="s">
        <v>1916</v>
      </c>
      <c r="C892">
        <v>0.4</v>
      </c>
      <c r="D892">
        <v>0.02</v>
      </c>
      <c r="E892">
        <v>0.38</v>
      </c>
      <c r="F892">
        <v>0.42</v>
      </c>
      <c r="G892">
        <v>0.38</v>
      </c>
      <c r="H892">
        <v>0.41</v>
      </c>
      <c r="I892" s="1">
        <v>162000</v>
      </c>
      <c r="J892" s="1">
        <v>66660</v>
      </c>
      <c r="K892">
        <v>5</v>
      </c>
      <c r="L892">
        <v>0.4</v>
      </c>
      <c r="M892">
        <v>0.41</v>
      </c>
      <c r="N892" s="1">
        <v>5000000</v>
      </c>
      <c r="O892">
        <v>0.4</v>
      </c>
      <c r="P892">
        <v>1.36</v>
      </c>
      <c r="Q892">
        <v>0.01</v>
      </c>
    </row>
    <row r="893" spans="1:17" x14ac:dyDescent="0.25">
      <c r="A893" t="s">
        <v>1917</v>
      </c>
      <c r="B893" t="s">
        <v>1918</v>
      </c>
      <c r="C893">
        <v>7.0000000000000007E-2</v>
      </c>
      <c r="D893">
        <v>-0.02</v>
      </c>
      <c r="E893">
        <v>7.0000000000000007E-2</v>
      </c>
      <c r="F893">
        <v>0.08</v>
      </c>
      <c r="G893">
        <v>7.0000000000000007E-2</v>
      </c>
      <c r="H893">
        <v>7.0000000000000007E-2</v>
      </c>
      <c r="I893" s="1">
        <v>123000</v>
      </c>
      <c r="J893" s="1">
        <v>9030</v>
      </c>
      <c r="K893">
        <v>6</v>
      </c>
      <c r="L893">
        <v>0.06</v>
      </c>
      <c r="M893">
        <v>0.08</v>
      </c>
      <c r="N893" s="1">
        <v>5000000</v>
      </c>
      <c r="O893">
        <v>7.0000000000000007E-2</v>
      </c>
      <c r="P893">
        <v>0.99</v>
      </c>
      <c r="Q893">
        <v>0.01</v>
      </c>
    </row>
    <row r="894" spans="1:17" x14ac:dyDescent="0.25">
      <c r="A894" t="s">
        <v>1919</v>
      </c>
      <c r="B894" t="s">
        <v>1920</v>
      </c>
      <c r="C894">
        <v>0.31</v>
      </c>
      <c r="D894">
        <v>-0.01</v>
      </c>
      <c r="E894">
        <v>0.31</v>
      </c>
      <c r="F894">
        <v>0.31</v>
      </c>
      <c r="G894">
        <v>0.31</v>
      </c>
      <c r="H894">
        <v>0.31</v>
      </c>
      <c r="I894" s="1">
        <v>50000</v>
      </c>
      <c r="J894" s="1">
        <v>15500</v>
      </c>
      <c r="K894">
        <v>1</v>
      </c>
      <c r="L894">
        <v>0.31</v>
      </c>
      <c r="M894">
        <v>0.32</v>
      </c>
      <c r="N894" s="1">
        <v>10000000</v>
      </c>
      <c r="O894">
        <v>0.31</v>
      </c>
      <c r="P894">
        <v>1.25</v>
      </c>
      <c r="Q894">
        <v>0.01</v>
      </c>
    </row>
    <row r="895" spans="1:17" x14ac:dyDescent="0.25">
      <c r="A895" t="s">
        <v>1921</v>
      </c>
      <c r="B895" t="s">
        <v>1922</v>
      </c>
      <c r="C895">
        <v>0.82</v>
      </c>
      <c r="D895">
        <v>0.08</v>
      </c>
      <c r="E895">
        <v>0.75</v>
      </c>
      <c r="F895">
        <v>0.82</v>
      </c>
      <c r="G895">
        <v>0.75</v>
      </c>
      <c r="H895">
        <v>0.78</v>
      </c>
      <c r="I895" s="1">
        <v>566000</v>
      </c>
      <c r="J895" s="1">
        <v>442920</v>
      </c>
      <c r="K895">
        <v>9</v>
      </c>
      <c r="L895">
        <v>0.81</v>
      </c>
      <c r="M895">
        <v>0.82</v>
      </c>
      <c r="N895" s="1">
        <v>10000000</v>
      </c>
      <c r="O895">
        <v>0.82</v>
      </c>
      <c r="P895">
        <v>1.5</v>
      </c>
      <c r="Q895">
        <v>0.14000000000000001</v>
      </c>
    </row>
    <row r="896" spans="1:17" x14ac:dyDescent="0.25">
      <c r="A896" t="s">
        <v>1923</v>
      </c>
      <c r="B896" t="s">
        <v>1924</v>
      </c>
      <c r="C896">
        <v>0.2</v>
      </c>
      <c r="D896">
        <v>0</v>
      </c>
      <c r="E896">
        <v>0.2</v>
      </c>
      <c r="F896">
        <v>0.2</v>
      </c>
      <c r="G896">
        <v>0.2</v>
      </c>
      <c r="H896">
        <v>0.2</v>
      </c>
      <c r="I896" s="1">
        <v>80000</v>
      </c>
      <c r="J896" s="1">
        <v>16000</v>
      </c>
      <c r="K896">
        <v>1</v>
      </c>
      <c r="L896">
        <v>0.2</v>
      </c>
      <c r="M896">
        <v>0.21</v>
      </c>
      <c r="N896" s="1">
        <v>15000000</v>
      </c>
      <c r="O896">
        <v>0.2</v>
      </c>
      <c r="P896">
        <v>0.91</v>
      </c>
      <c r="Q896">
        <v>0.01</v>
      </c>
    </row>
    <row r="897" spans="1:17" x14ac:dyDescent="0.25">
      <c r="A897" t="s">
        <v>1925</v>
      </c>
      <c r="B897" t="s">
        <v>1926</v>
      </c>
      <c r="C897">
        <v>1.1599999999999999</v>
      </c>
      <c r="D897">
        <v>-0.02</v>
      </c>
      <c r="E897">
        <v>1.1599999999999999</v>
      </c>
      <c r="F897">
        <v>1.1599999999999999</v>
      </c>
      <c r="G897">
        <v>1.1599999999999999</v>
      </c>
      <c r="H897">
        <v>1.1599999999999999</v>
      </c>
      <c r="I897" s="1">
        <v>15000</v>
      </c>
      <c r="J897" s="1">
        <v>17400</v>
      </c>
      <c r="K897">
        <v>1</v>
      </c>
      <c r="L897">
        <v>1.17</v>
      </c>
      <c r="M897">
        <v>1.19</v>
      </c>
      <c r="N897" s="1">
        <v>10000000</v>
      </c>
      <c r="O897">
        <v>1.1599999999999999</v>
      </c>
      <c r="P897">
        <v>1.49</v>
      </c>
      <c r="Q897">
        <v>0.83</v>
      </c>
    </row>
    <row r="898" spans="1:17" x14ac:dyDescent="0.25">
      <c r="A898" t="s">
        <v>1927</v>
      </c>
      <c r="B898" t="s">
        <v>1928</v>
      </c>
      <c r="C898">
        <v>0.25</v>
      </c>
      <c r="D898">
        <v>0</v>
      </c>
      <c r="E898">
        <v>0.23</v>
      </c>
      <c r="F898">
        <v>0.26</v>
      </c>
      <c r="G898">
        <v>0.22</v>
      </c>
      <c r="H898">
        <v>0.24</v>
      </c>
      <c r="I898" s="1">
        <v>674000</v>
      </c>
      <c r="J898" s="1">
        <v>164790</v>
      </c>
      <c r="K898">
        <v>25</v>
      </c>
      <c r="L898">
        <v>0.25</v>
      </c>
      <c r="M898">
        <v>0.27</v>
      </c>
      <c r="N898" s="1">
        <v>5000000</v>
      </c>
      <c r="O898">
        <v>0.25</v>
      </c>
      <c r="P898">
        <v>2.62</v>
      </c>
      <c r="Q898">
        <v>0.01</v>
      </c>
    </row>
    <row r="899" spans="1:17" x14ac:dyDescent="0.25">
      <c r="A899" t="s">
        <v>1929</v>
      </c>
      <c r="B899" t="s">
        <v>1930</v>
      </c>
      <c r="C899" t="s">
        <v>78</v>
      </c>
      <c r="D899" t="s">
        <v>78</v>
      </c>
      <c r="E899" t="s">
        <v>78</v>
      </c>
      <c r="F899" t="s">
        <v>78</v>
      </c>
      <c r="G899" t="s">
        <v>78</v>
      </c>
      <c r="H899">
        <v>0.14000000000000001</v>
      </c>
      <c r="I899" s="1">
        <v>0</v>
      </c>
      <c r="J899" s="1">
        <v>0</v>
      </c>
      <c r="K899">
        <v>0</v>
      </c>
      <c r="L899">
        <v>0.11</v>
      </c>
      <c r="M899">
        <v>0.13</v>
      </c>
      <c r="N899" s="1">
        <v>5000000</v>
      </c>
      <c r="O899">
        <v>0.13</v>
      </c>
      <c r="P899">
        <v>3.29</v>
      </c>
      <c r="Q899">
        <v>0.01</v>
      </c>
    </row>
    <row r="900" spans="1:17" x14ac:dyDescent="0.25">
      <c r="A900" t="s">
        <v>1931</v>
      </c>
      <c r="B900" t="s">
        <v>1932</v>
      </c>
      <c r="C900" t="s">
        <v>78</v>
      </c>
      <c r="D900" t="s">
        <v>78</v>
      </c>
      <c r="E900" t="s">
        <v>78</v>
      </c>
      <c r="F900" t="s">
        <v>78</v>
      </c>
      <c r="G900" t="s">
        <v>78</v>
      </c>
      <c r="H900">
        <v>0.76</v>
      </c>
      <c r="I900" s="1">
        <v>0</v>
      </c>
      <c r="J900" s="1">
        <v>0</v>
      </c>
      <c r="K900">
        <v>0</v>
      </c>
      <c r="L900">
        <v>0.79</v>
      </c>
      <c r="M900">
        <v>0.8</v>
      </c>
      <c r="N900" s="1">
        <v>10000000</v>
      </c>
      <c r="O900">
        <v>0.8</v>
      </c>
      <c r="P900">
        <v>1</v>
      </c>
      <c r="Q900">
        <v>0.6</v>
      </c>
    </row>
    <row r="901" spans="1:17" x14ac:dyDescent="0.25">
      <c r="A901" t="s">
        <v>1933</v>
      </c>
      <c r="B901" t="s">
        <v>1934</v>
      </c>
      <c r="C901">
        <v>0.59</v>
      </c>
      <c r="D901">
        <v>0.02</v>
      </c>
      <c r="E901">
        <v>0.59</v>
      </c>
      <c r="F901">
        <v>0.59</v>
      </c>
      <c r="G901">
        <v>0.59</v>
      </c>
      <c r="H901">
        <v>0.59</v>
      </c>
      <c r="I901" s="1">
        <v>100000</v>
      </c>
      <c r="J901" s="1">
        <v>59000</v>
      </c>
      <c r="K901">
        <v>1</v>
      </c>
      <c r="L901">
        <v>0.59</v>
      </c>
      <c r="M901">
        <v>0.6</v>
      </c>
      <c r="N901" s="1">
        <v>10000000</v>
      </c>
      <c r="O901">
        <v>0.59</v>
      </c>
      <c r="P901">
        <v>0.96</v>
      </c>
      <c r="Q901">
        <v>0.22</v>
      </c>
    </row>
    <row r="902" spans="1:17" x14ac:dyDescent="0.25">
      <c r="A902" t="s">
        <v>1935</v>
      </c>
      <c r="B902" t="s">
        <v>1936</v>
      </c>
      <c r="C902" t="s">
        <v>78</v>
      </c>
      <c r="D902" t="s">
        <v>78</v>
      </c>
      <c r="E902" t="s">
        <v>78</v>
      </c>
      <c r="F902" t="s">
        <v>78</v>
      </c>
      <c r="G902" t="s">
        <v>78</v>
      </c>
      <c r="H902">
        <v>0.8</v>
      </c>
      <c r="I902" s="1">
        <v>0</v>
      </c>
      <c r="J902" s="1">
        <v>0</v>
      </c>
      <c r="K902">
        <v>0</v>
      </c>
      <c r="L902">
        <v>0.78</v>
      </c>
      <c r="M902">
        <v>0.8</v>
      </c>
      <c r="N902" s="1">
        <v>10000000</v>
      </c>
      <c r="O902">
        <v>0.79</v>
      </c>
      <c r="P902">
        <v>1.08</v>
      </c>
      <c r="Q902">
        <v>0.5</v>
      </c>
    </row>
    <row r="903" spans="1:17" x14ac:dyDescent="0.25">
      <c r="A903" t="s">
        <v>1937</v>
      </c>
      <c r="B903" t="s">
        <v>1938</v>
      </c>
      <c r="C903">
        <v>0.33</v>
      </c>
      <c r="D903">
        <v>-0.01</v>
      </c>
      <c r="E903">
        <v>0.33</v>
      </c>
      <c r="F903">
        <v>0.33</v>
      </c>
      <c r="G903">
        <v>0.33</v>
      </c>
      <c r="H903">
        <v>0.33</v>
      </c>
      <c r="I903" s="1">
        <v>25000</v>
      </c>
      <c r="J903" s="1">
        <v>8250</v>
      </c>
      <c r="K903">
        <v>1</v>
      </c>
      <c r="L903">
        <v>0.32</v>
      </c>
      <c r="M903">
        <v>0.33</v>
      </c>
      <c r="N903" s="1">
        <v>6000000</v>
      </c>
      <c r="O903">
        <v>0.33</v>
      </c>
      <c r="P903">
        <v>6.25</v>
      </c>
      <c r="Q903">
        <v>0.01</v>
      </c>
    </row>
    <row r="904" spans="1:17" x14ac:dyDescent="0.25">
      <c r="A904" t="s">
        <v>1939</v>
      </c>
      <c r="B904" t="s">
        <v>1940</v>
      </c>
      <c r="C904">
        <v>0.53</v>
      </c>
      <c r="D904">
        <v>0.01</v>
      </c>
      <c r="E904">
        <v>0.48</v>
      </c>
      <c r="F904">
        <v>0.53</v>
      </c>
      <c r="G904">
        <v>0.48</v>
      </c>
      <c r="H904">
        <v>0.51</v>
      </c>
      <c r="I904" s="1">
        <v>346000</v>
      </c>
      <c r="J904" s="1">
        <v>176430</v>
      </c>
      <c r="K904">
        <v>10</v>
      </c>
      <c r="L904">
        <v>0.54</v>
      </c>
      <c r="M904">
        <v>0.55000000000000004</v>
      </c>
      <c r="N904" s="1">
        <v>8000000</v>
      </c>
      <c r="O904">
        <v>0.53</v>
      </c>
      <c r="P904">
        <v>2.5</v>
      </c>
      <c r="Q904">
        <v>0.01</v>
      </c>
    </row>
    <row r="905" spans="1:17" x14ac:dyDescent="0.25">
      <c r="A905" t="s">
        <v>1941</v>
      </c>
      <c r="B905" t="s">
        <v>1942</v>
      </c>
      <c r="C905">
        <v>0.55000000000000004</v>
      </c>
      <c r="D905">
        <v>0</v>
      </c>
      <c r="E905">
        <v>0.51</v>
      </c>
      <c r="F905">
        <v>0.55000000000000004</v>
      </c>
      <c r="G905">
        <v>0.51</v>
      </c>
      <c r="H905">
        <v>0.55000000000000004</v>
      </c>
      <c r="I905" s="1">
        <v>210000</v>
      </c>
      <c r="J905" s="1">
        <v>115100</v>
      </c>
      <c r="K905">
        <v>3</v>
      </c>
      <c r="L905">
        <v>0.56000000000000005</v>
      </c>
      <c r="M905">
        <v>0.56999999999999995</v>
      </c>
      <c r="N905" s="1">
        <v>8000000</v>
      </c>
      <c r="O905">
        <v>0.55000000000000004</v>
      </c>
      <c r="P905">
        <v>2.52</v>
      </c>
      <c r="Q905">
        <v>0.01</v>
      </c>
    </row>
    <row r="906" spans="1:17" x14ac:dyDescent="0.25">
      <c r="A906" t="s">
        <v>1943</v>
      </c>
      <c r="B906" t="s">
        <v>1944</v>
      </c>
      <c r="C906" t="s">
        <v>78</v>
      </c>
      <c r="D906" t="s">
        <v>78</v>
      </c>
      <c r="E906" t="s">
        <v>78</v>
      </c>
      <c r="F906" t="s">
        <v>78</v>
      </c>
      <c r="G906" t="s">
        <v>78</v>
      </c>
      <c r="H906">
        <v>0.38</v>
      </c>
      <c r="I906" s="1">
        <v>0</v>
      </c>
      <c r="J906" s="1">
        <v>0</v>
      </c>
      <c r="K906">
        <v>0</v>
      </c>
      <c r="L906">
        <v>0.36</v>
      </c>
      <c r="M906">
        <v>0.37</v>
      </c>
      <c r="N906" s="1">
        <v>10000000</v>
      </c>
      <c r="O906">
        <v>0.37</v>
      </c>
      <c r="P906">
        <v>0.87</v>
      </c>
      <c r="Q906">
        <v>0.01</v>
      </c>
    </row>
    <row r="907" spans="1:17" x14ac:dyDescent="0.25">
      <c r="A907" t="s">
        <v>1945</v>
      </c>
      <c r="B907" t="s">
        <v>1946</v>
      </c>
      <c r="C907" t="s">
        <v>78</v>
      </c>
      <c r="D907" t="s">
        <v>78</v>
      </c>
      <c r="E907" t="s">
        <v>78</v>
      </c>
      <c r="F907" t="s">
        <v>78</v>
      </c>
      <c r="G907" t="s">
        <v>78</v>
      </c>
      <c r="H907">
        <v>0.44</v>
      </c>
      <c r="I907" s="1">
        <v>0</v>
      </c>
      <c r="J907" s="1">
        <v>0</v>
      </c>
      <c r="K907">
        <v>0</v>
      </c>
      <c r="L907">
        <v>0.42</v>
      </c>
      <c r="M907">
        <v>0.45</v>
      </c>
      <c r="N907" s="1">
        <v>10000000</v>
      </c>
      <c r="O907">
        <v>0.45</v>
      </c>
      <c r="P907">
        <v>1.61</v>
      </c>
      <c r="Q907">
        <v>0.01</v>
      </c>
    </row>
    <row r="908" spans="1:17" x14ac:dyDescent="0.25">
      <c r="A908" t="s">
        <v>1947</v>
      </c>
      <c r="B908" t="s">
        <v>1948</v>
      </c>
      <c r="C908" t="s">
        <v>78</v>
      </c>
      <c r="D908" t="s">
        <v>78</v>
      </c>
      <c r="E908" t="s">
        <v>78</v>
      </c>
      <c r="F908" t="s">
        <v>78</v>
      </c>
      <c r="G908" t="s">
        <v>78</v>
      </c>
      <c r="H908">
        <v>0.33</v>
      </c>
      <c r="I908" s="1">
        <v>0</v>
      </c>
      <c r="J908" s="1">
        <v>0</v>
      </c>
      <c r="K908">
        <v>0</v>
      </c>
      <c r="L908">
        <v>0.33</v>
      </c>
      <c r="M908">
        <v>0.34</v>
      </c>
      <c r="N908" s="1">
        <v>5000000</v>
      </c>
      <c r="O908">
        <v>0.33</v>
      </c>
      <c r="P908">
        <v>1.35</v>
      </c>
      <c r="Q908">
        <v>0.01</v>
      </c>
    </row>
    <row r="909" spans="1:17" x14ac:dyDescent="0.25">
      <c r="A909" t="s">
        <v>1949</v>
      </c>
      <c r="B909" t="s">
        <v>1950</v>
      </c>
      <c r="C909">
        <v>0.21</v>
      </c>
      <c r="D909">
        <v>-0.01</v>
      </c>
      <c r="E909">
        <v>0.21</v>
      </c>
      <c r="F909">
        <v>0.21</v>
      </c>
      <c r="G909">
        <v>0.21</v>
      </c>
      <c r="H909">
        <v>0.21</v>
      </c>
      <c r="I909" s="1">
        <v>55000</v>
      </c>
      <c r="J909" s="1">
        <v>11550</v>
      </c>
      <c r="K909">
        <v>2</v>
      </c>
      <c r="L909">
        <v>0.22</v>
      </c>
      <c r="M909">
        <v>0.23</v>
      </c>
      <c r="N909" s="1">
        <v>10000000</v>
      </c>
      <c r="O909">
        <v>0.21</v>
      </c>
      <c r="P909">
        <v>0.89</v>
      </c>
      <c r="Q909">
        <v>0.01</v>
      </c>
    </row>
    <row r="910" spans="1:17" x14ac:dyDescent="0.25">
      <c r="A910" t="s">
        <v>1951</v>
      </c>
      <c r="B910" t="s">
        <v>1952</v>
      </c>
      <c r="C910" t="s">
        <v>78</v>
      </c>
      <c r="D910" t="s">
        <v>78</v>
      </c>
      <c r="E910" t="s">
        <v>78</v>
      </c>
      <c r="F910" t="s">
        <v>78</v>
      </c>
      <c r="G910" t="s">
        <v>78</v>
      </c>
      <c r="H910">
        <v>0.24</v>
      </c>
      <c r="I910" s="1">
        <v>0</v>
      </c>
      <c r="J910" s="1">
        <v>0</v>
      </c>
      <c r="K910">
        <v>0</v>
      </c>
      <c r="L910">
        <v>0.23</v>
      </c>
      <c r="M910">
        <v>0.24</v>
      </c>
      <c r="N910" s="1">
        <v>15000000</v>
      </c>
      <c r="O910">
        <v>0.24</v>
      </c>
      <c r="P910">
        <v>1.03</v>
      </c>
      <c r="Q910">
        <v>0.01</v>
      </c>
    </row>
    <row r="911" spans="1:17" x14ac:dyDescent="0.25">
      <c r="A911" t="s">
        <v>1953</v>
      </c>
      <c r="B911" t="s">
        <v>1954</v>
      </c>
      <c r="C911">
        <v>0.53</v>
      </c>
      <c r="D911">
        <v>0.01</v>
      </c>
      <c r="E911">
        <v>0.53</v>
      </c>
      <c r="F911">
        <v>0.53</v>
      </c>
      <c r="G911">
        <v>0.53</v>
      </c>
      <c r="H911">
        <v>0.53</v>
      </c>
      <c r="I911" s="1">
        <v>10000</v>
      </c>
      <c r="J911" s="1">
        <v>5300</v>
      </c>
      <c r="K911">
        <v>1</v>
      </c>
      <c r="L911">
        <v>0.52</v>
      </c>
      <c r="M911">
        <v>0.53</v>
      </c>
      <c r="N911" s="1">
        <v>10000000</v>
      </c>
      <c r="O911">
        <v>0.53</v>
      </c>
      <c r="P911">
        <v>0.75</v>
      </c>
      <c r="Q911">
        <v>0.31</v>
      </c>
    </row>
    <row r="912" spans="1:17" x14ac:dyDescent="0.25">
      <c r="A912" t="s">
        <v>1955</v>
      </c>
      <c r="B912" t="s">
        <v>1956</v>
      </c>
      <c r="C912" t="s">
        <v>78</v>
      </c>
      <c r="D912" t="s">
        <v>78</v>
      </c>
      <c r="E912" t="s">
        <v>78</v>
      </c>
      <c r="F912" t="s">
        <v>78</v>
      </c>
      <c r="G912" t="s">
        <v>78</v>
      </c>
      <c r="H912">
        <v>0.38</v>
      </c>
      <c r="I912" s="1">
        <v>0</v>
      </c>
      <c r="J912" s="1">
        <v>0</v>
      </c>
      <c r="K912">
        <v>0</v>
      </c>
      <c r="L912">
        <v>0.38</v>
      </c>
      <c r="M912">
        <v>0.39</v>
      </c>
      <c r="N912" s="1">
        <v>5000000</v>
      </c>
      <c r="O912">
        <v>0.38</v>
      </c>
      <c r="P912">
        <v>1.36</v>
      </c>
      <c r="Q912">
        <v>0.01</v>
      </c>
    </row>
    <row r="913" spans="1:17" x14ac:dyDescent="0.25">
      <c r="A913" t="s">
        <v>1957</v>
      </c>
      <c r="B913" t="s">
        <v>1958</v>
      </c>
      <c r="C913" t="s">
        <v>78</v>
      </c>
      <c r="D913" t="s">
        <v>78</v>
      </c>
      <c r="E913" t="s">
        <v>78</v>
      </c>
      <c r="F913" t="s">
        <v>78</v>
      </c>
      <c r="G913" t="s">
        <v>78</v>
      </c>
      <c r="H913">
        <v>0.02</v>
      </c>
      <c r="I913" s="1">
        <v>0</v>
      </c>
      <c r="J913" s="1">
        <v>0</v>
      </c>
      <c r="K913">
        <v>0</v>
      </c>
      <c r="L913">
        <v>0.04</v>
      </c>
      <c r="M913">
        <v>7.0000000000000007E-2</v>
      </c>
      <c r="N913" s="1">
        <v>5000000</v>
      </c>
      <c r="O913">
        <v>0.05</v>
      </c>
      <c r="P913">
        <v>1.45</v>
      </c>
      <c r="Q913">
        <v>0.01</v>
      </c>
    </row>
    <row r="914" spans="1:17" x14ac:dyDescent="0.25">
      <c r="A914" t="s">
        <v>1959</v>
      </c>
      <c r="B914" t="s">
        <v>1960</v>
      </c>
      <c r="C914" t="s">
        <v>78</v>
      </c>
      <c r="D914" t="s">
        <v>78</v>
      </c>
      <c r="E914" t="s">
        <v>78</v>
      </c>
      <c r="F914" t="s">
        <v>78</v>
      </c>
      <c r="G914" t="s">
        <v>78</v>
      </c>
      <c r="H914">
        <v>1.28</v>
      </c>
      <c r="I914" s="1">
        <v>0</v>
      </c>
      <c r="J914" s="1">
        <v>0</v>
      </c>
      <c r="K914">
        <v>0</v>
      </c>
      <c r="L914">
        <v>0.9</v>
      </c>
      <c r="M914">
        <v>0.92</v>
      </c>
      <c r="N914" s="1">
        <v>10000000</v>
      </c>
      <c r="O914">
        <v>0.9</v>
      </c>
      <c r="P914">
        <v>1.24</v>
      </c>
      <c r="Q914">
        <v>0.56000000000000005</v>
      </c>
    </row>
    <row r="915" spans="1:17" x14ac:dyDescent="0.25">
      <c r="A915" t="s">
        <v>1961</v>
      </c>
      <c r="B915" t="s">
        <v>1962</v>
      </c>
      <c r="C915">
        <v>0.81</v>
      </c>
      <c r="D915">
        <v>0.11</v>
      </c>
      <c r="E915">
        <v>0.63</v>
      </c>
      <c r="F915">
        <v>0.81</v>
      </c>
      <c r="G915">
        <v>0.61</v>
      </c>
      <c r="H915">
        <v>0.68</v>
      </c>
      <c r="I915" s="1">
        <v>1753000</v>
      </c>
      <c r="J915" s="1">
        <v>1196020</v>
      </c>
      <c r="K915">
        <v>63</v>
      </c>
      <c r="L915">
        <v>0.76</v>
      </c>
      <c r="M915">
        <v>0.81</v>
      </c>
      <c r="N915" s="1">
        <v>5000000</v>
      </c>
      <c r="O915">
        <v>0.81</v>
      </c>
      <c r="P915">
        <v>1.88</v>
      </c>
      <c r="Q915">
        <v>0.01</v>
      </c>
    </row>
    <row r="916" spans="1:17" x14ac:dyDescent="0.25">
      <c r="A916" t="s">
        <v>1963</v>
      </c>
      <c r="B916" t="s">
        <v>1964</v>
      </c>
      <c r="C916">
        <v>0.86</v>
      </c>
      <c r="D916">
        <v>-0.14000000000000001</v>
      </c>
      <c r="E916">
        <v>0.92</v>
      </c>
      <c r="F916">
        <v>0.92</v>
      </c>
      <c r="G916">
        <v>0.86</v>
      </c>
      <c r="H916">
        <v>0.87</v>
      </c>
      <c r="I916" s="1">
        <v>34000</v>
      </c>
      <c r="J916" s="1">
        <v>29700</v>
      </c>
      <c r="K916">
        <v>4</v>
      </c>
      <c r="L916">
        <v>0.85</v>
      </c>
      <c r="M916">
        <v>0.86</v>
      </c>
      <c r="N916" s="1">
        <v>5000000</v>
      </c>
      <c r="O916">
        <v>0.86</v>
      </c>
      <c r="P916">
        <v>1.41</v>
      </c>
      <c r="Q916">
        <v>0.31</v>
      </c>
    </row>
    <row r="917" spans="1:17" x14ac:dyDescent="0.25">
      <c r="A917" t="s">
        <v>1965</v>
      </c>
      <c r="B917" t="s">
        <v>1966</v>
      </c>
      <c r="C917" t="s">
        <v>78</v>
      </c>
      <c r="D917" t="s">
        <v>78</v>
      </c>
      <c r="E917" t="s">
        <v>78</v>
      </c>
      <c r="F917" t="s">
        <v>78</v>
      </c>
      <c r="G917" t="s">
        <v>78</v>
      </c>
      <c r="H917">
        <v>1.39</v>
      </c>
      <c r="I917" s="1">
        <v>0</v>
      </c>
      <c r="J917" s="1">
        <v>0</v>
      </c>
      <c r="K917">
        <v>0</v>
      </c>
      <c r="L917">
        <v>1.17</v>
      </c>
      <c r="M917">
        <v>1.25</v>
      </c>
      <c r="N917" s="1">
        <v>10000000</v>
      </c>
      <c r="O917">
        <v>1.2</v>
      </c>
      <c r="P917">
        <v>1.6</v>
      </c>
      <c r="Q917">
        <v>0.8</v>
      </c>
    </row>
    <row r="918" spans="1:17" x14ac:dyDescent="0.25">
      <c r="A918" t="s">
        <v>1967</v>
      </c>
      <c r="B918" t="s">
        <v>1968</v>
      </c>
      <c r="C918">
        <v>0.1</v>
      </c>
      <c r="D918">
        <v>0</v>
      </c>
      <c r="E918">
        <v>0.1</v>
      </c>
      <c r="F918">
        <v>0.1</v>
      </c>
      <c r="G918">
        <v>0.1</v>
      </c>
      <c r="H918">
        <v>0.1</v>
      </c>
      <c r="I918" s="1">
        <v>84000</v>
      </c>
      <c r="J918" s="1">
        <v>8400</v>
      </c>
      <c r="K918">
        <v>4</v>
      </c>
      <c r="L918">
        <v>0.1</v>
      </c>
      <c r="M918">
        <v>0.11</v>
      </c>
      <c r="N918" s="1">
        <v>5000000</v>
      </c>
      <c r="O918">
        <v>0.1</v>
      </c>
      <c r="P918">
        <v>1.08</v>
      </c>
      <c r="Q918">
        <v>0.01</v>
      </c>
    </row>
    <row r="919" spans="1:17" x14ac:dyDescent="0.25">
      <c r="A919" t="s">
        <v>1969</v>
      </c>
      <c r="B919" t="s">
        <v>1970</v>
      </c>
      <c r="C919" t="s">
        <v>78</v>
      </c>
      <c r="D919" t="s">
        <v>78</v>
      </c>
      <c r="E919" t="s">
        <v>78</v>
      </c>
      <c r="F919" t="s">
        <v>78</v>
      </c>
      <c r="G919" t="s">
        <v>78</v>
      </c>
      <c r="H919">
        <v>1.3</v>
      </c>
      <c r="I919" s="1">
        <v>0</v>
      </c>
      <c r="J919" s="1">
        <v>0</v>
      </c>
      <c r="K919">
        <v>0</v>
      </c>
      <c r="L919">
        <v>1.21</v>
      </c>
      <c r="M919">
        <v>1.26</v>
      </c>
      <c r="N919" s="1">
        <v>10000000</v>
      </c>
      <c r="O919">
        <v>1.26</v>
      </c>
      <c r="P919">
        <v>3.16</v>
      </c>
      <c r="Q919">
        <v>0.01</v>
      </c>
    </row>
    <row r="920" spans="1:17" x14ac:dyDescent="0.25">
      <c r="A920" t="s">
        <v>1971</v>
      </c>
      <c r="B920" t="s">
        <v>1972</v>
      </c>
      <c r="C920" t="s">
        <v>78</v>
      </c>
      <c r="D920" t="s">
        <v>78</v>
      </c>
      <c r="E920" t="s">
        <v>78</v>
      </c>
      <c r="F920" t="s">
        <v>78</v>
      </c>
      <c r="G920" t="s">
        <v>78</v>
      </c>
      <c r="H920">
        <v>0.27</v>
      </c>
      <c r="I920" s="1">
        <v>0</v>
      </c>
      <c r="J920" s="1">
        <v>0</v>
      </c>
      <c r="K920">
        <v>0</v>
      </c>
      <c r="L920">
        <v>0.24</v>
      </c>
      <c r="M920">
        <v>0.25</v>
      </c>
      <c r="N920" s="1">
        <v>5000000</v>
      </c>
      <c r="O920">
        <v>0.24</v>
      </c>
      <c r="P920">
        <v>1.2</v>
      </c>
      <c r="Q920">
        <v>0.01</v>
      </c>
    </row>
    <row r="921" spans="1:17" x14ac:dyDescent="0.25">
      <c r="A921" t="s">
        <v>1973</v>
      </c>
      <c r="B921" t="s">
        <v>1974</v>
      </c>
      <c r="C921">
        <v>0.42</v>
      </c>
      <c r="D921">
        <v>0.03</v>
      </c>
      <c r="E921">
        <v>0.37</v>
      </c>
      <c r="F921">
        <v>0.42</v>
      </c>
      <c r="G921">
        <v>0.37</v>
      </c>
      <c r="H921">
        <v>0.4</v>
      </c>
      <c r="I921" s="1">
        <v>259000</v>
      </c>
      <c r="J921" s="1">
        <v>104710</v>
      </c>
      <c r="K921">
        <v>8</v>
      </c>
      <c r="L921">
        <v>0.42</v>
      </c>
      <c r="M921">
        <v>0.43</v>
      </c>
      <c r="N921" s="1">
        <v>10000000</v>
      </c>
      <c r="O921">
        <v>0.42</v>
      </c>
      <c r="P921">
        <v>0.8</v>
      </c>
      <c r="Q921">
        <v>0.04</v>
      </c>
    </row>
    <row r="922" spans="1:17" x14ac:dyDescent="0.25">
      <c r="A922" t="s">
        <v>1975</v>
      </c>
      <c r="B922" t="s">
        <v>1976</v>
      </c>
      <c r="C922">
        <v>0.38</v>
      </c>
      <c r="D922">
        <v>-0.01</v>
      </c>
      <c r="E922">
        <v>0.38</v>
      </c>
      <c r="F922">
        <v>0.38</v>
      </c>
      <c r="G922">
        <v>0.36</v>
      </c>
      <c r="H922">
        <v>0.38</v>
      </c>
      <c r="I922" s="1">
        <v>253000</v>
      </c>
      <c r="J922" s="1">
        <v>95440</v>
      </c>
      <c r="K922">
        <v>5</v>
      </c>
      <c r="L922">
        <v>0.37</v>
      </c>
      <c r="M922">
        <v>0.38</v>
      </c>
      <c r="N922" s="1">
        <v>10000000</v>
      </c>
      <c r="O922">
        <v>0.38</v>
      </c>
      <c r="P922">
        <v>1.1200000000000001</v>
      </c>
      <c r="Q922">
        <v>0.01</v>
      </c>
    </row>
    <row r="923" spans="1:17" x14ac:dyDescent="0.25">
      <c r="A923" t="s">
        <v>1977</v>
      </c>
      <c r="B923" t="s">
        <v>1978</v>
      </c>
      <c r="C923" t="s">
        <v>78</v>
      </c>
      <c r="D923" t="s">
        <v>78</v>
      </c>
      <c r="E923" t="s">
        <v>78</v>
      </c>
      <c r="F923" t="s">
        <v>78</v>
      </c>
      <c r="G923" t="s">
        <v>78</v>
      </c>
      <c r="H923">
        <v>0.94</v>
      </c>
      <c r="I923" s="1">
        <v>0</v>
      </c>
      <c r="J923" s="1">
        <v>0</v>
      </c>
      <c r="K923">
        <v>0</v>
      </c>
      <c r="L923">
        <v>0.94</v>
      </c>
      <c r="M923">
        <v>0.96</v>
      </c>
      <c r="N923" s="1">
        <v>5000000</v>
      </c>
      <c r="O923">
        <v>0.94</v>
      </c>
      <c r="P923">
        <v>1.44</v>
      </c>
      <c r="Q923">
        <v>0.44</v>
      </c>
    </row>
    <row r="924" spans="1:17" x14ac:dyDescent="0.25">
      <c r="A924" t="s">
        <v>1979</v>
      </c>
      <c r="B924" t="s">
        <v>1980</v>
      </c>
      <c r="C924">
        <v>0.4</v>
      </c>
      <c r="D924">
        <v>-0.02</v>
      </c>
      <c r="E924">
        <v>0.41</v>
      </c>
      <c r="F924">
        <v>0.42</v>
      </c>
      <c r="G924">
        <v>0.38</v>
      </c>
      <c r="H924">
        <v>0.41</v>
      </c>
      <c r="I924" s="1">
        <v>778000</v>
      </c>
      <c r="J924" s="1">
        <v>316650</v>
      </c>
      <c r="K924">
        <v>15</v>
      </c>
      <c r="L924">
        <v>0.4</v>
      </c>
      <c r="M924">
        <v>0.41</v>
      </c>
      <c r="N924" s="1">
        <v>5000000</v>
      </c>
      <c r="O924">
        <v>0.4</v>
      </c>
      <c r="P924">
        <v>1.27</v>
      </c>
      <c r="Q924">
        <v>0.01</v>
      </c>
    </row>
    <row r="925" spans="1:17" x14ac:dyDescent="0.25">
      <c r="A925" t="s">
        <v>1981</v>
      </c>
      <c r="B925" t="s">
        <v>1982</v>
      </c>
      <c r="C925">
        <v>0.53</v>
      </c>
      <c r="D925">
        <v>-0.05</v>
      </c>
      <c r="E925">
        <v>0.51</v>
      </c>
      <c r="F925">
        <v>0.55000000000000004</v>
      </c>
      <c r="G925">
        <v>0.51</v>
      </c>
      <c r="H925">
        <v>0.53</v>
      </c>
      <c r="I925" s="1">
        <v>227000</v>
      </c>
      <c r="J925" s="1">
        <v>120830</v>
      </c>
      <c r="K925">
        <v>9</v>
      </c>
      <c r="L925">
        <v>0.52</v>
      </c>
      <c r="M925">
        <v>0.53</v>
      </c>
      <c r="N925" s="1">
        <v>10000000</v>
      </c>
      <c r="O925">
        <v>0.53</v>
      </c>
      <c r="P925">
        <v>1.69</v>
      </c>
      <c r="Q925">
        <v>0.01</v>
      </c>
    </row>
    <row r="926" spans="1:17" x14ac:dyDescent="0.25">
      <c r="A926" t="s">
        <v>1983</v>
      </c>
      <c r="B926" t="s">
        <v>1984</v>
      </c>
      <c r="C926">
        <v>0.71</v>
      </c>
      <c r="D926">
        <v>0.05</v>
      </c>
      <c r="E926">
        <v>0.62</v>
      </c>
      <c r="F926">
        <v>0.71</v>
      </c>
      <c r="G926">
        <v>0.62</v>
      </c>
      <c r="H926">
        <v>0.67</v>
      </c>
      <c r="I926" s="1">
        <v>1282000</v>
      </c>
      <c r="J926" s="1">
        <v>862970</v>
      </c>
      <c r="K926">
        <v>17</v>
      </c>
      <c r="L926">
        <v>0.7</v>
      </c>
      <c r="M926">
        <v>0.71</v>
      </c>
      <c r="N926" s="1">
        <v>10000000</v>
      </c>
      <c r="O926">
        <v>0.71</v>
      </c>
      <c r="P926">
        <v>1.53</v>
      </c>
      <c r="Q926">
        <v>0.01</v>
      </c>
    </row>
    <row r="927" spans="1:17" x14ac:dyDescent="0.25">
      <c r="A927" t="s">
        <v>1985</v>
      </c>
      <c r="B927" t="s">
        <v>1986</v>
      </c>
      <c r="C927">
        <v>0.4</v>
      </c>
      <c r="D927">
        <v>-0.09</v>
      </c>
      <c r="E927">
        <v>0.49</v>
      </c>
      <c r="F927">
        <v>0.49</v>
      </c>
      <c r="G927">
        <v>0.39</v>
      </c>
      <c r="H927">
        <v>0.44</v>
      </c>
      <c r="I927" s="1">
        <v>1243000</v>
      </c>
      <c r="J927" s="1">
        <v>543670</v>
      </c>
      <c r="K927">
        <v>15</v>
      </c>
      <c r="L927">
        <v>0.43</v>
      </c>
      <c r="M927">
        <v>0.44</v>
      </c>
      <c r="N927" s="1">
        <v>10000000</v>
      </c>
      <c r="O927">
        <v>0.4</v>
      </c>
      <c r="P927">
        <v>2.75</v>
      </c>
      <c r="Q927">
        <v>0.01</v>
      </c>
    </row>
    <row r="928" spans="1:17" x14ac:dyDescent="0.25">
      <c r="A928" t="s">
        <v>1987</v>
      </c>
      <c r="B928" t="s">
        <v>1988</v>
      </c>
      <c r="C928">
        <v>0.72</v>
      </c>
      <c r="D928">
        <v>-0.01</v>
      </c>
      <c r="E928">
        <v>0.73</v>
      </c>
      <c r="F928">
        <v>0.73</v>
      </c>
      <c r="G928">
        <v>0.72</v>
      </c>
      <c r="H928">
        <v>0.73</v>
      </c>
      <c r="I928" s="1">
        <v>90000</v>
      </c>
      <c r="J928" s="1">
        <v>65300</v>
      </c>
      <c r="K928">
        <v>2</v>
      </c>
      <c r="L928">
        <v>0.72</v>
      </c>
      <c r="M928">
        <v>0.73</v>
      </c>
      <c r="N928" s="1">
        <v>5000000</v>
      </c>
      <c r="O928">
        <v>0.72</v>
      </c>
      <c r="P928">
        <v>1.41</v>
      </c>
      <c r="Q928">
        <v>0.03</v>
      </c>
    </row>
    <row r="929" spans="1:17" x14ac:dyDescent="0.25">
      <c r="A929" t="s">
        <v>1989</v>
      </c>
      <c r="B929" t="s">
        <v>1990</v>
      </c>
      <c r="C929" t="s">
        <v>78</v>
      </c>
      <c r="D929" t="s">
        <v>78</v>
      </c>
      <c r="E929" t="s">
        <v>78</v>
      </c>
      <c r="F929" t="s">
        <v>78</v>
      </c>
      <c r="G929" t="s">
        <v>78</v>
      </c>
      <c r="H929">
        <v>0.1</v>
      </c>
      <c r="I929" s="1">
        <v>0</v>
      </c>
      <c r="J929" s="1">
        <v>0</v>
      </c>
      <c r="K929">
        <v>0</v>
      </c>
      <c r="L929">
        <v>0.06</v>
      </c>
      <c r="M929">
        <v>0.1</v>
      </c>
      <c r="N929" s="1">
        <v>10000000</v>
      </c>
      <c r="O929">
        <v>0.1</v>
      </c>
      <c r="P929">
        <v>1.36</v>
      </c>
      <c r="Q929">
        <v>0.01</v>
      </c>
    </row>
    <row r="930" spans="1:17" x14ac:dyDescent="0.25">
      <c r="A930" t="s">
        <v>1991</v>
      </c>
      <c r="B930" t="s">
        <v>1992</v>
      </c>
      <c r="C930" t="s">
        <v>78</v>
      </c>
      <c r="D930" t="s">
        <v>78</v>
      </c>
      <c r="E930" t="s">
        <v>78</v>
      </c>
      <c r="F930" t="s">
        <v>78</v>
      </c>
      <c r="G930" t="s">
        <v>78</v>
      </c>
      <c r="H930">
        <v>0.71</v>
      </c>
      <c r="I930" s="1">
        <v>0</v>
      </c>
      <c r="J930" s="1">
        <v>0</v>
      </c>
      <c r="K930">
        <v>0</v>
      </c>
      <c r="L930">
        <v>0.52</v>
      </c>
      <c r="M930">
        <v>0.54</v>
      </c>
      <c r="N930" s="1">
        <v>10000000</v>
      </c>
      <c r="O930">
        <v>0.54</v>
      </c>
      <c r="P930">
        <v>1.2</v>
      </c>
      <c r="Q930">
        <v>0.01</v>
      </c>
    </row>
    <row r="931" spans="1:17" x14ac:dyDescent="0.25">
      <c r="A931" t="s">
        <v>1993</v>
      </c>
      <c r="B931" t="s">
        <v>1994</v>
      </c>
      <c r="C931" t="s">
        <v>78</v>
      </c>
      <c r="D931" t="s">
        <v>78</v>
      </c>
      <c r="E931" t="s">
        <v>78</v>
      </c>
      <c r="F931" t="s">
        <v>78</v>
      </c>
      <c r="G931" t="s">
        <v>78</v>
      </c>
      <c r="H931">
        <v>0.34</v>
      </c>
      <c r="I931" s="1">
        <v>0</v>
      </c>
      <c r="J931" s="1">
        <v>0</v>
      </c>
      <c r="K931">
        <v>0</v>
      </c>
      <c r="L931">
        <v>0.33</v>
      </c>
      <c r="M931">
        <v>0.34</v>
      </c>
      <c r="N931" s="1">
        <v>5000000</v>
      </c>
      <c r="O931">
        <v>0.33</v>
      </c>
      <c r="P931">
        <v>2.73</v>
      </c>
      <c r="Q931">
        <v>0.01</v>
      </c>
    </row>
    <row r="932" spans="1:17" x14ac:dyDescent="0.25">
      <c r="A932" t="s">
        <v>1995</v>
      </c>
      <c r="B932" t="s">
        <v>1996</v>
      </c>
      <c r="C932" t="s">
        <v>78</v>
      </c>
      <c r="D932" t="s">
        <v>78</v>
      </c>
      <c r="E932" t="s">
        <v>78</v>
      </c>
      <c r="F932" t="s">
        <v>78</v>
      </c>
      <c r="G932" t="s">
        <v>78</v>
      </c>
      <c r="H932">
        <v>2.2599999999999998</v>
      </c>
      <c r="I932" s="1">
        <v>0</v>
      </c>
      <c r="J932" s="1">
        <v>0</v>
      </c>
      <c r="K932">
        <v>0</v>
      </c>
      <c r="L932">
        <v>1.99</v>
      </c>
      <c r="M932">
        <v>2.04</v>
      </c>
      <c r="N932" s="1">
        <v>5000000</v>
      </c>
      <c r="O932">
        <v>2.04</v>
      </c>
      <c r="P932">
        <v>2.98</v>
      </c>
      <c r="Q932">
        <v>1.1000000000000001</v>
      </c>
    </row>
    <row r="933" spans="1:17" x14ac:dyDescent="0.25">
      <c r="A933" t="s">
        <v>1997</v>
      </c>
      <c r="B933" t="s">
        <v>1998</v>
      </c>
      <c r="C933" t="s">
        <v>78</v>
      </c>
      <c r="D933" t="s">
        <v>78</v>
      </c>
      <c r="E933" t="s">
        <v>78</v>
      </c>
      <c r="F933" t="s">
        <v>78</v>
      </c>
      <c r="G933" t="s">
        <v>78</v>
      </c>
      <c r="H933">
        <v>0.1</v>
      </c>
      <c r="I933" s="1">
        <v>0</v>
      </c>
      <c r="J933" s="1">
        <v>0</v>
      </c>
      <c r="K933">
        <v>0</v>
      </c>
      <c r="L933">
        <v>0.16</v>
      </c>
      <c r="M933">
        <v>0.26</v>
      </c>
      <c r="N933" s="1">
        <v>5000000</v>
      </c>
      <c r="O933">
        <v>0.18</v>
      </c>
      <c r="P933">
        <v>1.58</v>
      </c>
      <c r="Q933">
        <v>0.01</v>
      </c>
    </row>
    <row r="934" spans="1:17" x14ac:dyDescent="0.25">
      <c r="A934" t="s">
        <v>1999</v>
      </c>
      <c r="B934" t="s">
        <v>2000</v>
      </c>
      <c r="C934">
        <v>0.9</v>
      </c>
      <c r="D934">
        <v>0.03</v>
      </c>
      <c r="E934">
        <v>0.86</v>
      </c>
      <c r="F934">
        <v>0.9</v>
      </c>
      <c r="G934">
        <v>0.86</v>
      </c>
      <c r="H934">
        <v>0.88</v>
      </c>
      <c r="I934" s="1">
        <v>186000</v>
      </c>
      <c r="J934" s="1">
        <v>164040</v>
      </c>
      <c r="K934">
        <v>8</v>
      </c>
      <c r="L934">
        <v>0.9</v>
      </c>
      <c r="M934">
        <v>0.91</v>
      </c>
      <c r="N934" s="1">
        <v>10000000</v>
      </c>
      <c r="O934">
        <v>0.9</v>
      </c>
      <c r="P934">
        <v>1.29</v>
      </c>
      <c r="Q934">
        <v>0.51</v>
      </c>
    </row>
    <row r="935" spans="1:17" x14ac:dyDescent="0.25">
      <c r="A935" t="s">
        <v>2001</v>
      </c>
      <c r="B935" t="s">
        <v>2002</v>
      </c>
      <c r="C935">
        <v>0.28000000000000003</v>
      </c>
      <c r="D935">
        <v>-0.03</v>
      </c>
      <c r="E935">
        <v>0.28000000000000003</v>
      </c>
      <c r="F935">
        <v>0.28000000000000003</v>
      </c>
      <c r="G935">
        <v>0.28000000000000003</v>
      </c>
      <c r="H935">
        <v>0.28000000000000003</v>
      </c>
      <c r="I935" s="1">
        <v>3000</v>
      </c>
      <c r="J935" s="1">
        <v>840</v>
      </c>
      <c r="K935">
        <v>1</v>
      </c>
      <c r="L935">
        <v>0.28000000000000003</v>
      </c>
      <c r="M935">
        <v>0.28999999999999998</v>
      </c>
      <c r="N935" s="1">
        <v>5000000</v>
      </c>
      <c r="O935">
        <v>0.28000000000000003</v>
      </c>
      <c r="P935">
        <v>1.3</v>
      </c>
      <c r="Q935">
        <v>0.01</v>
      </c>
    </row>
    <row r="936" spans="1:17" x14ac:dyDescent="0.25">
      <c r="A936" t="s">
        <v>2003</v>
      </c>
      <c r="B936" t="s">
        <v>2004</v>
      </c>
      <c r="C936">
        <v>0.74</v>
      </c>
      <c r="D936">
        <v>-0.11</v>
      </c>
      <c r="E936">
        <v>0.87</v>
      </c>
      <c r="F936">
        <v>0.87</v>
      </c>
      <c r="G936">
        <v>0.72</v>
      </c>
      <c r="H936">
        <v>0.76</v>
      </c>
      <c r="I936" s="1">
        <v>265000</v>
      </c>
      <c r="J936" s="1">
        <v>201220</v>
      </c>
      <c r="K936">
        <v>22</v>
      </c>
      <c r="L936">
        <v>0.72</v>
      </c>
      <c r="M936">
        <v>0.73</v>
      </c>
      <c r="N936" s="1">
        <v>10000000</v>
      </c>
      <c r="O936">
        <v>0.74</v>
      </c>
      <c r="P936">
        <v>1.51</v>
      </c>
      <c r="Q936">
        <v>0.01</v>
      </c>
    </row>
    <row r="937" spans="1:17" x14ac:dyDescent="0.25">
      <c r="A937" t="s">
        <v>2005</v>
      </c>
      <c r="B937" t="s">
        <v>2006</v>
      </c>
      <c r="C937" t="s">
        <v>78</v>
      </c>
      <c r="D937" t="s">
        <v>78</v>
      </c>
      <c r="E937" t="s">
        <v>78</v>
      </c>
      <c r="F937" t="s">
        <v>78</v>
      </c>
      <c r="G937" t="s">
        <v>78</v>
      </c>
      <c r="H937">
        <v>0.54</v>
      </c>
      <c r="I937" s="1">
        <v>0</v>
      </c>
      <c r="J937" s="1">
        <v>0</v>
      </c>
      <c r="K937">
        <v>0</v>
      </c>
      <c r="L937">
        <v>0.49</v>
      </c>
      <c r="M937">
        <v>0.5</v>
      </c>
      <c r="N937" s="1">
        <v>10000000</v>
      </c>
      <c r="O937">
        <v>0.5</v>
      </c>
      <c r="P937">
        <v>0.94</v>
      </c>
      <c r="Q937">
        <v>0.06</v>
      </c>
    </row>
    <row r="938" spans="1:17" x14ac:dyDescent="0.25">
      <c r="A938" t="s">
        <v>2007</v>
      </c>
      <c r="B938" t="s">
        <v>2008</v>
      </c>
      <c r="C938" t="s">
        <v>78</v>
      </c>
      <c r="D938" t="s">
        <v>78</v>
      </c>
      <c r="E938" t="s">
        <v>78</v>
      </c>
      <c r="F938" t="s">
        <v>78</v>
      </c>
      <c r="G938" t="s">
        <v>78</v>
      </c>
      <c r="H938">
        <v>0.82</v>
      </c>
      <c r="I938" s="1">
        <v>0</v>
      </c>
      <c r="J938" s="1">
        <v>0</v>
      </c>
      <c r="K938">
        <v>0</v>
      </c>
      <c r="L938">
        <v>0.36</v>
      </c>
      <c r="M938">
        <v>0.37</v>
      </c>
      <c r="N938" s="1">
        <v>10000000</v>
      </c>
      <c r="O938">
        <v>0.37</v>
      </c>
      <c r="P938">
        <v>5.85</v>
      </c>
      <c r="Q938">
        <v>0.01</v>
      </c>
    </row>
    <row r="939" spans="1:17" x14ac:dyDescent="0.25">
      <c r="A939" t="s">
        <v>2009</v>
      </c>
      <c r="B939" t="s">
        <v>2010</v>
      </c>
      <c r="C939" t="s">
        <v>78</v>
      </c>
      <c r="D939" t="s">
        <v>78</v>
      </c>
      <c r="E939" t="s">
        <v>78</v>
      </c>
      <c r="F939" t="s">
        <v>78</v>
      </c>
      <c r="G939" t="s">
        <v>78</v>
      </c>
      <c r="H939">
        <v>0.44</v>
      </c>
      <c r="I939" s="1">
        <v>0</v>
      </c>
      <c r="J939" s="1">
        <v>0</v>
      </c>
      <c r="K939">
        <v>0</v>
      </c>
      <c r="L939">
        <v>0.41</v>
      </c>
      <c r="M939">
        <v>0.42</v>
      </c>
      <c r="N939" s="1">
        <v>5000000</v>
      </c>
      <c r="O939">
        <v>0.42</v>
      </c>
      <c r="P939">
        <v>1.04</v>
      </c>
      <c r="Q939">
        <v>0.01</v>
      </c>
    </row>
    <row r="940" spans="1:17" x14ac:dyDescent="0.25">
      <c r="A940" t="s">
        <v>2011</v>
      </c>
      <c r="B940" t="s">
        <v>2012</v>
      </c>
      <c r="C940">
        <v>0.68</v>
      </c>
      <c r="D940">
        <v>0.03</v>
      </c>
      <c r="E940">
        <v>0.65</v>
      </c>
      <c r="F940">
        <v>0.68</v>
      </c>
      <c r="G940">
        <v>0.65</v>
      </c>
      <c r="H940">
        <v>0.67</v>
      </c>
      <c r="I940" s="1">
        <v>310000</v>
      </c>
      <c r="J940" s="1">
        <v>207600</v>
      </c>
      <c r="K940">
        <v>5</v>
      </c>
      <c r="L940">
        <v>0.67</v>
      </c>
      <c r="M940">
        <v>0.68</v>
      </c>
      <c r="N940" s="1">
        <v>5000000</v>
      </c>
      <c r="O940">
        <v>0.68</v>
      </c>
      <c r="P940">
        <v>1.08</v>
      </c>
      <c r="Q940">
        <v>0.28000000000000003</v>
      </c>
    </row>
    <row r="941" spans="1:17" x14ac:dyDescent="0.25">
      <c r="A941" t="s">
        <v>2013</v>
      </c>
      <c r="B941" t="s">
        <v>2014</v>
      </c>
      <c r="C941">
        <v>0.15</v>
      </c>
      <c r="D941">
        <v>-0.01</v>
      </c>
      <c r="E941">
        <v>0.14000000000000001</v>
      </c>
      <c r="F941">
        <v>0.15</v>
      </c>
      <c r="G941">
        <v>0.14000000000000001</v>
      </c>
      <c r="H941">
        <v>0.15</v>
      </c>
      <c r="I941" s="1">
        <v>150000</v>
      </c>
      <c r="J941" s="1">
        <v>22000</v>
      </c>
      <c r="K941">
        <v>3</v>
      </c>
      <c r="L941">
        <v>0.15</v>
      </c>
      <c r="M941">
        <v>0.16</v>
      </c>
      <c r="N941" s="1">
        <v>10000000</v>
      </c>
      <c r="O941">
        <v>0.15</v>
      </c>
      <c r="P941">
        <v>1.1299999999999999</v>
      </c>
      <c r="Q941">
        <v>0.01</v>
      </c>
    </row>
    <row r="942" spans="1:17" x14ac:dyDescent="0.25">
      <c r="A942" t="s">
        <v>2015</v>
      </c>
      <c r="B942" t="s">
        <v>2016</v>
      </c>
      <c r="C942">
        <v>0.16</v>
      </c>
      <c r="D942">
        <v>0</v>
      </c>
      <c r="E942">
        <v>0.16</v>
      </c>
      <c r="F942">
        <v>0.16</v>
      </c>
      <c r="G942">
        <v>0.16</v>
      </c>
      <c r="H942">
        <v>0.16</v>
      </c>
      <c r="I942" s="1">
        <v>150000</v>
      </c>
      <c r="J942" s="1">
        <v>24000</v>
      </c>
      <c r="K942">
        <v>4</v>
      </c>
      <c r="L942">
        <v>0.17</v>
      </c>
      <c r="M942">
        <v>0.19</v>
      </c>
      <c r="N942" s="1">
        <v>10000000</v>
      </c>
      <c r="O942">
        <v>0.16</v>
      </c>
      <c r="P942">
        <v>1</v>
      </c>
      <c r="Q942">
        <v>0.01</v>
      </c>
    </row>
    <row r="943" spans="1:17" x14ac:dyDescent="0.25">
      <c r="A943" t="s">
        <v>2017</v>
      </c>
      <c r="B943" t="s">
        <v>2018</v>
      </c>
      <c r="C943">
        <v>0.17</v>
      </c>
      <c r="D943">
        <v>0</v>
      </c>
      <c r="E943">
        <v>0.16</v>
      </c>
      <c r="F943">
        <v>0.17</v>
      </c>
      <c r="G943">
        <v>0.16</v>
      </c>
      <c r="H943">
        <v>0.16</v>
      </c>
      <c r="I943" s="1">
        <v>33000</v>
      </c>
      <c r="J943" s="1">
        <v>5410</v>
      </c>
      <c r="K943">
        <v>4</v>
      </c>
      <c r="L943">
        <v>0.17</v>
      </c>
      <c r="M943">
        <v>0.18</v>
      </c>
      <c r="N943" s="1">
        <v>5000000</v>
      </c>
      <c r="O943">
        <v>0.17</v>
      </c>
      <c r="P943">
        <v>2.4500000000000002</v>
      </c>
      <c r="Q943">
        <v>0.01</v>
      </c>
    </row>
    <row r="944" spans="1:17" x14ac:dyDescent="0.25">
      <c r="A944" t="s">
        <v>2019</v>
      </c>
      <c r="B944" t="s">
        <v>2020</v>
      </c>
      <c r="C944">
        <v>0.62</v>
      </c>
      <c r="D944">
        <v>0.01</v>
      </c>
      <c r="E944">
        <v>0.62</v>
      </c>
      <c r="F944">
        <v>0.63</v>
      </c>
      <c r="G944">
        <v>0.62</v>
      </c>
      <c r="H944">
        <v>0.62</v>
      </c>
      <c r="I944" s="1">
        <v>57000</v>
      </c>
      <c r="J944" s="1">
        <v>35370</v>
      </c>
      <c r="K944">
        <v>3</v>
      </c>
      <c r="L944">
        <v>0.6</v>
      </c>
      <c r="M944">
        <v>0.62</v>
      </c>
      <c r="N944" s="1">
        <v>10000000</v>
      </c>
      <c r="O944">
        <v>0.62</v>
      </c>
      <c r="P944">
        <v>1.24</v>
      </c>
      <c r="Q944">
        <v>0.01</v>
      </c>
    </row>
    <row r="945" spans="1:17" x14ac:dyDescent="0.25">
      <c r="A945" t="s">
        <v>2021</v>
      </c>
      <c r="B945" t="s">
        <v>2022</v>
      </c>
      <c r="C945">
        <v>0.49</v>
      </c>
      <c r="D945">
        <v>0</v>
      </c>
      <c r="E945">
        <v>0.49</v>
      </c>
      <c r="F945">
        <v>0.49</v>
      </c>
      <c r="G945">
        <v>0.49</v>
      </c>
      <c r="H945">
        <v>0.49</v>
      </c>
      <c r="I945" s="1">
        <v>60000</v>
      </c>
      <c r="J945" s="1">
        <v>29400</v>
      </c>
      <c r="K945">
        <v>1</v>
      </c>
      <c r="L945">
        <v>0.49</v>
      </c>
      <c r="M945">
        <v>0.5</v>
      </c>
      <c r="N945" s="1">
        <v>10000000</v>
      </c>
      <c r="O945">
        <v>0.49</v>
      </c>
      <c r="P945">
        <v>1.63</v>
      </c>
      <c r="Q945">
        <v>0.01</v>
      </c>
    </row>
    <row r="946" spans="1:17" x14ac:dyDescent="0.25">
      <c r="A946" t="s">
        <v>2023</v>
      </c>
      <c r="B946" t="s">
        <v>2024</v>
      </c>
      <c r="C946">
        <v>0.28999999999999998</v>
      </c>
      <c r="D946">
        <v>0</v>
      </c>
      <c r="E946">
        <v>0.32</v>
      </c>
      <c r="F946">
        <v>0.32</v>
      </c>
      <c r="G946">
        <v>0.28999999999999998</v>
      </c>
      <c r="H946">
        <v>0.31</v>
      </c>
      <c r="I946" s="1">
        <v>63000</v>
      </c>
      <c r="J946" s="1">
        <v>19370</v>
      </c>
      <c r="K946">
        <v>4</v>
      </c>
      <c r="L946">
        <v>0.28999999999999998</v>
      </c>
      <c r="M946">
        <v>0.3</v>
      </c>
      <c r="N946" s="1">
        <v>5000000</v>
      </c>
      <c r="O946">
        <v>0.28999999999999998</v>
      </c>
      <c r="P946">
        <v>1.45</v>
      </c>
      <c r="Q946">
        <v>0.01</v>
      </c>
    </row>
    <row r="947" spans="1:17" x14ac:dyDescent="0.25">
      <c r="A947" t="s">
        <v>2025</v>
      </c>
      <c r="B947" t="s">
        <v>2026</v>
      </c>
      <c r="C947">
        <v>0.37</v>
      </c>
      <c r="D947">
        <v>0.02</v>
      </c>
      <c r="E947">
        <v>0.37</v>
      </c>
      <c r="F947">
        <v>0.37</v>
      </c>
      <c r="G947">
        <v>0.37</v>
      </c>
      <c r="H947">
        <v>0.37</v>
      </c>
      <c r="I947" s="1">
        <v>100000</v>
      </c>
      <c r="J947" s="1">
        <v>37000</v>
      </c>
      <c r="K947">
        <v>1</v>
      </c>
      <c r="L947">
        <v>0.36</v>
      </c>
      <c r="M947">
        <v>0.37</v>
      </c>
      <c r="N947" s="1">
        <v>5000000</v>
      </c>
      <c r="O947">
        <v>0.37</v>
      </c>
      <c r="P947">
        <v>1.51</v>
      </c>
      <c r="Q947">
        <v>0.01</v>
      </c>
    </row>
    <row r="948" spans="1:17" x14ac:dyDescent="0.25">
      <c r="A948" t="s">
        <v>2027</v>
      </c>
      <c r="B948" t="s">
        <v>2028</v>
      </c>
      <c r="C948">
        <v>0.56000000000000005</v>
      </c>
      <c r="D948">
        <v>0</v>
      </c>
      <c r="E948">
        <v>0.52</v>
      </c>
      <c r="F948">
        <v>0.56000000000000005</v>
      </c>
      <c r="G948">
        <v>0.52</v>
      </c>
      <c r="H948">
        <v>0.55000000000000004</v>
      </c>
      <c r="I948" s="1">
        <v>55000</v>
      </c>
      <c r="J948" s="1">
        <v>30050</v>
      </c>
      <c r="K948">
        <v>5</v>
      </c>
      <c r="L948">
        <v>0.56000000000000005</v>
      </c>
      <c r="M948">
        <v>0.56999999999999995</v>
      </c>
      <c r="N948" s="1">
        <v>5000000</v>
      </c>
      <c r="O948">
        <v>0.56000000000000005</v>
      </c>
      <c r="P948">
        <v>1.32</v>
      </c>
      <c r="Q948">
        <v>0.01</v>
      </c>
    </row>
    <row r="949" spans="1:17" x14ac:dyDescent="0.25">
      <c r="A949" t="s">
        <v>2029</v>
      </c>
      <c r="B949" t="s">
        <v>2030</v>
      </c>
      <c r="C949">
        <v>0.49</v>
      </c>
      <c r="D949">
        <v>-0.01</v>
      </c>
      <c r="E949">
        <v>0.49</v>
      </c>
      <c r="F949">
        <v>0.49</v>
      </c>
      <c r="G949">
        <v>0.49</v>
      </c>
      <c r="H949">
        <v>0.49</v>
      </c>
      <c r="I949" s="1">
        <v>200000</v>
      </c>
      <c r="J949" s="1">
        <v>98000</v>
      </c>
      <c r="K949">
        <v>1</v>
      </c>
      <c r="L949">
        <v>0.51</v>
      </c>
      <c r="M949">
        <v>0.52</v>
      </c>
      <c r="N949" s="1">
        <v>5000000</v>
      </c>
      <c r="O949">
        <v>0.49</v>
      </c>
      <c r="P949">
        <v>1.63</v>
      </c>
      <c r="Q949">
        <v>0.01</v>
      </c>
    </row>
    <row r="950" spans="1:17" x14ac:dyDescent="0.25">
      <c r="A950" t="s">
        <v>2031</v>
      </c>
      <c r="B950" t="s">
        <v>2032</v>
      </c>
      <c r="C950" t="s">
        <v>78</v>
      </c>
      <c r="D950" t="s">
        <v>78</v>
      </c>
      <c r="E950" t="s">
        <v>78</v>
      </c>
      <c r="F950" t="s">
        <v>78</v>
      </c>
      <c r="G950" t="s">
        <v>78</v>
      </c>
      <c r="H950">
        <v>0.19</v>
      </c>
      <c r="I950" s="1">
        <v>0</v>
      </c>
      <c r="J950" s="1">
        <v>0</v>
      </c>
      <c r="K950">
        <v>0</v>
      </c>
      <c r="L950">
        <v>0.19</v>
      </c>
      <c r="M950">
        <v>0.2</v>
      </c>
      <c r="N950" s="1">
        <v>5000000</v>
      </c>
      <c r="O950">
        <v>0.19</v>
      </c>
      <c r="P950">
        <v>1.45</v>
      </c>
      <c r="Q950">
        <v>0.01</v>
      </c>
    </row>
    <row r="951" spans="1:17" x14ac:dyDescent="0.25">
      <c r="A951" t="s">
        <v>2033</v>
      </c>
      <c r="B951" t="s">
        <v>2034</v>
      </c>
      <c r="C951">
        <v>0.62</v>
      </c>
      <c r="D951">
        <v>-0.02</v>
      </c>
      <c r="E951">
        <v>0.63</v>
      </c>
      <c r="F951">
        <v>0.63</v>
      </c>
      <c r="G951">
        <v>0.62</v>
      </c>
      <c r="H951">
        <v>0.63</v>
      </c>
      <c r="I951" s="1">
        <v>79000</v>
      </c>
      <c r="J951" s="1">
        <v>49710</v>
      </c>
      <c r="K951">
        <v>6</v>
      </c>
      <c r="L951">
        <v>0.62</v>
      </c>
      <c r="M951">
        <v>0.63</v>
      </c>
      <c r="N951" s="1">
        <v>5000000</v>
      </c>
      <c r="O951">
        <v>0.62</v>
      </c>
      <c r="P951">
        <v>1.33</v>
      </c>
      <c r="Q951">
        <v>0.01</v>
      </c>
    </row>
    <row r="952" spans="1:17" x14ac:dyDescent="0.25">
      <c r="A952" t="s">
        <v>2035</v>
      </c>
      <c r="B952" t="s">
        <v>2036</v>
      </c>
      <c r="C952">
        <v>0.19</v>
      </c>
      <c r="D952">
        <v>0.01</v>
      </c>
      <c r="E952">
        <v>0.18</v>
      </c>
      <c r="F952">
        <v>0.19</v>
      </c>
      <c r="G952">
        <v>0.18</v>
      </c>
      <c r="H952">
        <v>0.19</v>
      </c>
      <c r="I952" s="1">
        <v>150000</v>
      </c>
      <c r="J952" s="1">
        <v>28300</v>
      </c>
      <c r="K952">
        <v>3</v>
      </c>
      <c r="L952">
        <v>0.18</v>
      </c>
      <c r="M952">
        <v>0.19</v>
      </c>
      <c r="N952" s="1">
        <v>5000000</v>
      </c>
      <c r="O952">
        <v>0.19</v>
      </c>
      <c r="P952">
        <v>1.03</v>
      </c>
      <c r="Q952">
        <v>0.01</v>
      </c>
    </row>
    <row r="953" spans="1:17" x14ac:dyDescent="0.25">
      <c r="A953" t="s">
        <v>2037</v>
      </c>
      <c r="B953" t="s">
        <v>2038</v>
      </c>
      <c r="C953" t="s">
        <v>78</v>
      </c>
      <c r="D953" t="s">
        <v>78</v>
      </c>
      <c r="E953" t="s">
        <v>78</v>
      </c>
      <c r="F953" t="s">
        <v>78</v>
      </c>
      <c r="G953" t="s">
        <v>78</v>
      </c>
      <c r="H953">
        <v>0.53</v>
      </c>
      <c r="I953" s="1">
        <v>0</v>
      </c>
      <c r="J953" s="1">
        <v>0</v>
      </c>
      <c r="K953">
        <v>0</v>
      </c>
      <c r="L953">
        <v>0.43</v>
      </c>
      <c r="M953">
        <v>0.44</v>
      </c>
      <c r="N953" s="1">
        <v>5000000</v>
      </c>
      <c r="O953">
        <v>0.43</v>
      </c>
      <c r="P953">
        <v>2.33</v>
      </c>
      <c r="Q953">
        <v>0.01</v>
      </c>
    </row>
    <row r="954" spans="1:17" x14ac:dyDescent="0.25">
      <c r="A954" t="s">
        <v>2039</v>
      </c>
      <c r="B954" t="s">
        <v>2040</v>
      </c>
      <c r="C954">
        <v>0.64</v>
      </c>
      <c r="D954">
        <v>0.02</v>
      </c>
      <c r="E954">
        <v>0.62</v>
      </c>
      <c r="F954">
        <v>0.64</v>
      </c>
      <c r="G954">
        <v>0.62</v>
      </c>
      <c r="H954">
        <v>0.63</v>
      </c>
      <c r="I954" s="1">
        <v>260000</v>
      </c>
      <c r="J954" s="1">
        <v>164400</v>
      </c>
      <c r="K954">
        <v>4</v>
      </c>
      <c r="L954">
        <v>0.63</v>
      </c>
      <c r="M954">
        <v>0.64</v>
      </c>
      <c r="N954" s="1">
        <v>5000000</v>
      </c>
      <c r="O954">
        <v>0.64</v>
      </c>
      <c r="P954">
        <v>2.16</v>
      </c>
      <c r="Q954">
        <v>0.01</v>
      </c>
    </row>
    <row r="955" spans="1:17" x14ac:dyDescent="0.25">
      <c r="A955" t="s">
        <v>2041</v>
      </c>
      <c r="B955" t="s">
        <v>2042</v>
      </c>
      <c r="C955">
        <v>0.17</v>
      </c>
      <c r="D955">
        <v>0.02</v>
      </c>
      <c r="E955">
        <v>0.14000000000000001</v>
      </c>
      <c r="F955">
        <v>0.18</v>
      </c>
      <c r="G955">
        <v>0.14000000000000001</v>
      </c>
      <c r="H955">
        <v>0.16</v>
      </c>
      <c r="I955" s="1">
        <v>530000</v>
      </c>
      <c r="J955" s="1">
        <v>86210</v>
      </c>
      <c r="K955">
        <v>22</v>
      </c>
      <c r="L955">
        <v>0.16</v>
      </c>
      <c r="M955">
        <v>0.17</v>
      </c>
      <c r="N955" s="1">
        <v>5000000</v>
      </c>
      <c r="O955">
        <v>0.17</v>
      </c>
      <c r="P955">
        <v>2.13</v>
      </c>
      <c r="Q955">
        <v>0.01</v>
      </c>
    </row>
    <row r="956" spans="1:17" x14ac:dyDescent="0.25">
      <c r="A956" t="s">
        <v>2043</v>
      </c>
      <c r="B956" t="s">
        <v>2044</v>
      </c>
      <c r="C956">
        <v>0.42</v>
      </c>
      <c r="D956">
        <v>0</v>
      </c>
      <c r="E956">
        <v>0.43</v>
      </c>
      <c r="F956">
        <v>0.43</v>
      </c>
      <c r="G956">
        <v>0.42</v>
      </c>
      <c r="H956">
        <v>0.43</v>
      </c>
      <c r="I956" s="1">
        <v>379000</v>
      </c>
      <c r="J956" s="1">
        <v>162670</v>
      </c>
      <c r="K956">
        <v>3</v>
      </c>
      <c r="L956">
        <v>0.42</v>
      </c>
      <c r="M956">
        <v>0.43</v>
      </c>
      <c r="N956" s="1">
        <v>5000000</v>
      </c>
      <c r="O956">
        <v>0.42</v>
      </c>
      <c r="P956">
        <v>1.86</v>
      </c>
      <c r="Q956">
        <v>0.01</v>
      </c>
    </row>
    <row r="957" spans="1:17" x14ac:dyDescent="0.25">
      <c r="A957" t="s">
        <v>2045</v>
      </c>
      <c r="B957" t="s">
        <v>2046</v>
      </c>
      <c r="C957">
        <v>0.13</v>
      </c>
      <c r="D957">
        <v>0.01</v>
      </c>
      <c r="E957">
        <v>0.1</v>
      </c>
      <c r="F957">
        <v>0.13</v>
      </c>
      <c r="G957">
        <v>0.1</v>
      </c>
      <c r="H957">
        <v>0.11</v>
      </c>
      <c r="I957" s="1">
        <v>980000</v>
      </c>
      <c r="J957" s="1">
        <v>111600</v>
      </c>
      <c r="K957">
        <v>15</v>
      </c>
      <c r="L957">
        <v>0.12</v>
      </c>
      <c r="M957">
        <v>0.13</v>
      </c>
      <c r="N957" s="1">
        <v>5000000</v>
      </c>
      <c r="O957">
        <v>0.13</v>
      </c>
      <c r="P957">
        <v>2.09</v>
      </c>
      <c r="Q957">
        <v>0.01</v>
      </c>
    </row>
    <row r="958" spans="1:17" x14ac:dyDescent="0.25">
      <c r="A958" t="s">
        <v>2047</v>
      </c>
      <c r="B958" t="s">
        <v>2048</v>
      </c>
      <c r="C958">
        <v>1.25</v>
      </c>
      <c r="D958">
        <v>-0.03</v>
      </c>
      <c r="E958">
        <v>1.25</v>
      </c>
      <c r="F958">
        <v>1.25</v>
      </c>
      <c r="G958">
        <v>1.25</v>
      </c>
      <c r="H958">
        <v>1.25</v>
      </c>
      <c r="I958" s="1">
        <v>12000</v>
      </c>
      <c r="J958" s="1">
        <v>15000</v>
      </c>
      <c r="K958">
        <v>1</v>
      </c>
      <c r="L958">
        <v>1.26</v>
      </c>
      <c r="M958">
        <v>1.27</v>
      </c>
      <c r="N958" s="1">
        <v>5000000</v>
      </c>
      <c r="O958">
        <v>1.25</v>
      </c>
      <c r="P958">
        <v>2.08</v>
      </c>
      <c r="Q958">
        <v>0.42</v>
      </c>
    </row>
    <row r="959" spans="1:17" x14ac:dyDescent="0.25">
      <c r="A959" t="s">
        <v>2049</v>
      </c>
      <c r="B959" t="s">
        <v>2050</v>
      </c>
      <c r="C959">
        <v>1.46</v>
      </c>
      <c r="D959">
        <v>7.0000000000000007E-2</v>
      </c>
      <c r="E959">
        <v>1.41</v>
      </c>
      <c r="F959">
        <v>1.46</v>
      </c>
      <c r="G959">
        <v>1.41</v>
      </c>
      <c r="H959">
        <v>1.43</v>
      </c>
      <c r="I959" s="1">
        <v>306000</v>
      </c>
      <c r="J959" s="1">
        <v>438460</v>
      </c>
      <c r="K959">
        <v>9</v>
      </c>
      <c r="L959">
        <v>1.46</v>
      </c>
      <c r="M959">
        <v>1.48</v>
      </c>
      <c r="N959" s="1">
        <v>5000000</v>
      </c>
      <c r="O959">
        <v>1.46</v>
      </c>
      <c r="P959">
        <v>1.88</v>
      </c>
      <c r="Q959">
        <v>1.04</v>
      </c>
    </row>
    <row r="960" spans="1:17" x14ac:dyDescent="0.25">
      <c r="A960" t="s">
        <v>2051</v>
      </c>
      <c r="B960" t="s">
        <v>2052</v>
      </c>
      <c r="C960">
        <v>0.56999999999999995</v>
      </c>
      <c r="D960">
        <v>0.01</v>
      </c>
      <c r="E960">
        <v>0.56999999999999995</v>
      </c>
      <c r="F960">
        <v>0.56999999999999995</v>
      </c>
      <c r="G960">
        <v>0.56999999999999995</v>
      </c>
      <c r="H960">
        <v>0.56999999999999995</v>
      </c>
      <c r="I960" s="1">
        <v>80000</v>
      </c>
      <c r="J960" s="1">
        <v>45600</v>
      </c>
      <c r="K960">
        <v>1</v>
      </c>
      <c r="L960">
        <v>0.56999999999999995</v>
      </c>
      <c r="M960">
        <v>0.57999999999999996</v>
      </c>
      <c r="N960" s="1">
        <v>5000000</v>
      </c>
      <c r="O960">
        <v>0.56999999999999995</v>
      </c>
      <c r="P960">
        <v>1.36</v>
      </c>
      <c r="Q960">
        <v>0.01</v>
      </c>
    </row>
    <row r="961" spans="1:17" x14ac:dyDescent="0.25">
      <c r="A961" t="s">
        <v>2053</v>
      </c>
      <c r="B961" t="s">
        <v>2054</v>
      </c>
      <c r="C961" t="s">
        <v>78</v>
      </c>
      <c r="D961" t="s">
        <v>78</v>
      </c>
      <c r="E961" t="s">
        <v>78</v>
      </c>
      <c r="F961" t="s">
        <v>78</v>
      </c>
      <c r="G961" t="s">
        <v>78</v>
      </c>
      <c r="H961">
        <v>1.81</v>
      </c>
      <c r="I961" s="1">
        <v>0</v>
      </c>
      <c r="J961" s="1">
        <v>0</v>
      </c>
      <c r="K961">
        <v>0</v>
      </c>
      <c r="L961">
        <v>1.74</v>
      </c>
      <c r="M961">
        <v>1.75</v>
      </c>
      <c r="N961" s="1">
        <v>10000000</v>
      </c>
      <c r="O961">
        <v>1.74</v>
      </c>
      <c r="P961">
        <v>2.34</v>
      </c>
      <c r="Q961">
        <v>1.1399999999999999</v>
      </c>
    </row>
    <row r="962" spans="1:17" x14ac:dyDescent="0.25">
      <c r="A962" t="s">
        <v>2055</v>
      </c>
      <c r="B962" t="s">
        <v>2056</v>
      </c>
      <c r="C962">
        <v>0.69</v>
      </c>
      <c r="D962">
        <v>-0.05</v>
      </c>
      <c r="E962">
        <v>0.69</v>
      </c>
      <c r="F962">
        <v>0.69</v>
      </c>
      <c r="G962">
        <v>0.69</v>
      </c>
      <c r="H962">
        <v>0.69</v>
      </c>
      <c r="I962" s="1">
        <v>60000</v>
      </c>
      <c r="J962" s="1">
        <v>41400</v>
      </c>
      <c r="K962">
        <v>1</v>
      </c>
      <c r="L962">
        <v>0.69</v>
      </c>
      <c r="M962">
        <v>0.7</v>
      </c>
      <c r="N962" s="1">
        <v>10000000</v>
      </c>
      <c r="O962">
        <v>0.69</v>
      </c>
      <c r="P962">
        <v>1.87</v>
      </c>
      <c r="Q962">
        <v>0.01</v>
      </c>
    </row>
    <row r="963" spans="1:17" x14ac:dyDescent="0.25">
      <c r="A963" t="s">
        <v>2057</v>
      </c>
      <c r="B963" t="s">
        <v>2058</v>
      </c>
      <c r="C963" t="s">
        <v>78</v>
      </c>
      <c r="D963" t="s">
        <v>78</v>
      </c>
      <c r="E963" t="s">
        <v>78</v>
      </c>
      <c r="F963" t="s">
        <v>78</v>
      </c>
      <c r="G963" t="s">
        <v>78</v>
      </c>
      <c r="H963">
        <v>0.57999999999999996</v>
      </c>
      <c r="I963" s="1">
        <v>0</v>
      </c>
      <c r="J963" s="1">
        <v>0</v>
      </c>
      <c r="K963">
        <v>0</v>
      </c>
      <c r="L963">
        <v>0.51</v>
      </c>
      <c r="M963">
        <v>0.52</v>
      </c>
      <c r="N963" s="1">
        <v>10000000</v>
      </c>
      <c r="O963">
        <v>0.51</v>
      </c>
      <c r="P963">
        <v>1.69</v>
      </c>
      <c r="Q963">
        <v>0.01</v>
      </c>
    </row>
    <row r="964" spans="1:17" x14ac:dyDescent="0.25">
      <c r="A964" t="s">
        <v>2059</v>
      </c>
      <c r="B964" t="s">
        <v>2060</v>
      </c>
      <c r="C964" t="s">
        <v>78</v>
      </c>
      <c r="D964" t="s">
        <v>78</v>
      </c>
      <c r="E964" t="s">
        <v>78</v>
      </c>
      <c r="F964" t="s">
        <v>78</v>
      </c>
      <c r="G964" t="s">
        <v>78</v>
      </c>
      <c r="H964">
        <v>0.53</v>
      </c>
      <c r="I964" s="1">
        <v>0</v>
      </c>
      <c r="J964" s="1">
        <v>0</v>
      </c>
      <c r="K964">
        <v>0</v>
      </c>
      <c r="L964">
        <v>0.48</v>
      </c>
      <c r="M964">
        <v>0.49</v>
      </c>
      <c r="N964" s="1">
        <v>10000000</v>
      </c>
      <c r="O964">
        <v>0.49</v>
      </c>
      <c r="P964">
        <v>2.0699999999999998</v>
      </c>
      <c r="Q964">
        <v>0.01</v>
      </c>
    </row>
    <row r="965" spans="1:17" x14ac:dyDescent="0.25">
      <c r="A965" t="s">
        <v>2061</v>
      </c>
      <c r="B965" t="s">
        <v>2062</v>
      </c>
      <c r="C965">
        <v>0.76</v>
      </c>
      <c r="D965">
        <v>-0.03</v>
      </c>
      <c r="E965">
        <v>0.76</v>
      </c>
      <c r="F965">
        <v>0.76</v>
      </c>
      <c r="G965">
        <v>0.76</v>
      </c>
      <c r="H965">
        <v>0.76</v>
      </c>
      <c r="I965" s="1">
        <v>76000</v>
      </c>
      <c r="J965" s="1">
        <v>57760</v>
      </c>
      <c r="K965">
        <v>1</v>
      </c>
      <c r="L965">
        <v>0.77</v>
      </c>
      <c r="M965">
        <v>0.78</v>
      </c>
      <c r="N965" s="1">
        <v>10000000</v>
      </c>
      <c r="O965">
        <v>0.76</v>
      </c>
      <c r="P965">
        <v>1.1599999999999999</v>
      </c>
      <c r="Q965">
        <v>0.36</v>
      </c>
    </row>
    <row r="966" spans="1:17" x14ac:dyDescent="0.25">
      <c r="A966" t="s">
        <v>2063</v>
      </c>
      <c r="B966" t="s">
        <v>2064</v>
      </c>
      <c r="C966" t="s">
        <v>78</v>
      </c>
      <c r="D966" t="s">
        <v>78</v>
      </c>
      <c r="E966" t="s">
        <v>78</v>
      </c>
      <c r="F966" t="s">
        <v>78</v>
      </c>
      <c r="G966" t="s">
        <v>78</v>
      </c>
      <c r="H966">
        <v>0.1</v>
      </c>
      <c r="I966" s="1">
        <v>0</v>
      </c>
      <c r="J966" s="1">
        <v>0</v>
      </c>
      <c r="K966">
        <v>0</v>
      </c>
      <c r="L966">
        <v>0.1</v>
      </c>
      <c r="M966">
        <v>0.11</v>
      </c>
      <c r="N966" s="1">
        <v>5000000</v>
      </c>
      <c r="O966">
        <v>0.1</v>
      </c>
      <c r="P966">
        <v>1.5</v>
      </c>
      <c r="Q966">
        <v>0.01</v>
      </c>
    </row>
    <row r="967" spans="1:17" x14ac:dyDescent="0.25">
      <c r="A967" t="s">
        <v>2065</v>
      </c>
      <c r="B967" t="s">
        <v>2066</v>
      </c>
      <c r="C967" t="s">
        <v>78</v>
      </c>
      <c r="D967" t="s">
        <v>78</v>
      </c>
      <c r="E967" t="s">
        <v>78</v>
      </c>
      <c r="F967" t="s">
        <v>78</v>
      </c>
      <c r="G967" t="s">
        <v>78</v>
      </c>
      <c r="H967">
        <v>0.26</v>
      </c>
      <c r="I967" s="1">
        <v>0</v>
      </c>
      <c r="J967" s="1">
        <v>0</v>
      </c>
      <c r="K967">
        <v>0</v>
      </c>
      <c r="L967">
        <v>0.26</v>
      </c>
      <c r="M967">
        <v>0.32</v>
      </c>
      <c r="N967" s="1">
        <v>15000000</v>
      </c>
      <c r="O967">
        <v>0.28000000000000003</v>
      </c>
      <c r="P967">
        <v>1.17</v>
      </c>
      <c r="Q967">
        <v>0.01</v>
      </c>
    </row>
    <row r="968" spans="1:17" x14ac:dyDescent="0.25">
      <c r="A968" t="s">
        <v>2067</v>
      </c>
      <c r="B968" t="s">
        <v>2068</v>
      </c>
      <c r="C968">
        <v>0.19</v>
      </c>
      <c r="D968">
        <v>-0.01</v>
      </c>
      <c r="E968">
        <v>0.18</v>
      </c>
      <c r="F968">
        <v>0.19</v>
      </c>
      <c r="G968">
        <v>0.18</v>
      </c>
      <c r="H968">
        <v>0.19</v>
      </c>
      <c r="I968" s="1">
        <v>86000</v>
      </c>
      <c r="J968" s="1">
        <v>16300</v>
      </c>
      <c r="K968">
        <v>6</v>
      </c>
      <c r="L968">
        <v>0.19</v>
      </c>
      <c r="M968">
        <v>0.25</v>
      </c>
      <c r="N968" s="1">
        <v>5000000</v>
      </c>
      <c r="O968">
        <v>0.19</v>
      </c>
      <c r="P968">
        <v>1.04</v>
      </c>
      <c r="Q968">
        <v>0.01</v>
      </c>
    </row>
    <row r="969" spans="1:17" x14ac:dyDescent="0.25">
      <c r="A969" t="s">
        <v>2069</v>
      </c>
      <c r="B969" t="s">
        <v>2070</v>
      </c>
      <c r="C969">
        <v>1.0900000000000001</v>
      </c>
      <c r="D969">
        <v>7.0000000000000007E-2</v>
      </c>
      <c r="E969">
        <v>1.08</v>
      </c>
      <c r="F969">
        <v>1.0900000000000001</v>
      </c>
      <c r="G969">
        <v>1.08</v>
      </c>
      <c r="H969">
        <v>1.08</v>
      </c>
      <c r="I969" s="1">
        <v>84000</v>
      </c>
      <c r="J969" s="1">
        <v>90820</v>
      </c>
      <c r="K969">
        <v>2</v>
      </c>
      <c r="L969">
        <v>1.06</v>
      </c>
      <c r="M969">
        <v>1.07</v>
      </c>
      <c r="N969" s="1">
        <v>5000000</v>
      </c>
      <c r="O969">
        <v>1.0900000000000001</v>
      </c>
      <c r="P969">
        <v>2.29</v>
      </c>
      <c r="Q969">
        <v>0.01</v>
      </c>
    </row>
    <row r="970" spans="1:17" x14ac:dyDescent="0.25">
      <c r="A970" t="s">
        <v>2071</v>
      </c>
      <c r="B970" t="s">
        <v>2072</v>
      </c>
      <c r="C970">
        <v>0.59</v>
      </c>
      <c r="D970">
        <v>-0.1</v>
      </c>
      <c r="E970">
        <v>0.57999999999999996</v>
      </c>
      <c r="F970">
        <v>0.59</v>
      </c>
      <c r="G970">
        <v>0.57999999999999996</v>
      </c>
      <c r="H970">
        <v>0.57999999999999996</v>
      </c>
      <c r="I970" s="1">
        <v>250000</v>
      </c>
      <c r="J970" s="1">
        <v>146000</v>
      </c>
      <c r="K970">
        <v>7</v>
      </c>
      <c r="L970">
        <v>0.57999999999999996</v>
      </c>
      <c r="M970">
        <v>0.59</v>
      </c>
      <c r="N970" s="1">
        <v>10000000</v>
      </c>
      <c r="O970">
        <v>0.59</v>
      </c>
      <c r="P970">
        <v>1.25</v>
      </c>
      <c r="Q970">
        <v>0.01</v>
      </c>
    </row>
    <row r="971" spans="1:17" x14ac:dyDescent="0.25">
      <c r="A971" t="s">
        <v>2073</v>
      </c>
      <c r="B971" t="s">
        <v>2074</v>
      </c>
      <c r="C971">
        <v>0.28000000000000003</v>
      </c>
      <c r="D971">
        <v>0.02</v>
      </c>
      <c r="E971">
        <v>0.28000000000000003</v>
      </c>
      <c r="F971">
        <v>0.28000000000000003</v>
      </c>
      <c r="G971">
        <v>0.28000000000000003</v>
      </c>
      <c r="H971">
        <v>0.28000000000000003</v>
      </c>
      <c r="I971" s="1">
        <v>10000</v>
      </c>
      <c r="J971" s="1">
        <v>2800</v>
      </c>
      <c r="K971">
        <v>1</v>
      </c>
      <c r="L971">
        <v>0.27</v>
      </c>
      <c r="M971">
        <v>0.28000000000000003</v>
      </c>
      <c r="N971" s="1">
        <v>5000000</v>
      </c>
      <c r="O971">
        <v>0.28000000000000003</v>
      </c>
      <c r="P971">
        <v>1.37</v>
      </c>
      <c r="Q971">
        <v>0.01</v>
      </c>
    </row>
    <row r="972" spans="1:17" x14ac:dyDescent="0.25">
      <c r="A972" t="s">
        <v>2075</v>
      </c>
      <c r="B972" t="s">
        <v>2076</v>
      </c>
      <c r="C972" t="s">
        <v>78</v>
      </c>
      <c r="D972" t="s">
        <v>78</v>
      </c>
      <c r="E972" t="s">
        <v>78</v>
      </c>
      <c r="F972" t="s">
        <v>78</v>
      </c>
      <c r="G972" t="s">
        <v>78</v>
      </c>
      <c r="H972">
        <v>1.1000000000000001</v>
      </c>
      <c r="I972" s="1">
        <v>0</v>
      </c>
      <c r="J972" s="1">
        <v>0</v>
      </c>
      <c r="K972">
        <v>0</v>
      </c>
      <c r="L972">
        <v>1.1200000000000001</v>
      </c>
      <c r="M972">
        <v>1.1299999999999999</v>
      </c>
      <c r="N972" s="1">
        <v>5000000</v>
      </c>
      <c r="O972">
        <v>1.1200000000000001</v>
      </c>
      <c r="P972">
        <v>1.88</v>
      </c>
      <c r="Q972">
        <v>0.36</v>
      </c>
    </row>
    <row r="973" spans="1:17" x14ac:dyDescent="0.25">
      <c r="A973" t="s">
        <v>2077</v>
      </c>
      <c r="B973" t="s">
        <v>2078</v>
      </c>
      <c r="C973">
        <v>0.87</v>
      </c>
      <c r="D973">
        <v>0.01</v>
      </c>
      <c r="E973">
        <v>0.86</v>
      </c>
      <c r="F973">
        <v>0.87</v>
      </c>
      <c r="G973">
        <v>0.85</v>
      </c>
      <c r="H973">
        <v>0.86</v>
      </c>
      <c r="I973" s="1">
        <v>279000</v>
      </c>
      <c r="J973" s="1">
        <v>240930</v>
      </c>
      <c r="K973">
        <v>7</v>
      </c>
      <c r="L973">
        <v>0.87</v>
      </c>
      <c r="M973">
        <v>0.88</v>
      </c>
      <c r="N973" s="1">
        <v>5000000</v>
      </c>
      <c r="O973">
        <v>0.87</v>
      </c>
      <c r="P973">
        <v>1.63</v>
      </c>
      <c r="Q973">
        <v>0.11</v>
      </c>
    </row>
    <row r="974" spans="1:17" x14ac:dyDescent="0.25">
      <c r="A974" t="s">
        <v>2079</v>
      </c>
      <c r="B974" t="s">
        <v>2080</v>
      </c>
      <c r="C974">
        <v>0.28000000000000003</v>
      </c>
      <c r="D974">
        <v>0</v>
      </c>
      <c r="E974">
        <v>0.28999999999999998</v>
      </c>
      <c r="F974">
        <v>0.28999999999999998</v>
      </c>
      <c r="G974">
        <v>0.28000000000000003</v>
      </c>
      <c r="H974">
        <v>0.28999999999999998</v>
      </c>
      <c r="I974" s="1">
        <v>110000</v>
      </c>
      <c r="J974" s="1">
        <v>31800</v>
      </c>
      <c r="K974">
        <v>3</v>
      </c>
      <c r="L974">
        <v>0.28000000000000003</v>
      </c>
      <c r="M974">
        <v>0.28999999999999998</v>
      </c>
      <c r="N974" s="1">
        <v>10000000</v>
      </c>
      <c r="O974">
        <v>0.28000000000000003</v>
      </c>
      <c r="P974">
        <v>1.4</v>
      </c>
      <c r="Q974">
        <v>0.01</v>
      </c>
    </row>
    <row r="975" spans="1:17" x14ac:dyDescent="0.25">
      <c r="A975" t="s">
        <v>2081</v>
      </c>
      <c r="B975" t="s">
        <v>2082</v>
      </c>
      <c r="C975">
        <v>1.31</v>
      </c>
      <c r="D975">
        <v>0.02</v>
      </c>
      <c r="E975">
        <v>1.22</v>
      </c>
      <c r="F975">
        <v>1.31</v>
      </c>
      <c r="G975">
        <v>1.22</v>
      </c>
      <c r="H975">
        <v>1.28</v>
      </c>
      <c r="I975" s="1">
        <v>531000</v>
      </c>
      <c r="J975" s="1">
        <v>681510</v>
      </c>
      <c r="K975">
        <v>6</v>
      </c>
      <c r="L975">
        <v>1.32</v>
      </c>
      <c r="M975">
        <v>1.33</v>
      </c>
      <c r="N975" s="1">
        <v>5000000</v>
      </c>
      <c r="O975">
        <v>1.31</v>
      </c>
      <c r="P975">
        <v>2.83</v>
      </c>
      <c r="Q975">
        <v>0.01</v>
      </c>
    </row>
    <row r="976" spans="1:17" x14ac:dyDescent="0.25">
      <c r="A976" t="s">
        <v>2083</v>
      </c>
      <c r="B976" t="s">
        <v>2084</v>
      </c>
      <c r="C976">
        <v>1.01</v>
      </c>
      <c r="D976">
        <v>0.01</v>
      </c>
      <c r="E976">
        <v>1.01</v>
      </c>
      <c r="F976">
        <v>1.02</v>
      </c>
      <c r="G976">
        <v>1.01</v>
      </c>
      <c r="H976">
        <v>1.01</v>
      </c>
      <c r="I976" s="1">
        <v>397000</v>
      </c>
      <c r="J976" s="1">
        <v>402010</v>
      </c>
      <c r="K976">
        <v>6</v>
      </c>
      <c r="L976">
        <v>1.01</v>
      </c>
      <c r="M976">
        <v>1.02</v>
      </c>
      <c r="N976" s="1">
        <v>10000000</v>
      </c>
      <c r="O976">
        <v>1.01</v>
      </c>
      <c r="P976">
        <v>1.96</v>
      </c>
      <c r="Q976">
        <v>0.06</v>
      </c>
    </row>
    <row r="977" spans="1:17" x14ac:dyDescent="0.25">
      <c r="A977" t="s">
        <v>2085</v>
      </c>
      <c r="B977" t="s">
        <v>2086</v>
      </c>
      <c r="C977" t="s">
        <v>78</v>
      </c>
      <c r="D977" t="s">
        <v>78</v>
      </c>
      <c r="E977" t="s">
        <v>78</v>
      </c>
      <c r="F977" t="s">
        <v>78</v>
      </c>
      <c r="G977" t="s">
        <v>78</v>
      </c>
      <c r="H977">
        <v>1.49</v>
      </c>
      <c r="I977" s="1">
        <v>0</v>
      </c>
      <c r="J977" s="1">
        <v>0</v>
      </c>
      <c r="K977">
        <v>0</v>
      </c>
      <c r="L977">
        <v>1.46</v>
      </c>
      <c r="M977">
        <v>1.48</v>
      </c>
      <c r="N977" s="1">
        <v>10000000</v>
      </c>
      <c r="O977">
        <v>1.48</v>
      </c>
      <c r="P977">
        <v>1.99</v>
      </c>
      <c r="Q977">
        <v>0.97</v>
      </c>
    </row>
    <row r="978" spans="1:17" x14ac:dyDescent="0.25">
      <c r="A978" t="s">
        <v>2087</v>
      </c>
      <c r="B978" t="s">
        <v>2088</v>
      </c>
      <c r="C978">
        <v>1.08</v>
      </c>
      <c r="D978">
        <v>0.02</v>
      </c>
      <c r="E978">
        <v>1.08</v>
      </c>
      <c r="F978">
        <v>1.08</v>
      </c>
      <c r="G978">
        <v>1.08</v>
      </c>
      <c r="H978">
        <v>1.08</v>
      </c>
      <c r="I978" s="1">
        <v>100000</v>
      </c>
      <c r="J978" s="1">
        <v>108000</v>
      </c>
      <c r="K978">
        <v>1</v>
      </c>
      <c r="L978">
        <v>1.08</v>
      </c>
      <c r="M978">
        <v>1.0900000000000001</v>
      </c>
      <c r="N978" s="1">
        <v>10000000</v>
      </c>
      <c r="O978">
        <v>1.08</v>
      </c>
      <c r="P978">
        <v>1.84</v>
      </c>
      <c r="Q978">
        <v>0.32</v>
      </c>
    </row>
    <row r="979" spans="1:17" x14ac:dyDescent="0.25">
      <c r="A979" t="s">
        <v>2089</v>
      </c>
      <c r="B979" t="s">
        <v>2090</v>
      </c>
      <c r="C979" t="s">
        <v>78</v>
      </c>
      <c r="D979" t="s">
        <v>78</v>
      </c>
      <c r="E979" t="s">
        <v>78</v>
      </c>
      <c r="F979" t="s">
        <v>78</v>
      </c>
      <c r="G979" t="s">
        <v>78</v>
      </c>
      <c r="H979">
        <v>0.88</v>
      </c>
      <c r="I979" s="1">
        <v>0</v>
      </c>
      <c r="J979" s="1">
        <v>0</v>
      </c>
      <c r="K979">
        <v>0</v>
      </c>
      <c r="L979">
        <v>0.89</v>
      </c>
      <c r="M979">
        <v>0.9</v>
      </c>
      <c r="N979" s="1">
        <v>10000000</v>
      </c>
      <c r="O979">
        <v>0.89</v>
      </c>
      <c r="P979">
        <v>1.8</v>
      </c>
      <c r="Q979">
        <v>0.01</v>
      </c>
    </row>
    <row r="980" spans="1:17" x14ac:dyDescent="0.25">
      <c r="A980" t="s">
        <v>2091</v>
      </c>
      <c r="B980" t="s">
        <v>2092</v>
      </c>
      <c r="C980" t="s">
        <v>78</v>
      </c>
      <c r="D980" t="s">
        <v>78</v>
      </c>
      <c r="E980" t="s">
        <v>78</v>
      </c>
      <c r="F980" t="s">
        <v>78</v>
      </c>
      <c r="G980" t="s">
        <v>78</v>
      </c>
      <c r="H980">
        <v>0.95</v>
      </c>
      <c r="I980" s="1">
        <v>0</v>
      </c>
      <c r="J980" s="1">
        <v>0</v>
      </c>
      <c r="K980">
        <v>0</v>
      </c>
      <c r="L980">
        <v>0.95</v>
      </c>
      <c r="M980">
        <v>0.96</v>
      </c>
      <c r="N980" s="1">
        <v>11000000</v>
      </c>
      <c r="O980">
        <v>0.95</v>
      </c>
      <c r="P980">
        <v>1.55</v>
      </c>
      <c r="Q980">
        <v>0.35</v>
      </c>
    </row>
    <row r="981" spans="1:17" x14ac:dyDescent="0.25">
      <c r="A981" t="s">
        <v>2093</v>
      </c>
      <c r="B981" t="s">
        <v>2094</v>
      </c>
      <c r="C981">
        <v>0.33</v>
      </c>
      <c r="D981">
        <v>0.03</v>
      </c>
      <c r="E981">
        <v>0.28999999999999998</v>
      </c>
      <c r="F981">
        <v>0.33</v>
      </c>
      <c r="G981">
        <v>0.28999999999999998</v>
      </c>
      <c r="H981">
        <v>0.33</v>
      </c>
      <c r="I981" s="1">
        <v>320000</v>
      </c>
      <c r="J981" s="1">
        <v>104600</v>
      </c>
      <c r="K981">
        <v>11</v>
      </c>
      <c r="L981">
        <v>0.32</v>
      </c>
      <c r="M981">
        <v>0.33</v>
      </c>
      <c r="N981" s="1">
        <v>5000000</v>
      </c>
      <c r="O981">
        <v>0.33</v>
      </c>
      <c r="P981">
        <v>1.45</v>
      </c>
      <c r="Q981">
        <v>0.01</v>
      </c>
    </row>
    <row r="982" spans="1:17" x14ac:dyDescent="0.25">
      <c r="A982" t="s">
        <v>2095</v>
      </c>
      <c r="B982" t="s">
        <v>2096</v>
      </c>
      <c r="C982">
        <v>0.26</v>
      </c>
      <c r="D982">
        <v>-0.02</v>
      </c>
      <c r="E982">
        <v>0.25</v>
      </c>
      <c r="F982">
        <v>0.26</v>
      </c>
      <c r="G982">
        <v>0.24</v>
      </c>
      <c r="H982">
        <v>0.25</v>
      </c>
      <c r="I982" s="1">
        <v>736000</v>
      </c>
      <c r="J982" s="1">
        <v>185680</v>
      </c>
      <c r="K982">
        <v>25</v>
      </c>
      <c r="L982">
        <v>0.25</v>
      </c>
      <c r="M982">
        <v>0.26</v>
      </c>
      <c r="N982" s="1">
        <v>5000000</v>
      </c>
      <c r="O982">
        <v>0.26</v>
      </c>
      <c r="P982">
        <v>1.1100000000000001</v>
      </c>
      <c r="Q982">
        <v>0.01</v>
      </c>
    </row>
    <row r="983" spans="1:17" x14ac:dyDescent="0.25">
      <c r="A983" t="s">
        <v>2097</v>
      </c>
      <c r="B983" t="s">
        <v>2098</v>
      </c>
      <c r="C983">
        <v>1.37</v>
      </c>
      <c r="D983">
        <v>0.01</v>
      </c>
      <c r="E983">
        <v>1.37</v>
      </c>
      <c r="F983">
        <v>1.37</v>
      </c>
      <c r="G983">
        <v>1.37</v>
      </c>
      <c r="H983">
        <v>1.37</v>
      </c>
      <c r="I983" s="1">
        <v>74000</v>
      </c>
      <c r="J983" s="1">
        <v>101380</v>
      </c>
      <c r="K983">
        <v>3</v>
      </c>
      <c r="L983">
        <v>1.37</v>
      </c>
      <c r="M983">
        <v>1.38</v>
      </c>
      <c r="N983" s="1">
        <v>10000000</v>
      </c>
      <c r="O983">
        <v>1.37</v>
      </c>
      <c r="P983">
        <v>2.11</v>
      </c>
      <c r="Q983">
        <v>0.63</v>
      </c>
    </row>
    <row r="984" spans="1:17" x14ac:dyDescent="0.25">
      <c r="A984" t="s">
        <v>2099</v>
      </c>
      <c r="B984" t="s">
        <v>2100</v>
      </c>
      <c r="C984">
        <v>1.07</v>
      </c>
      <c r="D984">
        <v>-0.35</v>
      </c>
      <c r="E984">
        <v>1.07</v>
      </c>
      <c r="F984">
        <v>1.08</v>
      </c>
      <c r="G984">
        <v>1.07</v>
      </c>
      <c r="H984">
        <v>1.07</v>
      </c>
      <c r="I984" s="1">
        <v>112000</v>
      </c>
      <c r="J984" s="1">
        <v>119910</v>
      </c>
      <c r="K984">
        <v>4</v>
      </c>
      <c r="L984">
        <v>1.07</v>
      </c>
      <c r="M984">
        <v>1.08</v>
      </c>
      <c r="N984" s="1">
        <v>10000000</v>
      </c>
      <c r="O984">
        <v>1.07</v>
      </c>
      <c r="P984">
        <v>2.17</v>
      </c>
      <c r="Q984">
        <v>0.01</v>
      </c>
    </row>
    <row r="985" spans="1:17" x14ac:dyDescent="0.25">
      <c r="A985" t="s">
        <v>2101</v>
      </c>
      <c r="B985" t="s">
        <v>2102</v>
      </c>
      <c r="C985">
        <v>0.49</v>
      </c>
      <c r="D985">
        <v>0.01</v>
      </c>
      <c r="E985">
        <v>0.44</v>
      </c>
      <c r="F985">
        <v>0.49</v>
      </c>
      <c r="G985">
        <v>0.43</v>
      </c>
      <c r="H985">
        <v>0.44</v>
      </c>
      <c r="I985" s="1">
        <v>132000</v>
      </c>
      <c r="J985" s="1">
        <v>58400</v>
      </c>
      <c r="K985">
        <v>4</v>
      </c>
      <c r="L985">
        <v>0.48</v>
      </c>
      <c r="M985">
        <v>0.49</v>
      </c>
      <c r="N985" s="1">
        <v>5000000</v>
      </c>
      <c r="O985">
        <v>0.49</v>
      </c>
      <c r="P985">
        <v>1.47</v>
      </c>
      <c r="Q985">
        <v>0.01</v>
      </c>
    </row>
    <row r="986" spans="1:17" x14ac:dyDescent="0.25">
      <c r="A986" t="s">
        <v>2103</v>
      </c>
      <c r="B986" t="s">
        <v>2104</v>
      </c>
      <c r="C986">
        <v>0.62</v>
      </c>
      <c r="D986">
        <v>0</v>
      </c>
      <c r="E986">
        <v>0.63</v>
      </c>
      <c r="F986">
        <v>0.65</v>
      </c>
      <c r="G986">
        <v>0.6</v>
      </c>
      <c r="H986">
        <v>0.64</v>
      </c>
      <c r="I986" s="1">
        <v>439000</v>
      </c>
      <c r="J986" s="1">
        <v>279900</v>
      </c>
      <c r="K986">
        <v>19</v>
      </c>
      <c r="L986">
        <v>0.61</v>
      </c>
      <c r="M986">
        <v>0.62</v>
      </c>
      <c r="N986" s="1">
        <v>10000000</v>
      </c>
      <c r="O986">
        <v>0.62</v>
      </c>
      <c r="P986">
        <v>2.36</v>
      </c>
      <c r="Q986">
        <v>0.01</v>
      </c>
    </row>
    <row r="987" spans="1:17" x14ac:dyDescent="0.25">
      <c r="A987" t="s">
        <v>2105</v>
      </c>
      <c r="B987" t="s">
        <v>2106</v>
      </c>
      <c r="C987">
        <v>0.52</v>
      </c>
      <c r="D987">
        <v>0.08</v>
      </c>
      <c r="E987">
        <v>0.4</v>
      </c>
      <c r="F987">
        <v>0.52</v>
      </c>
      <c r="G987">
        <v>0.4</v>
      </c>
      <c r="H987">
        <v>0.41</v>
      </c>
      <c r="I987" s="1">
        <v>101000</v>
      </c>
      <c r="J987" s="1">
        <v>41220</v>
      </c>
      <c r="K987">
        <v>5</v>
      </c>
      <c r="L987">
        <v>0.4</v>
      </c>
      <c r="M987">
        <v>0.52</v>
      </c>
      <c r="N987" s="1">
        <v>10000000</v>
      </c>
      <c r="O987">
        <v>0.52</v>
      </c>
      <c r="P987">
        <v>1.31</v>
      </c>
      <c r="Q987">
        <v>0.01</v>
      </c>
    </row>
    <row r="988" spans="1:17" x14ac:dyDescent="0.25">
      <c r="A988" t="s">
        <v>2107</v>
      </c>
      <c r="B988" t="s">
        <v>2108</v>
      </c>
      <c r="C988" t="s">
        <v>78</v>
      </c>
      <c r="D988" t="s">
        <v>78</v>
      </c>
      <c r="E988" t="s">
        <v>78</v>
      </c>
      <c r="F988" t="s">
        <v>78</v>
      </c>
      <c r="G988" t="s">
        <v>78</v>
      </c>
      <c r="H988">
        <v>1.55</v>
      </c>
      <c r="I988" s="1">
        <v>0</v>
      </c>
      <c r="J988" s="1">
        <v>0</v>
      </c>
      <c r="K988">
        <v>0</v>
      </c>
      <c r="L988">
        <v>1.55</v>
      </c>
      <c r="M988">
        <v>1.57</v>
      </c>
      <c r="N988" s="1">
        <v>10000000</v>
      </c>
      <c r="O988">
        <v>1.55</v>
      </c>
      <c r="P988">
        <v>2.31</v>
      </c>
      <c r="Q988">
        <v>0.79</v>
      </c>
    </row>
    <row r="989" spans="1:17" x14ac:dyDescent="0.25">
      <c r="A989" t="s">
        <v>2109</v>
      </c>
      <c r="B989" t="s">
        <v>2110</v>
      </c>
      <c r="C989">
        <v>0.55000000000000004</v>
      </c>
      <c r="D989">
        <v>0</v>
      </c>
      <c r="E989">
        <v>0.52</v>
      </c>
      <c r="F989">
        <v>0.55000000000000004</v>
      </c>
      <c r="G989">
        <v>0.52</v>
      </c>
      <c r="H989">
        <v>0.55000000000000004</v>
      </c>
      <c r="I989" s="1">
        <v>842000</v>
      </c>
      <c r="J989" s="1">
        <v>461880</v>
      </c>
      <c r="K989">
        <v>18</v>
      </c>
      <c r="L989">
        <v>0.56000000000000005</v>
      </c>
      <c r="M989">
        <v>0.56999999999999995</v>
      </c>
      <c r="N989" s="1">
        <v>5000000</v>
      </c>
      <c r="O989">
        <v>0.55000000000000004</v>
      </c>
      <c r="P989">
        <v>1.1399999999999999</v>
      </c>
      <c r="Q989">
        <v>0.01</v>
      </c>
    </row>
    <row r="990" spans="1:17" x14ac:dyDescent="0.25">
      <c r="A990" t="s">
        <v>2111</v>
      </c>
      <c r="B990" t="s">
        <v>2112</v>
      </c>
      <c r="C990" t="s">
        <v>78</v>
      </c>
      <c r="D990" t="s">
        <v>78</v>
      </c>
      <c r="E990" t="s">
        <v>78</v>
      </c>
      <c r="F990" t="s">
        <v>78</v>
      </c>
      <c r="G990" t="s">
        <v>78</v>
      </c>
      <c r="H990">
        <v>1.73</v>
      </c>
      <c r="I990" s="1">
        <v>0</v>
      </c>
      <c r="J990" s="1">
        <v>0</v>
      </c>
      <c r="K990">
        <v>0</v>
      </c>
      <c r="L990">
        <v>1.74</v>
      </c>
      <c r="M990">
        <v>1.75</v>
      </c>
      <c r="N990" s="1">
        <v>5000000</v>
      </c>
      <c r="O990">
        <v>1.74</v>
      </c>
      <c r="P990">
        <v>2.88</v>
      </c>
      <c r="Q990">
        <v>0.6</v>
      </c>
    </row>
    <row r="991" spans="1:17" x14ac:dyDescent="0.25">
      <c r="A991" t="s">
        <v>2113</v>
      </c>
      <c r="B991" t="s">
        <v>2114</v>
      </c>
      <c r="C991">
        <v>0.35</v>
      </c>
      <c r="D991">
        <v>-0.02</v>
      </c>
      <c r="E991">
        <v>0.35</v>
      </c>
      <c r="F991">
        <v>0.35</v>
      </c>
      <c r="G991">
        <v>0.35</v>
      </c>
      <c r="H991">
        <v>0.35</v>
      </c>
      <c r="I991" s="1">
        <v>220000</v>
      </c>
      <c r="J991" s="1">
        <v>77000</v>
      </c>
      <c r="K991">
        <v>3</v>
      </c>
      <c r="L991">
        <v>0.35</v>
      </c>
      <c r="M991">
        <v>0.36</v>
      </c>
      <c r="N991" s="1">
        <v>5000000</v>
      </c>
      <c r="O991">
        <v>0.35</v>
      </c>
      <c r="P991">
        <v>0.98</v>
      </c>
      <c r="Q991">
        <v>0.01</v>
      </c>
    </row>
    <row r="992" spans="1:17" x14ac:dyDescent="0.25">
      <c r="A992" t="s">
        <v>2115</v>
      </c>
      <c r="B992" t="s">
        <v>2116</v>
      </c>
      <c r="C992">
        <v>1.56</v>
      </c>
      <c r="D992">
        <v>-0.04</v>
      </c>
      <c r="E992">
        <v>1.55</v>
      </c>
      <c r="F992">
        <v>1.56</v>
      </c>
      <c r="G992">
        <v>1.55</v>
      </c>
      <c r="H992">
        <v>1.56</v>
      </c>
      <c r="I992" s="1">
        <v>95000</v>
      </c>
      <c r="J992" s="1">
        <v>147730</v>
      </c>
      <c r="K992">
        <v>2</v>
      </c>
      <c r="L992">
        <v>1.55</v>
      </c>
      <c r="M992">
        <v>1.58</v>
      </c>
      <c r="N992" s="1">
        <v>10000000</v>
      </c>
      <c r="O992">
        <v>1.56</v>
      </c>
      <c r="P992">
        <v>2.34</v>
      </c>
      <c r="Q992">
        <v>0.78</v>
      </c>
    </row>
    <row r="993" spans="1:17" x14ac:dyDescent="0.25">
      <c r="A993" t="s">
        <v>2117</v>
      </c>
      <c r="B993" t="s">
        <v>2118</v>
      </c>
      <c r="C993">
        <v>0.86</v>
      </c>
      <c r="D993">
        <v>0.02</v>
      </c>
      <c r="E993">
        <v>0.79</v>
      </c>
      <c r="F993">
        <v>0.86</v>
      </c>
      <c r="G993">
        <v>0.78</v>
      </c>
      <c r="H993">
        <v>0.82</v>
      </c>
      <c r="I993" s="1">
        <v>545000</v>
      </c>
      <c r="J993" s="1">
        <v>447100</v>
      </c>
      <c r="K993">
        <v>17</v>
      </c>
      <c r="L993">
        <v>0.85</v>
      </c>
      <c r="M993">
        <v>0.86</v>
      </c>
      <c r="N993" s="1">
        <v>5000000</v>
      </c>
      <c r="O993">
        <v>0.86</v>
      </c>
      <c r="P993">
        <v>2.2400000000000002</v>
      </c>
      <c r="Q993">
        <v>0.01</v>
      </c>
    </row>
    <row r="994" spans="1:17" x14ac:dyDescent="0.25">
      <c r="A994" t="s">
        <v>2119</v>
      </c>
      <c r="B994" t="s">
        <v>2120</v>
      </c>
      <c r="C994">
        <v>0.4</v>
      </c>
      <c r="D994">
        <v>0.03</v>
      </c>
      <c r="E994">
        <v>0.41</v>
      </c>
      <c r="F994">
        <v>0.41</v>
      </c>
      <c r="G994">
        <v>0.4</v>
      </c>
      <c r="H994">
        <v>0.4</v>
      </c>
      <c r="I994" s="1">
        <v>31000</v>
      </c>
      <c r="J994" s="1">
        <v>12410</v>
      </c>
      <c r="K994">
        <v>2</v>
      </c>
      <c r="L994">
        <v>0.37</v>
      </c>
      <c r="M994">
        <v>0.38</v>
      </c>
      <c r="N994" s="1">
        <v>5000000</v>
      </c>
      <c r="O994">
        <v>0.4</v>
      </c>
      <c r="P994">
        <v>1.44</v>
      </c>
      <c r="Q994">
        <v>0.01</v>
      </c>
    </row>
    <row r="995" spans="1:17" x14ac:dyDescent="0.25">
      <c r="A995" t="s">
        <v>2121</v>
      </c>
      <c r="B995" t="s">
        <v>2122</v>
      </c>
      <c r="C995">
        <v>1</v>
      </c>
      <c r="D995">
        <v>-0.02</v>
      </c>
      <c r="E995">
        <v>1</v>
      </c>
      <c r="F995">
        <v>1</v>
      </c>
      <c r="G995">
        <v>1</v>
      </c>
      <c r="H995">
        <v>1</v>
      </c>
      <c r="I995" s="1">
        <v>10000</v>
      </c>
      <c r="J995" s="1">
        <v>10000</v>
      </c>
      <c r="K995">
        <v>1</v>
      </c>
      <c r="L995">
        <v>1</v>
      </c>
      <c r="M995">
        <v>1.02</v>
      </c>
      <c r="N995" s="1">
        <v>10000000</v>
      </c>
      <c r="O995">
        <v>1</v>
      </c>
      <c r="P995">
        <v>1.37</v>
      </c>
      <c r="Q995">
        <v>0.63</v>
      </c>
    </row>
    <row r="996" spans="1:17" x14ac:dyDescent="0.25">
      <c r="A996" t="s">
        <v>2123</v>
      </c>
      <c r="B996" t="s">
        <v>2124</v>
      </c>
      <c r="C996" t="s">
        <v>78</v>
      </c>
      <c r="D996" t="s">
        <v>78</v>
      </c>
      <c r="E996" t="s">
        <v>78</v>
      </c>
      <c r="F996" t="s">
        <v>78</v>
      </c>
      <c r="G996" t="s">
        <v>78</v>
      </c>
      <c r="H996">
        <v>1.68</v>
      </c>
      <c r="I996" s="1">
        <v>0</v>
      </c>
      <c r="J996" s="1">
        <v>0</v>
      </c>
      <c r="K996">
        <v>0</v>
      </c>
      <c r="L996">
        <v>1.62</v>
      </c>
      <c r="M996">
        <v>1.64</v>
      </c>
      <c r="N996" s="1">
        <v>5000000</v>
      </c>
      <c r="O996">
        <v>1.64</v>
      </c>
      <c r="P996">
        <v>2.19</v>
      </c>
      <c r="Q996">
        <v>1.0900000000000001</v>
      </c>
    </row>
    <row r="997" spans="1:17" x14ac:dyDescent="0.25">
      <c r="A997" t="s">
        <v>2125</v>
      </c>
      <c r="B997" t="s">
        <v>2126</v>
      </c>
      <c r="C997" t="s">
        <v>78</v>
      </c>
      <c r="D997" t="s">
        <v>78</v>
      </c>
      <c r="E997" t="s">
        <v>78</v>
      </c>
      <c r="F997" t="s">
        <v>78</v>
      </c>
      <c r="G997" t="s">
        <v>78</v>
      </c>
      <c r="H997">
        <v>0.91</v>
      </c>
      <c r="I997" s="1">
        <v>0</v>
      </c>
      <c r="J997" s="1">
        <v>0</v>
      </c>
      <c r="K997">
        <v>0</v>
      </c>
      <c r="L997">
        <v>0.89</v>
      </c>
      <c r="M997">
        <v>0.9</v>
      </c>
      <c r="N997" s="1">
        <v>10000000</v>
      </c>
      <c r="O997">
        <v>0.9</v>
      </c>
      <c r="P997">
        <v>1.48</v>
      </c>
      <c r="Q997">
        <v>0.32</v>
      </c>
    </row>
    <row r="998" spans="1:17" x14ac:dyDescent="0.25">
      <c r="A998" t="s">
        <v>2127</v>
      </c>
      <c r="B998" t="s">
        <v>2128</v>
      </c>
      <c r="C998">
        <v>1.17</v>
      </c>
      <c r="D998">
        <v>0</v>
      </c>
      <c r="E998">
        <v>1.1399999999999999</v>
      </c>
      <c r="F998">
        <v>1.17</v>
      </c>
      <c r="G998">
        <v>1.1399999999999999</v>
      </c>
      <c r="H998">
        <v>1.1599999999999999</v>
      </c>
      <c r="I998" s="1">
        <v>233000</v>
      </c>
      <c r="J998" s="1">
        <v>269910</v>
      </c>
      <c r="K998">
        <v>6</v>
      </c>
      <c r="L998">
        <v>1.18</v>
      </c>
      <c r="M998">
        <v>1.19</v>
      </c>
      <c r="N998" s="1">
        <v>5000000</v>
      </c>
      <c r="O998">
        <v>1.17</v>
      </c>
      <c r="P998">
        <v>2.35</v>
      </c>
      <c r="Q998">
        <v>0.01</v>
      </c>
    </row>
    <row r="999" spans="1:17" x14ac:dyDescent="0.25">
      <c r="A999" t="s">
        <v>2129</v>
      </c>
      <c r="B999" t="s">
        <v>2130</v>
      </c>
      <c r="C999" t="s">
        <v>78</v>
      </c>
      <c r="D999" t="s">
        <v>78</v>
      </c>
      <c r="E999" t="s">
        <v>78</v>
      </c>
      <c r="F999" t="s">
        <v>78</v>
      </c>
      <c r="G999" t="s">
        <v>78</v>
      </c>
      <c r="H999">
        <v>0.56999999999999995</v>
      </c>
      <c r="I999" s="1">
        <v>0</v>
      </c>
      <c r="J999" s="1">
        <v>0</v>
      </c>
      <c r="K999">
        <v>0</v>
      </c>
      <c r="L999">
        <v>0.53</v>
      </c>
      <c r="M999">
        <v>0.59</v>
      </c>
      <c r="N999" s="1">
        <v>5000000</v>
      </c>
      <c r="O999">
        <v>0.56999999999999995</v>
      </c>
      <c r="P999">
        <v>1.69</v>
      </c>
      <c r="Q999">
        <v>0.01</v>
      </c>
    </row>
    <row r="1000" spans="1:17" x14ac:dyDescent="0.25">
      <c r="A1000" t="s">
        <v>2131</v>
      </c>
      <c r="B1000" t="s">
        <v>2132</v>
      </c>
      <c r="C1000" t="s">
        <v>78</v>
      </c>
      <c r="D1000" t="s">
        <v>78</v>
      </c>
      <c r="E1000" t="s">
        <v>78</v>
      </c>
      <c r="F1000" t="s">
        <v>78</v>
      </c>
      <c r="G1000" t="s">
        <v>78</v>
      </c>
      <c r="H1000">
        <v>0.42</v>
      </c>
      <c r="I1000" s="1">
        <v>0</v>
      </c>
      <c r="J1000" s="1">
        <v>0</v>
      </c>
      <c r="K1000">
        <v>0</v>
      </c>
      <c r="L1000">
        <v>0.38</v>
      </c>
      <c r="M1000">
        <v>0.39</v>
      </c>
      <c r="N1000" s="1">
        <v>5000000</v>
      </c>
      <c r="O1000">
        <v>0.39</v>
      </c>
      <c r="P1000">
        <v>0.97</v>
      </c>
      <c r="Q1000">
        <v>0.01</v>
      </c>
    </row>
    <row r="1001" spans="1:17" x14ac:dyDescent="0.25">
      <c r="A1001" t="s">
        <v>2133</v>
      </c>
      <c r="B1001" t="s">
        <v>2134</v>
      </c>
      <c r="C1001">
        <v>0.69</v>
      </c>
      <c r="D1001">
        <v>0.01</v>
      </c>
      <c r="E1001">
        <v>0.69</v>
      </c>
      <c r="F1001">
        <v>0.69</v>
      </c>
      <c r="G1001">
        <v>0.69</v>
      </c>
      <c r="H1001">
        <v>0.69</v>
      </c>
      <c r="I1001" s="1">
        <v>48000</v>
      </c>
      <c r="J1001" s="1">
        <v>33120</v>
      </c>
      <c r="K1001">
        <v>1</v>
      </c>
      <c r="L1001">
        <v>0.69</v>
      </c>
      <c r="M1001">
        <v>0.7</v>
      </c>
      <c r="N1001" s="1">
        <v>5000000</v>
      </c>
      <c r="O1001">
        <v>0.69</v>
      </c>
      <c r="P1001">
        <v>1.67</v>
      </c>
      <c r="Q1001">
        <v>0.01</v>
      </c>
    </row>
    <row r="1002" spans="1:17" x14ac:dyDescent="0.25">
      <c r="A1002" t="s">
        <v>2135</v>
      </c>
      <c r="B1002" t="s">
        <v>2136</v>
      </c>
      <c r="C1002">
        <v>1.27</v>
      </c>
      <c r="D1002">
        <v>0.01</v>
      </c>
      <c r="E1002">
        <v>1.23</v>
      </c>
      <c r="F1002">
        <v>1.27</v>
      </c>
      <c r="G1002">
        <v>1.23</v>
      </c>
      <c r="H1002">
        <v>1.27</v>
      </c>
      <c r="I1002" s="1">
        <v>132000</v>
      </c>
      <c r="J1002" s="1">
        <v>167400</v>
      </c>
      <c r="K1002">
        <v>2</v>
      </c>
      <c r="L1002">
        <v>1.28</v>
      </c>
      <c r="M1002">
        <v>1.29</v>
      </c>
      <c r="N1002" s="1">
        <v>5000000</v>
      </c>
      <c r="O1002">
        <v>1.27</v>
      </c>
      <c r="P1002">
        <v>2.0299999999999998</v>
      </c>
      <c r="Q1002">
        <v>0.51</v>
      </c>
    </row>
    <row r="1003" spans="1:17" x14ac:dyDescent="0.25">
      <c r="A1003" t="s">
        <v>2137</v>
      </c>
      <c r="B1003" t="s">
        <v>2138</v>
      </c>
      <c r="C1003">
        <v>0.7</v>
      </c>
      <c r="D1003">
        <v>-0.09</v>
      </c>
      <c r="E1003">
        <v>0.76</v>
      </c>
      <c r="F1003">
        <v>0.76</v>
      </c>
      <c r="G1003">
        <v>0.7</v>
      </c>
      <c r="H1003">
        <v>0.74</v>
      </c>
      <c r="I1003" s="1">
        <v>580000</v>
      </c>
      <c r="J1003" s="1">
        <v>430650</v>
      </c>
      <c r="K1003">
        <v>13</v>
      </c>
      <c r="L1003">
        <v>0.69</v>
      </c>
      <c r="M1003">
        <v>0.7</v>
      </c>
      <c r="N1003" s="1">
        <v>5000000</v>
      </c>
      <c r="O1003">
        <v>0.7</v>
      </c>
      <c r="P1003">
        <v>1.47</v>
      </c>
      <c r="Q1003">
        <v>0.01</v>
      </c>
    </row>
    <row r="1004" spans="1:17" x14ac:dyDescent="0.25">
      <c r="A1004" t="s">
        <v>2139</v>
      </c>
      <c r="B1004" t="s">
        <v>2140</v>
      </c>
      <c r="C1004">
        <v>0.88</v>
      </c>
      <c r="D1004">
        <v>-0.08</v>
      </c>
      <c r="E1004">
        <v>0.95</v>
      </c>
      <c r="F1004">
        <v>0.97</v>
      </c>
      <c r="G1004">
        <v>0.87</v>
      </c>
      <c r="H1004">
        <v>0.91</v>
      </c>
      <c r="I1004" s="1">
        <v>270000</v>
      </c>
      <c r="J1004" s="1">
        <v>246010</v>
      </c>
      <c r="K1004">
        <v>14</v>
      </c>
      <c r="L1004">
        <v>0.88</v>
      </c>
      <c r="M1004">
        <v>0.89</v>
      </c>
      <c r="N1004" s="1">
        <v>5000000</v>
      </c>
      <c r="O1004">
        <v>0.88</v>
      </c>
      <c r="P1004">
        <v>2.2799999999999998</v>
      </c>
      <c r="Q1004">
        <v>0.01</v>
      </c>
    </row>
    <row r="1005" spans="1:17" x14ac:dyDescent="0.25">
      <c r="A1005" t="s">
        <v>2141</v>
      </c>
      <c r="B1005" t="s">
        <v>2142</v>
      </c>
      <c r="C1005" t="s">
        <v>78</v>
      </c>
      <c r="D1005" t="s">
        <v>78</v>
      </c>
      <c r="E1005" t="s">
        <v>78</v>
      </c>
      <c r="F1005" t="s">
        <v>78</v>
      </c>
      <c r="G1005" t="s">
        <v>78</v>
      </c>
      <c r="H1005">
        <v>1.57</v>
      </c>
      <c r="I1005" s="1">
        <v>0</v>
      </c>
      <c r="J1005" s="1">
        <v>0</v>
      </c>
      <c r="K1005">
        <v>0</v>
      </c>
      <c r="L1005">
        <v>1.58</v>
      </c>
      <c r="M1005">
        <v>1.6</v>
      </c>
      <c r="N1005" s="1">
        <v>7000000</v>
      </c>
      <c r="O1005">
        <v>1.58</v>
      </c>
      <c r="P1005">
        <v>2.34</v>
      </c>
      <c r="Q1005">
        <v>0.82</v>
      </c>
    </row>
    <row r="1006" spans="1:17" x14ac:dyDescent="0.25">
      <c r="A1006" t="s">
        <v>2143</v>
      </c>
      <c r="B1006" t="s">
        <v>2144</v>
      </c>
      <c r="C1006" t="s">
        <v>78</v>
      </c>
      <c r="D1006" t="s">
        <v>78</v>
      </c>
      <c r="E1006" t="s">
        <v>78</v>
      </c>
      <c r="F1006" t="s">
        <v>78</v>
      </c>
      <c r="G1006" t="s">
        <v>78</v>
      </c>
      <c r="H1006">
        <v>1.47</v>
      </c>
      <c r="I1006" s="1">
        <v>0</v>
      </c>
      <c r="J1006" s="1">
        <v>0</v>
      </c>
      <c r="K1006">
        <v>0</v>
      </c>
      <c r="L1006">
        <v>1.47</v>
      </c>
      <c r="M1006">
        <v>1.49</v>
      </c>
      <c r="N1006" s="1">
        <v>7000000</v>
      </c>
      <c r="O1006">
        <v>1.47</v>
      </c>
      <c r="P1006">
        <v>2.23</v>
      </c>
      <c r="Q1006">
        <v>0.71</v>
      </c>
    </row>
    <row r="1007" spans="1:17" x14ac:dyDescent="0.25">
      <c r="A1007" t="s">
        <v>2145</v>
      </c>
      <c r="B1007" t="s">
        <v>2146</v>
      </c>
      <c r="C1007" t="s">
        <v>78</v>
      </c>
      <c r="D1007" t="s">
        <v>78</v>
      </c>
      <c r="E1007" t="s">
        <v>78</v>
      </c>
      <c r="F1007" t="s">
        <v>78</v>
      </c>
      <c r="G1007" t="s">
        <v>78</v>
      </c>
      <c r="H1007">
        <v>0.69</v>
      </c>
      <c r="I1007" s="1">
        <v>0</v>
      </c>
      <c r="J1007" s="1">
        <v>0</v>
      </c>
      <c r="K1007">
        <v>0</v>
      </c>
      <c r="L1007">
        <v>0.64</v>
      </c>
      <c r="M1007">
        <v>0.66</v>
      </c>
      <c r="N1007" s="1">
        <v>10000000</v>
      </c>
      <c r="O1007">
        <v>0.66</v>
      </c>
      <c r="P1007">
        <v>1.61</v>
      </c>
      <c r="Q1007">
        <v>0.01</v>
      </c>
    </row>
    <row r="1008" spans="1:17" x14ac:dyDescent="0.25">
      <c r="A1008" t="s">
        <v>2147</v>
      </c>
      <c r="B1008" t="s">
        <v>2148</v>
      </c>
      <c r="C1008">
        <v>1.4</v>
      </c>
      <c r="D1008">
        <v>-0.23</v>
      </c>
      <c r="E1008">
        <v>1.59</v>
      </c>
      <c r="F1008">
        <v>1.6</v>
      </c>
      <c r="G1008">
        <v>1.4</v>
      </c>
      <c r="H1008">
        <v>1.52</v>
      </c>
      <c r="I1008" s="1">
        <v>667000</v>
      </c>
      <c r="J1008" s="1">
        <v>1014640</v>
      </c>
      <c r="K1008">
        <v>15</v>
      </c>
      <c r="L1008">
        <v>1.5</v>
      </c>
      <c r="M1008">
        <v>1.52</v>
      </c>
      <c r="N1008" s="1">
        <v>10000000</v>
      </c>
      <c r="O1008">
        <v>1.4</v>
      </c>
      <c r="P1008">
        <v>3.43</v>
      </c>
      <c r="Q1008">
        <v>0.01</v>
      </c>
    </row>
    <row r="1009" spans="1:17" x14ac:dyDescent="0.25">
      <c r="A1009" t="s">
        <v>2149</v>
      </c>
      <c r="B1009" t="s">
        <v>2150</v>
      </c>
      <c r="C1009">
        <v>0.4</v>
      </c>
      <c r="D1009">
        <v>0.03</v>
      </c>
      <c r="E1009">
        <v>0.4</v>
      </c>
      <c r="F1009">
        <v>0.4</v>
      </c>
      <c r="G1009">
        <v>0.4</v>
      </c>
      <c r="H1009">
        <v>0.4</v>
      </c>
      <c r="I1009" s="1">
        <v>30000</v>
      </c>
      <c r="J1009" s="1">
        <v>12000</v>
      </c>
      <c r="K1009">
        <v>1</v>
      </c>
      <c r="L1009">
        <v>0.38</v>
      </c>
      <c r="M1009">
        <v>0.42</v>
      </c>
      <c r="N1009" s="1">
        <v>5000000</v>
      </c>
      <c r="O1009">
        <v>0.4</v>
      </c>
      <c r="P1009">
        <v>1.52</v>
      </c>
      <c r="Q1009">
        <v>0.01</v>
      </c>
    </row>
    <row r="1010" spans="1:17" x14ac:dyDescent="0.25">
      <c r="A1010" t="s">
        <v>2151</v>
      </c>
      <c r="B1010" t="s">
        <v>2152</v>
      </c>
      <c r="C1010">
        <v>1.62</v>
      </c>
      <c r="D1010">
        <v>0.03</v>
      </c>
      <c r="E1010">
        <v>1.62</v>
      </c>
      <c r="F1010">
        <v>1.62</v>
      </c>
      <c r="G1010">
        <v>1.62</v>
      </c>
      <c r="H1010">
        <v>1.62</v>
      </c>
      <c r="I1010" s="1">
        <v>5000</v>
      </c>
      <c r="J1010" s="1">
        <v>8100</v>
      </c>
      <c r="K1010">
        <v>1</v>
      </c>
      <c r="L1010">
        <v>1.6</v>
      </c>
      <c r="M1010">
        <v>1.61</v>
      </c>
      <c r="N1010" s="1">
        <v>5000000</v>
      </c>
      <c r="O1010">
        <v>1.62</v>
      </c>
      <c r="P1010">
        <v>2.17</v>
      </c>
      <c r="Q1010">
        <v>1.07</v>
      </c>
    </row>
    <row r="1011" spans="1:17" x14ac:dyDescent="0.25">
      <c r="A1011" t="s">
        <v>2153</v>
      </c>
      <c r="B1011" t="s">
        <v>2154</v>
      </c>
      <c r="C1011">
        <v>0.57999999999999996</v>
      </c>
      <c r="D1011">
        <v>0</v>
      </c>
      <c r="E1011">
        <v>0.54</v>
      </c>
      <c r="F1011">
        <v>0.57999999999999996</v>
      </c>
      <c r="G1011">
        <v>0.54</v>
      </c>
      <c r="H1011">
        <v>0.56999999999999995</v>
      </c>
      <c r="I1011" s="1">
        <v>146000</v>
      </c>
      <c r="J1011" s="1">
        <v>82900</v>
      </c>
      <c r="K1011">
        <v>5</v>
      </c>
      <c r="L1011">
        <v>0.56000000000000005</v>
      </c>
      <c r="M1011">
        <v>0.57999999999999996</v>
      </c>
      <c r="N1011" s="1">
        <v>5000000</v>
      </c>
      <c r="O1011">
        <v>0.57999999999999996</v>
      </c>
      <c r="P1011">
        <v>1.56</v>
      </c>
      <c r="Q1011">
        <v>0.01</v>
      </c>
    </row>
    <row r="1012" spans="1:17" x14ac:dyDescent="0.25">
      <c r="A1012" t="s">
        <v>2155</v>
      </c>
      <c r="B1012" t="s">
        <v>2156</v>
      </c>
      <c r="C1012" t="s">
        <v>78</v>
      </c>
      <c r="D1012" t="s">
        <v>78</v>
      </c>
      <c r="E1012" t="s">
        <v>78</v>
      </c>
      <c r="F1012" t="s">
        <v>78</v>
      </c>
      <c r="G1012" t="s">
        <v>78</v>
      </c>
      <c r="H1012">
        <v>1.51</v>
      </c>
      <c r="I1012" s="1">
        <v>0</v>
      </c>
      <c r="J1012" s="1">
        <v>0</v>
      </c>
      <c r="K1012">
        <v>0</v>
      </c>
      <c r="L1012">
        <v>1.64</v>
      </c>
      <c r="M1012">
        <v>1.74</v>
      </c>
      <c r="N1012" s="1">
        <v>10000000</v>
      </c>
      <c r="O1012">
        <v>1.66</v>
      </c>
      <c r="P1012">
        <v>2.2400000000000002</v>
      </c>
      <c r="Q1012">
        <v>1.08</v>
      </c>
    </row>
    <row r="1013" spans="1:17" x14ac:dyDescent="0.25">
      <c r="A1013" t="s">
        <v>2157</v>
      </c>
      <c r="B1013" t="s">
        <v>2158</v>
      </c>
      <c r="C1013" t="s">
        <v>78</v>
      </c>
      <c r="D1013" t="s">
        <v>78</v>
      </c>
      <c r="E1013" t="s">
        <v>78</v>
      </c>
      <c r="F1013" t="s">
        <v>78</v>
      </c>
      <c r="G1013" t="s">
        <v>78</v>
      </c>
      <c r="H1013">
        <v>1.79</v>
      </c>
      <c r="I1013" s="1">
        <v>0</v>
      </c>
      <c r="J1013" s="1">
        <v>0</v>
      </c>
      <c r="K1013">
        <v>0</v>
      </c>
      <c r="L1013">
        <v>1.82</v>
      </c>
      <c r="M1013">
        <v>1.84</v>
      </c>
      <c r="N1013" s="1">
        <v>10000000</v>
      </c>
      <c r="O1013">
        <v>1.82</v>
      </c>
      <c r="P1013">
        <v>2.69</v>
      </c>
      <c r="Q1013">
        <v>0.95</v>
      </c>
    </row>
    <row r="1014" spans="1:17" x14ac:dyDescent="0.25">
      <c r="A1014" t="s">
        <v>2159</v>
      </c>
      <c r="B1014" t="s">
        <v>2160</v>
      </c>
      <c r="C1014">
        <v>1.67</v>
      </c>
      <c r="D1014">
        <v>0</v>
      </c>
      <c r="E1014">
        <v>1.67</v>
      </c>
      <c r="F1014">
        <v>1.67</v>
      </c>
      <c r="G1014">
        <v>1.67</v>
      </c>
      <c r="H1014">
        <v>1.67</v>
      </c>
      <c r="I1014" s="1">
        <v>143000</v>
      </c>
      <c r="J1014" s="1">
        <v>238810</v>
      </c>
      <c r="K1014">
        <v>1</v>
      </c>
      <c r="L1014">
        <v>1.68</v>
      </c>
      <c r="M1014">
        <v>1.69</v>
      </c>
      <c r="N1014" s="1">
        <v>10000000</v>
      </c>
      <c r="O1014">
        <v>1.67</v>
      </c>
      <c r="P1014">
        <v>2.83</v>
      </c>
      <c r="Q1014">
        <v>0.51</v>
      </c>
    </row>
    <row r="1015" spans="1:17" x14ac:dyDescent="0.25">
      <c r="A1015" t="s">
        <v>2161</v>
      </c>
      <c r="B1015" t="s">
        <v>2162</v>
      </c>
      <c r="C1015" t="s">
        <v>78</v>
      </c>
      <c r="D1015" t="s">
        <v>78</v>
      </c>
      <c r="E1015" t="s">
        <v>78</v>
      </c>
      <c r="F1015" t="s">
        <v>78</v>
      </c>
      <c r="G1015" t="s">
        <v>78</v>
      </c>
      <c r="H1015">
        <v>0.31</v>
      </c>
      <c r="I1015" s="1">
        <v>0</v>
      </c>
      <c r="J1015" s="1">
        <v>0</v>
      </c>
      <c r="K1015">
        <v>0</v>
      </c>
      <c r="L1015">
        <v>0.32</v>
      </c>
      <c r="M1015">
        <v>0.33</v>
      </c>
      <c r="N1015" s="1">
        <v>5000000</v>
      </c>
      <c r="O1015">
        <v>0.32</v>
      </c>
      <c r="P1015">
        <v>1.58</v>
      </c>
      <c r="Q1015">
        <v>0.01</v>
      </c>
    </row>
    <row r="1016" spans="1:17" x14ac:dyDescent="0.25">
      <c r="A1016" t="s">
        <v>2163</v>
      </c>
      <c r="B1016" t="s">
        <v>2164</v>
      </c>
      <c r="C1016" t="s">
        <v>78</v>
      </c>
      <c r="D1016" t="s">
        <v>78</v>
      </c>
      <c r="E1016" t="s">
        <v>78</v>
      </c>
      <c r="F1016" t="s">
        <v>78</v>
      </c>
      <c r="G1016" t="s">
        <v>78</v>
      </c>
      <c r="H1016">
        <v>1.03</v>
      </c>
      <c r="I1016" s="1">
        <v>0</v>
      </c>
      <c r="J1016" s="1">
        <v>0</v>
      </c>
      <c r="K1016">
        <v>0</v>
      </c>
      <c r="L1016">
        <v>0.95</v>
      </c>
      <c r="M1016">
        <v>0.96</v>
      </c>
      <c r="N1016" s="1">
        <v>10000000</v>
      </c>
      <c r="O1016">
        <v>0.96</v>
      </c>
      <c r="P1016">
        <v>1.54</v>
      </c>
      <c r="Q1016">
        <v>0.38</v>
      </c>
    </row>
    <row r="1017" spans="1:17" x14ac:dyDescent="0.25">
      <c r="A1017" t="s">
        <v>2165</v>
      </c>
      <c r="B1017" t="s">
        <v>2166</v>
      </c>
      <c r="C1017" t="s">
        <v>78</v>
      </c>
      <c r="D1017" t="s">
        <v>78</v>
      </c>
      <c r="E1017" t="s">
        <v>78</v>
      </c>
      <c r="F1017" t="s">
        <v>78</v>
      </c>
      <c r="G1017" t="s">
        <v>78</v>
      </c>
      <c r="H1017">
        <v>0.7</v>
      </c>
      <c r="I1017" s="1">
        <v>0</v>
      </c>
      <c r="J1017" s="1">
        <v>0</v>
      </c>
      <c r="K1017">
        <v>0</v>
      </c>
      <c r="L1017">
        <v>0.71</v>
      </c>
      <c r="M1017">
        <v>0.72</v>
      </c>
      <c r="N1017" s="1">
        <v>5000000</v>
      </c>
      <c r="O1017">
        <v>0.71</v>
      </c>
      <c r="P1017">
        <v>1.62</v>
      </c>
      <c r="Q1017">
        <v>0.01</v>
      </c>
    </row>
    <row r="1018" spans="1:17" x14ac:dyDescent="0.25">
      <c r="A1018" t="s">
        <v>2167</v>
      </c>
      <c r="B1018" t="s">
        <v>2168</v>
      </c>
      <c r="C1018">
        <v>0.62</v>
      </c>
      <c r="D1018">
        <v>0.01</v>
      </c>
      <c r="E1018">
        <v>0.55000000000000004</v>
      </c>
      <c r="F1018">
        <v>0.62</v>
      </c>
      <c r="G1018">
        <v>0.54</v>
      </c>
      <c r="H1018">
        <v>0.59</v>
      </c>
      <c r="I1018" s="1">
        <v>590000</v>
      </c>
      <c r="J1018" s="1">
        <v>346490</v>
      </c>
      <c r="K1018">
        <v>10</v>
      </c>
      <c r="L1018">
        <v>0.6</v>
      </c>
      <c r="M1018">
        <v>0.62</v>
      </c>
      <c r="N1018" s="1">
        <v>5000000</v>
      </c>
      <c r="O1018">
        <v>0.62</v>
      </c>
      <c r="P1018">
        <v>2.02</v>
      </c>
      <c r="Q1018">
        <v>0.01</v>
      </c>
    </row>
    <row r="1019" spans="1:17" x14ac:dyDescent="0.25">
      <c r="A1019" t="s">
        <v>2169</v>
      </c>
      <c r="B1019" t="s">
        <v>2170</v>
      </c>
      <c r="C1019" t="s">
        <v>78</v>
      </c>
      <c r="D1019" t="s">
        <v>78</v>
      </c>
      <c r="E1019" t="s">
        <v>78</v>
      </c>
      <c r="F1019" t="s">
        <v>78</v>
      </c>
      <c r="G1019" t="s">
        <v>78</v>
      </c>
      <c r="H1019">
        <v>1.07</v>
      </c>
      <c r="I1019" s="1">
        <v>0</v>
      </c>
      <c r="J1019" s="1">
        <v>0</v>
      </c>
      <c r="K1019">
        <v>0</v>
      </c>
      <c r="L1019">
        <v>1.01</v>
      </c>
      <c r="M1019">
        <v>1.02</v>
      </c>
      <c r="N1019" s="1">
        <v>10000000</v>
      </c>
      <c r="O1019">
        <v>1.02</v>
      </c>
      <c r="P1019">
        <v>1.58</v>
      </c>
      <c r="Q1019">
        <v>0.46</v>
      </c>
    </row>
    <row r="1020" spans="1:17" x14ac:dyDescent="0.25">
      <c r="A1020" t="s">
        <v>2171</v>
      </c>
      <c r="B1020" t="s">
        <v>2172</v>
      </c>
      <c r="C1020">
        <v>0.26</v>
      </c>
      <c r="D1020">
        <v>0</v>
      </c>
      <c r="E1020">
        <v>0.24</v>
      </c>
      <c r="F1020">
        <v>0.27</v>
      </c>
      <c r="G1020">
        <v>0.24</v>
      </c>
      <c r="H1020">
        <v>0.25</v>
      </c>
      <c r="I1020" s="1">
        <v>3658000</v>
      </c>
      <c r="J1020" s="1">
        <v>929870</v>
      </c>
      <c r="K1020">
        <v>45</v>
      </c>
      <c r="L1020">
        <v>0.25</v>
      </c>
      <c r="M1020">
        <v>0.26</v>
      </c>
      <c r="N1020" s="1">
        <v>10000000</v>
      </c>
      <c r="O1020">
        <v>0.26</v>
      </c>
      <c r="P1020">
        <v>1.08</v>
      </c>
      <c r="Q1020">
        <v>0.01</v>
      </c>
    </row>
    <row r="1021" spans="1:17" x14ac:dyDescent="0.25">
      <c r="A1021" t="s">
        <v>2173</v>
      </c>
      <c r="B1021" t="s">
        <v>2174</v>
      </c>
      <c r="C1021">
        <v>0.46</v>
      </c>
      <c r="D1021">
        <v>0.06</v>
      </c>
      <c r="E1021">
        <v>0.46</v>
      </c>
      <c r="F1021">
        <v>0.46</v>
      </c>
      <c r="G1021">
        <v>0.46</v>
      </c>
      <c r="H1021">
        <v>0.46</v>
      </c>
      <c r="I1021" s="1">
        <v>1000</v>
      </c>
      <c r="J1021" s="1">
        <v>460</v>
      </c>
      <c r="K1021">
        <v>1</v>
      </c>
      <c r="L1021">
        <v>0.41</v>
      </c>
      <c r="M1021">
        <v>0.46</v>
      </c>
      <c r="N1021" s="1">
        <v>15000000</v>
      </c>
      <c r="O1021">
        <v>0.46</v>
      </c>
      <c r="P1021">
        <v>1.04</v>
      </c>
      <c r="Q1021">
        <v>0.01</v>
      </c>
    </row>
    <row r="1022" spans="1:17" x14ac:dyDescent="0.25">
      <c r="A1022" t="s">
        <v>2175</v>
      </c>
      <c r="B1022" t="s">
        <v>2176</v>
      </c>
      <c r="C1022">
        <v>0.1</v>
      </c>
      <c r="D1022">
        <v>0</v>
      </c>
      <c r="E1022">
        <v>0.09</v>
      </c>
      <c r="F1022">
        <v>0.11</v>
      </c>
      <c r="G1022">
        <v>0.09</v>
      </c>
      <c r="H1022">
        <v>0.1</v>
      </c>
      <c r="I1022" s="1">
        <v>36000</v>
      </c>
      <c r="J1022" s="1">
        <v>3440</v>
      </c>
      <c r="K1022">
        <v>5</v>
      </c>
      <c r="L1022">
        <v>0.1</v>
      </c>
      <c r="M1022">
        <v>0.11</v>
      </c>
      <c r="N1022" s="1">
        <v>10000000</v>
      </c>
      <c r="O1022">
        <v>0.1</v>
      </c>
      <c r="P1022">
        <v>0.92</v>
      </c>
      <c r="Q1022">
        <v>0.01</v>
      </c>
    </row>
    <row r="1023" spans="1:17" x14ac:dyDescent="0.25">
      <c r="A1023" t="s">
        <v>2177</v>
      </c>
      <c r="B1023" t="s">
        <v>2178</v>
      </c>
      <c r="C1023">
        <v>0.53</v>
      </c>
      <c r="D1023">
        <v>-0.05</v>
      </c>
      <c r="E1023">
        <v>0.53</v>
      </c>
      <c r="F1023">
        <v>0.53</v>
      </c>
      <c r="G1023">
        <v>0.53</v>
      </c>
      <c r="H1023">
        <v>0.53</v>
      </c>
      <c r="I1023" s="1">
        <v>2000</v>
      </c>
      <c r="J1023" s="1">
        <v>1060</v>
      </c>
      <c r="K1023">
        <v>1</v>
      </c>
      <c r="L1023">
        <v>0.49</v>
      </c>
      <c r="M1023">
        <v>0.5</v>
      </c>
      <c r="N1023" s="1">
        <v>10000000</v>
      </c>
      <c r="O1023">
        <v>0.53</v>
      </c>
      <c r="P1023">
        <v>0.97</v>
      </c>
      <c r="Q1023">
        <v>0.09</v>
      </c>
    </row>
    <row r="1024" spans="1:17" x14ac:dyDescent="0.25">
      <c r="A1024" t="s">
        <v>2179</v>
      </c>
      <c r="B1024" t="s">
        <v>2180</v>
      </c>
      <c r="C1024">
        <v>0.67</v>
      </c>
      <c r="D1024">
        <v>0.01</v>
      </c>
      <c r="E1024">
        <v>0.67</v>
      </c>
      <c r="F1024">
        <v>0.67</v>
      </c>
      <c r="G1024">
        <v>0.67</v>
      </c>
      <c r="H1024">
        <v>0.67</v>
      </c>
      <c r="I1024" s="1">
        <v>230000</v>
      </c>
      <c r="J1024" s="1">
        <v>154100</v>
      </c>
      <c r="K1024">
        <v>5</v>
      </c>
      <c r="L1024">
        <v>0.67</v>
      </c>
      <c r="M1024">
        <v>0.68</v>
      </c>
      <c r="N1024" s="1">
        <v>10000000</v>
      </c>
      <c r="O1024">
        <v>0.67</v>
      </c>
      <c r="P1024">
        <v>1.38</v>
      </c>
      <c r="Q1024">
        <v>0.01</v>
      </c>
    </row>
    <row r="1025" spans="1:17" x14ac:dyDescent="0.25">
      <c r="A1025" t="s">
        <v>2181</v>
      </c>
      <c r="B1025" t="s">
        <v>2182</v>
      </c>
      <c r="C1025">
        <v>0.62</v>
      </c>
      <c r="D1025">
        <v>-0.02</v>
      </c>
      <c r="E1025">
        <v>0.61</v>
      </c>
      <c r="F1025">
        <v>0.62</v>
      </c>
      <c r="G1025">
        <v>0.6</v>
      </c>
      <c r="H1025">
        <v>0.61</v>
      </c>
      <c r="I1025" s="1">
        <v>177000</v>
      </c>
      <c r="J1025" s="1">
        <v>108570</v>
      </c>
      <c r="K1025">
        <v>7</v>
      </c>
      <c r="L1025">
        <v>0.61</v>
      </c>
      <c r="M1025">
        <v>0.62</v>
      </c>
      <c r="N1025" s="1">
        <v>5960000</v>
      </c>
      <c r="O1025">
        <v>0.62</v>
      </c>
      <c r="P1025">
        <v>1.34</v>
      </c>
      <c r="Q1025">
        <v>0.01</v>
      </c>
    </row>
    <row r="1026" spans="1:17" x14ac:dyDescent="0.25">
      <c r="A1026" t="s">
        <v>2183</v>
      </c>
      <c r="B1026" t="s">
        <v>2184</v>
      </c>
      <c r="C1026">
        <v>1.1000000000000001</v>
      </c>
      <c r="D1026">
        <v>0</v>
      </c>
      <c r="E1026">
        <v>1.06</v>
      </c>
      <c r="F1026">
        <v>1.1000000000000001</v>
      </c>
      <c r="G1026">
        <v>1.06</v>
      </c>
      <c r="H1026">
        <v>1.08</v>
      </c>
      <c r="I1026" s="1">
        <v>344000</v>
      </c>
      <c r="J1026" s="1">
        <v>372740</v>
      </c>
      <c r="K1026">
        <v>5</v>
      </c>
      <c r="L1026">
        <v>1.0900000000000001</v>
      </c>
      <c r="M1026">
        <v>1.1000000000000001</v>
      </c>
      <c r="N1026" s="1">
        <v>5000000</v>
      </c>
      <c r="O1026">
        <v>1.1000000000000001</v>
      </c>
      <c r="P1026">
        <v>1.63</v>
      </c>
      <c r="Q1026">
        <v>0.57999999999999996</v>
      </c>
    </row>
    <row r="1027" spans="1:17" x14ac:dyDescent="0.25">
      <c r="A1027" t="s">
        <v>2185</v>
      </c>
      <c r="B1027" t="s">
        <v>2186</v>
      </c>
      <c r="C1027">
        <v>1.3</v>
      </c>
      <c r="D1027">
        <v>-0.04</v>
      </c>
      <c r="E1027">
        <v>1.3</v>
      </c>
      <c r="F1027">
        <v>1.3</v>
      </c>
      <c r="G1027">
        <v>1.3</v>
      </c>
      <c r="H1027">
        <v>1.3</v>
      </c>
      <c r="I1027" s="1">
        <v>40000</v>
      </c>
      <c r="J1027" s="1">
        <v>52000</v>
      </c>
      <c r="K1027">
        <v>1</v>
      </c>
      <c r="L1027">
        <v>1.28</v>
      </c>
      <c r="M1027">
        <v>1.29</v>
      </c>
      <c r="N1027" s="1">
        <v>10000000</v>
      </c>
      <c r="O1027">
        <v>1.3</v>
      </c>
      <c r="P1027">
        <v>3.1</v>
      </c>
      <c r="Q1027">
        <v>0.01</v>
      </c>
    </row>
    <row r="1028" spans="1:17" x14ac:dyDescent="0.25">
      <c r="A1028" t="s">
        <v>2187</v>
      </c>
      <c r="B1028" t="s">
        <v>2188</v>
      </c>
      <c r="C1028">
        <v>0.56999999999999995</v>
      </c>
      <c r="D1028">
        <v>-0.03</v>
      </c>
      <c r="E1028">
        <v>0.56999999999999995</v>
      </c>
      <c r="F1028">
        <v>0.56999999999999995</v>
      </c>
      <c r="G1028">
        <v>0.56999999999999995</v>
      </c>
      <c r="H1028">
        <v>0.56999999999999995</v>
      </c>
      <c r="I1028" s="1">
        <v>90000</v>
      </c>
      <c r="J1028" s="1">
        <v>51300</v>
      </c>
      <c r="K1028">
        <v>1</v>
      </c>
      <c r="L1028">
        <v>0.55000000000000004</v>
      </c>
      <c r="M1028">
        <v>0.65</v>
      </c>
      <c r="N1028" s="1">
        <v>10000000</v>
      </c>
      <c r="O1028">
        <v>0.56999999999999995</v>
      </c>
      <c r="P1028">
        <v>1.55</v>
      </c>
      <c r="Q1028">
        <v>0.01</v>
      </c>
    </row>
    <row r="1029" spans="1:17" x14ac:dyDescent="0.25">
      <c r="A1029" t="s">
        <v>2189</v>
      </c>
      <c r="B1029" t="s">
        <v>2190</v>
      </c>
      <c r="C1029">
        <v>0.35</v>
      </c>
      <c r="D1029">
        <v>-0.01</v>
      </c>
      <c r="E1029">
        <v>0.34</v>
      </c>
      <c r="F1029">
        <v>0.35</v>
      </c>
      <c r="G1029">
        <v>0.34</v>
      </c>
      <c r="H1029">
        <v>0.35</v>
      </c>
      <c r="I1029" s="1">
        <v>155000</v>
      </c>
      <c r="J1029" s="1">
        <v>54050</v>
      </c>
      <c r="K1029">
        <v>4</v>
      </c>
      <c r="L1029">
        <v>0.35</v>
      </c>
      <c r="M1029">
        <v>0.36</v>
      </c>
      <c r="N1029" s="1">
        <v>13000000</v>
      </c>
      <c r="O1029">
        <v>0.35</v>
      </c>
      <c r="P1029">
        <v>0.94</v>
      </c>
      <c r="Q1029">
        <v>0.01</v>
      </c>
    </row>
    <row r="1030" spans="1:17" x14ac:dyDescent="0.25">
      <c r="A1030" t="s">
        <v>2191</v>
      </c>
      <c r="B1030" t="s">
        <v>2192</v>
      </c>
      <c r="C1030">
        <v>1.37</v>
      </c>
      <c r="D1030">
        <v>0</v>
      </c>
      <c r="E1030">
        <v>1.35</v>
      </c>
      <c r="F1030">
        <v>1.37</v>
      </c>
      <c r="G1030">
        <v>1.35</v>
      </c>
      <c r="H1030">
        <v>1.37</v>
      </c>
      <c r="I1030" s="1">
        <v>250000</v>
      </c>
      <c r="J1030" s="1">
        <v>341500</v>
      </c>
      <c r="K1030">
        <v>6</v>
      </c>
      <c r="L1030">
        <v>1.38</v>
      </c>
      <c r="M1030">
        <v>1.39</v>
      </c>
      <c r="N1030" s="1">
        <v>10000000</v>
      </c>
      <c r="O1030">
        <v>1.37</v>
      </c>
      <c r="P1030">
        <v>1.8</v>
      </c>
      <c r="Q1030">
        <v>0.94</v>
      </c>
    </row>
    <row r="1031" spans="1:17" x14ac:dyDescent="0.25">
      <c r="A1031" t="s">
        <v>2193</v>
      </c>
      <c r="B1031" t="s">
        <v>2194</v>
      </c>
      <c r="C1031" t="s">
        <v>78</v>
      </c>
      <c r="D1031" t="s">
        <v>78</v>
      </c>
      <c r="E1031" t="s">
        <v>78</v>
      </c>
      <c r="F1031" t="s">
        <v>78</v>
      </c>
      <c r="G1031" t="s">
        <v>78</v>
      </c>
      <c r="H1031">
        <v>0.33</v>
      </c>
      <c r="I1031" s="1">
        <v>0</v>
      </c>
      <c r="J1031" s="1">
        <v>0</v>
      </c>
      <c r="K1031">
        <v>0</v>
      </c>
      <c r="L1031">
        <v>0.3</v>
      </c>
      <c r="M1031">
        <v>0.31</v>
      </c>
      <c r="N1031" s="1">
        <v>5000000</v>
      </c>
      <c r="O1031">
        <v>0.3</v>
      </c>
      <c r="P1031">
        <v>1.0900000000000001</v>
      </c>
      <c r="Q1031">
        <v>0.01</v>
      </c>
    </row>
    <row r="1032" spans="1:17" x14ac:dyDescent="0.25">
      <c r="A1032" t="s">
        <v>2195</v>
      </c>
      <c r="B1032" t="s">
        <v>2196</v>
      </c>
      <c r="C1032" t="s">
        <v>78</v>
      </c>
      <c r="D1032" t="s">
        <v>78</v>
      </c>
      <c r="E1032" t="s">
        <v>78</v>
      </c>
      <c r="F1032" t="s">
        <v>78</v>
      </c>
      <c r="G1032" t="s">
        <v>78</v>
      </c>
      <c r="H1032">
        <v>1.0900000000000001</v>
      </c>
      <c r="I1032" s="1">
        <v>0</v>
      </c>
      <c r="J1032" s="1">
        <v>0</v>
      </c>
      <c r="K1032">
        <v>0</v>
      </c>
      <c r="L1032">
        <v>1.01</v>
      </c>
      <c r="M1032">
        <v>1.07</v>
      </c>
      <c r="N1032" s="1">
        <v>5000000</v>
      </c>
      <c r="O1032">
        <v>1.07</v>
      </c>
      <c r="P1032">
        <v>3.11</v>
      </c>
      <c r="Q1032">
        <v>0.01</v>
      </c>
    </row>
    <row r="1033" spans="1:17" x14ac:dyDescent="0.25">
      <c r="A1033" t="s">
        <v>2197</v>
      </c>
      <c r="B1033" t="s">
        <v>2198</v>
      </c>
      <c r="C1033">
        <v>1.79</v>
      </c>
      <c r="D1033">
        <v>-0.21</v>
      </c>
      <c r="E1033">
        <v>1.91</v>
      </c>
      <c r="F1033">
        <v>1.91</v>
      </c>
      <c r="G1033">
        <v>1.79</v>
      </c>
      <c r="H1033">
        <v>1.85</v>
      </c>
      <c r="I1033" s="1">
        <v>46000</v>
      </c>
      <c r="J1033" s="1">
        <v>85280</v>
      </c>
      <c r="K1033">
        <v>5</v>
      </c>
      <c r="L1033">
        <v>1.78</v>
      </c>
      <c r="M1033">
        <v>1.8</v>
      </c>
      <c r="N1033" s="1">
        <v>10000000</v>
      </c>
      <c r="O1033">
        <v>1.79</v>
      </c>
      <c r="P1033">
        <v>2.78</v>
      </c>
      <c r="Q1033">
        <v>0.8</v>
      </c>
    </row>
    <row r="1034" spans="1:17" x14ac:dyDescent="0.25">
      <c r="A1034" t="s">
        <v>2199</v>
      </c>
      <c r="B1034" t="s">
        <v>2200</v>
      </c>
      <c r="C1034" t="s">
        <v>78</v>
      </c>
      <c r="D1034" t="s">
        <v>78</v>
      </c>
      <c r="E1034" t="s">
        <v>78</v>
      </c>
      <c r="F1034" t="s">
        <v>78</v>
      </c>
      <c r="G1034" t="s">
        <v>78</v>
      </c>
      <c r="H1034">
        <v>0.64</v>
      </c>
      <c r="I1034" s="1">
        <v>0</v>
      </c>
      <c r="J1034" s="1">
        <v>0</v>
      </c>
      <c r="K1034">
        <v>0</v>
      </c>
      <c r="L1034">
        <v>0.65</v>
      </c>
      <c r="M1034">
        <v>0.66</v>
      </c>
      <c r="N1034" s="1">
        <v>5000000</v>
      </c>
      <c r="O1034">
        <v>0.65</v>
      </c>
      <c r="P1034">
        <v>2.0499999999999998</v>
      </c>
      <c r="Q1034">
        <v>0.01</v>
      </c>
    </row>
    <row r="1035" spans="1:17" x14ac:dyDescent="0.25">
      <c r="A1035" t="s">
        <v>2201</v>
      </c>
      <c r="B1035" t="s">
        <v>2202</v>
      </c>
      <c r="C1035">
        <v>1.46</v>
      </c>
      <c r="D1035">
        <v>0.04</v>
      </c>
      <c r="E1035">
        <v>1.39</v>
      </c>
      <c r="F1035">
        <v>1.46</v>
      </c>
      <c r="G1035">
        <v>1.39</v>
      </c>
      <c r="H1035">
        <v>1.42</v>
      </c>
      <c r="I1035" s="1">
        <v>284000</v>
      </c>
      <c r="J1035" s="1">
        <v>403820</v>
      </c>
      <c r="K1035">
        <v>15</v>
      </c>
      <c r="L1035">
        <v>1.45</v>
      </c>
      <c r="M1035">
        <v>1.46</v>
      </c>
      <c r="N1035" s="1">
        <v>5000000</v>
      </c>
      <c r="O1035">
        <v>1.46</v>
      </c>
      <c r="P1035">
        <v>2.16</v>
      </c>
      <c r="Q1035">
        <v>0.76</v>
      </c>
    </row>
    <row r="1036" spans="1:17" x14ac:dyDescent="0.25">
      <c r="A1036" t="s">
        <v>2203</v>
      </c>
      <c r="B1036" t="s">
        <v>2204</v>
      </c>
      <c r="C1036">
        <v>0.31</v>
      </c>
      <c r="D1036">
        <v>-0.01</v>
      </c>
      <c r="E1036">
        <v>0.3</v>
      </c>
      <c r="F1036">
        <v>0.33</v>
      </c>
      <c r="G1036">
        <v>0.3</v>
      </c>
      <c r="H1036">
        <v>0.32</v>
      </c>
      <c r="I1036" s="1">
        <v>399000</v>
      </c>
      <c r="J1036" s="1">
        <v>126010</v>
      </c>
      <c r="K1036">
        <v>8</v>
      </c>
      <c r="L1036">
        <v>0.32</v>
      </c>
      <c r="M1036">
        <v>0.33</v>
      </c>
      <c r="N1036" s="1">
        <v>5000000</v>
      </c>
      <c r="O1036">
        <v>0.31</v>
      </c>
      <c r="P1036">
        <v>1.54</v>
      </c>
      <c r="Q1036">
        <v>0.01</v>
      </c>
    </row>
    <row r="1037" spans="1:17" x14ac:dyDescent="0.25">
      <c r="A1037" t="s">
        <v>2205</v>
      </c>
      <c r="B1037" t="s">
        <v>2206</v>
      </c>
      <c r="C1037" t="s">
        <v>78</v>
      </c>
      <c r="D1037" t="s">
        <v>78</v>
      </c>
      <c r="E1037" t="s">
        <v>78</v>
      </c>
      <c r="F1037" t="s">
        <v>78</v>
      </c>
      <c r="G1037" t="s">
        <v>78</v>
      </c>
      <c r="H1037">
        <v>0.82</v>
      </c>
      <c r="I1037" s="1">
        <v>0</v>
      </c>
      <c r="J1037" s="1">
        <v>0</v>
      </c>
      <c r="K1037">
        <v>0</v>
      </c>
      <c r="L1037">
        <v>0.77</v>
      </c>
      <c r="M1037">
        <v>0.79</v>
      </c>
      <c r="N1037" s="1">
        <v>15000000</v>
      </c>
      <c r="O1037">
        <v>0.78</v>
      </c>
      <c r="P1037">
        <v>1.1599999999999999</v>
      </c>
      <c r="Q1037">
        <v>0.4</v>
      </c>
    </row>
    <row r="1038" spans="1:17" x14ac:dyDescent="0.25">
      <c r="A1038" t="s">
        <v>2207</v>
      </c>
      <c r="B1038" t="s">
        <v>2208</v>
      </c>
      <c r="C1038">
        <v>0.94</v>
      </c>
      <c r="D1038">
        <v>0.03</v>
      </c>
      <c r="E1038">
        <v>0.87</v>
      </c>
      <c r="F1038">
        <v>0.95</v>
      </c>
      <c r="G1038">
        <v>0.87</v>
      </c>
      <c r="H1038">
        <v>0.91</v>
      </c>
      <c r="I1038" s="1">
        <v>588000</v>
      </c>
      <c r="J1038" s="1">
        <v>532290</v>
      </c>
      <c r="K1038">
        <v>12</v>
      </c>
      <c r="L1038">
        <v>0.95</v>
      </c>
      <c r="M1038">
        <v>0.96</v>
      </c>
      <c r="N1038" s="1">
        <v>10000000</v>
      </c>
      <c r="O1038">
        <v>0.94</v>
      </c>
      <c r="P1038">
        <v>2.59</v>
      </c>
      <c r="Q1038">
        <v>0.01</v>
      </c>
    </row>
    <row r="1039" spans="1:17" x14ac:dyDescent="0.25">
      <c r="A1039" t="s">
        <v>2209</v>
      </c>
      <c r="B1039" t="s">
        <v>2210</v>
      </c>
      <c r="C1039" t="s">
        <v>78</v>
      </c>
      <c r="D1039" t="s">
        <v>78</v>
      </c>
      <c r="E1039" t="s">
        <v>78</v>
      </c>
      <c r="F1039" t="s">
        <v>78</v>
      </c>
      <c r="G1039" t="s">
        <v>78</v>
      </c>
      <c r="H1039">
        <v>0.99</v>
      </c>
      <c r="I1039" s="1">
        <v>0</v>
      </c>
      <c r="J1039" s="1">
        <v>0</v>
      </c>
      <c r="K1039">
        <v>0</v>
      </c>
      <c r="L1039">
        <v>1.01</v>
      </c>
      <c r="M1039">
        <v>1.02</v>
      </c>
      <c r="N1039" s="1">
        <v>10000000</v>
      </c>
      <c r="O1039">
        <v>1.01</v>
      </c>
      <c r="P1039">
        <v>1.43</v>
      </c>
      <c r="Q1039">
        <v>0.59</v>
      </c>
    </row>
    <row r="1040" spans="1:17" x14ac:dyDescent="0.25">
      <c r="A1040" t="s">
        <v>2211</v>
      </c>
      <c r="B1040" t="s">
        <v>2212</v>
      </c>
      <c r="C1040">
        <v>0.53</v>
      </c>
      <c r="D1040">
        <v>-0.04</v>
      </c>
      <c r="E1040">
        <v>0.55000000000000004</v>
      </c>
      <c r="F1040">
        <v>0.55000000000000004</v>
      </c>
      <c r="G1040">
        <v>0.53</v>
      </c>
      <c r="H1040">
        <v>0.54</v>
      </c>
      <c r="I1040" s="1">
        <v>396000</v>
      </c>
      <c r="J1040" s="1">
        <v>213860</v>
      </c>
      <c r="K1040">
        <v>14</v>
      </c>
      <c r="L1040">
        <v>0.53</v>
      </c>
      <c r="M1040">
        <v>0.54</v>
      </c>
      <c r="N1040" s="1">
        <v>10000000</v>
      </c>
      <c r="O1040">
        <v>0.53</v>
      </c>
      <c r="P1040">
        <v>1.1200000000000001</v>
      </c>
      <c r="Q1040">
        <v>0.01</v>
      </c>
    </row>
    <row r="1041" spans="1:17" x14ac:dyDescent="0.25">
      <c r="A1041" t="s">
        <v>2213</v>
      </c>
      <c r="B1041" t="s">
        <v>2214</v>
      </c>
      <c r="C1041" t="s">
        <v>78</v>
      </c>
      <c r="D1041" t="s">
        <v>78</v>
      </c>
      <c r="E1041" t="s">
        <v>78</v>
      </c>
      <c r="F1041" t="s">
        <v>78</v>
      </c>
      <c r="G1041" t="s">
        <v>78</v>
      </c>
      <c r="H1041">
        <v>0.73</v>
      </c>
      <c r="I1041" s="1">
        <v>0</v>
      </c>
      <c r="J1041" s="1">
        <v>0</v>
      </c>
      <c r="K1041">
        <v>0</v>
      </c>
      <c r="L1041">
        <v>0.73</v>
      </c>
      <c r="M1041">
        <v>0.74</v>
      </c>
      <c r="N1041" s="1">
        <v>10000000</v>
      </c>
      <c r="O1041">
        <v>0.73</v>
      </c>
      <c r="P1041">
        <v>1.1599999999999999</v>
      </c>
      <c r="Q1041">
        <v>0.3</v>
      </c>
    </row>
    <row r="1042" spans="1:17" x14ac:dyDescent="0.25">
      <c r="A1042" t="s">
        <v>2215</v>
      </c>
      <c r="B1042" t="s">
        <v>2216</v>
      </c>
      <c r="C1042">
        <v>0.66</v>
      </c>
      <c r="D1042">
        <v>-0.11</v>
      </c>
      <c r="E1042">
        <v>0.69</v>
      </c>
      <c r="F1042">
        <v>0.69</v>
      </c>
      <c r="G1042">
        <v>0.66</v>
      </c>
      <c r="H1042">
        <v>0.67</v>
      </c>
      <c r="I1042" s="1">
        <v>54000</v>
      </c>
      <c r="J1042" s="1">
        <v>36180</v>
      </c>
      <c r="K1042">
        <v>3</v>
      </c>
      <c r="L1042">
        <v>0.66</v>
      </c>
      <c r="M1042">
        <v>0.67</v>
      </c>
      <c r="N1042" s="1">
        <v>10000000</v>
      </c>
      <c r="O1042">
        <v>0.66</v>
      </c>
      <c r="P1042">
        <v>1.43</v>
      </c>
      <c r="Q1042">
        <v>0.01</v>
      </c>
    </row>
    <row r="1043" spans="1:17" x14ac:dyDescent="0.25">
      <c r="A1043" t="s">
        <v>2217</v>
      </c>
      <c r="B1043" t="s">
        <v>2218</v>
      </c>
      <c r="C1043">
        <v>1.98</v>
      </c>
      <c r="D1043">
        <v>0.02</v>
      </c>
      <c r="E1043">
        <v>1.95</v>
      </c>
      <c r="F1043">
        <v>1.99</v>
      </c>
      <c r="G1043">
        <v>1.95</v>
      </c>
      <c r="H1043">
        <v>1.96</v>
      </c>
      <c r="I1043" s="1">
        <v>529000</v>
      </c>
      <c r="J1043" s="1">
        <v>1034820</v>
      </c>
      <c r="K1043">
        <v>9</v>
      </c>
      <c r="L1043">
        <v>1.98</v>
      </c>
      <c r="M1043">
        <v>1.99</v>
      </c>
      <c r="N1043" s="1">
        <v>10000000</v>
      </c>
      <c r="O1043">
        <v>1.98</v>
      </c>
      <c r="P1043">
        <v>2.99</v>
      </c>
      <c r="Q1043">
        <v>0.97</v>
      </c>
    </row>
    <row r="1044" spans="1:17" x14ac:dyDescent="0.25">
      <c r="A1044" t="s">
        <v>2219</v>
      </c>
      <c r="B1044" t="s">
        <v>2220</v>
      </c>
      <c r="C1044" t="s">
        <v>78</v>
      </c>
      <c r="D1044" t="s">
        <v>78</v>
      </c>
      <c r="E1044" t="s">
        <v>78</v>
      </c>
      <c r="F1044" t="s">
        <v>78</v>
      </c>
      <c r="G1044" t="s">
        <v>78</v>
      </c>
      <c r="H1044">
        <v>1.01</v>
      </c>
      <c r="I1044" s="1">
        <v>0</v>
      </c>
      <c r="J1044" s="1">
        <v>0</v>
      </c>
      <c r="K1044">
        <v>0</v>
      </c>
      <c r="L1044">
        <v>1.04</v>
      </c>
      <c r="M1044">
        <v>1.05</v>
      </c>
      <c r="N1044" s="1">
        <v>5000000</v>
      </c>
      <c r="O1044">
        <v>1.04</v>
      </c>
      <c r="P1044">
        <v>2.48</v>
      </c>
      <c r="Q1044">
        <v>0.01</v>
      </c>
    </row>
    <row r="1045" spans="1:17" x14ac:dyDescent="0.25">
      <c r="A1045" t="s">
        <v>2221</v>
      </c>
      <c r="B1045" t="s">
        <v>2222</v>
      </c>
      <c r="C1045">
        <v>0.75</v>
      </c>
      <c r="D1045">
        <v>0.02</v>
      </c>
      <c r="E1045">
        <v>0.68</v>
      </c>
      <c r="F1045">
        <v>0.75</v>
      </c>
      <c r="G1045">
        <v>0.68</v>
      </c>
      <c r="H1045">
        <v>0.71</v>
      </c>
      <c r="I1045" s="1">
        <v>38000</v>
      </c>
      <c r="J1045" s="1">
        <v>26990</v>
      </c>
      <c r="K1045">
        <v>7</v>
      </c>
      <c r="L1045">
        <v>0.75</v>
      </c>
      <c r="M1045">
        <v>0.76</v>
      </c>
      <c r="N1045" s="1">
        <v>5000000</v>
      </c>
      <c r="O1045">
        <v>0.75</v>
      </c>
      <c r="P1045">
        <v>4.7</v>
      </c>
      <c r="Q1045">
        <v>0.01</v>
      </c>
    </row>
    <row r="1046" spans="1:17" x14ac:dyDescent="0.25">
      <c r="A1046" t="s">
        <v>2223</v>
      </c>
      <c r="B1046" t="s">
        <v>2224</v>
      </c>
      <c r="C1046">
        <v>1.1000000000000001</v>
      </c>
      <c r="D1046">
        <v>0.05</v>
      </c>
      <c r="E1046">
        <v>1</v>
      </c>
      <c r="F1046">
        <v>1.1000000000000001</v>
      </c>
      <c r="G1046">
        <v>1</v>
      </c>
      <c r="H1046">
        <v>1.06</v>
      </c>
      <c r="I1046" s="1">
        <v>21000</v>
      </c>
      <c r="J1046" s="1">
        <v>22350</v>
      </c>
      <c r="K1046">
        <v>3</v>
      </c>
      <c r="L1046">
        <v>1.0900000000000001</v>
      </c>
      <c r="M1046">
        <v>1.1000000000000001</v>
      </c>
      <c r="N1046" s="1">
        <v>5000000</v>
      </c>
      <c r="O1046">
        <v>1.1000000000000001</v>
      </c>
      <c r="P1046">
        <v>2.2200000000000002</v>
      </c>
      <c r="Q1046">
        <v>0.01</v>
      </c>
    </row>
    <row r="1047" spans="1:17" x14ac:dyDescent="0.25">
      <c r="A1047" t="s">
        <v>2225</v>
      </c>
      <c r="B1047" t="s">
        <v>2226</v>
      </c>
      <c r="C1047">
        <v>1.2</v>
      </c>
      <c r="D1047">
        <v>0.01</v>
      </c>
      <c r="E1047">
        <v>1.1499999999999999</v>
      </c>
      <c r="F1047">
        <v>1.2</v>
      </c>
      <c r="G1047">
        <v>1.1499999999999999</v>
      </c>
      <c r="H1047">
        <v>1.2</v>
      </c>
      <c r="I1047" s="1">
        <v>85000</v>
      </c>
      <c r="J1047" s="1">
        <v>101700</v>
      </c>
      <c r="K1047">
        <v>3</v>
      </c>
      <c r="L1047">
        <v>1.2</v>
      </c>
      <c r="M1047">
        <v>1.21</v>
      </c>
      <c r="N1047" s="1">
        <v>7000000</v>
      </c>
      <c r="O1047">
        <v>1.2</v>
      </c>
      <c r="P1047">
        <v>1.96</v>
      </c>
      <c r="Q1047">
        <v>0.44</v>
      </c>
    </row>
    <row r="1048" spans="1:17" x14ac:dyDescent="0.25">
      <c r="A1048" t="s">
        <v>2227</v>
      </c>
      <c r="B1048" t="s">
        <v>2228</v>
      </c>
      <c r="C1048">
        <v>1</v>
      </c>
      <c r="D1048">
        <v>-0.04</v>
      </c>
      <c r="E1048">
        <v>0.97</v>
      </c>
      <c r="F1048">
        <v>1</v>
      </c>
      <c r="G1048">
        <v>0.92</v>
      </c>
      <c r="H1048">
        <v>0.94</v>
      </c>
      <c r="I1048" s="1">
        <v>295000</v>
      </c>
      <c r="J1048" s="1">
        <v>278660</v>
      </c>
      <c r="K1048">
        <v>14</v>
      </c>
      <c r="L1048">
        <v>0.99</v>
      </c>
      <c r="M1048">
        <v>1</v>
      </c>
      <c r="N1048" s="1">
        <v>10000000</v>
      </c>
      <c r="O1048">
        <v>1</v>
      </c>
      <c r="P1048">
        <v>1.72</v>
      </c>
      <c r="Q1048">
        <v>0.28000000000000003</v>
      </c>
    </row>
    <row r="1049" spans="1:17" x14ac:dyDescent="0.25">
      <c r="A1049" t="s">
        <v>2229</v>
      </c>
      <c r="B1049" t="s">
        <v>2230</v>
      </c>
      <c r="C1049">
        <v>0.77</v>
      </c>
      <c r="D1049">
        <v>0.01</v>
      </c>
      <c r="E1049">
        <v>0.74</v>
      </c>
      <c r="F1049">
        <v>0.77</v>
      </c>
      <c r="G1049">
        <v>0.73</v>
      </c>
      <c r="H1049">
        <v>0.75</v>
      </c>
      <c r="I1049" s="1">
        <v>203000</v>
      </c>
      <c r="J1049" s="1">
        <v>152680</v>
      </c>
      <c r="K1049">
        <v>4</v>
      </c>
      <c r="L1049">
        <v>0.76</v>
      </c>
      <c r="M1049">
        <v>0.77</v>
      </c>
      <c r="N1049" s="1">
        <v>10000000</v>
      </c>
      <c r="O1049">
        <v>0.77</v>
      </c>
      <c r="P1049">
        <v>1.61</v>
      </c>
      <c r="Q1049">
        <v>0.01</v>
      </c>
    </row>
    <row r="1050" spans="1:17" x14ac:dyDescent="0.25">
      <c r="A1050" t="s">
        <v>2231</v>
      </c>
      <c r="B1050" t="s">
        <v>2232</v>
      </c>
      <c r="C1050" t="s">
        <v>78</v>
      </c>
      <c r="D1050" t="s">
        <v>78</v>
      </c>
      <c r="E1050" t="s">
        <v>78</v>
      </c>
      <c r="F1050" t="s">
        <v>78</v>
      </c>
      <c r="G1050" t="s">
        <v>78</v>
      </c>
      <c r="H1050">
        <v>1</v>
      </c>
      <c r="I1050" s="1">
        <v>0</v>
      </c>
      <c r="J1050" s="1">
        <v>0</v>
      </c>
      <c r="K1050">
        <v>0</v>
      </c>
      <c r="L1050">
        <v>0.91</v>
      </c>
      <c r="M1050">
        <v>0.97</v>
      </c>
      <c r="N1050" s="1">
        <v>10000000</v>
      </c>
      <c r="O1050">
        <v>0.92</v>
      </c>
      <c r="P1050">
        <v>1.26</v>
      </c>
      <c r="Q1050">
        <v>0.57999999999999996</v>
      </c>
    </row>
    <row r="1051" spans="1:17" x14ac:dyDescent="0.25">
      <c r="A1051" t="s">
        <v>2233</v>
      </c>
      <c r="B1051" t="s">
        <v>2234</v>
      </c>
      <c r="C1051">
        <v>1.91</v>
      </c>
      <c r="D1051">
        <v>0.03</v>
      </c>
      <c r="E1051">
        <v>1.91</v>
      </c>
      <c r="F1051">
        <v>1.91</v>
      </c>
      <c r="G1051">
        <v>1.91</v>
      </c>
      <c r="H1051">
        <v>1.91</v>
      </c>
      <c r="I1051" s="1">
        <v>54000</v>
      </c>
      <c r="J1051" s="1">
        <v>103140</v>
      </c>
      <c r="K1051">
        <v>2</v>
      </c>
      <c r="L1051">
        <v>1.92</v>
      </c>
      <c r="M1051">
        <v>1.93</v>
      </c>
      <c r="N1051" s="1">
        <v>10000000</v>
      </c>
      <c r="O1051">
        <v>1.91</v>
      </c>
      <c r="P1051">
        <v>2.74</v>
      </c>
      <c r="Q1051">
        <v>1.08</v>
      </c>
    </row>
    <row r="1052" spans="1:17" x14ac:dyDescent="0.25">
      <c r="A1052" t="s">
        <v>2235</v>
      </c>
      <c r="B1052" t="s">
        <v>2236</v>
      </c>
      <c r="C1052">
        <v>1.07</v>
      </c>
      <c r="D1052">
        <v>0.02</v>
      </c>
      <c r="E1052">
        <v>1.07</v>
      </c>
      <c r="F1052">
        <v>1.07</v>
      </c>
      <c r="G1052">
        <v>1.07</v>
      </c>
      <c r="H1052">
        <v>1.07</v>
      </c>
      <c r="I1052" s="1">
        <v>87000</v>
      </c>
      <c r="J1052" s="1">
        <v>93090</v>
      </c>
      <c r="K1052">
        <v>2</v>
      </c>
      <c r="L1052">
        <v>1.08</v>
      </c>
      <c r="M1052">
        <v>1.0900000000000001</v>
      </c>
      <c r="N1052" s="1">
        <v>5000000</v>
      </c>
      <c r="O1052">
        <v>1.07</v>
      </c>
      <c r="P1052">
        <v>1.67</v>
      </c>
      <c r="Q1052">
        <v>0.47</v>
      </c>
    </row>
    <row r="1053" spans="1:17" x14ac:dyDescent="0.25">
      <c r="A1053" t="s">
        <v>2237</v>
      </c>
      <c r="B1053" t="s">
        <v>2238</v>
      </c>
      <c r="C1053">
        <v>0.57999999999999996</v>
      </c>
      <c r="D1053">
        <v>0.04</v>
      </c>
      <c r="E1053">
        <v>0.51</v>
      </c>
      <c r="F1053">
        <v>0.59</v>
      </c>
      <c r="G1053">
        <v>0.51</v>
      </c>
      <c r="H1053">
        <v>0.55000000000000004</v>
      </c>
      <c r="I1053" s="1">
        <v>129000</v>
      </c>
      <c r="J1053" s="1">
        <v>70790</v>
      </c>
      <c r="K1053">
        <v>15</v>
      </c>
      <c r="L1053">
        <v>0.56999999999999995</v>
      </c>
      <c r="M1053">
        <v>0.57999999999999996</v>
      </c>
      <c r="N1053" s="1">
        <v>5000000</v>
      </c>
      <c r="O1053">
        <v>0.57999999999999996</v>
      </c>
      <c r="P1053">
        <v>1.42</v>
      </c>
      <c r="Q1053">
        <v>0.01</v>
      </c>
    </row>
    <row r="1054" spans="1:17" x14ac:dyDescent="0.25">
      <c r="A1054" t="s">
        <v>2239</v>
      </c>
      <c r="B1054" t="s">
        <v>2240</v>
      </c>
      <c r="C1054">
        <v>0.38</v>
      </c>
      <c r="D1054">
        <v>0.02</v>
      </c>
      <c r="E1054">
        <v>0.37</v>
      </c>
      <c r="F1054">
        <v>0.38</v>
      </c>
      <c r="G1054">
        <v>0.37</v>
      </c>
      <c r="H1054">
        <v>0.38</v>
      </c>
      <c r="I1054" s="1">
        <v>10000</v>
      </c>
      <c r="J1054" s="1">
        <v>3770</v>
      </c>
      <c r="K1054">
        <v>2</v>
      </c>
      <c r="L1054">
        <v>0.37</v>
      </c>
      <c r="M1054">
        <v>0.38</v>
      </c>
      <c r="N1054" s="1">
        <v>10000000</v>
      </c>
      <c r="O1054">
        <v>0.38</v>
      </c>
      <c r="P1054">
        <v>0.67</v>
      </c>
      <c r="Q1054">
        <v>0.09</v>
      </c>
    </row>
    <row r="1055" spans="1:17" x14ac:dyDescent="0.25">
      <c r="A1055" t="s">
        <v>2241</v>
      </c>
      <c r="B1055" t="s">
        <v>2242</v>
      </c>
      <c r="C1055">
        <v>1.2</v>
      </c>
      <c r="D1055">
        <v>-0.04</v>
      </c>
      <c r="E1055">
        <v>1.18</v>
      </c>
      <c r="F1055">
        <v>1.2</v>
      </c>
      <c r="G1055">
        <v>1.18</v>
      </c>
      <c r="H1055">
        <v>1.18</v>
      </c>
      <c r="I1055" s="1">
        <v>61000</v>
      </c>
      <c r="J1055" s="1">
        <v>72180</v>
      </c>
      <c r="K1055">
        <v>2</v>
      </c>
      <c r="L1055">
        <v>1.19</v>
      </c>
      <c r="M1055">
        <v>1.2</v>
      </c>
      <c r="N1055" s="1">
        <v>5000000</v>
      </c>
      <c r="O1055">
        <v>1.2</v>
      </c>
      <c r="P1055">
        <v>2.52</v>
      </c>
      <c r="Q1055">
        <v>0.01</v>
      </c>
    </row>
    <row r="1056" spans="1:17" x14ac:dyDescent="0.25">
      <c r="A1056" t="s">
        <v>2243</v>
      </c>
      <c r="B1056" t="s">
        <v>2244</v>
      </c>
      <c r="C1056">
        <v>0.91</v>
      </c>
      <c r="D1056">
        <v>-0.11</v>
      </c>
      <c r="E1056">
        <v>0.95</v>
      </c>
      <c r="F1056">
        <v>0.99</v>
      </c>
      <c r="G1056">
        <v>0.9</v>
      </c>
      <c r="H1056">
        <v>0.96</v>
      </c>
      <c r="I1056" s="1">
        <v>395000</v>
      </c>
      <c r="J1056" s="1">
        <v>378260</v>
      </c>
      <c r="K1056">
        <v>12</v>
      </c>
      <c r="L1056">
        <v>0.9</v>
      </c>
      <c r="M1056">
        <v>0.91</v>
      </c>
      <c r="N1056" s="1">
        <v>10000000</v>
      </c>
      <c r="O1056">
        <v>0.91</v>
      </c>
      <c r="P1056">
        <v>1.46</v>
      </c>
      <c r="Q1056">
        <v>0.36</v>
      </c>
    </row>
    <row r="1057" spans="1:17" x14ac:dyDescent="0.25">
      <c r="A1057" t="s">
        <v>2245</v>
      </c>
      <c r="B1057" t="s">
        <v>2246</v>
      </c>
      <c r="C1057">
        <v>0.89</v>
      </c>
      <c r="D1057">
        <v>-0.01</v>
      </c>
      <c r="E1057">
        <v>0.89</v>
      </c>
      <c r="F1057">
        <v>0.89</v>
      </c>
      <c r="G1057">
        <v>0.89</v>
      </c>
      <c r="H1057">
        <v>0.89</v>
      </c>
      <c r="I1057" s="1">
        <v>84000</v>
      </c>
      <c r="J1057" s="1">
        <v>74760</v>
      </c>
      <c r="K1057">
        <v>1</v>
      </c>
      <c r="L1057">
        <v>0.89</v>
      </c>
      <c r="M1057">
        <v>0.91</v>
      </c>
      <c r="N1057" s="1">
        <v>10000000</v>
      </c>
      <c r="O1057">
        <v>0.89</v>
      </c>
      <c r="P1057">
        <v>1.75</v>
      </c>
      <c r="Q1057">
        <v>0.06</v>
      </c>
    </row>
    <row r="1058" spans="1:17" x14ac:dyDescent="0.25">
      <c r="A1058" t="s">
        <v>2247</v>
      </c>
      <c r="B1058" t="s">
        <v>2248</v>
      </c>
      <c r="C1058">
        <v>0.47</v>
      </c>
      <c r="D1058">
        <v>-0.01</v>
      </c>
      <c r="E1058">
        <v>0.46</v>
      </c>
      <c r="F1058">
        <v>0.47</v>
      </c>
      <c r="G1058">
        <v>0.46</v>
      </c>
      <c r="H1058">
        <v>0.47</v>
      </c>
      <c r="I1058" s="1">
        <v>25000</v>
      </c>
      <c r="J1058" s="1">
        <v>11700</v>
      </c>
      <c r="K1058">
        <v>2</v>
      </c>
      <c r="L1058">
        <v>0.45</v>
      </c>
      <c r="M1058">
        <v>0.46</v>
      </c>
      <c r="N1058" s="1">
        <v>5000000</v>
      </c>
      <c r="O1058">
        <v>0.47</v>
      </c>
      <c r="P1058">
        <v>1.89</v>
      </c>
      <c r="Q1058">
        <v>0.01</v>
      </c>
    </row>
    <row r="1059" spans="1:17" x14ac:dyDescent="0.25">
      <c r="A1059" t="s">
        <v>2249</v>
      </c>
      <c r="B1059" t="s">
        <v>2250</v>
      </c>
      <c r="C1059" t="s">
        <v>78</v>
      </c>
      <c r="D1059" t="s">
        <v>78</v>
      </c>
      <c r="E1059" t="s">
        <v>78</v>
      </c>
      <c r="F1059" t="s">
        <v>78</v>
      </c>
      <c r="G1059" t="s">
        <v>78</v>
      </c>
      <c r="H1059">
        <v>1.21</v>
      </c>
      <c r="I1059" s="1">
        <v>0</v>
      </c>
      <c r="J1059" s="1">
        <v>0</v>
      </c>
      <c r="K1059">
        <v>0</v>
      </c>
      <c r="L1059">
        <v>1.0900000000000001</v>
      </c>
      <c r="M1059">
        <v>1.1100000000000001</v>
      </c>
      <c r="N1059" s="1">
        <v>5000000</v>
      </c>
      <c r="O1059">
        <v>1.1100000000000001</v>
      </c>
      <c r="P1059">
        <v>2.5099999999999998</v>
      </c>
      <c r="Q1059">
        <v>0.01</v>
      </c>
    </row>
    <row r="1060" spans="1:17" x14ac:dyDescent="0.25">
      <c r="A1060" t="s">
        <v>2251</v>
      </c>
      <c r="B1060" t="s">
        <v>2252</v>
      </c>
      <c r="C1060" t="s">
        <v>78</v>
      </c>
      <c r="D1060" t="s">
        <v>78</v>
      </c>
      <c r="E1060" t="s">
        <v>78</v>
      </c>
      <c r="F1060" t="s">
        <v>78</v>
      </c>
      <c r="G1060" t="s">
        <v>78</v>
      </c>
      <c r="H1060">
        <v>0.44</v>
      </c>
      <c r="I1060" s="1">
        <v>0</v>
      </c>
      <c r="J1060" s="1">
        <v>0</v>
      </c>
      <c r="K1060">
        <v>0</v>
      </c>
      <c r="L1060">
        <v>0.49</v>
      </c>
      <c r="M1060">
        <v>0.5</v>
      </c>
      <c r="N1060" s="1">
        <v>5000000</v>
      </c>
      <c r="O1060">
        <v>0.49</v>
      </c>
      <c r="P1060">
        <v>1.25</v>
      </c>
      <c r="Q1060">
        <v>0.01</v>
      </c>
    </row>
    <row r="1061" spans="1:17" x14ac:dyDescent="0.25">
      <c r="A1061" t="s">
        <v>2253</v>
      </c>
      <c r="B1061" t="s">
        <v>2254</v>
      </c>
      <c r="C1061">
        <v>1.26</v>
      </c>
      <c r="D1061">
        <v>-0.02</v>
      </c>
      <c r="E1061">
        <v>1.22</v>
      </c>
      <c r="F1061">
        <v>1.28</v>
      </c>
      <c r="G1061">
        <v>1.22</v>
      </c>
      <c r="H1061">
        <v>1.25</v>
      </c>
      <c r="I1061" s="1">
        <v>587000</v>
      </c>
      <c r="J1061" s="1">
        <v>734400</v>
      </c>
      <c r="K1061">
        <v>16</v>
      </c>
      <c r="L1061">
        <v>1.26</v>
      </c>
      <c r="M1061">
        <v>1.27</v>
      </c>
      <c r="N1061" s="1">
        <v>5000000</v>
      </c>
      <c r="O1061">
        <v>1.26</v>
      </c>
      <c r="P1061">
        <v>2</v>
      </c>
      <c r="Q1061">
        <v>0.52</v>
      </c>
    </row>
    <row r="1062" spans="1:17" x14ac:dyDescent="0.25">
      <c r="A1062" t="s">
        <v>2255</v>
      </c>
      <c r="B1062" t="s">
        <v>2256</v>
      </c>
      <c r="C1062">
        <v>0.61</v>
      </c>
      <c r="D1062">
        <v>0.01</v>
      </c>
      <c r="E1062">
        <v>0.56000000000000005</v>
      </c>
      <c r="F1062">
        <v>0.61</v>
      </c>
      <c r="G1062">
        <v>0.56000000000000005</v>
      </c>
      <c r="H1062">
        <v>0.61</v>
      </c>
      <c r="I1062" s="1">
        <v>317000</v>
      </c>
      <c r="J1062" s="1">
        <v>192920</v>
      </c>
      <c r="K1062">
        <v>6</v>
      </c>
      <c r="L1062">
        <v>0.61</v>
      </c>
      <c r="M1062">
        <v>0.62</v>
      </c>
      <c r="N1062" s="1">
        <v>10000000</v>
      </c>
      <c r="O1062">
        <v>0.61</v>
      </c>
      <c r="P1062">
        <v>1.59</v>
      </c>
      <c r="Q1062">
        <v>0.01</v>
      </c>
    </row>
    <row r="1063" spans="1:17" x14ac:dyDescent="0.25">
      <c r="A1063" t="s">
        <v>2257</v>
      </c>
      <c r="B1063" t="s">
        <v>2258</v>
      </c>
      <c r="C1063">
        <v>0.94</v>
      </c>
      <c r="D1063">
        <v>-7.0000000000000007E-2</v>
      </c>
      <c r="E1063">
        <v>0.91</v>
      </c>
      <c r="F1063">
        <v>0.94</v>
      </c>
      <c r="G1063">
        <v>0.88</v>
      </c>
      <c r="H1063">
        <v>0.91</v>
      </c>
      <c r="I1063" s="1">
        <v>609000</v>
      </c>
      <c r="J1063" s="1">
        <v>551510</v>
      </c>
      <c r="K1063">
        <v>9</v>
      </c>
      <c r="L1063">
        <v>0.95</v>
      </c>
      <c r="M1063">
        <v>0.96</v>
      </c>
      <c r="N1063" s="1">
        <v>5000000</v>
      </c>
      <c r="O1063">
        <v>0.94</v>
      </c>
      <c r="P1063">
        <v>1.7</v>
      </c>
      <c r="Q1063">
        <v>0.18</v>
      </c>
    </row>
    <row r="1064" spans="1:17" x14ac:dyDescent="0.25">
      <c r="A1064" t="s">
        <v>2259</v>
      </c>
      <c r="B1064" t="s">
        <v>2260</v>
      </c>
      <c r="C1064">
        <v>0.86</v>
      </c>
      <c r="D1064">
        <v>0.05</v>
      </c>
      <c r="E1064">
        <v>0.8</v>
      </c>
      <c r="F1064">
        <v>0.88</v>
      </c>
      <c r="G1064">
        <v>0.78</v>
      </c>
      <c r="H1064">
        <v>0.85</v>
      </c>
      <c r="I1064" s="1">
        <v>481000</v>
      </c>
      <c r="J1064" s="1">
        <v>410430</v>
      </c>
      <c r="K1064">
        <v>45</v>
      </c>
      <c r="L1064">
        <v>0.83</v>
      </c>
      <c r="M1064">
        <v>0.84</v>
      </c>
      <c r="N1064" s="1">
        <v>10000000</v>
      </c>
      <c r="O1064">
        <v>0.86</v>
      </c>
      <c r="P1064">
        <v>1.7</v>
      </c>
      <c r="Q1064">
        <v>0.02</v>
      </c>
    </row>
    <row r="1065" spans="1:17" x14ac:dyDescent="0.25">
      <c r="A1065" t="s">
        <v>2261</v>
      </c>
      <c r="B1065" t="s">
        <v>2262</v>
      </c>
      <c r="C1065">
        <v>0.76</v>
      </c>
      <c r="D1065">
        <v>0.01</v>
      </c>
      <c r="E1065">
        <v>0.71</v>
      </c>
      <c r="F1065">
        <v>0.76</v>
      </c>
      <c r="G1065">
        <v>0.71</v>
      </c>
      <c r="H1065">
        <v>0.75</v>
      </c>
      <c r="I1065" s="1">
        <v>469000</v>
      </c>
      <c r="J1065" s="1">
        <v>351290</v>
      </c>
      <c r="K1065">
        <v>12</v>
      </c>
      <c r="L1065">
        <v>0.75</v>
      </c>
      <c r="M1065">
        <v>0.76</v>
      </c>
      <c r="N1065" s="1">
        <v>5000000</v>
      </c>
      <c r="O1065">
        <v>0.76</v>
      </c>
      <c r="P1065">
        <v>1.4</v>
      </c>
      <c r="Q1065">
        <v>0.12</v>
      </c>
    </row>
    <row r="1066" spans="1:17" x14ac:dyDescent="0.25">
      <c r="A1066" t="s">
        <v>2263</v>
      </c>
      <c r="B1066" t="s">
        <v>2264</v>
      </c>
      <c r="C1066">
        <v>0.84</v>
      </c>
      <c r="D1066">
        <v>-0.03</v>
      </c>
      <c r="E1066">
        <v>0.83</v>
      </c>
      <c r="F1066">
        <v>0.84</v>
      </c>
      <c r="G1066">
        <v>0.81</v>
      </c>
      <c r="H1066">
        <v>0.82</v>
      </c>
      <c r="I1066" s="1">
        <v>539000</v>
      </c>
      <c r="J1066" s="1">
        <v>442260</v>
      </c>
      <c r="K1066">
        <v>5</v>
      </c>
      <c r="L1066">
        <v>0.83</v>
      </c>
      <c r="M1066">
        <v>0.84</v>
      </c>
      <c r="N1066" s="1">
        <v>5696000</v>
      </c>
      <c r="O1066">
        <v>0.84</v>
      </c>
      <c r="P1066">
        <v>1.53</v>
      </c>
      <c r="Q1066">
        <v>0.15</v>
      </c>
    </row>
    <row r="1067" spans="1:17" x14ac:dyDescent="0.25">
      <c r="A1067" t="s">
        <v>2265</v>
      </c>
      <c r="B1067" t="s">
        <v>2266</v>
      </c>
      <c r="C1067">
        <v>1.08</v>
      </c>
      <c r="D1067">
        <v>0.02</v>
      </c>
      <c r="E1067">
        <v>1.04</v>
      </c>
      <c r="F1067">
        <v>1.08</v>
      </c>
      <c r="G1067">
        <v>1.04</v>
      </c>
      <c r="H1067">
        <v>1.07</v>
      </c>
      <c r="I1067" s="1">
        <v>420000</v>
      </c>
      <c r="J1067" s="1">
        <v>449100</v>
      </c>
      <c r="K1067">
        <v>6</v>
      </c>
      <c r="L1067">
        <v>1.0900000000000001</v>
      </c>
      <c r="M1067">
        <v>1.1000000000000001</v>
      </c>
      <c r="N1067" s="1">
        <v>10000000</v>
      </c>
      <c r="O1067">
        <v>1.08</v>
      </c>
      <c r="P1067">
        <v>1.84</v>
      </c>
      <c r="Q1067">
        <v>0.32</v>
      </c>
    </row>
    <row r="1068" spans="1:17" x14ac:dyDescent="0.25">
      <c r="A1068" t="s">
        <v>2267</v>
      </c>
      <c r="B1068" t="s">
        <v>2268</v>
      </c>
      <c r="C1068">
        <v>0.72</v>
      </c>
      <c r="D1068">
        <v>0</v>
      </c>
      <c r="E1068">
        <v>0.73</v>
      </c>
      <c r="F1068">
        <v>0.75</v>
      </c>
      <c r="G1068">
        <v>0.7</v>
      </c>
      <c r="H1068">
        <v>0.73</v>
      </c>
      <c r="I1068" s="1">
        <v>639000</v>
      </c>
      <c r="J1068" s="1">
        <v>465380</v>
      </c>
      <c r="K1068">
        <v>12</v>
      </c>
      <c r="L1068">
        <v>0.72</v>
      </c>
      <c r="M1068">
        <v>0.73</v>
      </c>
      <c r="N1068" s="1">
        <v>5000000</v>
      </c>
      <c r="O1068">
        <v>0.72</v>
      </c>
      <c r="P1068">
        <v>1.41</v>
      </c>
      <c r="Q1068">
        <v>0.03</v>
      </c>
    </row>
    <row r="1069" spans="1:17" x14ac:dyDescent="0.25">
      <c r="A1069" t="s">
        <v>2269</v>
      </c>
      <c r="B1069" t="s">
        <v>2270</v>
      </c>
      <c r="C1069">
        <v>0.54</v>
      </c>
      <c r="D1069">
        <v>0.03</v>
      </c>
      <c r="E1069">
        <v>0.48</v>
      </c>
      <c r="F1069">
        <v>0.54</v>
      </c>
      <c r="G1069">
        <v>0.48</v>
      </c>
      <c r="H1069">
        <v>0.53</v>
      </c>
      <c r="I1069" s="1">
        <v>8000</v>
      </c>
      <c r="J1069" s="1">
        <v>4260</v>
      </c>
      <c r="K1069">
        <v>3</v>
      </c>
      <c r="L1069">
        <v>0.53</v>
      </c>
      <c r="M1069">
        <v>0.54</v>
      </c>
      <c r="N1069" s="1">
        <v>5000000</v>
      </c>
      <c r="O1069">
        <v>0.54</v>
      </c>
      <c r="P1069">
        <v>1.66</v>
      </c>
      <c r="Q1069">
        <v>0.01</v>
      </c>
    </row>
    <row r="1070" spans="1:17" x14ac:dyDescent="0.25">
      <c r="A1070" t="s">
        <v>2271</v>
      </c>
      <c r="B1070" t="s">
        <v>2272</v>
      </c>
      <c r="C1070" t="s">
        <v>78</v>
      </c>
      <c r="D1070" t="s">
        <v>78</v>
      </c>
      <c r="E1070" t="s">
        <v>78</v>
      </c>
      <c r="F1070" t="s">
        <v>78</v>
      </c>
      <c r="G1070" t="s">
        <v>78</v>
      </c>
      <c r="H1070">
        <v>0.74</v>
      </c>
      <c r="I1070" s="1">
        <v>0</v>
      </c>
      <c r="J1070" s="1">
        <v>0</v>
      </c>
      <c r="K1070">
        <v>0</v>
      </c>
      <c r="L1070">
        <v>0.74</v>
      </c>
      <c r="M1070">
        <v>0.75</v>
      </c>
      <c r="N1070" s="1">
        <v>10000000</v>
      </c>
      <c r="O1070">
        <v>0.74</v>
      </c>
      <c r="P1070">
        <v>1.31</v>
      </c>
      <c r="Q1070">
        <v>0.17</v>
      </c>
    </row>
    <row r="1071" spans="1:17" x14ac:dyDescent="0.25">
      <c r="A1071" t="s">
        <v>2273</v>
      </c>
      <c r="B1071" t="s">
        <v>2274</v>
      </c>
      <c r="C1071">
        <v>1.21</v>
      </c>
      <c r="D1071">
        <v>0.01</v>
      </c>
      <c r="E1071">
        <v>1.2</v>
      </c>
      <c r="F1071">
        <v>1.21</v>
      </c>
      <c r="G1071">
        <v>1.2</v>
      </c>
      <c r="H1071">
        <v>1.21</v>
      </c>
      <c r="I1071" s="1">
        <v>79000</v>
      </c>
      <c r="J1071" s="1">
        <v>95580</v>
      </c>
      <c r="K1071">
        <v>3</v>
      </c>
      <c r="L1071">
        <v>1.22</v>
      </c>
      <c r="M1071">
        <v>1.23</v>
      </c>
      <c r="N1071" s="1">
        <v>5000000</v>
      </c>
      <c r="O1071">
        <v>1.21</v>
      </c>
      <c r="P1071">
        <v>1.97</v>
      </c>
      <c r="Q1071">
        <v>0.45</v>
      </c>
    </row>
    <row r="1072" spans="1:17" x14ac:dyDescent="0.25">
      <c r="A1072" t="s">
        <v>2275</v>
      </c>
      <c r="B1072" t="s">
        <v>2276</v>
      </c>
      <c r="C1072">
        <v>2.13</v>
      </c>
      <c r="D1072">
        <v>-0.49</v>
      </c>
      <c r="E1072">
        <v>2.06</v>
      </c>
      <c r="F1072">
        <v>2.13</v>
      </c>
      <c r="G1072">
        <v>2.06</v>
      </c>
      <c r="H1072">
        <v>2.0699999999999998</v>
      </c>
      <c r="I1072" s="1">
        <v>67000</v>
      </c>
      <c r="J1072" s="1">
        <v>138970</v>
      </c>
      <c r="K1072">
        <v>3</v>
      </c>
      <c r="L1072">
        <v>2.12</v>
      </c>
      <c r="M1072">
        <v>2.13</v>
      </c>
      <c r="N1072" s="1">
        <v>10000000</v>
      </c>
      <c r="O1072">
        <v>2.13</v>
      </c>
      <c r="P1072">
        <v>4.33</v>
      </c>
      <c r="Q1072">
        <v>0.01</v>
      </c>
    </row>
    <row r="1073" spans="1:17" x14ac:dyDescent="0.25">
      <c r="A1073" t="s">
        <v>2277</v>
      </c>
      <c r="B1073" t="s">
        <v>2278</v>
      </c>
      <c r="C1073">
        <v>0.86</v>
      </c>
      <c r="D1073">
        <v>-0.16</v>
      </c>
      <c r="E1073">
        <v>0.96</v>
      </c>
      <c r="F1073">
        <v>0.96</v>
      </c>
      <c r="G1073">
        <v>0.84</v>
      </c>
      <c r="H1073">
        <v>0.89</v>
      </c>
      <c r="I1073" s="1">
        <v>221000</v>
      </c>
      <c r="J1073" s="1">
        <v>195690</v>
      </c>
      <c r="K1073">
        <v>21</v>
      </c>
      <c r="L1073">
        <v>0.89</v>
      </c>
      <c r="M1073">
        <v>0.9</v>
      </c>
      <c r="N1073" s="1">
        <v>10000000</v>
      </c>
      <c r="O1073">
        <v>0.86</v>
      </c>
      <c r="P1073">
        <v>2.36</v>
      </c>
      <c r="Q1073">
        <v>0.01</v>
      </c>
    </row>
    <row r="1074" spans="1:17" x14ac:dyDescent="0.25">
      <c r="A1074" t="s">
        <v>2279</v>
      </c>
      <c r="B1074" t="s">
        <v>2280</v>
      </c>
      <c r="C1074">
        <v>0.33</v>
      </c>
      <c r="D1074">
        <v>0</v>
      </c>
      <c r="E1074">
        <v>0.33</v>
      </c>
      <c r="F1074">
        <v>0.34</v>
      </c>
      <c r="G1074">
        <v>0.31</v>
      </c>
      <c r="H1074">
        <v>0.32</v>
      </c>
      <c r="I1074" s="1">
        <v>296000</v>
      </c>
      <c r="J1074" s="1">
        <v>96070</v>
      </c>
      <c r="K1074">
        <v>21</v>
      </c>
      <c r="L1074">
        <v>0.33</v>
      </c>
      <c r="M1074">
        <v>0.34</v>
      </c>
      <c r="N1074" s="1">
        <v>5000000</v>
      </c>
      <c r="O1074">
        <v>0.33</v>
      </c>
      <c r="P1074">
        <v>1.3</v>
      </c>
      <c r="Q1074">
        <v>0.01</v>
      </c>
    </row>
    <row r="1075" spans="1:17" x14ac:dyDescent="0.25">
      <c r="A1075" t="s">
        <v>2281</v>
      </c>
      <c r="B1075" t="s">
        <v>2282</v>
      </c>
      <c r="C1075">
        <v>0.41</v>
      </c>
      <c r="D1075">
        <v>-0.01</v>
      </c>
      <c r="E1075">
        <v>0.4</v>
      </c>
      <c r="F1075">
        <v>0.41</v>
      </c>
      <c r="G1075">
        <v>0.4</v>
      </c>
      <c r="H1075">
        <v>0.4</v>
      </c>
      <c r="I1075" s="1">
        <v>175000</v>
      </c>
      <c r="J1075" s="1">
        <v>70650</v>
      </c>
      <c r="K1075">
        <v>5</v>
      </c>
      <c r="L1075">
        <v>0.4</v>
      </c>
      <c r="M1075">
        <v>0.41</v>
      </c>
      <c r="N1075" s="1">
        <v>10000000</v>
      </c>
      <c r="O1075">
        <v>0.41</v>
      </c>
      <c r="P1075">
        <v>1.4</v>
      </c>
      <c r="Q1075">
        <v>0.01</v>
      </c>
    </row>
    <row r="1076" spans="1:17" x14ac:dyDescent="0.25">
      <c r="A1076" t="s">
        <v>2283</v>
      </c>
      <c r="B1076" t="s">
        <v>2284</v>
      </c>
      <c r="C1076">
        <v>0.84</v>
      </c>
      <c r="D1076">
        <v>-0.01</v>
      </c>
      <c r="E1076">
        <v>0.84</v>
      </c>
      <c r="F1076">
        <v>0.84</v>
      </c>
      <c r="G1076">
        <v>0.84</v>
      </c>
      <c r="H1076">
        <v>0.84</v>
      </c>
      <c r="I1076" s="1">
        <v>77000</v>
      </c>
      <c r="J1076" s="1">
        <v>64680</v>
      </c>
      <c r="K1076">
        <v>1</v>
      </c>
      <c r="L1076">
        <v>0.82</v>
      </c>
      <c r="M1076">
        <v>0.84</v>
      </c>
      <c r="N1076" s="1">
        <v>10000000</v>
      </c>
      <c r="O1076">
        <v>0.84</v>
      </c>
      <c r="P1076">
        <v>1.61</v>
      </c>
      <c r="Q1076">
        <v>7.0000000000000007E-2</v>
      </c>
    </row>
    <row r="1077" spans="1:17" x14ac:dyDescent="0.25">
      <c r="A1077" t="s">
        <v>2285</v>
      </c>
      <c r="B1077" t="s">
        <v>2286</v>
      </c>
      <c r="C1077">
        <v>1.56</v>
      </c>
      <c r="D1077">
        <v>0.01</v>
      </c>
      <c r="E1077">
        <v>1.55</v>
      </c>
      <c r="F1077">
        <v>1.56</v>
      </c>
      <c r="G1077">
        <v>1.54</v>
      </c>
      <c r="H1077">
        <v>1.55</v>
      </c>
      <c r="I1077" s="1">
        <v>192000</v>
      </c>
      <c r="J1077" s="1">
        <v>298340</v>
      </c>
      <c r="K1077">
        <v>17</v>
      </c>
      <c r="L1077">
        <v>1.56</v>
      </c>
      <c r="M1077">
        <v>1.58</v>
      </c>
      <c r="N1077" s="1">
        <v>5000000</v>
      </c>
      <c r="O1077">
        <v>1.56</v>
      </c>
      <c r="P1077">
        <v>2.2599999999999998</v>
      </c>
      <c r="Q1077">
        <v>0.86</v>
      </c>
    </row>
    <row r="1078" spans="1:17" x14ac:dyDescent="0.25">
      <c r="A1078" t="s">
        <v>2287</v>
      </c>
      <c r="B1078" t="s">
        <v>2288</v>
      </c>
      <c r="C1078">
        <v>0.66</v>
      </c>
      <c r="D1078">
        <v>0.03</v>
      </c>
      <c r="E1078">
        <v>0.6</v>
      </c>
      <c r="F1078">
        <v>0.67</v>
      </c>
      <c r="G1078">
        <v>0.6</v>
      </c>
      <c r="H1078">
        <v>0.65</v>
      </c>
      <c r="I1078" s="1">
        <v>548000</v>
      </c>
      <c r="J1078" s="1">
        <v>353550</v>
      </c>
      <c r="K1078">
        <v>17</v>
      </c>
      <c r="L1078">
        <v>0.62</v>
      </c>
      <c r="M1078">
        <v>0.66</v>
      </c>
      <c r="N1078" s="1">
        <v>5000000</v>
      </c>
      <c r="O1078">
        <v>0.66</v>
      </c>
      <c r="P1078">
        <v>1.5</v>
      </c>
      <c r="Q1078">
        <v>0.01</v>
      </c>
    </row>
    <row r="1079" spans="1:17" x14ac:dyDescent="0.25">
      <c r="A1079" t="s">
        <v>2289</v>
      </c>
      <c r="B1079" t="s">
        <v>2290</v>
      </c>
      <c r="C1079">
        <v>0.9</v>
      </c>
      <c r="D1079">
        <v>-0.03</v>
      </c>
      <c r="E1079">
        <v>0.86</v>
      </c>
      <c r="F1079">
        <v>0.9</v>
      </c>
      <c r="G1079">
        <v>0.86</v>
      </c>
      <c r="H1079">
        <v>0.89</v>
      </c>
      <c r="I1079" s="1">
        <v>569000</v>
      </c>
      <c r="J1079" s="1">
        <v>506020</v>
      </c>
      <c r="K1079">
        <v>22</v>
      </c>
      <c r="L1079">
        <v>0.9</v>
      </c>
      <c r="M1079">
        <v>0.91</v>
      </c>
      <c r="N1079" s="1">
        <v>10000000</v>
      </c>
      <c r="O1079">
        <v>0.9</v>
      </c>
      <c r="P1079">
        <v>1.66</v>
      </c>
      <c r="Q1079">
        <v>0.14000000000000001</v>
      </c>
    </row>
    <row r="1080" spans="1:17" x14ac:dyDescent="0.25">
      <c r="A1080" t="s">
        <v>2291</v>
      </c>
      <c r="B1080" t="s">
        <v>2292</v>
      </c>
      <c r="C1080">
        <v>0.87</v>
      </c>
      <c r="D1080">
        <v>0.02</v>
      </c>
      <c r="E1080">
        <v>0.85</v>
      </c>
      <c r="F1080">
        <v>0.87</v>
      </c>
      <c r="G1080">
        <v>0.85</v>
      </c>
      <c r="H1080">
        <v>0.86</v>
      </c>
      <c r="I1080" s="1">
        <v>481000</v>
      </c>
      <c r="J1080" s="1">
        <v>415760</v>
      </c>
      <c r="K1080">
        <v>7</v>
      </c>
      <c r="L1080">
        <v>0.86</v>
      </c>
      <c r="M1080">
        <v>0.87</v>
      </c>
      <c r="N1080" s="1">
        <v>5000000</v>
      </c>
      <c r="O1080">
        <v>0.87</v>
      </c>
      <c r="P1080">
        <v>1.62</v>
      </c>
      <c r="Q1080">
        <v>0.12</v>
      </c>
    </row>
    <row r="1081" spans="1:17" x14ac:dyDescent="0.25">
      <c r="A1081" t="s">
        <v>2293</v>
      </c>
      <c r="B1081" t="s">
        <v>2294</v>
      </c>
      <c r="C1081">
        <v>0.82</v>
      </c>
      <c r="D1081">
        <v>0.04</v>
      </c>
      <c r="E1081">
        <v>0.75</v>
      </c>
      <c r="F1081">
        <v>0.83</v>
      </c>
      <c r="G1081">
        <v>0.75</v>
      </c>
      <c r="H1081">
        <v>0.8</v>
      </c>
      <c r="I1081" s="1">
        <v>654000</v>
      </c>
      <c r="J1081" s="1">
        <v>520360</v>
      </c>
      <c r="K1081">
        <v>20</v>
      </c>
      <c r="L1081">
        <v>0.8</v>
      </c>
      <c r="M1081">
        <v>0.81</v>
      </c>
      <c r="N1081" s="1">
        <v>10000000</v>
      </c>
      <c r="O1081">
        <v>0.82</v>
      </c>
      <c r="P1081">
        <v>1.66</v>
      </c>
      <c r="Q1081">
        <v>0.01</v>
      </c>
    </row>
    <row r="1082" spans="1:17" x14ac:dyDescent="0.25">
      <c r="A1082" t="s">
        <v>2295</v>
      </c>
      <c r="B1082" t="s">
        <v>2296</v>
      </c>
      <c r="C1082">
        <v>0.79</v>
      </c>
      <c r="D1082">
        <v>0</v>
      </c>
      <c r="E1082">
        <v>0.79</v>
      </c>
      <c r="F1082">
        <v>0.79</v>
      </c>
      <c r="G1082">
        <v>0.79</v>
      </c>
      <c r="H1082">
        <v>0.79</v>
      </c>
      <c r="I1082" s="1">
        <v>95000</v>
      </c>
      <c r="J1082" s="1">
        <v>75050</v>
      </c>
      <c r="K1082">
        <v>1</v>
      </c>
      <c r="L1082">
        <v>0.78</v>
      </c>
      <c r="M1082">
        <v>0.79</v>
      </c>
      <c r="N1082" s="1">
        <v>10000000</v>
      </c>
      <c r="O1082">
        <v>0.79</v>
      </c>
      <c r="P1082">
        <v>1.05</v>
      </c>
      <c r="Q1082">
        <v>0.53</v>
      </c>
    </row>
    <row r="1083" spans="1:17" x14ac:dyDescent="0.25">
      <c r="A1083" t="s">
        <v>2297</v>
      </c>
      <c r="B1083" t="s">
        <v>2298</v>
      </c>
      <c r="C1083">
        <v>0.38</v>
      </c>
      <c r="D1083">
        <v>0.04</v>
      </c>
      <c r="E1083">
        <v>0.3</v>
      </c>
      <c r="F1083">
        <v>0.38</v>
      </c>
      <c r="G1083">
        <v>0.3</v>
      </c>
      <c r="H1083">
        <v>0.32</v>
      </c>
      <c r="I1083" s="1">
        <v>2878000</v>
      </c>
      <c r="J1083" s="1">
        <v>908880</v>
      </c>
      <c r="K1083">
        <v>35</v>
      </c>
      <c r="L1083">
        <v>0.37</v>
      </c>
      <c r="M1083">
        <v>0.38</v>
      </c>
      <c r="N1083" s="1">
        <v>10000000</v>
      </c>
      <c r="O1083">
        <v>0.38</v>
      </c>
      <c r="P1083">
        <v>1.88</v>
      </c>
      <c r="Q1083">
        <v>0.01</v>
      </c>
    </row>
    <row r="1084" spans="1:17" x14ac:dyDescent="0.25">
      <c r="A1084" t="s">
        <v>2299</v>
      </c>
      <c r="B1084" t="s">
        <v>2300</v>
      </c>
      <c r="C1084">
        <v>0.8</v>
      </c>
      <c r="D1084">
        <v>-0.09</v>
      </c>
      <c r="E1084">
        <v>0.77</v>
      </c>
      <c r="F1084">
        <v>0.8</v>
      </c>
      <c r="G1084">
        <v>0.77</v>
      </c>
      <c r="H1084">
        <v>0.79</v>
      </c>
      <c r="I1084" s="1">
        <v>102000</v>
      </c>
      <c r="J1084" s="1">
        <v>80350</v>
      </c>
      <c r="K1084">
        <v>10</v>
      </c>
      <c r="L1084">
        <v>0.79</v>
      </c>
      <c r="M1084">
        <v>0.81</v>
      </c>
      <c r="N1084" s="1">
        <v>10000000</v>
      </c>
      <c r="O1084">
        <v>0.8</v>
      </c>
      <c r="P1084">
        <v>1.4</v>
      </c>
      <c r="Q1084">
        <v>0.2</v>
      </c>
    </row>
    <row r="1085" spans="1:17" x14ac:dyDescent="0.25">
      <c r="A1085" t="s">
        <v>2301</v>
      </c>
      <c r="B1085" t="s">
        <v>2302</v>
      </c>
      <c r="C1085">
        <v>0.76</v>
      </c>
      <c r="D1085">
        <v>0.01</v>
      </c>
      <c r="E1085">
        <v>0.73</v>
      </c>
      <c r="F1085">
        <v>0.77</v>
      </c>
      <c r="G1085">
        <v>0.72</v>
      </c>
      <c r="H1085">
        <v>0.75</v>
      </c>
      <c r="I1085" s="1">
        <v>498000</v>
      </c>
      <c r="J1085" s="1">
        <v>371560</v>
      </c>
      <c r="K1085">
        <v>9</v>
      </c>
      <c r="L1085">
        <v>0.76</v>
      </c>
      <c r="M1085">
        <v>0.77</v>
      </c>
      <c r="N1085" s="1">
        <v>15000000</v>
      </c>
      <c r="O1085">
        <v>0.76</v>
      </c>
      <c r="P1085">
        <v>1.27</v>
      </c>
      <c r="Q1085">
        <v>0.25</v>
      </c>
    </row>
    <row r="1086" spans="1:17" x14ac:dyDescent="0.25">
      <c r="A1086" t="s">
        <v>2303</v>
      </c>
      <c r="B1086" t="s">
        <v>2304</v>
      </c>
      <c r="C1086">
        <v>0.61</v>
      </c>
      <c r="D1086">
        <v>0</v>
      </c>
      <c r="E1086">
        <v>0.57999999999999996</v>
      </c>
      <c r="F1086">
        <v>0.61</v>
      </c>
      <c r="G1086">
        <v>0.57999999999999996</v>
      </c>
      <c r="H1086">
        <v>0.57999999999999996</v>
      </c>
      <c r="I1086" s="1">
        <v>23000</v>
      </c>
      <c r="J1086" s="1">
        <v>13430</v>
      </c>
      <c r="K1086">
        <v>2</v>
      </c>
      <c r="L1086">
        <v>0.63</v>
      </c>
      <c r="M1086">
        <v>0.65</v>
      </c>
      <c r="N1086" s="1">
        <v>15000000</v>
      </c>
      <c r="O1086">
        <v>0.61</v>
      </c>
      <c r="P1086">
        <v>1.1399999999999999</v>
      </c>
      <c r="Q1086">
        <v>0.08</v>
      </c>
    </row>
    <row r="1087" spans="1:17" x14ac:dyDescent="0.25">
      <c r="A1087" t="s">
        <v>2305</v>
      </c>
      <c r="B1087" t="s">
        <v>2306</v>
      </c>
      <c r="C1087">
        <v>2.1</v>
      </c>
      <c r="D1087">
        <v>0.08</v>
      </c>
      <c r="E1087">
        <v>2.06</v>
      </c>
      <c r="F1087">
        <v>2.12</v>
      </c>
      <c r="G1087">
        <v>2.06</v>
      </c>
      <c r="H1087">
        <v>2.1</v>
      </c>
      <c r="I1087" s="1">
        <v>170000</v>
      </c>
      <c r="J1087" s="1">
        <v>357680</v>
      </c>
      <c r="K1087">
        <v>5</v>
      </c>
      <c r="L1087">
        <v>2.1</v>
      </c>
      <c r="M1087">
        <v>2.11</v>
      </c>
      <c r="N1087" s="1">
        <v>10000000</v>
      </c>
      <c r="O1087">
        <v>2.1</v>
      </c>
      <c r="P1087">
        <v>2.5099999999999998</v>
      </c>
      <c r="Q1087">
        <v>1.69</v>
      </c>
    </row>
    <row r="1088" spans="1:17" x14ac:dyDescent="0.25">
      <c r="A1088" t="s">
        <v>2307</v>
      </c>
      <c r="B1088" t="s">
        <v>2308</v>
      </c>
      <c r="C1088">
        <v>1.27</v>
      </c>
      <c r="D1088">
        <v>-0.03</v>
      </c>
      <c r="E1088">
        <v>1.2</v>
      </c>
      <c r="F1088">
        <v>1.27</v>
      </c>
      <c r="G1088">
        <v>1.2</v>
      </c>
      <c r="H1088">
        <v>1.24</v>
      </c>
      <c r="I1088" s="1">
        <v>170000</v>
      </c>
      <c r="J1088" s="1">
        <v>210200</v>
      </c>
      <c r="K1088">
        <v>4</v>
      </c>
      <c r="L1088">
        <v>1.27</v>
      </c>
      <c r="M1088">
        <v>1.28</v>
      </c>
      <c r="N1088" s="1">
        <v>10000000</v>
      </c>
      <c r="O1088">
        <v>1.27</v>
      </c>
      <c r="P1088">
        <v>2.4500000000000002</v>
      </c>
      <c r="Q1088">
        <v>0.09</v>
      </c>
    </row>
    <row r="1089" spans="1:17" x14ac:dyDescent="0.25">
      <c r="A1089" t="s">
        <v>2309</v>
      </c>
      <c r="B1089" t="s">
        <v>2310</v>
      </c>
      <c r="C1089" t="s">
        <v>78</v>
      </c>
      <c r="D1089" t="s">
        <v>78</v>
      </c>
      <c r="E1089" t="s">
        <v>78</v>
      </c>
      <c r="F1089" t="s">
        <v>78</v>
      </c>
      <c r="G1089" t="s">
        <v>78</v>
      </c>
      <c r="H1089">
        <v>0.95</v>
      </c>
      <c r="I1089" s="1">
        <v>0</v>
      </c>
      <c r="J1089" s="1">
        <v>0</v>
      </c>
      <c r="K1089">
        <v>0</v>
      </c>
      <c r="L1089">
        <v>0.97</v>
      </c>
      <c r="M1089">
        <v>0.98</v>
      </c>
      <c r="N1089" s="1">
        <v>10000000</v>
      </c>
      <c r="O1089">
        <v>0.97</v>
      </c>
      <c r="P1089">
        <v>2.0099999999999998</v>
      </c>
      <c r="Q1089">
        <v>0.01</v>
      </c>
    </row>
    <row r="1090" spans="1:17" x14ac:dyDescent="0.25">
      <c r="A1090" t="s">
        <v>2311</v>
      </c>
      <c r="B1090" t="s">
        <v>2312</v>
      </c>
      <c r="C1090">
        <v>0.93</v>
      </c>
      <c r="D1090">
        <v>0.05</v>
      </c>
      <c r="E1090">
        <v>0.82</v>
      </c>
      <c r="F1090">
        <v>0.94</v>
      </c>
      <c r="G1090">
        <v>0.82</v>
      </c>
      <c r="H1090">
        <v>0.88</v>
      </c>
      <c r="I1090" s="1">
        <v>195000</v>
      </c>
      <c r="J1090" s="1">
        <v>171450</v>
      </c>
      <c r="K1090">
        <v>12</v>
      </c>
      <c r="L1090">
        <v>0.81</v>
      </c>
      <c r="M1090">
        <v>0.85</v>
      </c>
      <c r="N1090" s="1">
        <v>5000000</v>
      </c>
      <c r="O1090">
        <v>0.93</v>
      </c>
      <c r="P1090">
        <v>1.77</v>
      </c>
      <c r="Q1090">
        <v>0.09</v>
      </c>
    </row>
    <row r="1091" spans="1:17" x14ac:dyDescent="0.25">
      <c r="A1091" t="s">
        <v>2313</v>
      </c>
      <c r="B1091" t="s">
        <v>2314</v>
      </c>
      <c r="C1091">
        <v>0.84</v>
      </c>
      <c r="D1091">
        <v>0.02</v>
      </c>
      <c r="E1091">
        <v>0.83</v>
      </c>
      <c r="F1091">
        <v>0.84</v>
      </c>
      <c r="G1091">
        <v>0.83</v>
      </c>
      <c r="H1091">
        <v>0.83</v>
      </c>
      <c r="I1091" s="1">
        <v>146000</v>
      </c>
      <c r="J1091" s="1">
        <v>121580</v>
      </c>
      <c r="K1091">
        <v>3</v>
      </c>
      <c r="L1091">
        <v>0.8</v>
      </c>
      <c r="M1091">
        <v>0.81</v>
      </c>
      <c r="N1091" s="1">
        <v>10000000</v>
      </c>
      <c r="O1091">
        <v>0.84</v>
      </c>
      <c r="P1091">
        <v>1.53</v>
      </c>
      <c r="Q1091">
        <v>0.15</v>
      </c>
    </row>
    <row r="1092" spans="1:17" x14ac:dyDescent="0.25">
      <c r="A1092" t="s">
        <v>2315</v>
      </c>
      <c r="B1092" t="s">
        <v>2316</v>
      </c>
      <c r="C1092">
        <v>0.5</v>
      </c>
      <c r="D1092">
        <v>0.01</v>
      </c>
      <c r="E1092">
        <v>0.48</v>
      </c>
      <c r="F1092">
        <v>0.5</v>
      </c>
      <c r="G1092">
        <v>0.48</v>
      </c>
      <c r="H1092">
        <v>0.5</v>
      </c>
      <c r="I1092" s="1">
        <v>460000</v>
      </c>
      <c r="J1092" s="1">
        <v>229000</v>
      </c>
      <c r="K1092">
        <v>7</v>
      </c>
      <c r="L1092">
        <v>0.5</v>
      </c>
      <c r="M1092">
        <v>0.51</v>
      </c>
      <c r="N1092" s="1">
        <v>5700000</v>
      </c>
      <c r="O1092">
        <v>0.5</v>
      </c>
      <c r="P1092">
        <v>1.35</v>
      </c>
      <c r="Q1092">
        <v>0.01</v>
      </c>
    </row>
    <row r="1093" spans="1:17" x14ac:dyDescent="0.25">
      <c r="A1093" t="s">
        <v>2317</v>
      </c>
      <c r="B1093" t="s">
        <v>2318</v>
      </c>
      <c r="C1093">
        <v>1.07</v>
      </c>
      <c r="D1093">
        <v>-0.04</v>
      </c>
      <c r="E1093">
        <v>1.07</v>
      </c>
      <c r="F1093">
        <v>1.07</v>
      </c>
      <c r="G1093">
        <v>1.07</v>
      </c>
      <c r="H1093">
        <v>1.07</v>
      </c>
      <c r="I1093" s="1">
        <v>108000</v>
      </c>
      <c r="J1093" s="1">
        <v>115560</v>
      </c>
      <c r="K1093">
        <v>2</v>
      </c>
      <c r="L1093">
        <v>1.07</v>
      </c>
      <c r="M1093">
        <v>1.08</v>
      </c>
      <c r="N1093" s="1">
        <v>5000000</v>
      </c>
      <c r="O1093">
        <v>1.07</v>
      </c>
      <c r="P1093">
        <v>1.7</v>
      </c>
      <c r="Q1093">
        <v>0.44</v>
      </c>
    </row>
    <row r="1094" spans="1:17" x14ac:dyDescent="0.25">
      <c r="A1094" t="s">
        <v>2319</v>
      </c>
      <c r="B1094" t="s">
        <v>2320</v>
      </c>
      <c r="C1094">
        <v>2.37</v>
      </c>
      <c r="D1094">
        <v>0.01</v>
      </c>
      <c r="E1094">
        <v>2.2400000000000002</v>
      </c>
      <c r="F1094">
        <v>2.37</v>
      </c>
      <c r="G1094">
        <v>2.23</v>
      </c>
      <c r="H1094">
        <v>2.29</v>
      </c>
      <c r="I1094" s="1">
        <v>177000</v>
      </c>
      <c r="J1094" s="1">
        <v>405540</v>
      </c>
      <c r="K1094">
        <v>13</v>
      </c>
      <c r="L1094">
        <v>2.37</v>
      </c>
      <c r="M1094">
        <v>2.38</v>
      </c>
      <c r="N1094" s="1">
        <v>8000000</v>
      </c>
      <c r="O1094">
        <v>2.37</v>
      </c>
      <c r="P1094">
        <v>4.34</v>
      </c>
      <c r="Q1094">
        <v>0.4</v>
      </c>
    </row>
    <row r="1095" spans="1:17" x14ac:dyDescent="0.25">
      <c r="A1095" t="s">
        <v>2321</v>
      </c>
      <c r="B1095" t="s">
        <v>2322</v>
      </c>
      <c r="C1095">
        <v>0.93</v>
      </c>
      <c r="D1095">
        <v>0</v>
      </c>
      <c r="E1095">
        <v>0.89</v>
      </c>
      <c r="F1095">
        <v>0.94</v>
      </c>
      <c r="G1095">
        <v>0.87</v>
      </c>
      <c r="H1095">
        <v>0.89</v>
      </c>
      <c r="I1095" s="1">
        <v>547000</v>
      </c>
      <c r="J1095" s="1">
        <v>489400</v>
      </c>
      <c r="K1095">
        <v>20</v>
      </c>
      <c r="L1095">
        <v>0.92</v>
      </c>
      <c r="M1095">
        <v>0.93</v>
      </c>
      <c r="N1095" s="1">
        <v>10000000</v>
      </c>
      <c r="O1095">
        <v>0.93</v>
      </c>
      <c r="P1095">
        <v>1.75</v>
      </c>
      <c r="Q1095">
        <v>0.11</v>
      </c>
    </row>
    <row r="1096" spans="1:17" x14ac:dyDescent="0.25">
      <c r="A1096" t="s">
        <v>2323</v>
      </c>
      <c r="B1096" t="s">
        <v>2324</v>
      </c>
      <c r="C1096">
        <v>0.88</v>
      </c>
      <c r="D1096">
        <v>0.04</v>
      </c>
      <c r="E1096">
        <v>0.83</v>
      </c>
      <c r="F1096">
        <v>0.88</v>
      </c>
      <c r="G1096">
        <v>0.82</v>
      </c>
      <c r="H1096">
        <v>0.86</v>
      </c>
      <c r="I1096" s="1">
        <v>100000</v>
      </c>
      <c r="J1096" s="1">
        <v>85640</v>
      </c>
      <c r="K1096">
        <v>9</v>
      </c>
      <c r="L1096">
        <v>0.87</v>
      </c>
      <c r="M1096">
        <v>0.88</v>
      </c>
      <c r="N1096" s="1">
        <v>5000000</v>
      </c>
      <c r="O1096">
        <v>0.88</v>
      </c>
      <c r="P1096">
        <v>2.2799999999999998</v>
      </c>
      <c r="Q1096">
        <v>0.01</v>
      </c>
    </row>
    <row r="1097" spans="1:17" x14ac:dyDescent="0.25">
      <c r="A1097" t="s">
        <v>2325</v>
      </c>
      <c r="B1097" t="s">
        <v>2326</v>
      </c>
      <c r="C1097">
        <v>1</v>
      </c>
      <c r="D1097">
        <v>0.04</v>
      </c>
      <c r="E1097">
        <v>1</v>
      </c>
      <c r="F1097">
        <v>1</v>
      </c>
      <c r="G1097">
        <v>1</v>
      </c>
      <c r="H1097">
        <v>1</v>
      </c>
      <c r="I1097" s="1">
        <v>25000</v>
      </c>
      <c r="J1097" s="1">
        <v>25000</v>
      </c>
      <c r="K1097">
        <v>1</v>
      </c>
      <c r="L1097">
        <v>0.96</v>
      </c>
      <c r="M1097">
        <v>0.97</v>
      </c>
      <c r="N1097" s="1">
        <v>11500000</v>
      </c>
      <c r="O1097">
        <v>1</v>
      </c>
      <c r="P1097">
        <v>1.62</v>
      </c>
      <c r="Q1097">
        <v>0.38</v>
      </c>
    </row>
    <row r="1098" spans="1:17" x14ac:dyDescent="0.25">
      <c r="A1098" t="s">
        <v>2327</v>
      </c>
      <c r="B1098" t="s">
        <v>2328</v>
      </c>
      <c r="C1098">
        <v>1.38</v>
      </c>
      <c r="D1098">
        <v>0.09</v>
      </c>
      <c r="E1098">
        <v>1.31</v>
      </c>
      <c r="F1098">
        <v>1.38</v>
      </c>
      <c r="G1098">
        <v>1.31</v>
      </c>
      <c r="H1098">
        <v>1.35</v>
      </c>
      <c r="I1098" s="1">
        <v>431000</v>
      </c>
      <c r="J1098" s="1">
        <v>583640</v>
      </c>
      <c r="K1098">
        <v>6</v>
      </c>
      <c r="L1098">
        <v>1.35</v>
      </c>
      <c r="M1098">
        <v>1.37</v>
      </c>
      <c r="N1098" s="1">
        <v>10000000</v>
      </c>
      <c r="O1098">
        <v>1.38</v>
      </c>
      <c r="P1098">
        <v>2.34</v>
      </c>
      <c r="Q1098">
        <v>0.42</v>
      </c>
    </row>
    <row r="1099" spans="1:17" x14ac:dyDescent="0.25">
      <c r="A1099" t="s">
        <v>2329</v>
      </c>
      <c r="B1099" t="s">
        <v>2330</v>
      </c>
      <c r="C1099">
        <v>0.91</v>
      </c>
      <c r="D1099">
        <v>-0.02</v>
      </c>
      <c r="E1099">
        <v>0.9</v>
      </c>
      <c r="F1099">
        <v>0.91</v>
      </c>
      <c r="G1099">
        <v>0.9</v>
      </c>
      <c r="H1099">
        <v>0.91</v>
      </c>
      <c r="I1099" s="1">
        <v>7000</v>
      </c>
      <c r="J1099" s="1">
        <v>6340</v>
      </c>
      <c r="K1099">
        <v>2</v>
      </c>
      <c r="L1099">
        <v>0.92</v>
      </c>
      <c r="M1099">
        <v>0.93</v>
      </c>
      <c r="N1099" s="1">
        <v>5000000</v>
      </c>
      <c r="O1099">
        <v>0.91</v>
      </c>
      <c r="P1099">
        <v>1.54</v>
      </c>
      <c r="Q1099">
        <v>0.28999999999999998</v>
      </c>
    </row>
    <row r="1100" spans="1:17" x14ac:dyDescent="0.25">
      <c r="A1100" t="s">
        <v>2331</v>
      </c>
      <c r="B1100" t="s">
        <v>2332</v>
      </c>
      <c r="C1100">
        <v>0.78</v>
      </c>
      <c r="D1100">
        <v>0.01</v>
      </c>
      <c r="E1100">
        <v>0.78</v>
      </c>
      <c r="F1100">
        <v>0.78</v>
      </c>
      <c r="G1100">
        <v>0.78</v>
      </c>
      <c r="H1100">
        <v>0.78</v>
      </c>
      <c r="I1100" s="1">
        <v>42000</v>
      </c>
      <c r="J1100" s="1">
        <v>32760</v>
      </c>
      <c r="K1100">
        <v>2</v>
      </c>
      <c r="L1100">
        <v>0.77</v>
      </c>
      <c r="M1100">
        <v>0.78</v>
      </c>
      <c r="N1100" s="1">
        <v>10000000</v>
      </c>
      <c r="O1100">
        <v>0.78</v>
      </c>
      <c r="P1100">
        <v>1.1299999999999999</v>
      </c>
      <c r="Q1100">
        <v>0.43</v>
      </c>
    </row>
    <row r="1101" spans="1:17" x14ac:dyDescent="0.25">
      <c r="A1101" t="s">
        <v>2333</v>
      </c>
      <c r="B1101" t="s">
        <v>2334</v>
      </c>
      <c r="C1101">
        <v>1.77</v>
      </c>
      <c r="D1101">
        <v>0.03</v>
      </c>
      <c r="E1101">
        <v>1.77</v>
      </c>
      <c r="F1101">
        <v>1.77</v>
      </c>
      <c r="G1101">
        <v>1.77</v>
      </c>
      <c r="H1101">
        <v>1.77</v>
      </c>
      <c r="I1101" s="1">
        <v>74000</v>
      </c>
      <c r="J1101" s="1">
        <v>130980</v>
      </c>
      <c r="K1101">
        <v>3</v>
      </c>
      <c r="L1101">
        <v>1.76</v>
      </c>
      <c r="M1101">
        <v>1.77</v>
      </c>
      <c r="N1101" s="1">
        <v>10000000</v>
      </c>
      <c r="O1101">
        <v>1.77</v>
      </c>
      <c r="P1101">
        <v>2.93</v>
      </c>
      <c r="Q1101">
        <v>0.61</v>
      </c>
    </row>
    <row r="1102" spans="1:17" x14ac:dyDescent="0.25">
      <c r="A1102" t="s">
        <v>2335</v>
      </c>
      <c r="B1102" t="s">
        <v>2336</v>
      </c>
      <c r="C1102">
        <v>0.56999999999999995</v>
      </c>
      <c r="D1102">
        <v>0</v>
      </c>
      <c r="E1102">
        <v>0.54</v>
      </c>
      <c r="F1102">
        <v>0.57999999999999996</v>
      </c>
      <c r="G1102">
        <v>0.54</v>
      </c>
      <c r="H1102">
        <v>0.56000000000000005</v>
      </c>
      <c r="I1102" s="1">
        <v>1169000</v>
      </c>
      <c r="J1102" s="1">
        <v>654590</v>
      </c>
      <c r="K1102">
        <v>24</v>
      </c>
      <c r="L1102">
        <v>0.56000000000000005</v>
      </c>
      <c r="M1102">
        <v>0.56999999999999995</v>
      </c>
      <c r="N1102" s="1">
        <v>5000000</v>
      </c>
      <c r="O1102">
        <v>0.56999999999999995</v>
      </c>
      <c r="P1102">
        <v>1.39</v>
      </c>
      <c r="Q1102">
        <v>0.01</v>
      </c>
    </row>
    <row r="1103" spans="1:17" x14ac:dyDescent="0.25">
      <c r="A1103" t="s">
        <v>2337</v>
      </c>
      <c r="B1103" t="s">
        <v>2338</v>
      </c>
      <c r="C1103">
        <v>0.78</v>
      </c>
      <c r="D1103">
        <v>-0.14000000000000001</v>
      </c>
      <c r="E1103">
        <v>0.78</v>
      </c>
      <c r="F1103">
        <v>0.78</v>
      </c>
      <c r="G1103">
        <v>0.78</v>
      </c>
      <c r="H1103">
        <v>0.78</v>
      </c>
      <c r="I1103" s="1">
        <v>20000</v>
      </c>
      <c r="J1103" s="1">
        <v>15600</v>
      </c>
      <c r="K1103">
        <v>1</v>
      </c>
      <c r="L1103">
        <v>0.85</v>
      </c>
      <c r="M1103">
        <v>0.86</v>
      </c>
      <c r="N1103" s="1">
        <v>10000000</v>
      </c>
      <c r="O1103">
        <v>0.78</v>
      </c>
      <c r="P1103">
        <v>1.39</v>
      </c>
      <c r="Q1103">
        <v>0.18</v>
      </c>
    </row>
    <row r="1104" spans="1:17" x14ac:dyDescent="0.25">
      <c r="A1104" t="s">
        <v>2339</v>
      </c>
      <c r="B1104" t="s">
        <v>2340</v>
      </c>
      <c r="C1104">
        <v>2.71</v>
      </c>
      <c r="D1104">
        <v>0.05</v>
      </c>
      <c r="E1104">
        <v>2.56</v>
      </c>
      <c r="F1104">
        <v>2.73</v>
      </c>
      <c r="G1104">
        <v>2.56</v>
      </c>
      <c r="H1104">
        <v>2.68</v>
      </c>
      <c r="I1104" s="1">
        <v>195000</v>
      </c>
      <c r="J1104" s="1">
        <v>522480</v>
      </c>
      <c r="K1104">
        <v>18</v>
      </c>
      <c r="L1104">
        <v>2.72</v>
      </c>
      <c r="M1104">
        <v>2.73</v>
      </c>
      <c r="N1104" s="1">
        <v>5000000</v>
      </c>
      <c r="O1104">
        <v>2.71</v>
      </c>
      <c r="P1104">
        <v>5.05</v>
      </c>
      <c r="Q1104">
        <v>0.34</v>
      </c>
    </row>
    <row r="1105" spans="1:17" x14ac:dyDescent="0.25">
      <c r="A1105" t="s">
        <v>2341</v>
      </c>
      <c r="B1105" t="s">
        <v>2342</v>
      </c>
      <c r="C1105">
        <v>1.29</v>
      </c>
      <c r="D1105">
        <v>0.02</v>
      </c>
      <c r="E1105">
        <v>1.25</v>
      </c>
      <c r="F1105">
        <v>1.29</v>
      </c>
      <c r="G1105">
        <v>1.24</v>
      </c>
      <c r="H1105">
        <v>1.26</v>
      </c>
      <c r="I1105" s="1">
        <v>497000</v>
      </c>
      <c r="J1105" s="1">
        <v>627660</v>
      </c>
      <c r="K1105">
        <v>7</v>
      </c>
      <c r="L1105">
        <v>1.29</v>
      </c>
      <c r="M1105">
        <v>1.3</v>
      </c>
      <c r="N1105" s="1">
        <v>5000000</v>
      </c>
      <c r="O1105">
        <v>1.29</v>
      </c>
      <c r="P1105">
        <v>2.08</v>
      </c>
      <c r="Q1105">
        <v>0.5</v>
      </c>
    </row>
    <row r="1106" spans="1:17" x14ac:dyDescent="0.25">
      <c r="A1106" t="s">
        <v>2343</v>
      </c>
      <c r="B1106" t="s">
        <v>2344</v>
      </c>
      <c r="C1106">
        <v>0.56000000000000005</v>
      </c>
      <c r="D1106">
        <v>0</v>
      </c>
      <c r="E1106">
        <v>0.54</v>
      </c>
      <c r="F1106">
        <v>0.56000000000000005</v>
      </c>
      <c r="G1106">
        <v>0.54</v>
      </c>
      <c r="H1106">
        <v>0.56000000000000005</v>
      </c>
      <c r="I1106" s="1">
        <v>182000</v>
      </c>
      <c r="J1106" s="1">
        <v>101520</v>
      </c>
      <c r="K1106">
        <v>3</v>
      </c>
      <c r="L1106">
        <v>0.55000000000000004</v>
      </c>
      <c r="M1106">
        <v>0.56999999999999995</v>
      </c>
      <c r="N1106" s="1">
        <v>12500000</v>
      </c>
      <c r="O1106">
        <v>0.56000000000000005</v>
      </c>
      <c r="P1106">
        <v>1.33</v>
      </c>
      <c r="Q1106">
        <v>0.01</v>
      </c>
    </row>
    <row r="1107" spans="1:17" x14ac:dyDescent="0.25">
      <c r="A1107" t="s">
        <v>2345</v>
      </c>
      <c r="B1107" t="s">
        <v>2346</v>
      </c>
      <c r="C1107">
        <v>1.27</v>
      </c>
      <c r="D1107">
        <v>0.04</v>
      </c>
      <c r="E1107">
        <v>1.27</v>
      </c>
      <c r="F1107">
        <v>1.27</v>
      </c>
      <c r="G1107">
        <v>1.27</v>
      </c>
      <c r="H1107">
        <v>1.27</v>
      </c>
      <c r="I1107" s="1">
        <v>217000</v>
      </c>
      <c r="J1107" s="1">
        <v>275590</v>
      </c>
      <c r="K1107">
        <v>4</v>
      </c>
      <c r="L1107">
        <v>1.25</v>
      </c>
      <c r="M1107">
        <v>1.26</v>
      </c>
      <c r="N1107" s="1">
        <v>5000000</v>
      </c>
      <c r="O1107">
        <v>1.27</v>
      </c>
      <c r="P1107">
        <v>2.23</v>
      </c>
      <c r="Q1107">
        <v>0.31</v>
      </c>
    </row>
    <row r="1108" spans="1:17" x14ac:dyDescent="0.25">
      <c r="A1108" t="s">
        <v>2347</v>
      </c>
      <c r="B1108" t="s">
        <v>2348</v>
      </c>
      <c r="C1108">
        <v>1.17</v>
      </c>
      <c r="D1108">
        <v>-0.04</v>
      </c>
      <c r="E1108">
        <v>1.1399999999999999</v>
      </c>
      <c r="F1108">
        <v>1.17</v>
      </c>
      <c r="G1108">
        <v>1.1399999999999999</v>
      </c>
      <c r="H1108">
        <v>1.1399999999999999</v>
      </c>
      <c r="I1108" s="1">
        <v>270000</v>
      </c>
      <c r="J1108" s="1">
        <v>308300</v>
      </c>
      <c r="K1108">
        <v>5</v>
      </c>
      <c r="L1108">
        <v>1.1599999999999999</v>
      </c>
      <c r="M1108">
        <v>1.17</v>
      </c>
      <c r="N1108" s="1">
        <v>10000000</v>
      </c>
      <c r="O1108">
        <v>1.17</v>
      </c>
      <c r="P1108">
        <v>1.84</v>
      </c>
      <c r="Q1108">
        <v>0.5</v>
      </c>
    </row>
    <row r="1109" spans="1:17" x14ac:dyDescent="0.25">
      <c r="A1109" t="s">
        <v>2349</v>
      </c>
      <c r="B1109" t="s">
        <v>2350</v>
      </c>
      <c r="C1109">
        <v>1.29</v>
      </c>
      <c r="D1109">
        <v>0.01</v>
      </c>
      <c r="E1109">
        <v>1.29</v>
      </c>
      <c r="F1109">
        <v>1.32</v>
      </c>
      <c r="G1109">
        <v>1.29</v>
      </c>
      <c r="H1109">
        <v>1.31</v>
      </c>
      <c r="I1109" s="1">
        <v>357000</v>
      </c>
      <c r="J1109" s="1">
        <v>467110</v>
      </c>
      <c r="K1109">
        <v>9</v>
      </c>
      <c r="L1109">
        <v>1.29</v>
      </c>
      <c r="M1109">
        <v>1.3</v>
      </c>
      <c r="N1109" s="1">
        <v>10000000</v>
      </c>
      <c r="O1109">
        <v>1.29</v>
      </c>
      <c r="P1109">
        <v>2.0099999999999998</v>
      </c>
      <c r="Q1109">
        <v>0.56999999999999995</v>
      </c>
    </row>
    <row r="1110" spans="1:17" x14ac:dyDescent="0.25">
      <c r="A1110" t="s">
        <v>2351</v>
      </c>
      <c r="B1110" t="s">
        <v>2352</v>
      </c>
      <c r="C1110">
        <v>0.87</v>
      </c>
      <c r="D1110">
        <v>-0.01</v>
      </c>
      <c r="E1110">
        <v>0.9</v>
      </c>
      <c r="F1110">
        <v>0.92</v>
      </c>
      <c r="G1110">
        <v>0.87</v>
      </c>
      <c r="H1110">
        <v>0.9</v>
      </c>
      <c r="I1110" s="1">
        <v>633000</v>
      </c>
      <c r="J1110" s="1">
        <v>570430</v>
      </c>
      <c r="K1110">
        <v>13</v>
      </c>
      <c r="L1110">
        <v>0.89</v>
      </c>
      <c r="M1110">
        <v>0.9</v>
      </c>
      <c r="N1110" s="1">
        <v>5000000</v>
      </c>
      <c r="O1110">
        <v>0.87</v>
      </c>
      <c r="P1110">
        <v>1.45</v>
      </c>
      <c r="Q1110">
        <v>0.28999999999999998</v>
      </c>
    </row>
    <row r="1111" spans="1:17" x14ac:dyDescent="0.25">
      <c r="A1111" t="s">
        <v>2353</v>
      </c>
      <c r="B1111" t="s">
        <v>2354</v>
      </c>
      <c r="C1111">
        <v>1.96</v>
      </c>
      <c r="D1111">
        <v>0.04</v>
      </c>
      <c r="E1111">
        <v>1.86</v>
      </c>
      <c r="F1111">
        <v>2</v>
      </c>
      <c r="G1111">
        <v>1.86</v>
      </c>
      <c r="H1111">
        <v>1.95</v>
      </c>
      <c r="I1111" s="1">
        <v>300000</v>
      </c>
      <c r="J1111" s="1">
        <v>583710</v>
      </c>
      <c r="K1111">
        <v>11</v>
      </c>
      <c r="L1111">
        <v>1.96</v>
      </c>
      <c r="M1111">
        <v>1.97</v>
      </c>
      <c r="N1111" s="1">
        <v>5000000</v>
      </c>
      <c r="O1111">
        <v>1.96</v>
      </c>
      <c r="P1111">
        <v>3.16</v>
      </c>
      <c r="Q1111">
        <v>0.76</v>
      </c>
    </row>
    <row r="1112" spans="1:17" x14ac:dyDescent="0.25">
      <c r="A1112" t="s">
        <v>2355</v>
      </c>
      <c r="B1112" t="s">
        <v>2356</v>
      </c>
      <c r="C1112">
        <v>0.97</v>
      </c>
      <c r="D1112">
        <v>-0.04</v>
      </c>
      <c r="E1112">
        <v>0.97</v>
      </c>
      <c r="F1112">
        <v>0.97</v>
      </c>
      <c r="G1112">
        <v>0.94</v>
      </c>
      <c r="H1112">
        <v>0.96</v>
      </c>
      <c r="I1112" s="1">
        <v>289000</v>
      </c>
      <c r="J1112" s="1">
        <v>276560</v>
      </c>
      <c r="K1112">
        <v>7</v>
      </c>
      <c r="L1112">
        <v>0.96</v>
      </c>
      <c r="M1112">
        <v>0.97</v>
      </c>
      <c r="N1112" s="1">
        <v>10000000</v>
      </c>
      <c r="O1112">
        <v>0.97</v>
      </c>
      <c r="P1112">
        <v>1.87</v>
      </c>
      <c r="Q1112">
        <v>7.0000000000000007E-2</v>
      </c>
    </row>
    <row r="1113" spans="1:17" x14ac:dyDescent="0.25">
      <c r="A1113" t="s">
        <v>2357</v>
      </c>
      <c r="B1113" t="s">
        <v>2358</v>
      </c>
      <c r="C1113">
        <v>1.1499999999999999</v>
      </c>
      <c r="D1113">
        <v>-0.09</v>
      </c>
      <c r="E1113">
        <v>1.1299999999999999</v>
      </c>
      <c r="F1113">
        <v>1.1499999999999999</v>
      </c>
      <c r="G1113">
        <v>1.1299999999999999</v>
      </c>
      <c r="H1113">
        <v>1.1399999999999999</v>
      </c>
      <c r="I1113" s="1">
        <v>40000</v>
      </c>
      <c r="J1113" s="1">
        <v>45800</v>
      </c>
      <c r="K1113">
        <v>2</v>
      </c>
      <c r="L1113">
        <v>1.19</v>
      </c>
      <c r="M1113">
        <v>1.2</v>
      </c>
      <c r="N1113" s="1">
        <v>5000000</v>
      </c>
      <c r="O1113">
        <v>1.1499999999999999</v>
      </c>
      <c r="P1113">
        <v>1.91</v>
      </c>
      <c r="Q1113">
        <v>0.39</v>
      </c>
    </row>
    <row r="1114" spans="1:17" x14ac:dyDescent="0.25">
      <c r="A1114" t="s">
        <v>2359</v>
      </c>
      <c r="B1114" t="s">
        <v>2360</v>
      </c>
      <c r="C1114">
        <v>1.1200000000000001</v>
      </c>
      <c r="D1114">
        <v>-0.04</v>
      </c>
      <c r="E1114">
        <v>1.07</v>
      </c>
      <c r="F1114">
        <v>1.1200000000000001</v>
      </c>
      <c r="G1114">
        <v>1.04</v>
      </c>
      <c r="H1114">
        <v>1.07</v>
      </c>
      <c r="I1114" s="1">
        <v>121000</v>
      </c>
      <c r="J1114" s="1">
        <v>129520</v>
      </c>
      <c r="K1114">
        <v>14</v>
      </c>
      <c r="L1114">
        <v>1.1100000000000001</v>
      </c>
      <c r="M1114">
        <v>1.1200000000000001</v>
      </c>
      <c r="N1114" s="1">
        <v>5000000</v>
      </c>
      <c r="O1114">
        <v>1.1200000000000001</v>
      </c>
      <c r="P1114">
        <v>2.0699999999999998</v>
      </c>
      <c r="Q1114">
        <v>0.17</v>
      </c>
    </row>
    <row r="1115" spans="1:17" x14ac:dyDescent="0.25">
      <c r="A1115" t="s">
        <v>2361</v>
      </c>
      <c r="B1115" t="s">
        <v>2362</v>
      </c>
      <c r="C1115">
        <v>0.76</v>
      </c>
      <c r="D1115">
        <v>0.01</v>
      </c>
      <c r="E1115">
        <v>0.76</v>
      </c>
      <c r="F1115">
        <v>0.76</v>
      </c>
      <c r="G1115">
        <v>0.76</v>
      </c>
      <c r="H1115">
        <v>0.76</v>
      </c>
      <c r="I1115" s="1">
        <v>10000</v>
      </c>
      <c r="J1115" s="1">
        <v>7600</v>
      </c>
      <c r="K1115">
        <v>1</v>
      </c>
      <c r="L1115">
        <v>0.75</v>
      </c>
      <c r="M1115">
        <v>0.77</v>
      </c>
      <c r="N1115" s="1">
        <v>5000000</v>
      </c>
      <c r="O1115">
        <v>0.76</v>
      </c>
      <c r="P1115">
        <v>2.21</v>
      </c>
      <c r="Q1115">
        <v>0.01</v>
      </c>
    </row>
    <row r="1116" spans="1:17" x14ac:dyDescent="0.25">
      <c r="A1116" t="s">
        <v>2363</v>
      </c>
      <c r="B1116" t="s">
        <v>2364</v>
      </c>
      <c r="C1116">
        <v>0.97</v>
      </c>
      <c r="D1116">
        <v>-0.04</v>
      </c>
      <c r="E1116">
        <v>0.94</v>
      </c>
      <c r="F1116">
        <v>0.97</v>
      </c>
      <c r="G1116">
        <v>0.94</v>
      </c>
      <c r="H1116">
        <v>0.95</v>
      </c>
      <c r="I1116" s="1">
        <v>12000</v>
      </c>
      <c r="J1116" s="1">
        <v>11390</v>
      </c>
      <c r="K1116">
        <v>5</v>
      </c>
      <c r="L1116">
        <v>0.96</v>
      </c>
      <c r="M1116">
        <v>0.97</v>
      </c>
      <c r="N1116" s="1">
        <v>10000000</v>
      </c>
      <c r="O1116">
        <v>0.97</v>
      </c>
      <c r="P1116">
        <v>2.09</v>
      </c>
      <c r="Q1116">
        <v>0.01</v>
      </c>
    </row>
    <row r="1117" spans="1:17" x14ac:dyDescent="0.25">
      <c r="A1117" t="s">
        <v>2365</v>
      </c>
      <c r="B1117" t="s">
        <v>2366</v>
      </c>
      <c r="C1117">
        <v>1.07</v>
      </c>
      <c r="D1117">
        <v>-0.03</v>
      </c>
      <c r="E1117">
        <v>1.04</v>
      </c>
      <c r="F1117">
        <v>1.08</v>
      </c>
      <c r="G1117">
        <v>1.02</v>
      </c>
      <c r="H1117">
        <v>1.04</v>
      </c>
      <c r="I1117" s="1">
        <v>510000</v>
      </c>
      <c r="J1117" s="1">
        <v>532260</v>
      </c>
      <c r="K1117">
        <v>7</v>
      </c>
      <c r="L1117">
        <v>1.08</v>
      </c>
      <c r="M1117">
        <v>1.1000000000000001</v>
      </c>
      <c r="N1117" s="1">
        <v>10000000</v>
      </c>
      <c r="O1117">
        <v>1.07</v>
      </c>
      <c r="P1117">
        <v>3.24</v>
      </c>
      <c r="Q1117">
        <v>0.01</v>
      </c>
    </row>
    <row r="1118" spans="1:17" x14ac:dyDescent="0.25">
      <c r="A1118" t="s">
        <v>2367</v>
      </c>
      <c r="B1118" t="s">
        <v>2368</v>
      </c>
      <c r="C1118">
        <v>0.86</v>
      </c>
      <c r="D1118">
        <v>0.02</v>
      </c>
      <c r="E1118">
        <v>0.84</v>
      </c>
      <c r="F1118">
        <v>0.88</v>
      </c>
      <c r="G1118">
        <v>0.84</v>
      </c>
      <c r="H1118">
        <v>0.87</v>
      </c>
      <c r="I1118" s="1">
        <v>64000</v>
      </c>
      <c r="J1118" s="1">
        <v>55460</v>
      </c>
      <c r="K1118">
        <v>14</v>
      </c>
      <c r="L1118">
        <v>0.83</v>
      </c>
      <c r="M1118">
        <v>0.86</v>
      </c>
      <c r="N1118" s="1">
        <v>15000000</v>
      </c>
      <c r="O1118">
        <v>0.86</v>
      </c>
      <c r="P1118">
        <v>1.36</v>
      </c>
      <c r="Q1118">
        <v>0.36</v>
      </c>
    </row>
    <row r="1119" spans="1:17" x14ac:dyDescent="0.25">
      <c r="A1119" t="s">
        <v>2369</v>
      </c>
      <c r="B1119" t="s">
        <v>2370</v>
      </c>
      <c r="C1119">
        <v>0.87</v>
      </c>
      <c r="D1119">
        <v>-0.01</v>
      </c>
      <c r="E1119">
        <v>0.87</v>
      </c>
      <c r="F1119">
        <v>0.87</v>
      </c>
      <c r="G1119">
        <v>0.87</v>
      </c>
      <c r="H1119">
        <v>0.87</v>
      </c>
      <c r="I1119" s="1">
        <v>108000</v>
      </c>
      <c r="J1119" s="1">
        <v>93960</v>
      </c>
      <c r="K1119">
        <v>1</v>
      </c>
      <c r="L1119">
        <v>0.86</v>
      </c>
      <c r="M1119">
        <v>0.88</v>
      </c>
      <c r="N1119" s="1">
        <v>10000000</v>
      </c>
      <c r="O1119">
        <v>0.87</v>
      </c>
      <c r="P1119">
        <v>1.56</v>
      </c>
      <c r="Q1119">
        <v>0.18</v>
      </c>
    </row>
    <row r="1120" spans="1:17" x14ac:dyDescent="0.25">
      <c r="A1120" t="s">
        <v>2371</v>
      </c>
      <c r="B1120" t="s">
        <v>2372</v>
      </c>
      <c r="C1120">
        <v>0.97</v>
      </c>
      <c r="D1120">
        <v>-0.01</v>
      </c>
      <c r="E1120">
        <v>0.94</v>
      </c>
      <c r="F1120">
        <v>0.98</v>
      </c>
      <c r="G1120">
        <v>0.93</v>
      </c>
      <c r="H1120">
        <v>0.97</v>
      </c>
      <c r="I1120" s="1">
        <v>306000</v>
      </c>
      <c r="J1120" s="1">
        <v>295380</v>
      </c>
      <c r="K1120">
        <v>12</v>
      </c>
      <c r="L1120">
        <v>0.98</v>
      </c>
      <c r="M1120">
        <v>0.99</v>
      </c>
      <c r="N1120" s="1">
        <v>10000000</v>
      </c>
      <c r="O1120">
        <v>0.97</v>
      </c>
      <c r="P1120">
        <v>1.56</v>
      </c>
      <c r="Q1120">
        <v>0.38</v>
      </c>
    </row>
    <row r="1121" spans="1:17" x14ac:dyDescent="0.25">
      <c r="A1121" t="s">
        <v>2373</v>
      </c>
      <c r="B1121" t="s">
        <v>2374</v>
      </c>
      <c r="C1121">
        <v>1.1599999999999999</v>
      </c>
      <c r="D1121">
        <v>0.03</v>
      </c>
      <c r="E1121">
        <v>1.1299999999999999</v>
      </c>
      <c r="F1121">
        <v>1.2</v>
      </c>
      <c r="G1121">
        <v>1.08</v>
      </c>
      <c r="H1121">
        <v>1.1499999999999999</v>
      </c>
      <c r="I1121" s="1">
        <v>1520000</v>
      </c>
      <c r="J1121" s="1">
        <v>1742080</v>
      </c>
      <c r="K1121">
        <v>60</v>
      </c>
      <c r="L1121">
        <v>1.1499999999999999</v>
      </c>
      <c r="M1121">
        <v>1.1599999999999999</v>
      </c>
      <c r="N1121" s="1">
        <v>10000000</v>
      </c>
      <c r="O1121">
        <v>1.1599999999999999</v>
      </c>
      <c r="P1121">
        <v>1.86</v>
      </c>
      <c r="Q1121">
        <v>0.46</v>
      </c>
    </row>
    <row r="1122" spans="1:17" x14ac:dyDescent="0.25">
      <c r="A1122" t="s">
        <v>2375</v>
      </c>
      <c r="B1122" t="s">
        <v>2376</v>
      </c>
      <c r="C1122">
        <v>1.78</v>
      </c>
      <c r="D1122">
        <v>0.02</v>
      </c>
      <c r="E1122">
        <v>1.78</v>
      </c>
      <c r="F1122">
        <v>1.78</v>
      </c>
      <c r="G1122">
        <v>1.78</v>
      </c>
      <c r="H1122">
        <v>1.78</v>
      </c>
      <c r="I1122" s="1">
        <v>10000</v>
      </c>
      <c r="J1122" s="1">
        <v>17800</v>
      </c>
      <c r="K1122">
        <v>1</v>
      </c>
      <c r="L1122">
        <v>1.74</v>
      </c>
      <c r="M1122">
        <v>1.76</v>
      </c>
      <c r="N1122" s="1">
        <v>5000000</v>
      </c>
      <c r="O1122">
        <v>1.78</v>
      </c>
      <c r="P1122">
        <v>3.23</v>
      </c>
      <c r="Q1122">
        <v>0.33</v>
      </c>
    </row>
    <row r="1123" spans="1:17" x14ac:dyDescent="0.25">
      <c r="A1123" t="s">
        <v>2377</v>
      </c>
      <c r="B1123" t="s">
        <v>2378</v>
      </c>
      <c r="C1123">
        <v>1.87</v>
      </c>
      <c r="D1123">
        <v>-0.13</v>
      </c>
      <c r="E1123">
        <v>1.9</v>
      </c>
      <c r="F1123">
        <v>1.9</v>
      </c>
      <c r="G1123">
        <v>1.81</v>
      </c>
      <c r="H1123">
        <v>1.86</v>
      </c>
      <c r="I1123" s="1">
        <v>134000</v>
      </c>
      <c r="J1123" s="1">
        <v>249510</v>
      </c>
      <c r="K1123">
        <v>9</v>
      </c>
      <c r="L1123">
        <v>1.9</v>
      </c>
      <c r="M1123">
        <v>1.92</v>
      </c>
      <c r="N1123" s="1">
        <v>10000000</v>
      </c>
      <c r="O1123">
        <v>1.87</v>
      </c>
      <c r="P1123">
        <v>3.22</v>
      </c>
      <c r="Q1123">
        <v>0.52</v>
      </c>
    </row>
    <row r="1124" spans="1:17" x14ac:dyDescent="0.25">
      <c r="A1124" t="s">
        <v>2379</v>
      </c>
      <c r="B1124" t="s">
        <v>2380</v>
      </c>
      <c r="C1124">
        <v>1.38</v>
      </c>
      <c r="D1124">
        <v>-0.03</v>
      </c>
      <c r="E1124">
        <v>1.33</v>
      </c>
      <c r="F1124">
        <v>1.38</v>
      </c>
      <c r="G1124">
        <v>1.33</v>
      </c>
      <c r="H1124">
        <v>1.35</v>
      </c>
      <c r="I1124" s="1">
        <v>9000</v>
      </c>
      <c r="J1124" s="1">
        <v>12120</v>
      </c>
      <c r="K1124">
        <v>4</v>
      </c>
      <c r="L1124">
        <v>1.38</v>
      </c>
      <c r="M1124">
        <v>1.39</v>
      </c>
      <c r="N1124" s="1">
        <v>11000000</v>
      </c>
      <c r="O1124">
        <v>1.38</v>
      </c>
      <c r="P1124">
        <v>2.17</v>
      </c>
      <c r="Q1124">
        <v>0.59</v>
      </c>
    </row>
    <row r="1125" spans="1:17" x14ac:dyDescent="0.25">
      <c r="A1125" t="s">
        <v>2381</v>
      </c>
      <c r="B1125" t="s">
        <v>2382</v>
      </c>
      <c r="C1125">
        <v>1.24</v>
      </c>
      <c r="D1125">
        <v>0.04</v>
      </c>
      <c r="E1125">
        <v>1.24</v>
      </c>
      <c r="F1125">
        <v>1.27</v>
      </c>
      <c r="G1125">
        <v>1.24</v>
      </c>
      <c r="H1125">
        <v>1.25</v>
      </c>
      <c r="I1125" s="1">
        <v>118000</v>
      </c>
      <c r="J1125" s="1">
        <v>147550</v>
      </c>
      <c r="K1125">
        <v>8</v>
      </c>
      <c r="L1125">
        <v>1.23</v>
      </c>
      <c r="M1125">
        <v>1.24</v>
      </c>
      <c r="N1125" s="1">
        <v>11000000</v>
      </c>
      <c r="O1125">
        <v>1.24</v>
      </c>
      <c r="P1125">
        <v>2.08</v>
      </c>
      <c r="Q1125">
        <v>0.4</v>
      </c>
    </row>
    <row r="1126" spans="1:17" x14ac:dyDescent="0.25">
      <c r="A1126" t="s">
        <v>2383</v>
      </c>
      <c r="B1126" t="s">
        <v>2384</v>
      </c>
      <c r="C1126">
        <v>0.87</v>
      </c>
      <c r="D1126">
        <v>-0.04</v>
      </c>
      <c r="E1126">
        <v>0.87</v>
      </c>
      <c r="F1126">
        <v>0.88</v>
      </c>
      <c r="G1126">
        <v>0.85</v>
      </c>
      <c r="H1126">
        <v>0.86</v>
      </c>
      <c r="I1126" s="1">
        <v>459000</v>
      </c>
      <c r="J1126" s="1">
        <v>394630</v>
      </c>
      <c r="K1126">
        <v>8</v>
      </c>
      <c r="L1126">
        <v>0.87</v>
      </c>
      <c r="M1126">
        <v>0.89</v>
      </c>
      <c r="N1126" s="1">
        <v>10000000</v>
      </c>
      <c r="O1126">
        <v>0.87</v>
      </c>
      <c r="P1126">
        <v>1.65</v>
      </c>
      <c r="Q1126">
        <v>0.09</v>
      </c>
    </row>
    <row r="1127" spans="1:17" x14ac:dyDescent="0.25">
      <c r="A1127" t="s">
        <v>2385</v>
      </c>
      <c r="B1127" t="s">
        <v>2386</v>
      </c>
      <c r="C1127" t="s">
        <v>78</v>
      </c>
      <c r="D1127" t="s">
        <v>78</v>
      </c>
      <c r="E1127" t="s">
        <v>78</v>
      </c>
      <c r="F1127" t="s">
        <v>78</v>
      </c>
      <c r="G1127" t="s">
        <v>78</v>
      </c>
      <c r="H1127">
        <v>0.83</v>
      </c>
      <c r="I1127" s="1">
        <v>0</v>
      </c>
      <c r="J1127" s="1">
        <v>0</v>
      </c>
      <c r="K1127">
        <v>0</v>
      </c>
      <c r="L1127">
        <v>0.78</v>
      </c>
      <c r="M1127">
        <v>0.79</v>
      </c>
      <c r="N1127" s="1">
        <v>10000000</v>
      </c>
      <c r="O1127">
        <v>0.79</v>
      </c>
      <c r="P1127">
        <v>1.65</v>
      </c>
      <c r="Q1127">
        <v>0.01</v>
      </c>
    </row>
    <row r="1128" spans="1:17" x14ac:dyDescent="0.25">
      <c r="A1128" t="s">
        <v>2387</v>
      </c>
      <c r="B1128" t="s">
        <v>2388</v>
      </c>
      <c r="C1128">
        <v>1.8</v>
      </c>
      <c r="D1128">
        <v>-0.02</v>
      </c>
      <c r="E1128">
        <v>1.79</v>
      </c>
      <c r="F1128">
        <v>1.8</v>
      </c>
      <c r="G1128">
        <v>1.79</v>
      </c>
      <c r="H1128">
        <v>1.79</v>
      </c>
      <c r="I1128" s="1">
        <v>59000</v>
      </c>
      <c r="J1128" s="1">
        <v>105860</v>
      </c>
      <c r="K1128">
        <v>8</v>
      </c>
      <c r="L1128">
        <v>1.79</v>
      </c>
      <c r="M1128">
        <v>1.8</v>
      </c>
      <c r="N1128" s="1">
        <v>10000000</v>
      </c>
      <c r="O1128">
        <v>1.8</v>
      </c>
      <c r="P1128">
        <v>2.98</v>
      </c>
      <c r="Q1128">
        <v>0.62</v>
      </c>
    </row>
    <row r="1129" spans="1:17" x14ac:dyDescent="0.25">
      <c r="A1129" t="s">
        <v>2389</v>
      </c>
      <c r="B1129" t="s">
        <v>2390</v>
      </c>
      <c r="C1129">
        <v>0.83</v>
      </c>
      <c r="D1129">
        <v>0.01</v>
      </c>
      <c r="E1129">
        <v>0.82</v>
      </c>
      <c r="F1129">
        <v>0.83</v>
      </c>
      <c r="G1129">
        <v>0.82</v>
      </c>
      <c r="H1129">
        <v>0.83</v>
      </c>
      <c r="I1129" s="1">
        <v>43000</v>
      </c>
      <c r="J1129" s="1">
        <v>35490</v>
      </c>
      <c r="K1129">
        <v>4</v>
      </c>
      <c r="L1129">
        <v>0.83</v>
      </c>
      <c r="M1129">
        <v>0.84</v>
      </c>
      <c r="N1129" s="1">
        <v>15000000</v>
      </c>
      <c r="O1129">
        <v>0.83</v>
      </c>
      <c r="P1129">
        <v>1.26</v>
      </c>
      <c r="Q1129">
        <v>0.4</v>
      </c>
    </row>
    <row r="1130" spans="1:17" x14ac:dyDescent="0.25">
      <c r="A1130" t="s">
        <v>2391</v>
      </c>
      <c r="B1130" t="s">
        <v>2392</v>
      </c>
      <c r="C1130" t="s">
        <v>78</v>
      </c>
      <c r="D1130" t="s">
        <v>78</v>
      </c>
      <c r="E1130" t="s">
        <v>78</v>
      </c>
      <c r="F1130" t="s">
        <v>78</v>
      </c>
      <c r="G1130" t="s">
        <v>78</v>
      </c>
      <c r="H1130">
        <v>0.94</v>
      </c>
      <c r="I1130" s="1">
        <v>0</v>
      </c>
      <c r="J1130" s="1">
        <v>0</v>
      </c>
      <c r="K1130">
        <v>0</v>
      </c>
      <c r="L1130">
        <v>0.9</v>
      </c>
      <c r="M1130">
        <v>0.91</v>
      </c>
      <c r="N1130" s="1">
        <v>10000000</v>
      </c>
      <c r="O1130">
        <v>0.91</v>
      </c>
      <c r="P1130">
        <v>1.48</v>
      </c>
      <c r="Q1130">
        <v>0.34</v>
      </c>
    </row>
    <row r="1131" spans="1:17" x14ac:dyDescent="0.25">
      <c r="A1131" t="s">
        <v>2393</v>
      </c>
      <c r="B1131" t="s">
        <v>2394</v>
      </c>
      <c r="C1131">
        <v>0.78</v>
      </c>
      <c r="D1131">
        <v>-0.03</v>
      </c>
      <c r="E1131">
        <v>0.76</v>
      </c>
      <c r="F1131">
        <v>0.79</v>
      </c>
      <c r="G1131">
        <v>0.76</v>
      </c>
      <c r="H1131">
        <v>0.78</v>
      </c>
      <c r="I1131" s="1">
        <v>355000</v>
      </c>
      <c r="J1131" s="1">
        <v>278170</v>
      </c>
      <c r="K1131">
        <v>13</v>
      </c>
      <c r="L1131">
        <v>0.77</v>
      </c>
      <c r="M1131">
        <v>0.78</v>
      </c>
      <c r="N1131" s="1">
        <v>10000000</v>
      </c>
      <c r="O1131">
        <v>0.78</v>
      </c>
      <c r="P1131">
        <v>1.26</v>
      </c>
      <c r="Q1131">
        <v>0.3</v>
      </c>
    </row>
    <row r="1132" spans="1:17" x14ac:dyDescent="0.25">
      <c r="A1132" t="s">
        <v>2395</v>
      </c>
      <c r="B1132" t="s">
        <v>2396</v>
      </c>
      <c r="C1132">
        <v>1.1299999999999999</v>
      </c>
      <c r="D1132">
        <v>0</v>
      </c>
      <c r="E1132">
        <v>1.1100000000000001</v>
      </c>
      <c r="F1132">
        <v>1.1299999999999999</v>
      </c>
      <c r="G1132">
        <v>1.1000000000000001</v>
      </c>
      <c r="H1132">
        <v>1.1100000000000001</v>
      </c>
      <c r="I1132" s="1">
        <v>689000</v>
      </c>
      <c r="J1132" s="1">
        <v>765810</v>
      </c>
      <c r="K1132">
        <v>35</v>
      </c>
      <c r="L1132">
        <v>1.1200000000000001</v>
      </c>
      <c r="M1132">
        <v>1.1299999999999999</v>
      </c>
      <c r="N1132" s="1">
        <v>5000000</v>
      </c>
      <c r="O1132">
        <v>1.1299999999999999</v>
      </c>
      <c r="P1132">
        <v>1.59</v>
      </c>
      <c r="Q1132">
        <v>0.67</v>
      </c>
    </row>
    <row r="1133" spans="1:17" x14ac:dyDescent="0.25">
      <c r="A1133" t="s">
        <v>2397</v>
      </c>
      <c r="B1133" t="s">
        <v>2398</v>
      </c>
      <c r="C1133">
        <v>0.86</v>
      </c>
      <c r="D1133">
        <v>-0.03</v>
      </c>
      <c r="E1133">
        <v>0.85</v>
      </c>
      <c r="F1133">
        <v>0.87</v>
      </c>
      <c r="G1133">
        <v>0.83</v>
      </c>
      <c r="H1133">
        <v>0.85</v>
      </c>
      <c r="I1133" s="1">
        <v>1900000</v>
      </c>
      <c r="J1133" s="1">
        <v>1607250</v>
      </c>
      <c r="K1133">
        <v>68</v>
      </c>
      <c r="L1133">
        <v>0.85</v>
      </c>
      <c r="M1133">
        <v>0.86</v>
      </c>
      <c r="N1133" s="1">
        <v>10000000</v>
      </c>
      <c r="O1133">
        <v>0.86</v>
      </c>
      <c r="P1133">
        <v>1.31</v>
      </c>
      <c r="Q1133">
        <v>0.41</v>
      </c>
    </row>
    <row r="1134" spans="1:17" x14ac:dyDescent="0.25">
      <c r="A1134" t="s">
        <v>2399</v>
      </c>
      <c r="B1134" t="s">
        <v>2400</v>
      </c>
      <c r="C1134">
        <v>1.21</v>
      </c>
      <c r="D1134">
        <v>-7.0000000000000007E-2</v>
      </c>
      <c r="E1134">
        <v>1.17</v>
      </c>
      <c r="F1134">
        <v>1.21</v>
      </c>
      <c r="G1134">
        <v>1.1299999999999999</v>
      </c>
      <c r="H1134">
        <v>1.1599999999999999</v>
      </c>
      <c r="I1134" s="1">
        <v>279000</v>
      </c>
      <c r="J1134" s="1">
        <v>324020</v>
      </c>
      <c r="K1134">
        <v>8</v>
      </c>
      <c r="L1134">
        <v>1.2</v>
      </c>
      <c r="M1134">
        <v>1.21</v>
      </c>
      <c r="N1134" s="1">
        <v>10000000</v>
      </c>
      <c r="O1134">
        <v>1.21</v>
      </c>
      <c r="P1134">
        <v>1.78</v>
      </c>
      <c r="Q1134">
        <v>0.64</v>
      </c>
    </row>
    <row r="1135" spans="1:17" x14ac:dyDescent="0.25">
      <c r="A1135" t="s">
        <v>2401</v>
      </c>
      <c r="B1135" t="s">
        <v>2402</v>
      </c>
      <c r="C1135">
        <v>2.91</v>
      </c>
      <c r="D1135">
        <v>0.02</v>
      </c>
      <c r="E1135">
        <v>2.81</v>
      </c>
      <c r="F1135">
        <v>2.94</v>
      </c>
      <c r="G1135">
        <v>2.8</v>
      </c>
      <c r="H1135">
        <v>2.9</v>
      </c>
      <c r="I1135" s="1">
        <v>147000</v>
      </c>
      <c r="J1135" s="1">
        <v>426520</v>
      </c>
      <c r="K1135">
        <v>8</v>
      </c>
      <c r="L1135">
        <v>2.93</v>
      </c>
      <c r="M1135">
        <v>2.94</v>
      </c>
      <c r="N1135" s="1">
        <v>8000000</v>
      </c>
      <c r="O1135">
        <v>2.91</v>
      </c>
      <c r="P1135">
        <v>4.49</v>
      </c>
      <c r="Q1135">
        <v>1.33</v>
      </c>
    </row>
    <row r="1136" spans="1:17" x14ac:dyDescent="0.25">
      <c r="A1136" t="s">
        <v>2403</v>
      </c>
      <c r="B1136" t="s">
        <v>2404</v>
      </c>
      <c r="C1136">
        <v>0.7</v>
      </c>
      <c r="D1136">
        <v>0.01</v>
      </c>
      <c r="E1136">
        <v>0.67</v>
      </c>
      <c r="F1136">
        <v>0.7</v>
      </c>
      <c r="G1136">
        <v>0.66</v>
      </c>
      <c r="H1136">
        <v>0.68</v>
      </c>
      <c r="I1136" s="1">
        <v>112000</v>
      </c>
      <c r="J1136" s="1">
        <v>76150</v>
      </c>
      <c r="K1136">
        <v>9</v>
      </c>
      <c r="L1136">
        <v>0.71</v>
      </c>
      <c r="M1136">
        <v>0.72</v>
      </c>
      <c r="N1136" s="1">
        <v>5000000</v>
      </c>
      <c r="O1136">
        <v>0.7</v>
      </c>
      <c r="P1136">
        <v>1.33</v>
      </c>
      <c r="Q1136">
        <v>7.0000000000000007E-2</v>
      </c>
    </row>
    <row r="1137" spans="1:17" x14ac:dyDescent="0.25">
      <c r="A1137" t="s">
        <v>2405</v>
      </c>
      <c r="B1137" t="s">
        <v>2406</v>
      </c>
      <c r="C1137">
        <v>1.47</v>
      </c>
      <c r="D1137">
        <v>0.03</v>
      </c>
      <c r="E1137">
        <v>1.46</v>
      </c>
      <c r="F1137">
        <v>1.47</v>
      </c>
      <c r="G1137">
        <v>1.4</v>
      </c>
      <c r="H1137">
        <v>1.4</v>
      </c>
      <c r="I1137" s="1">
        <v>52000</v>
      </c>
      <c r="J1137" s="1">
        <v>72930</v>
      </c>
      <c r="K1137">
        <v>3</v>
      </c>
      <c r="L1137">
        <v>1.43</v>
      </c>
      <c r="M1137">
        <v>1.46</v>
      </c>
      <c r="N1137" s="1">
        <v>10000000</v>
      </c>
      <c r="O1137">
        <v>1.47</v>
      </c>
      <c r="P1137">
        <v>1.83</v>
      </c>
      <c r="Q1137">
        <v>1.1100000000000001</v>
      </c>
    </row>
    <row r="1138" spans="1:17" x14ac:dyDescent="0.25">
      <c r="A1138" t="s">
        <v>2407</v>
      </c>
      <c r="B1138" t="s">
        <v>2408</v>
      </c>
      <c r="C1138">
        <v>1.46</v>
      </c>
      <c r="D1138">
        <v>0.03</v>
      </c>
      <c r="E1138">
        <v>1.45</v>
      </c>
      <c r="F1138">
        <v>1.47</v>
      </c>
      <c r="G1138">
        <v>1.45</v>
      </c>
      <c r="H1138">
        <v>1.46</v>
      </c>
      <c r="I1138" s="1">
        <v>598000</v>
      </c>
      <c r="J1138" s="1">
        <v>871320</v>
      </c>
      <c r="K1138">
        <v>6</v>
      </c>
      <c r="L1138">
        <v>1.45</v>
      </c>
      <c r="M1138">
        <v>1.46</v>
      </c>
      <c r="N1138" s="1">
        <v>10000000</v>
      </c>
      <c r="O1138">
        <v>1.46</v>
      </c>
      <c r="P1138">
        <v>2.0299999999999998</v>
      </c>
      <c r="Q1138">
        <v>0.89</v>
      </c>
    </row>
    <row r="1139" spans="1:17" x14ac:dyDescent="0.25">
      <c r="A1139" t="s">
        <v>2409</v>
      </c>
      <c r="B1139" t="s">
        <v>2410</v>
      </c>
      <c r="C1139" t="s">
        <v>78</v>
      </c>
      <c r="D1139" t="s">
        <v>78</v>
      </c>
      <c r="E1139" t="s">
        <v>78</v>
      </c>
      <c r="F1139" t="s">
        <v>78</v>
      </c>
      <c r="G1139" t="s">
        <v>78</v>
      </c>
      <c r="H1139">
        <v>1.04</v>
      </c>
      <c r="I1139" s="1">
        <v>0</v>
      </c>
      <c r="J1139" s="1">
        <v>0</v>
      </c>
      <c r="K1139">
        <v>0</v>
      </c>
      <c r="L1139">
        <v>1.04</v>
      </c>
      <c r="M1139">
        <v>1.05</v>
      </c>
      <c r="N1139" s="1">
        <v>5000000</v>
      </c>
      <c r="O1139">
        <v>1.04</v>
      </c>
      <c r="P1139">
        <v>1.46</v>
      </c>
      <c r="Q1139">
        <v>0.62</v>
      </c>
    </row>
    <row r="1140" spans="1:17" x14ac:dyDescent="0.25">
      <c r="A1140" t="s">
        <v>2411</v>
      </c>
      <c r="B1140" t="s">
        <v>2412</v>
      </c>
      <c r="C1140">
        <v>0.79</v>
      </c>
      <c r="D1140">
        <v>-0.03</v>
      </c>
      <c r="E1140">
        <v>0.77</v>
      </c>
      <c r="F1140">
        <v>0.79</v>
      </c>
      <c r="G1140">
        <v>0.73</v>
      </c>
      <c r="H1140">
        <v>0.75</v>
      </c>
      <c r="I1140" s="1">
        <v>456000</v>
      </c>
      <c r="J1140" s="1">
        <v>343180</v>
      </c>
      <c r="K1140">
        <v>12</v>
      </c>
      <c r="L1140">
        <v>0.78</v>
      </c>
      <c r="M1140">
        <v>0.79</v>
      </c>
      <c r="N1140" s="1">
        <v>5000000</v>
      </c>
      <c r="O1140">
        <v>0.79</v>
      </c>
      <c r="P1140">
        <v>1.55</v>
      </c>
      <c r="Q1140">
        <v>0.03</v>
      </c>
    </row>
    <row r="1141" spans="1:17" x14ac:dyDescent="0.25">
      <c r="A1141" t="s">
        <v>2413</v>
      </c>
      <c r="B1141" t="s">
        <v>2414</v>
      </c>
      <c r="C1141">
        <v>0.79</v>
      </c>
      <c r="D1141">
        <v>-0.01</v>
      </c>
      <c r="E1141">
        <v>0.79</v>
      </c>
      <c r="F1141">
        <v>0.79</v>
      </c>
      <c r="G1141">
        <v>0.77</v>
      </c>
      <c r="H1141">
        <v>0.79</v>
      </c>
      <c r="I1141" s="1">
        <v>140000</v>
      </c>
      <c r="J1141" s="1">
        <v>109970</v>
      </c>
      <c r="K1141">
        <v>6</v>
      </c>
      <c r="L1141">
        <v>0.8</v>
      </c>
      <c r="M1141">
        <v>0.81</v>
      </c>
      <c r="N1141" s="1">
        <v>5000000</v>
      </c>
      <c r="O1141">
        <v>0.79</v>
      </c>
      <c r="P1141">
        <v>1.34</v>
      </c>
      <c r="Q1141">
        <v>0.24</v>
      </c>
    </row>
    <row r="1142" spans="1:17" x14ac:dyDescent="0.25">
      <c r="A1142" t="s">
        <v>2415</v>
      </c>
      <c r="B1142" t="s">
        <v>2416</v>
      </c>
      <c r="C1142">
        <v>1.47</v>
      </c>
      <c r="D1142">
        <v>0</v>
      </c>
      <c r="E1142">
        <v>1.43</v>
      </c>
      <c r="F1142">
        <v>1.47</v>
      </c>
      <c r="G1142">
        <v>1.4</v>
      </c>
      <c r="H1142">
        <v>1.42</v>
      </c>
      <c r="I1142" s="1">
        <v>97000</v>
      </c>
      <c r="J1142" s="1">
        <v>137390</v>
      </c>
      <c r="K1142">
        <v>6</v>
      </c>
      <c r="L1142">
        <v>1.5</v>
      </c>
      <c r="M1142">
        <v>1.52</v>
      </c>
      <c r="N1142" s="1">
        <v>5000000</v>
      </c>
      <c r="O1142">
        <v>1.47</v>
      </c>
      <c r="P1142">
        <v>2.65</v>
      </c>
      <c r="Q1142">
        <v>0.28999999999999998</v>
      </c>
    </row>
    <row r="1143" spans="1:17" x14ac:dyDescent="0.25">
      <c r="A1143" t="s">
        <v>2417</v>
      </c>
      <c r="B1143" t="s">
        <v>2418</v>
      </c>
      <c r="C1143">
        <v>1.76</v>
      </c>
      <c r="D1143">
        <v>-7.0000000000000007E-2</v>
      </c>
      <c r="E1143">
        <v>1.77</v>
      </c>
      <c r="F1143">
        <v>1.8</v>
      </c>
      <c r="G1143">
        <v>1.76</v>
      </c>
      <c r="H1143">
        <v>1.77</v>
      </c>
      <c r="I1143" s="1">
        <v>87000</v>
      </c>
      <c r="J1143" s="1">
        <v>154140</v>
      </c>
      <c r="K1143">
        <v>11</v>
      </c>
      <c r="L1143">
        <v>1.77</v>
      </c>
      <c r="M1143">
        <v>1.78</v>
      </c>
      <c r="N1143" s="1">
        <v>10000000</v>
      </c>
      <c r="O1143">
        <v>1.76</v>
      </c>
      <c r="P1143">
        <v>2.61</v>
      </c>
      <c r="Q1143">
        <v>0.91</v>
      </c>
    </row>
    <row r="1144" spans="1:17" x14ac:dyDescent="0.25">
      <c r="A1144" t="s">
        <v>2419</v>
      </c>
      <c r="B1144" t="s">
        <v>2420</v>
      </c>
      <c r="C1144">
        <v>1.22</v>
      </c>
      <c r="D1144">
        <v>0.05</v>
      </c>
      <c r="E1144">
        <v>1.1599999999999999</v>
      </c>
      <c r="F1144">
        <v>1.22</v>
      </c>
      <c r="G1144">
        <v>1.1599999999999999</v>
      </c>
      <c r="H1144">
        <v>1.21</v>
      </c>
      <c r="I1144" s="1">
        <v>45000</v>
      </c>
      <c r="J1144" s="1">
        <v>54300</v>
      </c>
      <c r="K1144">
        <v>4</v>
      </c>
      <c r="L1144">
        <v>0.73</v>
      </c>
      <c r="M1144">
        <v>1.22</v>
      </c>
      <c r="N1144" s="1">
        <v>5000000</v>
      </c>
      <c r="O1144">
        <v>1.22</v>
      </c>
      <c r="P1144">
        <v>2.06</v>
      </c>
      <c r="Q1144">
        <v>0.38</v>
      </c>
    </row>
    <row r="1145" spans="1:17" x14ac:dyDescent="0.25">
      <c r="A1145" t="s">
        <v>2421</v>
      </c>
      <c r="B1145" t="s">
        <v>2422</v>
      </c>
      <c r="C1145">
        <v>1.4</v>
      </c>
      <c r="D1145">
        <v>-0.04</v>
      </c>
      <c r="E1145">
        <v>1.4</v>
      </c>
      <c r="F1145">
        <v>1.42</v>
      </c>
      <c r="G1145">
        <v>1.4</v>
      </c>
      <c r="H1145">
        <v>1.41</v>
      </c>
      <c r="I1145" s="1">
        <v>152000</v>
      </c>
      <c r="J1145" s="1">
        <v>214360</v>
      </c>
      <c r="K1145">
        <v>5</v>
      </c>
      <c r="L1145">
        <v>1.43</v>
      </c>
      <c r="M1145">
        <v>1.45</v>
      </c>
      <c r="N1145" s="1">
        <v>10000000</v>
      </c>
      <c r="O1145">
        <v>1.4</v>
      </c>
      <c r="P1145">
        <v>2.0299999999999998</v>
      </c>
      <c r="Q1145">
        <v>0.77</v>
      </c>
    </row>
    <row r="1146" spans="1:17" x14ac:dyDescent="0.25">
      <c r="A1146" t="s">
        <v>2423</v>
      </c>
      <c r="B1146" t="s">
        <v>2424</v>
      </c>
      <c r="C1146">
        <v>1.07</v>
      </c>
      <c r="D1146">
        <v>-0.14000000000000001</v>
      </c>
      <c r="E1146">
        <v>1.1399999999999999</v>
      </c>
      <c r="F1146">
        <v>1.1399999999999999</v>
      </c>
      <c r="G1146">
        <v>1.06</v>
      </c>
      <c r="H1146">
        <v>1.0900000000000001</v>
      </c>
      <c r="I1146" s="1">
        <v>256000</v>
      </c>
      <c r="J1146" s="1">
        <v>279200</v>
      </c>
      <c r="K1146">
        <v>8</v>
      </c>
      <c r="L1146">
        <v>1.06</v>
      </c>
      <c r="M1146">
        <v>1.07</v>
      </c>
      <c r="N1146" s="1">
        <v>5000000</v>
      </c>
      <c r="O1146">
        <v>1.07</v>
      </c>
      <c r="P1146">
        <v>1.95</v>
      </c>
      <c r="Q1146">
        <v>0.19</v>
      </c>
    </row>
    <row r="1147" spans="1:17" x14ac:dyDescent="0.25">
      <c r="A1147" t="s">
        <v>2425</v>
      </c>
      <c r="B1147" t="s">
        <v>2426</v>
      </c>
      <c r="C1147">
        <v>2.35</v>
      </c>
      <c r="D1147">
        <v>0.02</v>
      </c>
      <c r="E1147">
        <v>2.27</v>
      </c>
      <c r="F1147">
        <v>2.39</v>
      </c>
      <c r="G1147">
        <v>2.27</v>
      </c>
      <c r="H1147">
        <v>2.35</v>
      </c>
      <c r="I1147" s="1">
        <v>152000</v>
      </c>
      <c r="J1147" s="1">
        <v>357300</v>
      </c>
      <c r="K1147">
        <v>15</v>
      </c>
      <c r="L1147">
        <v>2.36</v>
      </c>
      <c r="M1147">
        <v>2.37</v>
      </c>
      <c r="N1147" s="1">
        <v>10000000</v>
      </c>
      <c r="O1147">
        <v>2.35</v>
      </c>
      <c r="P1147">
        <v>3.58</v>
      </c>
      <c r="Q1147">
        <v>1.1200000000000001</v>
      </c>
    </row>
    <row r="1148" spans="1:17" x14ac:dyDescent="0.25">
      <c r="A1148" t="s">
        <v>2427</v>
      </c>
      <c r="B1148" t="s">
        <v>2428</v>
      </c>
      <c r="C1148" t="s">
        <v>78</v>
      </c>
      <c r="D1148" t="s">
        <v>78</v>
      </c>
      <c r="E1148" t="s">
        <v>78</v>
      </c>
      <c r="F1148" t="s">
        <v>78</v>
      </c>
      <c r="G1148" t="s">
        <v>78</v>
      </c>
      <c r="H1148">
        <v>0.83</v>
      </c>
      <c r="I1148" s="1">
        <v>0</v>
      </c>
      <c r="J1148" s="1">
        <v>0</v>
      </c>
      <c r="K1148">
        <v>0</v>
      </c>
      <c r="L1148">
        <v>0.82</v>
      </c>
      <c r="M1148">
        <v>0.83</v>
      </c>
      <c r="N1148" s="1">
        <v>10000000</v>
      </c>
      <c r="O1148">
        <v>0.82</v>
      </c>
      <c r="P1148">
        <v>1.57</v>
      </c>
      <c r="Q1148">
        <v>7.0000000000000007E-2</v>
      </c>
    </row>
    <row r="1149" spans="1:17" x14ac:dyDescent="0.25">
      <c r="A1149" t="s">
        <v>2429</v>
      </c>
      <c r="B1149" t="s">
        <v>2430</v>
      </c>
      <c r="C1149" t="s">
        <v>78</v>
      </c>
      <c r="D1149" t="s">
        <v>78</v>
      </c>
      <c r="E1149" t="s">
        <v>78</v>
      </c>
      <c r="F1149" t="s">
        <v>78</v>
      </c>
      <c r="G1149" t="s">
        <v>78</v>
      </c>
      <c r="H1149">
        <v>1.08</v>
      </c>
      <c r="I1149" s="1">
        <v>0</v>
      </c>
      <c r="J1149" s="1">
        <v>0</v>
      </c>
      <c r="K1149">
        <v>0</v>
      </c>
      <c r="L1149">
        <v>1.05</v>
      </c>
      <c r="M1149">
        <v>1.07</v>
      </c>
      <c r="N1149" s="1">
        <v>10000000</v>
      </c>
      <c r="O1149">
        <v>1.07</v>
      </c>
      <c r="P1149">
        <v>2.0699999999999998</v>
      </c>
      <c r="Q1149">
        <v>7.0000000000000007E-2</v>
      </c>
    </row>
    <row r="1150" spans="1:17" x14ac:dyDescent="0.25">
      <c r="A1150" t="s">
        <v>2431</v>
      </c>
      <c r="B1150" t="s">
        <v>2432</v>
      </c>
      <c r="C1150">
        <v>1.95</v>
      </c>
      <c r="D1150">
        <v>-0.04</v>
      </c>
      <c r="E1150">
        <v>1.98</v>
      </c>
      <c r="F1150">
        <v>1.98</v>
      </c>
      <c r="G1150">
        <v>1.93</v>
      </c>
      <c r="H1150">
        <v>1.95</v>
      </c>
      <c r="I1150" s="1">
        <v>588000</v>
      </c>
      <c r="J1150" s="1">
        <v>1147610</v>
      </c>
      <c r="K1150">
        <v>11</v>
      </c>
      <c r="L1150">
        <v>1.97</v>
      </c>
      <c r="M1150">
        <v>1.99</v>
      </c>
      <c r="N1150" s="1">
        <v>5000000</v>
      </c>
      <c r="O1150">
        <v>1.95</v>
      </c>
      <c r="P1150">
        <v>2.85</v>
      </c>
      <c r="Q1150">
        <v>1.05</v>
      </c>
    </row>
    <row r="1151" spans="1:17" x14ac:dyDescent="0.25">
      <c r="A1151" t="s">
        <v>2433</v>
      </c>
      <c r="B1151" t="s">
        <v>2434</v>
      </c>
      <c r="C1151">
        <v>1</v>
      </c>
      <c r="D1151">
        <v>0.02</v>
      </c>
      <c r="E1151">
        <v>0.95</v>
      </c>
      <c r="F1151">
        <v>1</v>
      </c>
      <c r="G1151">
        <v>0.95</v>
      </c>
      <c r="H1151">
        <v>0.98</v>
      </c>
      <c r="I1151" s="1">
        <v>229000</v>
      </c>
      <c r="J1151" s="1">
        <v>225010</v>
      </c>
      <c r="K1151">
        <v>9</v>
      </c>
      <c r="L1151">
        <v>1</v>
      </c>
      <c r="M1151">
        <v>1.01</v>
      </c>
      <c r="N1151" s="1">
        <v>10000000</v>
      </c>
      <c r="O1151">
        <v>1</v>
      </c>
      <c r="P1151">
        <v>1.47</v>
      </c>
      <c r="Q1151">
        <v>0.53</v>
      </c>
    </row>
    <row r="1152" spans="1:17" x14ac:dyDescent="0.25">
      <c r="A1152" t="s">
        <v>2435</v>
      </c>
      <c r="B1152" t="s">
        <v>2436</v>
      </c>
      <c r="C1152">
        <v>1.3</v>
      </c>
      <c r="D1152">
        <v>0.01</v>
      </c>
      <c r="E1152">
        <v>1.29</v>
      </c>
      <c r="F1152">
        <v>1.31</v>
      </c>
      <c r="G1152">
        <v>1.29</v>
      </c>
      <c r="H1152">
        <v>1.3</v>
      </c>
      <c r="I1152" s="1">
        <v>131000</v>
      </c>
      <c r="J1152" s="1">
        <v>170420</v>
      </c>
      <c r="K1152">
        <v>11</v>
      </c>
      <c r="L1152">
        <v>1.3</v>
      </c>
      <c r="M1152">
        <v>1.32</v>
      </c>
      <c r="N1152" s="1">
        <v>10000000</v>
      </c>
      <c r="O1152">
        <v>1.3</v>
      </c>
      <c r="P1152">
        <v>1.86</v>
      </c>
      <c r="Q1152">
        <v>0.74</v>
      </c>
    </row>
    <row r="1153" spans="1:17" x14ac:dyDescent="0.25">
      <c r="A1153" t="s">
        <v>2437</v>
      </c>
      <c r="B1153" t="s">
        <v>2438</v>
      </c>
      <c r="C1153" t="s">
        <v>78</v>
      </c>
      <c r="D1153" t="s">
        <v>78</v>
      </c>
      <c r="E1153" t="s">
        <v>78</v>
      </c>
      <c r="F1153" t="s">
        <v>78</v>
      </c>
      <c r="G1153" t="s">
        <v>78</v>
      </c>
      <c r="H1153">
        <v>1.05</v>
      </c>
      <c r="I1153" s="1">
        <v>0</v>
      </c>
      <c r="J1153" s="1">
        <v>0</v>
      </c>
      <c r="K1153">
        <v>0</v>
      </c>
      <c r="L1153">
        <v>1.05</v>
      </c>
      <c r="M1153">
        <v>1.06</v>
      </c>
      <c r="N1153" s="1">
        <v>10000000</v>
      </c>
      <c r="O1153">
        <v>1.05</v>
      </c>
      <c r="P1153">
        <v>2</v>
      </c>
      <c r="Q1153">
        <v>0.1</v>
      </c>
    </row>
    <row r="1154" spans="1:17" x14ac:dyDescent="0.25">
      <c r="A1154" t="s">
        <v>2439</v>
      </c>
      <c r="B1154" t="s">
        <v>2440</v>
      </c>
      <c r="C1154">
        <v>0.64</v>
      </c>
      <c r="D1154">
        <v>-0.03</v>
      </c>
      <c r="E1154">
        <v>0.64</v>
      </c>
      <c r="F1154">
        <v>0.64</v>
      </c>
      <c r="G1154">
        <v>0.64</v>
      </c>
      <c r="H1154">
        <v>0.64</v>
      </c>
      <c r="I1154" s="1">
        <v>20000</v>
      </c>
      <c r="J1154" s="1">
        <v>12800</v>
      </c>
      <c r="K1154">
        <v>1</v>
      </c>
      <c r="L1154">
        <v>0.63</v>
      </c>
      <c r="M1154">
        <v>0.64</v>
      </c>
      <c r="N1154" s="1">
        <v>10000000</v>
      </c>
      <c r="O1154">
        <v>0.64</v>
      </c>
      <c r="P1154">
        <v>1.43</v>
      </c>
      <c r="Q1154">
        <v>0.01</v>
      </c>
    </row>
    <row r="1155" spans="1:17" x14ac:dyDescent="0.25">
      <c r="A1155" t="s">
        <v>2441</v>
      </c>
      <c r="B1155" t="s">
        <v>2442</v>
      </c>
      <c r="C1155">
        <v>0.92</v>
      </c>
      <c r="D1155">
        <v>-0.04</v>
      </c>
      <c r="E1155">
        <v>0.92</v>
      </c>
      <c r="F1155">
        <v>0.92</v>
      </c>
      <c r="G1155">
        <v>0.92</v>
      </c>
      <c r="H1155">
        <v>0.92</v>
      </c>
      <c r="I1155" s="1">
        <v>1000</v>
      </c>
      <c r="J1155" s="1">
        <v>920</v>
      </c>
      <c r="K1155">
        <v>1</v>
      </c>
      <c r="L1155">
        <v>0.92</v>
      </c>
      <c r="M1155">
        <v>0.93</v>
      </c>
      <c r="N1155" s="1">
        <v>20000000</v>
      </c>
      <c r="O1155">
        <v>0.92</v>
      </c>
      <c r="P1155">
        <v>1.69</v>
      </c>
      <c r="Q1155">
        <v>0.15</v>
      </c>
    </row>
    <row r="1156" spans="1:17" x14ac:dyDescent="0.25">
      <c r="A1156" t="s">
        <v>2443</v>
      </c>
      <c r="B1156" t="s">
        <v>2444</v>
      </c>
      <c r="C1156">
        <v>0.9</v>
      </c>
      <c r="D1156">
        <v>-0.08</v>
      </c>
      <c r="E1156">
        <v>0.97</v>
      </c>
      <c r="F1156">
        <v>0.97</v>
      </c>
      <c r="G1156">
        <v>0.9</v>
      </c>
      <c r="H1156">
        <v>0.95</v>
      </c>
      <c r="I1156" s="1">
        <v>302000</v>
      </c>
      <c r="J1156" s="1">
        <v>286620</v>
      </c>
      <c r="K1156">
        <v>5</v>
      </c>
      <c r="L1156">
        <v>0.91</v>
      </c>
      <c r="M1156">
        <v>0.92</v>
      </c>
      <c r="N1156" s="1">
        <v>10000000</v>
      </c>
      <c r="O1156">
        <v>0.9</v>
      </c>
      <c r="P1156">
        <v>2.13</v>
      </c>
      <c r="Q1156">
        <v>0.01</v>
      </c>
    </row>
    <row r="1157" spans="1:17" x14ac:dyDescent="0.25">
      <c r="A1157" t="s">
        <v>2445</v>
      </c>
      <c r="B1157" t="s">
        <v>2446</v>
      </c>
      <c r="C1157">
        <v>1.0900000000000001</v>
      </c>
      <c r="D1157">
        <v>0.01</v>
      </c>
      <c r="E1157">
        <v>1.07</v>
      </c>
      <c r="F1157">
        <v>1.1000000000000001</v>
      </c>
      <c r="G1157">
        <v>1.07</v>
      </c>
      <c r="H1157">
        <v>1.0900000000000001</v>
      </c>
      <c r="I1157" s="1">
        <v>270000</v>
      </c>
      <c r="J1157" s="1">
        <v>293800</v>
      </c>
      <c r="K1157">
        <v>6</v>
      </c>
      <c r="L1157">
        <v>1.0900000000000001</v>
      </c>
      <c r="M1157">
        <v>1.1000000000000001</v>
      </c>
      <c r="N1157" s="1">
        <v>5000000</v>
      </c>
      <c r="O1157">
        <v>1.0900000000000001</v>
      </c>
      <c r="P1157">
        <v>2.04</v>
      </c>
      <c r="Q1157">
        <v>0.14000000000000001</v>
      </c>
    </row>
    <row r="1158" spans="1:17" x14ac:dyDescent="0.25">
      <c r="A1158" t="s">
        <v>2447</v>
      </c>
      <c r="B1158" t="s">
        <v>2448</v>
      </c>
      <c r="C1158">
        <v>1.38</v>
      </c>
      <c r="D1158">
        <v>0.02</v>
      </c>
      <c r="E1158">
        <v>1.34</v>
      </c>
      <c r="F1158">
        <v>1.39</v>
      </c>
      <c r="G1158">
        <v>1.33</v>
      </c>
      <c r="H1158">
        <v>1.36</v>
      </c>
      <c r="I1158" s="1">
        <v>267000</v>
      </c>
      <c r="J1158" s="1">
        <v>363150</v>
      </c>
      <c r="K1158">
        <v>13</v>
      </c>
      <c r="L1158">
        <v>1.37</v>
      </c>
      <c r="M1158">
        <v>1.38</v>
      </c>
      <c r="N1158" s="1">
        <v>10000000</v>
      </c>
      <c r="O1158">
        <v>1.38</v>
      </c>
      <c r="P1158">
        <v>2.1</v>
      </c>
      <c r="Q1158">
        <v>0.66</v>
      </c>
    </row>
    <row r="1159" spans="1:17" x14ac:dyDescent="0.25">
      <c r="A1159" t="s">
        <v>2449</v>
      </c>
      <c r="B1159" t="s">
        <v>2450</v>
      </c>
      <c r="C1159" t="s">
        <v>78</v>
      </c>
      <c r="D1159" t="s">
        <v>78</v>
      </c>
      <c r="E1159" t="s">
        <v>78</v>
      </c>
      <c r="F1159" t="s">
        <v>78</v>
      </c>
      <c r="G1159" t="s">
        <v>78</v>
      </c>
      <c r="H1159">
        <v>0.98</v>
      </c>
      <c r="I1159" s="1">
        <v>0</v>
      </c>
      <c r="J1159" s="1">
        <v>0</v>
      </c>
      <c r="K1159">
        <v>0</v>
      </c>
      <c r="L1159">
        <v>0.98</v>
      </c>
      <c r="M1159">
        <v>0.99</v>
      </c>
      <c r="N1159" s="1">
        <v>10000000</v>
      </c>
      <c r="O1159">
        <v>0.99</v>
      </c>
      <c r="P1159">
        <v>1.73</v>
      </c>
      <c r="Q1159">
        <v>0.25</v>
      </c>
    </row>
    <row r="1160" spans="1:17" x14ac:dyDescent="0.25">
      <c r="A1160" t="s">
        <v>2451</v>
      </c>
      <c r="B1160" t="s">
        <v>2452</v>
      </c>
      <c r="C1160">
        <v>1.26</v>
      </c>
      <c r="D1160">
        <v>-0.03</v>
      </c>
      <c r="E1160">
        <v>1.26</v>
      </c>
      <c r="F1160">
        <v>1.27</v>
      </c>
      <c r="G1160">
        <v>1.26</v>
      </c>
      <c r="H1160">
        <v>1.26</v>
      </c>
      <c r="I1160" s="1">
        <v>592000</v>
      </c>
      <c r="J1160" s="1">
        <v>747600</v>
      </c>
      <c r="K1160">
        <v>6</v>
      </c>
      <c r="L1160">
        <v>1.28</v>
      </c>
      <c r="M1160">
        <v>1.29</v>
      </c>
      <c r="N1160" s="1">
        <v>10000000</v>
      </c>
      <c r="O1160">
        <v>1.26</v>
      </c>
      <c r="P1160">
        <v>1.93</v>
      </c>
      <c r="Q1160">
        <v>0.59</v>
      </c>
    </row>
    <row r="1161" spans="1:17" x14ac:dyDescent="0.25">
      <c r="A1161" t="s">
        <v>2453</v>
      </c>
      <c r="B1161" t="s">
        <v>2454</v>
      </c>
      <c r="C1161">
        <v>1.21</v>
      </c>
      <c r="D1161">
        <v>0</v>
      </c>
      <c r="E1161">
        <v>1.18</v>
      </c>
      <c r="F1161">
        <v>1.23</v>
      </c>
      <c r="G1161">
        <v>1.17</v>
      </c>
      <c r="H1161">
        <v>1.19</v>
      </c>
      <c r="I1161" s="1">
        <v>151000</v>
      </c>
      <c r="J1161" s="1">
        <v>179950</v>
      </c>
      <c r="K1161">
        <v>6</v>
      </c>
      <c r="L1161">
        <v>1.23</v>
      </c>
      <c r="M1161">
        <v>1.25</v>
      </c>
      <c r="N1161" s="1">
        <v>10000000</v>
      </c>
      <c r="O1161">
        <v>1.21</v>
      </c>
      <c r="P1161">
        <v>2</v>
      </c>
      <c r="Q1161">
        <v>0.42</v>
      </c>
    </row>
    <row r="1162" spans="1:17" x14ac:dyDescent="0.25">
      <c r="A1162" t="s">
        <v>2455</v>
      </c>
      <c r="B1162" t="s">
        <v>2456</v>
      </c>
      <c r="C1162" t="s">
        <v>78</v>
      </c>
      <c r="D1162" t="s">
        <v>78</v>
      </c>
      <c r="E1162" t="s">
        <v>78</v>
      </c>
      <c r="F1162" t="s">
        <v>78</v>
      </c>
      <c r="G1162" t="s">
        <v>78</v>
      </c>
      <c r="H1162">
        <v>0.91</v>
      </c>
      <c r="I1162" s="1">
        <v>0</v>
      </c>
      <c r="J1162" s="1">
        <v>0</v>
      </c>
      <c r="K1162">
        <v>0</v>
      </c>
      <c r="L1162">
        <v>0.92</v>
      </c>
      <c r="M1162">
        <v>0.93</v>
      </c>
      <c r="N1162" s="1">
        <v>5000000</v>
      </c>
      <c r="O1162">
        <v>0.92</v>
      </c>
      <c r="P1162">
        <v>1.6</v>
      </c>
      <c r="Q1162">
        <v>0.24</v>
      </c>
    </row>
    <row r="1163" spans="1:17" x14ac:dyDescent="0.25">
      <c r="A1163" t="s">
        <v>2457</v>
      </c>
      <c r="B1163" t="s">
        <v>2458</v>
      </c>
      <c r="C1163">
        <v>1</v>
      </c>
      <c r="D1163">
        <v>0.04</v>
      </c>
      <c r="E1163">
        <v>0.93</v>
      </c>
      <c r="F1163">
        <v>1.02</v>
      </c>
      <c r="G1163">
        <v>0.93</v>
      </c>
      <c r="H1163">
        <v>0.99</v>
      </c>
      <c r="I1163" s="1">
        <v>477000</v>
      </c>
      <c r="J1163" s="1">
        <v>470150</v>
      </c>
      <c r="K1163">
        <v>18</v>
      </c>
      <c r="L1163">
        <v>1</v>
      </c>
      <c r="M1163">
        <v>1.01</v>
      </c>
      <c r="N1163" s="1">
        <v>5000000</v>
      </c>
      <c r="O1163">
        <v>1</v>
      </c>
      <c r="P1163">
        <v>1.7</v>
      </c>
      <c r="Q1163">
        <v>0.3</v>
      </c>
    </row>
    <row r="1164" spans="1:17" x14ac:dyDescent="0.25">
      <c r="A1164" t="s">
        <v>2459</v>
      </c>
      <c r="B1164" t="s">
        <v>2460</v>
      </c>
      <c r="C1164">
        <v>1.06</v>
      </c>
      <c r="D1164">
        <v>0.02</v>
      </c>
      <c r="E1164">
        <v>1.05</v>
      </c>
      <c r="F1164">
        <v>1.06</v>
      </c>
      <c r="G1164">
        <v>1.05</v>
      </c>
      <c r="H1164">
        <v>1.06</v>
      </c>
      <c r="I1164" s="1">
        <v>81000</v>
      </c>
      <c r="J1164" s="1">
        <v>85760</v>
      </c>
      <c r="K1164">
        <v>2</v>
      </c>
      <c r="L1164">
        <v>1.05</v>
      </c>
      <c r="M1164">
        <v>1.06</v>
      </c>
      <c r="N1164" s="1">
        <v>5000000</v>
      </c>
      <c r="O1164">
        <v>1.06</v>
      </c>
      <c r="P1164">
        <v>2.2200000000000002</v>
      </c>
      <c r="Q1164">
        <v>0.01</v>
      </c>
    </row>
    <row r="1165" spans="1:17" x14ac:dyDescent="0.25">
      <c r="A1165" t="s">
        <v>2461</v>
      </c>
      <c r="B1165" t="s">
        <v>2462</v>
      </c>
      <c r="C1165">
        <v>0.5</v>
      </c>
      <c r="D1165">
        <v>0.03</v>
      </c>
      <c r="E1165">
        <v>0.46</v>
      </c>
      <c r="F1165">
        <v>0.51</v>
      </c>
      <c r="G1165">
        <v>0.46</v>
      </c>
      <c r="H1165">
        <v>0.47</v>
      </c>
      <c r="I1165" s="1">
        <v>120000</v>
      </c>
      <c r="J1165" s="1">
        <v>56900</v>
      </c>
      <c r="K1165">
        <v>6</v>
      </c>
      <c r="L1165">
        <v>0.49</v>
      </c>
      <c r="M1165">
        <v>0.5</v>
      </c>
      <c r="N1165" s="1">
        <v>5000000</v>
      </c>
      <c r="O1165">
        <v>0.5</v>
      </c>
      <c r="P1165">
        <v>1.1100000000000001</v>
      </c>
      <c r="Q1165">
        <v>0.01</v>
      </c>
    </row>
    <row r="1166" spans="1:17" x14ac:dyDescent="0.25">
      <c r="A1166" t="s">
        <v>2463</v>
      </c>
      <c r="B1166" t="s">
        <v>2464</v>
      </c>
      <c r="C1166">
        <v>0.73</v>
      </c>
      <c r="D1166">
        <v>-7.0000000000000007E-2</v>
      </c>
      <c r="E1166">
        <v>0.73</v>
      </c>
      <c r="F1166">
        <v>0.73</v>
      </c>
      <c r="G1166">
        <v>0.73</v>
      </c>
      <c r="H1166">
        <v>0.73</v>
      </c>
      <c r="I1166" s="1">
        <v>10000</v>
      </c>
      <c r="J1166" s="1">
        <v>7300</v>
      </c>
      <c r="K1166">
        <v>1</v>
      </c>
      <c r="L1166">
        <v>0.68</v>
      </c>
      <c r="M1166">
        <v>0.69</v>
      </c>
      <c r="N1166" s="1">
        <v>5000000</v>
      </c>
      <c r="O1166">
        <v>0.73</v>
      </c>
      <c r="P1166">
        <v>1.83</v>
      </c>
      <c r="Q1166">
        <v>0.01</v>
      </c>
    </row>
    <row r="1167" spans="1:17" x14ac:dyDescent="0.25">
      <c r="A1167" t="s">
        <v>2465</v>
      </c>
      <c r="B1167" t="s">
        <v>2466</v>
      </c>
      <c r="C1167">
        <v>0.83</v>
      </c>
      <c r="D1167">
        <v>0.02</v>
      </c>
      <c r="E1167">
        <v>0.82</v>
      </c>
      <c r="F1167">
        <v>0.83</v>
      </c>
      <c r="G1167">
        <v>0.77</v>
      </c>
      <c r="H1167">
        <v>0.82</v>
      </c>
      <c r="I1167" s="1">
        <v>557000</v>
      </c>
      <c r="J1167" s="1">
        <v>456010</v>
      </c>
      <c r="K1167">
        <v>15</v>
      </c>
      <c r="L1167">
        <v>0.83</v>
      </c>
      <c r="M1167">
        <v>0.84</v>
      </c>
      <c r="N1167" s="1">
        <v>10000000</v>
      </c>
      <c r="O1167">
        <v>0.83</v>
      </c>
      <c r="P1167">
        <v>2.2799999999999998</v>
      </c>
      <c r="Q1167">
        <v>0.01</v>
      </c>
    </row>
    <row r="1168" spans="1:17" x14ac:dyDescent="0.25">
      <c r="A1168" t="s">
        <v>2467</v>
      </c>
      <c r="B1168" t="s">
        <v>2468</v>
      </c>
      <c r="C1168">
        <v>1.5</v>
      </c>
      <c r="D1168">
        <v>0.03</v>
      </c>
      <c r="E1168">
        <v>1.44</v>
      </c>
      <c r="F1168">
        <v>1.54</v>
      </c>
      <c r="G1168">
        <v>1.44</v>
      </c>
      <c r="H1168">
        <v>1.47</v>
      </c>
      <c r="I1168" s="1">
        <v>97000</v>
      </c>
      <c r="J1168" s="1">
        <v>142840</v>
      </c>
      <c r="K1168">
        <v>7</v>
      </c>
      <c r="L1168">
        <v>1.49</v>
      </c>
      <c r="M1168">
        <v>1.5</v>
      </c>
      <c r="N1168" s="1">
        <v>5000000</v>
      </c>
      <c r="O1168">
        <v>1.5</v>
      </c>
      <c r="P1168">
        <v>2.34</v>
      </c>
      <c r="Q1168">
        <v>0.66</v>
      </c>
    </row>
    <row r="1169" spans="1:17" x14ac:dyDescent="0.25">
      <c r="A1169" t="s">
        <v>2469</v>
      </c>
      <c r="B1169" t="s">
        <v>2470</v>
      </c>
      <c r="C1169" t="s">
        <v>78</v>
      </c>
      <c r="D1169" t="s">
        <v>78</v>
      </c>
      <c r="E1169" t="s">
        <v>78</v>
      </c>
      <c r="F1169" t="s">
        <v>78</v>
      </c>
      <c r="G1169" t="s">
        <v>78</v>
      </c>
      <c r="H1169">
        <v>1.33</v>
      </c>
      <c r="I1169" s="1">
        <v>0</v>
      </c>
      <c r="J1169" s="1">
        <v>0</v>
      </c>
      <c r="K1169">
        <v>0</v>
      </c>
      <c r="L1169">
        <v>1.32</v>
      </c>
      <c r="M1169">
        <v>1.33</v>
      </c>
      <c r="N1169" s="1">
        <v>5000000</v>
      </c>
      <c r="O1169">
        <v>1.33</v>
      </c>
      <c r="P1169">
        <v>1.95</v>
      </c>
      <c r="Q1169">
        <v>0.71</v>
      </c>
    </row>
    <row r="1170" spans="1:17" x14ac:dyDescent="0.25">
      <c r="A1170" t="s">
        <v>2471</v>
      </c>
      <c r="B1170" t="s">
        <v>2472</v>
      </c>
      <c r="C1170" t="s">
        <v>78</v>
      </c>
      <c r="D1170" t="s">
        <v>78</v>
      </c>
      <c r="E1170" t="s">
        <v>78</v>
      </c>
      <c r="F1170" t="s">
        <v>78</v>
      </c>
      <c r="G1170" t="s">
        <v>78</v>
      </c>
      <c r="H1170">
        <v>0.88</v>
      </c>
      <c r="I1170" s="1">
        <v>0</v>
      </c>
      <c r="J1170" s="1">
        <v>0</v>
      </c>
      <c r="K1170">
        <v>0</v>
      </c>
      <c r="L1170">
        <v>0.87</v>
      </c>
      <c r="M1170">
        <v>0.88</v>
      </c>
      <c r="N1170" s="1">
        <v>10000000</v>
      </c>
      <c r="O1170">
        <v>0.88</v>
      </c>
      <c r="P1170">
        <v>1.46</v>
      </c>
      <c r="Q1170">
        <v>0.3</v>
      </c>
    </row>
    <row r="1171" spans="1:17" x14ac:dyDescent="0.25">
      <c r="A1171" t="s">
        <v>2473</v>
      </c>
      <c r="B1171" t="s">
        <v>2474</v>
      </c>
      <c r="C1171">
        <v>0.67</v>
      </c>
      <c r="D1171">
        <v>-0.04</v>
      </c>
      <c r="E1171">
        <v>0.66</v>
      </c>
      <c r="F1171">
        <v>0.67</v>
      </c>
      <c r="G1171">
        <v>0.66</v>
      </c>
      <c r="H1171">
        <v>0.67</v>
      </c>
      <c r="I1171" s="1">
        <v>313000</v>
      </c>
      <c r="J1171" s="1">
        <v>209300</v>
      </c>
      <c r="K1171">
        <v>9</v>
      </c>
      <c r="L1171">
        <v>0.67</v>
      </c>
      <c r="M1171">
        <v>0.68</v>
      </c>
      <c r="N1171" s="1">
        <v>10000000</v>
      </c>
      <c r="O1171">
        <v>0.67</v>
      </c>
      <c r="P1171">
        <v>1.52</v>
      </c>
      <c r="Q1171">
        <v>0.01</v>
      </c>
    </row>
    <row r="1172" spans="1:17" x14ac:dyDescent="0.25">
      <c r="A1172" t="s">
        <v>2475</v>
      </c>
      <c r="B1172" t="s">
        <v>2476</v>
      </c>
      <c r="C1172">
        <v>0.64</v>
      </c>
      <c r="D1172">
        <v>-0.09</v>
      </c>
      <c r="E1172">
        <v>0.68</v>
      </c>
      <c r="F1172">
        <v>0.68</v>
      </c>
      <c r="G1172">
        <v>0.64</v>
      </c>
      <c r="H1172">
        <v>0.64</v>
      </c>
      <c r="I1172" s="1">
        <v>120000</v>
      </c>
      <c r="J1172" s="1">
        <v>77350</v>
      </c>
      <c r="K1172">
        <v>5</v>
      </c>
      <c r="L1172">
        <v>0.64</v>
      </c>
      <c r="M1172">
        <v>0.65</v>
      </c>
      <c r="N1172" s="1">
        <v>5000000</v>
      </c>
      <c r="O1172">
        <v>0.64</v>
      </c>
      <c r="P1172">
        <v>1.41</v>
      </c>
      <c r="Q1172">
        <v>0.01</v>
      </c>
    </row>
    <row r="1173" spans="1:17" x14ac:dyDescent="0.25">
      <c r="A1173" t="s">
        <v>2477</v>
      </c>
      <c r="B1173" t="s">
        <v>2478</v>
      </c>
      <c r="C1173" t="s">
        <v>78</v>
      </c>
      <c r="D1173" t="s">
        <v>78</v>
      </c>
      <c r="E1173" t="s">
        <v>78</v>
      </c>
      <c r="F1173" t="s">
        <v>78</v>
      </c>
      <c r="G1173" t="s">
        <v>78</v>
      </c>
      <c r="H1173">
        <v>1.1000000000000001</v>
      </c>
      <c r="I1173" s="1">
        <v>0</v>
      </c>
      <c r="J1173" s="1">
        <v>0</v>
      </c>
      <c r="K1173">
        <v>0</v>
      </c>
      <c r="L1173">
        <v>1.02</v>
      </c>
      <c r="M1173">
        <v>1.03</v>
      </c>
      <c r="N1173" s="1">
        <v>10000000</v>
      </c>
      <c r="O1173">
        <v>1.03</v>
      </c>
      <c r="P1173">
        <v>1.79</v>
      </c>
      <c r="Q1173">
        <v>0.27</v>
      </c>
    </row>
    <row r="1174" spans="1:17" x14ac:dyDescent="0.25">
      <c r="A1174" t="s">
        <v>2479</v>
      </c>
      <c r="B1174" t="s">
        <v>2480</v>
      </c>
      <c r="C1174">
        <v>0.96</v>
      </c>
      <c r="D1174">
        <v>-0.06</v>
      </c>
      <c r="E1174">
        <v>0.92</v>
      </c>
      <c r="F1174">
        <v>0.96</v>
      </c>
      <c r="G1174">
        <v>0.92</v>
      </c>
      <c r="H1174">
        <v>0.96</v>
      </c>
      <c r="I1174" s="1">
        <v>68000</v>
      </c>
      <c r="J1174" s="1">
        <v>65040</v>
      </c>
      <c r="K1174">
        <v>2</v>
      </c>
      <c r="L1174">
        <v>0.97</v>
      </c>
      <c r="M1174">
        <v>0.98</v>
      </c>
      <c r="N1174" s="1">
        <v>5000000</v>
      </c>
      <c r="O1174">
        <v>0.96</v>
      </c>
      <c r="P1174">
        <v>1.78</v>
      </c>
      <c r="Q1174">
        <v>0.14000000000000001</v>
      </c>
    </row>
    <row r="1175" spans="1:17" x14ac:dyDescent="0.25">
      <c r="A1175" t="s">
        <v>2481</v>
      </c>
      <c r="B1175" t="s">
        <v>2482</v>
      </c>
      <c r="C1175">
        <v>0.74</v>
      </c>
      <c r="D1175">
        <v>0.04</v>
      </c>
      <c r="E1175">
        <v>0.69</v>
      </c>
      <c r="F1175">
        <v>0.74</v>
      </c>
      <c r="G1175">
        <v>0.69</v>
      </c>
      <c r="H1175">
        <v>0.72</v>
      </c>
      <c r="I1175" s="1">
        <v>53000</v>
      </c>
      <c r="J1175" s="1">
        <v>37970</v>
      </c>
      <c r="K1175">
        <v>4</v>
      </c>
      <c r="L1175">
        <v>0.73</v>
      </c>
      <c r="M1175">
        <v>0.74</v>
      </c>
      <c r="N1175" s="1">
        <v>10000000</v>
      </c>
      <c r="O1175">
        <v>0.74</v>
      </c>
      <c r="P1175">
        <v>1.2</v>
      </c>
      <c r="Q1175">
        <v>0.28000000000000003</v>
      </c>
    </row>
    <row r="1176" spans="1:17" x14ac:dyDescent="0.25">
      <c r="A1176" t="s">
        <v>2483</v>
      </c>
      <c r="B1176" t="s">
        <v>2484</v>
      </c>
      <c r="C1176">
        <v>1.23</v>
      </c>
      <c r="D1176">
        <v>-0.02</v>
      </c>
      <c r="E1176">
        <v>1.21</v>
      </c>
      <c r="F1176">
        <v>1.23</v>
      </c>
      <c r="G1176">
        <v>1.17</v>
      </c>
      <c r="H1176">
        <v>1.2</v>
      </c>
      <c r="I1176" s="1">
        <v>473000</v>
      </c>
      <c r="J1176" s="1">
        <v>566610</v>
      </c>
      <c r="K1176">
        <v>14</v>
      </c>
      <c r="L1176">
        <v>1.23</v>
      </c>
      <c r="M1176">
        <v>1.24</v>
      </c>
      <c r="N1176" s="1">
        <v>10000000</v>
      </c>
      <c r="O1176">
        <v>1.23</v>
      </c>
      <c r="P1176">
        <v>1.94</v>
      </c>
      <c r="Q1176">
        <v>0.52</v>
      </c>
    </row>
    <row r="1177" spans="1:17" x14ac:dyDescent="0.25">
      <c r="A1177" t="s">
        <v>2485</v>
      </c>
      <c r="B1177" t="s">
        <v>2486</v>
      </c>
      <c r="C1177">
        <v>0.89</v>
      </c>
      <c r="D1177">
        <v>-0.13</v>
      </c>
      <c r="E1177">
        <v>0.92</v>
      </c>
      <c r="F1177">
        <v>0.92</v>
      </c>
      <c r="G1177">
        <v>0.88</v>
      </c>
      <c r="H1177">
        <v>0.9</v>
      </c>
      <c r="I1177" s="1">
        <v>28000</v>
      </c>
      <c r="J1177" s="1">
        <v>25330</v>
      </c>
      <c r="K1177">
        <v>4</v>
      </c>
      <c r="L1177">
        <v>0.94</v>
      </c>
      <c r="M1177">
        <v>0.95</v>
      </c>
      <c r="N1177" s="1">
        <v>10000000</v>
      </c>
      <c r="O1177">
        <v>0.89</v>
      </c>
      <c r="P1177">
        <v>1.82</v>
      </c>
      <c r="Q1177">
        <v>0.01</v>
      </c>
    </row>
    <row r="1178" spans="1:17" x14ac:dyDescent="0.25">
      <c r="A1178" t="s">
        <v>2487</v>
      </c>
      <c r="B1178" t="s">
        <v>2488</v>
      </c>
      <c r="C1178">
        <v>1.1200000000000001</v>
      </c>
      <c r="D1178">
        <v>-0.02</v>
      </c>
      <c r="E1178">
        <v>1.0900000000000001</v>
      </c>
      <c r="F1178">
        <v>1.1299999999999999</v>
      </c>
      <c r="G1178">
        <v>1.0900000000000001</v>
      </c>
      <c r="H1178">
        <v>1.1100000000000001</v>
      </c>
      <c r="I1178" s="1">
        <v>872000</v>
      </c>
      <c r="J1178" s="1">
        <v>970620</v>
      </c>
      <c r="K1178">
        <v>17</v>
      </c>
      <c r="L1178">
        <v>1.1100000000000001</v>
      </c>
      <c r="M1178">
        <v>1.1200000000000001</v>
      </c>
      <c r="N1178" s="1">
        <v>7919000</v>
      </c>
      <c r="O1178">
        <v>1.1200000000000001</v>
      </c>
      <c r="P1178">
        <v>1.97</v>
      </c>
      <c r="Q1178">
        <v>0.27</v>
      </c>
    </row>
    <row r="1179" spans="1:17" x14ac:dyDescent="0.25">
      <c r="A1179" t="s">
        <v>2489</v>
      </c>
      <c r="B1179" t="s">
        <v>2490</v>
      </c>
      <c r="C1179">
        <v>1.36</v>
      </c>
      <c r="D1179">
        <v>-0.02</v>
      </c>
      <c r="E1179">
        <v>1.33</v>
      </c>
      <c r="F1179">
        <v>1.36</v>
      </c>
      <c r="G1179">
        <v>1.33</v>
      </c>
      <c r="H1179">
        <v>1.35</v>
      </c>
      <c r="I1179" s="1">
        <v>87000</v>
      </c>
      <c r="J1179" s="1">
        <v>117350</v>
      </c>
      <c r="K1179">
        <v>3</v>
      </c>
      <c r="L1179">
        <v>1.42</v>
      </c>
      <c r="M1179">
        <v>1.43</v>
      </c>
      <c r="N1179" s="1">
        <v>8000000</v>
      </c>
      <c r="O1179">
        <v>1.36</v>
      </c>
      <c r="P1179">
        <v>3.33</v>
      </c>
      <c r="Q1179">
        <v>0.01</v>
      </c>
    </row>
    <row r="1180" spans="1:17" x14ac:dyDescent="0.25">
      <c r="A1180" t="s">
        <v>2491</v>
      </c>
      <c r="B1180" t="s">
        <v>2492</v>
      </c>
      <c r="C1180">
        <v>0.97</v>
      </c>
      <c r="D1180">
        <v>-0.04</v>
      </c>
      <c r="E1180">
        <v>1.03</v>
      </c>
      <c r="F1180">
        <v>1.05</v>
      </c>
      <c r="G1180">
        <v>0.97</v>
      </c>
      <c r="H1180">
        <v>1.03</v>
      </c>
      <c r="I1180" s="1">
        <v>238000</v>
      </c>
      <c r="J1180" s="1">
        <v>245010</v>
      </c>
      <c r="K1180">
        <v>7</v>
      </c>
      <c r="L1180">
        <v>0.99</v>
      </c>
      <c r="M1180">
        <v>1</v>
      </c>
      <c r="N1180" s="1">
        <v>10000000</v>
      </c>
      <c r="O1180">
        <v>0.97</v>
      </c>
      <c r="P1180">
        <v>2.0099999999999998</v>
      </c>
      <c r="Q1180">
        <v>0.01</v>
      </c>
    </row>
    <row r="1181" spans="1:17" x14ac:dyDescent="0.25">
      <c r="A1181" t="s">
        <v>2493</v>
      </c>
      <c r="B1181" t="s">
        <v>2494</v>
      </c>
      <c r="C1181">
        <v>0.74</v>
      </c>
      <c r="D1181">
        <v>0.03</v>
      </c>
      <c r="E1181">
        <v>0.7</v>
      </c>
      <c r="F1181">
        <v>0.74</v>
      </c>
      <c r="G1181">
        <v>0.7</v>
      </c>
      <c r="H1181">
        <v>0.73</v>
      </c>
      <c r="I1181" s="1">
        <v>746000</v>
      </c>
      <c r="J1181" s="1">
        <v>546740</v>
      </c>
      <c r="K1181">
        <v>7</v>
      </c>
      <c r="L1181">
        <v>0.74</v>
      </c>
      <c r="M1181">
        <v>0.75</v>
      </c>
      <c r="N1181" s="1">
        <v>5000000</v>
      </c>
      <c r="O1181">
        <v>0.74</v>
      </c>
      <c r="P1181">
        <v>1.1299999999999999</v>
      </c>
      <c r="Q1181">
        <v>0.35</v>
      </c>
    </row>
    <row r="1182" spans="1:17" x14ac:dyDescent="0.25">
      <c r="A1182" t="s">
        <v>2495</v>
      </c>
      <c r="B1182" t="s">
        <v>2496</v>
      </c>
      <c r="C1182">
        <v>1</v>
      </c>
      <c r="D1182">
        <v>-0.03</v>
      </c>
      <c r="E1182">
        <v>1</v>
      </c>
      <c r="F1182">
        <v>1</v>
      </c>
      <c r="G1182">
        <v>1</v>
      </c>
      <c r="H1182">
        <v>1</v>
      </c>
      <c r="I1182" s="1">
        <v>10000</v>
      </c>
      <c r="J1182" s="1">
        <v>10000</v>
      </c>
      <c r="K1182">
        <v>1</v>
      </c>
      <c r="L1182">
        <v>1</v>
      </c>
      <c r="M1182">
        <v>1.01</v>
      </c>
      <c r="N1182" s="1">
        <v>10000000</v>
      </c>
      <c r="O1182">
        <v>1</v>
      </c>
      <c r="P1182">
        <v>1.98</v>
      </c>
      <c r="Q1182">
        <v>0.02</v>
      </c>
    </row>
    <row r="1183" spans="1:17" x14ac:dyDescent="0.25">
      <c r="A1183" t="s">
        <v>2497</v>
      </c>
      <c r="B1183" t="s">
        <v>2498</v>
      </c>
      <c r="C1183">
        <v>0.87</v>
      </c>
      <c r="D1183">
        <v>0.01</v>
      </c>
      <c r="E1183">
        <v>0.85</v>
      </c>
      <c r="F1183">
        <v>0.87</v>
      </c>
      <c r="G1183">
        <v>0.84</v>
      </c>
      <c r="H1183">
        <v>0.86</v>
      </c>
      <c r="I1183" s="1">
        <v>270000</v>
      </c>
      <c r="J1183" s="1">
        <v>231100</v>
      </c>
      <c r="K1183">
        <v>7</v>
      </c>
      <c r="L1183">
        <v>0.87</v>
      </c>
      <c r="M1183">
        <v>0.88</v>
      </c>
      <c r="N1183" s="1">
        <v>10000000</v>
      </c>
      <c r="O1183">
        <v>0.87</v>
      </c>
      <c r="P1183">
        <v>1.3</v>
      </c>
      <c r="Q1183">
        <v>0.44</v>
      </c>
    </row>
    <row r="1184" spans="1:17" x14ac:dyDescent="0.25">
      <c r="A1184" t="s">
        <v>2499</v>
      </c>
      <c r="B1184" t="s">
        <v>2500</v>
      </c>
      <c r="C1184" t="s">
        <v>78</v>
      </c>
      <c r="D1184" t="s">
        <v>78</v>
      </c>
      <c r="E1184" t="s">
        <v>78</v>
      </c>
      <c r="F1184" t="s">
        <v>78</v>
      </c>
      <c r="G1184" t="s">
        <v>78</v>
      </c>
      <c r="H1184">
        <v>1.28</v>
      </c>
      <c r="I1184" s="1">
        <v>0</v>
      </c>
      <c r="J1184" s="1">
        <v>0</v>
      </c>
      <c r="K1184">
        <v>0</v>
      </c>
      <c r="L1184">
        <v>1.27</v>
      </c>
      <c r="M1184">
        <v>1.28</v>
      </c>
      <c r="N1184" s="1">
        <v>10000000</v>
      </c>
      <c r="O1184">
        <v>1.27</v>
      </c>
      <c r="P1184">
        <v>2.72</v>
      </c>
      <c r="Q1184">
        <v>0.01</v>
      </c>
    </row>
    <row r="1185" spans="1:17" x14ac:dyDescent="0.25">
      <c r="A1185" t="s">
        <v>2501</v>
      </c>
      <c r="B1185" t="s">
        <v>2502</v>
      </c>
      <c r="C1185" t="s">
        <v>78</v>
      </c>
      <c r="D1185" t="s">
        <v>78</v>
      </c>
      <c r="E1185" t="s">
        <v>78</v>
      </c>
      <c r="F1185" t="s">
        <v>78</v>
      </c>
      <c r="G1185" t="s">
        <v>78</v>
      </c>
      <c r="H1185">
        <v>1.24</v>
      </c>
      <c r="I1185" s="1">
        <v>0</v>
      </c>
      <c r="J1185" s="1">
        <v>0</v>
      </c>
      <c r="K1185">
        <v>0</v>
      </c>
      <c r="L1185">
        <v>1.25</v>
      </c>
      <c r="M1185">
        <v>1.27</v>
      </c>
      <c r="N1185" s="1">
        <v>15000000</v>
      </c>
      <c r="O1185">
        <v>1.25</v>
      </c>
      <c r="P1185">
        <v>1.75</v>
      </c>
      <c r="Q1185">
        <v>0.75</v>
      </c>
    </row>
    <row r="1186" spans="1:17" x14ac:dyDescent="0.25">
      <c r="A1186" t="s">
        <v>2503</v>
      </c>
      <c r="B1186" t="s">
        <v>2504</v>
      </c>
      <c r="C1186">
        <v>1.9</v>
      </c>
      <c r="D1186">
        <v>0.04</v>
      </c>
      <c r="E1186">
        <v>1.8</v>
      </c>
      <c r="F1186">
        <v>1.9</v>
      </c>
      <c r="G1186">
        <v>1.8</v>
      </c>
      <c r="H1186">
        <v>1.82</v>
      </c>
      <c r="I1186" s="1">
        <v>216000</v>
      </c>
      <c r="J1186" s="1">
        <v>392650</v>
      </c>
      <c r="K1186">
        <v>10</v>
      </c>
      <c r="L1186">
        <v>1.89</v>
      </c>
      <c r="M1186">
        <v>1.9</v>
      </c>
      <c r="N1186" s="1">
        <v>7000000</v>
      </c>
      <c r="O1186">
        <v>1.9</v>
      </c>
      <c r="P1186">
        <v>3.08</v>
      </c>
      <c r="Q1186">
        <v>0.72</v>
      </c>
    </row>
    <row r="1187" spans="1:17" x14ac:dyDescent="0.25">
      <c r="A1187" t="s">
        <v>2505</v>
      </c>
      <c r="B1187" t="s">
        <v>2506</v>
      </c>
      <c r="C1187">
        <v>2.46</v>
      </c>
      <c r="D1187">
        <v>0.06</v>
      </c>
      <c r="E1187">
        <v>2.4</v>
      </c>
      <c r="F1187">
        <v>2.5</v>
      </c>
      <c r="G1187">
        <v>2.39</v>
      </c>
      <c r="H1187">
        <v>2.46</v>
      </c>
      <c r="I1187" s="1">
        <v>96000</v>
      </c>
      <c r="J1187" s="1">
        <v>236630</v>
      </c>
      <c r="K1187">
        <v>12</v>
      </c>
      <c r="L1187">
        <v>2.46</v>
      </c>
      <c r="M1187">
        <v>2.4700000000000002</v>
      </c>
      <c r="N1187" s="1">
        <v>5000000</v>
      </c>
      <c r="O1187">
        <v>2.46</v>
      </c>
      <c r="P1187">
        <v>3.58</v>
      </c>
      <c r="Q1187">
        <v>1.34</v>
      </c>
    </row>
    <row r="1188" spans="1:17" x14ac:dyDescent="0.25">
      <c r="A1188" t="s">
        <v>2507</v>
      </c>
      <c r="B1188" t="s">
        <v>2508</v>
      </c>
      <c r="C1188">
        <v>0.84</v>
      </c>
      <c r="D1188">
        <v>0.02</v>
      </c>
      <c r="E1188">
        <v>0.81</v>
      </c>
      <c r="F1188">
        <v>0.84</v>
      </c>
      <c r="G1188">
        <v>0.81</v>
      </c>
      <c r="H1188">
        <v>0.83</v>
      </c>
      <c r="I1188" s="1">
        <v>380000</v>
      </c>
      <c r="J1188" s="1">
        <v>314370</v>
      </c>
      <c r="K1188">
        <v>4</v>
      </c>
      <c r="L1188">
        <v>0.84</v>
      </c>
      <c r="M1188">
        <v>0.85</v>
      </c>
      <c r="N1188" s="1">
        <v>6102000</v>
      </c>
      <c r="O1188">
        <v>0.84</v>
      </c>
      <c r="P1188">
        <v>1.52</v>
      </c>
      <c r="Q1188">
        <v>0.16</v>
      </c>
    </row>
    <row r="1189" spans="1:17" x14ac:dyDescent="0.25">
      <c r="A1189" t="s">
        <v>2509</v>
      </c>
      <c r="B1189" t="s">
        <v>2510</v>
      </c>
      <c r="C1189">
        <v>0.89</v>
      </c>
      <c r="D1189">
        <v>0</v>
      </c>
      <c r="E1189">
        <v>0.9</v>
      </c>
      <c r="F1189">
        <v>0.9</v>
      </c>
      <c r="G1189">
        <v>0.89</v>
      </c>
      <c r="H1189">
        <v>0.9</v>
      </c>
      <c r="I1189" s="1">
        <v>168000</v>
      </c>
      <c r="J1189" s="1">
        <v>150520</v>
      </c>
      <c r="K1189">
        <v>3</v>
      </c>
      <c r="L1189">
        <v>0.89</v>
      </c>
      <c r="M1189">
        <v>0.9</v>
      </c>
      <c r="N1189" s="1">
        <v>10000000</v>
      </c>
      <c r="O1189">
        <v>0.89</v>
      </c>
      <c r="P1189">
        <v>1.64</v>
      </c>
      <c r="Q1189">
        <v>0.14000000000000001</v>
      </c>
    </row>
    <row r="1190" spans="1:17" x14ac:dyDescent="0.25">
      <c r="A1190" t="s">
        <v>2511</v>
      </c>
      <c r="B1190" t="s">
        <v>2512</v>
      </c>
      <c r="C1190">
        <v>1.32</v>
      </c>
      <c r="D1190">
        <v>0.03</v>
      </c>
      <c r="E1190">
        <v>1.28</v>
      </c>
      <c r="F1190">
        <v>1.32</v>
      </c>
      <c r="G1190">
        <v>1.26</v>
      </c>
      <c r="H1190">
        <v>1.26</v>
      </c>
      <c r="I1190" s="1">
        <v>172000</v>
      </c>
      <c r="J1190" s="1">
        <v>217400</v>
      </c>
      <c r="K1190">
        <v>7</v>
      </c>
      <c r="L1190">
        <v>1.3</v>
      </c>
      <c r="M1190">
        <v>1.31</v>
      </c>
      <c r="N1190" s="1">
        <v>10000000</v>
      </c>
      <c r="O1190">
        <v>1.32</v>
      </c>
      <c r="P1190">
        <v>1.82</v>
      </c>
      <c r="Q1190">
        <v>0.82</v>
      </c>
    </row>
    <row r="1191" spans="1:17" x14ac:dyDescent="0.25">
      <c r="A1191" t="s">
        <v>2513</v>
      </c>
      <c r="B1191" t="s">
        <v>2514</v>
      </c>
      <c r="C1191">
        <v>1.62</v>
      </c>
      <c r="D1191">
        <v>0.05</v>
      </c>
      <c r="E1191">
        <v>1.56</v>
      </c>
      <c r="F1191">
        <v>1.62</v>
      </c>
      <c r="G1191">
        <v>1.55</v>
      </c>
      <c r="H1191">
        <v>1.57</v>
      </c>
      <c r="I1191" s="1">
        <v>150000</v>
      </c>
      <c r="J1191" s="1">
        <v>236200</v>
      </c>
      <c r="K1191">
        <v>7</v>
      </c>
      <c r="L1191">
        <v>1.6</v>
      </c>
      <c r="M1191">
        <v>1.61</v>
      </c>
      <c r="N1191" s="1">
        <v>5000000</v>
      </c>
      <c r="O1191">
        <v>1.62</v>
      </c>
      <c r="P1191">
        <v>2.3199999999999998</v>
      </c>
      <c r="Q1191">
        <v>0.92</v>
      </c>
    </row>
    <row r="1192" spans="1:17" x14ac:dyDescent="0.25">
      <c r="A1192" t="s">
        <v>2515</v>
      </c>
      <c r="B1192" t="s">
        <v>2516</v>
      </c>
      <c r="C1192">
        <v>0.88</v>
      </c>
      <c r="D1192">
        <v>-0.04</v>
      </c>
      <c r="E1192">
        <v>0.88</v>
      </c>
      <c r="F1192">
        <v>0.88</v>
      </c>
      <c r="G1192">
        <v>0.87</v>
      </c>
      <c r="H1192">
        <v>0.88</v>
      </c>
      <c r="I1192" s="1">
        <v>13000</v>
      </c>
      <c r="J1192" s="1">
        <v>11430</v>
      </c>
      <c r="K1192">
        <v>3</v>
      </c>
      <c r="L1192">
        <v>0.87</v>
      </c>
      <c r="M1192">
        <v>0.88</v>
      </c>
      <c r="N1192" s="1">
        <v>10000000</v>
      </c>
      <c r="O1192">
        <v>0.88</v>
      </c>
      <c r="P1192">
        <v>1.6</v>
      </c>
      <c r="Q1192">
        <v>0.16</v>
      </c>
    </row>
    <row r="1193" spans="1:17" x14ac:dyDescent="0.25">
      <c r="A1193" t="s">
        <v>2517</v>
      </c>
      <c r="B1193" t="s">
        <v>2518</v>
      </c>
      <c r="C1193">
        <v>1.2</v>
      </c>
      <c r="D1193">
        <v>0.04</v>
      </c>
      <c r="E1193">
        <v>1.18</v>
      </c>
      <c r="F1193">
        <v>1.2</v>
      </c>
      <c r="G1193">
        <v>1.18</v>
      </c>
      <c r="H1193">
        <v>1.18</v>
      </c>
      <c r="I1193" s="1">
        <v>208000</v>
      </c>
      <c r="J1193" s="1">
        <v>245640</v>
      </c>
      <c r="K1193">
        <v>3</v>
      </c>
      <c r="L1193">
        <v>1.18</v>
      </c>
      <c r="M1193">
        <v>1.19</v>
      </c>
      <c r="N1193" s="1">
        <v>5000000</v>
      </c>
      <c r="O1193">
        <v>1.2</v>
      </c>
      <c r="P1193">
        <v>2.16</v>
      </c>
      <c r="Q1193">
        <v>0.24</v>
      </c>
    </row>
    <row r="1194" spans="1:17" x14ac:dyDescent="0.25">
      <c r="A1194" t="s">
        <v>2519</v>
      </c>
      <c r="B1194" t="s">
        <v>2520</v>
      </c>
      <c r="C1194">
        <v>1.1399999999999999</v>
      </c>
      <c r="D1194">
        <v>-0.02</v>
      </c>
      <c r="E1194">
        <v>1.1000000000000001</v>
      </c>
      <c r="F1194">
        <v>1.1399999999999999</v>
      </c>
      <c r="G1194">
        <v>1.1000000000000001</v>
      </c>
      <c r="H1194">
        <v>1.1200000000000001</v>
      </c>
      <c r="I1194" s="1">
        <v>43000</v>
      </c>
      <c r="J1194" s="1">
        <v>48160</v>
      </c>
      <c r="K1194">
        <v>6</v>
      </c>
      <c r="L1194">
        <v>1.1399999999999999</v>
      </c>
      <c r="M1194">
        <v>1.1499999999999999</v>
      </c>
      <c r="N1194" s="1">
        <v>5000000</v>
      </c>
      <c r="O1194">
        <v>1.1399999999999999</v>
      </c>
      <c r="P1194">
        <v>1.79</v>
      </c>
      <c r="Q1194">
        <v>0.49</v>
      </c>
    </row>
    <row r="1195" spans="1:17" x14ac:dyDescent="0.25">
      <c r="A1195" t="s">
        <v>2521</v>
      </c>
      <c r="B1195" t="s">
        <v>2522</v>
      </c>
      <c r="C1195">
        <v>1.2</v>
      </c>
      <c r="D1195">
        <v>-0.05</v>
      </c>
      <c r="E1195">
        <v>1.21</v>
      </c>
      <c r="F1195">
        <v>1.21</v>
      </c>
      <c r="G1195">
        <v>1.2</v>
      </c>
      <c r="H1195">
        <v>1.21</v>
      </c>
      <c r="I1195" s="1">
        <v>68000</v>
      </c>
      <c r="J1195" s="1">
        <v>82200</v>
      </c>
      <c r="K1195">
        <v>2</v>
      </c>
      <c r="L1195">
        <v>1.27</v>
      </c>
      <c r="M1195">
        <v>1.28</v>
      </c>
      <c r="N1195" s="1">
        <v>5000000</v>
      </c>
      <c r="O1195">
        <v>1.2</v>
      </c>
      <c r="P1195">
        <v>1.76</v>
      </c>
      <c r="Q1195">
        <v>0.64</v>
      </c>
    </row>
    <row r="1196" spans="1:17" x14ac:dyDescent="0.25">
      <c r="A1196" t="s">
        <v>2523</v>
      </c>
      <c r="B1196" t="s">
        <v>2524</v>
      </c>
      <c r="C1196">
        <v>1.21</v>
      </c>
      <c r="D1196">
        <v>0.03</v>
      </c>
      <c r="E1196">
        <v>1.21</v>
      </c>
      <c r="F1196">
        <v>1.21</v>
      </c>
      <c r="G1196">
        <v>1.21</v>
      </c>
      <c r="H1196">
        <v>1.21</v>
      </c>
      <c r="I1196" s="1">
        <v>3000</v>
      </c>
      <c r="J1196" s="1">
        <v>3630</v>
      </c>
      <c r="K1196">
        <v>1</v>
      </c>
      <c r="L1196">
        <v>1.2</v>
      </c>
      <c r="M1196">
        <v>1.21</v>
      </c>
      <c r="N1196" s="1">
        <v>10000000</v>
      </c>
      <c r="O1196">
        <v>1.21</v>
      </c>
      <c r="P1196">
        <v>1.57</v>
      </c>
      <c r="Q1196">
        <v>0.85</v>
      </c>
    </row>
    <row r="1197" spans="1:17" x14ac:dyDescent="0.25">
      <c r="A1197" t="s">
        <v>2525</v>
      </c>
      <c r="B1197" t="s">
        <v>2526</v>
      </c>
      <c r="C1197">
        <v>0.73</v>
      </c>
      <c r="D1197">
        <v>0.02</v>
      </c>
      <c r="E1197">
        <v>0.71</v>
      </c>
      <c r="F1197">
        <v>0.73</v>
      </c>
      <c r="G1197">
        <v>0.71</v>
      </c>
      <c r="H1197">
        <v>0.72</v>
      </c>
      <c r="I1197" s="1">
        <v>342000</v>
      </c>
      <c r="J1197" s="1">
        <v>246200</v>
      </c>
      <c r="K1197">
        <v>3</v>
      </c>
      <c r="L1197">
        <v>0.72</v>
      </c>
      <c r="M1197">
        <v>0.73</v>
      </c>
      <c r="N1197" s="1">
        <v>10000000</v>
      </c>
      <c r="O1197">
        <v>0.73</v>
      </c>
      <c r="P1197">
        <v>0.98</v>
      </c>
      <c r="Q1197">
        <v>0.48</v>
      </c>
    </row>
    <row r="1198" spans="1:17" x14ac:dyDescent="0.25">
      <c r="A1198" t="s">
        <v>2527</v>
      </c>
      <c r="B1198" t="s">
        <v>2528</v>
      </c>
      <c r="C1198">
        <v>1.39</v>
      </c>
      <c r="D1198">
        <v>0.03</v>
      </c>
      <c r="E1198">
        <v>1.33</v>
      </c>
      <c r="F1198">
        <v>1.41</v>
      </c>
      <c r="G1198">
        <v>1.33</v>
      </c>
      <c r="H1198">
        <v>1.37</v>
      </c>
      <c r="I1198" s="1">
        <v>356000</v>
      </c>
      <c r="J1198" s="1">
        <v>487740</v>
      </c>
      <c r="K1198">
        <v>7</v>
      </c>
      <c r="L1198">
        <v>1.38</v>
      </c>
      <c r="M1198">
        <v>1.39</v>
      </c>
      <c r="N1198" s="1">
        <v>10000000</v>
      </c>
      <c r="O1198">
        <v>1.39</v>
      </c>
      <c r="P1198">
        <v>2.23</v>
      </c>
      <c r="Q1198">
        <v>0.55000000000000004</v>
      </c>
    </row>
    <row r="1199" spans="1:17" x14ac:dyDescent="0.25">
      <c r="A1199" t="s">
        <v>2529</v>
      </c>
      <c r="B1199" t="s">
        <v>2530</v>
      </c>
      <c r="C1199" t="s">
        <v>78</v>
      </c>
      <c r="D1199" t="s">
        <v>78</v>
      </c>
      <c r="E1199" t="s">
        <v>78</v>
      </c>
      <c r="F1199" t="s">
        <v>78</v>
      </c>
      <c r="G1199" t="s">
        <v>78</v>
      </c>
      <c r="H1199">
        <v>0.64</v>
      </c>
      <c r="I1199" s="1">
        <v>0</v>
      </c>
      <c r="J1199" s="1">
        <v>0</v>
      </c>
      <c r="K1199">
        <v>0</v>
      </c>
      <c r="L1199">
        <v>0.57999999999999996</v>
      </c>
      <c r="M1199">
        <v>0.59</v>
      </c>
      <c r="N1199" s="1">
        <v>10000000</v>
      </c>
      <c r="O1199">
        <v>0.59</v>
      </c>
      <c r="P1199">
        <v>1.71</v>
      </c>
      <c r="Q1199">
        <v>0.01</v>
      </c>
    </row>
    <row r="1200" spans="1:17" x14ac:dyDescent="0.25">
      <c r="A1200" t="s">
        <v>2531</v>
      </c>
      <c r="B1200" t="s">
        <v>2532</v>
      </c>
      <c r="C1200">
        <v>1.02</v>
      </c>
      <c r="D1200">
        <v>0.01</v>
      </c>
      <c r="E1200">
        <v>0.99</v>
      </c>
      <c r="F1200">
        <v>1.02</v>
      </c>
      <c r="G1200">
        <v>0.97</v>
      </c>
      <c r="H1200">
        <v>0.98</v>
      </c>
      <c r="I1200" s="1">
        <v>169000</v>
      </c>
      <c r="J1200" s="1">
        <v>166130</v>
      </c>
      <c r="K1200">
        <v>10</v>
      </c>
      <c r="L1200">
        <v>1</v>
      </c>
      <c r="M1200">
        <v>1.01</v>
      </c>
      <c r="N1200" s="1">
        <v>5000000</v>
      </c>
      <c r="O1200">
        <v>1.02</v>
      </c>
      <c r="P1200">
        <v>1.43</v>
      </c>
      <c r="Q1200">
        <v>0.61</v>
      </c>
    </row>
    <row r="1201" spans="1:17" x14ac:dyDescent="0.25">
      <c r="A1201" t="s">
        <v>2533</v>
      </c>
      <c r="B1201" t="s">
        <v>2534</v>
      </c>
      <c r="C1201">
        <v>1.1000000000000001</v>
      </c>
      <c r="D1201">
        <v>0.01</v>
      </c>
      <c r="E1201">
        <v>1.06</v>
      </c>
      <c r="F1201">
        <v>1.1200000000000001</v>
      </c>
      <c r="G1201">
        <v>1.06</v>
      </c>
      <c r="H1201">
        <v>1.08</v>
      </c>
      <c r="I1201" s="1">
        <v>191000</v>
      </c>
      <c r="J1201" s="1">
        <v>206040</v>
      </c>
      <c r="K1201">
        <v>8</v>
      </c>
      <c r="L1201">
        <v>1.1000000000000001</v>
      </c>
      <c r="M1201">
        <v>1.1100000000000001</v>
      </c>
      <c r="N1201" s="1">
        <v>5000000</v>
      </c>
      <c r="O1201">
        <v>1.1000000000000001</v>
      </c>
      <c r="P1201">
        <v>1.59</v>
      </c>
      <c r="Q1201">
        <v>0.61</v>
      </c>
    </row>
    <row r="1202" spans="1:17" x14ac:dyDescent="0.25">
      <c r="A1202" t="s">
        <v>2535</v>
      </c>
      <c r="B1202" t="s">
        <v>2536</v>
      </c>
      <c r="C1202">
        <v>1.43</v>
      </c>
      <c r="D1202">
        <v>7.0000000000000007E-2</v>
      </c>
      <c r="E1202">
        <v>1.38</v>
      </c>
      <c r="F1202">
        <v>1.43</v>
      </c>
      <c r="G1202">
        <v>1.38</v>
      </c>
      <c r="H1202">
        <v>1.42</v>
      </c>
      <c r="I1202" s="1">
        <v>22000</v>
      </c>
      <c r="J1202" s="1">
        <v>31260</v>
      </c>
      <c r="K1202">
        <v>2</v>
      </c>
      <c r="L1202">
        <v>1.4</v>
      </c>
      <c r="M1202">
        <v>1.42</v>
      </c>
      <c r="N1202" s="1">
        <v>5000000</v>
      </c>
      <c r="O1202">
        <v>1.43</v>
      </c>
      <c r="P1202">
        <v>2.13</v>
      </c>
      <c r="Q1202">
        <v>0.73</v>
      </c>
    </row>
    <row r="1203" spans="1:17" x14ac:dyDescent="0.25">
      <c r="A1203" t="s">
        <v>2537</v>
      </c>
      <c r="B1203" t="s">
        <v>2538</v>
      </c>
      <c r="C1203">
        <v>0.99</v>
      </c>
      <c r="D1203">
        <v>0.03</v>
      </c>
      <c r="E1203">
        <v>0.98</v>
      </c>
      <c r="F1203">
        <v>0.99</v>
      </c>
      <c r="G1203">
        <v>0.98</v>
      </c>
      <c r="H1203">
        <v>0.98</v>
      </c>
      <c r="I1203" s="1">
        <v>21000</v>
      </c>
      <c r="J1203" s="1">
        <v>20590</v>
      </c>
      <c r="K1203">
        <v>2</v>
      </c>
      <c r="L1203">
        <v>0.96</v>
      </c>
      <c r="M1203">
        <v>0.98</v>
      </c>
      <c r="N1203" s="1">
        <v>15000000</v>
      </c>
      <c r="O1203">
        <v>0.99</v>
      </c>
      <c r="P1203">
        <v>1.35</v>
      </c>
      <c r="Q1203">
        <v>0.63</v>
      </c>
    </row>
    <row r="1204" spans="1:17" x14ac:dyDescent="0.25">
      <c r="A1204" t="s">
        <v>2539</v>
      </c>
      <c r="B1204" t="s">
        <v>2540</v>
      </c>
      <c r="C1204">
        <v>0.66</v>
      </c>
      <c r="D1204">
        <v>-0.03</v>
      </c>
      <c r="E1204">
        <v>0.65</v>
      </c>
      <c r="F1204">
        <v>0.68</v>
      </c>
      <c r="G1204">
        <v>0.65</v>
      </c>
      <c r="H1204">
        <v>0.67</v>
      </c>
      <c r="I1204" s="1">
        <v>330000</v>
      </c>
      <c r="J1204" s="1">
        <v>219800</v>
      </c>
      <c r="K1204">
        <v>6</v>
      </c>
      <c r="L1204">
        <v>0.66</v>
      </c>
      <c r="M1204">
        <v>0.67</v>
      </c>
      <c r="N1204" s="1">
        <v>5000000</v>
      </c>
      <c r="O1204">
        <v>0.66</v>
      </c>
      <c r="P1204">
        <v>1.49</v>
      </c>
      <c r="Q1204">
        <v>0.01</v>
      </c>
    </row>
    <row r="1205" spans="1:17" x14ac:dyDescent="0.25">
      <c r="A1205" t="s">
        <v>2541</v>
      </c>
      <c r="B1205" t="s">
        <v>2542</v>
      </c>
      <c r="C1205">
        <v>0.88</v>
      </c>
      <c r="D1205">
        <v>0</v>
      </c>
      <c r="E1205">
        <v>0.85</v>
      </c>
      <c r="F1205">
        <v>0.88</v>
      </c>
      <c r="G1205">
        <v>0.85</v>
      </c>
      <c r="H1205">
        <v>0.86</v>
      </c>
      <c r="I1205" s="1">
        <v>106000</v>
      </c>
      <c r="J1205" s="1">
        <v>90700</v>
      </c>
      <c r="K1205">
        <v>3</v>
      </c>
      <c r="L1205">
        <v>0.87</v>
      </c>
      <c r="M1205">
        <v>0.88</v>
      </c>
      <c r="N1205" s="1">
        <v>10000000</v>
      </c>
      <c r="O1205">
        <v>0.88</v>
      </c>
      <c r="P1205">
        <v>1.1299999999999999</v>
      </c>
      <c r="Q1205">
        <v>0.63</v>
      </c>
    </row>
    <row r="1206" spans="1:17" x14ac:dyDescent="0.25">
      <c r="A1206" t="s">
        <v>2543</v>
      </c>
      <c r="B1206" t="s">
        <v>2544</v>
      </c>
      <c r="C1206">
        <v>1.1499999999999999</v>
      </c>
      <c r="D1206">
        <v>-0.02</v>
      </c>
      <c r="E1206">
        <v>1.1499999999999999</v>
      </c>
      <c r="F1206">
        <v>1.1499999999999999</v>
      </c>
      <c r="G1206">
        <v>1.1499999999999999</v>
      </c>
      <c r="H1206">
        <v>1.1499999999999999</v>
      </c>
      <c r="I1206" s="1">
        <v>1000</v>
      </c>
      <c r="J1206" s="1">
        <v>1150</v>
      </c>
      <c r="K1206">
        <v>1</v>
      </c>
      <c r="L1206">
        <v>1.22</v>
      </c>
      <c r="M1206">
        <v>1.23</v>
      </c>
      <c r="N1206" s="1">
        <v>5000000</v>
      </c>
      <c r="O1206">
        <v>1.1499999999999999</v>
      </c>
      <c r="P1206">
        <v>1.85</v>
      </c>
      <c r="Q1206">
        <v>0.45</v>
      </c>
    </row>
    <row r="1207" spans="1:17" x14ac:dyDescent="0.25">
      <c r="A1207" t="s">
        <v>2545</v>
      </c>
      <c r="B1207" t="s">
        <v>2546</v>
      </c>
      <c r="C1207">
        <v>1.03</v>
      </c>
      <c r="D1207">
        <v>0.01</v>
      </c>
      <c r="E1207">
        <v>1.02</v>
      </c>
      <c r="F1207">
        <v>1.04</v>
      </c>
      <c r="G1207">
        <v>1.02</v>
      </c>
      <c r="H1207">
        <v>1.03</v>
      </c>
      <c r="I1207" s="1">
        <v>449000</v>
      </c>
      <c r="J1207" s="1">
        <v>461230</v>
      </c>
      <c r="K1207">
        <v>9</v>
      </c>
      <c r="L1207">
        <v>1.03</v>
      </c>
      <c r="M1207">
        <v>1.04</v>
      </c>
      <c r="N1207" s="1">
        <v>5000000</v>
      </c>
      <c r="O1207">
        <v>1.03</v>
      </c>
      <c r="P1207">
        <v>1.7</v>
      </c>
      <c r="Q1207">
        <v>0.36</v>
      </c>
    </row>
    <row r="1208" spans="1:17" x14ac:dyDescent="0.25">
      <c r="A1208" t="s">
        <v>2547</v>
      </c>
      <c r="B1208" t="s">
        <v>2548</v>
      </c>
      <c r="C1208">
        <v>1.21</v>
      </c>
      <c r="D1208">
        <v>-7.0000000000000007E-2</v>
      </c>
      <c r="E1208">
        <v>1.21</v>
      </c>
      <c r="F1208">
        <v>1.21</v>
      </c>
      <c r="G1208">
        <v>1.21</v>
      </c>
      <c r="H1208">
        <v>1.21</v>
      </c>
      <c r="I1208" s="1">
        <v>1000</v>
      </c>
      <c r="J1208" s="1">
        <v>1210</v>
      </c>
      <c r="K1208">
        <v>1</v>
      </c>
      <c r="L1208">
        <v>1.2</v>
      </c>
      <c r="M1208">
        <v>1.21</v>
      </c>
      <c r="N1208" s="1">
        <v>10000000</v>
      </c>
      <c r="O1208">
        <v>1.21</v>
      </c>
      <c r="P1208">
        <v>2.33</v>
      </c>
      <c r="Q1208">
        <v>0.09</v>
      </c>
    </row>
    <row r="1209" spans="1:17" x14ac:dyDescent="0.25">
      <c r="A1209" t="s">
        <v>2549</v>
      </c>
      <c r="B1209" t="s">
        <v>2550</v>
      </c>
      <c r="C1209" t="s">
        <v>78</v>
      </c>
      <c r="D1209" t="s">
        <v>78</v>
      </c>
      <c r="E1209" t="s">
        <v>78</v>
      </c>
      <c r="F1209" t="s">
        <v>78</v>
      </c>
      <c r="G1209" t="s">
        <v>78</v>
      </c>
      <c r="H1209">
        <v>1.1200000000000001</v>
      </c>
      <c r="I1209" s="1">
        <v>0</v>
      </c>
      <c r="J1209" s="1">
        <v>0</v>
      </c>
      <c r="K1209">
        <v>0</v>
      </c>
      <c r="L1209">
        <v>1.1100000000000001</v>
      </c>
      <c r="M1209">
        <v>1.1200000000000001</v>
      </c>
      <c r="N1209" s="1">
        <v>10000000</v>
      </c>
      <c r="O1209">
        <v>1.1200000000000001</v>
      </c>
      <c r="P1209">
        <v>1.49</v>
      </c>
      <c r="Q1209">
        <v>0.75</v>
      </c>
    </row>
    <row r="1210" spans="1:17" x14ac:dyDescent="0.25">
      <c r="A1210" t="s">
        <v>2551</v>
      </c>
      <c r="B1210" t="s">
        <v>2552</v>
      </c>
      <c r="C1210">
        <v>1.34</v>
      </c>
      <c r="D1210">
        <v>0.01</v>
      </c>
      <c r="E1210">
        <v>1.3</v>
      </c>
      <c r="F1210">
        <v>1.35</v>
      </c>
      <c r="G1210">
        <v>1.3</v>
      </c>
      <c r="H1210">
        <v>1.31</v>
      </c>
      <c r="I1210" s="1">
        <v>73000</v>
      </c>
      <c r="J1210" s="1">
        <v>95690</v>
      </c>
      <c r="K1210">
        <v>4</v>
      </c>
      <c r="L1210">
        <v>1.34</v>
      </c>
      <c r="M1210">
        <v>1.35</v>
      </c>
      <c r="N1210" s="1">
        <v>10000000</v>
      </c>
      <c r="O1210">
        <v>1.34</v>
      </c>
      <c r="P1210">
        <v>2.12</v>
      </c>
      <c r="Q1210">
        <v>0.56000000000000005</v>
      </c>
    </row>
    <row r="1211" spans="1:17" x14ac:dyDescent="0.25">
      <c r="A1211" t="s">
        <v>2553</v>
      </c>
      <c r="B1211" t="s">
        <v>2554</v>
      </c>
      <c r="C1211">
        <v>1.01</v>
      </c>
      <c r="D1211">
        <v>0</v>
      </c>
      <c r="E1211">
        <v>1</v>
      </c>
      <c r="F1211">
        <v>1.01</v>
      </c>
      <c r="G1211">
        <v>1</v>
      </c>
      <c r="H1211">
        <v>1.01</v>
      </c>
      <c r="I1211" s="1">
        <v>35000</v>
      </c>
      <c r="J1211" s="1">
        <v>35300</v>
      </c>
      <c r="K1211">
        <v>2</v>
      </c>
      <c r="L1211">
        <v>1.01</v>
      </c>
      <c r="M1211">
        <v>1.02</v>
      </c>
      <c r="N1211" s="1">
        <v>10000000</v>
      </c>
      <c r="O1211">
        <v>1.01</v>
      </c>
      <c r="P1211">
        <v>1.59</v>
      </c>
      <c r="Q1211">
        <v>0.43</v>
      </c>
    </row>
    <row r="1212" spans="1:17" x14ac:dyDescent="0.25">
      <c r="A1212" t="s">
        <v>2555</v>
      </c>
      <c r="B1212" t="s">
        <v>2556</v>
      </c>
      <c r="C1212">
        <v>1.1299999999999999</v>
      </c>
      <c r="D1212">
        <v>-0.05</v>
      </c>
      <c r="E1212">
        <v>1.1299999999999999</v>
      </c>
      <c r="F1212">
        <v>1.1299999999999999</v>
      </c>
      <c r="G1212">
        <v>1.1299999999999999</v>
      </c>
      <c r="H1212">
        <v>1.1299999999999999</v>
      </c>
      <c r="I1212" s="1">
        <v>25000</v>
      </c>
      <c r="J1212" s="1">
        <v>28250</v>
      </c>
      <c r="K1212">
        <v>3</v>
      </c>
      <c r="L1212">
        <v>1.1100000000000001</v>
      </c>
      <c r="M1212">
        <v>1.1200000000000001</v>
      </c>
      <c r="N1212" s="1">
        <v>10000000</v>
      </c>
      <c r="O1212">
        <v>1.1299999999999999</v>
      </c>
      <c r="P1212">
        <v>1.98</v>
      </c>
      <c r="Q1212">
        <v>0.28000000000000003</v>
      </c>
    </row>
    <row r="1213" spans="1:17" x14ac:dyDescent="0.25">
      <c r="A1213" t="s">
        <v>2557</v>
      </c>
      <c r="B1213" t="s">
        <v>2558</v>
      </c>
      <c r="C1213">
        <v>1.28</v>
      </c>
      <c r="D1213">
        <v>0.06</v>
      </c>
      <c r="E1213">
        <v>1.26</v>
      </c>
      <c r="F1213">
        <v>1.28</v>
      </c>
      <c r="G1213">
        <v>1.26</v>
      </c>
      <c r="H1213">
        <v>1.27</v>
      </c>
      <c r="I1213" s="1">
        <v>221000</v>
      </c>
      <c r="J1213" s="1">
        <v>280030</v>
      </c>
      <c r="K1213">
        <v>7</v>
      </c>
      <c r="L1213">
        <v>1.25</v>
      </c>
      <c r="M1213">
        <v>1.26</v>
      </c>
      <c r="N1213" s="1">
        <v>5000000</v>
      </c>
      <c r="O1213">
        <v>1.28</v>
      </c>
      <c r="P1213">
        <v>2.33</v>
      </c>
      <c r="Q1213">
        <v>0.23</v>
      </c>
    </row>
    <row r="1214" spans="1:17" x14ac:dyDescent="0.25">
      <c r="A1214" t="s">
        <v>2559</v>
      </c>
      <c r="B1214" t="s">
        <v>2560</v>
      </c>
      <c r="C1214">
        <v>0.89</v>
      </c>
      <c r="D1214">
        <v>0.01</v>
      </c>
      <c r="E1214">
        <v>0.83</v>
      </c>
      <c r="F1214">
        <v>0.9</v>
      </c>
      <c r="G1214">
        <v>0.83</v>
      </c>
      <c r="H1214">
        <v>0.86</v>
      </c>
      <c r="I1214" s="1">
        <v>198000</v>
      </c>
      <c r="J1214" s="1">
        <v>171120</v>
      </c>
      <c r="K1214">
        <v>8</v>
      </c>
      <c r="L1214">
        <v>0.88</v>
      </c>
      <c r="M1214">
        <v>0.89</v>
      </c>
      <c r="N1214" s="1">
        <v>5000000</v>
      </c>
      <c r="O1214">
        <v>0.89</v>
      </c>
      <c r="P1214">
        <v>1.86</v>
      </c>
      <c r="Q1214">
        <v>0.01</v>
      </c>
    </row>
    <row r="1215" spans="1:17" x14ac:dyDescent="0.25">
      <c r="A1215" t="s">
        <v>2561</v>
      </c>
      <c r="B1215" t="s">
        <v>2562</v>
      </c>
      <c r="C1215">
        <v>1.2</v>
      </c>
      <c r="D1215">
        <v>7.0000000000000007E-2</v>
      </c>
      <c r="E1215">
        <v>1.1000000000000001</v>
      </c>
      <c r="F1215">
        <v>1.2</v>
      </c>
      <c r="G1215">
        <v>1.1000000000000001</v>
      </c>
      <c r="H1215">
        <v>1.1599999999999999</v>
      </c>
      <c r="I1215" s="1">
        <v>103000</v>
      </c>
      <c r="J1215" s="1">
        <v>119480</v>
      </c>
      <c r="K1215">
        <v>7</v>
      </c>
      <c r="L1215">
        <v>1.2</v>
      </c>
      <c r="M1215">
        <v>1.21</v>
      </c>
      <c r="N1215" s="1">
        <v>10000000</v>
      </c>
      <c r="O1215">
        <v>1.2</v>
      </c>
      <c r="P1215">
        <v>2.06</v>
      </c>
      <c r="Q1215">
        <v>0.34</v>
      </c>
    </row>
    <row r="1216" spans="1:17" x14ac:dyDescent="0.25">
      <c r="A1216" t="s">
        <v>2563</v>
      </c>
      <c r="B1216" t="s">
        <v>2564</v>
      </c>
      <c r="C1216">
        <v>0.88</v>
      </c>
      <c r="D1216">
        <v>0.01</v>
      </c>
      <c r="E1216">
        <v>0.83</v>
      </c>
      <c r="F1216">
        <v>0.89</v>
      </c>
      <c r="G1216">
        <v>0.83</v>
      </c>
      <c r="H1216">
        <v>0.87</v>
      </c>
      <c r="I1216" s="1">
        <v>533000</v>
      </c>
      <c r="J1216" s="1">
        <v>463270</v>
      </c>
      <c r="K1216">
        <v>18</v>
      </c>
      <c r="L1216">
        <v>0.88</v>
      </c>
      <c r="M1216">
        <v>0.89</v>
      </c>
      <c r="N1216" s="1">
        <v>5000000</v>
      </c>
      <c r="O1216">
        <v>0.88</v>
      </c>
      <c r="P1216">
        <v>1.85</v>
      </c>
      <c r="Q1216">
        <v>0.01</v>
      </c>
    </row>
    <row r="1217" spans="1:17" x14ac:dyDescent="0.25">
      <c r="A1217" t="s">
        <v>2565</v>
      </c>
      <c r="B1217" t="s">
        <v>2566</v>
      </c>
      <c r="C1217">
        <v>1.57</v>
      </c>
      <c r="D1217">
        <v>0</v>
      </c>
      <c r="E1217">
        <v>1.6</v>
      </c>
      <c r="F1217">
        <v>1.61</v>
      </c>
      <c r="G1217">
        <v>1.57</v>
      </c>
      <c r="H1217">
        <v>1.6</v>
      </c>
      <c r="I1217" s="1">
        <v>90000</v>
      </c>
      <c r="J1217" s="1">
        <v>144060</v>
      </c>
      <c r="K1217">
        <v>4</v>
      </c>
      <c r="L1217">
        <v>1.55</v>
      </c>
      <c r="M1217">
        <v>1.56</v>
      </c>
      <c r="N1217" s="1">
        <v>10000000</v>
      </c>
      <c r="O1217">
        <v>1.57</v>
      </c>
      <c r="P1217">
        <v>2.73</v>
      </c>
      <c r="Q1217">
        <v>0.41</v>
      </c>
    </row>
    <row r="1218" spans="1:17" x14ac:dyDescent="0.25">
      <c r="A1218" t="s">
        <v>2567</v>
      </c>
      <c r="B1218" t="s">
        <v>2568</v>
      </c>
      <c r="C1218" t="s">
        <v>78</v>
      </c>
      <c r="D1218" t="s">
        <v>78</v>
      </c>
      <c r="E1218" t="s">
        <v>78</v>
      </c>
      <c r="F1218" t="s">
        <v>78</v>
      </c>
      <c r="G1218" t="s">
        <v>78</v>
      </c>
      <c r="H1218">
        <v>0</v>
      </c>
      <c r="I1218" s="1">
        <v>0</v>
      </c>
      <c r="J1218" s="1">
        <v>0</v>
      </c>
      <c r="K1218">
        <v>0</v>
      </c>
      <c r="L1218">
        <v>2.33</v>
      </c>
      <c r="M1218">
        <v>2.34</v>
      </c>
      <c r="N1218" s="1">
        <v>10000000</v>
      </c>
      <c r="O1218">
        <v>2.33</v>
      </c>
      <c r="P1218">
        <v>3.42</v>
      </c>
      <c r="Q1218">
        <v>1.28</v>
      </c>
    </row>
    <row r="1219" spans="1:17" x14ac:dyDescent="0.25">
      <c r="A1219" t="s">
        <v>2569</v>
      </c>
      <c r="B1219" t="s">
        <v>2570</v>
      </c>
      <c r="C1219">
        <v>0.81</v>
      </c>
      <c r="D1219">
        <v>0.01</v>
      </c>
      <c r="E1219">
        <v>0.8</v>
      </c>
      <c r="F1219">
        <v>0.81</v>
      </c>
      <c r="G1219">
        <v>0.8</v>
      </c>
      <c r="H1219">
        <v>0.8</v>
      </c>
      <c r="I1219" s="1">
        <v>425000</v>
      </c>
      <c r="J1219" s="1">
        <v>340250</v>
      </c>
      <c r="K1219">
        <v>5</v>
      </c>
      <c r="L1219">
        <v>0.81</v>
      </c>
      <c r="M1219">
        <v>0.82</v>
      </c>
      <c r="N1219" s="1">
        <v>10000000</v>
      </c>
      <c r="O1219">
        <v>0.81</v>
      </c>
      <c r="P1219">
        <v>1.32</v>
      </c>
      <c r="Q1219">
        <v>0.3</v>
      </c>
    </row>
    <row r="1220" spans="1:17" x14ac:dyDescent="0.25">
      <c r="A1220" t="s">
        <v>2571</v>
      </c>
      <c r="B1220" t="s">
        <v>2572</v>
      </c>
      <c r="C1220" t="s">
        <v>78</v>
      </c>
      <c r="D1220" t="s">
        <v>78</v>
      </c>
      <c r="E1220" t="s">
        <v>78</v>
      </c>
      <c r="F1220" t="s">
        <v>78</v>
      </c>
      <c r="G1220" t="s">
        <v>78</v>
      </c>
      <c r="H1220">
        <v>0</v>
      </c>
      <c r="I1220" s="1">
        <v>0</v>
      </c>
      <c r="J1220" s="1">
        <v>0</v>
      </c>
      <c r="K1220">
        <v>0</v>
      </c>
      <c r="L1220">
        <v>1.66</v>
      </c>
      <c r="M1220">
        <v>1.67</v>
      </c>
      <c r="N1220" s="1">
        <v>10000000</v>
      </c>
      <c r="O1220">
        <v>1.67</v>
      </c>
      <c r="P1220">
        <v>4.0999999999999996</v>
      </c>
      <c r="Q1220">
        <v>0.01</v>
      </c>
    </row>
    <row r="1221" spans="1:17" x14ac:dyDescent="0.25">
      <c r="A1221" t="s">
        <v>2573</v>
      </c>
      <c r="B1221" t="s">
        <v>2574</v>
      </c>
      <c r="C1221" t="s">
        <v>78</v>
      </c>
      <c r="D1221" t="s">
        <v>78</v>
      </c>
      <c r="E1221" t="s">
        <v>78</v>
      </c>
      <c r="F1221" t="s">
        <v>78</v>
      </c>
      <c r="G1221" t="s">
        <v>78</v>
      </c>
      <c r="H1221">
        <v>0</v>
      </c>
      <c r="I1221" s="1">
        <v>0</v>
      </c>
      <c r="J1221" s="1">
        <v>0</v>
      </c>
      <c r="K1221">
        <v>0</v>
      </c>
      <c r="L1221">
        <v>0.82</v>
      </c>
      <c r="M1221">
        <v>0.83</v>
      </c>
      <c r="N1221" s="1">
        <v>5000000</v>
      </c>
      <c r="O1221">
        <v>0.82</v>
      </c>
      <c r="P1221">
        <v>1.31</v>
      </c>
      <c r="Q1221">
        <v>0.33</v>
      </c>
    </row>
    <row r="1222" spans="1:17" x14ac:dyDescent="0.25">
      <c r="A1222" t="s">
        <v>2575</v>
      </c>
      <c r="B1222" t="s">
        <v>2576</v>
      </c>
      <c r="C1222">
        <v>0.95</v>
      </c>
      <c r="D1222">
        <v>0</v>
      </c>
      <c r="E1222">
        <v>0.94</v>
      </c>
      <c r="F1222">
        <v>0.95</v>
      </c>
      <c r="G1222">
        <v>0.94</v>
      </c>
      <c r="H1222">
        <v>0.94</v>
      </c>
      <c r="I1222" s="1">
        <v>199000</v>
      </c>
      <c r="J1222" s="1">
        <v>188050</v>
      </c>
      <c r="K1222">
        <v>4</v>
      </c>
      <c r="L1222">
        <v>0.93</v>
      </c>
      <c r="M1222">
        <v>0.94</v>
      </c>
      <c r="N1222" s="1">
        <v>10000000</v>
      </c>
      <c r="O1222">
        <v>0.95</v>
      </c>
      <c r="P1222">
        <v>1.91</v>
      </c>
      <c r="Q1222">
        <v>0.01</v>
      </c>
    </row>
    <row r="1223" spans="1:17" x14ac:dyDescent="0.25">
      <c r="A1223">
        <v>727375</v>
      </c>
      <c r="B1223" t="s">
        <v>660</v>
      </c>
      <c r="C1223" t="s">
        <v>78</v>
      </c>
      <c r="D1223" t="s">
        <v>78</v>
      </c>
      <c r="E1223" t="s">
        <v>78</v>
      </c>
      <c r="F1223" t="s">
        <v>78</v>
      </c>
      <c r="G1223" t="s">
        <v>78</v>
      </c>
      <c r="H1223">
        <v>0.06</v>
      </c>
      <c r="I1223" s="1">
        <v>0</v>
      </c>
      <c r="J1223" s="1">
        <v>0</v>
      </c>
      <c r="K1223">
        <v>0</v>
      </c>
      <c r="L1223">
        <v>0.01</v>
      </c>
      <c r="M1223">
        <v>0.1</v>
      </c>
      <c r="N1223" s="1">
        <v>10000000</v>
      </c>
      <c r="O1223">
        <v>0.06</v>
      </c>
      <c r="P1223">
        <v>0.75</v>
      </c>
      <c r="Q1223">
        <v>0.01</v>
      </c>
    </row>
    <row r="1224" spans="1:17" x14ac:dyDescent="0.25">
      <c r="A1224">
        <v>727376</v>
      </c>
      <c r="B1224" t="s">
        <v>661</v>
      </c>
      <c r="C1224" t="s">
        <v>78</v>
      </c>
      <c r="D1224" t="s">
        <v>78</v>
      </c>
      <c r="E1224" t="s">
        <v>78</v>
      </c>
      <c r="F1224" t="s">
        <v>78</v>
      </c>
      <c r="G1224" t="s">
        <v>78</v>
      </c>
      <c r="H1224">
        <v>0.15</v>
      </c>
      <c r="I1224" s="1">
        <v>0</v>
      </c>
      <c r="J1224" s="1">
        <v>0</v>
      </c>
      <c r="K1224">
        <v>0</v>
      </c>
      <c r="L1224">
        <v>0.01</v>
      </c>
      <c r="M1224">
        <v>0.1</v>
      </c>
      <c r="N1224" s="1">
        <v>15000000</v>
      </c>
      <c r="O1224">
        <v>0.1</v>
      </c>
      <c r="P1224">
        <v>1.44</v>
      </c>
      <c r="Q1224">
        <v>0.01</v>
      </c>
    </row>
    <row r="1225" spans="1:17" x14ac:dyDescent="0.25">
      <c r="A1225">
        <v>727377</v>
      </c>
      <c r="B1225" t="s">
        <v>662</v>
      </c>
      <c r="C1225">
        <v>0.01</v>
      </c>
      <c r="D1225">
        <v>0</v>
      </c>
      <c r="E1225">
        <v>0.01</v>
      </c>
      <c r="F1225">
        <v>0.01</v>
      </c>
      <c r="G1225">
        <v>0.01</v>
      </c>
      <c r="H1225">
        <v>0.01</v>
      </c>
      <c r="I1225" s="1">
        <v>100000</v>
      </c>
      <c r="J1225" s="1">
        <v>1000</v>
      </c>
      <c r="K1225">
        <v>2</v>
      </c>
      <c r="L1225">
        <v>0</v>
      </c>
      <c r="M1225">
        <v>0.02</v>
      </c>
      <c r="N1225" s="1">
        <v>15000000</v>
      </c>
      <c r="O1225">
        <v>0.01</v>
      </c>
      <c r="P1225">
        <v>0.78</v>
      </c>
      <c r="Q1225">
        <v>0.01</v>
      </c>
    </row>
    <row r="1226" spans="1:17" x14ac:dyDescent="0.25">
      <c r="A1226">
        <v>727382</v>
      </c>
      <c r="B1226" t="s">
        <v>663</v>
      </c>
      <c r="C1226" t="s">
        <v>78</v>
      </c>
      <c r="D1226" t="s">
        <v>78</v>
      </c>
      <c r="E1226" t="s">
        <v>78</v>
      </c>
      <c r="F1226" t="s">
        <v>78</v>
      </c>
      <c r="G1226" t="s">
        <v>78</v>
      </c>
      <c r="H1226">
        <v>0.31</v>
      </c>
      <c r="I1226" s="1">
        <v>0</v>
      </c>
      <c r="J1226" s="1">
        <v>0</v>
      </c>
      <c r="K1226">
        <v>0</v>
      </c>
      <c r="L1226">
        <v>0.01</v>
      </c>
      <c r="M1226">
        <v>0.1</v>
      </c>
      <c r="N1226" s="1">
        <v>15000000</v>
      </c>
      <c r="O1226">
        <v>0.1</v>
      </c>
      <c r="P1226">
        <v>1.19</v>
      </c>
      <c r="Q1226">
        <v>0.01</v>
      </c>
    </row>
    <row r="1227" spans="1:17" x14ac:dyDescent="0.25">
      <c r="A1227">
        <v>727441</v>
      </c>
      <c r="B1227" t="s">
        <v>664</v>
      </c>
      <c r="C1227">
        <v>0.01</v>
      </c>
      <c r="D1227">
        <v>0</v>
      </c>
      <c r="E1227">
        <v>0.01</v>
      </c>
      <c r="F1227">
        <v>0.01</v>
      </c>
      <c r="G1227">
        <v>0.01</v>
      </c>
      <c r="H1227">
        <v>0.01</v>
      </c>
      <c r="I1227" s="1">
        <v>170000</v>
      </c>
      <c r="J1227" s="1">
        <v>1700</v>
      </c>
      <c r="K1227">
        <v>2</v>
      </c>
      <c r="L1227">
        <v>0.01</v>
      </c>
      <c r="M1227">
        <v>0.1</v>
      </c>
      <c r="N1227" s="1">
        <v>10000000</v>
      </c>
      <c r="O1227">
        <v>0.01</v>
      </c>
      <c r="P1227">
        <v>0.41</v>
      </c>
      <c r="Q1227">
        <v>0.01</v>
      </c>
    </row>
    <row r="1228" spans="1:17" x14ac:dyDescent="0.25">
      <c r="A1228">
        <v>727442</v>
      </c>
      <c r="B1228" t="s">
        <v>665</v>
      </c>
      <c r="C1228">
        <v>0.01</v>
      </c>
      <c r="D1228">
        <v>-0.04</v>
      </c>
      <c r="E1228">
        <v>0.01</v>
      </c>
      <c r="F1228">
        <v>0.01</v>
      </c>
      <c r="G1228">
        <v>0.01</v>
      </c>
      <c r="H1228">
        <v>0.01</v>
      </c>
      <c r="I1228" s="1">
        <v>109000</v>
      </c>
      <c r="J1228" s="1">
        <v>1090</v>
      </c>
      <c r="K1228">
        <v>3</v>
      </c>
      <c r="L1228">
        <v>0.01</v>
      </c>
      <c r="M1228">
        <v>0.1</v>
      </c>
      <c r="N1228" s="1">
        <v>10000000</v>
      </c>
      <c r="O1228">
        <v>0.01</v>
      </c>
      <c r="P1228">
        <v>0.84</v>
      </c>
      <c r="Q1228">
        <v>0.01</v>
      </c>
    </row>
    <row r="1229" spans="1:17" x14ac:dyDescent="0.25">
      <c r="A1229">
        <v>727600</v>
      </c>
      <c r="B1229" t="s">
        <v>666</v>
      </c>
      <c r="C1229" t="s">
        <v>78</v>
      </c>
      <c r="D1229" t="s">
        <v>78</v>
      </c>
      <c r="E1229" t="s">
        <v>78</v>
      </c>
      <c r="F1229" t="s">
        <v>78</v>
      </c>
      <c r="G1229" t="s">
        <v>78</v>
      </c>
      <c r="H1229">
        <v>0.01</v>
      </c>
      <c r="I1229" s="1">
        <v>0</v>
      </c>
      <c r="J1229" s="1">
        <v>0</v>
      </c>
      <c r="K1229">
        <v>0</v>
      </c>
      <c r="L1229">
        <v>0.01</v>
      </c>
      <c r="M1229">
        <v>0.02</v>
      </c>
      <c r="N1229" s="1">
        <v>10000000</v>
      </c>
      <c r="O1229">
        <v>0.01</v>
      </c>
      <c r="P1229">
        <v>0.17</v>
      </c>
      <c r="Q1229">
        <v>0.01</v>
      </c>
    </row>
    <row r="1230" spans="1:17" x14ac:dyDescent="0.25">
      <c r="A1230">
        <v>727619</v>
      </c>
      <c r="B1230" t="s">
        <v>667</v>
      </c>
      <c r="C1230" t="s">
        <v>78</v>
      </c>
      <c r="D1230" t="s">
        <v>78</v>
      </c>
      <c r="E1230" t="s">
        <v>78</v>
      </c>
      <c r="F1230" t="s">
        <v>78</v>
      </c>
      <c r="G1230" t="s">
        <v>78</v>
      </c>
      <c r="H1230">
        <v>1.31</v>
      </c>
      <c r="I1230" s="1">
        <v>0</v>
      </c>
      <c r="J1230" s="1">
        <v>0</v>
      </c>
      <c r="K1230">
        <v>0</v>
      </c>
      <c r="L1230">
        <v>0.88</v>
      </c>
      <c r="M1230">
        <v>0.98</v>
      </c>
      <c r="N1230" s="1">
        <v>20000000</v>
      </c>
      <c r="O1230">
        <v>0.91</v>
      </c>
      <c r="P1230">
        <v>2.06</v>
      </c>
      <c r="Q1230">
        <v>0.01</v>
      </c>
    </row>
    <row r="1231" spans="1:17" x14ac:dyDescent="0.25">
      <c r="A1231">
        <v>727854</v>
      </c>
      <c r="B1231" t="s">
        <v>668</v>
      </c>
      <c r="C1231" t="s">
        <v>78</v>
      </c>
      <c r="D1231" t="s">
        <v>78</v>
      </c>
      <c r="E1231" t="s">
        <v>78</v>
      </c>
      <c r="F1231" t="s">
        <v>78</v>
      </c>
      <c r="G1231" t="s">
        <v>78</v>
      </c>
      <c r="H1231">
        <v>0.01</v>
      </c>
      <c r="I1231" s="1">
        <v>0</v>
      </c>
      <c r="J1231" s="1">
        <v>0</v>
      </c>
      <c r="K1231">
        <v>0</v>
      </c>
      <c r="L1231">
        <v>0.01</v>
      </c>
      <c r="M1231">
        <v>0.1</v>
      </c>
      <c r="N1231" s="1">
        <v>10000000</v>
      </c>
      <c r="O1231">
        <v>0.01</v>
      </c>
      <c r="P1231">
        <v>0.3</v>
      </c>
      <c r="Q1231">
        <v>0.01</v>
      </c>
    </row>
    <row r="1232" spans="1:17" x14ac:dyDescent="0.25">
      <c r="A1232">
        <v>727962</v>
      </c>
      <c r="B1232" t="s">
        <v>669</v>
      </c>
      <c r="C1232" t="s">
        <v>78</v>
      </c>
      <c r="D1232" t="s">
        <v>78</v>
      </c>
      <c r="E1232" t="s">
        <v>78</v>
      </c>
      <c r="F1232" t="s">
        <v>78</v>
      </c>
      <c r="G1232" t="s">
        <v>78</v>
      </c>
      <c r="H1232">
        <v>5.0999999999999996</v>
      </c>
      <c r="I1232" s="1">
        <v>0</v>
      </c>
      <c r="J1232" s="1">
        <v>0</v>
      </c>
      <c r="K1232">
        <v>0</v>
      </c>
      <c r="L1232">
        <v>0</v>
      </c>
      <c r="M1232">
        <v>5.8</v>
      </c>
      <c r="N1232" s="1">
        <v>10000000</v>
      </c>
      <c r="O1232">
        <v>5.0999999999999996</v>
      </c>
      <c r="P1232">
        <v>7.4</v>
      </c>
      <c r="Q1232">
        <v>2.76</v>
      </c>
    </row>
    <row r="1233" spans="1:17" x14ac:dyDescent="0.25">
      <c r="A1233">
        <v>727963</v>
      </c>
      <c r="B1233" t="s">
        <v>670</v>
      </c>
      <c r="C1233" t="s">
        <v>78</v>
      </c>
      <c r="D1233" t="s">
        <v>78</v>
      </c>
      <c r="E1233" t="s">
        <v>78</v>
      </c>
      <c r="F1233" t="s">
        <v>78</v>
      </c>
      <c r="G1233" t="s">
        <v>78</v>
      </c>
      <c r="H1233">
        <v>0.56000000000000005</v>
      </c>
      <c r="I1233" s="1">
        <v>0</v>
      </c>
      <c r="J1233" s="1">
        <v>0</v>
      </c>
      <c r="K1233">
        <v>0</v>
      </c>
      <c r="L1233">
        <v>0.19</v>
      </c>
      <c r="M1233">
        <v>0.28999999999999998</v>
      </c>
      <c r="N1233" s="1">
        <v>15000000</v>
      </c>
      <c r="O1233">
        <v>0.22</v>
      </c>
      <c r="P1233">
        <v>1.02</v>
      </c>
      <c r="Q1233">
        <v>0.01</v>
      </c>
    </row>
    <row r="1234" spans="1:17" x14ac:dyDescent="0.25">
      <c r="A1234">
        <v>728094</v>
      </c>
      <c r="B1234" t="s">
        <v>671</v>
      </c>
      <c r="C1234" t="s">
        <v>78</v>
      </c>
      <c r="D1234" t="s">
        <v>78</v>
      </c>
      <c r="E1234" t="s">
        <v>78</v>
      </c>
      <c r="F1234" t="s">
        <v>78</v>
      </c>
      <c r="G1234" t="s">
        <v>78</v>
      </c>
      <c r="H1234">
        <v>0.36</v>
      </c>
      <c r="I1234" s="1">
        <v>0</v>
      </c>
      <c r="J1234" s="1">
        <v>0</v>
      </c>
      <c r="K1234">
        <v>0</v>
      </c>
      <c r="L1234">
        <v>0.43</v>
      </c>
      <c r="M1234">
        <v>0.53</v>
      </c>
      <c r="N1234" s="1">
        <v>10000000</v>
      </c>
      <c r="O1234">
        <v>0.48</v>
      </c>
      <c r="P1234">
        <v>1.62</v>
      </c>
      <c r="Q1234">
        <v>0.01</v>
      </c>
    </row>
    <row r="1235" spans="1:17" x14ac:dyDescent="0.25">
      <c r="A1235">
        <v>728127</v>
      </c>
      <c r="B1235" t="s">
        <v>672</v>
      </c>
      <c r="C1235" t="s">
        <v>78</v>
      </c>
      <c r="D1235" t="s">
        <v>78</v>
      </c>
      <c r="E1235" t="s">
        <v>78</v>
      </c>
      <c r="F1235" t="s">
        <v>78</v>
      </c>
      <c r="G1235" t="s">
        <v>78</v>
      </c>
      <c r="H1235">
        <v>2.3199999999999998</v>
      </c>
      <c r="I1235" s="1">
        <v>0</v>
      </c>
      <c r="J1235" s="1">
        <v>0</v>
      </c>
      <c r="K1235">
        <v>0</v>
      </c>
      <c r="L1235">
        <v>2.2999999999999998</v>
      </c>
      <c r="M1235">
        <v>2.4</v>
      </c>
      <c r="N1235" s="1">
        <v>20000000</v>
      </c>
      <c r="O1235">
        <v>2.2999999999999998</v>
      </c>
      <c r="P1235">
        <v>3.86</v>
      </c>
      <c r="Q1235">
        <v>0.74</v>
      </c>
    </row>
    <row r="1236" spans="1:17" x14ac:dyDescent="0.25">
      <c r="A1236">
        <v>728216</v>
      </c>
      <c r="B1236" t="s">
        <v>673</v>
      </c>
      <c r="C1236" t="s">
        <v>78</v>
      </c>
      <c r="D1236" t="s">
        <v>78</v>
      </c>
      <c r="E1236" t="s">
        <v>78</v>
      </c>
      <c r="F1236" t="s">
        <v>78</v>
      </c>
      <c r="G1236" t="s">
        <v>78</v>
      </c>
      <c r="H1236">
        <v>1.2</v>
      </c>
      <c r="I1236" s="1">
        <v>0</v>
      </c>
      <c r="J1236" s="1">
        <v>0</v>
      </c>
      <c r="K1236">
        <v>0</v>
      </c>
      <c r="L1236">
        <v>1.24</v>
      </c>
      <c r="M1236">
        <v>1.28</v>
      </c>
      <c r="N1236" s="1">
        <v>10000000</v>
      </c>
      <c r="O1236">
        <v>1.28</v>
      </c>
      <c r="P1236">
        <v>1.71</v>
      </c>
      <c r="Q1236">
        <v>0.85</v>
      </c>
    </row>
    <row r="1237" spans="1:17" x14ac:dyDescent="0.25">
      <c r="A1237">
        <v>728221</v>
      </c>
      <c r="B1237" t="s">
        <v>674</v>
      </c>
      <c r="C1237" t="s">
        <v>78</v>
      </c>
      <c r="D1237" t="s">
        <v>78</v>
      </c>
      <c r="E1237" t="s">
        <v>78</v>
      </c>
      <c r="F1237" t="s">
        <v>78</v>
      </c>
      <c r="G1237" t="s">
        <v>78</v>
      </c>
      <c r="H1237">
        <v>7.0000000000000007E-2</v>
      </c>
      <c r="I1237" s="1">
        <v>0</v>
      </c>
      <c r="J1237" s="1">
        <v>0</v>
      </c>
      <c r="K1237">
        <v>0</v>
      </c>
      <c r="L1237">
        <v>0.06</v>
      </c>
      <c r="M1237">
        <v>0.1</v>
      </c>
      <c r="N1237" s="1">
        <v>10000000</v>
      </c>
      <c r="O1237">
        <v>7.0000000000000007E-2</v>
      </c>
      <c r="P1237">
        <v>0.95</v>
      </c>
      <c r="Q1237">
        <v>0.01</v>
      </c>
    </row>
    <row r="1238" spans="1:17" x14ac:dyDescent="0.25">
      <c r="A1238">
        <v>728237</v>
      </c>
      <c r="B1238" t="s">
        <v>675</v>
      </c>
      <c r="C1238" t="s">
        <v>78</v>
      </c>
      <c r="D1238" t="s">
        <v>78</v>
      </c>
      <c r="E1238" t="s">
        <v>78</v>
      </c>
      <c r="F1238" t="s">
        <v>78</v>
      </c>
      <c r="G1238" t="s">
        <v>78</v>
      </c>
      <c r="H1238">
        <v>0.02</v>
      </c>
      <c r="I1238" s="1">
        <v>0</v>
      </c>
      <c r="J1238" s="1">
        <v>0</v>
      </c>
      <c r="K1238">
        <v>0</v>
      </c>
      <c r="L1238">
        <v>0</v>
      </c>
      <c r="M1238">
        <v>0.1</v>
      </c>
      <c r="N1238" s="1">
        <v>10000000</v>
      </c>
      <c r="O1238">
        <v>0.01</v>
      </c>
      <c r="P1238">
        <v>0.31</v>
      </c>
      <c r="Q1238">
        <v>0.01</v>
      </c>
    </row>
    <row r="1239" spans="1:17" x14ac:dyDescent="0.25">
      <c r="A1239">
        <v>728238</v>
      </c>
      <c r="B1239" t="s">
        <v>676</v>
      </c>
      <c r="C1239" t="s">
        <v>78</v>
      </c>
      <c r="D1239" t="s">
        <v>78</v>
      </c>
      <c r="E1239" t="s">
        <v>78</v>
      </c>
      <c r="F1239" t="s">
        <v>78</v>
      </c>
      <c r="G1239" t="s">
        <v>78</v>
      </c>
      <c r="H1239">
        <v>6.35</v>
      </c>
      <c r="I1239" s="1">
        <v>0</v>
      </c>
      <c r="J1239" s="1">
        <v>0</v>
      </c>
      <c r="K1239">
        <v>0</v>
      </c>
      <c r="L1239">
        <v>6.25</v>
      </c>
      <c r="M1239">
        <v>8.35</v>
      </c>
      <c r="N1239" s="1">
        <v>10000000</v>
      </c>
      <c r="O1239">
        <v>6.35</v>
      </c>
      <c r="P1239">
        <v>8.35</v>
      </c>
      <c r="Q1239">
        <v>4.34</v>
      </c>
    </row>
    <row r="1240" spans="1:17" x14ac:dyDescent="0.25">
      <c r="A1240">
        <v>728250</v>
      </c>
      <c r="B1240" t="s">
        <v>677</v>
      </c>
      <c r="C1240">
        <v>1.42</v>
      </c>
      <c r="D1240">
        <v>0.04</v>
      </c>
      <c r="E1240">
        <v>1.42</v>
      </c>
      <c r="F1240">
        <v>1.42</v>
      </c>
      <c r="G1240">
        <v>1.42</v>
      </c>
      <c r="H1240">
        <v>1.42</v>
      </c>
      <c r="I1240" s="1">
        <v>10000</v>
      </c>
      <c r="J1240" s="1">
        <v>14200</v>
      </c>
      <c r="K1240">
        <v>1</v>
      </c>
      <c r="L1240">
        <v>1.6</v>
      </c>
      <c r="M1240">
        <v>1.65</v>
      </c>
      <c r="N1240" s="1">
        <v>20000000</v>
      </c>
      <c r="O1240">
        <v>1.42</v>
      </c>
      <c r="P1240">
        <v>2.92</v>
      </c>
      <c r="Q1240">
        <v>0.01</v>
      </c>
    </row>
    <row r="1241" spans="1:17" x14ac:dyDescent="0.25">
      <c r="A1241">
        <v>728251</v>
      </c>
      <c r="B1241" t="s">
        <v>678</v>
      </c>
      <c r="C1241">
        <v>1.96</v>
      </c>
      <c r="D1241">
        <v>0.27</v>
      </c>
      <c r="E1241">
        <v>2.0099999999999998</v>
      </c>
      <c r="F1241">
        <v>2.0099999999999998</v>
      </c>
      <c r="G1241">
        <v>1.96</v>
      </c>
      <c r="H1241">
        <v>1.96</v>
      </c>
      <c r="I1241" s="1">
        <v>31000</v>
      </c>
      <c r="J1241" s="1">
        <v>60810</v>
      </c>
      <c r="K1241">
        <v>2</v>
      </c>
      <c r="L1241">
        <v>1.81</v>
      </c>
      <c r="M1241">
        <v>1.91</v>
      </c>
      <c r="N1241" s="1">
        <v>20000000</v>
      </c>
      <c r="O1241">
        <v>1.96</v>
      </c>
      <c r="P1241">
        <v>3.89</v>
      </c>
      <c r="Q1241">
        <v>0.03</v>
      </c>
    </row>
    <row r="1242" spans="1:17" x14ac:dyDescent="0.25">
      <c r="A1242">
        <v>728279</v>
      </c>
      <c r="B1242" t="s">
        <v>679</v>
      </c>
      <c r="C1242">
        <v>0.81</v>
      </c>
      <c r="D1242">
        <v>0.05</v>
      </c>
      <c r="E1242">
        <v>0.79</v>
      </c>
      <c r="F1242">
        <v>0.81</v>
      </c>
      <c r="G1242">
        <v>0.79</v>
      </c>
      <c r="H1242">
        <v>0.8</v>
      </c>
      <c r="I1242" s="1">
        <v>80000</v>
      </c>
      <c r="J1242" s="1">
        <v>63800</v>
      </c>
      <c r="K1242">
        <v>2</v>
      </c>
      <c r="L1242">
        <v>0.68</v>
      </c>
      <c r="M1242">
        <v>0.69</v>
      </c>
      <c r="N1242" s="1">
        <v>10000000</v>
      </c>
      <c r="O1242">
        <v>0.81</v>
      </c>
      <c r="P1242">
        <v>1.63</v>
      </c>
      <c r="Q1242">
        <v>0.01</v>
      </c>
    </row>
    <row r="1243" spans="1:17" x14ac:dyDescent="0.25">
      <c r="A1243">
        <v>728316</v>
      </c>
      <c r="B1243" t="s">
        <v>680</v>
      </c>
      <c r="C1243" t="s">
        <v>78</v>
      </c>
      <c r="D1243" t="s">
        <v>78</v>
      </c>
      <c r="E1243" t="s">
        <v>78</v>
      </c>
      <c r="F1243" t="s">
        <v>78</v>
      </c>
      <c r="G1243" t="s">
        <v>78</v>
      </c>
      <c r="H1243">
        <v>0.01</v>
      </c>
      <c r="I1243" s="1">
        <v>0</v>
      </c>
      <c r="J1243" s="1">
        <v>0</v>
      </c>
      <c r="K1243">
        <v>0</v>
      </c>
      <c r="L1243">
        <v>0.01</v>
      </c>
      <c r="M1243">
        <v>0.02</v>
      </c>
      <c r="N1243" s="1">
        <v>10000000</v>
      </c>
      <c r="O1243">
        <v>0.01</v>
      </c>
      <c r="P1243">
        <v>0.36</v>
      </c>
      <c r="Q1243">
        <v>0.01</v>
      </c>
    </row>
    <row r="1244" spans="1:17" x14ac:dyDescent="0.25">
      <c r="A1244">
        <v>728434</v>
      </c>
      <c r="B1244" t="s">
        <v>681</v>
      </c>
      <c r="C1244" t="s">
        <v>78</v>
      </c>
      <c r="D1244" t="s">
        <v>78</v>
      </c>
      <c r="E1244" t="s">
        <v>78</v>
      </c>
      <c r="F1244" t="s">
        <v>78</v>
      </c>
      <c r="G1244" t="s">
        <v>78</v>
      </c>
      <c r="H1244">
        <v>0.17</v>
      </c>
      <c r="I1244" s="1">
        <v>0</v>
      </c>
      <c r="J1244" s="1">
        <v>0</v>
      </c>
      <c r="K1244">
        <v>0</v>
      </c>
      <c r="L1244">
        <v>0.06</v>
      </c>
      <c r="M1244">
        <v>0.1</v>
      </c>
      <c r="N1244" s="1">
        <v>12000000</v>
      </c>
      <c r="O1244">
        <v>0.1</v>
      </c>
      <c r="P1244">
        <v>1.4</v>
      </c>
      <c r="Q1244">
        <v>0.01</v>
      </c>
    </row>
    <row r="1245" spans="1:17" x14ac:dyDescent="0.25">
      <c r="A1245">
        <v>728446</v>
      </c>
      <c r="B1245" t="s">
        <v>682</v>
      </c>
      <c r="C1245">
        <v>0.1</v>
      </c>
      <c r="D1245">
        <v>0.01</v>
      </c>
      <c r="E1245">
        <v>0.1</v>
      </c>
      <c r="F1245">
        <v>0.1</v>
      </c>
      <c r="G1245">
        <v>0.1</v>
      </c>
      <c r="H1245">
        <v>0.1</v>
      </c>
      <c r="I1245" s="1">
        <v>100000</v>
      </c>
      <c r="J1245" s="1">
        <v>10000</v>
      </c>
      <c r="K1245">
        <v>2</v>
      </c>
      <c r="L1245">
        <v>0.08</v>
      </c>
      <c r="M1245">
        <v>0.1</v>
      </c>
      <c r="N1245" s="1">
        <v>10000000</v>
      </c>
      <c r="O1245">
        <v>0.1</v>
      </c>
      <c r="P1245">
        <v>1.18</v>
      </c>
      <c r="Q1245">
        <v>0.01</v>
      </c>
    </row>
    <row r="1246" spans="1:17" x14ac:dyDescent="0.25">
      <c r="A1246">
        <v>728471</v>
      </c>
      <c r="B1246" t="s">
        <v>683</v>
      </c>
      <c r="C1246" t="s">
        <v>78</v>
      </c>
      <c r="D1246" t="s">
        <v>78</v>
      </c>
      <c r="E1246" t="s">
        <v>78</v>
      </c>
      <c r="F1246" t="s">
        <v>78</v>
      </c>
      <c r="G1246" t="s">
        <v>78</v>
      </c>
      <c r="H1246">
        <v>0.04</v>
      </c>
      <c r="I1246" s="1">
        <v>0</v>
      </c>
      <c r="J1246" s="1">
        <v>0</v>
      </c>
      <c r="K1246">
        <v>0</v>
      </c>
      <c r="L1246">
        <v>0</v>
      </c>
      <c r="M1246">
        <v>0.01</v>
      </c>
      <c r="N1246" s="1">
        <v>10000000</v>
      </c>
      <c r="O1246">
        <v>0.01</v>
      </c>
      <c r="P1246">
        <v>0.53</v>
      </c>
      <c r="Q1246">
        <v>0.01</v>
      </c>
    </row>
    <row r="1247" spans="1:17" x14ac:dyDescent="0.25">
      <c r="A1247">
        <v>728701</v>
      </c>
      <c r="B1247" t="s">
        <v>684</v>
      </c>
      <c r="C1247">
        <v>0.01</v>
      </c>
      <c r="D1247">
        <v>-0.02</v>
      </c>
      <c r="E1247">
        <v>0.01</v>
      </c>
      <c r="F1247">
        <v>0.01</v>
      </c>
      <c r="G1247">
        <v>0.01</v>
      </c>
      <c r="H1247">
        <v>0.01</v>
      </c>
      <c r="I1247" s="1">
        <v>90000</v>
      </c>
      <c r="J1247" s="1">
        <v>900</v>
      </c>
      <c r="K1247">
        <v>1</v>
      </c>
      <c r="L1247">
        <v>0.01</v>
      </c>
      <c r="M1247">
        <v>7.0000000000000007E-2</v>
      </c>
      <c r="N1247" s="1">
        <v>10000000</v>
      </c>
      <c r="O1247">
        <v>0.01</v>
      </c>
      <c r="P1247">
        <v>0.74</v>
      </c>
      <c r="Q1247">
        <v>0.01</v>
      </c>
    </row>
    <row r="1248" spans="1:17" x14ac:dyDescent="0.25">
      <c r="A1248">
        <v>728736</v>
      </c>
      <c r="B1248" t="s">
        <v>685</v>
      </c>
      <c r="C1248">
        <v>0.12</v>
      </c>
      <c r="D1248">
        <v>0</v>
      </c>
      <c r="E1248">
        <v>0.12</v>
      </c>
      <c r="F1248">
        <v>0.12</v>
      </c>
      <c r="G1248">
        <v>0.12</v>
      </c>
      <c r="H1248">
        <v>0.12</v>
      </c>
      <c r="I1248" s="1">
        <v>20000</v>
      </c>
      <c r="J1248" s="1">
        <v>2400</v>
      </c>
      <c r="K1248">
        <v>2</v>
      </c>
      <c r="L1248">
        <v>0.11</v>
      </c>
      <c r="M1248">
        <v>0.12</v>
      </c>
      <c r="N1248" s="1">
        <v>10000000</v>
      </c>
      <c r="O1248">
        <v>0.12</v>
      </c>
      <c r="P1248">
        <v>0.38</v>
      </c>
      <c r="Q1248">
        <v>0.01</v>
      </c>
    </row>
    <row r="1249" spans="1:17" x14ac:dyDescent="0.25">
      <c r="A1249">
        <v>728802</v>
      </c>
      <c r="B1249" t="s">
        <v>686</v>
      </c>
      <c r="C1249">
        <v>1.31</v>
      </c>
      <c r="D1249">
        <v>-0.26</v>
      </c>
      <c r="E1249">
        <v>1.28</v>
      </c>
      <c r="F1249">
        <v>1.31</v>
      </c>
      <c r="G1249">
        <v>1.27</v>
      </c>
      <c r="H1249">
        <v>1.28</v>
      </c>
      <c r="I1249" s="1">
        <v>65000</v>
      </c>
      <c r="J1249" s="1">
        <v>83230</v>
      </c>
      <c r="K1249">
        <v>5</v>
      </c>
      <c r="L1249">
        <v>1.4</v>
      </c>
      <c r="M1249">
        <v>1.45</v>
      </c>
      <c r="N1249" s="1">
        <v>10000000</v>
      </c>
      <c r="O1249">
        <v>1.31</v>
      </c>
      <c r="P1249">
        <v>1.75</v>
      </c>
      <c r="Q1249">
        <v>0.87</v>
      </c>
    </row>
    <row r="1250" spans="1:17" x14ac:dyDescent="0.25">
      <c r="A1250">
        <v>728847</v>
      </c>
      <c r="B1250" t="s">
        <v>687</v>
      </c>
      <c r="C1250" t="s">
        <v>78</v>
      </c>
      <c r="D1250" t="s">
        <v>78</v>
      </c>
      <c r="E1250" t="s">
        <v>78</v>
      </c>
      <c r="F1250" t="s">
        <v>78</v>
      </c>
      <c r="G1250" t="s">
        <v>78</v>
      </c>
      <c r="H1250">
        <v>8.85</v>
      </c>
      <c r="I1250" s="1">
        <v>0</v>
      </c>
      <c r="J1250" s="1">
        <v>0</v>
      </c>
      <c r="K1250">
        <v>0</v>
      </c>
      <c r="L1250">
        <v>7</v>
      </c>
      <c r="M1250">
        <v>0</v>
      </c>
      <c r="N1250" s="1">
        <v>20000000</v>
      </c>
      <c r="O1250">
        <v>8.85</v>
      </c>
      <c r="P1250">
        <v>11.3</v>
      </c>
      <c r="Q1250">
        <v>6.4</v>
      </c>
    </row>
    <row r="1251" spans="1:17" x14ac:dyDescent="0.25">
      <c r="A1251">
        <v>728848</v>
      </c>
      <c r="B1251" t="s">
        <v>837</v>
      </c>
      <c r="C1251" t="s">
        <v>78</v>
      </c>
      <c r="D1251" t="s">
        <v>78</v>
      </c>
      <c r="E1251" t="s">
        <v>78</v>
      </c>
      <c r="F1251" t="s">
        <v>78</v>
      </c>
      <c r="G1251" t="s">
        <v>78</v>
      </c>
      <c r="H1251">
        <v>0.1</v>
      </c>
      <c r="I1251" s="1">
        <v>0</v>
      </c>
      <c r="J1251" s="1">
        <v>0</v>
      </c>
      <c r="K1251">
        <v>0</v>
      </c>
      <c r="L1251">
        <v>0.17</v>
      </c>
      <c r="M1251">
        <v>0.26</v>
      </c>
      <c r="N1251" s="1">
        <v>20000000</v>
      </c>
      <c r="O1251">
        <v>0.17</v>
      </c>
      <c r="P1251">
        <v>1.8</v>
      </c>
      <c r="Q1251">
        <v>0.01</v>
      </c>
    </row>
    <row r="1252" spans="1:17" x14ac:dyDescent="0.25">
      <c r="A1252">
        <v>728875</v>
      </c>
      <c r="B1252" t="s">
        <v>688</v>
      </c>
      <c r="C1252" t="s">
        <v>78</v>
      </c>
      <c r="D1252" t="s">
        <v>78</v>
      </c>
      <c r="E1252" t="s">
        <v>78</v>
      </c>
      <c r="F1252" t="s">
        <v>78</v>
      </c>
      <c r="G1252" t="s">
        <v>78</v>
      </c>
      <c r="H1252">
        <v>0.18</v>
      </c>
      <c r="I1252" s="1">
        <v>0</v>
      </c>
      <c r="J1252" s="1">
        <v>0</v>
      </c>
      <c r="K1252">
        <v>0</v>
      </c>
      <c r="L1252">
        <v>0</v>
      </c>
      <c r="M1252">
        <v>0.02</v>
      </c>
      <c r="N1252" s="1">
        <v>10000000</v>
      </c>
      <c r="O1252">
        <v>0.02</v>
      </c>
      <c r="P1252">
        <v>0.66</v>
      </c>
      <c r="Q1252">
        <v>0.01</v>
      </c>
    </row>
    <row r="1253" spans="1:17" x14ac:dyDescent="0.25">
      <c r="A1253">
        <v>728878</v>
      </c>
      <c r="B1253" t="s">
        <v>689</v>
      </c>
      <c r="C1253" t="s">
        <v>78</v>
      </c>
      <c r="D1253" t="s">
        <v>78</v>
      </c>
      <c r="E1253" t="s">
        <v>78</v>
      </c>
      <c r="F1253" t="s">
        <v>78</v>
      </c>
      <c r="G1253" t="s">
        <v>78</v>
      </c>
      <c r="H1253">
        <v>2.2000000000000002</v>
      </c>
      <c r="I1253" s="1">
        <v>0</v>
      </c>
      <c r="J1253" s="1">
        <v>0</v>
      </c>
      <c r="K1253">
        <v>0</v>
      </c>
      <c r="L1253">
        <v>1.97</v>
      </c>
      <c r="M1253">
        <v>2.0299999999999998</v>
      </c>
      <c r="N1253" s="1">
        <v>10000000</v>
      </c>
      <c r="O1253">
        <v>2.02</v>
      </c>
      <c r="P1253">
        <v>2.92</v>
      </c>
      <c r="Q1253">
        <v>1.1200000000000001</v>
      </c>
    </row>
    <row r="1254" spans="1:17" x14ac:dyDescent="0.25">
      <c r="A1254">
        <v>728879</v>
      </c>
      <c r="B1254" t="s">
        <v>690</v>
      </c>
      <c r="C1254" t="s">
        <v>78</v>
      </c>
      <c r="D1254" t="s">
        <v>78</v>
      </c>
      <c r="E1254" t="s">
        <v>78</v>
      </c>
      <c r="F1254" t="s">
        <v>78</v>
      </c>
      <c r="G1254" t="s">
        <v>78</v>
      </c>
      <c r="H1254">
        <v>4.33</v>
      </c>
      <c r="I1254" s="1">
        <v>0</v>
      </c>
      <c r="J1254" s="1">
        <v>0</v>
      </c>
      <c r="K1254">
        <v>0</v>
      </c>
      <c r="L1254">
        <v>3.03</v>
      </c>
      <c r="M1254">
        <v>0</v>
      </c>
      <c r="N1254" s="1">
        <v>5000000</v>
      </c>
      <c r="O1254">
        <v>3.2</v>
      </c>
      <c r="P1254">
        <v>4.3</v>
      </c>
      <c r="Q1254">
        <v>2.1</v>
      </c>
    </row>
    <row r="1255" spans="1:17" x14ac:dyDescent="0.25">
      <c r="A1255">
        <v>728882</v>
      </c>
      <c r="B1255" t="s">
        <v>691</v>
      </c>
      <c r="C1255" t="s">
        <v>78</v>
      </c>
      <c r="D1255" t="s">
        <v>78</v>
      </c>
      <c r="E1255" t="s">
        <v>78</v>
      </c>
      <c r="F1255" t="s">
        <v>78</v>
      </c>
      <c r="G1255" t="s">
        <v>78</v>
      </c>
      <c r="H1255">
        <v>0.02</v>
      </c>
      <c r="I1255" s="1">
        <v>0</v>
      </c>
      <c r="J1255" s="1">
        <v>0</v>
      </c>
      <c r="K1255">
        <v>0</v>
      </c>
      <c r="L1255">
        <v>0</v>
      </c>
      <c r="M1255">
        <v>0.01</v>
      </c>
      <c r="N1255" s="1">
        <v>5000000</v>
      </c>
      <c r="O1255">
        <v>0.01</v>
      </c>
      <c r="P1255">
        <v>0.18</v>
      </c>
      <c r="Q1255">
        <v>0.01</v>
      </c>
    </row>
    <row r="1256" spans="1:17" x14ac:dyDescent="0.25">
      <c r="A1256">
        <v>728885</v>
      </c>
      <c r="B1256" t="s">
        <v>692</v>
      </c>
      <c r="C1256" t="s">
        <v>78</v>
      </c>
      <c r="D1256" t="s">
        <v>78</v>
      </c>
      <c r="E1256" t="s">
        <v>78</v>
      </c>
      <c r="F1256" t="s">
        <v>78</v>
      </c>
      <c r="G1256" t="s">
        <v>78</v>
      </c>
      <c r="H1256">
        <v>1.58</v>
      </c>
      <c r="I1256" s="1">
        <v>0</v>
      </c>
      <c r="J1256" s="1">
        <v>0</v>
      </c>
      <c r="K1256">
        <v>0</v>
      </c>
      <c r="L1256">
        <v>1.64</v>
      </c>
      <c r="M1256">
        <v>1.7</v>
      </c>
      <c r="N1256" s="1">
        <v>7000000</v>
      </c>
      <c r="O1256">
        <v>1.7</v>
      </c>
      <c r="P1256">
        <v>2.68</v>
      </c>
      <c r="Q1256">
        <v>0.72</v>
      </c>
    </row>
    <row r="1257" spans="1:17" x14ac:dyDescent="0.25">
      <c r="A1257">
        <v>728886</v>
      </c>
      <c r="B1257" t="s">
        <v>693</v>
      </c>
      <c r="C1257" t="s">
        <v>78</v>
      </c>
      <c r="D1257" t="s">
        <v>78</v>
      </c>
      <c r="E1257" t="s">
        <v>78</v>
      </c>
      <c r="F1257" t="s">
        <v>78</v>
      </c>
      <c r="G1257" t="s">
        <v>78</v>
      </c>
      <c r="H1257">
        <v>1.51</v>
      </c>
      <c r="I1257" s="1">
        <v>0</v>
      </c>
      <c r="J1257" s="1">
        <v>0</v>
      </c>
      <c r="K1257">
        <v>0</v>
      </c>
      <c r="L1257">
        <v>1.89</v>
      </c>
      <c r="M1257">
        <v>1.99</v>
      </c>
      <c r="N1257" s="1">
        <v>7000000</v>
      </c>
      <c r="O1257">
        <v>1.95</v>
      </c>
      <c r="P1257">
        <v>2.73</v>
      </c>
      <c r="Q1257">
        <v>1.17</v>
      </c>
    </row>
    <row r="1258" spans="1:17" x14ac:dyDescent="0.25">
      <c r="A1258">
        <v>728887</v>
      </c>
      <c r="B1258" t="s">
        <v>2577</v>
      </c>
      <c r="C1258" t="s">
        <v>78</v>
      </c>
      <c r="D1258" t="s">
        <v>78</v>
      </c>
      <c r="E1258" t="s">
        <v>78</v>
      </c>
      <c r="F1258" t="s">
        <v>78</v>
      </c>
      <c r="G1258" t="s">
        <v>78</v>
      </c>
      <c r="H1258">
        <v>10.7</v>
      </c>
      <c r="I1258" s="1">
        <v>0</v>
      </c>
      <c r="J1258" s="1">
        <v>0</v>
      </c>
      <c r="K1258">
        <v>0</v>
      </c>
      <c r="L1258">
        <v>12.1</v>
      </c>
      <c r="M1258">
        <v>12.5</v>
      </c>
      <c r="N1258" s="1">
        <v>10000000</v>
      </c>
      <c r="O1258">
        <v>12.5</v>
      </c>
      <c r="P1258">
        <v>17.2</v>
      </c>
      <c r="Q1258">
        <v>7.75</v>
      </c>
    </row>
    <row r="1259" spans="1:17" x14ac:dyDescent="0.25">
      <c r="A1259">
        <v>728899</v>
      </c>
      <c r="B1259" t="s">
        <v>2578</v>
      </c>
      <c r="C1259">
        <v>2.4500000000000002</v>
      </c>
      <c r="D1259">
        <v>0.2</v>
      </c>
      <c r="E1259">
        <v>2.4500000000000002</v>
      </c>
      <c r="F1259">
        <v>2.4500000000000002</v>
      </c>
      <c r="G1259">
        <v>2.4500000000000002</v>
      </c>
      <c r="H1259">
        <v>2.4500000000000002</v>
      </c>
      <c r="I1259" s="1">
        <v>3000</v>
      </c>
      <c r="J1259" s="1">
        <v>7350</v>
      </c>
      <c r="K1259">
        <v>1</v>
      </c>
      <c r="L1259">
        <v>2.23</v>
      </c>
      <c r="M1259">
        <v>2.2999999999999998</v>
      </c>
      <c r="N1259" s="1">
        <v>10000000</v>
      </c>
      <c r="O1259">
        <v>2.4500000000000002</v>
      </c>
      <c r="P1259">
        <v>3.24</v>
      </c>
      <c r="Q1259">
        <v>1.66</v>
      </c>
    </row>
    <row r="1260" spans="1:17" x14ac:dyDescent="0.25">
      <c r="A1260">
        <v>728904</v>
      </c>
      <c r="B1260" t="s">
        <v>694</v>
      </c>
      <c r="C1260" t="s">
        <v>78</v>
      </c>
      <c r="D1260" t="s">
        <v>78</v>
      </c>
      <c r="E1260" t="s">
        <v>78</v>
      </c>
      <c r="F1260" t="s">
        <v>78</v>
      </c>
      <c r="G1260" t="s">
        <v>78</v>
      </c>
      <c r="H1260">
        <v>0.01</v>
      </c>
      <c r="I1260" s="1">
        <v>0</v>
      </c>
      <c r="J1260" s="1">
        <v>0</v>
      </c>
      <c r="K1260">
        <v>0</v>
      </c>
      <c r="L1260">
        <v>0</v>
      </c>
      <c r="M1260">
        <v>0.01</v>
      </c>
      <c r="N1260" s="1">
        <v>7000000</v>
      </c>
      <c r="O1260">
        <v>0.01</v>
      </c>
      <c r="P1260">
        <v>0.41</v>
      </c>
      <c r="Q1260">
        <v>0.01</v>
      </c>
    </row>
    <row r="1261" spans="1:17" x14ac:dyDescent="0.25">
      <c r="A1261">
        <v>728905</v>
      </c>
      <c r="B1261" t="s">
        <v>695</v>
      </c>
      <c r="C1261" t="s">
        <v>78</v>
      </c>
      <c r="D1261" t="s">
        <v>78</v>
      </c>
      <c r="E1261" t="s">
        <v>78</v>
      </c>
      <c r="F1261" t="s">
        <v>78</v>
      </c>
      <c r="G1261" t="s">
        <v>78</v>
      </c>
      <c r="H1261">
        <v>0.27</v>
      </c>
      <c r="I1261" s="1">
        <v>0</v>
      </c>
      <c r="J1261" s="1">
        <v>0</v>
      </c>
      <c r="K1261">
        <v>0</v>
      </c>
      <c r="L1261">
        <v>0</v>
      </c>
      <c r="M1261">
        <v>0</v>
      </c>
      <c r="N1261" s="1">
        <v>7000000</v>
      </c>
      <c r="O1261">
        <v>0.04</v>
      </c>
      <c r="P1261">
        <v>0.85</v>
      </c>
      <c r="Q1261">
        <v>0.01</v>
      </c>
    </row>
    <row r="1262" spans="1:17" x14ac:dyDescent="0.25">
      <c r="A1262">
        <v>728907</v>
      </c>
      <c r="B1262" t="s">
        <v>696</v>
      </c>
      <c r="C1262" t="s">
        <v>78</v>
      </c>
      <c r="D1262" t="s">
        <v>78</v>
      </c>
      <c r="E1262" t="s">
        <v>78</v>
      </c>
      <c r="F1262" t="s">
        <v>78</v>
      </c>
      <c r="G1262" t="s">
        <v>78</v>
      </c>
      <c r="H1262">
        <v>0.02</v>
      </c>
      <c r="I1262" s="1">
        <v>0</v>
      </c>
      <c r="J1262" s="1">
        <v>0</v>
      </c>
      <c r="K1262">
        <v>0</v>
      </c>
      <c r="L1262">
        <v>0</v>
      </c>
      <c r="M1262">
        <v>0.01</v>
      </c>
      <c r="N1262" s="1">
        <v>5000000</v>
      </c>
      <c r="O1262">
        <v>0.01</v>
      </c>
      <c r="P1262">
        <v>0.84</v>
      </c>
      <c r="Q1262">
        <v>0.01</v>
      </c>
    </row>
    <row r="1263" spans="1:17" x14ac:dyDescent="0.25">
      <c r="A1263">
        <v>728909</v>
      </c>
      <c r="B1263" t="s">
        <v>697</v>
      </c>
      <c r="C1263" t="s">
        <v>78</v>
      </c>
      <c r="D1263" t="s">
        <v>78</v>
      </c>
      <c r="E1263" t="s">
        <v>78</v>
      </c>
      <c r="F1263" t="s">
        <v>78</v>
      </c>
      <c r="G1263" t="s">
        <v>78</v>
      </c>
      <c r="H1263">
        <v>7.05</v>
      </c>
      <c r="I1263" s="1">
        <v>0</v>
      </c>
      <c r="J1263" s="1">
        <v>0</v>
      </c>
      <c r="K1263">
        <v>0</v>
      </c>
      <c r="L1263">
        <v>6.55</v>
      </c>
      <c r="M1263">
        <v>0</v>
      </c>
      <c r="N1263" s="1">
        <v>5000000</v>
      </c>
      <c r="O1263">
        <v>6.7</v>
      </c>
      <c r="P1263">
        <v>8</v>
      </c>
      <c r="Q1263">
        <v>5.4</v>
      </c>
    </row>
    <row r="1264" spans="1:17" x14ac:dyDescent="0.25">
      <c r="A1264">
        <v>728910</v>
      </c>
      <c r="B1264" t="s">
        <v>698</v>
      </c>
      <c r="C1264" t="s">
        <v>78</v>
      </c>
      <c r="D1264" t="s">
        <v>78</v>
      </c>
      <c r="E1264" t="s">
        <v>78</v>
      </c>
      <c r="F1264" t="s">
        <v>78</v>
      </c>
      <c r="G1264" t="s">
        <v>78</v>
      </c>
      <c r="H1264">
        <v>0.02</v>
      </c>
      <c r="I1264" s="1">
        <v>0</v>
      </c>
      <c r="J1264" s="1">
        <v>0</v>
      </c>
      <c r="K1264">
        <v>0</v>
      </c>
      <c r="L1264">
        <v>0</v>
      </c>
      <c r="M1264">
        <v>0.01</v>
      </c>
      <c r="N1264" s="1">
        <v>5000000</v>
      </c>
      <c r="O1264">
        <v>0.01</v>
      </c>
      <c r="P1264">
        <v>0.54</v>
      </c>
      <c r="Q1264">
        <v>0.01</v>
      </c>
    </row>
    <row r="1265" spans="1:17" x14ac:dyDescent="0.25">
      <c r="A1265">
        <v>728913</v>
      </c>
      <c r="B1265" t="s">
        <v>699</v>
      </c>
      <c r="C1265">
        <v>7.5</v>
      </c>
      <c r="D1265">
        <v>-0.1</v>
      </c>
      <c r="E1265">
        <v>7.5</v>
      </c>
      <c r="F1265">
        <v>7.5</v>
      </c>
      <c r="G1265">
        <v>7.5</v>
      </c>
      <c r="H1265">
        <v>7.5</v>
      </c>
      <c r="I1265" s="1">
        <v>2000</v>
      </c>
      <c r="J1265" s="1">
        <v>15000</v>
      </c>
      <c r="K1265">
        <v>1</v>
      </c>
      <c r="L1265">
        <v>7.35</v>
      </c>
      <c r="M1265">
        <v>7.5</v>
      </c>
      <c r="N1265" s="1">
        <v>5000000</v>
      </c>
      <c r="O1265">
        <v>7.5</v>
      </c>
      <c r="P1265">
        <v>8.8000000000000007</v>
      </c>
      <c r="Q1265">
        <v>6.2</v>
      </c>
    </row>
    <row r="1266" spans="1:17" x14ac:dyDescent="0.25">
      <c r="A1266">
        <v>728915</v>
      </c>
      <c r="B1266" t="s">
        <v>700</v>
      </c>
      <c r="C1266" t="s">
        <v>78</v>
      </c>
      <c r="D1266" t="s">
        <v>78</v>
      </c>
      <c r="E1266" t="s">
        <v>78</v>
      </c>
      <c r="F1266" t="s">
        <v>78</v>
      </c>
      <c r="G1266" t="s">
        <v>78</v>
      </c>
      <c r="H1266">
        <v>0.01</v>
      </c>
      <c r="I1266" s="1">
        <v>0</v>
      </c>
      <c r="J1266" s="1">
        <v>0</v>
      </c>
      <c r="K1266">
        <v>0</v>
      </c>
      <c r="L1266">
        <v>0</v>
      </c>
      <c r="M1266">
        <v>0.02</v>
      </c>
      <c r="N1266" s="1">
        <v>5000000</v>
      </c>
      <c r="O1266">
        <v>0.01</v>
      </c>
      <c r="P1266">
        <v>0.62</v>
      </c>
      <c r="Q1266">
        <v>0.01</v>
      </c>
    </row>
    <row r="1267" spans="1:17" x14ac:dyDescent="0.25">
      <c r="A1267">
        <v>728954</v>
      </c>
      <c r="B1267" t="s">
        <v>2579</v>
      </c>
      <c r="C1267" t="s">
        <v>78</v>
      </c>
      <c r="D1267" t="s">
        <v>78</v>
      </c>
      <c r="E1267" t="s">
        <v>78</v>
      </c>
      <c r="F1267" t="s">
        <v>78</v>
      </c>
      <c r="G1267" t="s">
        <v>78</v>
      </c>
      <c r="H1267">
        <v>0.03</v>
      </c>
      <c r="I1267" s="1">
        <v>0</v>
      </c>
      <c r="J1267" s="1">
        <v>0</v>
      </c>
      <c r="K1267">
        <v>0</v>
      </c>
      <c r="L1267">
        <v>0</v>
      </c>
      <c r="M1267">
        <v>0.01</v>
      </c>
      <c r="N1267" s="1">
        <v>5000000</v>
      </c>
      <c r="O1267">
        <v>0.01</v>
      </c>
      <c r="P1267">
        <v>0.63</v>
      </c>
      <c r="Q1267">
        <v>0.01</v>
      </c>
    </row>
    <row r="1268" spans="1:17" x14ac:dyDescent="0.25">
      <c r="A1268">
        <v>728970</v>
      </c>
      <c r="B1268" t="s">
        <v>2580</v>
      </c>
      <c r="C1268" t="s">
        <v>78</v>
      </c>
      <c r="D1268" t="s">
        <v>78</v>
      </c>
      <c r="E1268" t="s">
        <v>78</v>
      </c>
      <c r="F1268" t="s">
        <v>78</v>
      </c>
      <c r="G1268" t="s">
        <v>78</v>
      </c>
      <c r="H1268">
        <v>0.3</v>
      </c>
      <c r="I1268" s="1">
        <v>0</v>
      </c>
      <c r="J1268" s="1">
        <v>0</v>
      </c>
      <c r="K1268">
        <v>0</v>
      </c>
      <c r="L1268">
        <v>0.4</v>
      </c>
      <c r="M1268">
        <v>0.49</v>
      </c>
      <c r="N1268" s="1">
        <v>10000000</v>
      </c>
      <c r="O1268">
        <v>0.4</v>
      </c>
      <c r="P1268">
        <v>1.03</v>
      </c>
      <c r="Q1268">
        <v>0.01</v>
      </c>
    </row>
    <row r="1269" spans="1:17" x14ac:dyDescent="0.25">
      <c r="A1269">
        <v>729038</v>
      </c>
      <c r="B1269" t="s">
        <v>2581</v>
      </c>
      <c r="C1269" t="s">
        <v>78</v>
      </c>
      <c r="D1269" t="s">
        <v>78</v>
      </c>
      <c r="E1269" t="s">
        <v>78</v>
      </c>
      <c r="F1269" t="s">
        <v>78</v>
      </c>
      <c r="G1269" t="s">
        <v>78</v>
      </c>
      <c r="H1269">
        <v>0.21</v>
      </c>
      <c r="I1269" s="1">
        <v>0</v>
      </c>
      <c r="J1269" s="1">
        <v>0</v>
      </c>
      <c r="K1269">
        <v>0</v>
      </c>
      <c r="L1269">
        <v>0.22</v>
      </c>
      <c r="M1269">
        <v>0.23</v>
      </c>
      <c r="N1269" s="1">
        <v>5000000</v>
      </c>
      <c r="O1269">
        <v>0.23</v>
      </c>
      <c r="P1269">
        <v>0.82</v>
      </c>
      <c r="Q1269">
        <v>0.01</v>
      </c>
    </row>
    <row r="1270" spans="1:17" x14ac:dyDescent="0.25">
      <c r="A1270">
        <v>729040</v>
      </c>
      <c r="B1270" t="s">
        <v>2582</v>
      </c>
      <c r="C1270">
        <v>0.03</v>
      </c>
      <c r="D1270">
        <v>0</v>
      </c>
      <c r="E1270">
        <v>0.03</v>
      </c>
      <c r="F1270">
        <v>0.03</v>
      </c>
      <c r="G1270">
        <v>0.03</v>
      </c>
      <c r="H1270">
        <v>0.03</v>
      </c>
      <c r="I1270" s="1">
        <v>20000</v>
      </c>
      <c r="J1270" s="1">
        <v>600</v>
      </c>
      <c r="K1270">
        <v>1</v>
      </c>
      <c r="L1270">
        <v>0.02</v>
      </c>
      <c r="M1270">
        <v>0.03</v>
      </c>
      <c r="N1270" s="1">
        <v>5000000</v>
      </c>
      <c r="O1270">
        <v>0.03</v>
      </c>
      <c r="P1270">
        <v>1</v>
      </c>
      <c r="Q1270">
        <v>0.01</v>
      </c>
    </row>
    <row r="1271" spans="1:17" x14ac:dyDescent="0.25">
      <c r="A1271">
        <v>729068</v>
      </c>
      <c r="B1271" t="s">
        <v>2583</v>
      </c>
      <c r="C1271" t="s">
        <v>78</v>
      </c>
      <c r="D1271" t="s">
        <v>78</v>
      </c>
      <c r="E1271" t="s">
        <v>78</v>
      </c>
      <c r="F1271" t="s">
        <v>78</v>
      </c>
      <c r="G1271" t="s">
        <v>78</v>
      </c>
      <c r="H1271">
        <v>0.03</v>
      </c>
      <c r="I1271" s="1">
        <v>0</v>
      </c>
      <c r="J1271" s="1">
        <v>0</v>
      </c>
      <c r="K1271">
        <v>0</v>
      </c>
      <c r="L1271">
        <v>0</v>
      </c>
      <c r="M1271">
        <v>0.02</v>
      </c>
      <c r="N1271" s="1">
        <v>10000000</v>
      </c>
      <c r="O1271">
        <v>0.02</v>
      </c>
      <c r="P1271">
        <v>1.66</v>
      </c>
      <c r="Q1271">
        <v>0.01</v>
      </c>
    </row>
    <row r="1272" spans="1:17" x14ac:dyDescent="0.25">
      <c r="A1272">
        <v>729085</v>
      </c>
      <c r="B1272" t="s">
        <v>2584</v>
      </c>
      <c r="C1272" t="s">
        <v>78</v>
      </c>
      <c r="D1272" t="s">
        <v>78</v>
      </c>
      <c r="E1272" t="s">
        <v>78</v>
      </c>
      <c r="F1272" t="s">
        <v>78</v>
      </c>
      <c r="G1272" t="s">
        <v>78</v>
      </c>
      <c r="H1272">
        <v>0.01</v>
      </c>
      <c r="I1272" s="1">
        <v>0</v>
      </c>
      <c r="J1272" s="1">
        <v>0</v>
      </c>
      <c r="K1272">
        <v>0</v>
      </c>
      <c r="L1272">
        <v>0</v>
      </c>
      <c r="M1272">
        <v>0.01</v>
      </c>
      <c r="N1272" s="1">
        <v>7000000</v>
      </c>
      <c r="O1272">
        <v>0.01</v>
      </c>
      <c r="P1272">
        <v>0.33</v>
      </c>
      <c r="Q1272">
        <v>0.01</v>
      </c>
    </row>
    <row r="1273" spans="1:17" x14ac:dyDescent="0.25">
      <c r="A1273">
        <v>729120</v>
      </c>
      <c r="B1273" t="s">
        <v>2585</v>
      </c>
      <c r="C1273" t="s">
        <v>78</v>
      </c>
      <c r="D1273" t="s">
        <v>78</v>
      </c>
      <c r="E1273" t="s">
        <v>78</v>
      </c>
      <c r="F1273" t="s">
        <v>78</v>
      </c>
      <c r="G1273" t="s">
        <v>78</v>
      </c>
      <c r="H1273">
        <v>0.01</v>
      </c>
      <c r="I1273" s="1">
        <v>0</v>
      </c>
      <c r="J1273" s="1">
        <v>0</v>
      </c>
      <c r="K1273">
        <v>0</v>
      </c>
      <c r="L1273">
        <v>0</v>
      </c>
      <c r="M1273">
        <v>0</v>
      </c>
      <c r="N1273" s="1">
        <v>5000000</v>
      </c>
      <c r="O1273">
        <v>0.01</v>
      </c>
      <c r="P1273">
        <v>0.54</v>
      </c>
      <c r="Q1273">
        <v>0.01</v>
      </c>
    </row>
    <row r="1274" spans="1:17" x14ac:dyDescent="0.25">
      <c r="A1274">
        <v>729126</v>
      </c>
      <c r="B1274" t="s">
        <v>2586</v>
      </c>
      <c r="C1274" t="s">
        <v>78</v>
      </c>
      <c r="D1274" t="s">
        <v>78</v>
      </c>
      <c r="E1274" t="s">
        <v>78</v>
      </c>
      <c r="F1274" t="s">
        <v>78</v>
      </c>
      <c r="G1274" t="s">
        <v>78</v>
      </c>
      <c r="H1274">
        <v>7.0000000000000007E-2</v>
      </c>
      <c r="I1274" s="1">
        <v>0</v>
      </c>
      <c r="J1274" s="1">
        <v>0</v>
      </c>
      <c r="K1274">
        <v>0</v>
      </c>
      <c r="L1274">
        <v>7.0000000000000007E-2</v>
      </c>
      <c r="M1274">
        <v>0.08</v>
      </c>
      <c r="N1274" s="1">
        <v>10000000</v>
      </c>
      <c r="O1274">
        <v>7.0000000000000007E-2</v>
      </c>
      <c r="P1274">
        <v>0.4</v>
      </c>
      <c r="Q1274">
        <v>0.01</v>
      </c>
    </row>
    <row r="1275" spans="1:17" x14ac:dyDescent="0.25">
      <c r="A1275">
        <v>729127</v>
      </c>
      <c r="B1275" t="s">
        <v>2587</v>
      </c>
      <c r="C1275" t="s">
        <v>78</v>
      </c>
      <c r="D1275" t="s">
        <v>78</v>
      </c>
      <c r="E1275" t="s">
        <v>78</v>
      </c>
      <c r="F1275" t="s">
        <v>78</v>
      </c>
      <c r="G1275" t="s">
        <v>78</v>
      </c>
      <c r="H1275">
        <v>3.97</v>
      </c>
      <c r="I1275" s="1">
        <v>0</v>
      </c>
      <c r="J1275" s="1">
        <v>0</v>
      </c>
      <c r="K1275">
        <v>0</v>
      </c>
      <c r="L1275">
        <v>0</v>
      </c>
      <c r="M1275">
        <v>0</v>
      </c>
      <c r="N1275" s="1">
        <v>10000000</v>
      </c>
      <c r="O1275">
        <v>4.2699999999999996</v>
      </c>
      <c r="P1275">
        <v>4.9800000000000004</v>
      </c>
      <c r="Q1275">
        <v>3.56</v>
      </c>
    </row>
    <row r="1276" spans="1:17" x14ac:dyDescent="0.25">
      <c r="A1276">
        <v>729225</v>
      </c>
      <c r="B1276" t="s">
        <v>2588</v>
      </c>
      <c r="C1276" t="s">
        <v>78</v>
      </c>
      <c r="D1276" t="s">
        <v>78</v>
      </c>
      <c r="E1276" t="s">
        <v>78</v>
      </c>
      <c r="F1276" t="s">
        <v>78</v>
      </c>
      <c r="G1276" t="s">
        <v>78</v>
      </c>
      <c r="H1276">
        <v>0.35</v>
      </c>
      <c r="I1276" s="1">
        <v>0</v>
      </c>
      <c r="J1276" s="1">
        <v>0</v>
      </c>
      <c r="K1276">
        <v>0</v>
      </c>
      <c r="L1276">
        <v>0.34</v>
      </c>
      <c r="M1276">
        <v>0.35</v>
      </c>
      <c r="N1276" s="1">
        <v>10000000</v>
      </c>
      <c r="O1276">
        <v>0.35</v>
      </c>
      <c r="P1276">
        <v>0.64</v>
      </c>
      <c r="Q1276">
        <v>0.06</v>
      </c>
    </row>
    <row r="1277" spans="1:17" x14ac:dyDescent="0.25">
      <c r="A1277">
        <v>729340</v>
      </c>
      <c r="B1277" t="s">
        <v>2589</v>
      </c>
      <c r="C1277" t="s">
        <v>78</v>
      </c>
      <c r="D1277" t="s">
        <v>78</v>
      </c>
      <c r="E1277" t="s">
        <v>78</v>
      </c>
      <c r="F1277" t="s">
        <v>78</v>
      </c>
      <c r="G1277" t="s">
        <v>78</v>
      </c>
      <c r="H1277">
        <v>0.08</v>
      </c>
      <c r="I1277" s="1">
        <v>0</v>
      </c>
      <c r="J1277" s="1">
        <v>0</v>
      </c>
      <c r="K1277">
        <v>0</v>
      </c>
      <c r="L1277">
        <v>0</v>
      </c>
      <c r="M1277">
        <v>0.21</v>
      </c>
      <c r="N1277" s="1">
        <v>5000000</v>
      </c>
      <c r="O1277">
        <v>0.04</v>
      </c>
      <c r="P1277">
        <v>0.21</v>
      </c>
      <c r="Q1277">
        <v>0.01</v>
      </c>
    </row>
    <row r="1278" spans="1:17" x14ac:dyDescent="0.25">
      <c r="A1278">
        <v>729365</v>
      </c>
      <c r="B1278" t="s">
        <v>2590</v>
      </c>
      <c r="C1278" t="s">
        <v>78</v>
      </c>
      <c r="D1278" t="s">
        <v>78</v>
      </c>
      <c r="E1278" t="s">
        <v>78</v>
      </c>
      <c r="F1278" t="s">
        <v>78</v>
      </c>
      <c r="G1278" t="s">
        <v>78</v>
      </c>
      <c r="H1278">
        <v>1.32</v>
      </c>
      <c r="I1278" s="1">
        <v>0</v>
      </c>
      <c r="J1278" s="1">
        <v>0</v>
      </c>
      <c r="K1278">
        <v>0</v>
      </c>
      <c r="L1278">
        <v>1.17</v>
      </c>
      <c r="M1278">
        <v>1.27</v>
      </c>
      <c r="N1278" s="1">
        <v>10000000</v>
      </c>
      <c r="O1278">
        <v>1.17</v>
      </c>
      <c r="P1278">
        <v>1.54</v>
      </c>
      <c r="Q1278">
        <v>0.8</v>
      </c>
    </row>
    <row r="1279" spans="1:17" x14ac:dyDescent="0.25">
      <c r="A1279">
        <v>729366</v>
      </c>
      <c r="B1279" t="s">
        <v>2591</v>
      </c>
      <c r="C1279">
        <v>0.08</v>
      </c>
      <c r="D1279">
        <v>-0.02</v>
      </c>
      <c r="E1279">
        <v>0.1</v>
      </c>
      <c r="F1279">
        <v>0.1</v>
      </c>
      <c r="G1279">
        <v>0.08</v>
      </c>
      <c r="H1279">
        <v>0.09</v>
      </c>
      <c r="I1279" s="1">
        <v>450000</v>
      </c>
      <c r="J1279" s="1">
        <v>40000</v>
      </c>
      <c r="K1279">
        <v>3</v>
      </c>
      <c r="L1279">
        <v>0.08</v>
      </c>
      <c r="M1279">
        <v>0.09</v>
      </c>
      <c r="N1279" s="1">
        <v>10000000</v>
      </c>
      <c r="O1279">
        <v>0.08</v>
      </c>
      <c r="P1279">
        <v>0.31</v>
      </c>
      <c r="Q1279">
        <v>0.01</v>
      </c>
    </row>
    <row r="1280" spans="1:17" x14ac:dyDescent="0.25">
      <c r="A1280">
        <v>729394</v>
      </c>
      <c r="B1280" t="s">
        <v>2592</v>
      </c>
      <c r="C1280">
        <v>0.13</v>
      </c>
      <c r="D1280">
        <v>-0.03</v>
      </c>
      <c r="E1280">
        <v>0.14000000000000001</v>
      </c>
      <c r="F1280">
        <v>0.14000000000000001</v>
      </c>
      <c r="G1280">
        <v>0.13</v>
      </c>
      <c r="H1280">
        <v>0.14000000000000001</v>
      </c>
      <c r="I1280" s="1">
        <v>370000</v>
      </c>
      <c r="J1280" s="1">
        <v>51600</v>
      </c>
      <c r="K1280">
        <v>2</v>
      </c>
      <c r="L1280">
        <v>0.13</v>
      </c>
      <c r="M1280">
        <v>0.14000000000000001</v>
      </c>
      <c r="N1280" s="1">
        <v>10000000</v>
      </c>
      <c r="O1280">
        <v>0.13</v>
      </c>
      <c r="P1280">
        <v>0.42</v>
      </c>
      <c r="Q1280">
        <v>0.01</v>
      </c>
    </row>
    <row r="1281" spans="1:17" x14ac:dyDescent="0.25">
      <c r="A1281">
        <v>729401</v>
      </c>
      <c r="B1281" t="s">
        <v>2593</v>
      </c>
      <c r="C1281" t="s">
        <v>78</v>
      </c>
      <c r="D1281" t="s">
        <v>78</v>
      </c>
      <c r="E1281" t="s">
        <v>78</v>
      </c>
      <c r="F1281" t="s">
        <v>78</v>
      </c>
      <c r="G1281" t="s">
        <v>78</v>
      </c>
      <c r="H1281">
        <v>0.09</v>
      </c>
      <c r="I1281" s="1">
        <v>0</v>
      </c>
      <c r="J1281" s="1">
        <v>0</v>
      </c>
      <c r="K1281">
        <v>0</v>
      </c>
      <c r="L1281">
        <v>0.06</v>
      </c>
      <c r="M1281">
        <v>0.27</v>
      </c>
      <c r="N1281" s="1">
        <v>5000000</v>
      </c>
      <c r="O1281">
        <v>0.09</v>
      </c>
      <c r="P1281">
        <v>0.61</v>
      </c>
      <c r="Q1281">
        <v>0.01</v>
      </c>
    </row>
    <row r="1282" spans="1:17" x14ac:dyDescent="0.25">
      <c r="A1282">
        <v>729403</v>
      </c>
      <c r="B1282" t="s">
        <v>2594</v>
      </c>
      <c r="C1282">
        <v>0.55000000000000004</v>
      </c>
      <c r="D1282">
        <v>0.03</v>
      </c>
      <c r="E1282">
        <v>0.55000000000000004</v>
      </c>
      <c r="F1282">
        <v>0.56000000000000005</v>
      </c>
      <c r="G1282">
        <v>0.55000000000000004</v>
      </c>
      <c r="H1282">
        <v>0.55000000000000004</v>
      </c>
      <c r="I1282" s="1">
        <v>60000</v>
      </c>
      <c r="J1282" s="1">
        <v>33100</v>
      </c>
      <c r="K1282">
        <v>3</v>
      </c>
      <c r="L1282">
        <v>0.53</v>
      </c>
      <c r="M1282">
        <v>0.54</v>
      </c>
      <c r="N1282" s="1">
        <v>5000000</v>
      </c>
      <c r="O1282">
        <v>0.55000000000000004</v>
      </c>
      <c r="P1282">
        <v>1.1200000000000001</v>
      </c>
      <c r="Q1282">
        <v>0.01</v>
      </c>
    </row>
    <row r="1283" spans="1:17" x14ac:dyDescent="0.25">
      <c r="A1283">
        <v>729413</v>
      </c>
      <c r="B1283" t="s">
        <v>2595</v>
      </c>
      <c r="C1283" t="s">
        <v>78</v>
      </c>
      <c r="D1283" t="s">
        <v>78</v>
      </c>
      <c r="E1283" t="s">
        <v>78</v>
      </c>
      <c r="F1283" t="s">
        <v>78</v>
      </c>
      <c r="G1283" t="s">
        <v>78</v>
      </c>
      <c r="H1283">
        <v>2.61</v>
      </c>
      <c r="I1283" s="1">
        <v>0</v>
      </c>
      <c r="J1283" s="1">
        <v>0</v>
      </c>
      <c r="K1283">
        <v>0</v>
      </c>
      <c r="L1283">
        <v>3.59</v>
      </c>
      <c r="M1283">
        <v>0</v>
      </c>
      <c r="N1283" s="1">
        <v>10000000</v>
      </c>
      <c r="O1283">
        <v>3.59</v>
      </c>
      <c r="P1283">
        <v>4.75</v>
      </c>
      <c r="Q1283">
        <v>2.4300000000000002</v>
      </c>
    </row>
    <row r="1284" spans="1:17" x14ac:dyDescent="0.25">
      <c r="A1284">
        <v>729417</v>
      </c>
      <c r="B1284" t="s">
        <v>2596</v>
      </c>
      <c r="C1284" t="s">
        <v>78</v>
      </c>
      <c r="D1284" t="s">
        <v>78</v>
      </c>
      <c r="E1284" t="s">
        <v>78</v>
      </c>
      <c r="F1284" t="s">
        <v>78</v>
      </c>
      <c r="G1284" t="s">
        <v>78</v>
      </c>
      <c r="H1284">
        <v>0.37</v>
      </c>
      <c r="I1284" s="1">
        <v>0</v>
      </c>
      <c r="J1284" s="1">
        <v>0</v>
      </c>
      <c r="K1284">
        <v>0</v>
      </c>
      <c r="L1284">
        <v>0.35</v>
      </c>
      <c r="M1284">
        <v>0.36</v>
      </c>
      <c r="N1284" s="1">
        <v>10000000</v>
      </c>
      <c r="O1284">
        <v>0.36</v>
      </c>
      <c r="P1284">
        <v>0.85</v>
      </c>
      <c r="Q1284">
        <v>0.01</v>
      </c>
    </row>
    <row r="1285" spans="1:17" x14ac:dyDescent="0.25">
      <c r="A1285">
        <v>729419</v>
      </c>
      <c r="B1285" t="s">
        <v>2597</v>
      </c>
      <c r="C1285" t="s">
        <v>78</v>
      </c>
      <c r="D1285" t="s">
        <v>78</v>
      </c>
      <c r="E1285" t="s">
        <v>78</v>
      </c>
      <c r="F1285" t="s">
        <v>78</v>
      </c>
      <c r="G1285" t="s">
        <v>78</v>
      </c>
      <c r="H1285">
        <v>0.05</v>
      </c>
      <c r="I1285" s="1">
        <v>0</v>
      </c>
      <c r="J1285" s="1">
        <v>0</v>
      </c>
      <c r="K1285">
        <v>0</v>
      </c>
      <c r="L1285">
        <v>0.05</v>
      </c>
      <c r="M1285">
        <v>0.06</v>
      </c>
      <c r="N1285" s="1">
        <v>10000000</v>
      </c>
      <c r="O1285">
        <v>0.05</v>
      </c>
      <c r="P1285">
        <v>0.46</v>
      </c>
      <c r="Q1285">
        <v>0.01</v>
      </c>
    </row>
    <row r="1286" spans="1:17" x14ac:dyDescent="0.25">
      <c r="A1286">
        <v>729441</v>
      </c>
      <c r="B1286" t="s">
        <v>2598</v>
      </c>
      <c r="C1286">
        <v>3.15</v>
      </c>
      <c r="D1286">
        <v>-0.04</v>
      </c>
      <c r="E1286">
        <v>3.12</v>
      </c>
      <c r="F1286">
        <v>3.15</v>
      </c>
      <c r="G1286">
        <v>3.12</v>
      </c>
      <c r="H1286">
        <v>3.14</v>
      </c>
      <c r="I1286" s="1">
        <v>20000</v>
      </c>
      <c r="J1286" s="1">
        <v>62700</v>
      </c>
      <c r="K1286">
        <v>2</v>
      </c>
      <c r="L1286">
        <v>3.11</v>
      </c>
      <c r="M1286">
        <v>3.17</v>
      </c>
      <c r="N1286" s="1">
        <v>10000000</v>
      </c>
      <c r="O1286">
        <v>3.15</v>
      </c>
      <c r="P1286">
        <v>4.43</v>
      </c>
      <c r="Q1286">
        <v>1.87</v>
      </c>
    </row>
    <row r="1287" spans="1:17" x14ac:dyDescent="0.25">
      <c r="A1287">
        <v>729469</v>
      </c>
      <c r="B1287" t="s">
        <v>2599</v>
      </c>
      <c r="C1287">
        <v>0.09</v>
      </c>
      <c r="D1287">
        <v>-0.02</v>
      </c>
      <c r="E1287">
        <v>0.09</v>
      </c>
      <c r="F1287">
        <v>0.09</v>
      </c>
      <c r="G1287">
        <v>0.09</v>
      </c>
      <c r="H1287">
        <v>0.09</v>
      </c>
      <c r="I1287" s="1">
        <v>180000</v>
      </c>
      <c r="J1287" s="1">
        <v>16200</v>
      </c>
      <c r="K1287">
        <v>3</v>
      </c>
      <c r="L1287">
        <v>0.08</v>
      </c>
      <c r="M1287">
        <v>0.09</v>
      </c>
      <c r="N1287" s="1">
        <v>10000000</v>
      </c>
      <c r="O1287">
        <v>0.09</v>
      </c>
      <c r="P1287">
        <v>0.32</v>
      </c>
      <c r="Q1287">
        <v>0.01</v>
      </c>
    </row>
    <row r="1288" spans="1:17" x14ac:dyDescent="0.25">
      <c r="A1288">
        <v>729476</v>
      </c>
      <c r="B1288" t="s">
        <v>2600</v>
      </c>
      <c r="C1288">
        <v>0.01</v>
      </c>
      <c r="D1288">
        <v>0</v>
      </c>
      <c r="E1288">
        <v>0.01</v>
      </c>
      <c r="F1288">
        <v>0.01</v>
      </c>
      <c r="G1288">
        <v>0.01</v>
      </c>
      <c r="H1288">
        <v>0.01</v>
      </c>
      <c r="I1288" s="1">
        <v>10000</v>
      </c>
      <c r="J1288" s="1">
        <v>100</v>
      </c>
      <c r="K1288">
        <v>1</v>
      </c>
      <c r="L1288">
        <v>0</v>
      </c>
      <c r="M1288">
        <v>0.01</v>
      </c>
      <c r="N1288" s="1">
        <v>10000000</v>
      </c>
      <c r="O1288">
        <v>0.01</v>
      </c>
      <c r="P1288">
        <v>0.59</v>
      </c>
      <c r="Q1288">
        <v>0.01</v>
      </c>
    </row>
    <row r="1289" spans="1:17" x14ac:dyDescent="0.25">
      <c r="A1289">
        <v>729479</v>
      </c>
      <c r="B1289" t="s">
        <v>2601</v>
      </c>
      <c r="C1289" t="s">
        <v>78</v>
      </c>
      <c r="D1289" t="s">
        <v>78</v>
      </c>
      <c r="E1289" t="s">
        <v>78</v>
      </c>
      <c r="F1289" t="s">
        <v>78</v>
      </c>
      <c r="G1289" t="s">
        <v>78</v>
      </c>
      <c r="H1289">
        <v>0.01</v>
      </c>
      <c r="I1289" s="1">
        <v>0</v>
      </c>
      <c r="J1289" s="1">
        <v>0</v>
      </c>
      <c r="K1289">
        <v>0</v>
      </c>
      <c r="L1289">
        <v>0</v>
      </c>
      <c r="M1289">
        <v>0.01</v>
      </c>
      <c r="N1289" s="1">
        <v>5000000</v>
      </c>
      <c r="O1289">
        <v>0.01</v>
      </c>
      <c r="P1289">
        <v>0.61</v>
      </c>
      <c r="Q1289">
        <v>0.01</v>
      </c>
    </row>
    <row r="1290" spans="1:17" x14ac:dyDescent="0.25">
      <c r="A1290">
        <v>729483</v>
      </c>
      <c r="B1290" t="s">
        <v>2602</v>
      </c>
      <c r="C1290" t="s">
        <v>78</v>
      </c>
      <c r="D1290" t="s">
        <v>78</v>
      </c>
      <c r="E1290" t="s">
        <v>78</v>
      </c>
      <c r="F1290" t="s">
        <v>78</v>
      </c>
      <c r="G1290" t="s">
        <v>78</v>
      </c>
      <c r="H1290">
        <v>0.02</v>
      </c>
      <c r="I1290" s="1">
        <v>0</v>
      </c>
      <c r="J1290" s="1">
        <v>0</v>
      </c>
      <c r="K1290">
        <v>0</v>
      </c>
      <c r="L1290">
        <v>0.02</v>
      </c>
      <c r="M1290">
        <v>0.03</v>
      </c>
      <c r="N1290" s="1">
        <v>10000000</v>
      </c>
      <c r="O1290">
        <v>0.02</v>
      </c>
      <c r="P1290">
        <v>0.46</v>
      </c>
      <c r="Q1290">
        <v>0.01</v>
      </c>
    </row>
    <row r="1291" spans="1:17" x14ac:dyDescent="0.25">
      <c r="A1291">
        <v>729497</v>
      </c>
      <c r="B1291" t="s">
        <v>2603</v>
      </c>
      <c r="C1291" t="s">
        <v>78</v>
      </c>
      <c r="D1291" t="s">
        <v>78</v>
      </c>
      <c r="E1291" t="s">
        <v>78</v>
      </c>
      <c r="F1291" t="s">
        <v>78</v>
      </c>
      <c r="G1291" t="s">
        <v>78</v>
      </c>
      <c r="H1291">
        <v>0.11</v>
      </c>
      <c r="I1291" s="1">
        <v>0</v>
      </c>
      <c r="J1291" s="1">
        <v>0</v>
      </c>
      <c r="K1291">
        <v>0</v>
      </c>
      <c r="L1291">
        <v>0.11</v>
      </c>
      <c r="M1291">
        <v>0.12</v>
      </c>
      <c r="N1291" s="1">
        <v>5500000</v>
      </c>
      <c r="O1291">
        <v>0.11</v>
      </c>
      <c r="P1291">
        <v>0.7</v>
      </c>
      <c r="Q1291">
        <v>0.01</v>
      </c>
    </row>
    <row r="1292" spans="1:17" x14ac:dyDescent="0.25">
      <c r="A1292">
        <v>729498</v>
      </c>
      <c r="B1292" t="s">
        <v>2604</v>
      </c>
      <c r="C1292">
        <v>0.12</v>
      </c>
      <c r="D1292">
        <v>0</v>
      </c>
      <c r="E1292">
        <v>0.12</v>
      </c>
      <c r="F1292">
        <v>0.12</v>
      </c>
      <c r="G1292">
        <v>0.12</v>
      </c>
      <c r="H1292">
        <v>0.12</v>
      </c>
      <c r="I1292" s="1">
        <v>20000</v>
      </c>
      <c r="J1292" s="1">
        <v>2400</v>
      </c>
      <c r="K1292">
        <v>1</v>
      </c>
      <c r="L1292">
        <v>0.11</v>
      </c>
      <c r="M1292">
        <v>0.12</v>
      </c>
      <c r="N1292" s="1">
        <v>5100000</v>
      </c>
      <c r="O1292">
        <v>0.12</v>
      </c>
      <c r="P1292">
        <v>0.65</v>
      </c>
      <c r="Q1292">
        <v>0.01</v>
      </c>
    </row>
    <row r="1293" spans="1:17" x14ac:dyDescent="0.25">
      <c r="A1293">
        <v>729509</v>
      </c>
      <c r="B1293" t="s">
        <v>2605</v>
      </c>
      <c r="C1293" t="s">
        <v>78</v>
      </c>
      <c r="D1293" t="s">
        <v>78</v>
      </c>
      <c r="E1293" t="s">
        <v>78</v>
      </c>
      <c r="F1293" t="s">
        <v>78</v>
      </c>
      <c r="G1293" t="s">
        <v>78</v>
      </c>
      <c r="H1293">
        <v>0.15</v>
      </c>
      <c r="I1293" s="1">
        <v>0</v>
      </c>
      <c r="J1293" s="1">
        <v>0</v>
      </c>
      <c r="K1293">
        <v>0</v>
      </c>
      <c r="L1293">
        <v>0.14000000000000001</v>
      </c>
      <c r="M1293">
        <v>0.15</v>
      </c>
      <c r="N1293" s="1">
        <v>10000000</v>
      </c>
      <c r="O1293">
        <v>0.15</v>
      </c>
      <c r="P1293">
        <v>0.4</v>
      </c>
      <c r="Q1293">
        <v>0.01</v>
      </c>
    </row>
    <row r="1294" spans="1:17" x14ac:dyDescent="0.25">
      <c r="A1294">
        <v>729522</v>
      </c>
      <c r="B1294" t="s">
        <v>2606</v>
      </c>
      <c r="C1294" t="s">
        <v>78</v>
      </c>
      <c r="D1294" t="s">
        <v>78</v>
      </c>
      <c r="E1294" t="s">
        <v>78</v>
      </c>
      <c r="F1294" t="s">
        <v>78</v>
      </c>
      <c r="G1294" t="s">
        <v>78</v>
      </c>
      <c r="H1294">
        <v>0.01</v>
      </c>
      <c r="I1294" s="1">
        <v>0</v>
      </c>
      <c r="J1294" s="1">
        <v>0</v>
      </c>
      <c r="K1294">
        <v>0</v>
      </c>
      <c r="L1294">
        <v>0</v>
      </c>
      <c r="M1294">
        <v>0.01</v>
      </c>
      <c r="N1294" s="1">
        <v>10000000</v>
      </c>
      <c r="O1294">
        <v>0.01</v>
      </c>
      <c r="P1294">
        <v>0.43</v>
      </c>
      <c r="Q1294">
        <v>0.01</v>
      </c>
    </row>
    <row r="1295" spans="1:17" x14ac:dyDescent="0.25">
      <c r="A1295">
        <v>729527</v>
      </c>
      <c r="B1295" t="s">
        <v>2607</v>
      </c>
      <c r="C1295" t="s">
        <v>78</v>
      </c>
      <c r="D1295" t="s">
        <v>78</v>
      </c>
      <c r="E1295" t="s">
        <v>78</v>
      </c>
      <c r="F1295" t="s">
        <v>78</v>
      </c>
      <c r="G1295" t="s">
        <v>78</v>
      </c>
      <c r="H1295">
        <v>3.57</v>
      </c>
      <c r="I1295" s="1">
        <v>0</v>
      </c>
      <c r="J1295" s="1">
        <v>0</v>
      </c>
      <c r="K1295">
        <v>0</v>
      </c>
      <c r="L1295">
        <v>4.09</v>
      </c>
      <c r="M1295">
        <v>0</v>
      </c>
      <c r="N1295" s="1">
        <v>10000000</v>
      </c>
      <c r="O1295">
        <v>4.45</v>
      </c>
      <c r="P1295">
        <v>6.05</v>
      </c>
      <c r="Q1295">
        <v>2.83</v>
      </c>
    </row>
    <row r="1296" spans="1:17" x14ac:dyDescent="0.25">
      <c r="A1296">
        <v>729531</v>
      </c>
      <c r="B1296" t="s">
        <v>2608</v>
      </c>
      <c r="C1296" t="s">
        <v>78</v>
      </c>
      <c r="D1296" t="s">
        <v>78</v>
      </c>
      <c r="E1296" t="s">
        <v>78</v>
      </c>
      <c r="F1296" t="s">
        <v>78</v>
      </c>
      <c r="G1296" t="s">
        <v>78</v>
      </c>
      <c r="H1296">
        <v>0.01</v>
      </c>
      <c r="I1296" s="1">
        <v>0</v>
      </c>
      <c r="J1296" s="1">
        <v>0</v>
      </c>
      <c r="K1296">
        <v>0</v>
      </c>
      <c r="L1296">
        <v>0.01</v>
      </c>
      <c r="M1296">
        <v>0.02</v>
      </c>
      <c r="N1296" s="1">
        <v>10000000</v>
      </c>
      <c r="O1296">
        <v>0.01</v>
      </c>
      <c r="P1296">
        <v>0.33</v>
      </c>
      <c r="Q1296">
        <v>0.01</v>
      </c>
    </row>
    <row r="1297" spans="1:17" x14ac:dyDescent="0.25">
      <c r="A1297">
        <v>729537</v>
      </c>
      <c r="B1297" t="s">
        <v>2609</v>
      </c>
      <c r="C1297">
        <v>4.2699999999999996</v>
      </c>
      <c r="D1297">
        <v>0.38</v>
      </c>
      <c r="E1297">
        <v>4.3</v>
      </c>
      <c r="F1297">
        <v>4.3</v>
      </c>
      <c r="G1297">
        <v>4.1900000000000004</v>
      </c>
      <c r="H1297">
        <v>4.2300000000000004</v>
      </c>
      <c r="I1297" s="1">
        <v>50000</v>
      </c>
      <c r="J1297" s="1">
        <v>211700</v>
      </c>
      <c r="K1297">
        <v>11</v>
      </c>
      <c r="L1297">
        <v>4.09</v>
      </c>
      <c r="M1297">
        <v>4.1900000000000004</v>
      </c>
      <c r="N1297" s="1">
        <v>10000000</v>
      </c>
      <c r="O1297">
        <v>4.2699999999999996</v>
      </c>
      <c r="P1297">
        <v>6.4</v>
      </c>
      <c r="Q1297">
        <v>2.13</v>
      </c>
    </row>
    <row r="1298" spans="1:17" x14ac:dyDescent="0.25">
      <c r="A1298">
        <v>729550</v>
      </c>
      <c r="B1298" t="s">
        <v>2610</v>
      </c>
      <c r="C1298" t="s">
        <v>78</v>
      </c>
      <c r="D1298" t="s">
        <v>78</v>
      </c>
      <c r="E1298" t="s">
        <v>78</v>
      </c>
      <c r="F1298" t="s">
        <v>78</v>
      </c>
      <c r="G1298" t="s">
        <v>78</v>
      </c>
      <c r="H1298">
        <v>7.4</v>
      </c>
      <c r="I1298" s="1">
        <v>0</v>
      </c>
      <c r="J1298" s="1">
        <v>0</v>
      </c>
      <c r="K1298">
        <v>0</v>
      </c>
      <c r="L1298">
        <v>0</v>
      </c>
      <c r="M1298">
        <v>0</v>
      </c>
      <c r="N1298" s="1">
        <v>15000000</v>
      </c>
      <c r="O1298">
        <v>8.6999999999999993</v>
      </c>
      <c r="P1298">
        <v>9.9</v>
      </c>
      <c r="Q1298">
        <v>7.5</v>
      </c>
    </row>
    <row r="1299" spans="1:17" x14ac:dyDescent="0.25">
      <c r="A1299">
        <v>729551</v>
      </c>
      <c r="B1299" t="s">
        <v>2611</v>
      </c>
      <c r="C1299" t="s">
        <v>78</v>
      </c>
      <c r="D1299" t="s">
        <v>78</v>
      </c>
      <c r="E1299" t="s">
        <v>78</v>
      </c>
      <c r="F1299" t="s">
        <v>78</v>
      </c>
      <c r="G1299" t="s">
        <v>78</v>
      </c>
      <c r="H1299">
        <v>5.05</v>
      </c>
      <c r="I1299" s="1">
        <v>0</v>
      </c>
      <c r="J1299" s="1">
        <v>0</v>
      </c>
      <c r="K1299">
        <v>0</v>
      </c>
      <c r="L1299">
        <v>5.4</v>
      </c>
      <c r="M1299">
        <v>0</v>
      </c>
      <c r="N1299" s="1">
        <v>10000000</v>
      </c>
      <c r="O1299">
        <v>5.4</v>
      </c>
      <c r="P1299">
        <v>6.55</v>
      </c>
      <c r="Q1299">
        <v>4.24</v>
      </c>
    </row>
    <row r="1300" spans="1:17" x14ac:dyDescent="0.25">
      <c r="A1300">
        <v>729558</v>
      </c>
      <c r="B1300" t="s">
        <v>2612</v>
      </c>
      <c r="C1300" t="s">
        <v>78</v>
      </c>
      <c r="D1300" t="s">
        <v>78</v>
      </c>
      <c r="E1300" t="s">
        <v>78</v>
      </c>
      <c r="F1300" t="s">
        <v>78</v>
      </c>
      <c r="G1300" t="s">
        <v>78</v>
      </c>
      <c r="H1300">
        <v>0.32</v>
      </c>
      <c r="I1300" s="1">
        <v>0</v>
      </c>
      <c r="J1300" s="1">
        <v>0</v>
      </c>
      <c r="K1300">
        <v>0</v>
      </c>
      <c r="L1300">
        <v>0</v>
      </c>
      <c r="M1300">
        <v>0</v>
      </c>
      <c r="N1300" s="1">
        <v>5000000</v>
      </c>
      <c r="O1300">
        <v>0.04</v>
      </c>
      <c r="P1300">
        <v>0.53</v>
      </c>
      <c r="Q1300">
        <v>0.01</v>
      </c>
    </row>
    <row r="1301" spans="1:17" x14ac:dyDescent="0.25">
      <c r="A1301">
        <v>729561</v>
      </c>
      <c r="B1301" t="s">
        <v>2613</v>
      </c>
      <c r="C1301">
        <v>0.08</v>
      </c>
      <c r="D1301">
        <v>-0.02</v>
      </c>
      <c r="E1301">
        <v>0.08</v>
      </c>
      <c r="F1301">
        <v>0.08</v>
      </c>
      <c r="G1301">
        <v>0.08</v>
      </c>
      <c r="H1301">
        <v>0.08</v>
      </c>
      <c r="I1301" s="1">
        <v>10000</v>
      </c>
      <c r="J1301" s="1">
        <v>800</v>
      </c>
      <c r="K1301">
        <v>1</v>
      </c>
      <c r="L1301">
        <v>7.0000000000000007E-2</v>
      </c>
      <c r="M1301">
        <v>0.08</v>
      </c>
      <c r="N1301" s="1">
        <v>10000000</v>
      </c>
      <c r="O1301">
        <v>0.08</v>
      </c>
      <c r="P1301">
        <v>0.41</v>
      </c>
      <c r="Q1301">
        <v>0.01</v>
      </c>
    </row>
    <row r="1302" spans="1:17" x14ac:dyDescent="0.25">
      <c r="A1302">
        <v>729562</v>
      </c>
      <c r="B1302" t="s">
        <v>2614</v>
      </c>
      <c r="C1302" t="s">
        <v>78</v>
      </c>
      <c r="D1302" t="s">
        <v>78</v>
      </c>
      <c r="E1302" t="s">
        <v>78</v>
      </c>
      <c r="F1302" t="s">
        <v>78</v>
      </c>
      <c r="G1302" t="s">
        <v>78</v>
      </c>
      <c r="H1302">
        <v>1.66</v>
      </c>
      <c r="I1302" s="1">
        <v>0</v>
      </c>
      <c r="J1302" s="1">
        <v>0</v>
      </c>
      <c r="K1302">
        <v>0</v>
      </c>
      <c r="L1302">
        <v>1.63</v>
      </c>
      <c r="M1302">
        <v>1.73</v>
      </c>
      <c r="N1302" s="1">
        <v>10000000</v>
      </c>
      <c r="O1302">
        <v>1.65</v>
      </c>
      <c r="P1302">
        <v>2.39</v>
      </c>
      <c r="Q1302">
        <v>0.91</v>
      </c>
    </row>
    <row r="1303" spans="1:17" x14ac:dyDescent="0.25">
      <c r="A1303">
        <v>729563</v>
      </c>
      <c r="B1303" t="s">
        <v>2615</v>
      </c>
      <c r="C1303">
        <v>2.71</v>
      </c>
      <c r="D1303">
        <v>-0.44</v>
      </c>
      <c r="E1303">
        <v>2.61</v>
      </c>
      <c r="F1303">
        <v>2.74</v>
      </c>
      <c r="G1303">
        <v>2.58</v>
      </c>
      <c r="H1303">
        <v>2.66</v>
      </c>
      <c r="I1303" s="1">
        <v>63000</v>
      </c>
      <c r="J1303" s="1">
        <v>167730</v>
      </c>
      <c r="K1303">
        <v>6</v>
      </c>
      <c r="L1303">
        <v>2.9</v>
      </c>
      <c r="M1303">
        <v>2.95</v>
      </c>
      <c r="N1303" s="1">
        <v>10000000</v>
      </c>
      <c r="O1303">
        <v>2.71</v>
      </c>
      <c r="P1303">
        <v>3.68</v>
      </c>
      <c r="Q1303">
        <v>1.74</v>
      </c>
    </row>
    <row r="1304" spans="1:17" x14ac:dyDescent="0.25">
      <c r="A1304">
        <v>729577</v>
      </c>
      <c r="B1304" t="s">
        <v>2616</v>
      </c>
      <c r="C1304" t="s">
        <v>78</v>
      </c>
      <c r="D1304" t="s">
        <v>78</v>
      </c>
      <c r="E1304" t="s">
        <v>78</v>
      </c>
      <c r="F1304" t="s">
        <v>78</v>
      </c>
      <c r="G1304" t="s">
        <v>78</v>
      </c>
      <c r="H1304">
        <v>0.18</v>
      </c>
      <c r="I1304" s="1">
        <v>0</v>
      </c>
      <c r="J1304" s="1">
        <v>0</v>
      </c>
      <c r="K1304">
        <v>0</v>
      </c>
      <c r="L1304">
        <v>0.13</v>
      </c>
      <c r="M1304">
        <v>0.14000000000000001</v>
      </c>
      <c r="N1304" s="1">
        <v>10000000</v>
      </c>
      <c r="O1304">
        <v>0.14000000000000001</v>
      </c>
      <c r="P1304">
        <v>0.59</v>
      </c>
      <c r="Q1304">
        <v>0.01</v>
      </c>
    </row>
    <row r="1305" spans="1:17" x14ac:dyDescent="0.25">
      <c r="A1305">
        <v>729590</v>
      </c>
      <c r="B1305" t="s">
        <v>2617</v>
      </c>
      <c r="C1305" t="s">
        <v>78</v>
      </c>
      <c r="D1305" t="s">
        <v>78</v>
      </c>
      <c r="E1305" t="s">
        <v>78</v>
      </c>
      <c r="F1305" t="s">
        <v>78</v>
      </c>
      <c r="G1305" t="s">
        <v>78</v>
      </c>
      <c r="H1305">
        <v>0.09</v>
      </c>
      <c r="I1305" s="1">
        <v>0</v>
      </c>
      <c r="J1305" s="1">
        <v>0</v>
      </c>
      <c r="K1305">
        <v>0</v>
      </c>
      <c r="L1305">
        <v>0.09</v>
      </c>
      <c r="M1305">
        <v>0.1</v>
      </c>
      <c r="N1305" s="1">
        <v>5000000</v>
      </c>
      <c r="O1305">
        <v>0.1</v>
      </c>
      <c r="P1305">
        <v>0.72</v>
      </c>
      <c r="Q1305">
        <v>0.01</v>
      </c>
    </row>
    <row r="1306" spans="1:17" x14ac:dyDescent="0.25">
      <c r="A1306">
        <v>729596</v>
      </c>
      <c r="B1306" t="s">
        <v>2618</v>
      </c>
      <c r="C1306" t="s">
        <v>78</v>
      </c>
      <c r="D1306" t="s">
        <v>78</v>
      </c>
      <c r="E1306" t="s">
        <v>78</v>
      </c>
      <c r="F1306" t="s">
        <v>78</v>
      </c>
      <c r="G1306" t="s">
        <v>78</v>
      </c>
      <c r="H1306">
        <v>0.12</v>
      </c>
      <c r="I1306" s="1">
        <v>0</v>
      </c>
      <c r="J1306" s="1">
        <v>0</v>
      </c>
      <c r="K1306">
        <v>0</v>
      </c>
      <c r="L1306">
        <v>0.04</v>
      </c>
      <c r="M1306">
        <v>0.05</v>
      </c>
      <c r="N1306" s="1">
        <v>10000000</v>
      </c>
      <c r="O1306">
        <v>0.05</v>
      </c>
      <c r="P1306">
        <v>0.35</v>
      </c>
      <c r="Q1306">
        <v>0.01</v>
      </c>
    </row>
    <row r="1307" spans="1:17" x14ac:dyDescent="0.25">
      <c r="A1307">
        <v>729619</v>
      </c>
      <c r="B1307" t="s">
        <v>2619</v>
      </c>
      <c r="C1307">
        <v>0.12</v>
      </c>
      <c r="D1307">
        <v>0.03</v>
      </c>
      <c r="E1307">
        <v>0.11</v>
      </c>
      <c r="F1307">
        <v>0.13</v>
      </c>
      <c r="G1307">
        <v>0.11</v>
      </c>
      <c r="H1307">
        <v>0.12</v>
      </c>
      <c r="I1307" s="1">
        <v>256000</v>
      </c>
      <c r="J1307" s="1">
        <v>29620</v>
      </c>
      <c r="K1307">
        <v>9</v>
      </c>
      <c r="L1307">
        <v>0.11</v>
      </c>
      <c r="M1307">
        <v>0.12</v>
      </c>
      <c r="N1307" s="1">
        <v>5000000</v>
      </c>
      <c r="O1307">
        <v>0.12</v>
      </c>
      <c r="P1307">
        <v>0.86</v>
      </c>
      <c r="Q1307">
        <v>0.01</v>
      </c>
    </row>
    <row r="1308" spans="1:17" x14ac:dyDescent="0.25">
      <c r="A1308">
        <v>729625</v>
      </c>
      <c r="B1308" t="s">
        <v>2620</v>
      </c>
      <c r="C1308" t="s">
        <v>78</v>
      </c>
      <c r="D1308" t="s">
        <v>78</v>
      </c>
      <c r="E1308" t="s">
        <v>78</v>
      </c>
      <c r="F1308" t="s">
        <v>78</v>
      </c>
      <c r="G1308" t="s">
        <v>78</v>
      </c>
      <c r="H1308">
        <v>0.28999999999999998</v>
      </c>
      <c r="I1308" s="1">
        <v>0</v>
      </c>
      <c r="J1308" s="1">
        <v>0</v>
      </c>
      <c r="K1308">
        <v>0</v>
      </c>
      <c r="L1308">
        <v>0.25</v>
      </c>
      <c r="M1308">
        <v>0.28000000000000003</v>
      </c>
      <c r="N1308" s="1">
        <v>10000000</v>
      </c>
      <c r="O1308">
        <v>0.28000000000000003</v>
      </c>
      <c r="P1308">
        <v>0.86</v>
      </c>
      <c r="Q1308">
        <v>0.01</v>
      </c>
    </row>
    <row r="1309" spans="1:17" x14ac:dyDescent="0.25">
      <c r="A1309">
        <v>729627</v>
      </c>
      <c r="B1309" t="s">
        <v>2621</v>
      </c>
      <c r="C1309">
        <v>0.02</v>
      </c>
      <c r="D1309">
        <v>0</v>
      </c>
      <c r="E1309">
        <v>0.02</v>
      </c>
      <c r="F1309">
        <v>0.02</v>
      </c>
      <c r="G1309">
        <v>0.02</v>
      </c>
      <c r="H1309">
        <v>0.02</v>
      </c>
      <c r="I1309" s="1">
        <v>100000</v>
      </c>
      <c r="J1309" s="1">
        <v>2000</v>
      </c>
      <c r="K1309">
        <v>1</v>
      </c>
      <c r="L1309">
        <v>0.02</v>
      </c>
      <c r="M1309">
        <v>0.03</v>
      </c>
      <c r="N1309" s="1">
        <v>10000000</v>
      </c>
      <c r="O1309">
        <v>0.02</v>
      </c>
      <c r="P1309">
        <v>0.44</v>
      </c>
      <c r="Q1309">
        <v>0.01</v>
      </c>
    </row>
    <row r="1310" spans="1:17" x14ac:dyDescent="0.25">
      <c r="A1310">
        <v>729628</v>
      </c>
      <c r="B1310" t="s">
        <v>2622</v>
      </c>
      <c r="C1310">
        <v>0.27</v>
      </c>
      <c r="D1310">
        <v>0</v>
      </c>
      <c r="E1310">
        <v>0.28000000000000003</v>
      </c>
      <c r="F1310">
        <v>0.32</v>
      </c>
      <c r="G1310">
        <v>0.27</v>
      </c>
      <c r="H1310">
        <v>0.3</v>
      </c>
      <c r="I1310" s="1">
        <v>93000</v>
      </c>
      <c r="J1310" s="1">
        <v>27650</v>
      </c>
      <c r="K1310">
        <v>9</v>
      </c>
      <c r="L1310">
        <v>0.25</v>
      </c>
      <c r="M1310">
        <v>0.27</v>
      </c>
      <c r="N1310" s="1">
        <v>10000000</v>
      </c>
      <c r="O1310">
        <v>0.27</v>
      </c>
      <c r="P1310">
        <v>0.64</v>
      </c>
      <c r="Q1310">
        <v>0.01</v>
      </c>
    </row>
    <row r="1311" spans="1:17" x14ac:dyDescent="0.25">
      <c r="A1311">
        <v>729629</v>
      </c>
      <c r="B1311" t="s">
        <v>2623</v>
      </c>
      <c r="C1311" t="s">
        <v>78</v>
      </c>
      <c r="D1311" t="s">
        <v>78</v>
      </c>
      <c r="E1311" t="s">
        <v>78</v>
      </c>
      <c r="F1311" t="s">
        <v>78</v>
      </c>
      <c r="G1311" t="s">
        <v>78</v>
      </c>
      <c r="H1311">
        <v>7.0000000000000007E-2</v>
      </c>
      <c r="I1311" s="1">
        <v>0</v>
      </c>
      <c r="J1311" s="1">
        <v>0</v>
      </c>
      <c r="K1311">
        <v>0</v>
      </c>
      <c r="L1311">
        <v>0.08</v>
      </c>
      <c r="M1311">
        <v>0.1</v>
      </c>
      <c r="N1311" s="1">
        <v>10000000</v>
      </c>
      <c r="O1311">
        <v>0.08</v>
      </c>
      <c r="P1311">
        <v>0.66</v>
      </c>
      <c r="Q1311">
        <v>0.01</v>
      </c>
    </row>
    <row r="1312" spans="1:17" x14ac:dyDescent="0.25">
      <c r="A1312">
        <v>729630</v>
      </c>
      <c r="B1312" t="s">
        <v>2624</v>
      </c>
      <c r="C1312">
        <v>0.11</v>
      </c>
      <c r="D1312">
        <v>-0.05</v>
      </c>
      <c r="E1312">
        <v>0.11</v>
      </c>
      <c r="F1312">
        <v>0.11</v>
      </c>
      <c r="G1312">
        <v>0.11</v>
      </c>
      <c r="H1312">
        <v>0.11</v>
      </c>
      <c r="I1312" s="1">
        <v>40000</v>
      </c>
      <c r="J1312" s="1">
        <v>4400</v>
      </c>
      <c r="K1312">
        <v>2</v>
      </c>
      <c r="L1312">
        <v>0.11</v>
      </c>
      <c r="M1312">
        <v>0.12</v>
      </c>
      <c r="N1312" s="1">
        <v>10000000</v>
      </c>
      <c r="O1312">
        <v>0.11</v>
      </c>
      <c r="P1312">
        <v>1.27</v>
      </c>
      <c r="Q1312">
        <v>0.01</v>
      </c>
    </row>
    <row r="1313" spans="1:17" x14ac:dyDescent="0.25">
      <c r="A1313">
        <v>729631</v>
      </c>
      <c r="B1313" t="s">
        <v>2625</v>
      </c>
      <c r="C1313" t="s">
        <v>78</v>
      </c>
      <c r="D1313" t="s">
        <v>78</v>
      </c>
      <c r="E1313" t="s">
        <v>78</v>
      </c>
      <c r="F1313" t="s">
        <v>78</v>
      </c>
      <c r="G1313" t="s">
        <v>78</v>
      </c>
      <c r="H1313">
        <v>0.42</v>
      </c>
      <c r="I1313" s="1">
        <v>0</v>
      </c>
      <c r="J1313" s="1">
        <v>0</v>
      </c>
      <c r="K1313">
        <v>0</v>
      </c>
      <c r="L1313">
        <v>0.42</v>
      </c>
      <c r="M1313">
        <v>0.43</v>
      </c>
      <c r="N1313" s="1">
        <v>10000000</v>
      </c>
      <c r="O1313">
        <v>0.43</v>
      </c>
      <c r="P1313">
        <v>1.25</v>
      </c>
      <c r="Q1313">
        <v>0.01</v>
      </c>
    </row>
    <row r="1314" spans="1:17" x14ac:dyDescent="0.25">
      <c r="A1314">
        <v>729632</v>
      </c>
      <c r="B1314" t="s">
        <v>2626</v>
      </c>
      <c r="C1314">
        <v>6.55</v>
      </c>
      <c r="D1314">
        <v>-0.05</v>
      </c>
      <c r="E1314">
        <v>6.85</v>
      </c>
      <c r="F1314">
        <v>7.05</v>
      </c>
      <c r="G1314">
        <v>6.55</v>
      </c>
      <c r="H1314">
        <v>6.8</v>
      </c>
      <c r="I1314" s="1">
        <v>18000</v>
      </c>
      <c r="J1314" s="1">
        <v>122400</v>
      </c>
      <c r="K1314">
        <v>3</v>
      </c>
      <c r="L1314">
        <v>6.55</v>
      </c>
      <c r="M1314">
        <v>6.65</v>
      </c>
      <c r="N1314" s="1">
        <v>10000000</v>
      </c>
      <c r="O1314">
        <v>6.55</v>
      </c>
      <c r="P1314">
        <v>8.15</v>
      </c>
      <c r="Q1314">
        <v>4.91</v>
      </c>
    </row>
    <row r="1315" spans="1:17" x14ac:dyDescent="0.25">
      <c r="A1315">
        <v>729634</v>
      </c>
      <c r="B1315" t="s">
        <v>2627</v>
      </c>
      <c r="C1315">
        <v>0.23</v>
      </c>
      <c r="D1315">
        <v>0</v>
      </c>
      <c r="E1315">
        <v>0.24</v>
      </c>
      <c r="F1315">
        <v>0.24</v>
      </c>
      <c r="G1315">
        <v>0.23</v>
      </c>
      <c r="H1315">
        <v>0.23</v>
      </c>
      <c r="I1315" s="1">
        <v>308000</v>
      </c>
      <c r="J1315" s="1">
        <v>71920</v>
      </c>
      <c r="K1315">
        <v>9</v>
      </c>
      <c r="L1315">
        <v>0.2</v>
      </c>
      <c r="M1315">
        <v>0.21</v>
      </c>
      <c r="N1315" s="1">
        <v>5000000</v>
      </c>
      <c r="O1315">
        <v>0.23</v>
      </c>
      <c r="P1315">
        <v>0.75</v>
      </c>
      <c r="Q1315">
        <v>0.01</v>
      </c>
    </row>
    <row r="1316" spans="1:17" x14ac:dyDescent="0.25">
      <c r="A1316">
        <v>729646</v>
      </c>
      <c r="B1316" t="s">
        <v>2628</v>
      </c>
      <c r="C1316">
        <v>3.62</v>
      </c>
      <c r="D1316">
        <v>0.23</v>
      </c>
      <c r="E1316">
        <v>3.62</v>
      </c>
      <c r="F1316">
        <v>3.62</v>
      </c>
      <c r="G1316">
        <v>3.62</v>
      </c>
      <c r="H1316">
        <v>3.62</v>
      </c>
      <c r="I1316" s="1">
        <v>20000</v>
      </c>
      <c r="J1316" s="1">
        <v>72400</v>
      </c>
      <c r="K1316">
        <v>1</v>
      </c>
      <c r="L1316">
        <v>3.38</v>
      </c>
      <c r="M1316">
        <v>3.42</v>
      </c>
      <c r="N1316" s="1">
        <v>15000000</v>
      </c>
      <c r="O1316">
        <v>3.62</v>
      </c>
      <c r="P1316">
        <v>4.5999999999999996</v>
      </c>
      <c r="Q1316">
        <v>2.64</v>
      </c>
    </row>
    <row r="1317" spans="1:17" x14ac:dyDescent="0.25">
      <c r="A1317">
        <v>729650</v>
      </c>
      <c r="B1317" t="s">
        <v>2629</v>
      </c>
      <c r="C1317" t="s">
        <v>78</v>
      </c>
      <c r="D1317" t="s">
        <v>78</v>
      </c>
      <c r="E1317" t="s">
        <v>78</v>
      </c>
      <c r="F1317" t="s">
        <v>78</v>
      </c>
      <c r="G1317" t="s">
        <v>78</v>
      </c>
      <c r="H1317">
        <v>1.84</v>
      </c>
      <c r="I1317" s="1">
        <v>0</v>
      </c>
      <c r="J1317" s="1">
        <v>0</v>
      </c>
      <c r="K1317">
        <v>0</v>
      </c>
      <c r="L1317">
        <v>0</v>
      </c>
      <c r="M1317">
        <v>4.3499999999999996</v>
      </c>
      <c r="N1317" s="1">
        <v>10000000</v>
      </c>
      <c r="O1317">
        <v>4.3499999999999996</v>
      </c>
      <c r="P1317">
        <v>5.25</v>
      </c>
      <c r="Q1317">
        <v>3.45</v>
      </c>
    </row>
    <row r="1318" spans="1:17" x14ac:dyDescent="0.25">
      <c r="A1318">
        <v>729659</v>
      </c>
      <c r="B1318" t="s">
        <v>2630</v>
      </c>
      <c r="C1318">
        <v>0.05</v>
      </c>
      <c r="D1318">
        <v>0</v>
      </c>
      <c r="E1318">
        <v>0.05</v>
      </c>
      <c r="F1318">
        <v>0.05</v>
      </c>
      <c r="G1318">
        <v>0.05</v>
      </c>
      <c r="H1318">
        <v>0.05</v>
      </c>
      <c r="I1318" s="1">
        <v>19000</v>
      </c>
      <c r="J1318" s="1">
        <v>950</v>
      </c>
      <c r="K1318">
        <v>1</v>
      </c>
      <c r="L1318">
        <v>0.04</v>
      </c>
      <c r="M1318">
        <v>0.05</v>
      </c>
      <c r="N1318" s="1">
        <v>10000000</v>
      </c>
      <c r="O1318">
        <v>0.05</v>
      </c>
      <c r="P1318">
        <v>0.45</v>
      </c>
      <c r="Q1318">
        <v>0.01</v>
      </c>
    </row>
    <row r="1319" spans="1:17" x14ac:dyDescent="0.25">
      <c r="A1319">
        <v>729660</v>
      </c>
      <c r="B1319" t="s">
        <v>2631</v>
      </c>
      <c r="C1319">
        <v>0.12</v>
      </c>
      <c r="D1319">
        <v>0</v>
      </c>
      <c r="E1319">
        <v>0.12</v>
      </c>
      <c r="F1319">
        <v>0.12</v>
      </c>
      <c r="G1319">
        <v>0.12</v>
      </c>
      <c r="H1319">
        <v>0.12</v>
      </c>
      <c r="I1319" s="1">
        <v>20000</v>
      </c>
      <c r="J1319" s="1">
        <v>2400</v>
      </c>
      <c r="K1319">
        <v>1</v>
      </c>
      <c r="L1319">
        <v>0.11</v>
      </c>
      <c r="M1319">
        <v>0.13</v>
      </c>
      <c r="N1319" s="1">
        <v>10000000</v>
      </c>
      <c r="O1319">
        <v>0.12</v>
      </c>
      <c r="P1319">
        <v>0.55000000000000004</v>
      </c>
      <c r="Q1319">
        <v>0.01</v>
      </c>
    </row>
    <row r="1320" spans="1:17" x14ac:dyDescent="0.25">
      <c r="A1320">
        <v>729670</v>
      </c>
      <c r="B1320" t="s">
        <v>2632</v>
      </c>
      <c r="C1320" t="s">
        <v>78</v>
      </c>
      <c r="D1320" t="s">
        <v>78</v>
      </c>
      <c r="E1320" t="s">
        <v>78</v>
      </c>
      <c r="F1320" t="s">
        <v>78</v>
      </c>
      <c r="G1320" t="s">
        <v>78</v>
      </c>
      <c r="H1320">
        <v>0</v>
      </c>
      <c r="I1320" s="1">
        <v>0</v>
      </c>
      <c r="J1320" s="1">
        <v>0</v>
      </c>
      <c r="K1320">
        <v>0</v>
      </c>
      <c r="L1320">
        <v>3.18</v>
      </c>
      <c r="M1320">
        <v>3.28</v>
      </c>
      <c r="N1320" s="1">
        <v>500000</v>
      </c>
      <c r="O1320">
        <v>3.28</v>
      </c>
      <c r="P1320">
        <v>4.51</v>
      </c>
      <c r="Q1320">
        <v>2.0499999999999998</v>
      </c>
    </row>
    <row r="1321" spans="1:17" x14ac:dyDescent="0.25">
      <c r="A1321">
        <v>729681</v>
      </c>
      <c r="B1321" t="s">
        <v>2633</v>
      </c>
      <c r="C1321">
        <v>0.27</v>
      </c>
      <c r="D1321">
        <v>-0.04</v>
      </c>
      <c r="E1321">
        <v>0.28999999999999998</v>
      </c>
      <c r="F1321">
        <v>0.28999999999999998</v>
      </c>
      <c r="G1321">
        <v>0.27</v>
      </c>
      <c r="H1321">
        <v>0.27</v>
      </c>
      <c r="I1321" s="1">
        <v>175000</v>
      </c>
      <c r="J1321" s="1">
        <v>47650</v>
      </c>
      <c r="K1321">
        <v>2</v>
      </c>
      <c r="L1321">
        <v>0.27</v>
      </c>
      <c r="M1321">
        <v>0.28000000000000003</v>
      </c>
      <c r="N1321" s="1">
        <v>10000000</v>
      </c>
      <c r="O1321">
        <v>0.27</v>
      </c>
      <c r="P1321">
        <v>0.54</v>
      </c>
      <c r="Q1321">
        <v>0.01</v>
      </c>
    </row>
    <row r="1322" spans="1:17" x14ac:dyDescent="0.25">
      <c r="A1322">
        <v>729699</v>
      </c>
      <c r="B1322" t="s">
        <v>2634</v>
      </c>
      <c r="C1322" t="s">
        <v>78</v>
      </c>
      <c r="D1322" t="s">
        <v>78</v>
      </c>
      <c r="E1322" t="s">
        <v>78</v>
      </c>
      <c r="F1322" t="s">
        <v>78</v>
      </c>
      <c r="G1322" t="s">
        <v>78</v>
      </c>
      <c r="H1322">
        <v>0.74</v>
      </c>
      <c r="I1322" s="1">
        <v>0</v>
      </c>
      <c r="J1322" s="1">
        <v>0</v>
      </c>
      <c r="K1322">
        <v>0</v>
      </c>
      <c r="L1322">
        <v>0.02</v>
      </c>
      <c r="M1322">
        <v>0.1</v>
      </c>
      <c r="N1322" s="1">
        <v>10000000</v>
      </c>
      <c r="O1322">
        <v>0.1</v>
      </c>
      <c r="P1322">
        <v>0.75</v>
      </c>
      <c r="Q1322">
        <v>0.01</v>
      </c>
    </row>
    <row r="1323" spans="1:17" x14ac:dyDescent="0.25">
      <c r="A1323">
        <v>729728</v>
      </c>
      <c r="B1323" t="s">
        <v>2635</v>
      </c>
      <c r="C1323" t="s">
        <v>78</v>
      </c>
      <c r="D1323" t="s">
        <v>78</v>
      </c>
      <c r="E1323" t="s">
        <v>78</v>
      </c>
      <c r="F1323" t="s">
        <v>78</v>
      </c>
      <c r="G1323" t="s">
        <v>78</v>
      </c>
      <c r="H1323">
        <v>0.22</v>
      </c>
      <c r="I1323" s="1">
        <v>0</v>
      </c>
      <c r="J1323" s="1">
        <v>0</v>
      </c>
      <c r="K1323">
        <v>0</v>
      </c>
      <c r="L1323">
        <v>0</v>
      </c>
      <c r="M1323">
        <v>0.01</v>
      </c>
      <c r="N1323" s="1">
        <v>10000000</v>
      </c>
      <c r="O1323">
        <v>0.01</v>
      </c>
      <c r="P1323">
        <v>0.63</v>
      </c>
      <c r="Q1323">
        <v>0.01</v>
      </c>
    </row>
    <row r="1324" spans="1:17" x14ac:dyDescent="0.25">
      <c r="A1324">
        <v>729731</v>
      </c>
      <c r="B1324" t="s">
        <v>2636</v>
      </c>
      <c r="C1324" t="s">
        <v>78</v>
      </c>
      <c r="D1324" t="s">
        <v>78</v>
      </c>
      <c r="E1324" t="s">
        <v>78</v>
      </c>
      <c r="F1324" t="s">
        <v>78</v>
      </c>
      <c r="G1324" t="s">
        <v>78</v>
      </c>
      <c r="H1324">
        <v>0.21</v>
      </c>
      <c r="I1324" s="1">
        <v>0</v>
      </c>
      <c r="J1324" s="1">
        <v>0</v>
      </c>
      <c r="K1324">
        <v>0</v>
      </c>
      <c r="L1324">
        <v>0.17</v>
      </c>
      <c r="M1324">
        <v>0.18</v>
      </c>
      <c r="N1324" s="1">
        <v>10000000</v>
      </c>
      <c r="O1324">
        <v>0.18</v>
      </c>
      <c r="P1324">
        <v>0.41</v>
      </c>
      <c r="Q1324">
        <v>0.01</v>
      </c>
    </row>
    <row r="1325" spans="1:17" x14ac:dyDescent="0.25">
      <c r="A1325">
        <v>729736</v>
      </c>
      <c r="B1325" t="s">
        <v>2637</v>
      </c>
      <c r="C1325" t="s">
        <v>78</v>
      </c>
      <c r="D1325" t="s">
        <v>78</v>
      </c>
      <c r="E1325" t="s">
        <v>78</v>
      </c>
      <c r="F1325" t="s">
        <v>78</v>
      </c>
      <c r="G1325" t="s">
        <v>78</v>
      </c>
      <c r="H1325">
        <v>0.28000000000000003</v>
      </c>
      <c r="I1325" s="1">
        <v>0</v>
      </c>
      <c r="J1325" s="1">
        <v>0</v>
      </c>
      <c r="K1325">
        <v>0</v>
      </c>
      <c r="L1325">
        <v>0.26</v>
      </c>
      <c r="M1325">
        <v>0.27</v>
      </c>
      <c r="N1325" s="1">
        <v>10000000</v>
      </c>
      <c r="O1325">
        <v>0.27</v>
      </c>
      <c r="P1325">
        <v>0.66</v>
      </c>
      <c r="Q1325">
        <v>0.01</v>
      </c>
    </row>
    <row r="1326" spans="1:17" x14ac:dyDescent="0.25">
      <c r="A1326">
        <v>729754</v>
      </c>
      <c r="B1326" t="s">
        <v>2638</v>
      </c>
      <c r="C1326" t="s">
        <v>78</v>
      </c>
      <c r="D1326" t="s">
        <v>78</v>
      </c>
      <c r="E1326" t="s">
        <v>78</v>
      </c>
      <c r="F1326" t="s">
        <v>78</v>
      </c>
      <c r="G1326" t="s">
        <v>78</v>
      </c>
      <c r="H1326">
        <v>3.15</v>
      </c>
      <c r="I1326" s="1">
        <v>0</v>
      </c>
      <c r="J1326" s="1">
        <v>0</v>
      </c>
      <c r="K1326">
        <v>0</v>
      </c>
      <c r="L1326">
        <v>2.86</v>
      </c>
      <c r="M1326">
        <v>2.96</v>
      </c>
      <c r="N1326" s="1">
        <v>10000000</v>
      </c>
      <c r="O1326">
        <v>2.94</v>
      </c>
      <c r="P1326">
        <v>3.7</v>
      </c>
      <c r="Q1326">
        <v>2.1800000000000002</v>
      </c>
    </row>
    <row r="1327" spans="1:17" x14ac:dyDescent="0.25">
      <c r="A1327">
        <v>729763</v>
      </c>
      <c r="B1327" t="s">
        <v>2639</v>
      </c>
      <c r="C1327">
        <v>0.53</v>
      </c>
      <c r="D1327">
        <v>0.02</v>
      </c>
      <c r="E1327">
        <v>0.54</v>
      </c>
      <c r="F1327">
        <v>0.54</v>
      </c>
      <c r="G1327">
        <v>0.53</v>
      </c>
      <c r="H1327">
        <v>0.54</v>
      </c>
      <c r="I1327" s="1">
        <v>20000</v>
      </c>
      <c r="J1327" s="1">
        <v>10700</v>
      </c>
      <c r="K1327">
        <v>2</v>
      </c>
      <c r="L1327">
        <v>0.49</v>
      </c>
      <c r="M1327">
        <v>0.51</v>
      </c>
      <c r="N1327" s="1">
        <v>10000000</v>
      </c>
      <c r="O1327">
        <v>0.53</v>
      </c>
      <c r="P1327">
        <v>1</v>
      </c>
      <c r="Q1327">
        <v>0.06</v>
      </c>
    </row>
    <row r="1328" spans="1:17" x14ac:dyDescent="0.25">
      <c r="A1328">
        <v>729764</v>
      </c>
      <c r="B1328" t="s">
        <v>2640</v>
      </c>
      <c r="C1328">
        <v>0.28000000000000003</v>
      </c>
      <c r="D1328">
        <v>-0.03</v>
      </c>
      <c r="E1328">
        <v>0.3</v>
      </c>
      <c r="F1328">
        <v>0.3</v>
      </c>
      <c r="G1328">
        <v>0.28000000000000003</v>
      </c>
      <c r="H1328">
        <v>0.28999999999999998</v>
      </c>
      <c r="I1328" s="1">
        <v>83000</v>
      </c>
      <c r="J1328" s="1">
        <v>23930</v>
      </c>
      <c r="K1328">
        <v>5</v>
      </c>
      <c r="L1328">
        <v>0.26</v>
      </c>
      <c r="M1328">
        <v>0.27</v>
      </c>
      <c r="N1328" s="1">
        <v>5000000</v>
      </c>
      <c r="O1328">
        <v>0.28000000000000003</v>
      </c>
      <c r="P1328">
        <v>0.72</v>
      </c>
      <c r="Q1328">
        <v>0.01</v>
      </c>
    </row>
    <row r="1329" spans="1:17" x14ac:dyDescent="0.25">
      <c r="A1329">
        <v>729766</v>
      </c>
      <c r="B1329" t="s">
        <v>2641</v>
      </c>
      <c r="C1329">
        <v>0.41</v>
      </c>
      <c r="D1329">
        <v>-0.01</v>
      </c>
      <c r="E1329">
        <v>0.43</v>
      </c>
      <c r="F1329">
        <v>0.43</v>
      </c>
      <c r="G1329">
        <v>0.41</v>
      </c>
      <c r="H1329">
        <v>0.42</v>
      </c>
      <c r="I1329" s="1">
        <v>1858000</v>
      </c>
      <c r="J1329" s="1">
        <v>771270</v>
      </c>
      <c r="K1329">
        <v>24</v>
      </c>
      <c r="L1329">
        <v>0.4</v>
      </c>
      <c r="M1329">
        <v>0.41</v>
      </c>
      <c r="N1329" s="1">
        <v>10000000</v>
      </c>
      <c r="O1329">
        <v>0.41</v>
      </c>
      <c r="P1329">
        <v>0.63</v>
      </c>
      <c r="Q1329">
        <v>0.19</v>
      </c>
    </row>
    <row r="1330" spans="1:17" x14ac:dyDescent="0.25">
      <c r="A1330">
        <v>729771</v>
      </c>
      <c r="B1330" t="s">
        <v>2642</v>
      </c>
      <c r="C1330">
        <v>3.61</v>
      </c>
      <c r="D1330">
        <v>0.15</v>
      </c>
      <c r="E1330">
        <v>3.61</v>
      </c>
      <c r="F1330">
        <v>3.61</v>
      </c>
      <c r="G1330">
        <v>3.61</v>
      </c>
      <c r="H1330">
        <v>3.61</v>
      </c>
      <c r="I1330" s="1">
        <v>5000</v>
      </c>
      <c r="J1330" s="1">
        <v>18050</v>
      </c>
      <c r="K1330">
        <v>1</v>
      </c>
      <c r="L1330">
        <v>3.06</v>
      </c>
      <c r="M1330">
        <v>3.12</v>
      </c>
      <c r="N1330" s="1">
        <v>10000000</v>
      </c>
      <c r="O1330">
        <v>3.61</v>
      </c>
      <c r="P1330">
        <v>5.3</v>
      </c>
      <c r="Q1330">
        <v>1.91</v>
      </c>
    </row>
    <row r="1331" spans="1:17" x14ac:dyDescent="0.25">
      <c r="A1331">
        <v>729777</v>
      </c>
      <c r="B1331" t="s">
        <v>2643</v>
      </c>
      <c r="C1331" t="s">
        <v>78</v>
      </c>
      <c r="D1331" t="s">
        <v>78</v>
      </c>
      <c r="E1331" t="s">
        <v>78</v>
      </c>
      <c r="F1331" t="s">
        <v>78</v>
      </c>
      <c r="G1331" t="s">
        <v>78</v>
      </c>
      <c r="H1331">
        <v>0.08</v>
      </c>
      <c r="I1331" s="1">
        <v>0</v>
      </c>
      <c r="J1331" s="1">
        <v>0</v>
      </c>
      <c r="K1331">
        <v>0</v>
      </c>
      <c r="L1331">
        <v>0.04</v>
      </c>
      <c r="M1331">
        <v>0.13</v>
      </c>
      <c r="N1331" s="1">
        <v>10000000</v>
      </c>
      <c r="O1331">
        <v>0.13</v>
      </c>
      <c r="P1331">
        <v>0.46</v>
      </c>
      <c r="Q1331">
        <v>0.01</v>
      </c>
    </row>
    <row r="1332" spans="1:17" x14ac:dyDescent="0.25">
      <c r="A1332">
        <v>729804</v>
      </c>
      <c r="B1332" t="s">
        <v>2644</v>
      </c>
      <c r="C1332">
        <v>7.0000000000000007E-2</v>
      </c>
      <c r="D1332">
        <v>0</v>
      </c>
      <c r="E1332">
        <v>7.0000000000000007E-2</v>
      </c>
      <c r="F1332">
        <v>7.0000000000000007E-2</v>
      </c>
      <c r="G1332">
        <v>7.0000000000000007E-2</v>
      </c>
      <c r="H1332">
        <v>7.0000000000000007E-2</v>
      </c>
      <c r="I1332" s="1">
        <v>3000</v>
      </c>
      <c r="J1332" s="1">
        <v>210</v>
      </c>
      <c r="K1332">
        <v>1</v>
      </c>
      <c r="L1332">
        <v>0.06</v>
      </c>
      <c r="M1332">
        <v>7.0000000000000007E-2</v>
      </c>
      <c r="N1332" s="1">
        <v>10000000</v>
      </c>
      <c r="O1332">
        <v>7.0000000000000007E-2</v>
      </c>
      <c r="P1332">
        <v>0.56000000000000005</v>
      </c>
      <c r="Q1332">
        <v>0.01</v>
      </c>
    </row>
    <row r="1333" spans="1:17" x14ac:dyDescent="0.25">
      <c r="A1333">
        <v>729807</v>
      </c>
      <c r="B1333" t="s">
        <v>2645</v>
      </c>
      <c r="C1333">
        <v>0.01</v>
      </c>
      <c r="D1333">
        <v>0</v>
      </c>
      <c r="E1333">
        <v>0.01</v>
      </c>
      <c r="F1333">
        <v>0.01</v>
      </c>
      <c r="G1333">
        <v>0.01</v>
      </c>
      <c r="H1333">
        <v>0.01</v>
      </c>
      <c r="I1333" s="1">
        <v>5000</v>
      </c>
      <c r="J1333" s="1">
        <v>50</v>
      </c>
      <c r="K1333">
        <v>1</v>
      </c>
      <c r="L1333">
        <v>0.01</v>
      </c>
      <c r="M1333">
        <v>0.02</v>
      </c>
      <c r="N1333" s="1">
        <v>10000000</v>
      </c>
      <c r="O1333">
        <v>0.01</v>
      </c>
      <c r="P1333">
        <v>0.47</v>
      </c>
      <c r="Q1333">
        <v>0.01</v>
      </c>
    </row>
    <row r="1334" spans="1:17" x14ac:dyDescent="0.25">
      <c r="A1334">
        <v>729808</v>
      </c>
      <c r="B1334" t="s">
        <v>2646</v>
      </c>
      <c r="C1334" t="s">
        <v>78</v>
      </c>
      <c r="D1334" t="s">
        <v>78</v>
      </c>
      <c r="E1334" t="s">
        <v>78</v>
      </c>
      <c r="F1334" t="s">
        <v>78</v>
      </c>
      <c r="G1334" t="s">
        <v>78</v>
      </c>
      <c r="H1334">
        <v>2.54</v>
      </c>
      <c r="I1334" s="1">
        <v>0</v>
      </c>
      <c r="J1334" s="1">
        <v>0</v>
      </c>
      <c r="K1334">
        <v>0</v>
      </c>
      <c r="L1334">
        <v>2.39</v>
      </c>
      <c r="M1334">
        <v>2.4500000000000002</v>
      </c>
      <c r="N1334" s="1">
        <v>10000000</v>
      </c>
      <c r="O1334">
        <v>2.4500000000000002</v>
      </c>
      <c r="P1334">
        <v>3.37</v>
      </c>
      <c r="Q1334">
        <v>1.53</v>
      </c>
    </row>
    <row r="1335" spans="1:17" x14ac:dyDescent="0.25">
      <c r="A1335">
        <v>729809</v>
      </c>
      <c r="B1335" t="s">
        <v>2647</v>
      </c>
      <c r="C1335">
        <v>2.35</v>
      </c>
      <c r="D1335">
        <v>0.85</v>
      </c>
      <c r="E1335">
        <v>1.61</v>
      </c>
      <c r="F1335">
        <v>2.35</v>
      </c>
      <c r="G1335">
        <v>1.61</v>
      </c>
      <c r="H1335">
        <v>1.83</v>
      </c>
      <c r="I1335" s="1">
        <v>74000</v>
      </c>
      <c r="J1335" s="1">
        <v>135330</v>
      </c>
      <c r="K1335">
        <v>10</v>
      </c>
      <c r="L1335">
        <v>1.68</v>
      </c>
      <c r="M1335">
        <v>2</v>
      </c>
      <c r="N1335" s="1">
        <v>10000000</v>
      </c>
      <c r="O1335">
        <v>2.35</v>
      </c>
      <c r="P1335">
        <v>4.26</v>
      </c>
      <c r="Q1335">
        <v>0.44</v>
      </c>
    </row>
    <row r="1336" spans="1:17" x14ac:dyDescent="0.25">
      <c r="A1336">
        <v>729826</v>
      </c>
      <c r="B1336" t="s">
        <v>2648</v>
      </c>
      <c r="C1336">
        <v>0.46</v>
      </c>
      <c r="D1336">
        <v>-0.02</v>
      </c>
      <c r="E1336">
        <v>0.5</v>
      </c>
      <c r="F1336">
        <v>0.51</v>
      </c>
      <c r="G1336">
        <v>0.46</v>
      </c>
      <c r="H1336">
        <v>0.47</v>
      </c>
      <c r="I1336" s="1">
        <v>917000</v>
      </c>
      <c r="J1336" s="1">
        <v>428900</v>
      </c>
      <c r="K1336">
        <v>12</v>
      </c>
      <c r="L1336">
        <v>0.46</v>
      </c>
      <c r="M1336">
        <v>0.47</v>
      </c>
      <c r="N1336" s="1">
        <v>10000000</v>
      </c>
      <c r="O1336">
        <v>0.46</v>
      </c>
      <c r="P1336">
        <v>0.8</v>
      </c>
      <c r="Q1336">
        <v>0.12</v>
      </c>
    </row>
    <row r="1337" spans="1:17" x14ac:dyDescent="0.25">
      <c r="A1337">
        <v>729840</v>
      </c>
      <c r="B1337" t="s">
        <v>2649</v>
      </c>
      <c r="C1337" t="s">
        <v>78</v>
      </c>
      <c r="D1337" t="s">
        <v>78</v>
      </c>
      <c r="E1337" t="s">
        <v>78</v>
      </c>
      <c r="F1337" t="s">
        <v>78</v>
      </c>
      <c r="G1337" t="s">
        <v>78</v>
      </c>
      <c r="H1337">
        <v>0.35</v>
      </c>
      <c r="I1337" s="1">
        <v>0</v>
      </c>
      <c r="J1337" s="1">
        <v>0</v>
      </c>
      <c r="K1337">
        <v>0</v>
      </c>
      <c r="L1337">
        <v>0.32</v>
      </c>
      <c r="M1337">
        <v>0.33</v>
      </c>
      <c r="N1337" s="1">
        <v>10000000</v>
      </c>
      <c r="O1337">
        <v>0.33</v>
      </c>
      <c r="P1337">
        <v>1.05</v>
      </c>
      <c r="Q1337">
        <v>0.01</v>
      </c>
    </row>
    <row r="1338" spans="1:17" x14ac:dyDescent="0.25">
      <c r="A1338">
        <v>729850</v>
      </c>
      <c r="B1338" t="s">
        <v>2650</v>
      </c>
      <c r="C1338" t="s">
        <v>78</v>
      </c>
      <c r="D1338" t="s">
        <v>78</v>
      </c>
      <c r="E1338" t="s">
        <v>78</v>
      </c>
      <c r="F1338" t="s">
        <v>78</v>
      </c>
      <c r="G1338" t="s">
        <v>78</v>
      </c>
      <c r="H1338">
        <v>0.06</v>
      </c>
      <c r="I1338" s="1">
        <v>0</v>
      </c>
      <c r="J1338" s="1">
        <v>0</v>
      </c>
      <c r="K1338">
        <v>0</v>
      </c>
      <c r="L1338">
        <v>0.03</v>
      </c>
      <c r="M1338">
        <v>0.05</v>
      </c>
      <c r="N1338" s="1">
        <v>10000000</v>
      </c>
      <c r="O1338">
        <v>0.03</v>
      </c>
      <c r="P1338">
        <v>0.47</v>
      </c>
      <c r="Q1338">
        <v>0.01</v>
      </c>
    </row>
    <row r="1339" spans="1:17" x14ac:dyDescent="0.25">
      <c r="A1339">
        <v>729855</v>
      </c>
      <c r="B1339" t="s">
        <v>2651</v>
      </c>
      <c r="C1339">
        <v>0.43</v>
      </c>
      <c r="D1339">
        <v>-0.05</v>
      </c>
      <c r="E1339">
        <v>0.43</v>
      </c>
      <c r="F1339">
        <v>0.43</v>
      </c>
      <c r="G1339">
        <v>0.43</v>
      </c>
      <c r="H1339">
        <v>0.43</v>
      </c>
      <c r="I1339" s="1">
        <v>100000</v>
      </c>
      <c r="J1339" s="1">
        <v>43000</v>
      </c>
      <c r="K1339">
        <v>1</v>
      </c>
      <c r="L1339">
        <v>0.43</v>
      </c>
      <c r="M1339">
        <v>0.44</v>
      </c>
      <c r="N1339" s="1">
        <v>10000000</v>
      </c>
      <c r="O1339">
        <v>0.43</v>
      </c>
      <c r="P1339">
        <v>1.27</v>
      </c>
      <c r="Q1339">
        <v>0.01</v>
      </c>
    </row>
    <row r="1340" spans="1:17" x14ac:dyDescent="0.25">
      <c r="A1340">
        <v>729875</v>
      </c>
      <c r="B1340" t="s">
        <v>2652</v>
      </c>
      <c r="C1340" t="s">
        <v>78</v>
      </c>
      <c r="D1340" t="s">
        <v>78</v>
      </c>
      <c r="E1340" t="s">
        <v>78</v>
      </c>
      <c r="F1340" t="s">
        <v>78</v>
      </c>
      <c r="G1340" t="s">
        <v>78</v>
      </c>
      <c r="H1340">
        <v>0.08</v>
      </c>
      <c r="I1340" s="1">
        <v>0</v>
      </c>
      <c r="J1340" s="1">
        <v>0</v>
      </c>
      <c r="K1340">
        <v>0</v>
      </c>
      <c r="L1340">
        <v>7.0000000000000007E-2</v>
      </c>
      <c r="M1340">
        <v>0.08</v>
      </c>
      <c r="N1340" s="1">
        <v>10000000</v>
      </c>
      <c r="O1340">
        <v>0.08</v>
      </c>
      <c r="P1340">
        <v>1.03</v>
      </c>
      <c r="Q1340">
        <v>0.01</v>
      </c>
    </row>
    <row r="1341" spans="1:17" x14ac:dyDescent="0.25">
      <c r="A1341">
        <v>729879</v>
      </c>
      <c r="B1341" t="s">
        <v>2653</v>
      </c>
      <c r="C1341" t="s">
        <v>78</v>
      </c>
      <c r="D1341" t="s">
        <v>78</v>
      </c>
      <c r="E1341" t="s">
        <v>78</v>
      </c>
      <c r="F1341" t="s">
        <v>78</v>
      </c>
      <c r="G1341" t="s">
        <v>78</v>
      </c>
      <c r="H1341">
        <v>1.54</v>
      </c>
      <c r="I1341" s="1">
        <v>0</v>
      </c>
      <c r="J1341" s="1">
        <v>0</v>
      </c>
      <c r="K1341">
        <v>0</v>
      </c>
      <c r="L1341">
        <v>1.47</v>
      </c>
      <c r="M1341">
        <v>1.52</v>
      </c>
      <c r="N1341" s="1">
        <v>15000000</v>
      </c>
      <c r="O1341">
        <v>1.52</v>
      </c>
      <c r="P1341">
        <v>2.38</v>
      </c>
      <c r="Q1341">
        <v>0.66</v>
      </c>
    </row>
    <row r="1342" spans="1:17" x14ac:dyDescent="0.25">
      <c r="A1342">
        <v>729909</v>
      </c>
      <c r="B1342" t="s">
        <v>2654</v>
      </c>
      <c r="C1342" t="s">
        <v>78</v>
      </c>
      <c r="D1342" t="s">
        <v>78</v>
      </c>
      <c r="E1342" t="s">
        <v>78</v>
      </c>
      <c r="F1342" t="s">
        <v>78</v>
      </c>
      <c r="G1342" t="s">
        <v>78</v>
      </c>
      <c r="H1342">
        <v>0.04</v>
      </c>
      <c r="I1342" s="1">
        <v>0</v>
      </c>
      <c r="J1342" s="1">
        <v>0</v>
      </c>
      <c r="K1342">
        <v>0</v>
      </c>
      <c r="L1342">
        <v>0.01</v>
      </c>
      <c r="M1342">
        <v>0.02</v>
      </c>
      <c r="N1342" s="1">
        <v>5000000</v>
      </c>
      <c r="O1342">
        <v>0.02</v>
      </c>
      <c r="P1342">
        <v>0.88</v>
      </c>
      <c r="Q1342">
        <v>0.01</v>
      </c>
    </row>
    <row r="1343" spans="1:17" x14ac:dyDescent="0.25">
      <c r="A1343">
        <v>729917</v>
      </c>
      <c r="B1343" t="s">
        <v>2655</v>
      </c>
      <c r="C1343" t="s">
        <v>78</v>
      </c>
      <c r="D1343" t="s">
        <v>78</v>
      </c>
      <c r="E1343" t="s">
        <v>78</v>
      </c>
      <c r="F1343" t="s">
        <v>78</v>
      </c>
      <c r="G1343" t="s">
        <v>78</v>
      </c>
      <c r="H1343">
        <v>0.02</v>
      </c>
      <c r="I1343" s="1">
        <v>0</v>
      </c>
      <c r="J1343" s="1">
        <v>0</v>
      </c>
      <c r="K1343">
        <v>0</v>
      </c>
      <c r="L1343">
        <v>0</v>
      </c>
      <c r="M1343">
        <v>0.02</v>
      </c>
      <c r="N1343" s="1">
        <v>10000000</v>
      </c>
      <c r="O1343">
        <v>0.02</v>
      </c>
      <c r="P1343">
        <v>1.49</v>
      </c>
      <c r="Q1343">
        <v>0.01</v>
      </c>
    </row>
    <row r="1344" spans="1:17" x14ac:dyDescent="0.25">
      <c r="A1344">
        <v>729927</v>
      </c>
      <c r="B1344" t="s">
        <v>2656</v>
      </c>
      <c r="C1344">
        <v>0.49</v>
      </c>
      <c r="D1344">
        <v>0</v>
      </c>
      <c r="E1344">
        <v>0.51</v>
      </c>
      <c r="F1344">
        <v>0.51</v>
      </c>
      <c r="G1344">
        <v>0.49</v>
      </c>
      <c r="H1344">
        <v>0.49</v>
      </c>
      <c r="I1344" s="1">
        <v>578000</v>
      </c>
      <c r="J1344" s="1">
        <v>283920</v>
      </c>
      <c r="K1344">
        <v>4</v>
      </c>
      <c r="L1344">
        <v>0.48</v>
      </c>
      <c r="M1344">
        <v>0.49</v>
      </c>
      <c r="N1344" s="1">
        <v>10000000</v>
      </c>
      <c r="O1344">
        <v>0.49</v>
      </c>
      <c r="P1344">
        <v>0.74</v>
      </c>
      <c r="Q1344">
        <v>0.24</v>
      </c>
    </row>
    <row r="1345" spans="1:17" x14ac:dyDescent="0.25">
      <c r="A1345">
        <v>729929</v>
      </c>
      <c r="B1345" t="s">
        <v>2657</v>
      </c>
      <c r="C1345">
        <v>0.24</v>
      </c>
      <c r="D1345">
        <v>0.02</v>
      </c>
      <c r="E1345">
        <v>0.22</v>
      </c>
      <c r="F1345">
        <v>0.24</v>
      </c>
      <c r="G1345">
        <v>0.22</v>
      </c>
      <c r="H1345">
        <v>0.24</v>
      </c>
      <c r="I1345" s="1">
        <v>8000</v>
      </c>
      <c r="J1345" s="1">
        <v>1880</v>
      </c>
      <c r="K1345">
        <v>2</v>
      </c>
      <c r="L1345">
        <v>0.24</v>
      </c>
      <c r="M1345">
        <v>0.25</v>
      </c>
      <c r="N1345" s="1">
        <v>15000000</v>
      </c>
      <c r="O1345">
        <v>0.24</v>
      </c>
      <c r="P1345">
        <v>0.72</v>
      </c>
      <c r="Q1345">
        <v>0.01</v>
      </c>
    </row>
    <row r="1346" spans="1:17" x14ac:dyDescent="0.25">
      <c r="A1346">
        <v>729942</v>
      </c>
      <c r="B1346" t="s">
        <v>2658</v>
      </c>
      <c r="C1346">
        <v>0.59</v>
      </c>
      <c r="D1346">
        <v>0.01</v>
      </c>
      <c r="E1346">
        <v>0.59</v>
      </c>
      <c r="F1346">
        <v>0.59</v>
      </c>
      <c r="G1346">
        <v>0.59</v>
      </c>
      <c r="H1346">
        <v>0.59</v>
      </c>
      <c r="I1346" s="1">
        <v>10000</v>
      </c>
      <c r="J1346" s="1">
        <v>5900</v>
      </c>
      <c r="K1346">
        <v>1</v>
      </c>
      <c r="L1346">
        <v>0.57999999999999996</v>
      </c>
      <c r="M1346">
        <v>0.59</v>
      </c>
      <c r="N1346" s="1">
        <v>10000000</v>
      </c>
      <c r="O1346">
        <v>0.59</v>
      </c>
      <c r="P1346">
        <v>1.1499999999999999</v>
      </c>
      <c r="Q1346">
        <v>0.03</v>
      </c>
    </row>
    <row r="1347" spans="1:17" x14ac:dyDescent="0.25">
      <c r="A1347">
        <v>729944</v>
      </c>
      <c r="B1347" t="s">
        <v>2659</v>
      </c>
      <c r="C1347">
        <v>0.01</v>
      </c>
      <c r="D1347">
        <v>0</v>
      </c>
      <c r="E1347">
        <v>0.01</v>
      </c>
      <c r="F1347">
        <v>0.01</v>
      </c>
      <c r="G1347">
        <v>0.01</v>
      </c>
      <c r="H1347">
        <v>0.01</v>
      </c>
      <c r="I1347" s="1">
        <v>60000</v>
      </c>
      <c r="J1347" s="1">
        <v>600</v>
      </c>
      <c r="K1347">
        <v>1</v>
      </c>
      <c r="L1347">
        <v>0.01</v>
      </c>
      <c r="M1347">
        <v>0.02</v>
      </c>
      <c r="N1347" s="1">
        <v>10000000</v>
      </c>
      <c r="O1347">
        <v>0.01</v>
      </c>
      <c r="P1347">
        <v>0.96</v>
      </c>
      <c r="Q1347">
        <v>0.01</v>
      </c>
    </row>
    <row r="1348" spans="1:17" x14ac:dyDescent="0.25">
      <c r="A1348">
        <v>729946</v>
      </c>
      <c r="B1348" t="s">
        <v>2660</v>
      </c>
      <c r="C1348" t="s">
        <v>78</v>
      </c>
      <c r="D1348" t="s">
        <v>78</v>
      </c>
      <c r="E1348" t="s">
        <v>78</v>
      </c>
      <c r="F1348" t="s">
        <v>78</v>
      </c>
      <c r="G1348" t="s">
        <v>78</v>
      </c>
      <c r="H1348">
        <v>3.07</v>
      </c>
      <c r="I1348" s="1">
        <v>0</v>
      </c>
      <c r="J1348" s="1">
        <v>0</v>
      </c>
      <c r="K1348">
        <v>0</v>
      </c>
      <c r="L1348">
        <v>2.83</v>
      </c>
      <c r="M1348">
        <v>2.91</v>
      </c>
      <c r="N1348" s="1">
        <v>5000000</v>
      </c>
      <c r="O1348">
        <v>2.91</v>
      </c>
      <c r="P1348">
        <v>3.71</v>
      </c>
      <c r="Q1348">
        <v>2.11</v>
      </c>
    </row>
    <row r="1349" spans="1:17" x14ac:dyDescent="0.25">
      <c r="A1349">
        <v>729949</v>
      </c>
      <c r="B1349" t="s">
        <v>2661</v>
      </c>
      <c r="C1349" t="s">
        <v>78</v>
      </c>
      <c r="D1349" t="s">
        <v>78</v>
      </c>
      <c r="E1349" t="s">
        <v>78</v>
      </c>
      <c r="F1349" t="s">
        <v>78</v>
      </c>
      <c r="G1349" t="s">
        <v>78</v>
      </c>
      <c r="H1349">
        <v>0.01</v>
      </c>
      <c r="I1349" s="1">
        <v>0</v>
      </c>
      <c r="J1349" s="1">
        <v>0</v>
      </c>
      <c r="K1349">
        <v>0</v>
      </c>
      <c r="L1349">
        <v>0</v>
      </c>
      <c r="M1349">
        <v>0.01</v>
      </c>
      <c r="N1349" s="1">
        <v>5000000</v>
      </c>
      <c r="O1349">
        <v>0.01</v>
      </c>
      <c r="P1349">
        <v>0.76</v>
      </c>
      <c r="Q1349">
        <v>0.01</v>
      </c>
    </row>
    <row r="1350" spans="1:17" x14ac:dyDescent="0.25">
      <c r="A1350">
        <v>729950</v>
      </c>
      <c r="B1350" t="s">
        <v>2662</v>
      </c>
      <c r="C1350" t="s">
        <v>78</v>
      </c>
      <c r="D1350" t="s">
        <v>78</v>
      </c>
      <c r="E1350" t="s">
        <v>78</v>
      </c>
      <c r="F1350" t="s">
        <v>78</v>
      </c>
      <c r="G1350" t="s">
        <v>78</v>
      </c>
      <c r="H1350">
        <v>7.95</v>
      </c>
      <c r="I1350" s="1">
        <v>0</v>
      </c>
      <c r="J1350" s="1">
        <v>0</v>
      </c>
      <c r="K1350">
        <v>0</v>
      </c>
      <c r="L1350">
        <v>0</v>
      </c>
      <c r="M1350">
        <v>0</v>
      </c>
      <c r="N1350" s="1">
        <v>5000000</v>
      </c>
      <c r="O1350">
        <v>9.25</v>
      </c>
      <c r="P1350">
        <v>10.6</v>
      </c>
      <c r="Q1350">
        <v>7.85</v>
      </c>
    </row>
    <row r="1351" spans="1:17" x14ac:dyDescent="0.25">
      <c r="A1351">
        <v>729955</v>
      </c>
      <c r="B1351" t="s">
        <v>2663</v>
      </c>
      <c r="C1351" t="s">
        <v>78</v>
      </c>
      <c r="D1351" t="s">
        <v>78</v>
      </c>
      <c r="E1351" t="s">
        <v>78</v>
      </c>
      <c r="F1351" t="s">
        <v>78</v>
      </c>
      <c r="G1351" t="s">
        <v>78</v>
      </c>
      <c r="H1351">
        <v>0.44</v>
      </c>
      <c r="I1351" s="1">
        <v>0</v>
      </c>
      <c r="J1351" s="1">
        <v>0</v>
      </c>
      <c r="K1351">
        <v>0</v>
      </c>
      <c r="L1351">
        <v>0.22</v>
      </c>
      <c r="M1351">
        <v>0.23</v>
      </c>
      <c r="N1351" s="1">
        <v>5043000</v>
      </c>
      <c r="O1351">
        <v>0.23</v>
      </c>
      <c r="P1351">
        <v>0.57999999999999996</v>
      </c>
      <c r="Q1351">
        <v>0.01</v>
      </c>
    </row>
    <row r="1352" spans="1:17" x14ac:dyDescent="0.25">
      <c r="A1352">
        <v>729959</v>
      </c>
      <c r="B1352" t="s">
        <v>2664</v>
      </c>
      <c r="C1352" t="s">
        <v>78</v>
      </c>
      <c r="D1352" t="s">
        <v>78</v>
      </c>
      <c r="E1352" t="s">
        <v>78</v>
      </c>
      <c r="F1352" t="s">
        <v>78</v>
      </c>
      <c r="G1352" t="s">
        <v>78</v>
      </c>
      <c r="H1352">
        <v>0.42</v>
      </c>
      <c r="I1352" s="1">
        <v>0</v>
      </c>
      <c r="J1352" s="1">
        <v>0</v>
      </c>
      <c r="K1352">
        <v>0</v>
      </c>
      <c r="L1352">
        <v>0.1</v>
      </c>
      <c r="M1352">
        <v>0.11</v>
      </c>
      <c r="N1352" s="1">
        <v>10000000</v>
      </c>
      <c r="O1352">
        <v>0.11</v>
      </c>
      <c r="P1352">
        <v>0.99</v>
      </c>
      <c r="Q1352">
        <v>0.01</v>
      </c>
    </row>
    <row r="1353" spans="1:17" x14ac:dyDescent="0.25">
      <c r="A1353">
        <v>729960</v>
      </c>
      <c r="B1353" t="s">
        <v>2665</v>
      </c>
      <c r="C1353">
        <v>2.29</v>
      </c>
      <c r="D1353">
        <v>0.18</v>
      </c>
      <c r="E1353">
        <v>2.29</v>
      </c>
      <c r="F1353">
        <v>2.29</v>
      </c>
      <c r="G1353">
        <v>2.29</v>
      </c>
      <c r="H1353">
        <v>2.29</v>
      </c>
      <c r="I1353" s="1">
        <v>20000</v>
      </c>
      <c r="J1353" s="1">
        <v>45800</v>
      </c>
      <c r="K1353">
        <v>2</v>
      </c>
      <c r="L1353">
        <v>2.29</v>
      </c>
      <c r="M1353">
        <v>0</v>
      </c>
      <c r="N1353" s="1">
        <v>17000000</v>
      </c>
      <c r="O1353">
        <v>2.29</v>
      </c>
      <c r="P1353">
        <v>3.57</v>
      </c>
      <c r="Q1353">
        <v>1.01</v>
      </c>
    </row>
    <row r="1354" spans="1:17" x14ac:dyDescent="0.25">
      <c r="A1354">
        <v>729967</v>
      </c>
      <c r="B1354" t="s">
        <v>2666</v>
      </c>
      <c r="C1354" t="s">
        <v>78</v>
      </c>
      <c r="D1354" t="s">
        <v>78</v>
      </c>
      <c r="E1354" t="s">
        <v>78</v>
      </c>
      <c r="F1354" t="s">
        <v>78</v>
      </c>
      <c r="G1354" t="s">
        <v>78</v>
      </c>
      <c r="H1354">
        <v>4.7699999999999996</v>
      </c>
      <c r="I1354" s="1">
        <v>0</v>
      </c>
      <c r="J1354" s="1">
        <v>0</v>
      </c>
      <c r="K1354">
        <v>0</v>
      </c>
      <c r="L1354">
        <v>5.0999999999999996</v>
      </c>
      <c r="M1354">
        <v>5.15</v>
      </c>
      <c r="N1354" s="1">
        <v>17000000</v>
      </c>
      <c r="O1354">
        <v>5.0999999999999996</v>
      </c>
      <c r="P1354">
        <v>6.45</v>
      </c>
      <c r="Q1354">
        <v>3.75</v>
      </c>
    </row>
    <row r="1355" spans="1:17" x14ac:dyDescent="0.25">
      <c r="A1355">
        <v>729969</v>
      </c>
      <c r="B1355" t="s">
        <v>2667</v>
      </c>
      <c r="C1355" t="s">
        <v>78</v>
      </c>
      <c r="D1355" t="s">
        <v>78</v>
      </c>
      <c r="E1355" t="s">
        <v>78</v>
      </c>
      <c r="F1355" t="s">
        <v>78</v>
      </c>
      <c r="G1355" t="s">
        <v>78</v>
      </c>
      <c r="H1355">
        <v>0.24</v>
      </c>
      <c r="I1355" s="1">
        <v>0</v>
      </c>
      <c r="J1355" s="1">
        <v>0</v>
      </c>
      <c r="K1355">
        <v>0</v>
      </c>
      <c r="L1355">
        <v>0.1</v>
      </c>
      <c r="M1355">
        <v>0.11</v>
      </c>
      <c r="N1355" s="1">
        <v>10000000</v>
      </c>
      <c r="O1355">
        <v>0.1</v>
      </c>
      <c r="P1355">
        <v>0.84</v>
      </c>
      <c r="Q1355">
        <v>0.01</v>
      </c>
    </row>
    <row r="1356" spans="1:17" x14ac:dyDescent="0.25">
      <c r="A1356">
        <v>729970</v>
      </c>
      <c r="B1356" t="s">
        <v>2668</v>
      </c>
      <c r="C1356" t="s">
        <v>78</v>
      </c>
      <c r="D1356" t="s">
        <v>78</v>
      </c>
      <c r="E1356" t="s">
        <v>78</v>
      </c>
      <c r="F1356" t="s">
        <v>78</v>
      </c>
      <c r="G1356" t="s">
        <v>78</v>
      </c>
      <c r="H1356">
        <v>1.03</v>
      </c>
      <c r="I1356" s="1">
        <v>0</v>
      </c>
      <c r="J1356" s="1">
        <v>0</v>
      </c>
      <c r="K1356">
        <v>0</v>
      </c>
      <c r="L1356">
        <v>2.83</v>
      </c>
      <c r="M1356">
        <v>2.91</v>
      </c>
      <c r="N1356" s="1">
        <v>10000000</v>
      </c>
      <c r="O1356">
        <v>2.91</v>
      </c>
      <c r="P1356">
        <v>3.65</v>
      </c>
      <c r="Q1356">
        <v>2.17</v>
      </c>
    </row>
    <row r="1357" spans="1:17" x14ac:dyDescent="0.25">
      <c r="A1357">
        <v>729971</v>
      </c>
      <c r="B1357" t="s">
        <v>2669</v>
      </c>
      <c r="C1357">
        <v>0.22</v>
      </c>
      <c r="D1357">
        <v>-0.16</v>
      </c>
      <c r="E1357">
        <v>0.22</v>
      </c>
      <c r="F1357">
        <v>0.22</v>
      </c>
      <c r="G1357">
        <v>0.22</v>
      </c>
      <c r="H1357">
        <v>0.22</v>
      </c>
      <c r="I1357" s="1">
        <v>100000</v>
      </c>
      <c r="J1357" s="1">
        <v>22000</v>
      </c>
      <c r="K1357">
        <v>1</v>
      </c>
      <c r="L1357">
        <v>0.24</v>
      </c>
      <c r="M1357">
        <v>0.25</v>
      </c>
      <c r="N1357" s="1">
        <v>5000000</v>
      </c>
      <c r="O1357">
        <v>0.22</v>
      </c>
      <c r="P1357">
        <v>1.94</v>
      </c>
      <c r="Q1357">
        <v>0.01</v>
      </c>
    </row>
    <row r="1358" spans="1:17" x14ac:dyDescent="0.25">
      <c r="A1358">
        <v>729977</v>
      </c>
      <c r="B1358" t="s">
        <v>2670</v>
      </c>
      <c r="C1358">
        <v>3.65</v>
      </c>
      <c r="D1358">
        <v>0.21</v>
      </c>
      <c r="E1358">
        <v>3.68</v>
      </c>
      <c r="F1358">
        <v>3.68</v>
      </c>
      <c r="G1358">
        <v>3.65</v>
      </c>
      <c r="H1358">
        <v>3.66</v>
      </c>
      <c r="I1358" s="1">
        <v>30000</v>
      </c>
      <c r="J1358" s="1">
        <v>109900</v>
      </c>
      <c r="K1358">
        <v>3</v>
      </c>
      <c r="L1358">
        <v>3.33</v>
      </c>
      <c r="M1358">
        <v>3.34</v>
      </c>
      <c r="N1358" s="1">
        <v>5000000</v>
      </c>
      <c r="O1358">
        <v>3.65</v>
      </c>
      <c r="P1358">
        <v>4.83</v>
      </c>
      <c r="Q1358">
        <v>2.4700000000000002</v>
      </c>
    </row>
    <row r="1359" spans="1:17" x14ac:dyDescent="0.25">
      <c r="A1359">
        <v>729983</v>
      </c>
      <c r="B1359" t="s">
        <v>2671</v>
      </c>
      <c r="C1359" t="s">
        <v>78</v>
      </c>
      <c r="D1359" t="s">
        <v>78</v>
      </c>
      <c r="E1359" t="s">
        <v>78</v>
      </c>
      <c r="F1359" t="s">
        <v>78</v>
      </c>
      <c r="G1359" t="s">
        <v>78</v>
      </c>
      <c r="H1359">
        <v>0.02</v>
      </c>
      <c r="I1359" s="1">
        <v>0</v>
      </c>
      <c r="J1359" s="1">
        <v>0</v>
      </c>
      <c r="K1359">
        <v>0</v>
      </c>
      <c r="L1359">
        <v>0</v>
      </c>
      <c r="M1359">
        <v>0.01</v>
      </c>
      <c r="N1359" s="1">
        <v>5000000</v>
      </c>
      <c r="O1359">
        <v>0.01</v>
      </c>
      <c r="P1359">
        <v>0.48</v>
      </c>
      <c r="Q1359">
        <v>0.01</v>
      </c>
    </row>
    <row r="1360" spans="1:17" x14ac:dyDescent="0.25">
      <c r="A1360">
        <v>729985</v>
      </c>
      <c r="B1360" t="s">
        <v>2672</v>
      </c>
      <c r="C1360" t="s">
        <v>78</v>
      </c>
      <c r="D1360" t="s">
        <v>78</v>
      </c>
      <c r="E1360" t="s">
        <v>78</v>
      </c>
      <c r="F1360" t="s">
        <v>78</v>
      </c>
      <c r="G1360" t="s">
        <v>78</v>
      </c>
      <c r="H1360">
        <v>0.32</v>
      </c>
      <c r="I1360" s="1">
        <v>0</v>
      </c>
      <c r="J1360" s="1">
        <v>0</v>
      </c>
      <c r="K1360">
        <v>0</v>
      </c>
      <c r="L1360">
        <v>0.25</v>
      </c>
      <c r="M1360">
        <v>0.26</v>
      </c>
      <c r="N1360" s="1">
        <v>10000000</v>
      </c>
      <c r="O1360">
        <v>0.26</v>
      </c>
      <c r="P1360">
        <v>1.26</v>
      </c>
      <c r="Q1360">
        <v>0.01</v>
      </c>
    </row>
    <row r="1361" spans="1:17" x14ac:dyDescent="0.25">
      <c r="A1361">
        <v>729988</v>
      </c>
      <c r="B1361" t="s">
        <v>2673</v>
      </c>
      <c r="C1361" t="s">
        <v>78</v>
      </c>
      <c r="D1361" t="s">
        <v>78</v>
      </c>
      <c r="E1361" t="s">
        <v>78</v>
      </c>
      <c r="F1361" t="s">
        <v>78</v>
      </c>
      <c r="G1361" t="s">
        <v>78</v>
      </c>
      <c r="H1361">
        <v>0.01</v>
      </c>
      <c r="I1361" s="1">
        <v>0</v>
      </c>
      <c r="J1361" s="1">
        <v>0</v>
      </c>
      <c r="K1361">
        <v>0</v>
      </c>
      <c r="L1361">
        <v>0</v>
      </c>
      <c r="M1361">
        <v>0.01</v>
      </c>
      <c r="N1361" s="1">
        <v>10000000</v>
      </c>
      <c r="O1361">
        <v>0.01</v>
      </c>
      <c r="P1361">
        <v>0.27</v>
      </c>
      <c r="Q1361">
        <v>0.01</v>
      </c>
    </row>
    <row r="1362" spans="1:17" x14ac:dyDescent="0.25">
      <c r="A1362">
        <v>729993</v>
      </c>
      <c r="B1362" t="s">
        <v>2674</v>
      </c>
      <c r="C1362">
        <v>0.49</v>
      </c>
      <c r="D1362">
        <v>-0.04</v>
      </c>
      <c r="E1362">
        <v>0.49</v>
      </c>
      <c r="F1362">
        <v>0.49</v>
      </c>
      <c r="G1362">
        <v>0.49</v>
      </c>
      <c r="H1362">
        <v>0.49</v>
      </c>
      <c r="I1362" s="1">
        <v>300000</v>
      </c>
      <c r="J1362" s="1">
        <v>147000</v>
      </c>
      <c r="K1362">
        <v>2</v>
      </c>
      <c r="L1362">
        <v>0.48</v>
      </c>
      <c r="M1362">
        <v>0.49</v>
      </c>
      <c r="N1362" s="1">
        <v>10000000</v>
      </c>
      <c r="O1362">
        <v>0.49</v>
      </c>
      <c r="P1362">
        <v>1.32</v>
      </c>
      <c r="Q1362">
        <v>0.01</v>
      </c>
    </row>
    <row r="1363" spans="1:17" x14ac:dyDescent="0.25">
      <c r="A1363">
        <v>729997</v>
      </c>
      <c r="B1363" t="s">
        <v>2675</v>
      </c>
      <c r="C1363" t="s">
        <v>78</v>
      </c>
      <c r="D1363" t="s">
        <v>78</v>
      </c>
      <c r="E1363" t="s">
        <v>78</v>
      </c>
      <c r="F1363" t="s">
        <v>78</v>
      </c>
      <c r="G1363" t="s">
        <v>78</v>
      </c>
      <c r="H1363">
        <v>0.36</v>
      </c>
      <c r="I1363" s="1">
        <v>0</v>
      </c>
      <c r="J1363" s="1">
        <v>0</v>
      </c>
      <c r="K1363">
        <v>0</v>
      </c>
      <c r="L1363">
        <v>0.28999999999999998</v>
      </c>
      <c r="M1363">
        <v>0.3</v>
      </c>
      <c r="N1363" s="1">
        <v>10000000</v>
      </c>
      <c r="O1363">
        <v>0.3</v>
      </c>
      <c r="P1363">
        <v>0.67</v>
      </c>
      <c r="Q1363">
        <v>0.01</v>
      </c>
    </row>
    <row r="1364" spans="1:17" x14ac:dyDescent="0.25">
      <c r="A1364">
        <v>729998</v>
      </c>
      <c r="B1364" t="s">
        <v>2676</v>
      </c>
      <c r="C1364" t="s">
        <v>78</v>
      </c>
      <c r="D1364" t="s">
        <v>78</v>
      </c>
      <c r="E1364" t="s">
        <v>78</v>
      </c>
      <c r="F1364" t="s">
        <v>78</v>
      </c>
      <c r="G1364" t="s">
        <v>78</v>
      </c>
      <c r="H1364">
        <v>6.78</v>
      </c>
      <c r="I1364" s="1">
        <v>0</v>
      </c>
      <c r="J1364" s="1">
        <v>0</v>
      </c>
      <c r="K1364">
        <v>0</v>
      </c>
      <c r="L1364">
        <v>5.95</v>
      </c>
      <c r="M1364">
        <v>6.45</v>
      </c>
      <c r="N1364" s="1">
        <v>15000000</v>
      </c>
      <c r="O1364">
        <v>6.25</v>
      </c>
      <c r="P1364">
        <v>7.5</v>
      </c>
      <c r="Q1364">
        <v>4.97</v>
      </c>
    </row>
    <row r="1365" spans="1:17" x14ac:dyDescent="0.25">
      <c r="A1365">
        <v>729999</v>
      </c>
      <c r="B1365" t="s">
        <v>2677</v>
      </c>
      <c r="C1365" t="s">
        <v>78</v>
      </c>
      <c r="D1365" t="s">
        <v>78</v>
      </c>
      <c r="E1365" t="s">
        <v>78</v>
      </c>
      <c r="F1365" t="s">
        <v>78</v>
      </c>
      <c r="G1365" t="s">
        <v>78</v>
      </c>
      <c r="H1365">
        <v>0.04</v>
      </c>
      <c r="I1365" s="1">
        <v>0</v>
      </c>
      <c r="J1365" s="1">
        <v>0</v>
      </c>
      <c r="K1365">
        <v>0</v>
      </c>
      <c r="L1365">
        <v>0</v>
      </c>
      <c r="M1365">
        <v>0</v>
      </c>
      <c r="N1365" s="1">
        <v>5000000</v>
      </c>
      <c r="O1365">
        <v>0.04</v>
      </c>
      <c r="P1365">
        <v>0.61</v>
      </c>
      <c r="Q1365">
        <v>0.01</v>
      </c>
    </row>
    <row r="1366" spans="1:17" x14ac:dyDescent="0.25">
      <c r="A1366">
        <v>730000</v>
      </c>
      <c r="B1366" t="s">
        <v>2678</v>
      </c>
      <c r="C1366">
        <v>0.1</v>
      </c>
      <c r="D1366">
        <v>-0.02</v>
      </c>
      <c r="E1366">
        <v>0.1</v>
      </c>
      <c r="F1366">
        <v>0.1</v>
      </c>
      <c r="G1366">
        <v>0.1</v>
      </c>
      <c r="H1366">
        <v>0.1</v>
      </c>
      <c r="I1366" s="1">
        <v>5000</v>
      </c>
      <c r="J1366" s="1">
        <v>500</v>
      </c>
      <c r="K1366">
        <v>1</v>
      </c>
      <c r="L1366">
        <v>0.1</v>
      </c>
      <c r="M1366">
        <v>0.11</v>
      </c>
      <c r="N1366" s="1">
        <v>5000000</v>
      </c>
      <c r="O1366">
        <v>0.1</v>
      </c>
      <c r="P1366">
        <v>0.56999999999999995</v>
      </c>
      <c r="Q1366">
        <v>0.01</v>
      </c>
    </row>
    <row r="1367" spans="1:17" x14ac:dyDescent="0.25">
      <c r="A1367">
        <v>730002</v>
      </c>
      <c r="B1367" t="s">
        <v>2679</v>
      </c>
      <c r="C1367" t="s">
        <v>78</v>
      </c>
      <c r="D1367" t="s">
        <v>78</v>
      </c>
      <c r="E1367" t="s">
        <v>78</v>
      </c>
      <c r="F1367" t="s">
        <v>78</v>
      </c>
      <c r="G1367" t="s">
        <v>78</v>
      </c>
      <c r="H1367">
        <v>0.02</v>
      </c>
      <c r="I1367" s="1">
        <v>0</v>
      </c>
      <c r="J1367" s="1">
        <v>0</v>
      </c>
      <c r="K1367">
        <v>0</v>
      </c>
      <c r="L1367">
        <v>0.01</v>
      </c>
      <c r="M1367">
        <v>0.02</v>
      </c>
      <c r="N1367" s="1">
        <v>5000000</v>
      </c>
      <c r="O1367">
        <v>0.01</v>
      </c>
      <c r="P1367">
        <v>0.71</v>
      </c>
      <c r="Q1367">
        <v>0.01</v>
      </c>
    </row>
    <row r="1368" spans="1:17" x14ac:dyDescent="0.25">
      <c r="A1368">
        <v>730003</v>
      </c>
      <c r="B1368" t="s">
        <v>2680</v>
      </c>
      <c r="C1368">
        <v>0.01</v>
      </c>
      <c r="D1368">
        <v>0</v>
      </c>
      <c r="E1368">
        <v>0.01</v>
      </c>
      <c r="F1368">
        <v>0.01</v>
      </c>
      <c r="G1368">
        <v>0.01</v>
      </c>
      <c r="H1368">
        <v>0.01</v>
      </c>
      <c r="I1368" s="1">
        <v>10000</v>
      </c>
      <c r="J1368" s="1">
        <v>100</v>
      </c>
      <c r="K1368">
        <v>1</v>
      </c>
      <c r="L1368">
        <v>0</v>
      </c>
      <c r="M1368">
        <v>0.01</v>
      </c>
      <c r="N1368" s="1">
        <v>10000000</v>
      </c>
      <c r="O1368">
        <v>0.01</v>
      </c>
      <c r="P1368">
        <v>1.8</v>
      </c>
      <c r="Q1368">
        <v>0.01</v>
      </c>
    </row>
    <row r="1369" spans="1:17" x14ac:dyDescent="0.25">
      <c r="A1369">
        <v>730004</v>
      </c>
      <c r="B1369" t="s">
        <v>2681</v>
      </c>
      <c r="C1369" t="s">
        <v>78</v>
      </c>
      <c r="D1369" t="s">
        <v>78</v>
      </c>
      <c r="E1369" t="s">
        <v>78</v>
      </c>
      <c r="F1369" t="s">
        <v>78</v>
      </c>
      <c r="G1369" t="s">
        <v>78</v>
      </c>
      <c r="H1369">
        <v>8.8000000000000007</v>
      </c>
      <c r="I1369" s="1">
        <v>0</v>
      </c>
      <c r="J1369" s="1">
        <v>0</v>
      </c>
      <c r="K1369">
        <v>0</v>
      </c>
      <c r="L1369">
        <v>8.65</v>
      </c>
      <c r="M1369">
        <v>8.9</v>
      </c>
      <c r="N1369" s="1">
        <v>5000000</v>
      </c>
      <c r="O1369">
        <v>8.9</v>
      </c>
      <c r="P1369">
        <v>10.6</v>
      </c>
      <c r="Q1369">
        <v>7.2</v>
      </c>
    </row>
    <row r="1370" spans="1:17" x14ac:dyDescent="0.25">
      <c r="A1370">
        <v>730006</v>
      </c>
      <c r="B1370" t="s">
        <v>2682</v>
      </c>
      <c r="C1370" t="s">
        <v>78</v>
      </c>
      <c r="D1370" t="s">
        <v>78</v>
      </c>
      <c r="E1370" t="s">
        <v>78</v>
      </c>
      <c r="F1370" t="s">
        <v>78</v>
      </c>
      <c r="G1370" t="s">
        <v>78</v>
      </c>
      <c r="H1370">
        <v>0.01</v>
      </c>
      <c r="I1370" s="1">
        <v>0</v>
      </c>
      <c r="J1370" s="1">
        <v>0</v>
      </c>
      <c r="K1370">
        <v>0</v>
      </c>
      <c r="L1370">
        <v>0</v>
      </c>
      <c r="M1370">
        <v>0.03</v>
      </c>
      <c r="N1370" s="1">
        <v>5000000</v>
      </c>
      <c r="O1370">
        <v>0.01</v>
      </c>
      <c r="P1370">
        <v>0.67</v>
      </c>
      <c r="Q1370">
        <v>0.01</v>
      </c>
    </row>
    <row r="1371" spans="1:17" x14ac:dyDescent="0.25">
      <c r="A1371">
        <v>730014</v>
      </c>
      <c r="B1371" t="s">
        <v>2683</v>
      </c>
      <c r="C1371" t="s">
        <v>78</v>
      </c>
      <c r="D1371" t="s">
        <v>78</v>
      </c>
      <c r="E1371" t="s">
        <v>78</v>
      </c>
      <c r="F1371" t="s">
        <v>78</v>
      </c>
      <c r="G1371" t="s">
        <v>78</v>
      </c>
      <c r="H1371">
        <v>2.0099999999999998</v>
      </c>
      <c r="I1371" s="1">
        <v>0</v>
      </c>
      <c r="J1371" s="1">
        <v>0</v>
      </c>
      <c r="K1371">
        <v>0</v>
      </c>
      <c r="L1371">
        <v>3.86</v>
      </c>
      <c r="M1371">
        <v>0</v>
      </c>
      <c r="N1371" s="1">
        <v>10000000</v>
      </c>
      <c r="O1371">
        <v>4.26</v>
      </c>
      <c r="P1371">
        <v>5.4</v>
      </c>
      <c r="Q1371">
        <v>3.1</v>
      </c>
    </row>
    <row r="1372" spans="1:17" x14ac:dyDescent="0.25">
      <c r="A1372">
        <v>730017</v>
      </c>
      <c r="B1372" t="s">
        <v>2684</v>
      </c>
      <c r="C1372">
        <v>0.51</v>
      </c>
      <c r="D1372">
        <v>0</v>
      </c>
      <c r="E1372">
        <v>0.53</v>
      </c>
      <c r="F1372">
        <v>0.54</v>
      </c>
      <c r="G1372">
        <v>0.51</v>
      </c>
      <c r="H1372">
        <v>0.52</v>
      </c>
      <c r="I1372" s="1">
        <v>46000</v>
      </c>
      <c r="J1372" s="1">
        <v>24040</v>
      </c>
      <c r="K1372">
        <v>5</v>
      </c>
      <c r="L1372">
        <v>0.5</v>
      </c>
      <c r="M1372">
        <v>0.51</v>
      </c>
      <c r="N1372" s="1">
        <v>10000000</v>
      </c>
      <c r="O1372">
        <v>0.51</v>
      </c>
      <c r="P1372">
        <v>0.83</v>
      </c>
      <c r="Q1372">
        <v>0.19</v>
      </c>
    </row>
    <row r="1373" spans="1:17" x14ac:dyDescent="0.25">
      <c r="A1373">
        <v>730018</v>
      </c>
      <c r="B1373" t="s">
        <v>2685</v>
      </c>
      <c r="C1373" t="s">
        <v>78</v>
      </c>
      <c r="D1373" t="s">
        <v>78</v>
      </c>
      <c r="E1373" t="s">
        <v>78</v>
      </c>
      <c r="F1373" t="s">
        <v>78</v>
      </c>
      <c r="G1373" t="s">
        <v>78</v>
      </c>
      <c r="H1373">
        <v>0.42</v>
      </c>
      <c r="I1373" s="1">
        <v>0</v>
      </c>
      <c r="J1373" s="1">
        <v>0</v>
      </c>
      <c r="K1373">
        <v>0</v>
      </c>
      <c r="L1373">
        <v>0.03</v>
      </c>
      <c r="M1373">
        <v>0.05</v>
      </c>
      <c r="N1373" s="1">
        <v>5000000</v>
      </c>
      <c r="O1373">
        <v>0.05</v>
      </c>
      <c r="P1373">
        <v>1.35</v>
      </c>
      <c r="Q1373">
        <v>0.01</v>
      </c>
    </row>
    <row r="1374" spans="1:17" x14ac:dyDescent="0.25">
      <c r="A1374">
        <v>730019</v>
      </c>
      <c r="B1374" t="s">
        <v>2686</v>
      </c>
      <c r="C1374">
        <v>0.11</v>
      </c>
      <c r="D1374">
        <v>-0.01</v>
      </c>
      <c r="E1374">
        <v>0.12</v>
      </c>
      <c r="F1374">
        <v>0.12</v>
      </c>
      <c r="G1374">
        <v>0.11</v>
      </c>
      <c r="H1374">
        <v>0.11</v>
      </c>
      <c r="I1374" s="1">
        <v>120000</v>
      </c>
      <c r="J1374" s="1">
        <v>13700</v>
      </c>
      <c r="K1374">
        <v>3</v>
      </c>
      <c r="L1374">
        <v>0.1</v>
      </c>
      <c r="M1374">
        <v>0.11</v>
      </c>
      <c r="N1374" s="1">
        <v>10000000</v>
      </c>
      <c r="O1374">
        <v>0.11</v>
      </c>
      <c r="P1374">
        <v>0.52</v>
      </c>
      <c r="Q1374">
        <v>0.01</v>
      </c>
    </row>
    <row r="1375" spans="1:17" x14ac:dyDescent="0.25">
      <c r="A1375">
        <v>730022</v>
      </c>
      <c r="B1375" t="s">
        <v>2687</v>
      </c>
      <c r="C1375">
        <v>1.37</v>
      </c>
      <c r="D1375">
        <v>7.0000000000000007E-2</v>
      </c>
      <c r="E1375">
        <v>1.37</v>
      </c>
      <c r="F1375">
        <v>1.37</v>
      </c>
      <c r="G1375">
        <v>1.37</v>
      </c>
      <c r="H1375">
        <v>1.37</v>
      </c>
      <c r="I1375" s="1">
        <v>3000</v>
      </c>
      <c r="J1375" s="1">
        <v>4110</v>
      </c>
      <c r="K1375">
        <v>1</v>
      </c>
      <c r="L1375">
        <v>1.23</v>
      </c>
      <c r="M1375">
        <v>1.33</v>
      </c>
      <c r="N1375" s="1">
        <v>5000000</v>
      </c>
      <c r="O1375">
        <v>1.37</v>
      </c>
      <c r="P1375">
        <v>2.31</v>
      </c>
      <c r="Q1375">
        <v>0.43</v>
      </c>
    </row>
    <row r="1376" spans="1:17" x14ac:dyDescent="0.25">
      <c r="A1376">
        <v>730023</v>
      </c>
      <c r="B1376" t="s">
        <v>2688</v>
      </c>
      <c r="C1376">
        <v>0.2</v>
      </c>
      <c r="D1376">
        <v>0</v>
      </c>
      <c r="E1376">
        <v>0.21</v>
      </c>
      <c r="F1376">
        <v>0.21</v>
      </c>
      <c r="G1376">
        <v>0.2</v>
      </c>
      <c r="H1376">
        <v>0.21</v>
      </c>
      <c r="I1376" s="1">
        <v>65000</v>
      </c>
      <c r="J1376" s="1">
        <v>13500</v>
      </c>
      <c r="K1376">
        <v>2</v>
      </c>
      <c r="L1376">
        <v>0.25</v>
      </c>
      <c r="M1376">
        <v>0.26</v>
      </c>
      <c r="N1376" s="1">
        <v>10000000</v>
      </c>
      <c r="O1376">
        <v>0.2</v>
      </c>
      <c r="P1376">
        <v>1.34</v>
      </c>
      <c r="Q1376">
        <v>0.01</v>
      </c>
    </row>
    <row r="1377" spans="1:17" x14ac:dyDescent="0.25">
      <c r="A1377">
        <v>730024</v>
      </c>
      <c r="B1377" t="s">
        <v>2689</v>
      </c>
      <c r="C1377" t="s">
        <v>78</v>
      </c>
      <c r="D1377" t="s">
        <v>78</v>
      </c>
      <c r="E1377" t="s">
        <v>78</v>
      </c>
      <c r="F1377" t="s">
        <v>78</v>
      </c>
      <c r="G1377" t="s">
        <v>78</v>
      </c>
      <c r="H1377">
        <v>7.25</v>
      </c>
      <c r="I1377" s="1">
        <v>0</v>
      </c>
      <c r="J1377" s="1">
        <v>0</v>
      </c>
      <c r="K1377">
        <v>0</v>
      </c>
      <c r="L1377">
        <v>6.55</v>
      </c>
      <c r="M1377">
        <v>7.05</v>
      </c>
      <c r="N1377" s="1">
        <v>10000000</v>
      </c>
      <c r="O1377">
        <v>6.85</v>
      </c>
      <c r="P1377">
        <v>8.8000000000000007</v>
      </c>
      <c r="Q1377">
        <v>4.88</v>
      </c>
    </row>
    <row r="1378" spans="1:17" x14ac:dyDescent="0.25">
      <c r="A1378">
        <v>730025</v>
      </c>
      <c r="B1378" t="s">
        <v>2690</v>
      </c>
      <c r="C1378">
        <v>0.09</v>
      </c>
      <c r="D1378">
        <v>0.02</v>
      </c>
      <c r="E1378">
        <v>0.09</v>
      </c>
      <c r="F1378">
        <v>0.09</v>
      </c>
      <c r="G1378">
        <v>0.09</v>
      </c>
      <c r="H1378">
        <v>0.09</v>
      </c>
      <c r="I1378" s="1">
        <v>10000</v>
      </c>
      <c r="J1378" s="1">
        <v>900</v>
      </c>
      <c r="K1378">
        <v>1</v>
      </c>
      <c r="L1378">
        <v>0.08</v>
      </c>
      <c r="M1378">
        <v>0.1</v>
      </c>
      <c r="N1378" s="1">
        <v>13000000</v>
      </c>
      <c r="O1378">
        <v>0.09</v>
      </c>
      <c r="P1378">
        <v>0.63</v>
      </c>
      <c r="Q1378">
        <v>0.01</v>
      </c>
    </row>
    <row r="1379" spans="1:17" x14ac:dyDescent="0.25">
      <c r="A1379">
        <v>730026</v>
      </c>
      <c r="B1379" t="s">
        <v>2691</v>
      </c>
      <c r="C1379" t="s">
        <v>78</v>
      </c>
      <c r="D1379" t="s">
        <v>78</v>
      </c>
      <c r="E1379" t="s">
        <v>78</v>
      </c>
      <c r="F1379" t="s">
        <v>78</v>
      </c>
      <c r="G1379" t="s">
        <v>78</v>
      </c>
      <c r="H1379">
        <v>0.12</v>
      </c>
      <c r="I1379" s="1">
        <v>0</v>
      </c>
      <c r="J1379" s="1">
        <v>0</v>
      </c>
      <c r="K1379">
        <v>0</v>
      </c>
      <c r="L1379">
        <v>0.03</v>
      </c>
      <c r="M1379">
        <v>0.09</v>
      </c>
      <c r="N1379" s="1">
        <v>10000000</v>
      </c>
      <c r="O1379">
        <v>0.09</v>
      </c>
      <c r="P1379">
        <v>0.61</v>
      </c>
      <c r="Q1379">
        <v>0.01</v>
      </c>
    </row>
    <row r="1380" spans="1:17" x14ac:dyDescent="0.25">
      <c r="A1380">
        <v>730027</v>
      </c>
      <c r="B1380" t="s">
        <v>2692</v>
      </c>
      <c r="C1380">
        <v>2.08</v>
      </c>
      <c r="D1380">
        <v>0.01</v>
      </c>
      <c r="E1380">
        <v>2.08</v>
      </c>
      <c r="F1380">
        <v>2.08</v>
      </c>
      <c r="G1380">
        <v>2.08</v>
      </c>
      <c r="H1380">
        <v>2.08</v>
      </c>
      <c r="I1380" s="1">
        <v>10000</v>
      </c>
      <c r="J1380" s="1">
        <v>20800</v>
      </c>
      <c r="K1380">
        <v>1</v>
      </c>
      <c r="L1380">
        <v>1.98</v>
      </c>
      <c r="M1380">
        <v>2.0499999999999998</v>
      </c>
      <c r="N1380" s="1">
        <v>15000000</v>
      </c>
      <c r="O1380">
        <v>2.08</v>
      </c>
      <c r="P1380">
        <v>2.9</v>
      </c>
      <c r="Q1380">
        <v>1.26</v>
      </c>
    </row>
    <row r="1381" spans="1:17" x14ac:dyDescent="0.25">
      <c r="A1381">
        <v>730029</v>
      </c>
      <c r="B1381" t="s">
        <v>2693</v>
      </c>
      <c r="C1381">
        <v>0.2</v>
      </c>
      <c r="D1381">
        <v>7.0000000000000007E-2</v>
      </c>
      <c r="E1381">
        <v>0.19</v>
      </c>
      <c r="F1381">
        <v>0.22</v>
      </c>
      <c r="G1381">
        <v>0.19</v>
      </c>
      <c r="H1381">
        <v>0.2</v>
      </c>
      <c r="I1381" s="1">
        <v>124000</v>
      </c>
      <c r="J1381" s="1">
        <v>24680</v>
      </c>
      <c r="K1381">
        <v>5</v>
      </c>
      <c r="L1381">
        <v>0.14000000000000001</v>
      </c>
      <c r="M1381">
        <v>0.15</v>
      </c>
      <c r="N1381" s="1">
        <v>5000000</v>
      </c>
      <c r="O1381">
        <v>0.2</v>
      </c>
      <c r="P1381">
        <v>0.96</v>
      </c>
      <c r="Q1381">
        <v>0.01</v>
      </c>
    </row>
    <row r="1382" spans="1:17" x14ac:dyDescent="0.25">
      <c r="A1382">
        <v>730031</v>
      </c>
      <c r="B1382" t="s">
        <v>2694</v>
      </c>
      <c r="C1382" t="s">
        <v>78</v>
      </c>
      <c r="D1382" t="s">
        <v>78</v>
      </c>
      <c r="E1382" t="s">
        <v>78</v>
      </c>
      <c r="F1382" t="s">
        <v>78</v>
      </c>
      <c r="G1382" t="s">
        <v>78</v>
      </c>
      <c r="H1382">
        <v>0.06</v>
      </c>
      <c r="I1382" s="1">
        <v>0</v>
      </c>
      <c r="J1382" s="1">
        <v>0</v>
      </c>
      <c r="K1382">
        <v>0</v>
      </c>
      <c r="L1382">
        <v>0.05</v>
      </c>
      <c r="M1382">
        <v>0.06</v>
      </c>
      <c r="N1382" s="1">
        <v>10000000</v>
      </c>
      <c r="O1382">
        <v>0.06</v>
      </c>
      <c r="P1382">
        <v>0.37</v>
      </c>
      <c r="Q1382">
        <v>0.01</v>
      </c>
    </row>
    <row r="1383" spans="1:17" x14ac:dyDescent="0.25">
      <c r="A1383">
        <v>730042</v>
      </c>
      <c r="B1383" t="s">
        <v>2695</v>
      </c>
      <c r="C1383" t="s">
        <v>78</v>
      </c>
      <c r="D1383" t="s">
        <v>78</v>
      </c>
      <c r="E1383" t="s">
        <v>78</v>
      </c>
      <c r="F1383" t="s">
        <v>78</v>
      </c>
      <c r="G1383" t="s">
        <v>78</v>
      </c>
      <c r="H1383">
        <v>0.27</v>
      </c>
      <c r="I1383" s="1">
        <v>0</v>
      </c>
      <c r="J1383" s="1">
        <v>0</v>
      </c>
      <c r="K1383">
        <v>0</v>
      </c>
      <c r="L1383">
        <v>0.36</v>
      </c>
      <c r="M1383">
        <v>0</v>
      </c>
      <c r="N1383" s="1">
        <v>10000000</v>
      </c>
      <c r="O1383">
        <v>0.36</v>
      </c>
      <c r="P1383">
        <v>1.26</v>
      </c>
      <c r="Q1383">
        <v>0.01</v>
      </c>
    </row>
    <row r="1384" spans="1:17" x14ac:dyDescent="0.25">
      <c r="A1384">
        <v>730043</v>
      </c>
      <c r="B1384" t="s">
        <v>2696</v>
      </c>
      <c r="C1384" t="s">
        <v>78</v>
      </c>
      <c r="D1384" t="s">
        <v>78</v>
      </c>
      <c r="E1384" t="s">
        <v>78</v>
      </c>
      <c r="F1384" t="s">
        <v>78</v>
      </c>
      <c r="G1384" t="s">
        <v>78</v>
      </c>
      <c r="H1384">
        <v>3.87</v>
      </c>
      <c r="I1384" s="1">
        <v>0</v>
      </c>
      <c r="J1384" s="1">
        <v>0</v>
      </c>
      <c r="K1384">
        <v>0</v>
      </c>
      <c r="L1384">
        <v>6.15</v>
      </c>
      <c r="M1384">
        <v>0</v>
      </c>
      <c r="N1384" s="1">
        <v>5000000</v>
      </c>
      <c r="O1384">
        <v>6.9</v>
      </c>
      <c r="P1384">
        <v>8.3000000000000007</v>
      </c>
      <c r="Q1384">
        <v>5.5</v>
      </c>
    </row>
    <row r="1385" spans="1:17" x14ac:dyDescent="0.25">
      <c r="A1385">
        <v>730056</v>
      </c>
      <c r="B1385" t="s">
        <v>2697</v>
      </c>
      <c r="C1385">
        <v>0.8</v>
      </c>
      <c r="D1385">
        <v>-0.04</v>
      </c>
      <c r="E1385">
        <v>0.87</v>
      </c>
      <c r="F1385">
        <v>0.87</v>
      </c>
      <c r="G1385">
        <v>0.76</v>
      </c>
      <c r="H1385">
        <v>0.8</v>
      </c>
      <c r="I1385" s="1">
        <v>164000</v>
      </c>
      <c r="J1385" s="1">
        <v>131540</v>
      </c>
      <c r="K1385">
        <v>11</v>
      </c>
      <c r="L1385">
        <v>0.77</v>
      </c>
      <c r="M1385">
        <v>0.8</v>
      </c>
      <c r="N1385" s="1">
        <v>10000000</v>
      </c>
      <c r="O1385">
        <v>0.8</v>
      </c>
      <c r="P1385">
        <v>1.25</v>
      </c>
      <c r="Q1385">
        <v>0.35</v>
      </c>
    </row>
    <row r="1386" spans="1:17" x14ac:dyDescent="0.25">
      <c r="A1386">
        <v>730057</v>
      </c>
      <c r="B1386" t="s">
        <v>2698</v>
      </c>
      <c r="C1386" t="s">
        <v>78</v>
      </c>
      <c r="D1386" t="s">
        <v>78</v>
      </c>
      <c r="E1386" t="s">
        <v>78</v>
      </c>
      <c r="F1386" t="s">
        <v>78</v>
      </c>
      <c r="G1386" t="s">
        <v>78</v>
      </c>
      <c r="H1386">
        <v>0.36</v>
      </c>
      <c r="I1386" s="1">
        <v>0</v>
      </c>
      <c r="J1386" s="1">
        <v>0</v>
      </c>
      <c r="K1386">
        <v>0</v>
      </c>
      <c r="L1386">
        <v>0.34</v>
      </c>
      <c r="M1386">
        <v>0.35</v>
      </c>
      <c r="N1386" s="1">
        <v>10000000</v>
      </c>
      <c r="O1386">
        <v>0.35</v>
      </c>
      <c r="P1386">
        <v>0.6</v>
      </c>
      <c r="Q1386">
        <v>0.1</v>
      </c>
    </row>
    <row r="1387" spans="1:17" x14ac:dyDescent="0.25">
      <c r="A1387">
        <v>730058</v>
      </c>
      <c r="B1387" t="s">
        <v>2699</v>
      </c>
      <c r="C1387" t="s">
        <v>78</v>
      </c>
      <c r="D1387" t="s">
        <v>78</v>
      </c>
      <c r="E1387" t="s">
        <v>78</v>
      </c>
      <c r="F1387" t="s">
        <v>78</v>
      </c>
      <c r="G1387" t="s">
        <v>78</v>
      </c>
      <c r="H1387">
        <v>0.21</v>
      </c>
      <c r="I1387" s="1">
        <v>0</v>
      </c>
      <c r="J1387" s="1">
        <v>0</v>
      </c>
      <c r="K1387">
        <v>0</v>
      </c>
      <c r="L1387">
        <v>0.16</v>
      </c>
      <c r="M1387">
        <v>0.18</v>
      </c>
      <c r="N1387" s="1">
        <v>10000000</v>
      </c>
      <c r="O1387">
        <v>0.18</v>
      </c>
      <c r="P1387">
        <v>0.57999999999999996</v>
      </c>
      <c r="Q1387">
        <v>0.01</v>
      </c>
    </row>
    <row r="1388" spans="1:17" x14ac:dyDescent="0.25">
      <c r="A1388">
        <v>730059</v>
      </c>
      <c r="B1388" t="s">
        <v>2700</v>
      </c>
      <c r="C1388" t="s">
        <v>78</v>
      </c>
      <c r="D1388" t="s">
        <v>78</v>
      </c>
      <c r="E1388" t="s">
        <v>78</v>
      </c>
      <c r="F1388" t="s">
        <v>78</v>
      </c>
      <c r="G1388" t="s">
        <v>78</v>
      </c>
      <c r="H1388">
        <v>0.04</v>
      </c>
      <c r="I1388" s="1">
        <v>0</v>
      </c>
      <c r="J1388" s="1">
        <v>0</v>
      </c>
      <c r="K1388">
        <v>0</v>
      </c>
      <c r="L1388">
        <v>0</v>
      </c>
      <c r="M1388">
        <v>0.01</v>
      </c>
      <c r="N1388" s="1">
        <v>10000000</v>
      </c>
      <c r="O1388">
        <v>0.01</v>
      </c>
      <c r="P1388">
        <v>0.78</v>
      </c>
      <c r="Q1388">
        <v>0.01</v>
      </c>
    </row>
    <row r="1389" spans="1:17" x14ac:dyDescent="0.25">
      <c r="A1389">
        <v>730063</v>
      </c>
      <c r="B1389" t="s">
        <v>2701</v>
      </c>
      <c r="C1389">
        <v>0.41</v>
      </c>
      <c r="D1389">
        <v>-0.03</v>
      </c>
      <c r="E1389">
        <v>0.43</v>
      </c>
      <c r="F1389">
        <v>0.43</v>
      </c>
      <c r="G1389">
        <v>0.37</v>
      </c>
      <c r="H1389">
        <v>0.41</v>
      </c>
      <c r="I1389" s="1">
        <v>65000</v>
      </c>
      <c r="J1389" s="1">
        <v>26850</v>
      </c>
      <c r="K1389">
        <v>5</v>
      </c>
      <c r="L1389">
        <v>0.41</v>
      </c>
      <c r="M1389">
        <v>0.42</v>
      </c>
      <c r="N1389" s="1">
        <v>10000000</v>
      </c>
      <c r="O1389">
        <v>0.41</v>
      </c>
      <c r="P1389">
        <v>1.1100000000000001</v>
      </c>
      <c r="Q1389">
        <v>0.01</v>
      </c>
    </row>
    <row r="1390" spans="1:17" x14ac:dyDescent="0.25">
      <c r="A1390">
        <v>730064</v>
      </c>
      <c r="B1390" t="s">
        <v>2702</v>
      </c>
      <c r="C1390" t="s">
        <v>78</v>
      </c>
      <c r="D1390" t="s">
        <v>78</v>
      </c>
      <c r="E1390" t="s">
        <v>78</v>
      </c>
      <c r="F1390" t="s">
        <v>78</v>
      </c>
      <c r="G1390" t="s">
        <v>78</v>
      </c>
      <c r="H1390">
        <v>3.55</v>
      </c>
      <c r="I1390" s="1">
        <v>0</v>
      </c>
      <c r="J1390" s="1">
        <v>0</v>
      </c>
      <c r="K1390">
        <v>0</v>
      </c>
      <c r="L1390">
        <v>3.33</v>
      </c>
      <c r="M1390">
        <v>0</v>
      </c>
      <c r="N1390" s="1">
        <v>10000000</v>
      </c>
      <c r="O1390">
        <v>3.33</v>
      </c>
      <c r="P1390">
        <v>4.21</v>
      </c>
      <c r="Q1390">
        <v>2.4500000000000002</v>
      </c>
    </row>
    <row r="1391" spans="1:17" x14ac:dyDescent="0.25">
      <c r="A1391">
        <v>730067</v>
      </c>
      <c r="B1391" t="s">
        <v>2703</v>
      </c>
      <c r="C1391">
        <v>0.82</v>
      </c>
      <c r="D1391">
        <v>0.05</v>
      </c>
      <c r="E1391">
        <v>0.78</v>
      </c>
      <c r="F1391">
        <v>0.82</v>
      </c>
      <c r="G1391">
        <v>0.78</v>
      </c>
      <c r="H1391">
        <v>0.8</v>
      </c>
      <c r="I1391" s="1">
        <v>20000</v>
      </c>
      <c r="J1391" s="1">
        <v>16000</v>
      </c>
      <c r="K1391">
        <v>2</v>
      </c>
      <c r="L1391">
        <v>0.68</v>
      </c>
      <c r="M1391">
        <v>0.7</v>
      </c>
      <c r="N1391" s="1">
        <v>10000000</v>
      </c>
      <c r="O1391">
        <v>0.82</v>
      </c>
      <c r="P1391">
        <v>1.84</v>
      </c>
      <c r="Q1391">
        <v>0.01</v>
      </c>
    </row>
    <row r="1392" spans="1:17" x14ac:dyDescent="0.25">
      <c r="A1392">
        <v>730072</v>
      </c>
      <c r="B1392" t="s">
        <v>2704</v>
      </c>
      <c r="C1392" t="s">
        <v>78</v>
      </c>
      <c r="D1392" t="s">
        <v>78</v>
      </c>
      <c r="E1392" t="s">
        <v>78</v>
      </c>
      <c r="F1392" t="s">
        <v>78</v>
      </c>
      <c r="G1392" t="s">
        <v>78</v>
      </c>
      <c r="H1392">
        <v>4.6100000000000003</v>
      </c>
      <c r="I1392" s="1">
        <v>0</v>
      </c>
      <c r="J1392" s="1">
        <v>0</v>
      </c>
      <c r="K1392">
        <v>0</v>
      </c>
      <c r="L1392">
        <v>4.4800000000000004</v>
      </c>
      <c r="M1392">
        <v>0</v>
      </c>
      <c r="N1392" s="1">
        <v>15000000</v>
      </c>
      <c r="O1392">
        <v>4.6500000000000004</v>
      </c>
      <c r="P1392">
        <v>5.85</v>
      </c>
      <c r="Q1392">
        <v>3.45</v>
      </c>
    </row>
    <row r="1393" spans="1:17" x14ac:dyDescent="0.25">
      <c r="A1393">
        <v>730080</v>
      </c>
      <c r="B1393" t="s">
        <v>2705</v>
      </c>
      <c r="C1393" t="s">
        <v>78</v>
      </c>
      <c r="D1393" t="s">
        <v>78</v>
      </c>
      <c r="E1393" t="s">
        <v>78</v>
      </c>
      <c r="F1393" t="s">
        <v>78</v>
      </c>
      <c r="G1393" t="s">
        <v>78</v>
      </c>
      <c r="H1393">
        <v>0.36</v>
      </c>
      <c r="I1393" s="1">
        <v>0</v>
      </c>
      <c r="J1393" s="1">
        <v>0</v>
      </c>
      <c r="K1393">
        <v>0</v>
      </c>
      <c r="L1393">
        <v>0.25</v>
      </c>
      <c r="M1393">
        <v>0.26</v>
      </c>
      <c r="N1393" s="1">
        <v>10000000</v>
      </c>
      <c r="O1393">
        <v>0.26</v>
      </c>
      <c r="P1393">
        <v>1.18</v>
      </c>
      <c r="Q1393">
        <v>0.01</v>
      </c>
    </row>
    <row r="1394" spans="1:17" x14ac:dyDescent="0.25">
      <c r="A1394">
        <v>730081</v>
      </c>
      <c r="B1394" t="s">
        <v>2706</v>
      </c>
      <c r="C1394" t="s">
        <v>78</v>
      </c>
      <c r="D1394" t="s">
        <v>78</v>
      </c>
      <c r="E1394" t="s">
        <v>78</v>
      </c>
      <c r="F1394" t="s">
        <v>78</v>
      </c>
      <c r="G1394" t="s">
        <v>78</v>
      </c>
      <c r="H1394">
        <v>0.33</v>
      </c>
      <c r="I1394" s="1">
        <v>0</v>
      </c>
      <c r="J1394" s="1">
        <v>0</v>
      </c>
      <c r="K1394">
        <v>0</v>
      </c>
      <c r="L1394">
        <v>0.35</v>
      </c>
      <c r="M1394">
        <v>0.37</v>
      </c>
      <c r="N1394" s="1">
        <v>10000000</v>
      </c>
      <c r="O1394">
        <v>0.36</v>
      </c>
      <c r="P1394">
        <v>0.93</v>
      </c>
      <c r="Q1394">
        <v>0.01</v>
      </c>
    </row>
    <row r="1395" spans="1:17" x14ac:dyDescent="0.25">
      <c r="A1395">
        <v>730083</v>
      </c>
      <c r="B1395" t="s">
        <v>2707</v>
      </c>
      <c r="C1395" t="s">
        <v>78</v>
      </c>
      <c r="D1395" t="s">
        <v>78</v>
      </c>
      <c r="E1395" t="s">
        <v>78</v>
      </c>
      <c r="F1395" t="s">
        <v>78</v>
      </c>
      <c r="G1395" t="s">
        <v>78</v>
      </c>
      <c r="H1395">
        <v>0.05</v>
      </c>
      <c r="I1395" s="1">
        <v>0</v>
      </c>
      <c r="J1395" s="1">
        <v>0</v>
      </c>
      <c r="K1395">
        <v>0</v>
      </c>
      <c r="L1395">
        <v>0.03</v>
      </c>
      <c r="M1395">
        <v>0.04</v>
      </c>
      <c r="N1395" s="1">
        <v>10000000</v>
      </c>
      <c r="O1395">
        <v>0.04</v>
      </c>
      <c r="P1395">
        <v>0.72</v>
      </c>
      <c r="Q1395">
        <v>0.01</v>
      </c>
    </row>
    <row r="1396" spans="1:17" x14ac:dyDescent="0.25">
      <c r="A1396">
        <v>730084</v>
      </c>
      <c r="B1396" t="s">
        <v>2708</v>
      </c>
      <c r="C1396" t="s">
        <v>78</v>
      </c>
      <c r="D1396" t="s">
        <v>78</v>
      </c>
      <c r="E1396" t="s">
        <v>78</v>
      </c>
      <c r="F1396" t="s">
        <v>78</v>
      </c>
      <c r="G1396" t="s">
        <v>78</v>
      </c>
      <c r="H1396">
        <v>0.05</v>
      </c>
      <c r="I1396" s="1">
        <v>0</v>
      </c>
      <c r="J1396" s="1">
        <v>0</v>
      </c>
      <c r="K1396">
        <v>0</v>
      </c>
      <c r="L1396">
        <v>0.04</v>
      </c>
      <c r="M1396">
        <v>0.05</v>
      </c>
      <c r="N1396" s="1">
        <v>5000000</v>
      </c>
      <c r="O1396">
        <v>0.05</v>
      </c>
      <c r="P1396">
        <v>1.41</v>
      </c>
      <c r="Q1396">
        <v>0.01</v>
      </c>
    </row>
    <row r="1397" spans="1:17" x14ac:dyDescent="0.25">
      <c r="A1397">
        <v>730085</v>
      </c>
      <c r="B1397" t="s">
        <v>2709</v>
      </c>
      <c r="C1397" t="s">
        <v>78</v>
      </c>
      <c r="D1397" t="s">
        <v>78</v>
      </c>
      <c r="E1397" t="s">
        <v>78</v>
      </c>
      <c r="F1397" t="s">
        <v>78</v>
      </c>
      <c r="G1397" t="s">
        <v>78</v>
      </c>
      <c r="H1397">
        <v>0.05</v>
      </c>
      <c r="I1397" s="1">
        <v>0</v>
      </c>
      <c r="J1397" s="1">
        <v>0</v>
      </c>
      <c r="K1397">
        <v>0</v>
      </c>
      <c r="L1397">
        <v>0.04</v>
      </c>
      <c r="M1397">
        <v>0.12</v>
      </c>
      <c r="N1397" s="1">
        <v>5000000</v>
      </c>
      <c r="O1397">
        <v>0.05</v>
      </c>
      <c r="P1397">
        <v>0.49</v>
      </c>
      <c r="Q1397">
        <v>0.01</v>
      </c>
    </row>
    <row r="1398" spans="1:17" x14ac:dyDescent="0.25">
      <c r="A1398">
        <v>730092</v>
      </c>
      <c r="B1398" t="s">
        <v>2710</v>
      </c>
      <c r="C1398" t="s">
        <v>78</v>
      </c>
      <c r="D1398" t="s">
        <v>78</v>
      </c>
      <c r="E1398" t="s">
        <v>78</v>
      </c>
      <c r="F1398" t="s">
        <v>78</v>
      </c>
      <c r="G1398" t="s">
        <v>78</v>
      </c>
      <c r="H1398">
        <v>5.05</v>
      </c>
      <c r="I1398" s="1">
        <v>0</v>
      </c>
      <c r="J1398" s="1">
        <v>0</v>
      </c>
      <c r="K1398">
        <v>0</v>
      </c>
      <c r="L1398">
        <v>4.2</v>
      </c>
      <c r="M1398">
        <v>4.3</v>
      </c>
      <c r="N1398" s="1">
        <v>15000000</v>
      </c>
      <c r="O1398">
        <v>4.3</v>
      </c>
      <c r="P1398">
        <v>5.3</v>
      </c>
      <c r="Q1398">
        <v>3.3</v>
      </c>
    </row>
    <row r="1399" spans="1:17" x14ac:dyDescent="0.25">
      <c r="A1399">
        <v>730103</v>
      </c>
      <c r="B1399" t="s">
        <v>2711</v>
      </c>
      <c r="C1399" t="s">
        <v>78</v>
      </c>
      <c r="D1399" t="s">
        <v>78</v>
      </c>
      <c r="E1399" t="s">
        <v>78</v>
      </c>
      <c r="F1399" t="s">
        <v>78</v>
      </c>
      <c r="G1399" t="s">
        <v>78</v>
      </c>
      <c r="H1399">
        <v>0.03</v>
      </c>
      <c r="I1399" s="1">
        <v>0</v>
      </c>
      <c r="J1399" s="1">
        <v>0</v>
      </c>
      <c r="K1399">
        <v>0</v>
      </c>
      <c r="L1399">
        <v>0</v>
      </c>
      <c r="M1399">
        <v>0.01</v>
      </c>
      <c r="N1399" s="1">
        <v>10000000</v>
      </c>
      <c r="O1399">
        <v>0.01</v>
      </c>
      <c r="P1399">
        <v>0.87</v>
      </c>
      <c r="Q1399">
        <v>0.01</v>
      </c>
    </row>
    <row r="1400" spans="1:17" x14ac:dyDescent="0.25">
      <c r="A1400">
        <v>730104</v>
      </c>
      <c r="B1400" t="s">
        <v>2712</v>
      </c>
      <c r="C1400" t="s">
        <v>78</v>
      </c>
      <c r="D1400" t="s">
        <v>78</v>
      </c>
      <c r="E1400" t="s">
        <v>78</v>
      </c>
      <c r="F1400" t="s">
        <v>78</v>
      </c>
      <c r="G1400" t="s">
        <v>78</v>
      </c>
      <c r="H1400">
        <v>0.01</v>
      </c>
      <c r="I1400" s="1">
        <v>0</v>
      </c>
      <c r="J1400" s="1">
        <v>0</v>
      </c>
      <c r="K1400">
        <v>0</v>
      </c>
      <c r="L1400">
        <v>0</v>
      </c>
      <c r="M1400">
        <v>0.01</v>
      </c>
      <c r="N1400" s="1">
        <v>10000000</v>
      </c>
      <c r="O1400">
        <v>0.01</v>
      </c>
      <c r="P1400">
        <v>0.53</v>
      </c>
      <c r="Q1400">
        <v>0.01</v>
      </c>
    </row>
    <row r="1401" spans="1:17" x14ac:dyDescent="0.25">
      <c r="A1401">
        <v>730108</v>
      </c>
      <c r="B1401" t="s">
        <v>2713</v>
      </c>
      <c r="C1401" t="s">
        <v>78</v>
      </c>
      <c r="D1401" t="s">
        <v>78</v>
      </c>
      <c r="E1401" t="s">
        <v>78</v>
      </c>
      <c r="F1401" t="s">
        <v>78</v>
      </c>
      <c r="G1401" t="s">
        <v>78</v>
      </c>
      <c r="H1401">
        <v>0.3</v>
      </c>
      <c r="I1401" s="1">
        <v>0</v>
      </c>
      <c r="J1401" s="1">
        <v>0</v>
      </c>
      <c r="K1401">
        <v>0</v>
      </c>
      <c r="L1401">
        <v>0.27</v>
      </c>
      <c r="M1401">
        <v>0.28000000000000003</v>
      </c>
      <c r="N1401" s="1">
        <v>10000000</v>
      </c>
      <c r="O1401">
        <v>0.28000000000000003</v>
      </c>
      <c r="P1401">
        <v>0.72</v>
      </c>
      <c r="Q1401">
        <v>0.01</v>
      </c>
    </row>
    <row r="1402" spans="1:17" x14ac:dyDescent="0.25">
      <c r="A1402">
        <v>730109</v>
      </c>
      <c r="B1402" t="s">
        <v>2714</v>
      </c>
      <c r="C1402" t="s">
        <v>78</v>
      </c>
      <c r="D1402" t="s">
        <v>78</v>
      </c>
      <c r="E1402" t="s">
        <v>78</v>
      </c>
      <c r="F1402" t="s">
        <v>78</v>
      </c>
      <c r="G1402" t="s">
        <v>78</v>
      </c>
      <c r="H1402">
        <v>0.75</v>
      </c>
      <c r="I1402" s="1">
        <v>0</v>
      </c>
      <c r="J1402" s="1">
        <v>0</v>
      </c>
      <c r="K1402">
        <v>0</v>
      </c>
      <c r="L1402">
        <v>0.73</v>
      </c>
      <c r="M1402">
        <v>0.77</v>
      </c>
      <c r="N1402" s="1">
        <v>10000000</v>
      </c>
      <c r="O1402">
        <v>0.73</v>
      </c>
      <c r="P1402">
        <v>1.17</v>
      </c>
      <c r="Q1402">
        <v>0.28999999999999998</v>
      </c>
    </row>
    <row r="1403" spans="1:17" x14ac:dyDescent="0.25">
      <c r="A1403">
        <v>730112</v>
      </c>
      <c r="B1403" t="s">
        <v>2715</v>
      </c>
      <c r="C1403" t="s">
        <v>78</v>
      </c>
      <c r="D1403" t="s">
        <v>78</v>
      </c>
      <c r="E1403" t="s">
        <v>78</v>
      </c>
      <c r="F1403" t="s">
        <v>78</v>
      </c>
      <c r="G1403" t="s">
        <v>78</v>
      </c>
      <c r="H1403">
        <v>0.15</v>
      </c>
      <c r="I1403" s="1">
        <v>0</v>
      </c>
      <c r="J1403" s="1">
        <v>0</v>
      </c>
      <c r="K1403">
        <v>0</v>
      </c>
      <c r="L1403">
        <v>0.06</v>
      </c>
      <c r="M1403">
        <v>0.08</v>
      </c>
      <c r="N1403" s="1">
        <v>15000000</v>
      </c>
      <c r="O1403">
        <v>0.08</v>
      </c>
      <c r="P1403">
        <v>0.56999999999999995</v>
      </c>
      <c r="Q1403">
        <v>0.01</v>
      </c>
    </row>
    <row r="1404" spans="1:17" x14ac:dyDescent="0.25">
      <c r="A1404">
        <v>730114</v>
      </c>
      <c r="B1404" t="s">
        <v>2716</v>
      </c>
      <c r="C1404">
        <v>0.49</v>
      </c>
      <c r="D1404">
        <v>0.02</v>
      </c>
      <c r="E1404">
        <v>0.51</v>
      </c>
      <c r="F1404">
        <v>0.52</v>
      </c>
      <c r="G1404">
        <v>0.45</v>
      </c>
      <c r="H1404">
        <v>0.5</v>
      </c>
      <c r="I1404" s="1">
        <v>170000</v>
      </c>
      <c r="J1404" s="1">
        <v>84700</v>
      </c>
      <c r="K1404">
        <v>14</v>
      </c>
      <c r="L1404">
        <v>0.49</v>
      </c>
      <c r="M1404">
        <v>0.51</v>
      </c>
      <c r="N1404" s="1">
        <v>5000000</v>
      </c>
      <c r="O1404">
        <v>0.49</v>
      </c>
      <c r="P1404">
        <v>1.2</v>
      </c>
      <c r="Q1404">
        <v>0.01</v>
      </c>
    </row>
    <row r="1405" spans="1:17" x14ac:dyDescent="0.25">
      <c r="A1405">
        <v>730116</v>
      </c>
      <c r="B1405" t="s">
        <v>2717</v>
      </c>
      <c r="C1405" t="s">
        <v>78</v>
      </c>
      <c r="D1405" t="s">
        <v>78</v>
      </c>
      <c r="E1405" t="s">
        <v>78</v>
      </c>
      <c r="F1405" t="s">
        <v>78</v>
      </c>
      <c r="G1405" t="s">
        <v>78</v>
      </c>
      <c r="H1405">
        <v>5.3</v>
      </c>
      <c r="I1405" s="1">
        <v>0</v>
      </c>
      <c r="J1405" s="1">
        <v>0</v>
      </c>
      <c r="K1405">
        <v>0</v>
      </c>
      <c r="L1405">
        <v>5.3</v>
      </c>
      <c r="M1405">
        <v>0</v>
      </c>
      <c r="N1405" s="1">
        <v>10000000</v>
      </c>
      <c r="O1405">
        <v>5.3</v>
      </c>
      <c r="P1405">
        <v>6.75</v>
      </c>
      <c r="Q1405">
        <v>3.85</v>
      </c>
    </row>
    <row r="1406" spans="1:17" x14ac:dyDescent="0.25">
      <c r="A1406">
        <v>730117</v>
      </c>
      <c r="B1406" t="s">
        <v>2718</v>
      </c>
      <c r="C1406">
        <v>0.47</v>
      </c>
      <c r="D1406">
        <v>-0.04</v>
      </c>
      <c r="E1406">
        <v>0.48</v>
      </c>
      <c r="F1406">
        <v>0.5</v>
      </c>
      <c r="G1406">
        <v>0.45</v>
      </c>
      <c r="H1406">
        <v>0.48</v>
      </c>
      <c r="I1406" s="1">
        <v>242000</v>
      </c>
      <c r="J1406" s="1">
        <v>115840</v>
      </c>
      <c r="K1406">
        <v>11</v>
      </c>
      <c r="L1406">
        <v>0.47</v>
      </c>
      <c r="M1406">
        <v>0.48</v>
      </c>
      <c r="N1406" s="1">
        <v>10000000</v>
      </c>
      <c r="O1406">
        <v>0.47</v>
      </c>
      <c r="P1406">
        <v>1.4</v>
      </c>
      <c r="Q1406">
        <v>0.01</v>
      </c>
    </row>
    <row r="1407" spans="1:17" x14ac:dyDescent="0.25">
      <c r="A1407">
        <v>730119</v>
      </c>
      <c r="B1407" t="s">
        <v>2719</v>
      </c>
      <c r="C1407">
        <v>0.31</v>
      </c>
      <c r="D1407">
        <v>0.01</v>
      </c>
      <c r="E1407">
        <v>0.31</v>
      </c>
      <c r="F1407">
        <v>0.31</v>
      </c>
      <c r="G1407">
        <v>0.31</v>
      </c>
      <c r="H1407">
        <v>0.31</v>
      </c>
      <c r="I1407" s="1">
        <v>40000</v>
      </c>
      <c r="J1407" s="1">
        <v>12400</v>
      </c>
      <c r="K1407">
        <v>1</v>
      </c>
      <c r="L1407">
        <v>0.28999999999999998</v>
      </c>
      <c r="M1407">
        <v>0.3</v>
      </c>
      <c r="N1407" s="1">
        <v>10000000</v>
      </c>
      <c r="O1407">
        <v>0.31</v>
      </c>
      <c r="P1407">
        <v>1.34</v>
      </c>
      <c r="Q1407">
        <v>0.01</v>
      </c>
    </row>
    <row r="1408" spans="1:17" x14ac:dyDescent="0.25">
      <c r="A1408">
        <v>730123</v>
      </c>
      <c r="B1408" t="s">
        <v>2720</v>
      </c>
      <c r="C1408" t="s">
        <v>78</v>
      </c>
      <c r="D1408" t="s">
        <v>78</v>
      </c>
      <c r="E1408" t="s">
        <v>78</v>
      </c>
      <c r="F1408" t="s">
        <v>78</v>
      </c>
      <c r="G1408" t="s">
        <v>78</v>
      </c>
      <c r="H1408">
        <v>0.32</v>
      </c>
      <c r="I1408" s="1">
        <v>0</v>
      </c>
      <c r="J1408" s="1">
        <v>0</v>
      </c>
      <c r="K1408">
        <v>0</v>
      </c>
      <c r="L1408">
        <v>0.31</v>
      </c>
      <c r="M1408">
        <v>0.32</v>
      </c>
      <c r="N1408" s="1">
        <v>10000000</v>
      </c>
      <c r="O1408">
        <v>0.32</v>
      </c>
      <c r="P1408">
        <v>0.5</v>
      </c>
      <c r="Q1408">
        <v>0.14000000000000001</v>
      </c>
    </row>
    <row r="1409" spans="1:17" x14ac:dyDescent="0.25">
      <c r="A1409">
        <v>730129</v>
      </c>
      <c r="B1409" t="s">
        <v>2721</v>
      </c>
      <c r="C1409">
        <v>0.18</v>
      </c>
      <c r="D1409">
        <v>-0.04</v>
      </c>
      <c r="E1409">
        <v>0.18</v>
      </c>
      <c r="F1409">
        <v>0.18</v>
      </c>
      <c r="G1409">
        <v>0.18</v>
      </c>
      <c r="H1409">
        <v>0.18</v>
      </c>
      <c r="I1409" s="1">
        <v>12000</v>
      </c>
      <c r="J1409" s="1">
        <v>2160</v>
      </c>
      <c r="K1409">
        <v>1</v>
      </c>
      <c r="L1409">
        <v>0.18</v>
      </c>
      <c r="M1409">
        <v>0.2</v>
      </c>
      <c r="N1409" s="1">
        <v>10000000</v>
      </c>
      <c r="O1409">
        <v>0.18</v>
      </c>
      <c r="P1409">
        <v>0.53</v>
      </c>
      <c r="Q1409">
        <v>0.01</v>
      </c>
    </row>
    <row r="1410" spans="1:17" x14ac:dyDescent="0.25">
      <c r="A1410">
        <v>730130</v>
      </c>
      <c r="B1410" t="s">
        <v>2722</v>
      </c>
      <c r="C1410">
        <v>0.79</v>
      </c>
      <c r="D1410">
        <v>0</v>
      </c>
      <c r="E1410">
        <v>0.8</v>
      </c>
      <c r="F1410">
        <v>0.82</v>
      </c>
      <c r="G1410">
        <v>0.77</v>
      </c>
      <c r="H1410">
        <v>0.8</v>
      </c>
      <c r="I1410" s="1">
        <v>221000</v>
      </c>
      <c r="J1410" s="1">
        <v>176100</v>
      </c>
      <c r="K1410">
        <v>5</v>
      </c>
      <c r="L1410">
        <v>0.8</v>
      </c>
      <c r="M1410">
        <v>0.81</v>
      </c>
      <c r="N1410" s="1">
        <v>10000000</v>
      </c>
      <c r="O1410">
        <v>0.79</v>
      </c>
      <c r="P1410">
        <v>2.57</v>
      </c>
      <c r="Q1410">
        <v>0.01</v>
      </c>
    </row>
    <row r="1411" spans="1:17" x14ac:dyDescent="0.25">
      <c r="A1411">
        <v>730139</v>
      </c>
      <c r="B1411" t="s">
        <v>2723</v>
      </c>
      <c r="C1411">
        <v>0.12</v>
      </c>
      <c r="D1411">
        <v>-0.02</v>
      </c>
      <c r="E1411">
        <v>0.12</v>
      </c>
      <c r="F1411">
        <v>0.12</v>
      </c>
      <c r="G1411">
        <v>0.12</v>
      </c>
      <c r="H1411">
        <v>0.12</v>
      </c>
      <c r="I1411" s="1">
        <v>20000</v>
      </c>
      <c r="J1411" s="1">
        <v>2400</v>
      </c>
      <c r="K1411">
        <v>2</v>
      </c>
      <c r="L1411">
        <v>0.11</v>
      </c>
      <c r="M1411">
        <v>0.12</v>
      </c>
      <c r="N1411" s="1">
        <v>10000000</v>
      </c>
      <c r="O1411">
        <v>0.12</v>
      </c>
      <c r="P1411">
        <v>0.51</v>
      </c>
      <c r="Q1411">
        <v>0.01</v>
      </c>
    </row>
    <row r="1412" spans="1:17" x14ac:dyDescent="0.25">
      <c r="A1412">
        <v>730140</v>
      </c>
      <c r="B1412" t="s">
        <v>2724</v>
      </c>
      <c r="C1412" t="s">
        <v>78</v>
      </c>
      <c r="D1412" t="s">
        <v>78</v>
      </c>
      <c r="E1412" t="s">
        <v>78</v>
      </c>
      <c r="F1412" t="s">
        <v>78</v>
      </c>
      <c r="G1412" t="s">
        <v>78</v>
      </c>
      <c r="H1412">
        <v>1.41</v>
      </c>
      <c r="I1412" s="1">
        <v>0</v>
      </c>
      <c r="J1412" s="1">
        <v>0</v>
      </c>
      <c r="K1412">
        <v>0</v>
      </c>
      <c r="L1412">
        <v>1.71</v>
      </c>
      <c r="M1412">
        <v>1.73</v>
      </c>
      <c r="N1412" s="1">
        <v>10000000</v>
      </c>
      <c r="O1412">
        <v>1.71</v>
      </c>
      <c r="P1412">
        <v>2.42</v>
      </c>
      <c r="Q1412">
        <v>1</v>
      </c>
    </row>
    <row r="1413" spans="1:17" x14ac:dyDescent="0.25">
      <c r="A1413">
        <v>730146</v>
      </c>
      <c r="B1413" t="s">
        <v>2725</v>
      </c>
      <c r="C1413" t="s">
        <v>78</v>
      </c>
      <c r="D1413" t="s">
        <v>78</v>
      </c>
      <c r="E1413" t="s">
        <v>78</v>
      </c>
      <c r="F1413" t="s">
        <v>78</v>
      </c>
      <c r="G1413" t="s">
        <v>78</v>
      </c>
      <c r="H1413">
        <v>2.31</v>
      </c>
      <c r="I1413" s="1">
        <v>0</v>
      </c>
      <c r="J1413" s="1">
        <v>0</v>
      </c>
      <c r="K1413">
        <v>0</v>
      </c>
      <c r="L1413">
        <v>2.98</v>
      </c>
      <c r="M1413">
        <v>3.07</v>
      </c>
      <c r="N1413" s="1">
        <v>10000000</v>
      </c>
      <c r="O1413">
        <v>2.99</v>
      </c>
      <c r="P1413">
        <v>4.1500000000000004</v>
      </c>
      <c r="Q1413">
        <v>1.83</v>
      </c>
    </row>
    <row r="1414" spans="1:17" x14ac:dyDescent="0.25">
      <c r="A1414">
        <v>730147</v>
      </c>
      <c r="B1414" t="s">
        <v>2726</v>
      </c>
      <c r="C1414" t="s">
        <v>78</v>
      </c>
      <c r="D1414" t="s">
        <v>78</v>
      </c>
      <c r="E1414" t="s">
        <v>78</v>
      </c>
      <c r="F1414" t="s">
        <v>78</v>
      </c>
      <c r="G1414" t="s">
        <v>78</v>
      </c>
      <c r="H1414">
        <v>0.05</v>
      </c>
      <c r="I1414" s="1">
        <v>0</v>
      </c>
      <c r="J1414" s="1">
        <v>0</v>
      </c>
      <c r="K1414">
        <v>0</v>
      </c>
      <c r="L1414">
        <v>0.01</v>
      </c>
      <c r="M1414">
        <v>0.02</v>
      </c>
      <c r="N1414" s="1">
        <v>10000000</v>
      </c>
      <c r="O1414">
        <v>0.02</v>
      </c>
      <c r="P1414">
        <v>0.45</v>
      </c>
      <c r="Q1414">
        <v>0.01</v>
      </c>
    </row>
    <row r="1415" spans="1:17" x14ac:dyDescent="0.25">
      <c r="A1415">
        <v>730149</v>
      </c>
      <c r="B1415" t="s">
        <v>2727</v>
      </c>
      <c r="C1415" t="s">
        <v>78</v>
      </c>
      <c r="D1415" t="s">
        <v>78</v>
      </c>
      <c r="E1415" t="s">
        <v>78</v>
      </c>
      <c r="F1415" t="s">
        <v>78</v>
      </c>
      <c r="G1415" t="s">
        <v>78</v>
      </c>
      <c r="H1415">
        <v>0.01</v>
      </c>
      <c r="I1415" s="1">
        <v>0</v>
      </c>
      <c r="J1415" s="1">
        <v>0</v>
      </c>
      <c r="K1415">
        <v>0</v>
      </c>
      <c r="L1415">
        <v>0.01</v>
      </c>
      <c r="M1415">
        <v>0.02</v>
      </c>
      <c r="N1415" s="1">
        <v>10000000</v>
      </c>
      <c r="O1415">
        <v>0.01</v>
      </c>
      <c r="P1415">
        <v>0.76</v>
      </c>
      <c r="Q1415">
        <v>0.01</v>
      </c>
    </row>
    <row r="1416" spans="1:17" x14ac:dyDescent="0.25">
      <c r="A1416">
        <v>730150</v>
      </c>
      <c r="B1416" t="s">
        <v>2728</v>
      </c>
      <c r="C1416" t="s">
        <v>78</v>
      </c>
      <c r="D1416" t="s">
        <v>78</v>
      </c>
      <c r="E1416" t="s">
        <v>78</v>
      </c>
      <c r="F1416" t="s">
        <v>78</v>
      </c>
      <c r="G1416" t="s">
        <v>78</v>
      </c>
      <c r="H1416">
        <v>5.85</v>
      </c>
      <c r="I1416" s="1">
        <v>0</v>
      </c>
      <c r="J1416" s="1">
        <v>0</v>
      </c>
      <c r="K1416">
        <v>0</v>
      </c>
      <c r="L1416">
        <v>6.35</v>
      </c>
      <c r="M1416">
        <v>0</v>
      </c>
      <c r="N1416" s="1">
        <v>5000000</v>
      </c>
      <c r="O1416">
        <v>6.8</v>
      </c>
      <c r="P1416">
        <v>8.75</v>
      </c>
      <c r="Q1416">
        <v>4.7699999999999996</v>
      </c>
    </row>
    <row r="1417" spans="1:17" x14ac:dyDescent="0.25">
      <c r="A1417">
        <v>730157</v>
      </c>
      <c r="B1417" t="s">
        <v>2729</v>
      </c>
      <c r="C1417">
        <v>7.0000000000000007E-2</v>
      </c>
      <c r="D1417">
        <v>-0.01</v>
      </c>
      <c r="E1417">
        <v>7.0000000000000007E-2</v>
      </c>
      <c r="F1417">
        <v>7.0000000000000007E-2</v>
      </c>
      <c r="G1417">
        <v>7.0000000000000007E-2</v>
      </c>
      <c r="H1417">
        <v>7.0000000000000007E-2</v>
      </c>
      <c r="I1417" s="1">
        <v>40000</v>
      </c>
      <c r="J1417" s="1">
        <v>2800</v>
      </c>
      <c r="K1417">
        <v>2</v>
      </c>
      <c r="L1417">
        <v>0.08</v>
      </c>
      <c r="M1417">
        <v>0.09</v>
      </c>
      <c r="N1417" s="1">
        <v>10000000</v>
      </c>
      <c r="O1417">
        <v>7.0000000000000007E-2</v>
      </c>
      <c r="P1417">
        <v>0.94</v>
      </c>
      <c r="Q1417">
        <v>0.01</v>
      </c>
    </row>
    <row r="1418" spans="1:17" x14ac:dyDescent="0.25">
      <c r="A1418">
        <v>730160</v>
      </c>
      <c r="B1418" t="s">
        <v>2730</v>
      </c>
      <c r="C1418" t="s">
        <v>78</v>
      </c>
      <c r="D1418" t="s">
        <v>78</v>
      </c>
      <c r="E1418" t="s">
        <v>78</v>
      </c>
      <c r="F1418" t="s">
        <v>78</v>
      </c>
      <c r="G1418" t="s">
        <v>78</v>
      </c>
      <c r="H1418">
        <v>0.1</v>
      </c>
      <c r="I1418" s="1">
        <v>0</v>
      </c>
      <c r="J1418" s="1">
        <v>0</v>
      </c>
      <c r="K1418">
        <v>0</v>
      </c>
      <c r="L1418">
        <v>0.04</v>
      </c>
      <c r="M1418">
        <v>0.05</v>
      </c>
      <c r="N1418" s="1">
        <v>10000000</v>
      </c>
      <c r="O1418">
        <v>0.05</v>
      </c>
      <c r="P1418">
        <v>0.68</v>
      </c>
      <c r="Q1418">
        <v>0.01</v>
      </c>
    </row>
    <row r="1419" spans="1:17" x14ac:dyDescent="0.25">
      <c r="A1419">
        <v>730161</v>
      </c>
      <c r="B1419" t="s">
        <v>2731</v>
      </c>
      <c r="C1419" t="s">
        <v>78</v>
      </c>
      <c r="D1419" t="s">
        <v>78</v>
      </c>
      <c r="E1419" t="s">
        <v>78</v>
      </c>
      <c r="F1419" t="s">
        <v>78</v>
      </c>
      <c r="G1419" t="s">
        <v>78</v>
      </c>
      <c r="H1419">
        <v>0.21</v>
      </c>
      <c r="I1419" s="1">
        <v>0</v>
      </c>
      <c r="J1419" s="1">
        <v>0</v>
      </c>
      <c r="K1419">
        <v>0</v>
      </c>
      <c r="L1419">
        <v>0.09</v>
      </c>
      <c r="M1419">
        <v>0.1</v>
      </c>
      <c r="N1419" s="1">
        <v>10000000</v>
      </c>
      <c r="O1419">
        <v>0.1</v>
      </c>
      <c r="P1419">
        <v>1.0900000000000001</v>
      </c>
      <c r="Q1419">
        <v>0.01</v>
      </c>
    </row>
    <row r="1420" spans="1:17" x14ac:dyDescent="0.25">
      <c r="A1420">
        <v>730162</v>
      </c>
      <c r="B1420" t="s">
        <v>2732</v>
      </c>
      <c r="C1420" t="s">
        <v>78</v>
      </c>
      <c r="D1420" t="s">
        <v>78</v>
      </c>
      <c r="E1420" t="s">
        <v>78</v>
      </c>
      <c r="F1420" t="s">
        <v>78</v>
      </c>
      <c r="G1420" t="s">
        <v>78</v>
      </c>
      <c r="H1420">
        <v>8.0500000000000007</v>
      </c>
      <c r="I1420" s="1">
        <v>0</v>
      </c>
      <c r="J1420" s="1">
        <v>0</v>
      </c>
      <c r="K1420">
        <v>0</v>
      </c>
      <c r="L1420">
        <v>7.2</v>
      </c>
      <c r="M1420">
        <v>7.7</v>
      </c>
      <c r="N1420" s="1">
        <v>10000000</v>
      </c>
      <c r="O1420">
        <v>7.2</v>
      </c>
      <c r="P1420">
        <v>9.4499999999999993</v>
      </c>
      <c r="Q1420">
        <v>4.93</v>
      </c>
    </row>
    <row r="1421" spans="1:17" x14ac:dyDescent="0.25">
      <c r="A1421">
        <v>730164</v>
      </c>
      <c r="B1421" t="s">
        <v>2733</v>
      </c>
      <c r="C1421" t="s">
        <v>78</v>
      </c>
      <c r="D1421" t="s">
        <v>78</v>
      </c>
      <c r="E1421" t="s">
        <v>78</v>
      </c>
      <c r="F1421" t="s">
        <v>78</v>
      </c>
      <c r="G1421" t="s">
        <v>78</v>
      </c>
      <c r="H1421">
        <v>0.28999999999999998</v>
      </c>
      <c r="I1421" s="1">
        <v>0</v>
      </c>
      <c r="J1421" s="1">
        <v>0</v>
      </c>
      <c r="K1421">
        <v>0</v>
      </c>
      <c r="L1421">
        <v>0.08</v>
      </c>
      <c r="M1421">
        <v>0.09</v>
      </c>
      <c r="N1421" s="1">
        <v>10000000</v>
      </c>
      <c r="O1421">
        <v>0.09</v>
      </c>
      <c r="P1421">
        <v>0.8</v>
      </c>
      <c r="Q1421">
        <v>0.01</v>
      </c>
    </row>
    <row r="1422" spans="1:17" x14ac:dyDescent="0.25">
      <c r="A1422">
        <v>730165</v>
      </c>
      <c r="B1422" t="s">
        <v>2734</v>
      </c>
      <c r="C1422" t="s">
        <v>78</v>
      </c>
      <c r="D1422" t="s">
        <v>78</v>
      </c>
      <c r="E1422" t="s">
        <v>78</v>
      </c>
      <c r="F1422" t="s">
        <v>78</v>
      </c>
      <c r="G1422" t="s">
        <v>78</v>
      </c>
      <c r="H1422">
        <v>5.65</v>
      </c>
      <c r="I1422" s="1">
        <v>0</v>
      </c>
      <c r="J1422" s="1">
        <v>0</v>
      </c>
      <c r="K1422">
        <v>0</v>
      </c>
      <c r="L1422">
        <v>5.2</v>
      </c>
      <c r="M1422">
        <v>5.7</v>
      </c>
      <c r="N1422" s="1">
        <v>10000000</v>
      </c>
      <c r="O1422">
        <v>5.35</v>
      </c>
      <c r="P1422">
        <v>6.9</v>
      </c>
      <c r="Q1422">
        <v>3.76</v>
      </c>
    </row>
    <row r="1423" spans="1:17" x14ac:dyDescent="0.25">
      <c r="A1423">
        <v>730166</v>
      </c>
      <c r="B1423" t="s">
        <v>2735</v>
      </c>
      <c r="C1423" t="s">
        <v>78</v>
      </c>
      <c r="D1423" t="s">
        <v>78</v>
      </c>
      <c r="E1423" t="s">
        <v>78</v>
      </c>
      <c r="F1423" t="s">
        <v>78</v>
      </c>
      <c r="G1423" t="s">
        <v>78</v>
      </c>
      <c r="H1423">
        <v>0.01</v>
      </c>
      <c r="I1423" s="1">
        <v>0</v>
      </c>
      <c r="J1423" s="1">
        <v>0</v>
      </c>
      <c r="K1423">
        <v>0</v>
      </c>
      <c r="L1423">
        <v>0.01</v>
      </c>
      <c r="M1423">
        <v>0.02</v>
      </c>
      <c r="N1423" s="1">
        <v>10000000</v>
      </c>
      <c r="O1423">
        <v>0.01</v>
      </c>
      <c r="P1423">
        <v>0.45</v>
      </c>
      <c r="Q1423">
        <v>0.01</v>
      </c>
    </row>
    <row r="1424" spans="1:17" x14ac:dyDescent="0.25">
      <c r="A1424">
        <v>730167</v>
      </c>
      <c r="B1424" t="s">
        <v>2736</v>
      </c>
      <c r="C1424">
        <v>3.41</v>
      </c>
      <c r="D1424">
        <v>0.12</v>
      </c>
      <c r="E1424">
        <v>3.41</v>
      </c>
      <c r="F1424">
        <v>3.41</v>
      </c>
      <c r="G1424">
        <v>3.41</v>
      </c>
      <c r="H1424">
        <v>3.41</v>
      </c>
      <c r="I1424" s="1">
        <v>2000</v>
      </c>
      <c r="J1424" s="1">
        <v>6820</v>
      </c>
      <c r="K1424">
        <v>2</v>
      </c>
      <c r="L1424">
        <v>3.22</v>
      </c>
      <c r="M1424">
        <v>3.31</v>
      </c>
      <c r="N1424" s="1">
        <v>14000000</v>
      </c>
      <c r="O1424">
        <v>3.41</v>
      </c>
      <c r="P1424">
        <v>4.2</v>
      </c>
      <c r="Q1424">
        <v>2.62</v>
      </c>
    </row>
    <row r="1425" spans="1:17" x14ac:dyDescent="0.25">
      <c r="A1425">
        <v>730169</v>
      </c>
      <c r="B1425" t="s">
        <v>2737</v>
      </c>
      <c r="C1425" t="s">
        <v>78</v>
      </c>
      <c r="D1425" t="s">
        <v>78</v>
      </c>
      <c r="E1425" t="s">
        <v>78</v>
      </c>
      <c r="F1425" t="s">
        <v>78</v>
      </c>
      <c r="G1425" t="s">
        <v>78</v>
      </c>
      <c r="H1425">
        <v>3.88</v>
      </c>
      <c r="I1425" s="1">
        <v>0</v>
      </c>
      <c r="J1425" s="1">
        <v>0</v>
      </c>
      <c r="K1425">
        <v>0</v>
      </c>
      <c r="L1425">
        <v>3.82</v>
      </c>
      <c r="M1425">
        <v>0</v>
      </c>
      <c r="N1425" s="1">
        <v>10000000</v>
      </c>
      <c r="O1425">
        <v>4.01</v>
      </c>
      <c r="P1425">
        <v>5.05</v>
      </c>
      <c r="Q1425">
        <v>2.97</v>
      </c>
    </row>
    <row r="1426" spans="1:17" x14ac:dyDescent="0.25">
      <c r="A1426">
        <v>730170</v>
      </c>
      <c r="B1426" t="s">
        <v>2738</v>
      </c>
      <c r="C1426">
        <v>0.27</v>
      </c>
      <c r="D1426">
        <v>0.01</v>
      </c>
      <c r="E1426">
        <v>0.28000000000000003</v>
      </c>
      <c r="F1426">
        <v>0.38</v>
      </c>
      <c r="G1426">
        <v>0.27</v>
      </c>
      <c r="H1426">
        <v>0.31</v>
      </c>
      <c r="I1426" s="1">
        <v>470000</v>
      </c>
      <c r="J1426" s="1">
        <v>145700</v>
      </c>
      <c r="K1426">
        <v>7</v>
      </c>
      <c r="L1426">
        <v>0.26</v>
      </c>
      <c r="M1426">
        <v>0.27</v>
      </c>
      <c r="N1426" s="1">
        <v>10000000</v>
      </c>
      <c r="O1426">
        <v>0.27</v>
      </c>
      <c r="P1426">
        <v>0.99</v>
      </c>
      <c r="Q1426">
        <v>0.01</v>
      </c>
    </row>
    <row r="1427" spans="1:17" x14ac:dyDescent="0.25">
      <c r="A1427">
        <v>730174</v>
      </c>
      <c r="B1427" t="s">
        <v>2739</v>
      </c>
      <c r="C1427">
        <v>0.23</v>
      </c>
      <c r="D1427">
        <v>-0.01</v>
      </c>
      <c r="E1427">
        <v>0.23</v>
      </c>
      <c r="F1427">
        <v>0.23</v>
      </c>
      <c r="G1427">
        <v>0.23</v>
      </c>
      <c r="H1427">
        <v>0.23</v>
      </c>
      <c r="I1427" s="1">
        <v>40000</v>
      </c>
      <c r="J1427" s="1">
        <v>9200</v>
      </c>
      <c r="K1427">
        <v>1</v>
      </c>
      <c r="L1427">
        <v>0.23</v>
      </c>
      <c r="M1427">
        <v>0.24</v>
      </c>
      <c r="N1427" s="1">
        <v>10000000</v>
      </c>
      <c r="O1427">
        <v>0.23</v>
      </c>
      <c r="P1427">
        <v>0.69</v>
      </c>
      <c r="Q1427">
        <v>0.01</v>
      </c>
    </row>
    <row r="1428" spans="1:17" x14ac:dyDescent="0.25">
      <c r="A1428">
        <v>730175</v>
      </c>
      <c r="B1428" t="s">
        <v>2740</v>
      </c>
      <c r="C1428">
        <v>0.52</v>
      </c>
      <c r="D1428">
        <v>0</v>
      </c>
      <c r="E1428">
        <v>0.52</v>
      </c>
      <c r="F1428">
        <v>0.52</v>
      </c>
      <c r="G1428">
        <v>0.52</v>
      </c>
      <c r="H1428">
        <v>0.52</v>
      </c>
      <c r="I1428" s="1">
        <v>10000</v>
      </c>
      <c r="J1428" s="1">
        <v>5200</v>
      </c>
      <c r="K1428">
        <v>2</v>
      </c>
      <c r="L1428">
        <v>0.47</v>
      </c>
      <c r="M1428">
        <v>0.49</v>
      </c>
      <c r="N1428" s="1">
        <v>10000000</v>
      </c>
      <c r="O1428">
        <v>0.52</v>
      </c>
      <c r="P1428">
        <v>1.21</v>
      </c>
      <c r="Q1428">
        <v>0.01</v>
      </c>
    </row>
    <row r="1429" spans="1:17" x14ac:dyDescent="0.25">
      <c r="A1429">
        <v>730179</v>
      </c>
      <c r="B1429" t="s">
        <v>2741</v>
      </c>
      <c r="C1429" t="s">
        <v>78</v>
      </c>
      <c r="D1429" t="s">
        <v>78</v>
      </c>
      <c r="E1429" t="s">
        <v>78</v>
      </c>
      <c r="F1429" t="s">
        <v>78</v>
      </c>
      <c r="G1429" t="s">
        <v>78</v>
      </c>
      <c r="H1429">
        <v>0.34</v>
      </c>
      <c r="I1429" s="1">
        <v>0</v>
      </c>
      <c r="J1429" s="1">
        <v>0</v>
      </c>
      <c r="K1429">
        <v>0</v>
      </c>
      <c r="L1429">
        <v>0.02</v>
      </c>
      <c r="M1429">
        <v>0.03</v>
      </c>
      <c r="N1429" s="1">
        <v>10000000</v>
      </c>
      <c r="O1429">
        <v>0.03</v>
      </c>
      <c r="P1429">
        <v>0.83</v>
      </c>
      <c r="Q1429">
        <v>0.01</v>
      </c>
    </row>
    <row r="1430" spans="1:17" x14ac:dyDescent="0.25">
      <c r="A1430">
        <v>730180</v>
      </c>
      <c r="B1430" t="s">
        <v>2742</v>
      </c>
      <c r="C1430" t="s">
        <v>78</v>
      </c>
      <c r="D1430" t="s">
        <v>78</v>
      </c>
      <c r="E1430" t="s">
        <v>78</v>
      </c>
      <c r="F1430" t="s">
        <v>78</v>
      </c>
      <c r="G1430" t="s">
        <v>78</v>
      </c>
      <c r="H1430">
        <v>0.51</v>
      </c>
      <c r="I1430" s="1">
        <v>0</v>
      </c>
      <c r="J1430" s="1">
        <v>0</v>
      </c>
      <c r="K1430">
        <v>0</v>
      </c>
      <c r="L1430">
        <v>0.39</v>
      </c>
      <c r="M1430">
        <v>0.41</v>
      </c>
      <c r="N1430" s="1">
        <v>10000000</v>
      </c>
      <c r="O1430">
        <v>0.41</v>
      </c>
      <c r="P1430">
        <v>0.94</v>
      </c>
      <c r="Q1430">
        <v>0.01</v>
      </c>
    </row>
    <row r="1431" spans="1:17" x14ac:dyDescent="0.25">
      <c r="A1431">
        <v>730181</v>
      </c>
      <c r="B1431" t="s">
        <v>2743</v>
      </c>
      <c r="C1431" t="s">
        <v>78</v>
      </c>
      <c r="D1431" t="s">
        <v>78</v>
      </c>
      <c r="E1431" t="s">
        <v>78</v>
      </c>
      <c r="F1431" t="s">
        <v>78</v>
      </c>
      <c r="G1431" t="s">
        <v>78</v>
      </c>
      <c r="H1431">
        <v>0.4</v>
      </c>
      <c r="I1431" s="1">
        <v>0</v>
      </c>
      <c r="J1431" s="1">
        <v>0</v>
      </c>
      <c r="K1431">
        <v>0</v>
      </c>
      <c r="L1431">
        <v>0.08</v>
      </c>
      <c r="M1431">
        <v>0.09</v>
      </c>
      <c r="N1431" s="1">
        <v>10000000</v>
      </c>
      <c r="O1431">
        <v>0.09</v>
      </c>
      <c r="P1431">
        <v>1.28</v>
      </c>
      <c r="Q1431">
        <v>0.01</v>
      </c>
    </row>
    <row r="1432" spans="1:17" x14ac:dyDescent="0.25">
      <c r="A1432">
        <v>730182</v>
      </c>
      <c r="B1432" t="s">
        <v>2744</v>
      </c>
      <c r="C1432">
        <v>0.1</v>
      </c>
      <c r="D1432">
        <v>0</v>
      </c>
      <c r="E1432">
        <v>0.1</v>
      </c>
      <c r="F1432">
        <v>0.1</v>
      </c>
      <c r="G1432">
        <v>0.1</v>
      </c>
      <c r="H1432">
        <v>0.1</v>
      </c>
      <c r="I1432" s="1">
        <v>1405000</v>
      </c>
      <c r="J1432" s="1">
        <v>140500</v>
      </c>
      <c r="K1432">
        <v>8</v>
      </c>
      <c r="L1432">
        <v>0.09</v>
      </c>
      <c r="M1432">
        <v>0.1</v>
      </c>
      <c r="N1432" s="1">
        <v>10000000</v>
      </c>
      <c r="O1432">
        <v>0.1</v>
      </c>
      <c r="P1432">
        <v>0.45</v>
      </c>
      <c r="Q1432">
        <v>0.01</v>
      </c>
    </row>
    <row r="1433" spans="1:17" x14ac:dyDescent="0.25">
      <c r="A1433">
        <v>730183</v>
      </c>
      <c r="B1433" t="s">
        <v>2745</v>
      </c>
      <c r="C1433" t="s">
        <v>78</v>
      </c>
      <c r="D1433" t="s">
        <v>78</v>
      </c>
      <c r="E1433" t="s">
        <v>78</v>
      </c>
      <c r="F1433" t="s">
        <v>78</v>
      </c>
      <c r="G1433" t="s">
        <v>78</v>
      </c>
      <c r="H1433">
        <v>0.02</v>
      </c>
      <c r="I1433" s="1">
        <v>0</v>
      </c>
      <c r="J1433" s="1">
        <v>0</v>
      </c>
      <c r="K1433">
        <v>0</v>
      </c>
      <c r="L1433">
        <v>0</v>
      </c>
      <c r="M1433">
        <v>0.01</v>
      </c>
      <c r="N1433" s="1">
        <v>10000000</v>
      </c>
      <c r="O1433">
        <v>0.01</v>
      </c>
      <c r="P1433">
        <v>0.91</v>
      </c>
      <c r="Q1433">
        <v>0.01</v>
      </c>
    </row>
    <row r="1434" spans="1:17" x14ac:dyDescent="0.25">
      <c r="A1434">
        <v>730193</v>
      </c>
      <c r="B1434" t="s">
        <v>2746</v>
      </c>
      <c r="C1434" t="s">
        <v>78</v>
      </c>
      <c r="D1434" t="s">
        <v>78</v>
      </c>
      <c r="E1434" t="s">
        <v>78</v>
      </c>
      <c r="F1434" t="s">
        <v>78</v>
      </c>
      <c r="G1434" t="s">
        <v>78</v>
      </c>
      <c r="H1434">
        <v>2.3199999999999998</v>
      </c>
      <c r="I1434" s="1">
        <v>0</v>
      </c>
      <c r="J1434" s="1">
        <v>0</v>
      </c>
      <c r="K1434">
        <v>0</v>
      </c>
      <c r="L1434">
        <v>2.98</v>
      </c>
      <c r="M1434">
        <v>3.08</v>
      </c>
      <c r="N1434" s="1">
        <v>5000000</v>
      </c>
      <c r="O1434">
        <v>2.98</v>
      </c>
      <c r="P1434">
        <v>4.1399999999999997</v>
      </c>
      <c r="Q1434">
        <v>1.82</v>
      </c>
    </row>
    <row r="1435" spans="1:17" x14ac:dyDescent="0.25">
      <c r="A1435">
        <v>730194</v>
      </c>
      <c r="B1435" t="s">
        <v>2747</v>
      </c>
      <c r="C1435">
        <v>0.01</v>
      </c>
      <c r="D1435">
        <v>-0.01</v>
      </c>
      <c r="E1435">
        <v>0.01</v>
      </c>
      <c r="F1435">
        <v>0.01</v>
      </c>
      <c r="G1435">
        <v>0.01</v>
      </c>
      <c r="H1435">
        <v>0.01</v>
      </c>
      <c r="I1435" s="1">
        <v>30000</v>
      </c>
      <c r="J1435" s="1">
        <v>300</v>
      </c>
      <c r="K1435">
        <v>1</v>
      </c>
      <c r="L1435">
        <v>0.01</v>
      </c>
      <c r="M1435">
        <v>0.02</v>
      </c>
      <c r="N1435" s="1">
        <v>10000000</v>
      </c>
      <c r="O1435">
        <v>0.01</v>
      </c>
      <c r="P1435">
        <v>1.1100000000000001</v>
      </c>
      <c r="Q1435">
        <v>0.01</v>
      </c>
    </row>
    <row r="1436" spans="1:17" x14ac:dyDescent="0.25">
      <c r="A1436">
        <v>730198</v>
      </c>
      <c r="B1436" t="s">
        <v>2748</v>
      </c>
      <c r="C1436">
        <v>0.1</v>
      </c>
      <c r="D1436">
        <v>-0.02</v>
      </c>
      <c r="E1436">
        <v>0.1</v>
      </c>
      <c r="F1436">
        <v>0.1</v>
      </c>
      <c r="G1436">
        <v>0.1</v>
      </c>
      <c r="H1436">
        <v>0.1</v>
      </c>
      <c r="I1436" s="1">
        <v>695000</v>
      </c>
      <c r="J1436" s="1">
        <v>69500</v>
      </c>
      <c r="K1436">
        <v>76</v>
      </c>
      <c r="L1436">
        <v>0.1</v>
      </c>
      <c r="M1436">
        <v>0.15</v>
      </c>
      <c r="N1436" s="1">
        <v>5000000</v>
      </c>
      <c r="O1436">
        <v>0.1</v>
      </c>
      <c r="P1436">
        <v>0.57999999999999996</v>
      </c>
      <c r="Q1436">
        <v>0.01</v>
      </c>
    </row>
    <row r="1437" spans="1:17" x14ac:dyDescent="0.25">
      <c r="A1437">
        <v>730199</v>
      </c>
      <c r="B1437" t="s">
        <v>2749</v>
      </c>
      <c r="C1437" t="s">
        <v>78</v>
      </c>
      <c r="D1437" t="s">
        <v>78</v>
      </c>
      <c r="E1437" t="s">
        <v>78</v>
      </c>
      <c r="F1437" t="s">
        <v>78</v>
      </c>
      <c r="G1437" t="s">
        <v>78</v>
      </c>
      <c r="H1437">
        <v>1.31</v>
      </c>
      <c r="I1437" s="1">
        <v>0</v>
      </c>
      <c r="J1437" s="1">
        <v>0</v>
      </c>
      <c r="K1437">
        <v>0</v>
      </c>
      <c r="L1437">
        <v>0.81</v>
      </c>
      <c r="M1437">
        <v>0.85</v>
      </c>
      <c r="N1437" s="1">
        <v>7000000</v>
      </c>
      <c r="O1437">
        <v>0.85</v>
      </c>
      <c r="P1437">
        <v>1.42</v>
      </c>
      <c r="Q1437">
        <v>0.28000000000000003</v>
      </c>
    </row>
    <row r="1438" spans="1:17" x14ac:dyDescent="0.25">
      <c r="A1438">
        <v>730202</v>
      </c>
      <c r="B1438" t="s">
        <v>2750</v>
      </c>
      <c r="C1438">
        <v>0.62</v>
      </c>
      <c r="D1438">
        <v>0.01</v>
      </c>
      <c r="E1438">
        <v>0.62</v>
      </c>
      <c r="F1438">
        <v>0.62</v>
      </c>
      <c r="G1438">
        <v>0.6</v>
      </c>
      <c r="H1438">
        <v>0.61</v>
      </c>
      <c r="I1438" s="1">
        <v>38000</v>
      </c>
      <c r="J1438" s="1">
        <v>23310</v>
      </c>
      <c r="K1438">
        <v>4</v>
      </c>
      <c r="L1438">
        <v>0.62</v>
      </c>
      <c r="M1438">
        <v>0.63</v>
      </c>
      <c r="N1438" s="1">
        <v>10000000</v>
      </c>
      <c r="O1438">
        <v>0.62</v>
      </c>
      <c r="P1438">
        <v>1.19</v>
      </c>
      <c r="Q1438">
        <v>0.04</v>
      </c>
    </row>
    <row r="1439" spans="1:17" x14ac:dyDescent="0.25">
      <c r="A1439">
        <v>730203</v>
      </c>
      <c r="B1439" t="s">
        <v>2751</v>
      </c>
      <c r="C1439">
        <v>0.45</v>
      </c>
      <c r="D1439">
        <v>-0.01</v>
      </c>
      <c r="E1439">
        <v>0.45</v>
      </c>
      <c r="F1439">
        <v>0.45</v>
      </c>
      <c r="G1439">
        <v>0.45</v>
      </c>
      <c r="H1439">
        <v>0.45</v>
      </c>
      <c r="I1439" s="1">
        <v>100000</v>
      </c>
      <c r="J1439" s="1">
        <v>45000</v>
      </c>
      <c r="K1439">
        <v>1</v>
      </c>
      <c r="L1439">
        <v>0.41</v>
      </c>
      <c r="M1439">
        <v>0.42</v>
      </c>
      <c r="N1439" s="1">
        <v>10000000</v>
      </c>
      <c r="O1439">
        <v>0.45</v>
      </c>
      <c r="P1439">
        <v>1.02</v>
      </c>
      <c r="Q1439">
        <v>0.01</v>
      </c>
    </row>
    <row r="1440" spans="1:17" x14ac:dyDescent="0.25">
      <c r="A1440">
        <v>730204</v>
      </c>
      <c r="B1440" t="s">
        <v>2752</v>
      </c>
      <c r="C1440">
        <v>3.71</v>
      </c>
      <c r="D1440">
        <v>0</v>
      </c>
      <c r="E1440">
        <v>3.71</v>
      </c>
      <c r="F1440">
        <v>3.85</v>
      </c>
      <c r="G1440">
        <v>3.39</v>
      </c>
      <c r="H1440">
        <v>3.66</v>
      </c>
      <c r="I1440" s="1">
        <v>40000</v>
      </c>
      <c r="J1440" s="1">
        <v>146600</v>
      </c>
      <c r="K1440">
        <v>4</v>
      </c>
      <c r="L1440">
        <v>3.71</v>
      </c>
      <c r="M1440">
        <v>3.81</v>
      </c>
      <c r="N1440" s="1">
        <v>10000000</v>
      </c>
      <c r="O1440">
        <v>3.71</v>
      </c>
      <c r="P1440">
        <v>7.2</v>
      </c>
      <c r="Q1440">
        <v>0.18</v>
      </c>
    </row>
    <row r="1441" spans="1:17" x14ac:dyDescent="0.25">
      <c r="A1441">
        <v>730206</v>
      </c>
      <c r="B1441" t="s">
        <v>2753</v>
      </c>
      <c r="C1441">
        <v>0.17</v>
      </c>
      <c r="D1441">
        <v>-0.02</v>
      </c>
      <c r="E1441">
        <v>0.2</v>
      </c>
      <c r="F1441">
        <v>0.2</v>
      </c>
      <c r="G1441">
        <v>0.17</v>
      </c>
      <c r="H1441">
        <v>0.19</v>
      </c>
      <c r="I1441" s="1">
        <v>206000</v>
      </c>
      <c r="J1441" s="1">
        <v>39520</v>
      </c>
      <c r="K1441">
        <v>3</v>
      </c>
      <c r="L1441">
        <v>0.17</v>
      </c>
      <c r="M1441">
        <v>0.18</v>
      </c>
      <c r="N1441" s="1">
        <v>10000000</v>
      </c>
      <c r="O1441">
        <v>0.17</v>
      </c>
      <c r="P1441">
        <v>1.36</v>
      </c>
      <c r="Q1441">
        <v>0.01</v>
      </c>
    </row>
    <row r="1442" spans="1:17" x14ac:dyDescent="0.25">
      <c r="A1442">
        <v>730207</v>
      </c>
      <c r="B1442" t="s">
        <v>2754</v>
      </c>
      <c r="C1442">
        <v>0.49</v>
      </c>
      <c r="D1442">
        <v>0.04</v>
      </c>
      <c r="E1442">
        <v>0.5</v>
      </c>
      <c r="F1442">
        <v>0.51</v>
      </c>
      <c r="G1442">
        <v>0.49</v>
      </c>
      <c r="H1442">
        <v>0.5</v>
      </c>
      <c r="I1442" s="1">
        <v>92000</v>
      </c>
      <c r="J1442" s="1">
        <v>46280</v>
      </c>
      <c r="K1442">
        <v>7</v>
      </c>
      <c r="L1442">
        <v>0.44</v>
      </c>
      <c r="M1442">
        <v>0.46</v>
      </c>
      <c r="N1442" s="1">
        <v>10000000</v>
      </c>
      <c r="O1442">
        <v>0.49</v>
      </c>
      <c r="P1442">
        <v>0.89</v>
      </c>
      <c r="Q1442">
        <v>0.09</v>
      </c>
    </row>
    <row r="1443" spans="1:17" x14ac:dyDescent="0.25">
      <c r="A1443">
        <v>730208</v>
      </c>
      <c r="B1443" t="s">
        <v>2755</v>
      </c>
      <c r="C1443" t="s">
        <v>78</v>
      </c>
      <c r="D1443" t="s">
        <v>78</v>
      </c>
      <c r="E1443" t="s">
        <v>78</v>
      </c>
      <c r="F1443" t="s">
        <v>78</v>
      </c>
      <c r="G1443" t="s">
        <v>78</v>
      </c>
      <c r="H1443">
        <v>1.55</v>
      </c>
      <c r="I1443" s="1">
        <v>0</v>
      </c>
      <c r="J1443" s="1">
        <v>0</v>
      </c>
      <c r="K1443">
        <v>0</v>
      </c>
      <c r="L1443">
        <v>2.2200000000000002</v>
      </c>
      <c r="M1443">
        <v>0</v>
      </c>
      <c r="N1443" s="1">
        <v>10000000</v>
      </c>
      <c r="O1443">
        <v>2.5099999999999998</v>
      </c>
      <c r="P1443">
        <v>3.17</v>
      </c>
      <c r="Q1443">
        <v>1.85</v>
      </c>
    </row>
    <row r="1444" spans="1:17" x14ac:dyDescent="0.25">
      <c r="A1444">
        <v>730213</v>
      </c>
      <c r="B1444" t="s">
        <v>2756</v>
      </c>
      <c r="C1444">
        <v>1.03</v>
      </c>
      <c r="D1444">
        <v>-0.02</v>
      </c>
      <c r="E1444">
        <v>1.03</v>
      </c>
      <c r="F1444">
        <v>1.03</v>
      </c>
      <c r="G1444">
        <v>1.03</v>
      </c>
      <c r="H1444">
        <v>1.03</v>
      </c>
      <c r="I1444" s="1">
        <v>15000</v>
      </c>
      <c r="J1444" s="1">
        <v>15450</v>
      </c>
      <c r="K1444">
        <v>1</v>
      </c>
      <c r="L1444">
        <v>1.05</v>
      </c>
      <c r="M1444">
        <v>1.0900000000000001</v>
      </c>
      <c r="N1444" s="1">
        <v>5000000</v>
      </c>
      <c r="O1444">
        <v>1.03</v>
      </c>
      <c r="P1444">
        <v>1.74</v>
      </c>
      <c r="Q1444">
        <v>0.32</v>
      </c>
    </row>
    <row r="1445" spans="1:17" x14ac:dyDescent="0.25">
      <c r="A1445">
        <v>730214</v>
      </c>
      <c r="B1445" t="s">
        <v>2757</v>
      </c>
      <c r="C1445" t="s">
        <v>78</v>
      </c>
      <c r="D1445" t="s">
        <v>78</v>
      </c>
      <c r="E1445" t="s">
        <v>78</v>
      </c>
      <c r="F1445" t="s">
        <v>78</v>
      </c>
      <c r="G1445" t="s">
        <v>78</v>
      </c>
      <c r="H1445">
        <v>6.5</v>
      </c>
      <c r="I1445" s="1">
        <v>0</v>
      </c>
      <c r="J1445" s="1">
        <v>0</v>
      </c>
      <c r="K1445">
        <v>0</v>
      </c>
      <c r="L1445">
        <v>4.62</v>
      </c>
      <c r="M1445">
        <v>4.76</v>
      </c>
      <c r="N1445" s="1">
        <v>5000000</v>
      </c>
      <c r="O1445">
        <v>4.74</v>
      </c>
      <c r="P1445">
        <v>5.95</v>
      </c>
      <c r="Q1445">
        <v>3.51</v>
      </c>
    </row>
    <row r="1446" spans="1:17" x14ac:dyDescent="0.25">
      <c r="A1446">
        <v>730217</v>
      </c>
      <c r="B1446" t="s">
        <v>2758</v>
      </c>
      <c r="C1446" t="s">
        <v>78</v>
      </c>
      <c r="D1446" t="s">
        <v>78</v>
      </c>
      <c r="E1446" t="s">
        <v>78</v>
      </c>
      <c r="F1446" t="s">
        <v>78</v>
      </c>
      <c r="G1446" t="s">
        <v>78</v>
      </c>
      <c r="H1446">
        <v>3.07</v>
      </c>
      <c r="I1446" s="1">
        <v>0</v>
      </c>
      <c r="J1446" s="1">
        <v>0</v>
      </c>
      <c r="K1446">
        <v>0</v>
      </c>
      <c r="L1446">
        <v>2.29</v>
      </c>
      <c r="M1446">
        <v>2.39</v>
      </c>
      <c r="N1446" s="1">
        <v>10000000</v>
      </c>
      <c r="O1446">
        <v>2.39</v>
      </c>
      <c r="P1446">
        <v>3.68</v>
      </c>
      <c r="Q1446">
        <v>1.1000000000000001</v>
      </c>
    </row>
    <row r="1447" spans="1:17" x14ac:dyDescent="0.25">
      <c r="A1447">
        <v>730220</v>
      </c>
      <c r="B1447" t="s">
        <v>2759</v>
      </c>
      <c r="C1447" t="s">
        <v>78</v>
      </c>
      <c r="D1447" t="s">
        <v>78</v>
      </c>
      <c r="E1447" t="s">
        <v>78</v>
      </c>
      <c r="F1447" t="s">
        <v>78</v>
      </c>
      <c r="G1447" t="s">
        <v>78</v>
      </c>
      <c r="H1447">
        <v>0.01</v>
      </c>
      <c r="I1447" s="1">
        <v>0</v>
      </c>
      <c r="J1447" s="1">
        <v>0</v>
      </c>
      <c r="K1447">
        <v>0</v>
      </c>
      <c r="L1447">
        <v>0</v>
      </c>
      <c r="M1447">
        <v>0</v>
      </c>
      <c r="N1447" s="1">
        <v>10000000</v>
      </c>
      <c r="O1447">
        <v>0.01</v>
      </c>
      <c r="P1447">
        <v>0.6</v>
      </c>
      <c r="Q1447">
        <v>0.01</v>
      </c>
    </row>
    <row r="1448" spans="1:17" x14ac:dyDescent="0.25">
      <c r="A1448">
        <v>730224</v>
      </c>
      <c r="B1448" t="s">
        <v>2760</v>
      </c>
      <c r="C1448" t="s">
        <v>78</v>
      </c>
      <c r="D1448" t="s">
        <v>78</v>
      </c>
      <c r="E1448" t="s">
        <v>78</v>
      </c>
      <c r="F1448" t="s">
        <v>78</v>
      </c>
      <c r="G1448" t="s">
        <v>78</v>
      </c>
      <c r="H1448">
        <v>0.68</v>
      </c>
      <c r="I1448" s="1">
        <v>0</v>
      </c>
      <c r="J1448" s="1">
        <v>0</v>
      </c>
      <c r="K1448">
        <v>0</v>
      </c>
      <c r="L1448">
        <v>0.57999999999999996</v>
      </c>
      <c r="M1448">
        <v>0.6</v>
      </c>
      <c r="N1448" s="1">
        <v>10000000</v>
      </c>
      <c r="O1448">
        <v>0.6</v>
      </c>
      <c r="P1448">
        <v>1.05</v>
      </c>
      <c r="Q1448">
        <v>0.15</v>
      </c>
    </row>
    <row r="1449" spans="1:17" x14ac:dyDescent="0.25">
      <c r="A1449">
        <v>730226</v>
      </c>
      <c r="B1449" t="s">
        <v>2761</v>
      </c>
      <c r="C1449">
        <v>0.04</v>
      </c>
      <c r="D1449">
        <v>0</v>
      </c>
      <c r="E1449">
        <v>0.04</v>
      </c>
      <c r="F1449">
        <v>0.04</v>
      </c>
      <c r="G1449">
        <v>0.04</v>
      </c>
      <c r="H1449">
        <v>0.04</v>
      </c>
      <c r="I1449" s="1">
        <v>20000</v>
      </c>
      <c r="J1449" s="1">
        <v>800</v>
      </c>
      <c r="K1449">
        <v>1</v>
      </c>
      <c r="L1449">
        <v>0.03</v>
      </c>
      <c r="M1449">
        <v>0.04</v>
      </c>
      <c r="N1449" s="1">
        <v>10000000</v>
      </c>
      <c r="O1449">
        <v>0.04</v>
      </c>
      <c r="P1449">
        <v>0.79</v>
      </c>
      <c r="Q1449">
        <v>0.01</v>
      </c>
    </row>
    <row r="1450" spans="1:17" x14ac:dyDescent="0.25">
      <c r="A1450">
        <v>730227</v>
      </c>
      <c r="B1450" t="s">
        <v>2762</v>
      </c>
      <c r="C1450" t="s">
        <v>78</v>
      </c>
      <c r="D1450" t="s">
        <v>78</v>
      </c>
      <c r="E1450" t="s">
        <v>78</v>
      </c>
      <c r="F1450" t="s">
        <v>78</v>
      </c>
      <c r="G1450" t="s">
        <v>78</v>
      </c>
      <c r="H1450">
        <v>0.37</v>
      </c>
      <c r="I1450" s="1">
        <v>0</v>
      </c>
      <c r="J1450" s="1">
        <v>0</v>
      </c>
      <c r="K1450">
        <v>0</v>
      </c>
      <c r="L1450">
        <v>0.01</v>
      </c>
      <c r="M1450">
        <v>0.02</v>
      </c>
      <c r="N1450" s="1">
        <v>10000000</v>
      </c>
      <c r="O1450">
        <v>0.02</v>
      </c>
      <c r="P1450">
        <v>0.38</v>
      </c>
      <c r="Q1450">
        <v>0.01</v>
      </c>
    </row>
    <row r="1451" spans="1:17" x14ac:dyDescent="0.25">
      <c r="A1451">
        <v>730228</v>
      </c>
      <c r="B1451" t="s">
        <v>2763</v>
      </c>
      <c r="C1451" t="s">
        <v>78</v>
      </c>
      <c r="D1451" t="s">
        <v>78</v>
      </c>
      <c r="E1451" t="s">
        <v>78</v>
      </c>
      <c r="F1451" t="s">
        <v>78</v>
      </c>
      <c r="G1451" t="s">
        <v>78</v>
      </c>
      <c r="H1451">
        <v>4.8899999999999997</v>
      </c>
      <c r="I1451" s="1">
        <v>0</v>
      </c>
      <c r="J1451" s="1">
        <v>0</v>
      </c>
      <c r="K1451">
        <v>0</v>
      </c>
      <c r="L1451">
        <v>0</v>
      </c>
      <c r="M1451">
        <v>0</v>
      </c>
      <c r="N1451" s="1">
        <v>10000000</v>
      </c>
      <c r="O1451">
        <v>6.3</v>
      </c>
      <c r="P1451">
        <v>7.35</v>
      </c>
      <c r="Q1451">
        <v>5.25</v>
      </c>
    </row>
    <row r="1452" spans="1:17" x14ac:dyDescent="0.25">
      <c r="A1452">
        <v>730229</v>
      </c>
      <c r="B1452" t="s">
        <v>2764</v>
      </c>
      <c r="C1452">
        <v>0.27</v>
      </c>
      <c r="D1452">
        <v>-0.1</v>
      </c>
      <c r="E1452">
        <v>0.43</v>
      </c>
      <c r="F1452">
        <v>0.43</v>
      </c>
      <c r="G1452">
        <v>0.27</v>
      </c>
      <c r="H1452">
        <v>0.35</v>
      </c>
      <c r="I1452" s="1">
        <v>69000</v>
      </c>
      <c r="J1452" s="1">
        <v>24270</v>
      </c>
      <c r="K1452">
        <v>11</v>
      </c>
      <c r="L1452">
        <v>0.27</v>
      </c>
      <c r="M1452">
        <v>0.28000000000000003</v>
      </c>
      <c r="N1452" s="1">
        <v>5000000</v>
      </c>
      <c r="O1452">
        <v>0.27</v>
      </c>
      <c r="P1452">
        <v>0.93</v>
      </c>
      <c r="Q1452">
        <v>0.01</v>
      </c>
    </row>
    <row r="1453" spans="1:17" x14ac:dyDescent="0.25">
      <c r="A1453">
        <v>730231</v>
      </c>
      <c r="B1453" t="s">
        <v>2765</v>
      </c>
      <c r="C1453" t="s">
        <v>78</v>
      </c>
      <c r="D1453" t="s">
        <v>78</v>
      </c>
      <c r="E1453" t="s">
        <v>78</v>
      </c>
      <c r="F1453" t="s">
        <v>78</v>
      </c>
      <c r="G1453" t="s">
        <v>78</v>
      </c>
      <c r="H1453">
        <v>0.13</v>
      </c>
      <c r="I1453" s="1">
        <v>0</v>
      </c>
      <c r="J1453" s="1">
        <v>0</v>
      </c>
      <c r="K1453">
        <v>0</v>
      </c>
      <c r="L1453">
        <v>0</v>
      </c>
      <c r="M1453">
        <v>0.02</v>
      </c>
      <c r="N1453" s="1">
        <v>10000000</v>
      </c>
      <c r="O1453">
        <v>0.02</v>
      </c>
      <c r="P1453">
        <v>0.6</v>
      </c>
      <c r="Q1453">
        <v>0.01</v>
      </c>
    </row>
    <row r="1454" spans="1:17" x14ac:dyDescent="0.25">
      <c r="A1454">
        <v>730233</v>
      </c>
      <c r="B1454" t="s">
        <v>2766</v>
      </c>
      <c r="C1454" t="s">
        <v>78</v>
      </c>
      <c r="D1454" t="s">
        <v>78</v>
      </c>
      <c r="E1454" t="s">
        <v>78</v>
      </c>
      <c r="F1454" t="s">
        <v>78</v>
      </c>
      <c r="G1454" t="s">
        <v>78</v>
      </c>
      <c r="H1454">
        <v>8.35</v>
      </c>
      <c r="I1454" s="1">
        <v>0</v>
      </c>
      <c r="J1454" s="1">
        <v>0</v>
      </c>
      <c r="K1454">
        <v>0</v>
      </c>
      <c r="L1454">
        <v>6.15</v>
      </c>
      <c r="M1454">
        <v>6.4</v>
      </c>
      <c r="N1454" s="1">
        <v>5000000</v>
      </c>
      <c r="O1454">
        <v>6.4</v>
      </c>
      <c r="P1454">
        <v>7.8</v>
      </c>
      <c r="Q1454">
        <v>4.9800000000000004</v>
      </c>
    </row>
    <row r="1455" spans="1:17" x14ac:dyDescent="0.25">
      <c r="A1455">
        <v>730234</v>
      </c>
      <c r="B1455" t="s">
        <v>2767</v>
      </c>
      <c r="C1455" t="s">
        <v>78</v>
      </c>
      <c r="D1455" t="s">
        <v>78</v>
      </c>
      <c r="E1455" t="s">
        <v>78</v>
      </c>
      <c r="F1455" t="s">
        <v>78</v>
      </c>
      <c r="G1455" t="s">
        <v>78</v>
      </c>
      <c r="H1455">
        <v>0.03</v>
      </c>
      <c r="I1455" s="1">
        <v>0</v>
      </c>
      <c r="J1455" s="1">
        <v>0</v>
      </c>
      <c r="K1455">
        <v>0</v>
      </c>
      <c r="L1455">
        <v>0.01</v>
      </c>
      <c r="M1455">
        <v>0.02</v>
      </c>
      <c r="N1455" s="1">
        <v>10000000</v>
      </c>
      <c r="O1455">
        <v>0.02</v>
      </c>
      <c r="P1455">
        <v>0.37</v>
      </c>
      <c r="Q1455">
        <v>0.01</v>
      </c>
    </row>
    <row r="1456" spans="1:17" x14ac:dyDescent="0.25">
      <c r="A1456">
        <v>730236</v>
      </c>
      <c r="B1456" t="s">
        <v>2768</v>
      </c>
      <c r="C1456" t="s">
        <v>78</v>
      </c>
      <c r="D1456" t="s">
        <v>78</v>
      </c>
      <c r="E1456" t="s">
        <v>78</v>
      </c>
      <c r="F1456" t="s">
        <v>78</v>
      </c>
      <c r="G1456" t="s">
        <v>78</v>
      </c>
      <c r="H1456">
        <v>0.11</v>
      </c>
      <c r="I1456" s="1">
        <v>0</v>
      </c>
      <c r="J1456" s="1">
        <v>0</v>
      </c>
      <c r="K1456">
        <v>0</v>
      </c>
      <c r="L1456">
        <v>0.12</v>
      </c>
      <c r="M1456">
        <v>0.13</v>
      </c>
      <c r="N1456" s="1">
        <v>10000000</v>
      </c>
      <c r="O1456">
        <v>0.12</v>
      </c>
      <c r="P1456">
        <v>0.46</v>
      </c>
      <c r="Q1456">
        <v>0.01</v>
      </c>
    </row>
    <row r="1457" spans="1:17" x14ac:dyDescent="0.25">
      <c r="A1457">
        <v>730240</v>
      </c>
      <c r="B1457" t="s">
        <v>2769</v>
      </c>
      <c r="C1457" t="s">
        <v>78</v>
      </c>
      <c r="D1457" t="s">
        <v>78</v>
      </c>
      <c r="E1457" t="s">
        <v>78</v>
      </c>
      <c r="F1457" t="s">
        <v>78</v>
      </c>
      <c r="G1457" t="s">
        <v>78</v>
      </c>
      <c r="H1457">
        <v>0.48</v>
      </c>
      <c r="I1457" s="1">
        <v>0</v>
      </c>
      <c r="J1457" s="1">
        <v>0</v>
      </c>
      <c r="K1457">
        <v>0</v>
      </c>
      <c r="L1457">
        <v>0.42</v>
      </c>
      <c r="M1457">
        <v>0.48</v>
      </c>
      <c r="N1457" s="1">
        <v>10000000</v>
      </c>
      <c r="O1457">
        <v>0.48</v>
      </c>
      <c r="P1457">
        <v>0.85</v>
      </c>
      <c r="Q1457">
        <v>0.11</v>
      </c>
    </row>
    <row r="1458" spans="1:17" x14ac:dyDescent="0.25">
      <c r="A1458">
        <v>730244</v>
      </c>
      <c r="B1458" t="s">
        <v>2770</v>
      </c>
      <c r="C1458" t="s">
        <v>78</v>
      </c>
      <c r="D1458" t="s">
        <v>78</v>
      </c>
      <c r="E1458" t="s">
        <v>78</v>
      </c>
      <c r="F1458" t="s">
        <v>78</v>
      </c>
      <c r="G1458" t="s">
        <v>78</v>
      </c>
      <c r="H1458">
        <v>0.3</v>
      </c>
      <c r="I1458" s="1">
        <v>0</v>
      </c>
      <c r="J1458" s="1">
        <v>0</v>
      </c>
      <c r="K1458">
        <v>0</v>
      </c>
      <c r="L1458">
        <v>0.28999999999999998</v>
      </c>
      <c r="M1458">
        <v>0.3</v>
      </c>
      <c r="N1458" s="1">
        <v>10000000</v>
      </c>
      <c r="O1458">
        <v>0.3</v>
      </c>
      <c r="P1458">
        <v>0.73</v>
      </c>
      <c r="Q1458">
        <v>0.01</v>
      </c>
    </row>
    <row r="1459" spans="1:17" x14ac:dyDescent="0.25">
      <c r="A1459">
        <v>730245</v>
      </c>
      <c r="B1459" t="s">
        <v>2771</v>
      </c>
      <c r="C1459">
        <v>0.13</v>
      </c>
      <c r="D1459">
        <v>0</v>
      </c>
      <c r="E1459">
        <v>0.13</v>
      </c>
      <c r="F1459">
        <v>0.13</v>
      </c>
      <c r="G1459">
        <v>0.12</v>
      </c>
      <c r="H1459">
        <v>0.13</v>
      </c>
      <c r="I1459" s="1">
        <v>734000</v>
      </c>
      <c r="J1459" s="1">
        <v>91780</v>
      </c>
      <c r="K1459">
        <v>15</v>
      </c>
      <c r="L1459">
        <v>0.12</v>
      </c>
      <c r="M1459">
        <v>0.13</v>
      </c>
      <c r="N1459" s="1">
        <v>10000000</v>
      </c>
      <c r="O1459">
        <v>0.13</v>
      </c>
      <c r="P1459">
        <v>0.73</v>
      </c>
      <c r="Q1459">
        <v>0.01</v>
      </c>
    </row>
    <row r="1460" spans="1:17" x14ac:dyDescent="0.25">
      <c r="A1460">
        <v>730253</v>
      </c>
      <c r="B1460" t="s">
        <v>2772</v>
      </c>
      <c r="C1460" t="s">
        <v>78</v>
      </c>
      <c r="D1460" t="s">
        <v>78</v>
      </c>
      <c r="E1460" t="s">
        <v>78</v>
      </c>
      <c r="F1460" t="s">
        <v>78</v>
      </c>
      <c r="G1460" t="s">
        <v>78</v>
      </c>
      <c r="H1460">
        <v>0.12</v>
      </c>
      <c r="I1460" s="1">
        <v>0</v>
      </c>
      <c r="J1460" s="1">
        <v>0</v>
      </c>
      <c r="K1460">
        <v>0</v>
      </c>
      <c r="L1460">
        <v>0.02</v>
      </c>
      <c r="M1460">
        <v>0.03</v>
      </c>
      <c r="N1460" s="1">
        <v>5000000</v>
      </c>
      <c r="O1460">
        <v>0.03</v>
      </c>
      <c r="P1460">
        <v>1.22</v>
      </c>
      <c r="Q1460">
        <v>0.01</v>
      </c>
    </row>
    <row r="1461" spans="1:17" x14ac:dyDescent="0.25">
      <c r="A1461">
        <v>730254</v>
      </c>
      <c r="B1461" t="s">
        <v>2773</v>
      </c>
      <c r="C1461" t="s">
        <v>78</v>
      </c>
      <c r="D1461" t="s">
        <v>78</v>
      </c>
      <c r="E1461" t="s">
        <v>78</v>
      </c>
      <c r="F1461" t="s">
        <v>78</v>
      </c>
      <c r="G1461" t="s">
        <v>78</v>
      </c>
      <c r="H1461">
        <v>1.01</v>
      </c>
      <c r="I1461" s="1">
        <v>0</v>
      </c>
      <c r="J1461" s="1">
        <v>0</v>
      </c>
      <c r="K1461">
        <v>0</v>
      </c>
      <c r="L1461">
        <v>1.1299999999999999</v>
      </c>
      <c r="M1461">
        <v>1.2</v>
      </c>
      <c r="N1461" s="1">
        <v>10000000</v>
      </c>
      <c r="O1461">
        <v>1.1299999999999999</v>
      </c>
      <c r="P1461">
        <v>1.96</v>
      </c>
      <c r="Q1461">
        <v>0.3</v>
      </c>
    </row>
    <row r="1462" spans="1:17" x14ac:dyDescent="0.25">
      <c r="A1462">
        <v>730256</v>
      </c>
      <c r="B1462" t="s">
        <v>2774</v>
      </c>
      <c r="C1462">
        <v>0.44</v>
      </c>
      <c r="D1462">
        <v>-0.04</v>
      </c>
      <c r="E1462">
        <v>0.48</v>
      </c>
      <c r="F1462">
        <v>0.5</v>
      </c>
      <c r="G1462">
        <v>0.43</v>
      </c>
      <c r="H1462">
        <v>0.45</v>
      </c>
      <c r="I1462" s="1">
        <v>687000</v>
      </c>
      <c r="J1462" s="1">
        <v>307620</v>
      </c>
      <c r="K1462">
        <v>21</v>
      </c>
      <c r="L1462">
        <v>0.43</v>
      </c>
      <c r="M1462">
        <v>0.44</v>
      </c>
      <c r="N1462" s="1">
        <v>10000000</v>
      </c>
      <c r="O1462">
        <v>0.44</v>
      </c>
      <c r="P1462">
        <v>0.85</v>
      </c>
      <c r="Q1462">
        <v>0.03</v>
      </c>
    </row>
    <row r="1463" spans="1:17" x14ac:dyDescent="0.25">
      <c r="A1463">
        <v>730257</v>
      </c>
      <c r="B1463" t="s">
        <v>2775</v>
      </c>
      <c r="C1463" t="s">
        <v>78</v>
      </c>
      <c r="D1463" t="s">
        <v>78</v>
      </c>
      <c r="E1463" t="s">
        <v>78</v>
      </c>
      <c r="F1463" t="s">
        <v>78</v>
      </c>
      <c r="G1463" t="s">
        <v>78</v>
      </c>
      <c r="H1463">
        <v>0.24</v>
      </c>
      <c r="I1463" s="1">
        <v>0</v>
      </c>
      <c r="J1463" s="1">
        <v>0</v>
      </c>
      <c r="K1463">
        <v>0</v>
      </c>
      <c r="L1463">
        <v>0.25</v>
      </c>
      <c r="M1463">
        <v>0.27</v>
      </c>
      <c r="N1463" s="1">
        <v>10000000</v>
      </c>
      <c r="O1463">
        <v>0.26</v>
      </c>
      <c r="P1463">
        <v>0.65</v>
      </c>
      <c r="Q1463">
        <v>0.01</v>
      </c>
    </row>
    <row r="1464" spans="1:17" x14ac:dyDescent="0.25">
      <c r="A1464">
        <v>730266</v>
      </c>
      <c r="B1464" t="s">
        <v>2776</v>
      </c>
      <c r="C1464" t="s">
        <v>78</v>
      </c>
      <c r="D1464" t="s">
        <v>78</v>
      </c>
      <c r="E1464" t="s">
        <v>78</v>
      </c>
      <c r="F1464" t="s">
        <v>78</v>
      </c>
      <c r="G1464" t="s">
        <v>78</v>
      </c>
      <c r="H1464">
        <v>0.11</v>
      </c>
      <c r="I1464" s="1">
        <v>0</v>
      </c>
      <c r="J1464" s="1">
        <v>0</v>
      </c>
      <c r="K1464">
        <v>0</v>
      </c>
      <c r="L1464">
        <v>7.0000000000000007E-2</v>
      </c>
      <c r="M1464">
        <v>0.08</v>
      </c>
      <c r="N1464" s="1">
        <v>10000000</v>
      </c>
      <c r="O1464">
        <v>0.08</v>
      </c>
      <c r="P1464">
        <v>1.74</v>
      </c>
      <c r="Q1464">
        <v>0.01</v>
      </c>
    </row>
    <row r="1465" spans="1:17" x14ac:dyDescent="0.25">
      <c r="A1465">
        <v>730269</v>
      </c>
      <c r="B1465" t="s">
        <v>2777</v>
      </c>
      <c r="C1465" t="s">
        <v>78</v>
      </c>
      <c r="D1465" t="s">
        <v>78</v>
      </c>
      <c r="E1465" t="s">
        <v>78</v>
      </c>
      <c r="F1465" t="s">
        <v>78</v>
      </c>
      <c r="G1465" t="s">
        <v>78</v>
      </c>
      <c r="H1465">
        <v>7.0000000000000007E-2</v>
      </c>
      <c r="I1465" s="1">
        <v>0</v>
      </c>
      <c r="J1465" s="1">
        <v>0</v>
      </c>
      <c r="K1465">
        <v>0</v>
      </c>
      <c r="L1465">
        <v>0</v>
      </c>
      <c r="M1465">
        <v>0.01</v>
      </c>
      <c r="N1465" s="1">
        <v>10000000</v>
      </c>
      <c r="O1465">
        <v>0.01</v>
      </c>
      <c r="P1465">
        <v>0.75</v>
      </c>
      <c r="Q1465">
        <v>0.01</v>
      </c>
    </row>
    <row r="1466" spans="1:17" x14ac:dyDescent="0.25">
      <c r="A1466">
        <v>730275</v>
      </c>
      <c r="B1466" t="s">
        <v>2778</v>
      </c>
      <c r="C1466" t="s">
        <v>78</v>
      </c>
      <c r="D1466" t="s">
        <v>78</v>
      </c>
      <c r="E1466" t="s">
        <v>78</v>
      </c>
      <c r="F1466" t="s">
        <v>78</v>
      </c>
      <c r="G1466" t="s">
        <v>78</v>
      </c>
      <c r="H1466">
        <v>6.75</v>
      </c>
      <c r="I1466" s="1">
        <v>0</v>
      </c>
      <c r="J1466" s="1">
        <v>0</v>
      </c>
      <c r="K1466">
        <v>0</v>
      </c>
      <c r="L1466">
        <v>6.3</v>
      </c>
      <c r="M1466">
        <v>0</v>
      </c>
      <c r="N1466" s="1">
        <v>10000000</v>
      </c>
      <c r="O1466">
        <v>6.75</v>
      </c>
      <c r="P1466">
        <v>8.35</v>
      </c>
      <c r="Q1466">
        <v>5.15</v>
      </c>
    </row>
    <row r="1467" spans="1:17" x14ac:dyDescent="0.25">
      <c r="A1467">
        <v>730276</v>
      </c>
      <c r="B1467" t="s">
        <v>2779</v>
      </c>
      <c r="C1467" t="s">
        <v>78</v>
      </c>
      <c r="D1467" t="s">
        <v>78</v>
      </c>
      <c r="E1467" t="s">
        <v>78</v>
      </c>
      <c r="F1467" t="s">
        <v>78</v>
      </c>
      <c r="G1467" t="s">
        <v>78</v>
      </c>
      <c r="H1467">
        <v>1.71</v>
      </c>
      <c r="I1467" s="1">
        <v>0</v>
      </c>
      <c r="J1467" s="1">
        <v>0</v>
      </c>
      <c r="K1467">
        <v>0</v>
      </c>
      <c r="L1467">
        <v>2.2999999999999998</v>
      </c>
      <c r="M1467">
        <v>0</v>
      </c>
      <c r="N1467" s="1">
        <v>10000000</v>
      </c>
      <c r="O1467">
        <v>2.58</v>
      </c>
      <c r="P1467">
        <v>3.21</v>
      </c>
      <c r="Q1467">
        <v>1.95</v>
      </c>
    </row>
    <row r="1468" spans="1:17" x14ac:dyDescent="0.25">
      <c r="A1468">
        <v>730279</v>
      </c>
      <c r="B1468" t="s">
        <v>2780</v>
      </c>
      <c r="C1468">
        <v>4.7699999999999996</v>
      </c>
      <c r="D1468">
        <v>-0.06</v>
      </c>
      <c r="E1468">
        <v>4.95</v>
      </c>
      <c r="F1468">
        <v>4.95</v>
      </c>
      <c r="G1468">
        <v>4.7699999999999996</v>
      </c>
      <c r="H1468">
        <v>4.8600000000000003</v>
      </c>
      <c r="I1468" s="1">
        <v>20000</v>
      </c>
      <c r="J1468" s="1">
        <v>97200</v>
      </c>
      <c r="K1468">
        <v>3</v>
      </c>
      <c r="L1468">
        <v>4.6500000000000004</v>
      </c>
      <c r="M1468">
        <v>4.71</v>
      </c>
      <c r="N1468" s="1">
        <v>5000000</v>
      </c>
      <c r="O1468">
        <v>4.7699999999999996</v>
      </c>
      <c r="P1468">
        <v>5.95</v>
      </c>
      <c r="Q1468">
        <v>3.59</v>
      </c>
    </row>
    <row r="1469" spans="1:17" x14ac:dyDescent="0.25">
      <c r="A1469">
        <v>730282</v>
      </c>
      <c r="B1469" t="s">
        <v>2781</v>
      </c>
      <c r="C1469" t="s">
        <v>78</v>
      </c>
      <c r="D1469" t="s">
        <v>78</v>
      </c>
      <c r="E1469" t="s">
        <v>78</v>
      </c>
      <c r="F1469" t="s">
        <v>78</v>
      </c>
      <c r="G1469" t="s">
        <v>78</v>
      </c>
      <c r="H1469">
        <v>5.72</v>
      </c>
      <c r="I1469" s="1">
        <v>0</v>
      </c>
      <c r="J1469" s="1">
        <v>0</v>
      </c>
      <c r="K1469">
        <v>0</v>
      </c>
      <c r="L1469">
        <v>5.8</v>
      </c>
      <c r="M1469">
        <v>6</v>
      </c>
      <c r="N1469" s="1">
        <v>5000000</v>
      </c>
      <c r="O1469">
        <v>5.8</v>
      </c>
      <c r="P1469">
        <v>7.45</v>
      </c>
      <c r="Q1469">
        <v>4.1500000000000004</v>
      </c>
    </row>
    <row r="1470" spans="1:17" x14ac:dyDescent="0.25">
      <c r="A1470">
        <v>730290</v>
      </c>
      <c r="B1470" t="s">
        <v>2782</v>
      </c>
      <c r="C1470" t="s">
        <v>78</v>
      </c>
      <c r="D1470" t="s">
        <v>78</v>
      </c>
      <c r="E1470" t="s">
        <v>78</v>
      </c>
      <c r="F1470" t="s">
        <v>78</v>
      </c>
      <c r="G1470" t="s">
        <v>78</v>
      </c>
      <c r="H1470">
        <v>0.06</v>
      </c>
      <c r="I1470" s="1">
        <v>0</v>
      </c>
      <c r="J1470" s="1">
        <v>0</v>
      </c>
      <c r="K1470">
        <v>0</v>
      </c>
      <c r="L1470">
        <v>0.06</v>
      </c>
      <c r="M1470">
        <v>7.0000000000000007E-2</v>
      </c>
      <c r="N1470" s="1">
        <v>10000000</v>
      </c>
      <c r="O1470">
        <v>0.06</v>
      </c>
      <c r="P1470">
        <v>0.38</v>
      </c>
      <c r="Q1470">
        <v>0.01</v>
      </c>
    </row>
    <row r="1471" spans="1:17" x14ac:dyDescent="0.25">
      <c r="A1471">
        <v>730291</v>
      </c>
      <c r="B1471" t="s">
        <v>2783</v>
      </c>
      <c r="C1471" t="s">
        <v>78</v>
      </c>
      <c r="D1471" t="s">
        <v>78</v>
      </c>
      <c r="E1471" t="s">
        <v>78</v>
      </c>
      <c r="F1471" t="s">
        <v>78</v>
      </c>
      <c r="G1471" t="s">
        <v>78</v>
      </c>
      <c r="H1471">
        <v>0.11</v>
      </c>
      <c r="I1471" s="1">
        <v>0</v>
      </c>
      <c r="J1471" s="1">
        <v>0</v>
      </c>
      <c r="K1471">
        <v>0</v>
      </c>
      <c r="L1471">
        <v>0.01</v>
      </c>
      <c r="M1471">
        <v>0.02</v>
      </c>
      <c r="N1471" s="1">
        <v>10000000</v>
      </c>
      <c r="O1471">
        <v>0.02</v>
      </c>
      <c r="P1471">
        <v>0.28999999999999998</v>
      </c>
      <c r="Q1471">
        <v>0.01</v>
      </c>
    </row>
    <row r="1472" spans="1:17" x14ac:dyDescent="0.25">
      <c r="A1472">
        <v>730292</v>
      </c>
      <c r="B1472" t="s">
        <v>2784</v>
      </c>
      <c r="C1472" t="s">
        <v>78</v>
      </c>
      <c r="D1472" t="s">
        <v>78</v>
      </c>
      <c r="E1472" t="s">
        <v>78</v>
      </c>
      <c r="F1472" t="s">
        <v>78</v>
      </c>
      <c r="G1472" t="s">
        <v>78</v>
      </c>
      <c r="H1472">
        <v>0.02</v>
      </c>
      <c r="I1472" s="1">
        <v>0</v>
      </c>
      <c r="J1472" s="1">
        <v>0</v>
      </c>
      <c r="K1472">
        <v>0</v>
      </c>
      <c r="L1472">
        <v>0</v>
      </c>
      <c r="M1472">
        <v>0.02</v>
      </c>
      <c r="N1472" s="1">
        <v>10000000</v>
      </c>
      <c r="O1472">
        <v>0.02</v>
      </c>
      <c r="P1472">
        <v>0.37</v>
      </c>
      <c r="Q1472">
        <v>0.01</v>
      </c>
    </row>
    <row r="1473" spans="1:17" x14ac:dyDescent="0.25">
      <c r="A1473">
        <v>730297</v>
      </c>
      <c r="B1473" t="s">
        <v>2785</v>
      </c>
      <c r="C1473" t="s">
        <v>78</v>
      </c>
      <c r="D1473" t="s">
        <v>78</v>
      </c>
      <c r="E1473" t="s">
        <v>78</v>
      </c>
      <c r="F1473" t="s">
        <v>78</v>
      </c>
      <c r="G1473" t="s">
        <v>78</v>
      </c>
      <c r="H1473">
        <v>2.3199999999999998</v>
      </c>
      <c r="I1473" s="1">
        <v>0</v>
      </c>
      <c r="J1473" s="1">
        <v>0</v>
      </c>
      <c r="K1473">
        <v>0</v>
      </c>
      <c r="L1473">
        <v>2.36</v>
      </c>
      <c r="M1473">
        <v>2.46</v>
      </c>
      <c r="N1473" s="1">
        <v>10000000</v>
      </c>
      <c r="O1473">
        <v>2.4300000000000002</v>
      </c>
      <c r="P1473">
        <v>3.15</v>
      </c>
      <c r="Q1473">
        <v>1.71</v>
      </c>
    </row>
    <row r="1474" spans="1:17" x14ac:dyDescent="0.25">
      <c r="A1474">
        <v>730312</v>
      </c>
      <c r="B1474" t="s">
        <v>2786</v>
      </c>
      <c r="C1474" t="s">
        <v>78</v>
      </c>
      <c r="D1474" t="s">
        <v>78</v>
      </c>
      <c r="E1474" t="s">
        <v>78</v>
      </c>
      <c r="F1474" t="s">
        <v>78</v>
      </c>
      <c r="G1474" t="s">
        <v>78</v>
      </c>
      <c r="H1474">
        <v>5.4</v>
      </c>
      <c r="I1474" s="1">
        <v>0</v>
      </c>
      <c r="J1474" s="1">
        <v>0</v>
      </c>
      <c r="K1474">
        <v>0</v>
      </c>
      <c r="L1474">
        <v>5.8</v>
      </c>
      <c r="M1474">
        <v>5.9</v>
      </c>
      <c r="N1474" s="1">
        <v>5000000</v>
      </c>
      <c r="O1474">
        <v>5.8</v>
      </c>
      <c r="P1474">
        <v>7.75</v>
      </c>
      <c r="Q1474">
        <v>3.81</v>
      </c>
    </row>
    <row r="1475" spans="1:17" x14ac:dyDescent="0.25">
      <c r="A1475">
        <v>730316</v>
      </c>
      <c r="B1475" t="s">
        <v>2787</v>
      </c>
      <c r="C1475" t="s">
        <v>78</v>
      </c>
      <c r="D1475" t="s">
        <v>78</v>
      </c>
      <c r="E1475" t="s">
        <v>78</v>
      </c>
      <c r="F1475" t="s">
        <v>78</v>
      </c>
      <c r="G1475" t="s">
        <v>78</v>
      </c>
      <c r="H1475">
        <v>0.1</v>
      </c>
      <c r="I1475" s="1">
        <v>0</v>
      </c>
      <c r="J1475" s="1">
        <v>0</v>
      </c>
      <c r="K1475">
        <v>0</v>
      </c>
      <c r="L1475">
        <v>0.05</v>
      </c>
      <c r="M1475">
        <v>0.06</v>
      </c>
      <c r="N1475" s="1">
        <v>10000000</v>
      </c>
      <c r="O1475">
        <v>0.05</v>
      </c>
      <c r="P1475">
        <v>1.1499999999999999</v>
      </c>
      <c r="Q1475">
        <v>0.01</v>
      </c>
    </row>
    <row r="1476" spans="1:17" x14ac:dyDescent="0.25">
      <c r="A1476">
        <v>730320</v>
      </c>
      <c r="B1476" t="s">
        <v>2788</v>
      </c>
      <c r="C1476" t="s">
        <v>78</v>
      </c>
      <c r="D1476" t="s">
        <v>78</v>
      </c>
      <c r="E1476" t="s">
        <v>78</v>
      </c>
      <c r="F1476" t="s">
        <v>78</v>
      </c>
      <c r="G1476" t="s">
        <v>78</v>
      </c>
      <c r="H1476">
        <v>0.11</v>
      </c>
      <c r="I1476" s="1">
        <v>0</v>
      </c>
      <c r="J1476" s="1">
        <v>0</v>
      </c>
      <c r="K1476">
        <v>0</v>
      </c>
      <c r="L1476">
        <v>0</v>
      </c>
      <c r="M1476">
        <v>0.02</v>
      </c>
      <c r="N1476" s="1">
        <v>10000000</v>
      </c>
      <c r="O1476">
        <v>0.02</v>
      </c>
      <c r="P1476">
        <v>0.48</v>
      </c>
      <c r="Q1476">
        <v>0.01</v>
      </c>
    </row>
    <row r="1477" spans="1:17" x14ac:dyDescent="0.25">
      <c r="A1477">
        <v>730322</v>
      </c>
      <c r="B1477" t="s">
        <v>2789</v>
      </c>
      <c r="C1477" t="s">
        <v>78</v>
      </c>
      <c r="D1477" t="s">
        <v>78</v>
      </c>
      <c r="E1477" t="s">
        <v>78</v>
      </c>
      <c r="F1477" t="s">
        <v>78</v>
      </c>
      <c r="G1477" t="s">
        <v>78</v>
      </c>
      <c r="H1477">
        <v>0.37</v>
      </c>
      <c r="I1477" s="1">
        <v>0</v>
      </c>
      <c r="J1477" s="1">
        <v>0</v>
      </c>
      <c r="K1477">
        <v>0</v>
      </c>
      <c r="L1477">
        <v>0.36</v>
      </c>
      <c r="M1477">
        <v>0.37</v>
      </c>
      <c r="N1477" s="1">
        <v>10000000</v>
      </c>
      <c r="O1477">
        <v>0.37</v>
      </c>
      <c r="P1477">
        <v>0.91</v>
      </c>
      <c r="Q1477">
        <v>0.01</v>
      </c>
    </row>
    <row r="1478" spans="1:17" x14ac:dyDescent="0.25">
      <c r="A1478">
        <v>730323</v>
      </c>
      <c r="B1478" t="s">
        <v>2790</v>
      </c>
      <c r="C1478">
        <v>0.22</v>
      </c>
      <c r="D1478">
        <v>0</v>
      </c>
      <c r="E1478">
        <v>0.22</v>
      </c>
      <c r="F1478">
        <v>0.22</v>
      </c>
      <c r="G1478">
        <v>0.22</v>
      </c>
      <c r="H1478">
        <v>0.22</v>
      </c>
      <c r="I1478" s="1">
        <v>75000</v>
      </c>
      <c r="J1478" s="1">
        <v>16500</v>
      </c>
      <c r="K1478">
        <v>1</v>
      </c>
      <c r="L1478">
        <v>0.22</v>
      </c>
      <c r="M1478">
        <v>0.23</v>
      </c>
      <c r="N1478" s="1">
        <v>10000000</v>
      </c>
      <c r="O1478">
        <v>0.22</v>
      </c>
      <c r="P1478">
        <v>0.43</v>
      </c>
      <c r="Q1478">
        <v>0.01</v>
      </c>
    </row>
    <row r="1479" spans="1:17" x14ac:dyDescent="0.25">
      <c r="A1479">
        <v>730330</v>
      </c>
      <c r="B1479" t="s">
        <v>2791</v>
      </c>
      <c r="C1479">
        <v>4.21</v>
      </c>
      <c r="D1479">
        <v>0.3</v>
      </c>
      <c r="E1479">
        <v>4.21</v>
      </c>
      <c r="F1479">
        <v>4.21</v>
      </c>
      <c r="G1479">
        <v>4.21</v>
      </c>
      <c r="H1479">
        <v>4.21</v>
      </c>
      <c r="I1479" s="1">
        <v>10000</v>
      </c>
      <c r="J1479" s="1">
        <v>42100</v>
      </c>
      <c r="K1479">
        <v>1</v>
      </c>
      <c r="L1479">
        <v>4.29</v>
      </c>
      <c r="M1479">
        <v>4.3899999999999997</v>
      </c>
      <c r="N1479" s="1">
        <v>5000000</v>
      </c>
      <c r="O1479">
        <v>4.21</v>
      </c>
      <c r="P1479">
        <v>6</v>
      </c>
      <c r="Q1479">
        <v>2.39</v>
      </c>
    </row>
    <row r="1480" spans="1:17" x14ac:dyDescent="0.25">
      <c r="A1480">
        <v>730331</v>
      </c>
      <c r="B1480" t="s">
        <v>2792</v>
      </c>
      <c r="C1480">
        <v>0.09</v>
      </c>
      <c r="D1480">
        <v>0.01</v>
      </c>
      <c r="E1480">
        <v>0.08</v>
      </c>
      <c r="F1480">
        <v>0.09</v>
      </c>
      <c r="G1480">
        <v>0.01</v>
      </c>
      <c r="H1480">
        <v>7.0000000000000007E-2</v>
      </c>
      <c r="I1480" s="1">
        <v>130000</v>
      </c>
      <c r="J1480" s="1">
        <v>8600</v>
      </c>
      <c r="K1480">
        <v>4</v>
      </c>
      <c r="L1480">
        <v>0.08</v>
      </c>
      <c r="M1480">
        <v>0.09</v>
      </c>
      <c r="N1480" s="1">
        <v>10000000</v>
      </c>
      <c r="O1480">
        <v>0.09</v>
      </c>
      <c r="P1480">
        <v>1.21</v>
      </c>
      <c r="Q1480">
        <v>0.01</v>
      </c>
    </row>
    <row r="1481" spans="1:17" x14ac:dyDescent="0.25">
      <c r="A1481">
        <v>730337</v>
      </c>
      <c r="B1481" t="s">
        <v>2793</v>
      </c>
      <c r="C1481" t="s">
        <v>78</v>
      </c>
      <c r="D1481" t="s">
        <v>78</v>
      </c>
      <c r="E1481" t="s">
        <v>78</v>
      </c>
      <c r="F1481" t="s">
        <v>78</v>
      </c>
      <c r="G1481" t="s">
        <v>78</v>
      </c>
      <c r="H1481">
        <v>0.01</v>
      </c>
      <c r="I1481" s="1">
        <v>0</v>
      </c>
      <c r="J1481" s="1">
        <v>0</v>
      </c>
      <c r="K1481">
        <v>0</v>
      </c>
      <c r="L1481">
        <v>0.01</v>
      </c>
      <c r="M1481">
        <v>0.02</v>
      </c>
      <c r="N1481" s="1">
        <v>10000000</v>
      </c>
      <c r="O1481">
        <v>0.01</v>
      </c>
      <c r="P1481">
        <v>0.4</v>
      </c>
      <c r="Q1481">
        <v>0.01</v>
      </c>
    </row>
    <row r="1482" spans="1:17" x14ac:dyDescent="0.25">
      <c r="A1482">
        <v>730338</v>
      </c>
      <c r="B1482" t="s">
        <v>2794</v>
      </c>
      <c r="C1482" t="s">
        <v>78</v>
      </c>
      <c r="D1482" t="s">
        <v>78</v>
      </c>
      <c r="E1482" t="s">
        <v>78</v>
      </c>
      <c r="F1482" t="s">
        <v>78</v>
      </c>
      <c r="G1482" t="s">
        <v>78</v>
      </c>
      <c r="H1482">
        <v>0.01</v>
      </c>
      <c r="I1482" s="1">
        <v>0</v>
      </c>
      <c r="J1482" s="1">
        <v>0</v>
      </c>
      <c r="K1482">
        <v>0</v>
      </c>
      <c r="L1482">
        <v>0.01</v>
      </c>
      <c r="M1482">
        <v>0.02</v>
      </c>
      <c r="N1482" s="1">
        <v>10000000</v>
      </c>
      <c r="O1482">
        <v>0.01</v>
      </c>
      <c r="P1482">
        <v>0.45</v>
      </c>
      <c r="Q1482">
        <v>0.01</v>
      </c>
    </row>
    <row r="1483" spans="1:17" x14ac:dyDescent="0.25">
      <c r="A1483">
        <v>730339</v>
      </c>
      <c r="B1483" t="s">
        <v>2795</v>
      </c>
      <c r="C1483">
        <v>4.3099999999999996</v>
      </c>
      <c r="D1483">
        <v>0.2</v>
      </c>
      <c r="E1483">
        <v>4.33</v>
      </c>
      <c r="F1483">
        <v>4.33</v>
      </c>
      <c r="G1483">
        <v>4.3099999999999996</v>
      </c>
      <c r="H1483">
        <v>4.32</v>
      </c>
      <c r="I1483" s="1">
        <v>21000</v>
      </c>
      <c r="J1483" s="1">
        <v>90730</v>
      </c>
      <c r="K1483">
        <v>2</v>
      </c>
      <c r="L1483">
        <v>4.0199999999999996</v>
      </c>
      <c r="M1483">
        <v>4.03</v>
      </c>
      <c r="N1483" s="1">
        <v>5000000</v>
      </c>
      <c r="O1483">
        <v>4.3099999999999996</v>
      </c>
      <c r="P1483">
        <v>5.25</v>
      </c>
      <c r="Q1483">
        <v>3.33</v>
      </c>
    </row>
    <row r="1484" spans="1:17" x14ac:dyDescent="0.25">
      <c r="A1484">
        <v>730343</v>
      </c>
      <c r="B1484" t="s">
        <v>2796</v>
      </c>
      <c r="C1484">
        <v>1.97</v>
      </c>
      <c r="D1484">
        <v>-0.03</v>
      </c>
      <c r="E1484">
        <v>2.0299999999999998</v>
      </c>
      <c r="F1484">
        <v>2.0299999999999998</v>
      </c>
      <c r="G1484">
        <v>1.97</v>
      </c>
      <c r="H1484">
        <v>2.0099999999999998</v>
      </c>
      <c r="I1484" s="1">
        <v>46000</v>
      </c>
      <c r="J1484" s="1">
        <v>92680</v>
      </c>
      <c r="K1484">
        <v>5</v>
      </c>
      <c r="L1484">
        <v>0</v>
      </c>
      <c r="M1484">
        <v>1.99</v>
      </c>
      <c r="N1484" s="1">
        <v>10000000</v>
      </c>
      <c r="O1484">
        <v>1.97</v>
      </c>
      <c r="P1484">
        <v>2.73</v>
      </c>
      <c r="Q1484">
        <v>1.21</v>
      </c>
    </row>
    <row r="1485" spans="1:17" x14ac:dyDescent="0.25">
      <c r="A1485">
        <v>730352</v>
      </c>
      <c r="B1485" t="s">
        <v>2797</v>
      </c>
      <c r="C1485" t="s">
        <v>78</v>
      </c>
      <c r="D1485" t="s">
        <v>78</v>
      </c>
      <c r="E1485" t="s">
        <v>78</v>
      </c>
      <c r="F1485" t="s">
        <v>78</v>
      </c>
      <c r="G1485" t="s">
        <v>78</v>
      </c>
      <c r="H1485">
        <v>7.0000000000000007E-2</v>
      </c>
      <c r="I1485" s="1">
        <v>0</v>
      </c>
      <c r="J1485" s="1">
        <v>0</v>
      </c>
      <c r="K1485">
        <v>0</v>
      </c>
      <c r="L1485">
        <v>0.04</v>
      </c>
      <c r="M1485">
        <v>0.05</v>
      </c>
      <c r="N1485" s="1">
        <v>10000000</v>
      </c>
      <c r="O1485">
        <v>0.05</v>
      </c>
      <c r="P1485">
        <v>0.56000000000000005</v>
      </c>
      <c r="Q1485">
        <v>0.01</v>
      </c>
    </row>
    <row r="1486" spans="1:17" x14ac:dyDescent="0.25">
      <c r="A1486">
        <v>730353</v>
      </c>
      <c r="B1486" t="s">
        <v>2798</v>
      </c>
      <c r="C1486" t="s">
        <v>78</v>
      </c>
      <c r="D1486" t="s">
        <v>78</v>
      </c>
      <c r="E1486" t="s">
        <v>78</v>
      </c>
      <c r="F1486" t="s">
        <v>78</v>
      </c>
      <c r="G1486" t="s">
        <v>78</v>
      </c>
      <c r="H1486">
        <v>2.65</v>
      </c>
      <c r="I1486" s="1">
        <v>0</v>
      </c>
      <c r="J1486" s="1">
        <v>0</v>
      </c>
      <c r="K1486">
        <v>0</v>
      </c>
      <c r="L1486">
        <v>2.83</v>
      </c>
      <c r="M1486">
        <v>2.88</v>
      </c>
      <c r="N1486" s="1">
        <v>15000000</v>
      </c>
      <c r="O1486">
        <v>2.88</v>
      </c>
      <c r="P1486">
        <v>3.59</v>
      </c>
      <c r="Q1486">
        <v>2.17</v>
      </c>
    </row>
    <row r="1487" spans="1:17" x14ac:dyDescent="0.25">
      <c r="A1487">
        <v>730354</v>
      </c>
      <c r="B1487" t="s">
        <v>2799</v>
      </c>
      <c r="C1487">
        <v>0.32</v>
      </c>
      <c r="D1487">
        <v>-0.01</v>
      </c>
      <c r="E1487">
        <v>0.32</v>
      </c>
      <c r="F1487">
        <v>0.32</v>
      </c>
      <c r="G1487">
        <v>0.32</v>
      </c>
      <c r="H1487">
        <v>0.32</v>
      </c>
      <c r="I1487" s="1">
        <v>20000</v>
      </c>
      <c r="J1487" s="1">
        <v>6400</v>
      </c>
      <c r="K1487">
        <v>1</v>
      </c>
      <c r="L1487">
        <v>0.32</v>
      </c>
      <c r="M1487">
        <v>0.33</v>
      </c>
      <c r="N1487" s="1">
        <v>10000000</v>
      </c>
      <c r="O1487">
        <v>0.32</v>
      </c>
      <c r="P1487">
        <v>0.69</v>
      </c>
      <c r="Q1487">
        <v>0.01</v>
      </c>
    </row>
    <row r="1488" spans="1:17" x14ac:dyDescent="0.25">
      <c r="A1488">
        <v>730355</v>
      </c>
      <c r="B1488" t="s">
        <v>2800</v>
      </c>
      <c r="C1488" t="s">
        <v>78</v>
      </c>
      <c r="D1488" t="s">
        <v>78</v>
      </c>
      <c r="E1488" t="s">
        <v>78</v>
      </c>
      <c r="F1488" t="s">
        <v>78</v>
      </c>
      <c r="G1488" t="s">
        <v>78</v>
      </c>
      <c r="H1488">
        <v>7.0000000000000007E-2</v>
      </c>
      <c r="I1488" s="1">
        <v>0</v>
      </c>
      <c r="J1488" s="1">
        <v>0</v>
      </c>
      <c r="K1488">
        <v>0</v>
      </c>
      <c r="L1488">
        <v>0.06</v>
      </c>
      <c r="M1488">
        <v>7.0000000000000007E-2</v>
      </c>
      <c r="N1488" s="1">
        <v>5000000</v>
      </c>
      <c r="O1488">
        <v>7.0000000000000007E-2</v>
      </c>
      <c r="P1488">
        <v>0.74</v>
      </c>
      <c r="Q1488">
        <v>0.01</v>
      </c>
    </row>
    <row r="1489" spans="1:17" x14ac:dyDescent="0.25">
      <c r="A1489">
        <v>730358</v>
      </c>
      <c r="B1489" t="s">
        <v>2801</v>
      </c>
      <c r="C1489" t="s">
        <v>78</v>
      </c>
      <c r="D1489" t="s">
        <v>78</v>
      </c>
      <c r="E1489" t="s">
        <v>78</v>
      </c>
      <c r="F1489" t="s">
        <v>78</v>
      </c>
      <c r="G1489" t="s">
        <v>78</v>
      </c>
      <c r="H1489">
        <v>0.13</v>
      </c>
      <c r="I1489" s="1">
        <v>0</v>
      </c>
      <c r="J1489" s="1">
        <v>0</v>
      </c>
      <c r="K1489">
        <v>0</v>
      </c>
      <c r="L1489">
        <v>0.11</v>
      </c>
      <c r="M1489">
        <v>0.12</v>
      </c>
      <c r="N1489" s="1">
        <v>10000000</v>
      </c>
      <c r="O1489">
        <v>0.12</v>
      </c>
      <c r="P1489">
        <v>0.61</v>
      </c>
      <c r="Q1489">
        <v>0.01</v>
      </c>
    </row>
    <row r="1490" spans="1:17" x14ac:dyDescent="0.25">
      <c r="A1490">
        <v>730368</v>
      </c>
      <c r="B1490" t="s">
        <v>2802</v>
      </c>
      <c r="C1490">
        <v>0.61</v>
      </c>
      <c r="D1490">
        <v>-0.04</v>
      </c>
      <c r="E1490">
        <v>0.69</v>
      </c>
      <c r="F1490">
        <v>0.69</v>
      </c>
      <c r="G1490">
        <v>0.61</v>
      </c>
      <c r="H1490">
        <v>0.63</v>
      </c>
      <c r="I1490" s="1">
        <v>100000</v>
      </c>
      <c r="J1490" s="1">
        <v>62600</v>
      </c>
      <c r="K1490">
        <v>3</v>
      </c>
      <c r="L1490">
        <v>0.56999999999999995</v>
      </c>
      <c r="M1490">
        <v>0.6</v>
      </c>
      <c r="N1490" s="1">
        <v>10000000</v>
      </c>
      <c r="O1490">
        <v>0.61</v>
      </c>
      <c r="P1490">
        <v>1.4</v>
      </c>
      <c r="Q1490">
        <v>0.01</v>
      </c>
    </row>
    <row r="1491" spans="1:17" x14ac:dyDescent="0.25">
      <c r="A1491">
        <v>730370</v>
      </c>
      <c r="B1491" t="s">
        <v>2803</v>
      </c>
      <c r="C1491">
        <v>0.71</v>
      </c>
      <c r="D1491">
        <v>-0.02</v>
      </c>
      <c r="E1491">
        <v>0.72</v>
      </c>
      <c r="F1491">
        <v>0.74</v>
      </c>
      <c r="G1491">
        <v>0.71</v>
      </c>
      <c r="H1491">
        <v>0.72</v>
      </c>
      <c r="I1491" s="1">
        <v>830000</v>
      </c>
      <c r="J1491" s="1">
        <v>600770</v>
      </c>
      <c r="K1491">
        <v>8</v>
      </c>
      <c r="L1491">
        <v>0.71</v>
      </c>
      <c r="M1491">
        <v>0.72</v>
      </c>
      <c r="N1491" s="1">
        <v>10000000</v>
      </c>
      <c r="O1491">
        <v>0.71</v>
      </c>
      <c r="P1491">
        <v>1.3</v>
      </c>
      <c r="Q1491">
        <v>0.12</v>
      </c>
    </row>
    <row r="1492" spans="1:17" x14ac:dyDescent="0.25">
      <c r="A1492">
        <v>730371</v>
      </c>
      <c r="B1492" t="s">
        <v>2804</v>
      </c>
      <c r="C1492" t="s">
        <v>78</v>
      </c>
      <c r="D1492" t="s">
        <v>78</v>
      </c>
      <c r="E1492" t="s">
        <v>78</v>
      </c>
      <c r="F1492" t="s">
        <v>78</v>
      </c>
      <c r="G1492" t="s">
        <v>78</v>
      </c>
      <c r="H1492">
        <v>2.5299999999999998</v>
      </c>
      <c r="I1492" s="1">
        <v>0</v>
      </c>
      <c r="J1492" s="1">
        <v>0</v>
      </c>
      <c r="K1492">
        <v>0</v>
      </c>
      <c r="L1492">
        <v>2.81</v>
      </c>
      <c r="M1492">
        <v>2.91</v>
      </c>
      <c r="N1492" s="1">
        <v>10000000</v>
      </c>
      <c r="O1492">
        <v>2.86</v>
      </c>
      <c r="P1492">
        <v>3.94</v>
      </c>
      <c r="Q1492">
        <v>1.78</v>
      </c>
    </row>
    <row r="1493" spans="1:17" x14ac:dyDescent="0.25">
      <c r="A1493">
        <v>730374</v>
      </c>
      <c r="B1493" t="s">
        <v>2805</v>
      </c>
      <c r="C1493">
        <v>0.18</v>
      </c>
      <c r="D1493">
        <v>-0.01</v>
      </c>
      <c r="E1493">
        <v>0.18</v>
      </c>
      <c r="F1493">
        <v>0.18</v>
      </c>
      <c r="G1493">
        <v>0.18</v>
      </c>
      <c r="H1493">
        <v>0.18</v>
      </c>
      <c r="I1493" s="1">
        <v>26000</v>
      </c>
      <c r="J1493" s="1">
        <v>4680</v>
      </c>
      <c r="K1493">
        <v>1</v>
      </c>
      <c r="L1493">
        <v>0.19</v>
      </c>
      <c r="M1493">
        <v>0.2</v>
      </c>
      <c r="N1493" s="1">
        <v>10000000</v>
      </c>
      <c r="O1493">
        <v>0.18</v>
      </c>
      <c r="P1493">
        <v>0.92</v>
      </c>
      <c r="Q1493">
        <v>0.01</v>
      </c>
    </row>
    <row r="1494" spans="1:17" x14ac:dyDescent="0.25">
      <c r="A1494">
        <v>730376</v>
      </c>
      <c r="B1494" t="s">
        <v>2806</v>
      </c>
      <c r="C1494" t="s">
        <v>78</v>
      </c>
      <c r="D1494" t="s">
        <v>78</v>
      </c>
      <c r="E1494" t="s">
        <v>78</v>
      </c>
      <c r="F1494" t="s">
        <v>78</v>
      </c>
      <c r="G1494" t="s">
        <v>78</v>
      </c>
      <c r="H1494">
        <v>1.8</v>
      </c>
      <c r="I1494" s="1">
        <v>0</v>
      </c>
      <c r="J1494" s="1">
        <v>0</v>
      </c>
      <c r="K1494">
        <v>0</v>
      </c>
      <c r="L1494">
        <v>1.05</v>
      </c>
      <c r="M1494">
        <v>1.1499999999999999</v>
      </c>
      <c r="N1494" s="1">
        <v>7100000</v>
      </c>
      <c r="O1494">
        <v>1.1499999999999999</v>
      </c>
      <c r="P1494">
        <v>1.98</v>
      </c>
      <c r="Q1494">
        <v>0.32</v>
      </c>
    </row>
    <row r="1495" spans="1:17" x14ac:dyDescent="0.25">
      <c r="A1495">
        <v>730377</v>
      </c>
      <c r="B1495" t="s">
        <v>2807</v>
      </c>
      <c r="C1495" t="s">
        <v>78</v>
      </c>
      <c r="D1495" t="s">
        <v>78</v>
      </c>
      <c r="E1495" t="s">
        <v>78</v>
      </c>
      <c r="F1495" t="s">
        <v>78</v>
      </c>
      <c r="G1495" t="s">
        <v>78</v>
      </c>
      <c r="H1495">
        <v>0.08</v>
      </c>
      <c r="I1495" s="1">
        <v>0</v>
      </c>
      <c r="J1495" s="1">
        <v>0</v>
      </c>
      <c r="K1495">
        <v>0</v>
      </c>
      <c r="L1495">
        <v>0.01</v>
      </c>
      <c r="M1495">
        <v>0.11</v>
      </c>
      <c r="N1495" s="1">
        <v>10000000</v>
      </c>
      <c r="O1495">
        <v>0.08</v>
      </c>
      <c r="P1495">
        <v>1.29</v>
      </c>
      <c r="Q1495">
        <v>0.01</v>
      </c>
    </row>
    <row r="1496" spans="1:17" x14ac:dyDescent="0.25">
      <c r="A1496">
        <v>730378</v>
      </c>
      <c r="B1496" t="s">
        <v>2808</v>
      </c>
      <c r="C1496" t="s">
        <v>78</v>
      </c>
      <c r="D1496" t="s">
        <v>78</v>
      </c>
      <c r="E1496" t="s">
        <v>78</v>
      </c>
      <c r="F1496" t="s">
        <v>78</v>
      </c>
      <c r="G1496" t="s">
        <v>78</v>
      </c>
      <c r="H1496">
        <v>4.0999999999999996</v>
      </c>
      <c r="I1496" s="1">
        <v>0</v>
      </c>
      <c r="J1496" s="1">
        <v>0</v>
      </c>
      <c r="K1496">
        <v>0</v>
      </c>
      <c r="L1496">
        <v>4.2300000000000004</v>
      </c>
      <c r="M1496">
        <v>0</v>
      </c>
      <c r="N1496" s="1">
        <v>5000000</v>
      </c>
      <c r="O1496">
        <v>4.2300000000000004</v>
      </c>
      <c r="P1496">
        <v>5.85</v>
      </c>
      <c r="Q1496">
        <v>2.58</v>
      </c>
    </row>
    <row r="1497" spans="1:17" x14ac:dyDescent="0.25">
      <c r="A1497">
        <v>730380</v>
      </c>
      <c r="B1497" t="s">
        <v>2809</v>
      </c>
      <c r="C1497" t="s">
        <v>78</v>
      </c>
      <c r="D1497" t="s">
        <v>78</v>
      </c>
      <c r="E1497" t="s">
        <v>78</v>
      </c>
      <c r="F1497" t="s">
        <v>78</v>
      </c>
      <c r="G1497" t="s">
        <v>78</v>
      </c>
      <c r="H1497">
        <v>2.74</v>
      </c>
      <c r="I1497" s="1">
        <v>0</v>
      </c>
      <c r="J1497" s="1">
        <v>0</v>
      </c>
      <c r="K1497">
        <v>0</v>
      </c>
      <c r="L1497">
        <v>3.47</v>
      </c>
      <c r="M1497">
        <v>0</v>
      </c>
      <c r="N1497" s="1">
        <v>10000000</v>
      </c>
      <c r="O1497">
        <v>3.8</v>
      </c>
      <c r="P1497">
        <v>4.96</v>
      </c>
      <c r="Q1497">
        <v>2.64</v>
      </c>
    </row>
    <row r="1498" spans="1:17" x14ac:dyDescent="0.25">
      <c r="A1498">
        <v>730386</v>
      </c>
      <c r="B1498" t="s">
        <v>2810</v>
      </c>
      <c r="C1498">
        <v>0.45</v>
      </c>
      <c r="D1498">
        <v>0.03</v>
      </c>
      <c r="E1498">
        <v>0.45</v>
      </c>
      <c r="F1498">
        <v>0.45</v>
      </c>
      <c r="G1498">
        <v>0.45</v>
      </c>
      <c r="H1498">
        <v>0.45</v>
      </c>
      <c r="I1498" s="1">
        <v>24000</v>
      </c>
      <c r="J1498" s="1">
        <v>10800</v>
      </c>
      <c r="K1498">
        <v>2</v>
      </c>
      <c r="L1498">
        <v>0.41</v>
      </c>
      <c r="M1498">
        <v>0.43</v>
      </c>
      <c r="N1498" s="1">
        <v>5000000</v>
      </c>
      <c r="O1498">
        <v>0.45</v>
      </c>
      <c r="P1498">
        <v>1.1000000000000001</v>
      </c>
      <c r="Q1498">
        <v>0.01</v>
      </c>
    </row>
    <row r="1499" spans="1:17" x14ac:dyDescent="0.25">
      <c r="A1499">
        <v>730387</v>
      </c>
      <c r="B1499" t="s">
        <v>2811</v>
      </c>
      <c r="C1499" t="s">
        <v>78</v>
      </c>
      <c r="D1499" t="s">
        <v>78</v>
      </c>
      <c r="E1499" t="s">
        <v>78</v>
      </c>
      <c r="F1499" t="s">
        <v>78</v>
      </c>
      <c r="G1499" t="s">
        <v>78</v>
      </c>
      <c r="H1499">
        <v>0.01</v>
      </c>
      <c r="I1499" s="1">
        <v>0</v>
      </c>
      <c r="J1499" s="1">
        <v>0</v>
      </c>
      <c r="K1499">
        <v>0</v>
      </c>
      <c r="L1499">
        <v>0</v>
      </c>
      <c r="M1499">
        <v>0.02</v>
      </c>
      <c r="N1499" s="1">
        <v>10000000</v>
      </c>
      <c r="O1499">
        <v>0.01</v>
      </c>
      <c r="P1499">
        <v>0.66</v>
      </c>
      <c r="Q1499">
        <v>0.01</v>
      </c>
    </row>
    <row r="1500" spans="1:17" x14ac:dyDescent="0.25">
      <c r="A1500">
        <v>730390</v>
      </c>
      <c r="B1500" t="s">
        <v>2812</v>
      </c>
      <c r="C1500" t="s">
        <v>78</v>
      </c>
      <c r="D1500" t="s">
        <v>78</v>
      </c>
      <c r="E1500" t="s">
        <v>78</v>
      </c>
      <c r="F1500" t="s">
        <v>78</v>
      </c>
      <c r="G1500" t="s">
        <v>78</v>
      </c>
      <c r="H1500">
        <v>0.15</v>
      </c>
      <c r="I1500" s="1">
        <v>0</v>
      </c>
      <c r="J1500" s="1">
        <v>0</v>
      </c>
      <c r="K1500">
        <v>0</v>
      </c>
      <c r="L1500">
        <v>0.12</v>
      </c>
      <c r="M1500">
        <v>0.13</v>
      </c>
      <c r="N1500" s="1">
        <v>10000000</v>
      </c>
      <c r="O1500">
        <v>0.13</v>
      </c>
      <c r="P1500">
        <v>0.83</v>
      </c>
      <c r="Q1500">
        <v>0.01</v>
      </c>
    </row>
    <row r="1501" spans="1:17" x14ac:dyDescent="0.25">
      <c r="A1501">
        <v>730392</v>
      </c>
      <c r="B1501" t="s">
        <v>2813</v>
      </c>
      <c r="C1501" t="s">
        <v>78</v>
      </c>
      <c r="D1501" t="s">
        <v>78</v>
      </c>
      <c r="E1501" t="s">
        <v>78</v>
      </c>
      <c r="F1501" t="s">
        <v>78</v>
      </c>
      <c r="G1501" t="s">
        <v>78</v>
      </c>
      <c r="H1501">
        <v>3.78</v>
      </c>
      <c r="I1501" s="1">
        <v>0</v>
      </c>
      <c r="J1501" s="1">
        <v>0</v>
      </c>
      <c r="K1501">
        <v>0</v>
      </c>
      <c r="L1501">
        <v>3.67</v>
      </c>
      <c r="M1501">
        <v>3.77</v>
      </c>
      <c r="N1501" s="1">
        <v>10000000</v>
      </c>
      <c r="O1501">
        <v>3.77</v>
      </c>
      <c r="P1501">
        <v>5.4</v>
      </c>
      <c r="Q1501">
        <v>2.13</v>
      </c>
    </row>
    <row r="1502" spans="1:17" x14ac:dyDescent="0.25">
      <c r="A1502">
        <v>730398</v>
      </c>
      <c r="B1502" t="s">
        <v>2814</v>
      </c>
      <c r="C1502" t="s">
        <v>78</v>
      </c>
      <c r="D1502" t="s">
        <v>78</v>
      </c>
      <c r="E1502" t="s">
        <v>78</v>
      </c>
      <c r="F1502" t="s">
        <v>78</v>
      </c>
      <c r="G1502" t="s">
        <v>78</v>
      </c>
      <c r="H1502">
        <v>0.04</v>
      </c>
      <c r="I1502" s="1">
        <v>0</v>
      </c>
      <c r="J1502" s="1">
        <v>0</v>
      </c>
      <c r="K1502">
        <v>0</v>
      </c>
      <c r="L1502">
        <v>0.02</v>
      </c>
      <c r="M1502">
        <v>0.03</v>
      </c>
      <c r="N1502" s="1">
        <v>10000000</v>
      </c>
      <c r="O1502">
        <v>0.03</v>
      </c>
      <c r="P1502">
        <v>0.86</v>
      </c>
      <c r="Q1502">
        <v>0.01</v>
      </c>
    </row>
    <row r="1503" spans="1:17" x14ac:dyDescent="0.25">
      <c r="A1503">
        <v>730400</v>
      </c>
      <c r="B1503" t="s">
        <v>2815</v>
      </c>
      <c r="C1503" t="s">
        <v>78</v>
      </c>
      <c r="D1503" t="s">
        <v>78</v>
      </c>
      <c r="E1503" t="s">
        <v>78</v>
      </c>
      <c r="F1503" t="s">
        <v>78</v>
      </c>
      <c r="G1503" t="s">
        <v>78</v>
      </c>
      <c r="H1503">
        <v>2.79</v>
      </c>
      <c r="I1503" s="1">
        <v>0</v>
      </c>
      <c r="J1503" s="1">
        <v>0</v>
      </c>
      <c r="K1503">
        <v>0</v>
      </c>
      <c r="L1503">
        <v>2.75</v>
      </c>
      <c r="M1503">
        <v>2.83</v>
      </c>
      <c r="N1503" s="1">
        <v>13000000</v>
      </c>
      <c r="O1503">
        <v>2.81</v>
      </c>
      <c r="P1503">
        <v>3.66</v>
      </c>
      <c r="Q1503">
        <v>1.94</v>
      </c>
    </row>
    <row r="1504" spans="1:17" x14ac:dyDescent="0.25">
      <c r="A1504">
        <v>730402</v>
      </c>
      <c r="B1504" t="s">
        <v>2816</v>
      </c>
      <c r="C1504">
        <v>3.19</v>
      </c>
      <c r="D1504">
        <v>0.03</v>
      </c>
      <c r="E1504">
        <v>3.46</v>
      </c>
      <c r="F1504">
        <v>3.46</v>
      </c>
      <c r="G1504">
        <v>3.19</v>
      </c>
      <c r="H1504">
        <v>3.32</v>
      </c>
      <c r="I1504" s="1">
        <v>2000</v>
      </c>
      <c r="J1504" s="1">
        <v>6650</v>
      </c>
      <c r="K1504">
        <v>2</v>
      </c>
      <c r="L1504">
        <v>3.14</v>
      </c>
      <c r="M1504">
        <v>3.17</v>
      </c>
      <c r="N1504" s="1">
        <v>15000000</v>
      </c>
      <c r="O1504">
        <v>3.19</v>
      </c>
      <c r="P1504">
        <v>4.1900000000000004</v>
      </c>
      <c r="Q1504">
        <v>2.19</v>
      </c>
    </row>
    <row r="1505" spans="1:17" x14ac:dyDescent="0.25">
      <c r="A1505">
        <v>730404</v>
      </c>
      <c r="B1505" t="s">
        <v>2817</v>
      </c>
      <c r="C1505" t="s">
        <v>78</v>
      </c>
      <c r="D1505" t="s">
        <v>78</v>
      </c>
      <c r="E1505" t="s">
        <v>78</v>
      </c>
      <c r="F1505" t="s">
        <v>78</v>
      </c>
      <c r="G1505" t="s">
        <v>78</v>
      </c>
      <c r="H1505">
        <v>0.56999999999999995</v>
      </c>
      <c r="I1505" s="1">
        <v>0</v>
      </c>
      <c r="J1505" s="1">
        <v>0</v>
      </c>
      <c r="K1505">
        <v>0</v>
      </c>
      <c r="L1505">
        <v>0.52</v>
      </c>
      <c r="M1505">
        <v>0.53</v>
      </c>
      <c r="N1505" s="1">
        <v>10000000</v>
      </c>
      <c r="O1505">
        <v>0.53</v>
      </c>
      <c r="P1505">
        <v>1.37</v>
      </c>
      <c r="Q1505">
        <v>0.01</v>
      </c>
    </row>
    <row r="1506" spans="1:17" x14ac:dyDescent="0.25">
      <c r="A1506">
        <v>730405</v>
      </c>
      <c r="B1506" t="s">
        <v>2818</v>
      </c>
      <c r="C1506" t="s">
        <v>78</v>
      </c>
      <c r="D1506" t="s">
        <v>78</v>
      </c>
      <c r="E1506" t="s">
        <v>78</v>
      </c>
      <c r="F1506" t="s">
        <v>78</v>
      </c>
      <c r="G1506" t="s">
        <v>78</v>
      </c>
      <c r="H1506">
        <v>7.0000000000000007E-2</v>
      </c>
      <c r="I1506" s="1">
        <v>0</v>
      </c>
      <c r="J1506" s="1">
        <v>0</v>
      </c>
      <c r="K1506">
        <v>0</v>
      </c>
      <c r="L1506">
        <v>0.06</v>
      </c>
      <c r="M1506">
        <v>0.1</v>
      </c>
      <c r="N1506" s="1">
        <v>10000000</v>
      </c>
      <c r="O1506">
        <v>7.0000000000000007E-2</v>
      </c>
      <c r="P1506">
        <v>0.6</v>
      </c>
      <c r="Q1506">
        <v>0.01</v>
      </c>
    </row>
    <row r="1507" spans="1:17" x14ac:dyDescent="0.25">
      <c r="A1507">
        <v>730409</v>
      </c>
      <c r="B1507" t="s">
        <v>2819</v>
      </c>
      <c r="C1507">
        <v>1.28</v>
      </c>
      <c r="D1507">
        <v>-0.03</v>
      </c>
      <c r="E1507">
        <v>1.28</v>
      </c>
      <c r="F1507">
        <v>1.28</v>
      </c>
      <c r="G1507">
        <v>1.28</v>
      </c>
      <c r="H1507">
        <v>1.28</v>
      </c>
      <c r="I1507" s="1">
        <v>17000</v>
      </c>
      <c r="J1507" s="1">
        <v>21760</v>
      </c>
      <c r="K1507">
        <v>2</v>
      </c>
      <c r="L1507">
        <v>1.3</v>
      </c>
      <c r="M1507">
        <v>1.39</v>
      </c>
      <c r="N1507" s="1">
        <v>8000000</v>
      </c>
      <c r="O1507">
        <v>1.28</v>
      </c>
      <c r="P1507">
        <v>2.6</v>
      </c>
      <c r="Q1507">
        <v>0.01</v>
      </c>
    </row>
    <row r="1508" spans="1:17" x14ac:dyDescent="0.25">
      <c r="A1508">
        <v>730410</v>
      </c>
      <c r="B1508" t="s">
        <v>2820</v>
      </c>
      <c r="C1508">
        <v>0.37</v>
      </c>
      <c r="D1508">
        <v>-0.03</v>
      </c>
      <c r="E1508">
        <v>0.37</v>
      </c>
      <c r="F1508">
        <v>0.37</v>
      </c>
      <c r="G1508">
        <v>0.36</v>
      </c>
      <c r="H1508">
        <v>0.37</v>
      </c>
      <c r="I1508" s="1">
        <v>60000</v>
      </c>
      <c r="J1508" s="1">
        <v>22150</v>
      </c>
      <c r="K1508">
        <v>5</v>
      </c>
      <c r="L1508">
        <v>0.36</v>
      </c>
      <c r="M1508">
        <v>0.37</v>
      </c>
      <c r="N1508" s="1">
        <v>10000000</v>
      </c>
      <c r="O1508">
        <v>0.37</v>
      </c>
      <c r="P1508">
        <v>1.36</v>
      </c>
      <c r="Q1508">
        <v>0.01</v>
      </c>
    </row>
    <row r="1509" spans="1:17" x14ac:dyDescent="0.25">
      <c r="A1509">
        <v>730411</v>
      </c>
      <c r="B1509" t="s">
        <v>2821</v>
      </c>
      <c r="C1509" t="s">
        <v>78</v>
      </c>
      <c r="D1509" t="s">
        <v>78</v>
      </c>
      <c r="E1509" t="s">
        <v>78</v>
      </c>
      <c r="F1509" t="s">
        <v>78</v>
      </c>
      <c r="G1509" t="s">
        <v>78</v>
      </c>
      <c r="H1509">
        <v>7.1</v>
      </c>
      <c r="I1509" s="1">
        <v>0</v>
      </c>
      <c r="J1509" s="1">
        <v>0</v>
      </c>
      <c r="K1509">
        <v>0</v>
      </c>
      <c r="L1509">
        <v>5.95</v>
      </c>
      <c r="M1509">
        <v>0</v>
      </c>
      <c r="N1509" s="1">
        <v>5000000</v>
      </c>
      <c r="O1509">
        <v>6.35</v>
      </c>
      <c r="P1509">
        <v>8.0500000000000007</v>
      </c>
      <c r="Q1509">
        <v>4.62</v>
      </c>
    </row>
    <row r="1510" spans="1:17" x14ac:dyDescent="0.25">
      <c r="A1510">
        <v>730420</v>
      </c>
      <c r="B1510" t="s">
        <v>2822</v>
      </c>
      <c r="C1510" t="s">
        <v>78</v>
      </c>
      <c r="D1510" t="s">
        <v>78</v>
      </c>
      <c r="E1510" t="s">
        <v>78</v>
      </c>
      <c r="F1510" t="s">
        <v>78</v>
      </c>
      <c r="G1510" t="s">
        <v>78</v>
      </c>
      <c r="H1510">
        <v>0.1</v>
      </c>
      <c r="I1510" s="1">
        <v>0</v>
      </c>
      <c r="J1510" s="1">
        <v>0</v>
      </c>
      <c r="K1510">
        <v>0</v>
      </c>
      <c r="L1510">
        <v>0.09</v>
      </c>
      <c r="M1510">
        <v>0.1</v>
      </c>
      <c r="N1510" s="1">
        <v>10000000</v>
      </c>
      <c r="O1510">
        <v>0.1</v>
      </c>
      <c r="P1510">
        <v>0.91</v>
      </c>
      <c r="Q1510">
        <v>0.01</v>
      </c>
    </row>
    <row r="1511" spans="1:17" x14ac:dyDescent="0.25">
      <c r="A1511">
        <v>730421</v>
      </c>
      <c r="B1511" t="s">
        <v>2823</v>
      </c>
      <c r="C1511" t="s">
        <v>78</v>
      </c>
      <c r="D1511" t="s">
        <v>78</v>
      </c>
      <c r="E1511" t="s">
        <v>78</v>
      </c>
      <c r="F1511" t="s">
        <v>78</v>
      </c>
      <c r="G1511" t="s">
        <v>78</v>
      </c>
      <c r="H1511">
        <v>1.42</v>
      </c>
      <c r="I1511" s="1">
        <v>0</v>
      </c>
      <c r="J1511" s="1">
        <v>0</v>
      </c>
      <c r="K1511">
        <v>0</v>
      </c>
      <c r="L1511">
        <v>1.33</v>
      </c>
      <c r="M1511">
        <v>1.43</v>
      </c>
      <c r="N1511" s="1">
        <v>10000000</v>
      </c>
      <c r="O1511">
        <v>1.43</v>
      </c>
      <c r="P1511">
        <v>3.09</v>
      </c>
      <c r="Q1511">
        <v>0.01</v>
      </c>
    </row>
    <row r="1512" spans="1:17" x14ac:dyDescent="0.25">
      <c r="A1512">
        <v>730428</v>
      </c>
      <c r="B1512" t="s">
        <v>2824</v>
      </c>
      <c r="C1512">
        <v>0.01</v>
      </c>
      <c r="D1512">
        <v>0</v>
      </c>
      <c r="E1512">
        <v>0.01</v>
      </c>
      <c r="F1512">
        <v>0.01</v>
      </c>
      <c r="G1512">
        <v>0.01</v>
      </c>
      <c r="H1512">
        <v>0.01</v>
      </c>
      <c r="I1512" s="1">
        <v>100000</v>
      </c>
      <c r="J1512" s="1">
        <v>1000</v>
      </c>
      <c r="K1512">
        <v>3</v>
      </c>
      <c r="L1512">
        <v>0.01</v>
      </c>
      <c r="M1512">
        <v>0.02</v>
      </c>
      <c r="N1512" s="1">
        <v>10000000</v>
      </c>
      <c r="O1512">
        <v>0.01</v>
      </c>
      <c r="P1512">
        <v>0.9</v>
      </c>
      <c r="Q1512">
        <v>0.01</v>
      </c>
    </row>
    <row r="1513" spans="1:17" x14ac:dyDescent="0.25">
      <c r="A1513">
        <v>730431</v>
      </c>
      <c r="B1513" t="s">
        <v>2825</v>
      </c>
      <c r="C1513" t="s">
        <v>78</v>
      </c>
      <c r="D1513" t="s">
        <v>78</v>
      </c>
      <c r="E1513" t="s">
        <v>78</v>
      </c>
      <c r="F1513" t="s">
        <v>78</v>
      </c>
      <c r="G1513" t="s">
        <v>78</v>
      </c>
      <c r="H1513">
        <v>2.9</v>
      </c>
      <c r="I1513" s="1">
        <v>0</v>
      </c>
      <c r="J1513" s="1">
        <v>0</v>
      </c>
      <c r="K1513">
        <v>0</v>
      </c>
      <c r="L1513">
        <v>0</v>
      </c>
      <c r="M1513">
        <v>0</v>
      </c>
      <c r="N1513" s="1">
        <v>5000000</v>
      </c>
      <c r="O1513">
        <v>8.9</v>
      </c>
      <c r="P1513">
        <v>10.3</v>
      </c>
      <c r="Q1513">
        <v>7.5</v>
      </c>
    </row>
    <row r="1514" spans="1:17" x14ac:dyDescent="0.25">
      <c r="A1514">
        <v>730438</v>
      </c>
      <c r="B1514" t="s">
        <v>2826</v>
      </c>
      <c r="C1514" t="s">
        <v>78</v>
      </c>
      <c r="D1514" t="s">
        <v>78</v>
      </c>
      <c r="E1514" t="s">
        <v>78</v>
      </c>
      <c r="F1514" t="s">
        <v>78</v>
      </c>
      <c r="G1514" t="s">
        <v>78</v>
      </c>
      <c r="H1514">
        <v>0.45</v>
      </c>
      <c r="I1514" s="1">
        <v>0</v>
      </c>
      <c r="J1514" s="1">
        <v>0</v>
      </c>
      <c r="K1514">
        <v>0</v>
      </c>
      <c r="L1514">
        <v>0.36</v>
      </c>
      <c r="M1514">
        <v>0.38</v>
      </c>
      <c r="N1514" s="1">
        <v>5000000</v>
      </c>
      <c r="O1514">
        <v>0.38</v>
      </c>
      <c r="P1514">
        <v>0.95</v>
      </c>
      <c r="Q1514">
        <v>0.01</v>
      </c>
    </row>
    <row r="1515" spans="1:17" x14ac:dyDescent="0.25">
      <c r="A1515">
        <v>730439</v>
      </c>
      <c r="B1515" t="s">
        <v>2827</v>
      </c>
      <c r="C1515" t="s">
        <v>78</v>
      </c>
      <c r="D1515" t="s">
        <v>78</v>
      </c>
      <c r="E1515" t="s">
        <v>78</v>
      </c>
      <c r="F1515" t="s">
        <v>78</v>
      </c>
      <c r="G1515" t="s">
        <v>78</v>
      </c>
      <c r="H1515">
        <v>0.16</v>
      </c>
      <c r="I1515" s="1">
        <v>0</v>
      </c>
      <c r="J1515" s="1">
        <v>0</v>
      </c>
      <c r="K1515">
        <v>0</v>
      </c>
      <c r="L1515">
        <v>0</v>
      </c>
      <c r="M1515">
        <v>0.02</v>
      </c>
      <c r="N1515" s="1">
        <v>10000000</v>
      </c>
      <c r="O1515">
        <v>0.02</v>
      </c>
      <c r="P1515">
        <v>1.52</v>
      </c>
      <c r="Q1515">
        <v>0.01</v>
      </c>
    </row>
    <row r="1516" spans="1:17" x14ac:dyDescent="0.25">
      <c r="A1516">
        <v>730440</v>
      </c>
      <c r="B1516" t="s">
        <v>2828</v>
      </c>
      <c r="C1516" t="s">
        <v>78</v>
      </c>
      <c r="D1516" t="s">
        <v>78</v>
      </c>
      <c r="E1516" t="s">
        <v>78</v>
      </c>
      <c r="F1516" t="s">
        <v>78</v>
      </c>
      <c r="G1516" t="s">
        <v>78</v>
      </c>
      <c r="H1516">
        <v>5</v>
      </c>
      <c r="I1516" s="1">
        <v>0</v>
      </c>
      <c r="J1516" s="1">
        <v>0</v>
      </c>
      <c r="K1516">
        <v>0</v>
      </c>
      <c r="L1516">
        <v>3.81</v>
      </c>
      <c r="M1516">
        <v>3.92</v>
      </c>
      <c r="N1516" s="1">
        <v>5000000</v>
      </c>
      <c r="O1516">
        <v>3.86</v>
      </c>
      <c r="P1516">
        <v>4.97</v>
      </c>
      <c r="Q1516">
        <v>2.75</v>
      </c>
    </row>
    <row r="1517" spans="1:17" x14ac:dyDescent="0.25">
      <c r="A1517">
        <v>730441</v>
      </c>
      <c r="B1517" t="s">
        <v>2829</v>
      </c>
      <c r="C1517" t="s">
        <v>78</v>
      </c>
      <c r="D1517" t="s">
        <v>78</v>
      </c>
      <c r="E1517" t="s">
        <v>78</v>
      </c>
      <c r="F1517" t="s">
        <v>78</v>
      </c>
      <c r="G1517" t="s">
        <v>78</v>
      </c>
      <c r="H1517">
        <v>3.02</v>
      </c>
      <c r="I1517" s="1">
        <v>0</v>
      </c>
      <c r="J1517" s="1">
        <v>0</v>
      </c>
      <c r="K1517">
        <v>0</v>
      </c>
      <c r="L1517">
        <v>5.35</v>
      </c>
      <c r="M1517">
        <v>5.5</v>
      </c>
      <c r="N1517" s="1">
        <v>5000000</v>
      </c>
      <c r="O1517">
        <v>5.5</v>
      </c>
      <c r="P1517">
        <v>6.9</v>
      </c>
      <c r="Q1517">
        <v>4.08</v>
      </c>
    </row>
    <row r="1518" spans="1:17" x14ac:dyDescent="0.25">
      <c r="A1518">
        <v>730442</v>
      </c>
      <c r="B1518" t="s">
        <v>2830</v>
      </c>
      <c r="C1518" t="s">
        <v>78</v>
      </c>
      <c r="D1518" t="s">
        <v>78</v>
      </c>
      <c r="E1518" t="s">
        <v>78</v>
      </c>
      <c r="F1518" t="s">
        <v>78</v>
      </c>
      <c r="G1518" t="s">
        <v>78</v>
      </c>
      <c r="H1518">
        <v>0.01</v>
      </c>
      <c r="I1518" s="1">
        <v>0</v>
      </c>
      <c r="J1518" s="1">
        <v>0</v>
      </c>
      <c r="K1518">
        <v>0</v>
      </c>
      <c r="L1518">
        <v>0</v>
      </c>
      <c r="M1518">
        <v>0</v>
      </c>
      <c r="N1518" s="1">
        <v>5000000</v>
      </c>
      <c r="O1518">
        <v>0.01</v>
      </c>
      <c r="P1518">
        <v>1.08</v>
      </c>
      <c r="Q1518">
        <v>0.01</v>
      </c>
    </row>
    <row r="1519" spans="1:17" x14ac:dyDescent="0.25">
      <c r="A1519">
        <v>730443</v>
      </c>
      <c r="B1519" t="s">
        <v>2831</v>
      </c>
      <c r="C1519" t="s">
        <v>78</v>
      </c>
      <c r="D1519" t="s">
        <v>78</v>
      </c>
      <c r="E1519" t="s">
        <v>78</v>
      </c>
      <c r="F1519" t="s">
        <v>78</v>
      </c>
      <c r="G1519" t="s">
        <v>78</v>
      </c>
      <c r="H1519">
        <v>0.42</v>
      </c>
      <c r="I1519" s="1">
        <v>0</v>
      </c>
      <c r="J1519" s="1">
        <v>0</v>
      </c>
      <c r="K1519">
        <v>0</v>
      </c>
      <c r="L1519">
        <v>0.39</v>
      </c>
      <c r="M1519">
        <v>0.42</v>
      </c>
      <c r="N1519" s="1">
        <v>5030000</v>
      </c>
      <c r="O1519">
        <v>0.42</v>
      </c>
      <c r="P1519">
        <v>0.69</v>
      </c>
      <c r="Q1519">
        <v>0.15</v>
      </c>
    </row>
    <row r="1520" spans="1:17" x14ac:dyDescent="0.25">
      <c r="A1520">
        <v>730444</v>
      </c>
      <c r="B1520" t="s">
        <v>2832</v>
      </c>
      <c r="C1520" t="s">
        <v>78</v>
      </c>
      <c r="D1520" t="s">
        <v>78</v>
      </c>
      <c r="E1520" t="s">
        <v>78</v>
      </c>
      <c r="F1520" t="s">
        <v>78</v>
      </c>
      <c r="G1520" t="s">
        <v>78</v>
      </c>
      <c r="H1520">
        <v>3</v>
      </c>
      <c r="I1520" s="1">
        <v>0</v>
      </c>
      <c r="J1520" s="1">
        <v>0</v>
      </c>
      <c r="K1520">
        <v>0</v>
      </c>
      <c r="L1520">
        <v>2.69</v>
      </c>
      <c r="M1520">
        <v>2.79</v>
      </c>
      <c r="N1520" s="1">
        <v>5000000</v>
      </c>
      <c r="O1520">
        <v>2.77</v>
      </c>
      <c r="P1520">
        <v>4.41</v>
      </c>
      <c r="Q1520">
        <v>1.1299999999999999</v>
      </c>
    </row>
    <row r="1521" spans="1:17" x14ac:dyDescent="0.25">
      <c r="A1521">
        <v>730445</v>
      </c>
      <c r="B1521" t="s">
        <v>2833</v>
      </c>
      <c r="C1521">
        <v>0.28000000000000003</v>
      </c>
      <c r="D1521">
        <v>0.04</v>
      </c>
      <c r="E1521">
        <v>0.3</v>
      </c>
      <c r="F1521">
        <v>0.3</v>
      </c>
      <c r="G1521">
        <v>0.28000000000000003</v>
      </c>
      <c r="H1521">
        <v>0.28999999999999998</v>
      </c>
      <c r="I1521" s="1">
        <v>20000</v>
      </c>
      <c r="J1521" s="1">
        <v>5800</v>
      </c>
      <c r="K1521">
        <v>2</v>
      </c>
      <c r="L1521">
        <v>0.26</v>
      </c>
      <c r="M1521">
        <v>0.27</v>
      </c>
      <c r="N1521" s="1">
        <v>5044000</v>
      </c>
      <c r="O1521">
        <v>0.28000000000000003</v>
      </c>
      <c r="P1521">
        <v>0.57999999999999996</v>
      </c>
      <c r="Q1521">
        <v>0.01</v>
      </c>
    </row>
    <row r="1522" spans="1:17" x14ac:dyDescent="0.25">
      <c r="A1522">
        <v>730446</v>
      </c>
      <c r="B1522" t="s">
        <v>2834</v>
      </c>
      <c r="C1522">
        <v>0.56999999999999995</v>
      </c>
      <c r="D1522">
        <v>-0.03</v>
      </c>
      <c r="E1522">
        <v>0.56999999999999995</v>
      </c>
      <c r="F1522">
        <v>0.56999999999999995</v>
      </c>
      <c r="G1522">
        <v>0.56999999999999995</v>
      </c>
      <c r="H1522">
        <v>0.56999999999999995</v>
      </c>
      <c r="I1522" s="1">
        <v>8000</v>
      </c>
      <c r="J1522" s="1">
        <v>4560</v>
      </c>
      <c r="K1522">
        <v>1</v>
      </c>
      <c r="L1522">
        <v>0.56999999999999995</v>
      </c>
      <c r="M1522">
        <v>0.65</v>
      </c>
      <c r="N1522" s="1">
        <v>5000000</v>
      </c>
      <c r="O1522">
        <v>0.56999999999999995</v>
      </c>
      <c r="P1522">
        <v>1.36</v>
      </c>
      <c r="Q1522">
        <v>0.01</v>
      </c>
    </row>
    <row r="1523" spans="1:17" x14ac:dyDescent="0.25">
      <c r="A1523">
        <v>730447</v>
      </c>
      <c r="B1523" t="s">
        <v>2835</v>
      </c>
      <c r="C1523" t="s">
        <v>78</v>
      </c>
      <c r="D1523" t="s">
        <v>78</v>
      </c>
      <c r="E1523" t="s">
        <v>78</v>
      </c>
      <c r="F1523" t="s">
        <v>78</v>
      </c>
      <c r="G1523" t="s">
        <v>78</v>
      </c>
      <c r="H1523">
        <v>0.08</v>
      </c>
      <c r="I1523" s="1">
        <v>0</v>
      </c>
      <c r="J1523" s="1">
        <v>0</v>
      </c>
      <c r="K1523">
        <v>0</v>
      </c>
      <c r="L1523">
        <v>0.12</v>
      </c>
      <c r="M1523">
        <v>0.18</v>
      </c>
      <c r="N1523" s="1">
        <v>5076000</v>
      </c>
      <c r="O1523">
        <v>0.12</v>
      </c>
      <c r="P1523">
        <v>0.7</v>
      </c>
      <c r="Q1523">
        <v>0.01</v>
      </c>
    </row>
    <row r="1524" spans="1:17" x14ac:dyDescent="0.25">
      <c r="A1524">
        <v>730448</v>
      </c>
      <c r="B1524" t="s">
        <v>2836</v>
      </c>
      <c r="C1524" t="s">
        <v>78</v>
      </c>
      <c r="D1524" t="s">
        <v>78</v>
      </c>
      <c r="E1524" t="s">
        <v>78</v>
      </c>
      <c r="F1524" t="s">
        <v>78</v>
      </c>
      <c r="G1524" t="s">
        <v>78</v>
      </c>
      <c r="H1524">
        <v>1.67</v>
      </c>
      <c r="I1524" s="1">
        <v>0</v>
      </c>
      <c r="J1524" s="1">
        <v>0</v>
      </c>
      <c r="K1524">
        <v>0</v>
      </c>
      <c r="L1524">
        <v>1.68</v>
      </c>
      <c r="M1524">
        <v>1.76</v>
      </c>
      <c r="N1524" s="1">
        <v>5000000</v>
      </c>
      <c r="O1524">
        <v>1.68</v>
      </c>
      <c r="P1524">
        <v>2.56</v>
      </c>
      <c r="Q1524">
        <v>0.8</v>
      </c>
    </row>
    <row r="1525" spans="1:17" x14ac:dyDescent="0.25">
      <c r="A1525">
        <v>730449</v>
      </c>
      <c r="B1525" t="s">
        <v>2837</v>
      </c>
      <c r="C1525">
        <v>0.6</v>
      </c>
      <c r="D1525">
        <v>-0.02</v>
      </c>
      <c r="E1525">
        <v>0.6</v>
      </c>
      <c r="F1525">
        <v>0.6</v>
      </c>
      <c r="G1525">
        <v>0.6</v>
      </c>
      <c r="H1525">
        <v>0.6</v>
      </c>
      <c r="I1525" s="1">
        <v>20000</v>
      </c>
      <c r="J1525" s="1">
        <v>12000</v>
      </c>
      <c r="K1525">
        <v>4</v>
      </c>
      <c r="L1525">
        <v>0.56000000000000005</v>
      </c>
      <c r="M1525">
        <v>0.56999999999999995</v>
      </c>
      <c r="N1525" s="1">
        <v>5070000</v>
      </c>
      <c r="O1525">
        <v>0.6</v>
      </c>
      <c r="P1525">
        <v>1.1000000000000001</v>
      </c>
      <c r="Q1525">
        <v>0.1</v>
      </c>
    </row>
    <row r="1526" spans="1:17" x14ac:dyDescent="0.25">
      <c r="A1526">
        <v>730450</v>
      </c>
      <c r="B1526" t="s">
        <v>2838</v>
      </c>
      <c r="C1526" t="s">
        <v>78</v>
      </c>
      <c r="D1526" t="s">
        <v>78</v>
      </c>
      <c r="E1526" t="s">
        <v>78</v>
      </c>
      <c r="F1526" t="s">
        <v>78</v>
      </c>
      <c r="G1526" t="s">
        <v>78</v>
      </c>
      <c r="H1526">
        <v>0.36</v>
      </c>
      <c r="I1526" s="1">
        <v>0</v>
      </c>
      <c r="J1526" s="1">
        <v>0</v>
      </c>
      <c r="K1526">
        <v>0</v>
      </c>
      <c r="L1526">
        <v>0</v>
      </c>
      <c r="M1526">
        <v>0.03</v>
      </c>
      <c r="N1526" s="1">
        <v>5000000</v>
      </c>
      <c r="O1526">
        <v>0.03</v>
      </c>
      <c r="P1526">
        <v>0.72</v>
      </c>
      <c r="Q1526">
        <v>0.01</v>
      </c>
    </row>
    <row r="1527" spans="1:17" x14ac:dyDescent="0.25">
      <c r="A1527">
        <v>730451</v>
      </c>
      <c r="B1527" t="s">
        <v>2839</v>
      </c>
      <c r="C1527">
        <v>0.53</v>
      </c>
      <c r="D1527">
        <v>-0.05</v>
      </c>
      <c r="E1527">
        <v>0.53</v>
      </c>
      <c r="F1527">
        <v>0.53</v>
      </c>
      <c r="G1527">
        <v>0.53</v>
      </c>
      <c r="H1527">
        <v>0.53</v>
      </c>
      <c r="I1527" s="1">
        <v>305000</v>
      </c>
      <c r="J1527" s="1">
        <v>161650</v>
      </c>
      <c r="K1527">
        <v>1</v>
      </c>
      <c r="L1527">
        <v>0.53</v>
      </c>
      <c r="M1527">
        <v>0.63</v>
      </c>
      <c r="N1527" s="1">
        <v>5048000</v>
      </c>
      <c r="O1527">
        <v>0.53</v>
      </c>
      <c r="P1527">
        <v>1.08</v>
      </c>
      <c r="Q1527">
        <v>0.01</v>
      </c>
    </row>
    <row r="1528" spans="1:17" x14ac:dyDescent="0.25">
      <c r="A1528">
        <v>730452</v>
      </c>
      <c r="B1528" t="s">
        <v>2840</v>
      </c>
      <c r="C1528" t="s">
        <v>78</v>
      </c>
      <c r="D1528" t="s">
        <v>78</v>
      </c>
      <c r="E1528" t="s">
        <v>78</v>
      </c>
      <c r="F1528" t="s">
        <v>78</v>
      </c>
      <c r="G1528" t="s">
        <v>78</v>
      </c>
      <c r="H1528">
        <v>0.68</v>
      </c>
      <c r="I1528" s="1">
        <v>0</v>
      </c>
      <c r="J1528" s="1">
        <v>0</v>
      </c>
      <c r="K1528">
        <v>0</v>
      </c>
      <c r="L1528">
        <v>0.38</v>
      </c>
      <c r="M1528">
        <v>0.43</v>
      </c>
      <c r="N1528" s="1">
        <v>5000000</v>
      </c>
      <c r="O1528">
        <v>0.43</v>
      </c>
      <c r="P1528">
        <v>1.37</v>
      </c>
      <c r="Q1528">
        <v>0.01</v>
      </c>
    </row>
    <row r="1529" spans="1:17" x14ac:dyDescent="0.25">
      <c r="A1529">
        <v>730453</v>
      </c>
      <c r="B1529" t="s">
        <v>2841</v>
      </c>
      <c r="C1529" t="s">
        <v>78</v>
      </c>
      <c r="D1529" t="s">
        <v>78</v>
      </c>
      <c r="E1529" t="s">
        <v>78</v>
      </c>
      <c r="F1529" t="s">
        <v>78</v>
      </c>
      <c r="G1529" t="s">
        <v>78</v>
      </c>
      <c r="H1529">
        <v>0.43</v>
      </c>
      <c r="I1529" s="1">
        <v>0</v>
      </c>
      <c r="J1529" s="1">
        <v>0</v>
      </c>
      <c r="K1529">
        <v>0</v>
      </c>
      <c r="L1529">
        <v>0</v>
      </c>
      <c r="M1529">
        <v>0.02</v>
      </c>
      <c r="N1529" s="1">
        <v>5000000</v>
      </c>
      <c r="O1529">
        <v>0.02</v>
      </c>
      <c r="P1529">
        <v>0.56999999999999995</v>
      </c>
      <c r="Q1529">
        <v>0.01</v>
      </c>
    </row>
    <row r="1530" spans="1:17" x14ac:dyDescent="0.25">
      <c r="A1530">
        <v>730454</v>
      </c>
      <c r="B1530" t="s">
        <v>2842</v>
      </c>
      <c r="C1530" t="s">
        <v>78</v>
      </c>
      <c r="D1530" t="s">
        <v>78</v>
      </c>
      <c r="E1530" t="s">
        <v>78</v>
      </c>
      <c r="F1530" t="s">
        <v>78</v>
      </c>
      <c r="G1530" t="s">
        <v>78</v>
      </c>
      <c r="H1530">
        <v>0.08</v>
      </c>
      <c r="I1530" s="1">
        <v>0</v>
      </c>
      <c r="J1530" s="1">
        <v>0</v>
      </c>
      <c r="K1530">
        <v>0</v>
      </c>
      <c r="L1530">
        <v>0.01</v>
      </c>
      <c r="M1530">
        <v>0.02</v>
      </c>
      <c r="N1530" s="1">
        <v>10000000</v>
      </c>
      <c r="O1530">
        <v>0.02</v>
      </c>
      <c r="P1530">
        <v>0.9</v>
      </c>
      <c r="Q1530">
        <v>0.01</v>
      </c>
    </row>
    <row r="1531" spans="1:17" x14ac:dyDescent="0.25">
      <c r="A1531">
        <v>730455</v>
      </c>
      <c r="B1531" t="s">
        <v>2843</v>
      </c>
      <c r="C1531" t="s">
        <v>78</v>
      </c>
      <c r="D1531" t="s">
        <v>78</v>
      </c>
      <c r="E1531" t="s">
        <v>78</v>
      </c>
      <c r="F1531" t="s">
        <v>78</v>
      </c>
      <c r="G1531" t="s">
        <v>78</v>
      </c>
      <c r="H1531">
        <v>0.69</v>
      </c>
      <c r="I1531" s="1">
        <v>0</v>
      </c>
      <c r="J1531" s="1">
        <v>0</v>
      </c>
      <c r="K1531">
        <v>0</v>
      </c>
      <c r="L1531">
        <v>0.67</v>
      </c>
      <c r="M1531">
        <v>0.71</v>
      </c>
      <c r="N1531" s="1">
        <v>10000000</v>
      </c>
      <c r="O1531">
        <v>0.7</v>
      </c>
      <c r="P1531">
        <v>1.1200000000000001</v>
      </c>
      <c r="Q1531">
        <v>0.28000000000000003</v>
      </c>
    </row>
    <row r="1532" spans="1:17" x14ac:dyDescent="0.25">
      <c r="A1532">
        <v>730456</v>
      </c>
      <c r="B1532" t="s">
        <v>2844</v>
      </c>
      <c r="C1532" t="s">
        <v>78</v>
      </c>
      <c r="D1532" t="s">
        <v>78</v>
      </c>
      <c r="E1532" t="s">
        <v>78</v>
      </c>
      <c r="F1532" t="s">
        <v>78</v>
      </c>
      <c r="G1532" t="s">
        <v>78</v>
      </c>
      <c r="H1532">
        <v>8.3000000000000007</v>
      </c>
      <c r="I1532" s="1">
        <v>0</v>
      </c>
      <c r="J1532" s="1">
        <v>0</v>
      </c>
      <c r="K1532">
        <v>0</v>
      </c>
      <c r="L1532">
        <v>0</v>
      </c>
      <c r="M1532">
        <v>0</v>
      </c>
      <c r="N1532" s="1">
        <v>5000000</v>
      </c>
      <c r="O1532">
        <v>9.4499999999999993</v>
      </c>
      <c r="P1532">
        <v>11.1</v>
      </c>
      <c r="Q1532">
        <v>7.75</v>
      </c>
    </row>
    <row r="1533" spans="1:17" x14ac:dyDescent="0.25">
      <c r="A1533">
        <v>730457</v>
      </c>
      <c r="B1533" t="s">
        <v>2845</v>
      </c>
      <c r="C1533" t="s">
        <v>78</v>
      </c>
      <c r="D1533" t="s">
        <v>78</v>
      </c>
      <c r="E1533" t="s">
        <v>78</v>
      </c>
      <c r="F1533" t="s">
        <v>78</v>
      </c>
      <c r="G1533" t="s">
        <v>78</v>
      </c>
      <c r="H1533">
        <v>9.6</v>
      </c>
      <c r="I1533" s="1">
        <v>0</v>
      </c>
      <c r="J1533" s="1">
        <v>0</v>
      </c>
      <c r="K1533">
        <v>0</v>
      </c>
      <c r="L1533">
        <v>0</v>
      </c>
      <c r="M1533">
        <v>0</v>
      </c>
      <c r="N1533" s="1">
        <v>5000000</v>
      </c>
      <c r="O1533">
        <v>10.3</v>
      </c>
      <c r="P1533">
        <v>12.3</v>
      </c>
      <c r="Q1533">
        <v>8.3000000000000007</v>
      </c>
    </row>
    <row r="1534" spans="1:17" x14ac:dyDescent="0.25">
      <c r="A1534">
        <v>730458</v>
      </c>
      <c r="B1534" t="s">
        <v>2846</v>
      </c>
      <c r="C1534" t="s">
        <v>78</v>
      </c>
      <c r="D1534" t="s">
        <v>78</v>
      </c>
      <c r="E1534" t="s">
        <v>78</v>
      </c>
      <c r="F1534" t="s">
        <v>78</v>
      </c>
      <c r="G1534" t="s">
        <v>78</v>
      </c>
      <c r="H1534">
        <v>0.08</v>
      </c>
      <c r="I1534" s="1">
        <v>0</v>
      </c>
      <c r="J1534" s="1">
        <v>0</v>
      </c>
      <c r="K1534">
        <v>0</v>
      </c>
      <c r="L1534">
        <v>7.0000000000000007E-2</v>
      </c>
      <c r="M1534">
        <v>0.08</v>
      </c>
      <c r="N1534" s="1">
        <v>10000000</v>
      </c>
      <c r="O1534">
        <v>0.08</v>
      </c>
      <c r="P1534">
        <v>0.56999999999999995</v>
      </c>
      <c r="Q1534">
        <v>0.01</v>
      </c>
    </row>
    <row r="1535" spans="1:17" x14ac:dyDescent="0.25">
      <c r="A1535">
        <v>730459</v>
      </c>
      <c r="B1535" t="s">
        <v>2847</v>
      </c>
      <c r="C1535" t="s">
        <v>78</v>
      </c>
      <c r="D1535" t="s">
        <v>78</v>
      </c>
      <c r="E1535" t="s">
        <v>78</v>
      </c>
      <c r="F1535" t="s">
        <v>78</v>
      </c>
      <c r="G1535" t="s">
        <v>78</v>
      </c>
      <c r="H1535">
        <v>2.2999999999999998</v>
      </c>
      <c r="I1535" s="1">
        <v>0</v>
      </c>
      <c r="J1535" s="1">
        <v>0</v>
      </c>
      <c r="K1535">
        <v>0</v>
      </c>
      <c r="L1535">
        <v>5.75</v>
      </c>
      <c r="M1535">
        <v>0</v>
      </c>
      <c r="N1535" s="1">
        <v>5000000</v>
      </c>
      <c r="O1535">
        <v>6</v>
      </c>
      <c r="P1535">
        <v>7.3</v>
      </c>
      <c r="Q1535">
        <v>4.6900000000000004</v>
      </c>
    </row>
    <row r="1536" spans="1:17" x14ac:dyDescent="0.25">
      <c r="A1536">
        <v>730460</v>
      </c>
      <c r="B1536" t="s">
        <v>2848</v>
      </c>
      <c r="C1536" t="s">
        <v>78</v>
      </c>
      <c r="D1536" t="s">
        <v>78</v>
      </c>
      <c r="E1536" t="s">
        <v>78</v>
      </c>
      <c r="F1536" t="s">
        <v>78</v>
      </c>
      <c r="G1536" t="s">
        <v>78</v>
      </c>
      <c r="H1536">
        <v>0.1</v>
      </c>
      <c r="I1536" s="1">
        <v>0</v>
      </c>
      <c r="J1536" s="1">
        <v>0</v>
      </c>
      <c r="K1536">
        <v>0</v>
      </c>
      <c r="L1536">
        <v>0</v>
      </c>
      <c r="M1536">
        <v>0.1</v>
      </c>
      <c r="N1536" s="1">
        <v>10000000</v>
      </c>
      <c r="O1536">
        <v>0.1</v>
      </c>
      <c r="P1536">
        <v>0.82</v>
      </c>
      <c r="Q1536">
        <v>0.01</v>
      </c>
    </row>
    <row r="1537" spans="1:17" x14ac:dyDescent="0.25">
      <c r="A1537">
        <v>730461</v>
      </c>
      <c r="B1537" t="s">
        <v>2849</v>
      </c>
      <c r="C1537">
        <v>0.56000000000000005</v>
      </c>
      <c r="D1537">
        <v>-0.02</v>
      </c>
      <c r="E1537">
        <v>0.59</v>
      </c>
      <c r="F1537">
        <v>0.61</v>
      </c>
      <c r="G1537">
        <v>0.55000000000000004</v>
      </c>
      <c r="H1537">
        <v>0.57999999999999996</v>
      </c>
      <c r="I1537" s="1">
        <v>300000</v>
      </c>
      <c r="J1537" s="1">
        <v>173620</v>
      </c>
      <c r="K1537">
        <v>28</v>
      </c>
      <c r="L1537">
        <v>0.55000000000000004</v>
      </c>
      <c r="M1537">
        <v>0.56000000000000005</v>
      </c>
      <c r="N1537" s="1">
        <v>10000000</v>
      </c>
      <c r="O1537">
        <v>0.56000000000000005</v>
      </c>
      <c r="P1537">
        <v>0.82</v>
      </c>
      <c r="Q1537">
        <v>0.3</v>
      </c>
    </row>
    <row r="1538" spans="1:17" x14ac:dyDescent="0.25">
      <c r="A1538">
        <v>730462</v>
      </c>
      <c r="B1538" t="s">
        <v>2850</v>
      </c>
      <c r="C1538" t="s">
        <v>78</v>
      </c>
      <c r="D1538" t="s">
        <v>78</v>
      </c>
      <c r="E1538" t="s">
        <v>78</v>
      </c>
      <c r="F1538" t="s">
        <v>78</v>
      </c>
      <c r="G1538" t="s">
        <v>78</v>
      </c>
      <c r="H1538">
        <v>0.06</v>
      </c>
      <c r="I1538" s="1">
        <v>0</v>
      </c>
      <c r="J1538" s="1">
        <v>0</v>
      </c>
      <c r="K1538">
        <v>0</v>
      </c>
      <c r="L1538">
        <v>0</v>
      </c>
      <c r="M1538">
        <v>0.02</v>
      </c>
      <c r="N1538" s="1">
        <v>5000000</v>
      </c>
      <c r="O1538">
        <v>0.02</v>
      </c>
      <c r="P1538">
        <v>0.6</v>
      </c>
      <c r="Q1538">
        <v>0.01</v>
      </c>
    </row>
    <row r="1539" spans="1:17" x14ac:dyDescent="0.25">
      <c r="A1539">
        <v>730463</v>
      </c>
      <c r="B1539" t="s">
        <v>2851</v>
      </c>
      <c r="C1539" t="s">
        <v>78</v>
      </c>
      <c r="D1539" t="s">
        <v>78</v>
      </c>
      <c r="E1539" t="s">
        <v>78</v>
      </c>
      <c r="F1539" t="s">
        <v>78</v>
      </c>
      <c r="G1539" t="s">
        <v>78</v>
      </c>
      <c r="H1539">
        <v>0.01</v>
      </c>
      <c r="I1539" s="1">
        <v>0</v>
      </c>
      <c r="J1539" s="1">
        <v>0</v>
      </c>
      <c r="K1539">
        <v>0</v>
      </c>
      <c r="L1539">
        <v>0</v>
      </c>
      <c r="M1539">
        <v>0.02</v>
      </c>
      <c r="N1539" s="1">
        <v>10000000</v>
      </c>
      <c r="O1539">
        <v>0.01</v>
      </c>
      <c r="P1539">
        <v>0.39</v>
      </c>
      <c r="Q1539">
        <v>0.01</v>
      </c>
    </row>
    <row r="1540" spans="1:17" x14ac:dyDescent="0.25">
      <c r="A1540">
        <v>730464</v>
      </c>
      <c r="B1540" t="s">
        <v>2852</v>
      </c>
      <c r="C1540" t="s">
        <v>78</v>
      </c>
      <c r="D1540" t="s">
        <v>78</v>
      </c>
      <c r="E1540" t="s">
        <v>78</v>
      </c>
      <c r="F1540" t="s">
        <v>78</v>
      </c>
      <c r="G1540" t="s">
        <v>78</v>
      </c>
      <c r="H1540">
        <v>0.59</v>
      </c>
      <c r="I1540" s="1">
        <v>0</v>
      </c>
      <c r="J1540" s="1">
        <v>0</v>
      </c>
      <c r="K1540">
        <v>0</v>
      </c>
      <c r="L1540">
        <v>0.68</v>
      </c>
      <c r="M1540">
        <v>0.74</v>
      </c>
      <c r="N1540" s="1">
        <v>10000000</v>
      </c>
      <c r="O1540">
        <v>0.71</v>
      </c>
      <c r="P1540">
        <v>1.41</v>
      </c>
      <c r="Q1540">
        <v>0.01</v>
      </c>
    </row>
    <row r="1541" spans="1:17" x14ac:dyDescent="0.25">
      <c r="A1541">
        <v>730465</v>
      </c>
      <c r="B1541" t="s">
        <v>2853</v>
      </c>
      <c r="C1541" t="s">
        <v>78</v>
      </c>
      <c r="D1541" t="s">
        <v>78</v>
      </c>
      <c r="E1541" t="s">
        <v>78</v>
      </c>
      <c r="F1541" t="s">
        <v>78</v>
      </c>
      <c r="G1541" t="s">
        <v>78</v>
      </c>
      <c r="H1541">
        <v>3.26</v>
      </c>
      <c r="I1541" s="1">
        <v>0</v>
      </c>
      <c r="J1541" s="1">
        <v>0</v>
      </c>
      <c r="K1541">
        <v>0</v>
      </c>
      <c r="L1541">
        <v>3.46</v>
      </c>
      <c r="M1541">
        <v>3.56</v>
      </c>
      <c r="N1541" s="1">
        <v>10000000</v>
      </c>
      <c r="O1541">
        <v>3.51</v>
      </c>
      <c r="P1541">
        <v>4.54</v>
      </c>
      <c r="Q1541">
        <v>2.48</v>
      </c>
    </row>
    <row r="1542" spans="1:17" x14ac:dyDescent="0.25">
      <c r="A1542">
        <v>730466</v>
      </c>
      <c r="B1542" t="s">
        <v>2854</v>
      </c>
      <c r="C1542" t="s">
        <v>78</v>
      </c>
      <c r="D1542" t="s">
        <v>78</v>
      </c>
      <c r="E1542" t="s">
        <v>78</v>
      </c>
      <c r="F1542" t="s">
        <v>78</v>
      </c>
      <c r="G1542" t="s">
        <v>78</v>
      </c>
      <c r="H1542">
        <v>5.83</v>
      </c>
      <c r="I1542" s="1">
        <v>0</v>
      </c>
      <c r="J1542" s="1">
        <v>0</v>
      </c>
      <c r="K1542">
        <v>0</v>
      </c>
      <c r="L1542">
        <v>5.35</v>
      </c>
      <c r="M1542">
        <v>5.4</v>
      </c>
      <c r="N1542" s="1">
        <v>5000000</v>
      </c>
      <c r="O1542">
        <v>5.4</v>
      </c>
      <c r="P1542">
        <v>7.35</v>
      </c>
      <c r="Q1542">
        <v>3.37</v>
      </c>
    </row>
    <row r="1543" spans="1:17" x14ac:dyDescent="0.25">
      <c r="A1543">
        <v>730467</v>
      </c>
      <c r="B1543" t="s">
        <v>2855</v>
      </c>
      <c r="C1543">
        <v>0.18</v>
      </c>
      <c r="D1543">
        <v>0.01</v>
      </c>
      <c r="E1543">
        <v>0.18</v>
      </c>
      <c r="F1543">
        <v>0.18</v>
      </c>
      <c r="G1543">
        <v>0.18</v>
      </c>
      <c r="H1543">
        <v>0.18</v>
      </c>
      <c r="I1543" s="1">
        <v>98000</v>
      </c>
      <c r="J1543" s="1">
        <v>17640</v>
      </c>
      <c r="K1543">
        <v>1</v>
      </c>
      <c r="L1543">
        <v>0.17</v>
      </c>
      <c r="M1543">
        <v>0.18</v>
      </c>
      <c r="N1543" s="1">
        <v>10000000</v>
      </c>
      <c r="O1543">
        <v>0.18</v>
      </c>
      <c r="P1543">
        <v>0.78</v>
      </c>
      <c r="Q1543">
        <v>0.01</v>
      </c>
    </row>
    <row r="1544" spans="1:17" x14ac:dyDescent="0.25">
      <c r="A1544">
        <v>730468</v>
      </c>
      <c r="B1544" t="s">
        <v>2856</v>
      </c>
      <c r="C1544" t="s">
        <v>78</v>
      </c>
      <c r="D1544" t="s">
        <v>78</v>
      </c>
      <c r="E1544" t="s">
        <v>78</v>
      </c>
      <c r="F1544" t="s">
        <v>78</v>
      </c>
      <c r="G1544" t="s">
        <v>78</v>
      </c>
      <c r="H1544">
        <v>0.23</v>
      </c>
      <c r="I1544" s="1">
        <v>0</v>
      </c>
      <c r="J1544" s="1">
        <v>0</v>
      </c>
      <c r="K1544">
        <v>0</v>
      </c>
      <c r="L1544">
        <v>0.21</v>
      </c>
      <c r="M1544">
        <v>0.23</v>
      </c>
      <c r="N1544" s="1">
        <v>10000000</v>
      </c>
      <c r="O1544">
        <v>0.23</v>
      </c>
      <c r="P1544">
        <v>0.87</v>
      </c>
      <c r="Q1544">
        <v>0.01</v>
      </c>
    </row>
    <row r="1545" spans="1:17" x14ac:dyDescent="0.25">
      <c r="A1545">
        <v>730469</v>
      </c>
      <c r="B1545" t="s">
        <v>2857</v>
      </c>
      <c r="C1545" t="s">
        <v>78</v>
      </c>
      <c r="D1545" t="s">
        <v>78</v>
      </c>
      <c r="E1545" t="s">
        <v>78</v>
      </c>
      <c r="F1545" t="s">
        <v>78</v>
      </c>
      <c r="G1545" t="s">
        <v>78</v>
      </c>
      <c r="H1545">
        <v>2.2599999999999998</v>
      </c>
      <c r="I1545" s="1">
        <v>0</v>
      </c>
      <c r="J1545" s="1">
        <v>0</v>
      </c>
      <c r="K1545">
        <v>0</v>
      </c>
      <c r="L1545">
        <v>3.69</v>
      </c>
      <c r="M1545">
        <v>0</v>
      </c>
      <c r="N1545" s="1">
        <v>10000000</v>
      </c>
      <c r="O1545">
        <v>3.85</v>
      </c>
      <c r="P1545">
        <v>4.84</v>
      </c>
      <c r="Q1545">
        <v>2.86</v>
      </c>
    </row>
    <row r="1546" spans="1:17" x14ac:dyDescent="0.25">
      <c r="A1546">
        <v>730470</v>
      </c>
      <c r="B1546" t="s">
        <v>2858</v>
      </c>
      <c r="C1546" t="s">
        <v>78</v>
      </c>
      <c r="D1546" t="s">
        <v>78</v>
      </c>
      <c r="E1546" t="s">
        <v>78</v>
      </c>
      <c r="F1546" t="s">
        <v>78</v>
      </c>
      <c r="G1546" t="s">
        <v>78</v>
      </c>
      <c r="H1546">
        <v>0.09</v>
      </c>
      <c r="I1546" s="1">
        <v>0</v>
      </c>
      <c r="J1546" s="1">
        <v>0</v>
      </c>
      <c r="K1546">
        <v>0</v>
      </c>
      <c r="L1546">
        <v>0</v>
      </c>
      <c r="M1546">
        <v>0.01</v>
      </c>
      <c r="N1546" s="1">
        <v>10000000</v>
      </c>
      <c r="O1546">
        <v>0.01</v>
      </c>
      <c r="P1546">
        <v>1.22</v>
      </c>
      <c r="Q1546">
        <v>0.01</v>
      </c>
    </row>
    <row r="1547" spans="1:17" x14ac:dyDescent="0.25">
      <c r="A1547">
        <v>730471</v>
      </c>
      <c r="B1547" t="s">
        <v>2859</v>
      </c>
      <c r="C1547" t="s">
        <v>78</v>
      </c>
      <c r="D1547" t="s">
        <v>78</v>
      </c>
      <c r="E1547" t="s">
        <v>78</v>
      </c>
      <c r="F1547" t="s">
        <v>78</v>
      </c>
      <c r="G1547" t="s">
        <v>78</v>
      </c>
      <c r="H1547">
        <v>3.69</v>
      </c>
      <c r="I1547" s="1">
        <v>0</v>
      </c>
      <c r="J1547" s="1">
        <v>0</v>
      </c>
      <c r="K1547">
        <v>0</v>
      </c>
      <c r="L1547">
        <v>4.2699999999999996</v>
      </c>
      <c r="M1547">
        <v>0</v>
      </c>
      <c r="N1547" s="1">
        <v>10000000</v>
      </c>
      <c r="O1547">
        <v>4.2699999999999996</v>
      </c>
      <c r="P1547">
        <v>5.95</v>
      </c>
      <c r="Q1547">
        <v>2.57</v>
      </c>
    </row>
    <row r="1548" spans="1:17" x14ac:dyDescent="0.25">
      <c r="A1548">
        <v>730472</v>
      </c>
      <c r="B1548" t="s">
        <v>2860</v>
      </c>
      <c r="C1548">
        <v>0.33</v>
      </c>
      <c r="D1548">
        <v>-0.01</v>
      </c>
      <c r="E1548">
        <v>0.38</v>
      </c>
      <c r="F1548">
        <v>0.38</v>
      </c>
      <c r="G1548">
        <v>0.33</v>
      </c>
      <c r="H1548">
        <v>0.36</v>
      </c>
      <c r="I1548" s="1">
        <v>75000</v>
      </c>
      <c r="J1548" s="1">
        <v>26850</v>
      </c>
      <c r="K1548">
        <v>7</v>
      </c>
      <c r="L1548">
        <v>0.32</v>
      </c>
      <c r="M1548">
        <v>0.33</v>
      </c>
      <c r="N1548" s="1">
        <v>10000000</v>
      </c>
      <c r="O1548">
        <v>0.33</v>
      </c>
      <c r="P1548">
        <v>1.27</v>
      </c>
      <c r="Q1548">
        <v>0.01</v>
      </c>
    </row>
    <row r="1549" spans="1:17" x14ac:dyDescent="0.25">
      <c r="A1549">
        <v>730473</v>
      </c>
      <c r="B1549" t="s">
        <v>2861</v>
      </c>
      <c r="C1549">
        <v>0.04</v>
      </c>
      <c r="D1549">
        <v>0.02</v>
      </c>
      <c r="E1549">
        <v>0.03</v>
      </c>
      <c r="F1549">
        <v>0.04</v>
      </c>
      <c r="G1549">
        <v>0.03</v>
      </c>
      <c r="H1549">
        <v>0.03</v>
      </c>
      <c r="I1549" s="1">
        <v>605000</v>
      </c>
      <c r="J1549" s="1">
        <v>18700</v>
      </c>
      <c r="K1549">
        <v>9</v>
      </c>
      <c r="L1549">
        <v>0.04</v>
      </c>
      <c r="M1549">
        <v>0.05</v>
      </c>
      <c r="N1549" s="1">
        <v>10000000</v>
      </c>
      <c r="O1549">
        <v>0.04</v>
      </c>
      <c r="P1549">
        <v>0.81</v>
      </c>
      <c r="Q1549">
        <v>0.01</v>
      </c>
    </row>
    <row r="1550" spans="1:17" x14ac:dyDescent="0.25">
      <c r="A1550">
        <v>730474</v>
      </c>
      <c r="B1550" t="s">
        <v>2862</v>
      </c>
      <c r="C1550">
        <v>0.41</v>
      </c>
      <c r="D1550">
        <v>-0.03</v>
      </c>
      <c r="E1550">
        <v>0.41</v>
      </c>
      <c r="F1550">
        <v>0.41</v>
      </c>
      <c r="G1550">
        <v>0.41</v>
      </c>
      <c r="H1550">
        <v>0.41</v>
      </c>
      <c r="I1550" s="1">
        <v>4000</v>
      </c>
      <c r="J1550" s="1">
        <v>1640</v>
      </c>
      <c r="K1550">
        <v>2</v>
      </c>
      <c r="L1550">
        <v>0.4</v>
      </c>
      <c r="M1550">
        <v>0.41</v>
      </c>
      <c r="N1550" s="1">
        <v>10000000</v>
      </c>
      <c r="O1550">
        <v>0.41</v>
      </c>
      <c r="P1550">
        <v>0.63</v>
      </c>
      <c r="Q1550">
        <v>0.19</v>
      </c>
    </row>
    <row r="1551" spans="1:17" x14ac:dyDescent="0.25">
      <c r="A1551">
        <v>730475</v>
      </c>
      <c r="B1551" t="s">
        <v>2863</v>
      </c>
      <c r="C1551" t="s">
        <v>78</v>
      </c>
      <c r="D1551" t="s">
        <v>78</v>
      </c>
      <c r="E1551" t="s">
        <v>78</v>
      </c>
      <c r="F1551" t="s">
        <v>78</v>
      </c>
      <c r="G1551" t="s">
        <v>78</v>
      </c>
      <c r="H1551">
        <v>0.13</v>
      </c>
      <c r="I1551" s="1">
        <v>0</v>
      </c>
      <c r="J1551" s="1">
        <v>0</v>
      </c>
      <c r="K1551">
        <v>0</v>
      </c>
      <c r="L1551">
        <v>0.1</v>
      </c>
      <c r="M1551">
        <v>0.11</v>
      </c>
      <c r="N1551" s="1">
        <v>7000000</v>
      </c>
      <c r="O1551">
        <v>0.11</v>
      </c>
      <c r="P1551">
        <v>0.75</v>
      </c>
      <c r="Q1551">
        <v>0.01</v>
      </c>
    </row>
    <row r="1552" spans="1:17" x14ac:dyDescent="0.25">
      <c r="A1552">
        <v>730476</v>
      </c>
      <c r="B1552" t="s">
        <v>2864</v>
      </c>
      <c r="C1552">
        <v>0.32</v>
      </c>
      <c r="D1552">
        <v>-0.6</v>
      </c>
      <c r="E1552">
        <v>0.32</v>
      </c>
      <c r="F1552">
        <v>0.32</v>
      </c>
      <c r="G1552">
        <v>0.32</v>
      </c>
      <c r="H1552">
        <v>0.32</v>
      </c>
      <c r="I1552" s="1">
        <v>10000</v>
      </c>
      <c r="J1552" s="1">
        <v>3200</v>
      </c>
      <c r="K1552">
        <v>1</v>
      </c>
      <c r="L1552">
        <v>0.31</v>
      </c>
      <c r="M1552">
        <v>0.41</v>
      </c>
      <c r="N1552" s="1">
        <v>5000000</v>
      </c>
      <c r="O1552">
        <v>0.32</v>
      </c>
      <c r="P1552">
        <v>2</v>
      </c>
      <c r="Q1552">
        <v>0.01</v>
      </c>
    </row>
    <row r="1553" spans="1:17" x14ac:dyDescent="0.25">
      <c r="A1553">
        <v>730477</v>
      </c>
      <c r="B1553" t="s">
        <v>2865</v>
      </c>
      <c r="C1553" t="s">
        <v>78</v>
      </c>
      <c r="D1553" t="s">
        <v>78</v>
      </c>
      <c r="E1553" t="s">
        <v>78</v>
      </c>
      <c r="F1553" t="s">
        <v>78</v>
      </c>
      <c r="G1553" t="s">
        <v>78</v>
      </c>
      <c r="H1553">
        <v>0.01</v>
      </c>
      <c r="I1553" s="1">
        <v>0</v>
      </c>
      <c r="J1553" s="1">
        <v>0</v>
      </c>
      <c r="K1553">
        <v>0</v>
      </c>
      <c r="L1553">
        <v>0</v>
      </c>
      <c r="M1553">
        <v>0.01</v>
      </c>
      <c r="N1553" s="1">
        <v>5000000</v>
      </c>
      <c r="O1553">
        <v>0.01</v>
      </c>
      <c r="P1553">
        <v>1.06</v>
      </c>
      <c r="Q1553">
        <v>0.01</v>
      </c>
    </row>
    <row r="1554" spans="1:17" x14ac:dyDescent="0.25">
      <c r="A1554">
        <v>730478</v>
      </c>
      <c r="B1554" t="s">
        <v>2866</v>
      </c>
      <c r="C1554">
        <v>0.31</v>
      </c>
      <c r="D1554">
        <v>0.02</v>
      </c>
      <c r="E1554">
        <v>0.3</v>
      </c>
      <c r="F1554">
        <v>0.31</v>
      </c>
      <c r="G1554">
        <v>0.3</v>
      </c>
      <c r="H1554">
        <v>0.3</v>
      </c>
      <c r="I1554" s="1">
        <v>45000</v>
      </c>
      <c r="J1554" s="1">
        <v>13650</v>
      </c>
      <c r="K1554">
        <v>3</v>
      </c>
      <c r="L1554">
        <v>0.28999999999999998</v>
      </c>
      <c r="M1554">
        <v>0</v>
      </c>
      <c r="N1554" s="1">
        <v>7000000</v>
      </c>
      <c r="O1554">
        <v>0.31</v>
      </c>
      <c r="P1554">
        <v>0.95</v>
      </c>
      <c r="Q1554">
        <v>0.01</v>
      </c>
    </row>
    <row r="1555" spans="1:17" x14ac:dyDescent="0.25">
      <c r="A1555">
        <v>730479</v>
      </c>
      <c r="B1555" t="s">
        <v>2867</v>
      </c>
      <c r="C1555" t="s">
        <v>78</v>
      </c>
      <c r="D1555" t="s">
        <v>78</v>
      </c>
      <c r="E1555" t="s">
        <v>78</v>
      </c>
      <c r="F1555" t="s">
        <v>78</v>
      </c>
      <c r="G1555" t="s">
        <v>78</v>
      </c>
      <c r="H1555">
        <v>5.5</v>
      </c>
      <c r="I1555" s="1">
        <v>0</v>
      </c>
      <c r="J1555" s="1">
        <v>0</v>
      </c>
      <c r="K1555">
        <v>0</v>
      </c>
      <c r="L1555">
        <v>5.55</v>
      </c>
      <c r="M1555">
        <v>0</v>
      </c>
      <c r="N1555" s="1">
        <v>5000000</v>
      </c>
      <c r="O1555">
        <v>5.7</v>
      </c>
      <c r="P1555">
        <v>6.85</v>
      </c>
      <c r="Q1555">
        <v>4.5199999999999996</v>
      </c>
    </row>
    <row r="1556" spans="1:17" x14ac:dyDescent="0.25">
      <c r="A1556">
        <v>730480</v>
      </c>
      <c r="B1556" t="s">
        <v>2868</v>
      </c>
      <c r="C1556" t="s">
        <v>78</v>
      </c>
      <c r="D1556" t="s">
        <v>78</v>
      </c>
      <c r="E1556" t="s">
        <v>78</v>
      </c>
      <c r="F1556" t="s">
        <v>78</v>
      </c>
      <c r="G1556" t="s">
        <v>78</v>
      </c>
      <c r="H1556">
        <v>7.0000000000000007E-2</v>
      </c>
      <c r="I1556" s="1">
        <v>0</v>
      </c>
      <c r="J1556" s="1">
        <v>0</v>
      </c>
      <c r="K1556">
        <v>0</v>
      </c>
      <c r="L1556">
        <v>0.05</v>
      </c>
      <c r="M1556">
        <v>0.06</v>
      </c>
      <c r="N1556" s="1">
        <v>10000000</v>
      </c>
      <c r="O1556">
        <v>0.05</v>
      </c>
      <c r="P1556">
        <v>0.4</v>
      </c>
      <c r="Q1556">
        <v>0.01</v>
      </c>
    </row>
    <row r="1557" spans="1:17" x14ac:dyDescent="0.25">
      <c r="A1557">
        <v>730481</v>
      </c>
      <c r="B1557" t="s">
        <v>2869</v>
      </c>
      <c r="C1557">
        <v>0.73</v>
      </c>
      <c r="D1557">
        <v>0.04</v>
      </c>
      <c r="E1557">
        <v>0.72</v>
      </c>
      <c r="F1557">
        <v>0.73</v>
      </c>
      <c r="G1557">
        <v>0.69</v>
      </c>
      <c r="H1557">
        <v>0.72</v>
      </c>
      <c r="I1557" s="1">
        <v>338000</v>
      </c>
      <c r="J1557" s="1">
        <v>242790</v>
      </c>
      <c r="K1557">
        <v>6</v>
      </c>
      <c r="L1557">
        <v>0.7</v>
      </c>
      <c r="M1557">
        <v>0.71</v>
      </c>
      <c r="N1557" s="1">
        <v>10000000</v>
      </c>
      <c r="O1557">
        <v>0.73</v>
      </c>
      <c r="P1557">
        <v>1.46</v>
      </c>
      <c r="Q1557">
        <v>0.01</v>
      </c>
    </row>
    <row r="1558" spans="1:17" x14ac:dyDescent="0.25">
      <c r="A1558">
        <v>730482</v>
      </c>
      <c r="B1558" t="s">
        <v>2870</v>
      </c>
      <c r="C1558">
        <v>0.7</v>
      </c>
      <c r="D1558">
        <v>0.02</v>
      </c>
      <c r="E1558">
        <v>0.7</v>
      </c>
      <c r="F1558">
        <v>0.73</v>
      </c>
      <c r="G1558">
        <v>0.67</v>
      </c>
      <c r="H1558">
        <v>0.71</v>
      </c>
      <c r="I1558" s="1">
        <v>448000</v>
      </c>
      <c r="J1558" s="1">
        <v>319140</v>
      </c>
      <c r="K1558">
        <v>11</v>
      </c>
      <c r="L1558">
        <v>0.7</v>
      </c>
      <c r="M1558">
        <v>0.71</v>
      </c>
      <c r="N1558" s="1">
        <v>10000000</v>
      </c>
      <c r="O1558">
        <v>0.7</v>
      </c>
      <c r="P1558">
        <v>1.24</v>
      </c>
      <c r="Q1558">
        <v>0.16</v>
      </c>
    </row>
    <row r="1559" spans="1:17" x14ac:dyDescent="0.25">
      <c r="A1559">
        <v>730483</v>
      </c>
      <c r="B1559" t="s">
        <v>2871</v>
      </c>
      <c r="C1559">
        <v>0.87</v>
      </c>
      <c r="D1559">
        <v>0.01</v>
      </c>
      <c r="E1559">
        <v>0.88</v>
      </c>
      <c r="F1559">
        <v>0.9</v>
      </c>
      <c r="G1559">
        <v>0.86</v>
      </c>
      <c r="H1559">
        <v>0.88</v>
      </c>
      <c r="I1559" s="1">
        <v>777000</v>
      </c>
      <c r="J1559" s="1">
        <v>684350</v>
      </c>
      <c r="K1559">
        <v>22</v>
      </c>
      <c r="L1559">
        <v>0.86</v>
      </c>
      <c r="M1559">
        <v>0.87</v>
      </c>
      <c r="N1559" s="1">
        <v>10000000</v>
      </c>
      <c r="O1559">
        <v>0.87</v>
      </c>
      <c r="P1559">
        <v>1.32</v>
      </c>
      <c r="Q1559">
        <v>0.42</v>
      </c>
    </row>
    <row r="1560" spans="1:17" x14ac:dyDescent="0.25">
      <c r="A1560">
        <v>730484</v>
      </c>
      <c r="B1560" t="s">
        <v>2872</v>
      </c>
      <c r="C1560" t="s">
        <v>78</v>
      </c>
      <c r="D1560" t="s">
        <v>78</v>
      </c>
      <c r="E1560" t="s">
        <v>78</v>
      </c>
      <c r="F1560" t="s">
        <v>78</v>
      </c>
      <c r="G1560" t="s">
        <v>78</v>
      </c>
      <c r="H1560">
        <v>0.08</v>
      </c>
      <c r="I1560" s="1">
        <v>0</v>
      </c>
      <c r="J1560" s="1">
        <v>0</v>
      </c>
      <c r="K1560">
        <v>0</v>
      </c>
      <c r="L1560">
        <v>0.06</v>
      </c>
      <c r="M1560">
        <v>0.08</v>
      </c>
      <c r="N1560" s="1">
        <v>10000000</v>
      </c>
      <c r="O1560">
        <v>0.08</v>
      </c>
      <c r="P1560">
        <v>0.5</v>
      </c>
      <c r="Q1560">
        <v>0.01</v>
      </c>
    </row>
    <row r="1561" spans="1:17" x14ac:dyDescent="0.25">
      <c r="A1561">
        <v>730485</v>
      </c>
      <c r="B1561" t="s">
        <v>2873</v>
      </c>
      <c r="C1561">
        <v>1.02</v>
      </c>
      <c r="D1561">
        <v>-0.08</v>
      </c>
      <c r="E1561">
        <v>1.1499999999999999</v>
      </c>
      <c r="F1561">
        <v>1.1499999999999999</v>
      </c>
      <c r="G1561">
        <v>1.02</v>
      </c>
      <c r="H1561">
        <v>1.03</v>
      </c>
      <c r="I1561" s="1">
        <v>157000</v>
      </c>
      <c r="J1561" s="1">
        <v>161050</v>
      </c>
      <c r="K1561">
        <v>2</v>
      </c>
      <c r="L1561">
        <v>1</v>
      </c>
      <c r="M1561">
        <v>1.07</v>
      </c>
      <c r="N1561" s="1">
        <v>5000000</v>
      </c>
      <c r="O1561">
        <v>1.02</v>
      </c>
      <c r="P1561">
        <v>1.74</v>
      </c>
      <c r="Q1561">
        <v>0.3</v>
      </c>
    </row>
    <row r="1562" spans="1:17" x14ac:dyDescent="0.25">
      <c r="A1562">
        <v>730486</v>
      </c>
      <c r="B1562" t="s">
        <v>2874</v>
      </c>
      <c r="C1562" t="s">
        <v>78</v>
      </c>
      <c r="D1562" t="s">
        <v>78</v>
      </c>
      <c r="E1562" t="s">
        <v>78</v>
      </c>
      <c r="F1562" t="s">
        <v>78</v>
      </c>
      <c r="G1562" t="s">
        <v>78</v>
      </c>
      <c r="H1562">
        <v>0.24</v>
      </c>
      <c r="I1562" s="1">
        <v>0</v>
      </c>
      <c r="J1562" s="1">
        <v>0</v>
      </c>
      <c r="K1562">
        <v>0</v>
      </c>
      <c r="L1562">
        <v>0.24</v>
      </c>
      <c r="M1562">
        <v>0.25</v>
      </c>
      <c r="N1562" s="1">
        <v>10000000</v>
      </c>
      <c r="O1562">
        <v>0.24</v>
      </c>
      <c r="P1562">
        <v>0.7</v>
      </c>
      <c r="Q1562">
        <v>0.01</v>
      </c>
    </row>
    <row r="1563" spans="1:17" x14ac:dyDescent="0.25">
      <c r="A1563">
        <v>730487</v>
      </c>
      <c r="B1563" t="s">
        <v>2875</v>
      </c>
      <c r="C1563" t="s">
        <v>78</v>
      </c>
      <c r="D1563" t="s">
        <v>78</v>
      </c>
      <c r="E1563" t="s">
        <v>78</v>
      </c>
      <c r="F1563" t="s">
        <v>78</v>
      </c>
      <c r="G1563" t="s">
        <v>78</v>
      </c>
      <c r="H1563">
        <v>0.28999999999999998</v>
      </c>
      <c r="I1563" s="1">
        <v>0</v>
      </c>
      <c r="J1563" s="1">
        <v>0</v>
      </c>
      <c r="K1563">
        <v>0</v>
      </c>
      <c r="L1563">
        <v>0.16</v>
      </c>
      <c r="M1563">
        <v>0.17</v>
      </c>
      <c r="N1563" s="1">
        <v>5000000</v>
      </c>
      <c r="O1563">
        <v>0.17</v>
      </c>
      <c r="P1563">
        <v>0.51</v>
      </c>
      <c r="Q1563">
        <v>0.01</v>
      </c>
    </row>
    <row r="1564" spans="1:17" x14ac:dyDescent="0.25">
      <c r="A1564">
        <v>730488</v>
      </c>
      <c r="B1564" t="s">
        <v>2876</v>
      </c>
      <c r="C1564">
        <v>0.44</v>
      </c>
      <c r="D1564">
        <v>-0.02</v>
      </c>
      <c r="E1564">
        <v>0.43</v>
      </c>
      <c r="F1564">
        <v>0.44</v>
      </c>
      <c r="G1564">
        <v>0.43</v>
      </c>
      <c r="H1564">
        <v>0.44</v>
      </c>
      <c r="I1564" s="1">
        <v>20000</v>
      </c>
      <c r="J1564" s="1">
        <v>8700</v>
      </c>
      <c r="K1564">
        <v>2</v>
      </c>
      <c r="L1564">
        <v>0.46</v>
      </c>
      <c r="M1564">
        <v>0.47</v>
      </c>
      <c r="N1564" s="1">
        <v>10000000</v>
      </c>
      <c r="O1564">
        <v>0.44</v>
      </c>
      <c r="P1564">
        <v>1.07</v>
      </c>
      <c r="Q1564">
        <v>0.01</v>
      </c>
    </row>
    <row r="1565" spans="1:17" x14ac:dyDescent="0.25">
      <c r="A1565">
        <v>730489</v>
      </c>
      <c r="B1565" t="s">
        <v>2877</v>
      </c>
      <c r="C1565" t="s">
        <v>78</v>
      </c>
      <c r="D1565" t="s">
        <v>78</v>
      </c>
      <c r="E1565" t="s">
        <v>78</v>
      </c>
      <c r="F1565" t="s">
        <v>78</v>
      </c>
      <c r="G1565" t="s">
        <v>78</v>
      </c>
      <c r="H1565">
        <v>0.02</v>
      </c>
      <c r="I1565" s="1">
        <v>0</v>
      </c>
      <c r="J1565" s="1">
        <v>0</v>
      </c>
      <c r="K1565">
        <v>0</v>
      </c>
      <c r="L1565">
        <v>0</v>
      </c>
      <c r="M1565">
        <v>0.01</v>
      </c>
      <c r="N1565" s="1">
        <v>5000000</v>
      </c>
      <c r="O1565">
        <v>0.01</v>
      </c>
      <c r="P1565">
        <v>0.25</v>
      </c>
      <c r="Q1565">
        <v>0.01</v>
      </c>
    </row>
    <row r="1566" spans="1:17" x14ac:dyDescent="0.25">
      <c r="A1566">
        <v>730490</v>
      </c>
      <c r="B1566" t="s">
        <v>2878</v>
      </c>
      <c r="C1566">
        <v>1.5</v>
      </c>
      <c r="D1566">
        <v>0.17</v>
      </c>
      <c r="E1566">
        <v>1.5</v>
      </c>
      <c r="F1566">
        <v>1.5</v>
      </c>
      <c r="G1566">
        <v>1.5</v>
      </c>
      <c r="H1566">
        <v>1.5</v>
      </c>
      <c r="I1566" s="1">
        <v>20000</v>
      </c>
      <c r="J1566" s="1">
        <v>30000</v>
      </c>
      <c r="K1566">
        <v>2</v>
      </c>
      <c r="L1566">
        <v>1.34</v>
      </c>
      <c r="M1566">
        <v>1.39</v>
      </c>
      <c r="N1566" s="1">
        <v>5000000</v>
      </c>
      <c r="O1566">
        <v>1.5</v>
      </c>
      <c r="P1566">
        <v>2.41</v>
      </c>
      <c r="Q1566">
        <v>0.57999999999999996</v>
      </c>
    </row>
    <row r="1567" spans="1:17" x14ac:dyDescent="0.25">
      <c r="A1567">
        <v>730491</v>
      </c>
      <c r="B1567" t="s">
        <v>2879</v>
      </c>
      <c r="C1567">
        <v>3.64</v>
      </c>
      <c r="D1567">
        <v>-0.19</v>
      </c>
      <c r="E1567">
        <v>3.81</v>
      </c>
      <c r="F1567">
        <v>3.81</v>
      </c>
      <c r="G1567">
        <v>3.54</v>
      </c>
      <c r="H1567">
        <v>3.61</v>
      </c>
      <c r="I1567" s="1">
        <v>10000</v>
      </c>
      <c r="J1567" s="1">
        <v>36080</v>
      </c>
      <c r="K1567">
        <v>6</v>
      </c>
      <c r="L1567">
        <v>3.54</v>
      </c>
      <c r="M1567">
        <v>3.64</v>
      </c>
      <c r="N1567" s="1">
        <v>5000000</v>
      </c>
      <c r="O1567">
        <v>3.64</v>
      </c>
      <c r="P1567">
        <v>4.6399999999999997</v>
      </c>
      <c r="Q1567">
        <v>2.64</v>
      </c>
    </row>
    <row r="1568" spans="1:17" x14ac:dyDescent="0.25">
      <c r="A1568">
        <v>730492</v>
      </c>
      <c r="B1568" t="s">
        <v>2880</v>
      </c>
      <c r="C1568">
        <v>3.84</v>
      </c>
      <c r="D1568">
        <v>-0.26</v>
      </c>
      <c r="E1568">
        <v>4.12</v>
      </c>
      <c r="F1568">
        <v>4.12</v>
      </c>
      <c r="G1568">
        <v>3.84</v>
      </c>
      <c r="H1568">
        <v>4.03</v>
      </c>
      <c r="I1568" s="1">
        <v>17000</v>
      </c>
      <c r="J1568" s="1">
        <v>68530</v>
      </c>
      <c r="K1568">
        <v>3</v>
      </c>
      <c r="L1568">
        <v>3.74</v>
      </c>
      <c r="M1568">
        <v>3.84</v>
      </c>
      <c r="N1568" s="1">
        <v>5000000</v>
      </c>
      <c r="O1568">
        <v>3.84</v>
      </c>
      <c r="P1568">
        <v>5.0999999999999996</v>
      </c>
      <c r="Q1568">
        <v>2.56</v>
      </c>
    </row>
    <row r="1569" spans="1:17" x14ac:dyDescent="0.25">
      <c r="A1569">
        <v>730493</v>
      </c>
      <c r="B1569" t="s">
        <v>2881</v>
      </c>
      <c r="C1569">
        <v>3.1</v>
      </c>
      <c r="D1569">
        <v>-0.13</v>
      </c>
      <c r="E1569">
        <v>3.27</v>
      </c>
      <c r="F1569">
        <v>3.27</v>
      </c>
      <c r="G1569">
        <v>3.03</v>
      </c>
      <c r="H1569">
        <v>3.04</v>
      </c>
      <c r="I1569" s="1">
        <v>86000</v>
      </c>
      <c r="J1569" s="1">
        <v>261260</v>
      </c>
      <c r="K1569">
        <v>5</v>
      </c>
      <c r="L1569">
        <v>3.05</v>
      </c>
      <c r="M1569">
        <v>3.13</v>
      </c>
      <c r="N1569" s="1">
        <v>5000000</v>
      </c>
      <c r="O1569">
        <v>3.1</v>
      </c>
      <c r="P1569">
        <v>3.82</v>
      </c>
      <c r="Q1569">
        <v>2.38</v>
      </c>
    </row>
    <row r="1570" spans="1:17" x14ac:dyDescent="0.25">
      <c r="A1570">
        <v>730494</v>
      </c>
      <c r="B1570" t="s">
        <v>2882</v>
      </c>
      <c r="C1570" t="s">
        <v>78</v>
      </c>
      <c r="D1570" t="s">
        <v>78</v>
      </c>
      <c r="E1570" t="s">
        <v>78</v>
      </c>
      <c r="F1570" t="s">
        <v>78</v>
      </c>
      <c r="G1570" t="s">
        <v>78</v>
      </c>
      <c r="H1570">
        <v>0.01</v>
      </c>
      <c r="I1570" s="1">
        <v>0</v>
      </c>
      <c r="J1570" s="1">
        <v>0</v>
      </c>
      <c r="K1570">
        <v>0</v>
      </c>
      <c r="L1570">
        <v>0.01</v>
      </c>
      <c r="M1570">
        <v>0.02</v>
      </c>
      <c r="N1570" s="1">
        <v>5000000</v>
      </c>
      <c r="O1570">
        <v>0.01</v>
      </c>
      <c r="P1570">
        <v>0.81</v>
      </c>
      <c r="Q1570">
        <v>0.01</v>
      </c>
    </row>
    <row r="1571" spans="1:17" x14ac:dyDescent="0.25">
      <c r="A1571">
        <v>730495</v>
      </c>
      <c r="B1571" t="s">
        <v>2883</v>
      </c>
      <c r="C1571" t="s">
        <v>78</v>
      </c>
      <c r="D1571" t="s">
        <v>78</v>
      </c>
      <c r="E1571" t="s">
        <v>78</v>
      </c>
      <c r="F1571" t="s">
        <v>78</v>
      </c>
      <c r="G1571" t="s">
        <v>78</v>
      </c>
      <c r="H1571">
        <v>0.09</v>
      </c>
      <c r="I1571" s="1">
        <v>0</v>
      </c>
      <c r="J1571" s="1">
        <v>0</v>
      </c>
      <c r="K1571">
        <v>0</v>
      </c>
      <c r="L1571">
        <v>0.04</v>
      </c>
      <c r="M1571">
        <v>0.05</v>
      </c>
      <c r="N1571" s="1">
        <v>5000000</v>
      </c>
      <c r="O1571">
        <v>0.05</v>
      </c>
      <c r="P1571">
        <v>1.0900000000000001</v>
      </c>
      <c r="Q1571">
        <v>0.01</v>
      </c>
    </row>
    <row r="1572" spans="1:17" x14ac:dyDescent="0.25">
      <c r="A1572">
        <v>730496</v>
      </c>
      <c r="B1572" t="s">
        <v>2884</v>
      </c>
      <c r="C1572" t="s">
        <v>78</v>
      </c>
      <c r="D1572" t="s">
        <v>78</v>
      </c>
      <c r="E1572" t="s">
        <v>78</v>
      </c>
      <c r="F1572" t="s">
        <v>78</v>
      </c>
      <c r="G1572" t="s">
        <v>78</v>
      </c>
      <c r="H1572">
        <v>9.0500000000000007</v>
      </c>
      <c r="I1572" s="1">
        <v>0</v>
      </c>
      <c r="J1572" s="1">
        <v>0</v>
      </c>
      <c r="K1572">
        <v>0</v>
      </c>
      <c r="L1572">
        <v>7.1</v>
      </c>
      <c r="M1572">
        <v>7.35</v>
      </c>
      <c r="N1572" s="1">
        <v>5000000</v>
      </c>
      <c r="O1572">
        <v>7.35</v>
      </c>
      <c r="P1572">
        <v>9.1999999999999993</v>
      </c>
      <c r="Q1572">
        <v>5.5</v>
      </c>
    </row>
    <row r="1573" spans="1:17" x14ac:dyDescent="0.25">
      <c r="A1573">
        <v>730497</v>
      </c>
      <c r="B1573" t="s">
        <v>2885</v>
      </c>
      <c r="C1573" t="s">
        <v>78</v>
      </c>
      <c r="D1573" t="s">
        <v>78</v>
      </c>
      <c r="E1573" t="s">
        <v>78</v>
      </c>
      <c r="F1573" t="s">
        <v>78</v>
      </c>
      <c r="G1573" t="s">
        <v>78</v>
      </c>
      <c r="H1573">
        <v>3.8</v>
      </c>
      <c r="I1573" s="1">
        <v>0</v>
      </c>
      <c r="J1573" s="1">
        <v>0</v>
      </c>
      <c r="K1573">
        <v>0</v>
      </c>
      <c r="L1573">
        <v>4.87</v>
      </c>
      <c r="M1573">
        <v>4.97</v>
      </c>
      <c r="N1573" s="1">
        <v>10000000</v>
      </c>
      <c r="O1573">
        <v>4.87</v>
      </c>
      <c r="P1573">
        <v>7.4</v>
      </c>
      <c r="Q1573">
        <v>2.31</v>
      </c>
    </row>
    <row r="1574" spans="1:17" x14ac:dyDescent="0.25">
      <c r="A1574">
        <v>730498</v>
      </c>
      <c r="B1574" t="s">
        <v>2886</v>
      </c>
      <c r="C1574" t="s">
        <v>78</v>
      </c>
      <c r="D1574" t="s">
        <v>78</v>
      </c>
      <c r="E1574" t="s">
        <v>78</v>
      </c>
      <c r="F1574" t="s">
        <v>78</v>
      </c>
      <c r="G1574" t="s">
        <v>78</v>
      </c>
      <c r="H1574">
        <v>0.01</v>
      </c>
      <c r="I1574" s="1">
        <v>0</v>
      </c>
      <c r="J1574" s="1">
        <v>0</v>
      </c>
      <c r="K1574">
        <v>0</v>
      </c>
      <c r="L1574">
        <v>0</v>
      </c>
      <c r="M1574">
        <v>0.01</v>
      </c>
      <c r="N1574" s="1">
        <v>10000000</v>
      </c>
      <c r="O1574">
        <v>0.01</v>
      </c>
      <c r="P1574">
        <v>0.55000000000000004</v>
      </c>
      <c r="Q1574">
        <v>0.01</v>
      </c>
    </row>
    <row r="1575" spans="1:17" x14ac:dyDescent="0.25">
      <c r="A1575">
        <v>730499</v>
      </c>
      <c r="B1575" t="s">
        <v>2887</v>
      </c>
      <c r="C1575" t="s">
        <v>78</v>
      </c>
      <c r="D1575" t="s">
        <v>78</v>
      </c>
      <c r="E1575" t="s">
        <v>78</v>
      </c>
      <c r="F1575" t="s">
        <v>78</v>
      </c>
      <c r="G1575" t="s">
        <v>78</v>
      </c>
      <c r="H1575">
        <v>4.8</v>
      </c>
      <c r="I1575" s="1">
        <v>0</v>
      </c>
      <c r="J1575" s="1">
        <v>0</v>
      </c>
      <c r="K1575">
        <v>0</v>
      </c>
      <c r="L1575">
        <v>5.85</v>
      </c>
      <c r="M1575">
        <v>6.05</v>
      </c>
      <c r="N1575" s="1">
        <v>10000000</v>
      </c>
      <c r="O1575">
        <v>6.05</v>
      </c>
      <c r="P1575">
        <v>7.8</v>
      </c>
      <c r="Q1575">
        <v>4.26</v>
      </c>
    </row>
    <row r="1576" spans="1:17" x14ac:dyDescent="0.25">
      <c r="A1576">
        <v>730500</v>
      </c>
      <c r="B1576" t="s">
        <v>2888</v>
      </c>
      <c r="C1576" t="s">
        <v>78</v>
      </c>
      <c r="D1576" t="s">
        <v>78</v>
      </c>
      <c r="E1576" t="s">
        <v>78</v>
      </c>
      <c r="F1576" t="s">
        <v>78</v>
      </c>
      <c r="G1576" t="s">
        <v>78</v>
      </c>
      <c r="H1576">
        <v>2.75</v>
      </c>
      <c r="I1576" s="1">
        <v>0</v>
      </c>
      <c r="J1576" s="1">
        <v>0</v>
      </c>
      <c r="K1576">
        <v>0</v>
      </c>
      <c r="L1576">
        <v>0.34</v>
      </c>
      <c r="M1576">
        <v>0.44</v>
      </c>
      <c r="N1576" s="1">
        <v>5000000</v>
      </c>
      <c r="O1576">
        <v>0.44</v>
      </c>
      <c r="P1576">
        <v>1.1499999999999999</v>
      </c>
      <c r="Q1576">
        <v>0.01</v>
      </c>
    </row>
    <row r="1577" spans="1:17" x14ac:dyDescent="0.25">
      <c r="A1577">
        <v>730501</v>
      </c>
      <c r="B1577" t="s">
        <v>2889</v>
      </c>
      <c r="C1577" t="s">
        <v>78</v>
      </c>
      <c r="D1577" t="s">
        <v>78</v>
      </c>
      <c r="E1577" t="s">
        <v>78</v>
      </c>
      <c r="F1577" t="s">
        <v>78</v>
      </c>
      <c r="G1577" t="s">
        <v>78</v>
      </c>
      <c r="H1577">
        <v>11.3</v>
      </c>
      <c r="I1577" s="1">
        <v>0</v>
      </c>
      <c r="J1577" s="1">
        <v>0</v>
      </c>
      <c r="K1577">
        <v>0</v>
      </c>
      <c r="L1577">
        <v>9.35</v>
      </c>
      <c r="M1577">
        <v>0</v>
      </c>
      <c r="N1577" s="1">
        <v>5000000</v>
      </c>
      <c r="O1577">
        <v>9.35</v>
      </c>
      <c r="P1577">
        <v>11</v>
      </c>
      <c r="Q1577">
        <v>7.65</v>
      </c>
    </row>
    <row r="1578" spans="1:17" x14ac:dyDescent="0.25">
      <c r="A1578">
        <v>730502</v>
      </c>
      <c r="B1578" t="s">
        <v>2890</v>
      </c>
      <c r="C1578">
        <v>0.94</v>
      </c>
      <c r="D1578">
        <v>-0.06</v>
      </c>
      <c r="E1578">
        <v>0.97</v>
      </c>
      <c r="F1578">
        <v>0.99</v>
      </c>
      <c r="G1578">
        <v>0.94</v>
      </c>
      <c r="H1578">
        <v>0.97</v>
      </c>
      <c r="I1578" s="1">
        <v>128000</v>
      </c>
      <c r="J1578" s="1">
        <v>124770</v>
      </c>
      <c r="K1578">
        <v>5</v>
      </c>
      <c r="L1578">
        <v>0.93</v>
      </c>
      <c r="M1578">
        <v>0.94</v>
      </c>
      <c r="N1578" s="1">
        <v>5000000</v>
      </c>
      <c r="O1578">
        <v>0.94</v>
      </c>
      <c r="P1578">
        <v>1.93</v>
      </c>
      <c r="Q1578">
        <v>0.01</v>
      </c>
    </row>
    <row r="1579" spans="1:17" x14ac:dyDescent="0.25">
      <c r="A1579">
        <v>730503</v>
      </c>
      <c r="B1579" t="s">
        <v>2891</v>
      </c>
      <c r="C1579" t="s">
        <v>78</v>
      </c>
      <c r="D1579" t="s">
        <v>78</v>
      </c>
      <c r="E1579" t="s">
        <v>78</v>
      </c>
      <c r="F1579" t="s">
        <v>78</v>
      </c>
      <c r="G1579" t="s">
        <v>78</v>
      </c>
      <c r="H1579">
        <v>0.22</v>
      </c>
      <c r="I1579" s="1">
        <v>0</v>
      </c>
      <c r="J1579" s="1">
        <v>0</v>
      </c>
      <c r="K1579">
        <v>0</v>
      </c>
      <c r="L1579">
        <v>0</v>
      </c>
      <c r="M1579">
        <v>0.01</v>
      </c>
      <c r="N1579" s="1">
        <v>7000000</v>
      </c>
      <c r="O1579">
        <v>0.01</v>
      </c>
      <c r="P1579">
        <v>0.68</v>
      </c>
      <c r="Q1579">
        <v>0.01</v>
      </c>
    </row>
    <row r="1580" spans="1:17" x14ac:dyDescent="0.25">
      <c r="A1580">
        <v>730504</v>
      </c>
      <c r="B1580" t="s">
        <v>2892</v>
      </c>
      <c r="C1580" t="s">
        <v>78</v>
      </c>
      <c r="D1580" t="s">
        <v>78</v>
      </c>
      <c r="E1580" t="s">
        <v>78</v>
      </c>
      <c r="F1580" t="s">
        <v>78</v>
      </c>
      <c r="G1580" t="s">
        <v>78</v>
      </c>
      <c r="H1580">
        <v>1.7</v>
      </c>
      <c r="I1580" s="1">
        <v>0</v>
      </c>
      <c r="J1580" s="1">
        <v>0</v>
      </c>
      <c r="K1580">
        <v>0</v>
      </c>
      <c r="L1580">
        <v>1.1100000000000001</v>
      </c>
      <c r="M1580">
        <v>1.1399999999999999</v>
      </c>
      <c r="N1580" s="1">
        <v>10000000</v>
      </c>
      <c r="O1580">
        <v>1.1100000000000001</v>
      </c>
      <c r="P1580">
        <v>2.04</v>
      </c>
      <c r="Q1580">
        <v>0.18</v>
      </c>
    </row>
    <row r="1581" spans="1:17" x14ac:dyDescent="0.25">
      <c r="A1581">
        <v>730505</v>
      </c>
      <c r="B1581" t="s">
        <v>2893</v>
      </c>
      <c r="C1581" t="s">
        <v>78</v>
      </c>
      <c r="D1581" t="s">
        <v>78</v>
      </c>
      <c r="E1581" t="s">
        <v>78</v>
      </c>
      <c r="F1581" t="s">
        <v>78</v>
      </c>
      <c r="G1581" t="s">
        <v>78</v>
      </c>
      <c r="H1581">
        <v>0.9</v>
      </c>
      <c r="I1581" s="1">
        <v>0</v>
      </c>
      <c r="J1581" s="1">
        <v>0</v>
      </c>
      <c r="K1581">
        <v>0</v>
      </c>
      <c r="L1581">
        <v>0</v>
      </c>
      <c r="M1581">
        <v>0</v>
      </c>
      <c r="N1581" s="1">
        <v>5000000</v>
      </c>
      <c r="O1581">
        <v>1.5</v>
      </c>
      <c r="P1581">
        <v>2.66</v>
      </c>
      <c r="Q1581">
        <v>0.33</v>
      </c>
    </row>
    <row r="1582" spans="1:17" x14ac:dyDescent="0.25">
      <c r="A1582">
        <v>730506</v>
      </c>
      <c r="B1582" t="s">
        <v>2894</v>
      </c>
      <c r="C1582" t="s">
        <v>78</v>
      </c>
      <c r="D1582" t="s">
        <v>78</v>
      </c>
      <c r="E1582" t="s">
        <v>78</v>
      </c>
      <c r="F1582" t="s">
        <v>78</v>
      </c>
      <c r="G1582" t="s">
        <v>78</v>
      </c>
      <c r="H1582">
        <v>4.2699999999999996</v>
      </c>
      <c r="I1582" s="1">
        <v>0</v>
      </c>
      <c r="J1582" s="1">
        <v>0</v>
      </c>
      <c r="K1582">
        <v>0</v>
      </c>
      <c r="L1582">
        <v>4.34</v>
      </c>
      <c r="M1582">
        <v>0</v>
      </c>
      <c r="N1582" s="1">
        <v>5000000</v>
      </c>
      <c r="O1582">
        <v>4.34</v>
      </c>
      <c r="P1582">
        <v>5.65</v>
      </c>
      <c r="Q1582">
        <v>3.01</v>
      </c>
    </row>
    <row r="1583" spans="1:17" x14ac:dyDescent="0.25">
      <c r="A1583">
        <v>730507</v>
      </c>
      <c r="B1583" t="s">
        <v>2895</v>
      </c>
      <c r="C1583" t="s">
        <v>78</v>
      </c>
      <c r="D1583" t="s">
        <v>78</v>
      </c>
      <c r="E1583" t="s">
        <v>78</v>
      </c>
      <c r="F1583" t="s">
        <v>78</v>
      </c>
      <c r="G1583" t="s">
        <v>78</v>
      </c>
      <c r="H1583">
        <v>4.72</v>
      </c>
      <c r="I1583" s="1">
        <v>0</v>
      </c>
      <c r="J1583" s="1">
        <v>0</v>
      </c>
      <c r="K1583">
        <v>0</v>
      </c>
      <c r="L1583">
        <v>4.3899999999999997</v>
      </c>
      <c r="M1583">
        <v>0</v>
      </c>
      <c r="N1583" s="1">
        <v>5000000</v>
      </c>
      <c r="O1583">
        <v>4.3899999999999997</v>
      </c>
      <c r="P1583">
        <v>5.5</v>
      </c>
      <c r="Q1583">
        <v>3.25</v>
      </c>
    </row>
    <row r="1584" spans="1:17" x14ac:dyDescent="0.25">
      <c r="A1584">
        <v>730508</v>
      </c>
      <c r="B1584" t="s">
        <v>2896</v>
      </c>
      <c r="C1584" t="s">
        <v>78</v>
      </c>
      <c r="D1584" t="s">
        <v>78</v>
      </c>
      <c r="E1584" t="s">
        <v>78</v>
      </c>
      <c r="F1584" t="s">
        <v>78</v>
      </c>
      <c r="G1584" t="s">
        <v>78</v>
      </c>
      <c r="H1584">
        <v>0.01</v>
      </c>
      <c r="I1584" s="1">
        <v>0</v>
      </c>
      <c r="J1584" s="1">
        <v>0</v>
      </c>
      <c r="K1584">
        <v>0</v>
      </c>
      <c r="L1584">
        <v>0</v>
      </c>
      <c r="M1584">
        <v>0.01</v>
      </c>
      <c r="N1584" s="1">
        <v>5000000</v>
      </c>
      <c r="O1584">
        <v>0.01</v>
      </c>
      <c r="P1584">
        <v>1.66</v>
      </c>
      <c r="Q1584">
        <v>0.01</v>
      </c>
    </row>
    <row r="1585" spans="1:17" x14ac:dyDescent="0.25">
      <c r="A1585">
        <v>730509</v>
      </c>
      <c r="B1585" t="s">
        <v>2897</v>
      </c>
      <c r="C1585">
        <v>0.76</v>
      </c>
      <c r="D1585">
        <v>0.03</v>
      </c>
      <c r="E1585">
        <v>0.76</v>
      </c>
      <c r="F1585">
        <v>0.77</v>
      </c>
      <c r="G1585">
        <v>0.76</v>
      </c>
      <c r="H1585">
        <v>0.76</v>
      </c>
      <c r="I1585" s="1">
        <v>60000</v>
      </c>
      <c r="J1585" s="1">
        <v>45800</v>
      </c>
      <c r="K1585">
        <v>3</v>
      </c>
      <c r="L1585">
        <v>0.76</v>
      </c>
      <c r="M1585">
        <v>0.8</v>
      </c>
      <c r="N1585" s="1">
        <v>5000000</v>
      </c>
      <c r="O1585">
        <v>0.76</v>
      </c>
      <c r="P1585">
        <v>1.9</v>
      </c>
      <c r="Q1585">
        <v>0.01</v>
      </c>
    </row>
    <row r="1586" spans="1:17" x14ac:dyDescent="0.25">
      <c r="A1586">
        <v>730510</v>
      </c>
      <c r="B1586" t="s">
        <v>2898</v>
      </c>
      <c r="C1586" t="s">
        <v>78</v>
      </c>
      <c r="D1586" t="s">
        <v>78</v>
      </c>
      <c r="E1586" t="s">
        <v>78</v>
      </c>
      <c r="F1586" t="s">
        <v>78</v>
      </c>
      <c r="G1586" t="s">
        <v>78</v>
      </c>
      <c r="H1586">
        <v>14.1</v>
      </c>
      <c r="I1586" s="1">
        <v>0</v>
      </c>
      <c r="J1586" s="1">
        <v>0</v>
      </c>
      <c r="K1586">
        <v>0</v>
      </c>
      <c r="L1586">
        <v>11.6</v>
      </c>
      <c r="M1586">
        <v>12.5</v>
      </c>
      <c r="N1586" s="1">
        <v>15000000</v>
      </c>
      <c r="O1586">
        <v>11.6</v>
      </c>
      <c r="P1586">
        <v>13.7</v>
      </c>
      <c r="Q1586">
        <v>9.5</v>
      </c>
    </row>
    <row r="1587" spans="1:17" x14ac:dyDescent="0.25">
      <c r="A1587">
        <v>730511</v>
      </c>
      <c r="B1587" t="s">
        <v>2899</v>
      </c>
      <c r="C1587" t="s">
        <v>78</v>
      </c>
      <c r="D1587" t="s">
        <v>78</v>
      </c>
      <c r="E1587" t="s">
        <v>78</v>
      </c>
      <c r="F1587" t="s">
        <v>78</v>
      </c>
      <c r="G1587" t="s">
        <v>78</v>
      </c>
      <c r="H1587">
        <v>16.3</v>
      </c>
      <c r="I1587" s="1">
        <v>0</v>
      </c>
      <c r="J1587" s="1">
        <v>0</v>
      </c>
      <c r="K1587">
        <v>0</v>
      </c>
      <c r="L1587">
        <v>16.600000000000001</v>
      </c>
      <c r="M1587">
        <v>16.7</v>
      </c>
      <c r="N1587" s="1">
        <v>18000000</v>
      </c>
      <c r="O1587">
        <v>16.600000000000001</v>
      </c>
      <c r="P1587">
        <v>20</v>
      </c>
      <c r="Q1587">
        <v>13.2</v>
      </c>
    </row>
    <row r="1588" spans="1:17" x14ac:dyDescent="0.25">
      <c r="A1588">
        <v>730512</v>
      </c>
      <c r="B1588" t="s">
        <v>2900</v>
      </c>
      <c r="C1588">
        <v>7</v>
      </c>
      <c r="D1588">
        <v>0.25</v>
      </c>
      <c r="E1588">
        <v>6.6</v>
      </c>
      <c r="F1588">
        <v>7.25</v>
      </c>
      <c r="G1588">
        <v>6.6</v>
      </c>
      <c r="H1588">
        <v>7.03</v>
      </c>
      <c r="I1588" s="1">
        <v>74000</v>
      </c>
      <c r="J1588" s="1">
        <v>520200</v>
      </c>
      <c r="K1588">
        <v>6</v>
      </c>
      <c r="L1588">
        <v>7</v>
      </c>
      <c r="M1588">
        <v>7.05</v>
      </c>
      <c r="N1588" s="1">
        <v>10000000</v>
      </c>
      <c r="O1588">
        <v>7</v>
      </c>
      <c r="P1588">
        <v>10.3</v>
      </c>
      <c r="Q1588">
        <v>3.62</v>
      </c>
    </row>
    <row r="1589" spans="1:17" x14ac:dyDescent="0.25">
      <c r="A1589">
        <v>730513</v>
      </c>
      <c r="B1589" t="s">
        <v>2901</v>
      </c>
      <c r="C1589" t="s">
        <v>78</v>
      </c>
      <c r="D1589" t="s">
        <v>78</v>
      </c>
      <c r="E1589" t="s">
        <v>78</v>
      </c>
      <c r="F1589" t="s">
        <v>78</v>
      </c>
      <c r="G1589" t="s">
        <v>78</v>
      </c>
      <c r="H1589">
        <v>2.89</v>
      </c>
      <c r="I1589" s="1">
        <v>0</v>
      </c>
      <c r="J1589" s="1">
        <v>0</v>
      </c>
      <c r="K1589">
        <v>0</v>
      </c>
      <c r="L1589">
        <v>2.04</v>
      </c>
      <c r="M1589">
        <v>2.14</v>
      </c>
      <c r="N1589" s="1">
        <v>1000000</v>
      </c>
      <c r="O1589">
        <v>2.14</v>
      </c>
      <c r="P1589">
        <v>3.45</v>
      </c>
      <c r="Q1589">
        <v>0.83</v>
      </c>
    </row>
    <row r="1590" spans="1:17" x14ac:dyDescent="0.25">
      <c r="A1590">
        <v>730514</v>
      </c>
      <c r="B1590" t="s">
        <v>2902</v>
      </c>
      <c r="C1590" t="s">
        <v>78</v>
      </c>
      <c r="D1590" t="s">
        <v>78</v>
      </c>
      <c r="E1590" t="s">
        <v>78</v>
      </c>
      <c r="F1590" t="s">
        <v>78</v>
      </c>
      <c r="G1590" t="s">
        <v>78</v>
      </c>
      <c r="H1590">
        <v>2.77</v>
      </c>
      <c r="I1590" s="1">
        <v>0</v>
      </c>
      <c r="J1590" s="1">
        <v>0</v>
      </c>
      <c r="K1590">
        <v>0</v>
      </c>
      <c r="L1590">
        <v>3.18</v>
      </c>
      <c r="M1590">
        <v>3.26</v>
      </c>
      <c r="N1590" s="1">
        <v>15000000</v>
      </c>
      <c r="O1590">
        <v>3.18</v>
      </c>
      <c r="P1590">
        <v>4.12</v>
      </c>
      <c r="Q1590">
        <v>2.2400000000000002</v>
      </c>
    </row>
    <row r="1591" spans="1:17" x14ac:dyDescent="0.25">
      <c r="A1591">
        <v>730515</v>
      </c>
      <c r="B1591" t="s">
        <v>2903</v>
      </c>
      <c r="C1591" t="s">
        <v>78</v>
      </c>
      <c r="D1591" t="s">
        <v>78</v>
      </c>
      <c r="E1591" t="s">
        <v>78</v>
      </c>
      <c r="F1591" t="s">
        <v>78</v>
      </c>
      <c r="G1591" t="s">
        <v>78</v>
      </c>
      <c r="H1591">
        <v>6.6</v>
      </c>
      <c r="I1591" s="1">
        <v>0</v>
      </c>
      <c r="J1591" s="1">
        <v>0</v>
      </c>
      <c r="K1591">
        <v>0</v>
      </c>
      <c r="L1591">
        <v>7.25</v>
      </c>
      <c r="M1591">
        <v>0</v>
      </c>
      <c r="N1591" s="1">
        <v>10000000</v>
      </c>
      <c r="O1591">
        <v>7.25</v>
      </c>
      <c r="P1591">
        <v>9.9499999999999993</v>
      </c>
      <c r="Q1591">
        <v>4.51</v>
      </c>
    </row>
    <row r="1592" spans="1:17" x14ac:dyDescent="0.25">
      <c r="A1592">
        <v>730516</v>
      </c>
      <c r="B1592" t="s">
        <v>2904</v>
      </c>
      <c r="C1592" t="s">
        <v>78</v>
      </c>
      <c r="D1592" t="s">
        <v>78</v>
      </c>
      <c r="E1592" t="s">
        <v>78</v>
      </c>
      <c r="F1592" t="s">
        <v>78</v>
      </c>
      <c r="G1592" t="s">
        <v>78</v>
      </c>
      <c r="H1592">
        <v>0.04</v>
      </c>
      <c r="I1592" s="1">
        <v>0</v>
      </c>
      <c r="J1592" s="1">
        <v>0</v>
      </c>
      <c r="K1592">
        <v>0</v>
      </c>
      <c r="L1592">
        <v>0</v>
      </c>
      <c r="M1592">
        <v>0.01</v>
      </c>
      <c r="N1592" s="1">
        <v>5000000</v>
      </c>
      <c r="O1592">
        <v>0.01</v>
      </c>
      <c r="P1592">
        <v>2.0099999999999998</v>
      </c>
      <c r="Q1592">
        <v>0.01</v>
      </c>
    </row>
    <row r="1593" spans="1:17" x14ac:dyDescent="0.25">
      <c r="A1593">
        <v>730517</v>
      </c>
      <c r="B1593" t="s">
        <v>2905</v>
      </c>
      <c r="C1593" t="s">
        <v>78</v>
      </c>
      <c r="D1593" t="s">
        <v>78</v>
      </c>
      <c r="E1593" t="s">
        <v>78</v>
      </c>
      <c r="F1593" t="s">
        <v>78</v>
      </c>
      <c r="G1593" t="s">
        <v>78</v>
      </c>
      <c r="H1593">
        <v>0.02</v>
      </c>
      <c r="I1593" s="1">
        <v>0</v>
      </c>
      <c r="J1593" s="1">
        <v>0</v>
      </c>
      <c r="K1593">
        <v>0</v>
      </c>
      <c r="L1593">
        <v>0</v>
      </c>
      <c r="M1593">
        <v>0.02</v>
      </c>
      <c r="N1593" s="1">
        <v>10000000</v>
      </c>
      <c r="O1593">
        <v>0.02</v>
      </c>
      <c r="P1593">
        <v>0.74</v>
      </c>
      <c r="Q1593">
        <v>0.01</v>
      </c>
    </row>
    <row r="1594" spans="1:17" x14ac:dyDescent="0.25">
      <c r="A1594">
        <v>730518</v>
      </c>
      <c r="B1594" t="s">
        <v>2906</v>
      </c>
      <c r="C1594" t="s">
        <v>78</v>
      </c>
      <c r="D1594" t="s">
        <v>78</v>
      </c>
      <c r="E1594" t="s">
        <v>78</v>
      </c>
      <c r="F1594" t="s">
        <v>78</v>
      </c>
      <c r="G1594" t="s">
        <v>78</v>
      </c>
      <c r="H1594">
        <v>0.01</v>
      </c>
      <c r="I1594" s="1">
        <v>0</v>
      </c>
      <c r="J1594" s="1">
        <v>0</v>
      </c>
      <c r="K1594">
        <v>0</v>
      </c>
      <c r="L1594">
        <v>0</v>
      </c>
      <c r="M1594">
        <v>0.01</v>
      </c>
      <c r="N1594" s="1">
        <v>5000000</v>
      </c>
      <c r="O1594">
        <v>0.01</v>
      </c>
      <c r="P1594">
        <v>0.57999999999999996</v>
      </c>
      <c r="Q1594">
        <v>0.01</v>
      </c>
    </row>
    <row r="1595" spans="1:17" x14ac:dyDescent="0.25">
      <c r="A1595">
        <v>730519</v>
      </c>
      <c r="B1595" t="s">
        <v>2907</v>
      </c>
      <c r="C1595" t="s">
        <v>78</v>
      </c>
      <c r="D1595" t="s">
        <v>78</v>
      </c>
      <c r="E1595" t="s">
        <v>78</v>
      </c>
      <c r="F1595" t="s">
        <v>78</v>
      </c>
      <c r="G1595" t="s">
        <v>78</v>
      </c>
      <c r="H1595">
        <v>7.15</v>
      </c>
      <c r="I1595" s="1">
        <v>0</v>
      </c>
      <c r="J1595" s="1">
        <v>0</v>
      </c>
      <c r="K1595">
        <v>0</v>
      </c>
      <c r="L1595">
        <v>6.55</v>
      </c>
      <c r="M1595">
        <v>7.05</v>
      </c>
      <c r="N1595" s="1">
        <v>5000000</v>
      </c>
      <c r="O1595">
        <v>6.55</v>
      </c>
      <c r="P1595">
        <v>7.8</v>
      </c>
      <c r="Q1595">
        <v>5.3</v>
      </c>
    </row>
    <row r="1596" spans="1:17" x14ac:dyDescent="0.25">
      <c r="A1596">
        <v>730520</v>
      </c>
      <c r="B1596" t="s">
        <v>2908</v>
      </c>
      <c r="C1596">
        <v>0.27</v>
      </c>
      <c r="D1596">
        <v>-0.06</v>
      </c>
      <c r="E1596">
        <v>0.27</v>
      </c>
      <c r="F1596">
        <v>0.27</v>
      </c>
      <c r="G1596">
        <v>0.27</v>
      </c>
      <c r="H1596">
        <v>0.27</v>
      </c>
      <c r="I1596" s="1">
        <v>2000</v>
      </c>
      <c r="J1596" s="1">
        <v>540</v>
      </c>
      <c r="K1596">
        <v>1</v>
      </c>
      <c r="L1596">
        <v>0.27</v>
      </c>
      <c r="M1596">
        <v>0.32</v>
      </c>
      <c r="N1596" s="1">
        <v>5000000</v>
      </c>
      <c r="O1596">
        <v>0.27</v>
      </c>
      <c r="P1596">
        <v>0.93</v>
      </c>
      <c r="Q1596">
        <v>0.01</v>
      </c>
    </row>
    <row r="1597" spans="1:17" x14ac:dyDescent="0.25">
      <c r="A1597">
        <v>730521</v>
      </c>
      <c r="B1597" t="s">
        <v>2909</v>
      </c>
      <c r="C1597" t="s">
        <v>78</v>
      </c>
      <c r="D1597" t="s">
        <v>78</v>
      </c>
      <c r="E1597" t="s">
        <v>78</v>
      </c>
      <c r="F1597" t="s">
        <v>78</v>
      </c>
      <c r="G1597" t="s">
        <v>78</v>
      </c>
      <c r="H1597">
        <v>0.05</v>
      </c>
      <c r="I1597" s="1">
        <v>0</v>
      </c>
      <c r="J1597" s="1">
        <v>0</v>
      </c>
      <c r="K1597">
        <v>0</v>
      </c>
      <c r="L1597">
        <v>0</v>
      </c>
      <c r="M1597">
        <v>0.02</v>
      </c>
      <c r="N1597" s="1">
        <v>5000000</v>
      </c>
      <c r="O1597">
        <v>0.02</v>
      </c>
      <c r="P1597">
        <v>0.76</v>
      </c>
      <c r="Q1597">
        <v>0.01</v>
      </c>
    </row>
    <row r="1598" spans="1:17" x14ac:dyDescent="0.25">
      <c r="A1598">
        <v>730522</v>
      </c>
      <c r="B1598" t="s">
        <v>2910</v>
      </c>
      <c r="C1598" t="s">
        <v>78</v>
      </c>
      <c r="D1598" t="s">
        <v>78</v>
      </c>
      <c r="E1598" t="s">
        <v>78</v>
      </c>
      <c r="F1598" t="s">
        <v>78</v>
      </c>
      <c r="G1598" t="s">
        <v>78</v>
      </c>
      <c r="H1598">
        <v>0.12</v>
      </c>
      <c r="I1598" s="1">
        <v>0</v>
      </c>
      <c r="J1598" s="1">
        <v>0</v>
      </c>
      <c r="K1598">
        <v>0</v>
      </c>
      <c r="L1598">
        <v>0.02</v>
      </c>
      <c r="M1598">
        <v>0.05</v>
      </c>
      <c r="N1598" s="1">
        <v>5000000</v>
      </c>
      <c r="O1598">
        <v>0.05</v>
      </c>
      <c r="P1598">
        <v>0.56000000000000005</v>
      </c>
      <c r="Q1598">
        <v>0.01</v>
      </c>
    </row>
    <row r="1599" spans="1:17" x14ac:dyDescent="0.25">
      <c r="A1599">
        <v>730523</v>
      </c>
      <c r="B1599" t="s">
        <v>2911</v>
      </c>
      <c r="C1599" t="s">
        <v>78</v>
      </c>
      <c r="D1599" t="s">
        <v>78</v>
      </c>
      <c r="E1599" t="s">
        <v>78</v>
      </c>
      <c r="F1599" t="s">
        <v>78</v>
      </c>
      <c r="G1599" t="s">
        <v>78</v>
      </c>
      <c r="H1599">
        <v>0.21</v>
      </c>
      <c r="I1599" s="1">
        <v>0</v>
      </c>
      <c r="J1599" s="1">
        <v>0</v>
      </c>
      <c r="K1599">
        <v>0</v>
      </c>
      <c r="L1599">
        <v>0</v>
      </c>
      <c r="M1599">
        <v>0.01</v>
      </c>
      <c r="N1599" s="1">
        <v>5000000</v>
      </c>
      <c r="O1599">
        <v>0.01</v>
      </c>
      <c r="P1599">
        <v>0.48</v>
      </c>
      <c r="Q1599">
        <v>0.01</v>
      </c>
    </row>
    <row r="1600" spans="1:17" x14ac:dyDescent="0.25">
      <c r="A1600">
        <v>730524</v>
      </c>
      <c r="B1600" t="s">
        <v>2912</v>
      </c>
      <c r="C1600" t="s">
        <v>78</v>
      </c>
      <c r="D1600" t="s">
        <v>78</v>
      </c>
      <c r="E1600" t="s">
        <v>78</v>
      </c>
      <c r="F1600" t="s">
        <v>78</v>
      </c>
      <c r="G1600" t="s">
        <v>78</v>
      </c>
      <c r="H1600">
        <v>5.45</v>
      </c>
      <c r="I1600" s="1">
        <v>0</v>
      </c>
      <c r="J1600" s="1">
        <v>0</v>
      </c>
      <c r="K1600">
        <v>0</v>
      </c>
      <c r="L1600">
        <v>0</v>
      </c>
      <c r="M1600">
        <v>0</v>
      </c>
      <c r="N1600" s="1">
        <v>5000000</v>
      </c>
      <c r="O1600">
        <v>3.31</v>
      </c>
      <c r="P1600">
        <v>4.32</v>
      </c>
      <c r="Q1600">
        <v>2.2999999999999998</v>
      </c>
    </row>
    <row r="1601" spans="1:17" x14ac:dyDescent="0.25">
      <c r="A1601">
        <v>730525</v>
      </c>
      <c r="B1601" t="s">
        <v>2913</v>
      </c>
      <c r="C1601" t="s">
        <v>78</v>
      </c>
      <c r="D1601" t="s">
        <v>78</v>
      </c>
      <c r="E1601" t="s">
        <v>78</v>
      </c>
      <c r="F1601" t="s">
        <v>78</v>
      </c>
      <c r="G1601" t="s">
        <v>78</v>
      </c>
      <c r="H1601">
        <v>1.47</v>
      </c>
      <c r="I1601" s="1">
        <v>0</v>
      </c>
      <c r="J1601" s="1">
        <v>0</v>
      </c>
      <c r="K1601">
        <v>0</v>
      </c>
      <c r="L1601">
        <v>2.02</v>
      </c>
      <c r="M1601">
        <v>2.12</v>
      </c>
      <c r="N1601" s="1">
        <v>5000000</v>
      </c>
      <c r="O1601">
        <v>2.02</v>
      </c>
      <c r="P1601">
        <v>2.66</v>
      </c>
      <c r="Q1601">
        <v>1.38</v>
      </c>
    </row>
    <row r="1602" spans="1:17" x14ac:dyDescent="0.25">
      <c r="A1602">
        <v>730526</v>
      </c>
      <c r="B1602" t="s">
        <v>2914</v>
      </c>
      <c r="C1602" t="s">
        <v>78</v>
      </c>
      <c r="D1602" t="s">
        <v>78</v>
      </c>
      <c r="E1602" t="s">
        <v>78</v>
      </c>
      <c r="F1602" t="s">
        <v>78</v>
      </c>
      <c r="G1602" t="s">
        <v>78</v>
      </c>
      <c r="H1602">
        <v>0.09</v>
      </c>
      <c r="I1602" s="1">
        <v>0</v>
      </c>
      <c r="J1602" s="1">
        <v>0</v>
      </c>
      <c r="K1602">
        <v>0</v>
      </c>
      <c r="L1602">
        <v>0</v>
      </c>
      <c r="M1602">
        <v>0.01</v>
      </c>
      <c r="N1602" s="1">
        <v>10000000</v>
      </c>
      <c r="O1602">
        <v>0.01</v>
      </c>
      <c r="P1602">
        <v>0.32</v>
      </c>
      <c r="Q1602">
        <v>0.01</v>
      </c>
    </row>
    <row r="1603" spans="1:17" x14ac:dyDescent="0.25">
      <c r="A1603">
        <v>730527</v>
      </c>
      <c r="B1603" t="s">
        <v>2915</v>
      </c>
      <c r="C1603" t="s">
        <v>78</v>
      </c>
      <c r="D1603" t="s">
        <v>78</v>
      </c>
      <c r="E1603" t="s">
        <v>78</v>
      </c>
      <c r="F1603" t="s">
        <v>78</v>
      </c>
      <c r="G1603" t="s">
        <v>78</v>
      </c>
      <c r="H1603">
        <v>0.53</v>
      </c>
      <c r="I1603" s="1">
        <v>0</v>
      </c>
      <c r="J1603" s="1">
        <v>0</v>
      </c>
      <c r="K1603">
        <v>0</v>
      </c>
      <c r="L1603">
        <v>0.47</v>
      </c>
      <c r="M1603">
        <v>0.48</v>
      </c>
      <c r="N1603" s="1">
        <v>10000000</v>
      </c>
      <c r="O1603">
        <v>0.48</v>
      </c>
      <c r="P1603">
        <v>1.08</v>
      </c>
      <c r="Q1603">
        <v>0.01</v>
      </c>
    </row>
    <row r="1604" spans="1:17" x14ac:dyDescent="0.25">
      <c r="A1604">
        <v>730528</v>
      </c>
      <c r="B1604" t="s">
        <v>2916</v>
      </c>
      <c r="C1604" t="s">
        <v>78</v>
      </c>
      <c r="D1604" t="s">
        <v>78</v>
      </c>
      <c r="E1604" t="s">
        <v>78</v>
      </c>
      <c r="F1604" t="s">
        <v>78</v>
      </c>
      <c r="G1604" t="s">
        <v>78</v>
      </c>
      <c r="H1604">
        <v>0.09</v>
      </c>
      <c r="I1604" s="1">
        <v>0</v>
      </c>
      <c r="J1604" s="1">
        <v>0</v>
      </c>
      <c r="K1604">
        <v>0</v>
      </c>
      <c r="L1604">
        <v>7.0000000000000007E-2</v>
      </c>
      <c r="M1604">
        <v>0.1</v>
      </c>
      <c r="N1604" s="1">
        <v>5000000</v>
      </c>
      <c r="O1604">
        <v>0.09</v>
      </c>
      <c r="P1604">
        <v>0.78</v>
      </c>
      <c r="Q1604">
        <v>0.01</v>
      </c>
    </row>
    <row r="1605" spans="1:17" x14ac:dyDescent="0.25">
      <c r="A1605">
        <v>730529</v>
      </c>
      <c r="B1605" t="s">
        <v>2917</v>
      </c>
      <c r="C1605" t="s">
        <v>78</v>
      </c>
      <c r="D1605" t="s">
        <v>78</v>
      </c>
      <c r="E1605" t="s">
        <v>78</v>
      </c>
      <c r="F1605" t="s">
        <v>78</v>
      </c>
      <c r="G1605" t="s">
        <v>78</v>
      </c>
      <c r="H1605">
        <v>0.08</v>
      </c>
      <c r="I1605" s="1">
        <v>0</v>
      </c>
      <c r="J1605" s="1">
        <v>0</v>
      </c>
      <c r="K1605">
        <v>0</v>
      </c>
      <c r="L1605">
        <v>0.05</v>
      </c>
      <c r="M1605">
        <v>0.06</v>
      </c>
      <c r="N1605" s="1">
        <v>5000000</v>
      </c>
      <c r="O1605">
        <v>0.06</v>
      </c>
      <c r="P1605">
        <v>0.73</v>
      </c>
      <c r="Q1605">
        <v>0.01</v>
      </c>
    </row>
    <row r="1606" spans="1:17" x14ac:dyDescent="0.25">
      <c r="A1606">
        <v>730530</v>
      </c>
      <c r="B1606" t="s">
        <v>2918</v>
      </c>
      <c r="C1606">
        <v>0.06</v>
      </c>
      <c r="D1606">
        <v>-0.01</v>
      </c>
      <c r="E1606">
        <v>0.06</v>
      </c>
      <c r="F1606">
        <v>0.06</v>
      </c>
      <c r="G1606">
        <v>0.06</v>
      </c>
      <c r="H1606">
        <v>0.06</v>
      </c>
      <c r="I1606" s="1">
        <v>90000</v>
      </c>
      <c r="J1606" s="1">
        <v>5400</v>
      </c>
      <c r="K1606">
        <v>2</v>
      </c>
      <c r="L1606">
        <v>7.0000000000000007E-2</v>
      </c>
      <c r="M1606">
        <v>0.1</v>
      </c>
      <c r="N1606" s="1">
        <v>5000000</v>
      </c>
      <c r="O1606">
        <v>0.06</v>
      </c>
      <c r="P1606">
        <v>0.5</v>
      </c>
      <c r="Q1606">
        <v>0.01</v>
      </c>
    </row>
    <row r="1607" spans="1:17" x14ac:dyDescent="0.25">
      <c r="A1607">
        <v>730531</v>
      </c>
      <c r="B1607" t="s">
        <v>2919</v>
      </c>
      <c r="C1607" t="s">
        <v>78</v>
      </c>
      <c r="D1607" t="s">
        <v>78</v>
      </c>
      <c r="E1607" t="s">
        <v>78</v>
      </c>
      <c r="F1607" t="s">
        <v>78</v>
      </c>
      <c r="G1607" t="s">
        <v>78</v>
      </c>
      <c r="H1607">
        <v>2.35</v>
      </c>
      <c r="I1607" s="1">
        <v>0</v>
      </c>
      <c r="J1607" s="1">
        <v>0</v>
      </c>
      <c r="K1607">
        <v>0</v>
      </c>
      <c r="L1607">
        <v>2.31</v>
      </c>
      <c r="M1607">
        <v>2.39</v>
      </c>
      <c r="N1607" s="1">
        <v>10000000</v>
      </c>
      <c r="O1607">
        <v>2.31</v>
      </c>
      <c r="P1607">
        <v>3.19</v>
      </c>
      <c r="Q1607">
        <v>1.43</v>
      </c>
    </row>
    <row r="1608" spans="1:17" x14ac:dyDescent="0.25">
      <c r="A1608">
        <v>730532</v>
      </c>
      <c r="B1608" t="s">
        <v>2920</v>
      </c>
      <c r="C1608">
        <v>1.4</v>
      </c>
      <c r="D1608">
        <v>0.03</v>
      </c>
      <c r="E1608">
        <v>1.38</v>
      </c>
      <c r="F1608">
        <v>1.4</v>
      </c>
      <c r="G1608">
        <v>1.38</v>
      </c>
      <c r="H1608">
        <v>1.39</v>
      </c>
      <c r="I1608" s="1">
        <v>20000</v>
      </c>
      <c r="J1608" s="1">
        <v>27800</v>
      </c>
      <c r="K1608">
        <v>3</v>
      </c>
      <c r="L1608">
        <v>1.25</v>
      </c>
      <c r="M1608">
        <v>1.34</v>
      </c>
      <c r="N1608" s="1">
        <v>1000000</v>
      </c>
      <c r="O1608">
        <v>1.4</v>
      </c>
      <c r="P1608">
        <v>2.2799999999999998</v>
      </c>
      <c r="Q1608">
        <v>0.52</v>
      </c>
    </row>
    <row r="1609" spans="1:17" x14ac:dyDescent="0.25">
      <c r="A1609">
        <v>730533</v>
      </c>
      <c r="B1609" t="s">
        <v>2921</v>
      </c>
      <c r="C1609" t="s">
        <v>78</v>
      </c>
      <c r="D1609" t="s">
        <v>78</v>
      </c>
      <c r="E1609" t="s">
        <v>78</v>
      </c>
      <c r="F1609" t="s">
        <v>78</v>
      </c>
      <c r="G1609" t="s">
        <v>78</v>
      </c>
      <c r="H1609">
        <v>0.63</v>
      </c>
      <c r="I1609" s="1">
        <v>0</v>
      </c>
      <c r="J1609" s="1">
        <v>0</v>
      </c>
      <c r="K1609">
        <v>0</v>
      </c>
      <c r="L1609">
        <v>0.25</v>
      </c>
      <c r="M1609">
        <v>0.34</v>
      </c>
      <c r="N1609" s="1">
        <v>10000000</v>
      </c>
      <c r="O1609">
        <v>0.31</v>
      </c>
      <c r="P1609">
        <v>1.26</v>
      </c>
      <c r="Q1609">
        <v>0.01</v>
      </c>
    </row>
    <row r="1610" spans="1:17" x14ac:dyDescent="0.25">
      <c r="A1610">
        <v>730534</v>
      </c>
      <c r="B1610" t="s">
        <v>2922</v>
      </c>
      <c r="C1610">
        <v>1.1200000000000001</v>
      </c>
      <c r="D1610">
        <v>0.03</v>
      </c>
      <c r="E1610">
        <v>1.1200000000000001</v>
      </c>
      <c r="F1610">
        <v>1.1200000000000001</v>
      </c>
      <c r="G1610">
        <v>1.1200000000000001</v>
      </c>
      <c r="H1610">
        <v>1.1200000000000001</v>
      </c>
      <c r="I1610" s="1">
        <v>10000</v>
      </c>
      <c r="J1610" s="1">
        <v>11200</v>
      </c>
      <c r="K1610">
        <v>2</v>
      </c>
      <c r="L1610">
        <v>0.91</v>
      </c>
      <c r="M1610">
        <v>0.98</v>
      </c>
      <c r="N1610" s="1">
        <v>2000000</v>
      </c>
      <c r="O1610">
        <v>1.1200000000000001</v>
      </c>
      <c r="P1610">
        <v>2</v>
      </c>
      <c r="Q1610">
        <v>0.24</v>
      </c>
    </row>
    <row r="1611" spans="1:17" x14ac:dyDescent="0.25">
      <c r="A1611">
        <v>730535</v>
      </c>
      <c r="B1611" t="s">
        <v>2923</v>
      </c>
      <c r="C1611">
        <v>0.3</v>
      </c>
      <c r="D1611">
        <v>-0.18</v>
      </c>
      <c r="E1611">
        <v>0.38</v>
      </c>
      <c r="F1611">
        <v>0.38</v>
      </c>
      <c r="G1611">
        <v>0.3</v>
      </c>
      <c r="H1611">
        <v>0.38</v>
      </c>
      <c r="I1611" s="1">
        <v>102000</v>
      </c>
      <c r="J1611" s="1">
        <v>38600</v>
      </c>
      <c r="K1611">
        <v>3</v>
      </c>
      <c r="L1611">
        <v>0.3</v>
      </c>
      <c r="M1611">
        <v>0.33</v>
      </c>
      <c r="N1611" s="1">
        <v>10000000</v>
      </c>
      <c r="O1611">
        <v>0.3</v>
      </c>
      <c r="P1611">
        <v>0.99</v>
      </c>
      <c r="Q1611">
        <v>0.01</v>
      </c>
    </row>
    <row r="1612" spans="1:17" x14ac:dyDescent="0.25">
      <c r="A1612">
        <v>730536</v>
      </c>
      <c r="B1612" t="s">
        <v>2924</v>
      </c>
      <c r="C1612" t="s">
        <v>78</v>
      </c>
      <c r="D1612" t="s">
        <v>78</v>
      </c>
      <c r="E1612" t="s">
        <v>78</v>
      </c>
      <c r="F1612" t="s">
        <v>78</v>
      </c>
      <c r="G1612" t="s">
        <v>78</v>
      </c>
      <c r="H1612">
        <v>12.9</v>
      </c>
      <c r="I1612" s="1">
        <v>0</v>
      </c>
      <c r="J1612" s="1">
        <v>0</v>
      </c>
      <c r="K1612">
        <v>0</v>
      </c>
      <c r="L1612">
        <v>11.4</v>
      </c>
      <c r="M1612">
        <v>11.6</v>
      </c>
      <c r="N1612" s="1">
        <v>5000000</v>
      </c>
      <c r="O1612">
        <v>11.4</v>
      </c>
      <c r="P1612">
        <v>13.5</v>
      </c>
      <c r="Q1612">
        <v>9.3000000000000007</v>
      </c>
    </row>
    <row r="1613" spans="1:17" x14ac:dyDescent="0.25">
      <c r="A1613">
        <v>730537</v>
      </c>
      <c r="B1613" t="s">
        <v>2925</v>
      </c>
      <c r="C1613" t="s">
        <v>78</v>
      </c>
      <c r="D1613" t="s">
        <v>78</v>
      </c>
      <c r="E1613" t="s">
        <v>78</v>
      </c>
      <c r="F1613" t="s">
        <v>78</v>
      </c>
      <c r="G1613" t="s">
        <v>78</v>
      </c>
      <c r="H1613">
        <v>9.65</v>
      </c>
      <c r="I1613" s="1">
        <v>0</v>
      </c>
      <c r="J1613" s="1">
        <v>0</v>
      </c>
      <c r="K1613">
        <v>0</v>
      </c>
      <c r="L1613">
        <v>13.2</v>
      </c>
      <c r="M1613">
        <v>13.5</v>
      </c>
      <c r="N1613" s="1">
        <v>5000000</v>
      </c>
      <c r="O1613">
        <v>13.2</v>
      </c>
      <c r="P1613">
        <v>15.9</v>
      </c>
      <c r="Q1613">
        <v>10.5</v>
      </c>
    </row>
    <row r="1614" spans="1:17" x14ac:dyDescent="0.25">
      <c r="A1614">
        <v>730538</v>
      </c>
      <c r="B1614" t="s">
        <v>2926</v>
      </c>
      <c r="C1614" t="s">
        <v>78</v>
      </c>
      <c r="D1614" t="s">
        <v>78</v>
      </c>
      <c r="E1614" t="s">
        <v>78</v>
      </c>
      <c r="F1614" t="s">
        <v>78</v>
      </c>
      <c r="G1614" t="s">
        <v>78</v>
      </c>
      <c r="H1614">
        <v>0.22</v>
      </c>
      <c r="I1614" s="1">
        <v>0</v>
      </c>
      <c r="J1614" s="1">
        <v>0</v>
      </c>
      <c r="K1614">
        <v>0</v>
      </c>
      <c r="L1614">
        <v>0</v>
      </c>
      <c r="M1614">
        <v>0.01</v>
      </c>
      <c r="N1614" s="1">
        <v>5000000</v>
      </c>
      <c r="O1614">
        <v>0.01</v>
      </c>
      <c r="P1614">
        <v>1.04</v>
      </c>
      <c r="Q1614">
        <v>0.01</v>
      </c>
    </row>
    <row r="1615" spans="1:17" x14ac:dyDescent="0.25">
      <c r="A1615">
        <v>730539</v>
      </c>
      <c r="B1615" t="s">
        <v>2927</v>
      </c>
      <c r="C1615" t="s">
        <v>78</v>
      </c>
      <c r="D1615" t="s">
        <v>78</v>
      </c>
      <c r="E1615" t="s">
        <v>78</v>
      </c>
      <c r="F1615" t="s">
        <v>78</v>
      </c>
      <c r="G1615" t="s">
        <v>78</v>
      </c>
      <c r="H1615">
        <v>6.7</v>
      </c>
      <c r="I1615" s="1">
        <v>0</v>
      </c>
      <c r="J1615" s="1">
        <v>0</v>
      </c>
      <c r="K1615">
        <v>0</v>
      </c>
      <c r="L1615">
        <v>7.1</v>
      </c>
      <c r="M1615">
        <v>7.4</v>
      </c>
      <c r="N1615" s="1">
        <v>10000000</v>
      </c>
      <c r="O1615">
        <v>7.1</v>
      </c>
      <c r="P1615">
        <v>9.8000000000000007</v>
      </c>
      <c r="Q1615">
        <v>4.3600000000000003</v>
      </c>
    </row>
    <row r="1616" spans="1:17" x14ac:dyDescent="0.25">
      <c r="A1616">
        <v>730540</v>
      </c>
      <c r="B1616" t="s">
        <v>2928</v>
      </c>
      <c r="C1616" t="s">
        <v>78</v>
      </c>
      <c r="D1616" t="s">
        <v>78</v>
      </c>
      <c r="E1616" t="s">
        <v>78</v>
      </c>
      <c r="F1616" t="s">
        <v>78</v>
      </c>
      <c r="G1616" t="s">
        <v>78</v>
      </c>
      <c r="H1616">
        <v>3.98</v>
      </c>
      <c r="I1616" s="1">
        <v>0</v>
      </c>
      <c r="J1616" s="1">
        <v>0</v>
      </c>
      <c r="K1616">
        <v>0</v>
      </c>
      <c r="L1616">
        <v>4.21</v>
      </c>
      <c r="M1616">
        <v>0</v>
      </c>
      <c r="N1616" s="1">
        <v>2000000</v>
      </c>
      <c r="O1616">
        <v>5.5</v>
      </c>
      <c r="P1616">
        <v>6.95</v>
      </c>
      <c r="Q1616">
        <v>4.03</v>
      </c>
    </row>
    <row r="1617" spans="1:17" x14ac:dyDescent="0.25">
      <c r="A1617">
        <v>730541</v>
      </c>
      <c r="B1617" t="s">
        <v>2929</v>
      </c>
      <c r="C1617" t="s">
        <v>78</v>
      </c>
      <c r="D1617" t="s">
        <v>78</v>
      </c>
      <c r="E1617" t="s">
        <v>78</v>
      </c>
      <c r="F1617" t="s">
        <v>78</v>
      </c>
      <c r="G1617" t="s">
        <v>78</v>
      </c>
      <c r="H1617">
        <v>3.5</v>
      </c>
      <c r="I1617" s="1">
        <v>0</v>
      </c>
      <c r="J1617" s="1">
        <v>0</v>
      </c>
      <c r="K1617">
        <v>0</v>
      </c>
      <c r="L1617">
        <v>4.2300000000000004</v>
      </c>
      <c r="M1617">
        <v>4.33</v>
      </c>
      <c r="N1617" s="1">
        <v>2500000</v>
      </c>
      <c r="O1617">
        <v>4.2300000000000004</v>
      </c>
      <c r="P1617">
        <v>6.45</v>
      </c>
      <c r="Q1617">
        <v>2.0099999999999998</v>
      </c>
    </row>
    <row r="1618" spans="1:17" x14ac:dyDescent="0.25">
      <c r="A1618">
        <v>730542</v>
      </c>
      <c r="B1618" t="s">
        <v>2930</v>
      </c>
      <c r="C1618" t="s">
        <v>78</v>
      </c>
      <c r="D1618" t="s">
        <v>78</v>
      </c>
      <c r="E1618" t="s">
        <v>78</v>
      </c>
      <c r="F1618" t="s">
        <v>78</v>
      </c>
      <c r="G1618" t="s">
        <v>78</v>
      </c>
      <c r="H1618">
        <v>0.66</v>
      </c>
      <c r="I1618" s="1">
        <v>0</v>
      </c>
      <c r="J1618" s="1">
        <v>0</v>
      </c>
      <c r="K1618">
        <v>0</v>
      </c>
      <c r="L1618">
        <v>0.6</v>
      </c>
      <c r="M1618">
        <v>0.62</v>
      </c>
      <c r="N1618" s="1">
        <v>10000000</v>
      </c>
      <c r="O1618">
        <v>0.62</v>
      </c>
      <c r="P1618">
        <v>1.06</v>
      </c>
      <c r="Q1618">
        <v>0.18</v>
      </c>
    </row>
    <row r="1619" spans="1:17" x14ac:dyDescent="0.25">
      <c r="A1619">
        <v>730543</v>
      </c>
      <c r="B1619" t="s">
        <v>2931</v>
      </c>
      <c r="C1619" t="s">
        <v>78</v>
      </c>
      <c r="D1619" t="s">
        <v>78</v>
      </c>
      <c r="E1619" t="s">
        <v>78</v>
      </c>
      <c r="F1619" t="s">
        <v>78</v>
      </c>
      <c r="G1619" t="s">
        <v>78</v>
      </c>
      <c r="H1619">
        <v>5.28</v>
      </c>
      <c r="I1619" s="1">
        <v>0</v>
      </c>
      <c r="J1619" s="1">
        <v>0</v>
      </c>
      <c r="K1619">
        <v>0</v>
      </c>
      <c r="L1619">
        <v>0</v>
      </c>
      <c r="M1619">
        <v>0</v>
      </c>
      <c r="N1619" s="1">
        <v>1000000</v>
      </c>
      <c r="O1619">
        <v>5.4</v>
      </c>
      <c r="P1619">
        <v>7.15</v>
      </c>
      <c r="Q1619">
        <v>3.65</v>
      </c>
    </row>
    <row r="1620" spans="1:17" x14ac:dyDescent="0.25">
      <c r="A1620">
        <v>730544</v>
      </c>
      <c r="B1620" t="s">
        <v>2932</v>
      </c>
      <c r="C1620" t="s">
        <v>78</v>
      </c>
      <c r="D1620" t="s">
        <v>78</v>
      </c>
      <c r="E1620" t="s">
        <v>78</v>
      </c>
      <c r="F1620" t="s">
        <v>78</v>
      </c>
      <c r="G1620" t="s">
        <v>78</v>
      </c>
      <c r="H1620">
        <v>0.02</v>
      </c>
      <c r="I1620" s="1">
        <v>0</v>
      </c>
      <c r="J1620" s="1">
        <v>0</v>
      </c>
      <c r="K1620">
        <v>0</v>
      </c>
      <c r="L1620">
        <v>0</v>
      </c>
      <c r="M1620">
        <v>0.01</v>
      </c>
      <c r="N1620" s="1">
        <v>10000000</v>
      </c>
      <c r="O1620">
        <v>0.01</v>
      </c>
      <c r="P1620">
        <v>0.51</v>
      </c>
      <c r="Q1620">
        <v>0.01</v>
      </c>
    </row>
    <row r="1621" spans="1:17" x14ac:dyDescent="0.25">
      <c r="A1621">
        <v>730545</v>
      </c>
      <c r="B1621" t="s">
        <v>2933</v>
      </c>
      <c r="C1621">
        <v>0.3</v>
      </c>
      <c r="D1621">
        <v>0.04</v>
      </c>
      <c r="E1621">
        <v>0.3</v>
      </c>
      <c r="F1621">
        <v>0.36</v>
      </c>
      <c r="G1621">
        <v>0.3</v>
      </c>
      <c r="H1621">
        <v>0.32</v>
      </c>
      <c r="I1621" s="1">
        <v>185000</v>
      </c>
      <c r="J1621" s="1">
        <v>59200</v>
      </c>
      <c r="K1621">
        <v>7</v>
      </c>
      <c r="L1621">
        <v>0.28000000000000003</v>
      </c>
      <c r="M1621">
        <v>0.28999999999999998</v>
      </c>
      <c r="N1621" s="1">
        <v>2500000</v>
      </c>
      <c r="O1621">
        <v>0.3</v>
      </c>
      <c r="P1621">
        <v>1.38</v>
      </c>
      <c r="Q1621">
        <v>0.01</v>
      </c>
    </row>
    <row r="1622" spans="1:17" x14ac:dyDescent="0.25">
      <c r="A1622">
        <v>730546</v>
      </c>
      <c r="B1622" t="s">
        <v>2934</v>
      </c>
      <c r="C1622" t="s">
        <v>78</v>
      </c>
      <c r="D1622" t="s">
        <v>78</v>
      </c>
      <c r="E1622" t="s">
        <v>78</v>
      </c>
      <c r="F1622" t="s">
        <v>78</v>
      </c>
      <c r="G1622" t="s">
        <v>78</v>
      </c>
      <c r="H1622">
        <v>0.01</v>
      </c>
      <c r="I1622" s="1">
        <v>0</v>
      </c>
      <c r="J1622" s="1">
        <v>0</v>
      </c>
      <c r="K1622">
        <v>0</v>
      </c>
      <c r="L1622">
        <v>0</v>
      </c>
      <c r="M1622">
        <v>0.01</v>
      </c>
      <c r="N1622" s="1">
        <v>10000000</v>
      </c>
      <c r="O1622">
        <v>0.01</v>
      </c>
      <c r="P1622">
        <v>0.48</v>
      </c>
      <c r="Q1622">
        <v>0.01</v>
      </c>
    </row>
    <row r="1623" spans="1:17" x14ac:dyDescent="0.25">
      <c r="A1623">
        <v>730547</v>
      </c>
      <c r="B1623" t="s">
        <v>2935</v>
      </c>
      <c r="C1623" t="s">
        <v>78</v>
      </c>
      <c r="D1623" t="s">
        <v>78</v>
      </c>
      <c r="E1623" t="s">
        <v>78</v>
      </c>
      <c r="F1623" t="s">
        <v>78</v>
      </c>
      <c r="G1623" t="s">
        <v>78</v>
      </c>
      <c r="H1623">
        <v>0.6</v>
      </c>
      <c r="I1623" s="1">
        <v>0</v>
      </c>
      <c r="J1623" s="1">
        <v>0</v>
      </c>
      <c r="K1623">
        <v>0</v>
      </c>
      <c r="L1623">
        <v>0.18</v>
      </c>
      <c r="M1623">
        <v>0.2</v>
      </c>
      <c r="N1623" s="1">
        <v>5000000</v>
      </c>
      <c r="O1623">
        <v>0.2</v>
      </c>
      <c r="P1623">
        <v>1.58</v>
      </c>
      <c r="Q1623">
        <v>0.01</v>
      </c>
    </row>
    <row r="1624" spans="1:17" x14ac:dyDescent="0.25">
      <c r="A1624">
        <v>730548</v>
      </c>
      <c r="B1624" t="s">
        <v>2936</v>
      </c>
      <c r="C1624">
        <v>0.99</v>
      </c>
      <c r="D1624">
        <v>-0.01</v>
      </c>
      <c r="E1624">
        <v>1.04</v>
      </c>
      <c r="F1624">
        <v>1.07</v>
      </c>
      <c r="G1624">
        <v>0.99</v>
      </c>
      <c r="H1624">
        <v>1.01</v>
      </c>
      <c r="I1624" s="1">
        <v>57000</v>
      </c>
      <c r="J1624" s="1">
        <v>57810</v>
      </c>
      <c r="K1624">
        <v>7</v>
      </c>
      <c r="L1624">
        <v>0.97</v>
      </c>
      <c r="M1624">
        <v>0.99</v>
      </c>
      <c r="N1624" s="1">
        <v>10000000</v>
      </c>
      <c r="O1624">
        <v>0.99</v>
      </c>
      <c r="P1624">
        <v>1.47</v>
      </c>
      <c r="Q1624">
        <v>0.51</v>
      </c>
    </row>
    <row r="1625" spans="1:17" x14ac:dyDescent="0.25">
      <c r="A1625">
        <v>730549</v>
      </c>
      <c r="B1625" t="s">
        <v>2937</v>
      </c>
      <c r="C1625" t="s">
        <v>78</v>
      </c>
      <c r="D1625" t="s">
        <v>78</v>
      </c>
      <c r="E1625" t="s">
        <v>78</v>
      </c>
      <c r="F1625" t="s">
        <v>78</v>
      </c>
      <c r="G1625" t="s">
        <v>78</v>
      </c>
      <c r="H1625">
        <v>0.03</v>
      </c>
      <c r="I1625" s="1">
        <v>0</v>
      </c>
      <c r="J1625" s="1">
        <v>0</v>
      </c>
      <c r="K1625">
        <v>0</v>
      </c>
      <c r="L1625">
        <v>0.01</v>
      </c>
      <c r="M1625">
        <v>0.02</v>
      </c>
      <c r="N1625" s="1">
        <v>5000000</v>
      </c>
      <c r="O1625">
        <v>0.02</v>
      </c>
      <c r="P1625">
        <v>1.08</v>
      </c>
      <c r="Q1625">
        <v>0.01</v>
      </c>
    </row>
    <row r="1626" spans="1:17" x14ac:dyDescent="0.25">
      <c r="A1626">
        <v>730550</v>
      </c>
      <c r="B1626" t="s">
        <v>2938</v>
      </c>
      <c r="C1626">
        <v>0.11</v>
      </c>
      <c r="D1626">
        <v>0.01</v>
      </c>
      <c r="E1626">
        <v>0.11</v>
      </c>
      <c r="F1626">
        <v>0.11</v>
      </c>
      <c r="G1626">
        <v>0.11</v>
      </c>
      <c r="H1626">
        <v>0.11</v>
      </c>
      <c r="I1626" s="1">
        <v>40000</v>
      </c>
      <c r="J1626" s="1">
        <v>4400</v>
      </c>
      <c r="K1626">
        <v>1</v>
      </c>
      <c r="L1626">
        <v>0.11</v>
      </c>
      <c r="M1626">
        <v>0.12</v>
      </c>
      <c r="N1626" s="1">
        <v>5000000</v>
      </c>
      <c r="O1626">
        <v>0.11</v>
      </c>
      <c r="P1626">
        <v>1.01</v>
      </c>
      <c r="Q1626">
        <v>0.01</v>
      </c>
    </row>
    <row r="1627" spans="1:17" x14ac:dyDescent="0.25">
      <c r="A1627">
        <v>730551</v>
      </c>
      <c r="B1627" t="s">
        <v>2939</v>
      </c>
      <c r="C1627" t="s">
        <v>78</v>
      </c>
      <c r="D1627" t="s">
        <v>78</v>
      </c>
      <c r="E1627" t="s">
        <v>78</v>
      </c>
      <c r="F1627" t="s">
        <v>78</v>
      </c>
      <c r="G1627" t="s">
        <v>78</v>
      </c>
      <c r="H1627">
        <v>0.01</v>
      </c>
      <c r="I1627" s="1">
        <v>0</v>
      </c>
      <c r="J1627" s="1">
        <v>0</v>
      </c>
      <c r="K1627">
        <v>0</v>
      </c>
      <c r="L1627">
        <v>0</v>
      </c>
      <c r="M1627">
        <v>0.02</v>
      </c>
      <c r="N1627" s="1">
        <v>5000000</v>
      </c>
      <c r="O1627">
        <v>0.01</v>
      </c>
      <c r="P1627">
        <v>0.55000000000000004</v>
      </c>
      <c r="Q1627">
        <v>0.01</v>
      </c>
    </row>
    <row r="1628" spans="1:17" x14ac:dyDescent="0.25">
      <c r="A1628">
        <v>730552</v>
      </c>
      <c r="B1628" t="s">
        <v>2940</v>
      </c>
      <c r="C1628" t="s">
        <v>78</v>
      </c>
      <c r="D1628" t="s">
        <v>78</v>
      </c>
      <c r="E1628" t="s">
        <v>78</v>
      </c>
      <c r="F1628" t="s">
        <v>78</v>
      </c>
      <c r="G1628" t="s">
        <v>78</v>
      </c>
      <c r="H1628">
        <v>7.4</v>
      </c>
      <c r="I1628" s="1">
        <v>0</v>
      </c>
      <c r="J1628" s="1">
        <v>0</v>
      </c>
      <c r="K1628">
        <v>0</v>
      </c>
      <c r="L1628">
        <v>8.3000000000000007</v>
      </c>
      <c r="M1628">
        <v>8.8000000000000007</v>
      </c>
      <c r="N1628" s="1">
        <v>5000000</v>
      </c>
      <c r="O1628">
        <v>8.3000000000000007</v>
      </c>
      <c r="P1628">
        <v>10</v>
      </c>
      <c r="Q1628">
        <v>6.6</v>
      </c>
    </row>
    <row r="1629" spans="1:17" x14ac:dyDescent="0.25">
      <c r="A1629">
        <v>730553</v>
      </c>
      <c r="B1629" t="s">
        <v>2941</v>
      </c>
      <c r="C1629" t="s">
        <v>78</v>
      </c>
      <c r="D1629" t="s">
        <v>78</v>
      </c>
      <c r="E1629" t="s">
        <v>78</v>
      </c>
      <c r="F1629" t="s">
        <v>78</v>
      </c>
      <c r="G1629" t="s">
        <v>78</v>
      </c>
      <c r="H1629">
        <v>8.6</v>
      </c>
      <c r="I1629" s="1">
        <v>0</v>
      </c>
      <c r="J1629" s="1">
        <v>0</v>
      </c>
      <c r="K1629">
        <v>0</v>
      </c>
      <c r="L1629">
        <v>9.4</v>
      </c>
      <c r="M1629">
        <v>9.9</v>
      </c>
      <c r="N1629" s="1">
        <v>5000000</v>
      </c>
      <c r="O1629">
        <v>9.4</v>
      </c>
      <c r="P1629">
        <v>11.1</v>
      </c>
      <c r="Q1629">
        <v>7.7</v>
      </c>
    </row>
    <row r="1630" spans="1:17" x14ac:dyDescent="0.25">
      <c r="A1630">
        <v>730554</v>
      </c>
      <c r="B1630" t="s">
        <v>2942</v>
      </c>
      <c r="C1630" t="s">
        <v>78</v>
      </c>
      <c r="D1630" t="s">
        <v>78</v>
      </c>
      <c r="E1630" t="s">
        <v>78</v>
      </c>
      <c r="F1630" t="s">
        <v>78</v>
      </c>
      <c r="G1630" t="s">
        <v>78</v>
      </c>
      <c r="H1630">
        <v>0.98</v>
      </c>
      <c r="I1630" s="1">
        <v>0</v>
      </c>
      <c r="J1630" s="1">
        <v>0</v>
      </c>
      <c r="K1630">
        <v>0</v>
      </c>
      <c r="L1630">
        <v>0.83</v>
      </c>
      <c r="M1630">
        <v>0.88</v>
      </c>
      <c r="N1630" s="1">
        <v>5000000</v>
      </c>
      <c r="O1630">
        <v>0.88</v>
      </c>
      <c r="P1630">
        <v>1.68</v>
      </c>
      <c r="Q1630">
        <v>0.06</v>
      </c>
    </row>
    <row r="1631" spans="1:17" x14ac:dyDescent="0.25">
      <c r="A1631">
        <v>730555</v>
      </c>
      <c r="B1631" t="s">
        <v>2943</v>
      </c>
      <c r="C1631" t="s">
        <v>78</v>
      </c>
      <c r="D1631" t="s">
        <v>78</v>
      </c>
      <c r="E1631" t="s">
        <v>78</v>
      </c>
      <c r="F1631" t="s">
        <v>78</v>
      </c>
      <c r="G1631" t="s">
        <v>78</v>
      </c>
      <c r="H1631">
        <v>1.73</v>
      </c>
      <c r="I1631" s="1">
        <v>0</v>
      </c>
      <c r="J1631" s="1">
        <v>0</v>
      </c>
      <c r="K1631">
        <v>0</v>
      </c>
      <c r="L1631">
        <v>1.29</v>
      </c>
      <c r="M1631">
        <v>1.33</v>
      </c>
      <c r="N1631" s="1">
        <v>10000000</v>
      </c>
      <c r="O1631">
        <v>1.29</v>
      </c>
      <c r="P1631">
        <v>2.2999999999999998</v>
      </c>
      <c r="Q1631">
        <v>0.28000000000000003</v>
      </c>
    </row>
    <row r="1632" spans="1:17" x14ac:dyDescent="0.25">
      <c r="A1632">
        <v>730556</v>
      </c>
      <c r="B1632" t="s">
        <v>2944</v>
      </c>
      <c r="C1632">
        <v>0.04</v>
      </c>
      <c r="D1632">
        <v>-0.02</v>
      </c>
      <c r="E1632">
        <v>0.04</v>
      </c>
      <c r="F1632">
        <v>0.04</v>
      </c>
      <c r="G1632">
        <v>0.04</v>
      </c>
      <c r="H1632">
        <v>0.04</v>
      </c>
      <c r="I1632" s="1">
        <v>80000</v>
      </c>
      <c r="J1632" s="1">
        <v>3200</v>
      </c>
      <c r="K1632">
        <v>1</v>
      </c>
      <c r="L1632">
        <v>0.04</v>
      </c>
      <c r="M1632">
        <v>0.05</v>
      </c>
      <c r="N1632" s="1">
        <v>5000000</v>
      </c>
      <c r="O1632">
        <v>0.04</v>
      </c>
      <c r="P1632">
        <v>0.87</v>
      </c>
      <c r="Q1632">
        <v>0.01</v>
      </c>
    </row>
    <row r="1633" spans="1:17" x14ac:dyDescent="0.25">
      <c r="A1633">
        <v>730557</v>
      </c>
      <c r="B1633" t="s">
        <v>2945</v>
      </c>
      <c r="C1633" t="s">
        <v>78</v>
      </c>
      <c r="D1633" t="s">
        <v>78</v>
      </c>
      <c r="E1633" t="s">
        <v>78</v>
      </c>
      <c r="F1633" t="s">
        <v>78</v>
      </c>
      <c r="G1633" t="s">
        <v>78</v>
      </c>
      <c r="H1633">
        <v>1.85</v>
      </c>
      <c r="I1633" s="1">
        <v>0</v>
      </c>
      <c r="J1633" s="1">
        <v>0</v>
      </c>
      <c r="K1633">
        <v>0</v>
      </c>
      <c r="L1633">
        <v>0.38</v>
      </c>
      <c r="M1633">
        <v>0.41</v>
      </c>
      <c r="N1633" s="1">
        <v>5000000</v>
      </c>
      <c r="O1633">
        <v>0.41</v>
      </c>
      <c r="P1633">
        <v>1.23</v>
      </c>
      <c r="Q1633">
        <v>0.01</v>
      </c>
    </row>
    <row r="1634" spans="1:17" x14ac:dyDescent="0.25">
      <c r="A1634">
        <v>730558</v>
      </c>
      <c r="B1634" t="s">
        <v>2946</v>
      </c>
      <c r="C1634">
        <v>0.39</v>
      </c>
      <c r="D1634">
        <v>-0.01</v>
      </c>
      <c r="E1634">
        <v>0.37</v>
      </c>
      <c r="F1634">
        <v>0.39</v>
      </c>
      <c r="G1634">
        <v>0.37</v>
      </c>
      <c r="H1634">
        <v>0.38</v>
      </c>
      <c r="I1634" s="1">
        <v>80000</v>
      </c>
      <c r="J1634" s="1">
        <v>30600</v>
      </c>
      <c r="K1634">
        <v>4</v>
      </c>
      <c r="L1634">
        <v>0.39</v>
      </c>
      <c r="M1634">
        <v>0.4</v>
      </c>
      <c r="N1634" s="1">
        <v>5000000</v>
      </c>
      <c r="O1634">
        <v>0.39</v>
      </c>
      <c r="P1634">
        <v>1.21</v>
      </c>
      <c r="Q1634">
        <v>0.01</v>
      </c>
    </row>
    <row r="1635" spans="1:17" x14ac:dyDescent="0.25">
      <c r="A1635">
        <v>730559</v>
      </c>
      <c r="B1635" t="s">
        <v>2947</v>
      </c>
      <c r="C1635" t="s">
        <v>78</v>
      </c>
      <c r="D1635" t="s">
        <v>78</v>
      </c>
      <c r="E1635" t="s">
        <v>78</v>
      </c>
      <c r="F1635" t="s">
        <v>78</v>
      </c>
      <c r="G1635" t="s">
        <v>78</v>
      </c>
      <c r="H1635">
        <v>0.03</v>
      </c>
      <c r="I1635" s="1">
        <v>0</v>
      </c>
      <c r="J1635" s="1">
        <v>0</v>
      </c>
      <c r="K1635">
        <v>0</v>
      </c>
      <c r="L1635">
        <v>0</v>
      </c>
      <c r="M1635">
        <v>0.02</v>
      </c>
      <c r="N1635" s="1">
        <v>5000000</v>
      </c>
      <c r="O1635">
        <v>0.02</v>
      </c>
      <c r="P1635">
        <v>0.85</v>
      </c>
      <c r="Q1635">
        <v>0.01</v>
      </c>
    </row>
    <row r="1636" spans="1:17" x14ac:dyDescent="0.25">
      <c r="A1636">
        <v>730560</v>
      </c>
      <c r="B1636" t="s">
        <v>2948</v>
      </c>
      <c r="C1636" t="s">
        <v>78</v>
      </c>
      <c r="D1636" t="s">
        <v>78</v>
      </c>
      <c r="E1636" t="s">
        <v>78</v>
      </c>
      <c r="F1636" t="s">
        <v>78</v>
      </c>
      <c r="G1636" t="s">
        <v>78</v>
      </c>
      <c r="H1636">
        <v>0.08</v>
      </c>
      <c r="I1636" s="1">
        <v>0</v>
      </c>
      <c r="J1636" s="1">
        <v>0</v>
      </c>
      <c r="K1636">
        <v>0</v>
      </c>
      <c r="L1636">
        <v>0</v>
      </c>
      <c r="M1636">
        <v>0.02</v>
      </c>
      <c r="N1636" s="1">
        <v>5000000</v>
      </c>
      <c r="O1636">
        <v>0.02</v>
      </c>
      <c r="P1636">
        <v>0.69</v>
      </c>
      <c r="Q1636">
        <v>0.01</v>
      </c>
    </row>
    <row r="1637" spans="1:17" x14ac:dyDescent="0.25">
      <c r="A1637">
        <v>730561</v>
      </c>
      <c r="B1637" t="s">
        <v>2949</v>
      </c>
      <c r="C1637" t="s">
        <v>78</v>
      </c>
      <c r="D1637" t="s">
        <v>78</v>
      </c>
      <c r="E1637" t="s">
        <v>78</v>
      </c>
      <c r="F1637" t="s">
        <v>78</v>
      </c>
      <c r="G1637" t="s">
        <v>78</v>
      </c>
      <c r="H1637">
        <v>0.14000000000000001</v>
      </c>
      <c r="I1637" s="1">
        <v>0</v>
      </c>
      <c r="J1637" s="1">
        <v>0</v>
      </c>
      <c r="K1637">
        <v>0</v>
      </c>
      <c r="L1637">
        <v>0</v>
      </c>
      <c r="M1637">
        <v>0.02</v>
      </c>
      <c r="N1637" s="1">
        <v>5000000</v>
      </c>
      <c r="O1637">
        <v>0.02</v>
      </c>
      <c r="P1637">
        <v>0.75</v>
      </c>
      <c r="Q1637">
        <v>0.01</v>
      </c>
    </row>
    <row r="1638" spans="1:17" x14ac:dyDescent="0.25">
      <c r="A1638">
        <v>730562</v>
      </c>
      <c r="B1638" t="s">
        <v>2950</v>
      </c>
      <c r="C1638">
        <v>5.2</v>
      </c>
      <c r="D1638">
        <v>0</v>
      </c>
      <c r="E1638">
        <v>5.2</v>
      </c>
      <c r="F1638">
        <v>5.2</v>
      </c>
      <c r="G1638">
        <v>5.15</v>
      </c>
      <c r="H1638">
        <v>5.19</v>
      </c>
      <c r="I1638" s="1">
        <v>50000</v>
      </c>
      <c r="J1638" s="1">
        <v>259600</v>
      </c>
      <c r="K1638">
        <v>6</v>
      </c>
      <c r="L1638">
        <v>5.2</v>
      </c>
      <c r="M1638">
        <v>5.25</v>
      </c>
      <c r="N1638" s="1">
        <v>10000000</v>
      </c>
      <c r="O1638">
        <v>5.2</v>
      </c>
      <c r="P1638">
        <v>6.65</v>
      </c>
      <c r="Q1638">
        <v>3.73</v>
      </c>
    </row>
    <row r="1639" spans="1:17" x14ac:dyDescent="0.25">
      <c r="A1639">
        <v>730563</v>
      </c>
      <c r="B1639" t="s">
        <v>2951</v>
      </c>
      <c r="C1639" t="s">
        <v>78</v>
      </c>
      <c r="D1639" t="s">
        <v>78</v>
      </c>
      <c r="E1639" t="s">
        <v>78</v>
      </c>
      <c r="F1639" t="s">
        <v>78</v>
      </c>
      <c r="G1639" t="s">
        <v>78</v>
      </c>
      <c r="H1639">
        <v>4.63</v>
      </c>
      <c r="I1639" s="1">
        <v>0</v>
      </c>
      <c r="J1639" s="1">
        <v>0</v>
      </c>
      <c r="K1639">
        <v>0</v>
      </c>
      <c r="L1639">
        <v>4.3600000000000003</v>
      </c>
      <c r="M1639">
        <v>4.46</v>
      </c>
      <c r="N1639" s="1">
        <v>5000000</v>
      </c>
      <c r="O1639">
        <v>4.3600000000000003</v>
      </c>
      <c r="P1639">
        <v>5.5</v>
      </c>
      <c r="Q1639">
        <v>3.22</v>
      </c>
    </row>
    <row r="1640" spans="1:17" x14ac:dyDescent="0.25">
      <c r="A1640">
        <v>730564</v>
      </c>
      <c r="B1640" t="s">
        <v>2952</v>
      </c>
      <c r="C1640" t="s">
        <v>78</v>
      </c>
      <c r="D1640" t="s">
        <v>78</v>
      </c>
      <c r="E1640" t="s">
        <v>78</v>
      </c>
      <c r="F1640" t="s">
        <v>78</v>
      </c>
      <c r="G1640" t="s">
        <v>78</v>
      </c>
      <c r="H1640">
        <v>4.0999999999999996</v>
      </c>
      <c r="I1640" s="1">
        <v>0</v>
      </c>
      <c r="J1640" s="1">
        <v>0</v>
      </c>
      <c r="K1640">
        <v>0</v>
      </c>
      <c r="L1640">
        <v>3.81</v>
      </c>
      <c r="M1640">
        <v>3.91</v>
      </c>
      <c r="N1640" s="1">
        <v>5000000</v>
      </c>
      <c r="O1640">
        <v>3.81</v>
      </c>
      <c r="P1640">
        <v>5.0999999999999996</v>
      </c>
      <c r="Q1640">
        <v>2.48</v>
      </c>
    </row>
    <row r="1641" spans="1:17" x14ac:dyDescent="0.25">
      <c r="A1641">
        <v>730565</v>
      </c>
      <c r="B1641" t="s">
        <v>2953</v>
      </c>
      <c r="C1641" t="s">
        <v>78</v>
      </c>
      <c r="D1641" t="s">
        <v>78</v>
      </c>
      <c r="E1641" t="s">
        <v>78</v>
      </c>
      <c r="F1641" t="s">
        <v>78</v>
      </c>
      <c r="G1641" t="s">
        <v>78</v>
      </c>
      <c r="H1641">
        <v>3.68</v>
      </c>
      <c r="I1641" s="1">
        <v>0</v>
      </c>
      <c r="J1641" s="1">
        <v>0</v>
      </c>
      <c r="K1641">
        <v>0</v>
      </c>
      <c r="L1641">
        <v>3.69</v>
      </c>
      <c r="M1641">
        <v>0</v>
      </c>
      <c r="N1641" s="1">
        <v>5000000</v>
      </c>
      <c r="O1641">
        <v>4.63</v>
      </c>
      <c r="P1641">
        <v>5.7</v>
      </c>
      <c r="Q1641">
        <v>3.53</v>
      </c>
    </row>
    <row r="1642" spans="1:17" x14ac:dyDescent="0.25">
      <c r="A1642">
        <v>730566</v>
      </c>
      <c r="B1642" t="s">
        <v>2954</v>
      </c>
      <c r="C1642" t="s">
        <v>78</v>
      </c>
      <c r="D1642" t="s">
        <v>78</v>
      </c>
      <c r="E1642" t="s">
        <v>78</v>
      </c>
      <c r="F1642" t="s">
        <v>78</v>
      </c>
      <c r="G1642" t="s">
        <v>78</v>
      </c>
      <c r="H1642">
        <v>3.03</v>
      </c>
      <c r="I1642" s="1">
        <v>0</v>
      </c>
      <c r="J1642" s="1">
        <v>0</v>
      </c>
      <c r="K1642">
        <v>0</v>
      </c>
      <c r="L1642">
        <v>2.77</v>
      </c>
      <c r="M1642">
        <v>0</v>
      </c>
      <c r="N1642" s="1">
        <v>5000000</v>
      </c>
      <c r="O1642">
        <v>3.67</v>
      </c>
      <c r="P1642">
        <v>4.7699999999999996</v>
      </c>
      <c r="Q1642">
        <v>2.57</v>
      </c>
    </row>
    <row r="1643" spans="1:17" x14ac:dyDescent="0.25">
      <c r="A1643">
        <v>730567</v>
      </c>
      <c r="B1643" t="s">
        <v>2955</v>
      </c>
      <c r="C1643" t="s">
        <v>78</v>
      </c>
      <c r="D1643" t="s">
        <v>78</v>
      </c>
      <c r="E1643" t="s">
        <v>78</v>
      </c>
      <c r="F1643" t="s">
        <v>78</v>
      </c>
      <c r="G1643" t="s">
        <v>78</v>
      </c>
      <c r="H1643">
        <v>14.15</v>
      </c>
      <c r="I1643" s="1">
        <v>0</v>
      </c>
      <c r="J1643" s="1">
        <v>0</v>
      </c>
      <c r="K1643">
        <v>0</v>
      </c>
      <c r="L1643">
        <v>9.75</v>
      </c>
      <c r="M1643">
        <v>0</v>
      </c>
      <c r="N1643" s="1">
        <v>5000000</v>
      </c>
      <c r="O1643">
        <v>9.75</v>
      </c>
      <c r="P1643">
        <v>11.3</v>
      </c>
      <c r="Q1643">
        <v>8.1</v>
      </c>
    </row>
    <row r="1644" spans="1:17" x14ac:dyDescent="0.25">
      <c r="A1644">
        <v>730568</v>
      </c>
      <c r="B1644" t="s">
        <v>2956</v>
      </c>
      <c r="C1644" t="s">
        <v>78</v>
      </c>
      <c r="D1644" t="s">
        <v>78</v>
      </c>
      <c r="E1644" t="s">
        <v>78</v>
      </c>
      <c r="F1644" t="s">
        <v>78</v>
      </c>
      <c r="G1644" t="s">
        <v>78</v>
      </c>
      <c r="H1644">
        <v>7.4</v>
      </c>
      <c r="I1644" s="1">
        <v>0</v>
      </c>
      <c r="J1644" s="1">
        <v>0</v>
      </c>
      <c r="K1644">
        <v>0</v>
      </c>
      <c r="L1644">
        <v>8.8000000000000007</v>
      </c>
      <c r="M1644">
        <v>0</v>
      </c>
      <c r="N1644" s="1">
        <v>5000000</v>
      </c>
      <c r="O1644">
        <v>8.8000000000000007</v>
      </c>
      <c r="P1644">
        <v>10.3</v>
      </c>
      <c r="Q1644">
        <v>7.15</v>
      </c>
    </row>
    <row r="1645" spans="1:17" x14ac:dyDescent="0.25">
      <c r="A1645">
        <v>730569</v>
      </c>
      <c r="B1645" t="s">
        <v>2957</v>
      </c>
      <c r="C1645" t="s">
        <v>78</v>
      </c>
      <c r="D1645" t="s">
        <v>78</v>
      </c>
      <c r="E1645" t="s">
        <v>78</v>
      </c>
      <c r="F1645" t="s">
        <v>78</v>
      </c>
      <c r="G1645" t="s">
        <v>78</v>
      </c>
      <c r="H1645">
        <v>3.05</v>
      </c>
      <c r="I1645" s="1">
        <v>0</v>
      </c>
      <c r="J1645" s="1">
        <v>0</v>
      </c>
      <c r="K1645">
        <v>0</v>
      </c>
      <c r="L1645">
        <v>1.87</v>
      </c>
      <c r="M1645">
        <v>1.94</v>
      </c>
      <c r="N1645" s="1">
        <v>3000000</v>
      </c>
      <c r="O1645">
        <v>1.94</v>
      </c>
      <c r="P1645">
        <v>2.82</v>
      </c>
      <c r="Q1645">
        <v>1.06</v>
      </c>
    </row>
    <row r="1646" spans="1:17" x14ac:dyDescent="0.25">
      <c r="A1646">
        <v>730570</v>
      </c>
      <c r="B1646" t="s">
        <v>2958</v>
      </c>
      <c r="C1646" t="s">
        <v>78</v>
      </c>
      <c r="D1646" t="s">
        <v>78</v>
      </c>
      <c r="E1646" t="s">
        <v>78</v>
      </c>
      <c r="F1646" t="s">
        <v>78</v>
      </c>
      <c r="G1646" t="s">
        <v>78</v>
      </c>
      <c r="H1646">
        <v>0.15</v>
      </c>
      <c r="I1646" s="1">
        <v>0</v>
      </c>
      <c r="J1646" s="1">
        <v>0</v>
      </c>
      <c r="K1646">
        <v>0</v>
      </c>
      <c r="L1646">
        <v>0.02</v>
      </c>
      <c r="M1646">
        <v>0.04</v>
      </c>
      <c r="N1646" s="1">
        <v>10000000</v>
      </c>
      <c r="O1646">
        <v>0.04</v>
      </c>
      <c r="P1646">
        <v>0.56999999999999995</v>
      </c>
      <c r="Q1646">
        <v>0.01</v>
      </c>
    </row>
    <row r="1647" spans="1:17" x14ac:dyDescent="0.25">
      <c r="A1647">
        <v>730571</v>
      </c>
      <c r="B1647" t="s">
        <v>2959</v>
      </c>
      <c r="C1647" t="s">
        <v>78</v>
      </c>
      <c r="D1647" t="s">
        <v>78</v>
      </c>
      <c r="E1647" t="s">
        <v>78</v>
      </c>
      <c r="F1647" t="s">
        <v>78</v>
      </c>
      <c r="G1647" t="s">
        <v>78</v>
      </c>
      <c r="H1647">
        <v>0.69</v>
      </c>
      <c r="I1647" s="1">
        <v>0</v>
      </c>
      <c r="J1647" s="1">
        <v>0</v>
      </c>
      <c r="K1647">
        <v>0</v>
      </c>
      <c r="L1647">
        <v>0.5</v>
      </c>
      <c r="M1647">
        <v>0.53</v>
      </c>
      <c r="N1647" s="1">
        <v>5000000</v>
      </c>
      <c r="O1647">
        <v>0.53</v>
      </c>
      <c r="P1647">
        <v>1.57</v>
      </c>
      <c r="Q1647">
        <v>0.01</v>
      </c>
    </row>
    <row r="1648" spans="1:17" x14ac:dyDescent="0.25">
      <c r="A1648">
        <v>730572</v>
      </c>
      <c r="B1648" t="s">
        <v>2960</v>
      </c>
      <c r="C1648" t="s">
        <v>78</v>
      </c>
      <c r="D1648" t="s">
        <v>78</v>
      </c>
      <c r="E1648" t="s">
        <v>78</v>
      </c>
      <c r="F1648" t="s">
        <v>78</v>
      </c>
      <c r="G1648" t="s">
        <v>78</v>
      </c>
      <c r="H1648">
        <v>0.57999999999999996</v>
      </c>
      <c r="I1648" s="1">
        <v>0</v>
      </c>
      <c r="J1648" s="1">
        <v>0</v>
      </c>
      <c r="K1648">
        <v>0</v>
      </c>
      <c r="L1648">
        <v>0.3</v>
      </c>
      <c r="M1648">
        <v>0.31</v>
      </c>
      <c r="N1648" s="1">
        <v>5000000</v>
      </c>
      <c r="O1648">
        <v>0.31</v>
      </c>
      <c r="P1648">
        <v>1.0900000000000001</v>
      </c>
      <c r="Q1648">
        <v>0.01</v>
      </c>
    </row>
    <row r="1649" spans="1:17" x14ac:dyDescent="0.25">
      <c r="A1649">
        <v>730573</v>
      </c>
      <c r="B1649" t="s">
        <v>2961</v>
      </c>
      <c r="C1649" t="s">
        <v>78</v>
      </c>
      <c r="D1649" t="s">
        <v>78</v>
      </c>
      <c r="E1649" t="s">
        <v>78</v>
      </c>
      <c r="F1649" t="s">
        <v>78</v>
      </c>
      <c r="G1649" t="s">
        <v>78</v>
      </c>
      <c r="H1649">
        <v>0.33</v>
      </c>
      <c r="I1649" s="1">
        <v>0</v>
      </c>
      <c r="J1649" s="1">
        <v>0</v>
      </c>
      <c r="K1649">
        <v>0</v>
      </c>
      <c r="L1649">
        <v>0.28999999999999998</v>
      </c>
      <c r="M1649">
        <v>0.3</v>
      </c>
      <c r="N1649" s="1">
        <v>5000000</v>
      </c>
      <c r="O1649">
        <v>0.3</v>
      </c>
      <c r="P1649">
        <v>1.08</v>
      </c>
      <c r="Q1649">
        <v>0.01</v>
      </c>
    </row>
    <row r="1650" spans="1:17" x14ac:dyDescent="0.25">
      <c r="A1650">
        <v>730574</v>
      </c>
      <c r="B1650" t="s">
        <v>2962</v>
      </c>
      <c r="C1650" t="s">
        <v>78</v>
      </c>
      <c r="D1650" t="s">
        <v>78</v>
      </c>
      <c r="E1650" t="s">
        <v>78</v>
      </c>
      <c r="F1650" t="s">
        <v>78</v>
      </c>
      <c r="G1650" t="s">
        <v>78</v>
      </c>
      <c r="H1650">
        <v>0.32</v>
      </c>
      <c r="I1650" s="1">
        <v>0</v>
      </c>
      <c r="J1650" s="1">
        <v>0</v>
      </c>
      <c r="K1650">
        <v>0</v>
      </c>
      <c r="L1650">
        <v>0.31</v>
      </c>
      <c r="M1650">
        <v>0.32</v>
      </c>
      <c r="N1650" s="1">
        <v>10000000</v>
      </c>
      <c r="O1650">
        <v>0.32</v>
      </c>
      <c r="P1650">
        <v>0.69</v>
      </c>
      <c r="Q1650">
        <v>0.01</v>
      </c>
    </row>
    <row r="1651" spans="1:17" x14ac:dyDescent="0.25">
      <c r="A1651">
        <v>730575</v>
      </c>
      <c r="B1651" t="s">
        <v>2963</v>
      </c>
      <c r="C1651" t="s">
        <v>78</v>
      </c>
      <c r="D1651" t="s">
        <v>78</v>
      </c>
      <c r="E1651" t="s">
        <v>78</v>
      </c>
      <c r="F1651" t="s">
        <v>78</v>
      </c>
      <c r="G1651" t="s">
        <v>78</v>
      </c>
      <c r="H1651">
        <v>1.28</v>
      </c>
      <c r="I1651" s="1">
        <v>0</v>
      </c>
      <c r="J1651" s="1">
        <v>0</v>
      </c>
      <c r="K1651">
        <v>0</v>
      </c>
      <c r="L1651">
        <v>0.86</v>
      </c>
      <c r="M1651">
        <v>0.93</v>
      </c>
      <c r="N1651" s="1">
        <v>5000000</v>
      </c>
      <c r="O1651">
        <v>0.86</v>
      </c>
      <c r="P1651">
        <v>2</v>
      </c>
      <c r="Q1651">
        <v>0.01</v>
      </c>
    </row>
    <row r="1652" spans="1:17" x14ac:dyDescent="0.25">
      <c r="A1652">
        <v>730576</v>
      </c>
      <c r="B1652" t="s">
        <v>2964</v>
      </c>
      <c r="C1652" t="s">
        <v>78</v>
      </c>
      <c r="D1652" t="s">
        <v>78</v>
      </c>
      <c r="E1652" t="s">
        <v>78</v>
      </c>
      <c r="F1652" t="s">
        <v>78</v>
      </c>
      <c r="G1652" t="s">
        <v>78</v>
      </c>
      <c r="H1652">
        <v>0.71</v>
      </c>
      <c r="I1652" s="1">
        <v>0</v>
      </c>
      <c r="J1652" s="1">
        <v>0</v>
      </c>
      <c r="K1652">
        <v>0</v>
      </c>
      <c r="L1652">
        <v>0.44</v>
      </c>
      <c r="M1652">
        <v>0.54</v>
      </c>
      <c r="N1652" s="1">
        <v>5000000</v>
      </c>
      <c r="O1652">
        <v>0.48</v>
      </c>
      <c r="P1652">
        <v>0.94</v>
      </c>
      <c r="Q1652">
        <v>0.02</v>
      </c>
    </row>
    <row r="1653" spans="1:17" x14ac:dyDescent="0.25">
      <c r="A1653">
        <v>730577</v>
      </c>
      <c r="B1653" t="s">
        <v>2965</v>
      </c>
      <c r="C1653">
        <v>2.9</v>
      </c>
      <c r="D1653">
        <v>0.1</v>
      </c>
      <c r="E1653">
        <v>2.78</v>
      </c>
      <c r="F1653">
        <v>2.9</v>
      </c>
      <c r="G1653">
        <v>2.76</v>
      </c>
      <c r="H1653">
        <v>2.82</v>
      </c>
      <c r="I1653" s="1">
        <v>36000</v>
      </c>
      <c r="J1653" s="1">
        <v>101600</v>
      </c>
      <c r="K1653">
        <v>4</v>
      </c>
      <c r="L1653">
        <v>2.87</v>
      </c>
      <c r="M1653">
        <v>2.9</v>
      </c>
      <c r="N1653" s="1">
        <v>5000000</v>
      </c>
      <c r="O1653">
        <v>2.9</v>
      </c>
      <c r="P1653">
        <v>4.5999999999999996</v>
      </c>
      <c r="Q1653">
        <v>1.2</v>
      </c>
    </row>
    <row r="1654" spans="1:17" x14ac:dyDescent="0.25">
      <c r="A1654">
        <v>730578</v>
      </c>
      <c r="B1654" t="s">
        <v>2966</v>
      </c>
      <c r="C1654">
        <v>0.55000000000000004</v>
      </c>
      <c r="D1654">
        <v>-0.08</v>
      </c>
      <c r="E1654">
        <v>0.64</v>
      </c>
      <c r="F1654">
        <v>0.65</v>
      </c>
      <c r="G1654">
        <v>0.55000000000000004</v>
      </c>
      <c r="H1654">
        <v>0.57999999999999996</v>
      </c>
      <c r="I1654" s="1">
        <v>305000</v>
      </c>
      <c r="J1654" s="1">
        <v>175650</v>
      </c>
      <c r="K1654">
        <v>10</v>
      </c>
      <c r="L1654">
        <v>0.64</v>
      </c>
      <c r="M1654">
        <v>0.65</v>
      </c>
      <c r="N1654" s="1">
        <v>5000000</v>
      </c>
      <c r="O1654">
        <v>0.55000000000000004</v>
      </c>
      <c r="P1654">
        <v>1.82</v>
      </c>
      <c r="Q1654">
        <v>0.01</v>
      </c>
    </row>
    <row r="1655" spans="1:17" x14ac:dyDescent="0.25">
      <c r="A1655">
        <v>730579</v>
      </c>
      <c r="B1655" t="s">
        <v>2967</v>
      </c>
      <c r="C1655">
        <v>0.82</v>
      </c>
      <c r="D1655">
        <v>-0.04</v>
      </c>
      <c r="E1655">
        <v>0.86</v>
      </c>
      <c r="F1655">
        <v>0.86</v>
      </c>
      <c r="G1655">
        <v>0.79</v>
      </c>
      <c r="H1655">
        <v>0.82</v>
      </c>
      <c r="I1655" s="1">
        <v>1173000</v>
      </c>
      <c r="J1655" s="1">
        <v>963850</v>
      </c>
      <c r="K1655">
        <v>25</v>
      </c>
      <c r="L1655">
        <v>0.81</v>
      </c>
      <c r="M1655">
        <v>0.83</v>
      </c>
      <c r="N1655" s="1">
        <v>10000000</v>
      </c>
      <c r="O1655">
        <v>0.82</v>
      </c>
      <c r="P1655">
        <v>1.63</v>
      </c>
      <c r="Q1655">
        <v>0.01</v>
      </c>
    </row>
    <row r="1656" spans="1:17" x14ac:dyDescent="0.25">
      <c r="A1656">
        <v>730580</v>
      </c>
      <c r="B1656" t="s">
        <v>2968</v>
      </c>
      <c r="C1656" t="s">
        <v>78</v>
      </c>
      <c r="D1656" t="s">
        <v>78</v>
      </c>
      <c r="E1656" t="s">
        <v>78</v>
      </c>
      <c r="F1656" t="s">
        <v>78</v>
      </c>
      <c r="G1656" t="s">
        <v>78</v>
      </c>
      <c r="H1656">
        <v>6.25</v>
      </c>
      <c r="I1656" s="1">
        <v>0</v>
      </c>
      <c r="J1656" s="1">
        <v>0</v>
      </c>
      <c r="K1656">
        <v>0</v>
      </c>
      <c r="L1656">
        <v>7.4</v>
      </c>
      <c r="M1656">
        <v>7.6</v>
      </c>
      <c r="N1656" s="1">
        <v>10000000</v>
      </c>
      <c r="O1656">
        <v>7.6</v>
      </c>
      <c r="P1656">
        <v>9.1</v>
      </c>
      <c r="Q1656">
        <v>6.1</v>
      </c>
    </row>
    <row r="1657" spans="1:17" x14ac:dyDescent="0.25">
      <c r="A1657">
        <v>730581</v>
      </c>
      <c r="B1657" t="s">
        <v>2969</v>
      </c>
      <c r="C1657" t="s">
        <v>78</v>
      </c>
      <c r="D1657" t="s">
        <v>78</v>
      </c>
      <c r="E1657" t="s">
        <v>78</v>
      </c>
      <c r="F1657" t="s">
        <v>78</v>
      </c>
      <c r="G1657" t="s">
        <v>78</v>
      </c>
      <c r="H1657">
        <v>0.21</v>
      </c>
      <c r="I1657" s="1">
        <v>0</v>
      </c>
      <c r="J1657" s="1">
        <v>0</v>
      </c>
      <c r="K1657">
        <v>0</v>
      </c>
      <c r="L1657">
        <v>0.2</v>
      </c>
      <c r="M1657">
        <v>0.21</v>
      </c>
      <c r="N1657" s="1">
        <v>10000000</v>
      </c>
      <c r="O1657">
        <v>0.2</v>
      </c>
      <c r="P1657">
        <v>0.38</v>
      </c>
      <c r="Q1657">
        <v>0.02</v>
      </c>
    </row>
    <row r="1658" spans="1:17" x14ac:dyDescent="0.25">
      <c r="A1658">
        <v>730582</v>
      </c>
      <c r="B1658" t="s">
        <v>2970</v>
      </c>
      <c r="C1658" t="s">
        <v>78</v>
      </c>
      <c r="D1658" t="s">
        <v>78</v>
      </c>
      <c r="E1658" t="s">
        <v>78</v>
      </c>
      <c r="F1658" t="s">
        <v>78</v>
      </c>
      <c r="G1658" t="s">
        <v>78</v>
      </c>
      <c r="H1658">
        <v>4.9400000000000004</v>
      </c>
      <c r="I1658" s="1">
        <v>0</v>
      </c>
      <c r="J1658" s="1">
        <v>0</v>
      </c>
      <c r="K1658">
        <v>0</v>
      </c>
      <c r="L1658">
        <v>5.8</v>
      </c>
      <c r="M1658">
        <v>5.85</v>
      </c>
      <c r="N1658" s="1">
        <v>5000000</v>
      </c>
      <c r="O1658">
        <v>5.85</v>
      </c>
      <c r="P1658">
        <v>7.2</v>
      </c>
      <c r="Q1658">
        <v>4.47</v>
      </c>
    </row>
    <row r="1659" spans="1:17" x14ac:dyDescent="0.25">
      <c r="A1659">
        <v>730583</v>
      </c>
      <c r="B1659" t="s">
        <v>2971</v>
      </c>
      <c r="C1659" t="s">
        <v>78</v>
      </c>
      <c r="D1659" t="s">
        <v>78</v>
      </c>
      <c r="E1659" t="s">
        <v>78</v>
      </c>
      <c r="F1659" t="s">
        <v>78</v>
      </c>
      <c r="G1659" t="s">
        <v>78</v>
      </c>
      <c r="H1659">
        <v>4.57</v>
      </c>
      <c r="I1659" s="1">
        <v>0</v>
      </c>
      <c r="J1659" s="1">
        <v>0</v>
      </c>
      <c r="K1659">
        <v>0</v>
      </c>
      <c r="L1659">
        <v>4.2300000000000004</v>
      </c>
      <c r="M1659">
        <v>4.33</v>
      </c>
      <c r="N1659" s="1">
        <v>10000000</v>
      </c>
      <c r="O1659">
        <v>4.33</v>
      </c>
      <c r="P1659">
        <v>5.85</v>
      </c>
      <c r="Q1659">
        <v>2.79</v>
      </c>
    </row>
    <row r="1660" spans="1:17" x14ac:dyDescent="0.25">
      <c r="A1660">
        <v>730584</v>
      </c>
      <c r="B1660" t="s">
        <v>2972</v>
      </c>
      <c r="C1660" t="s">
        <v>78</v>
      </c>
      <c r="D1660" t="s">
        <v>78</v>
      </c>
      <c r="E1660" t="s">
        <v>78</v>
      </c>
      <c r="F1660" t="s">
        <v>78</v>
      </c>
      <c r="G1660" t="s">
        <v>78</v>
      </c>
      <c r="H1660">
        <v>0.44</v>
      </c>
      <c r="I1660" s="1">
        <v>0</v>
      </c>
      <c r="J1660" s="1">
        <v>0</v>
      </c>
      <c r="K1660">
        <v>0</v>
      </c>
      <c r="L1660">
        <v>0.36</v>
      </c>
      <c r="M1660">
        <v>0.39</v>
      </c>
      <c r="N1660" s="1">
        <v>10000000</v>
      </c>
      <c r="O1660">
        <v>0.39</v>
      </c>
      <c r="P1660">
        <v>1.02</v>
      </c>
      <c r="Q1660">
        <v>0.01</v>
      </c>
    </row>
    <row r="1661" spans="1:17" x14ac:dyDescent="0.25">
      <c r="A1661">
        <v>730585</v>
      </c>
      <c r="B1661" t="s">
        <v>2973</v>
      </c>
      <c r="C1661" t="s">
        <v>78</v>
      </c>
      <c r="D1661" t="s">
        <v>78</v>
      </c>
      <c r="E1661" t="s">
        <v>78</v>
      </c>
      <c r="F1661" t="s">
        <v>78</v>
      </c>
      <c r="G1661" t="s">
        <v>78</v>
      </c>
      <c r="H1661">
        <v>0.13</v>
      </c>
      <c r="I1661" s="1">
        <v>0</v>
      </c>
      <c r="J1661" s="1">
        <v>0</v>
      </c>
      <c r="K1661">
        <v>0</v>
      </c>
      <c r="L1661">
        <v>0</v>
      </c>
      <c r="M1661">
        <v>0.01</v>
      </c>
      <c r="N1661" s="1">
        <v>10000000</v>
      </c>
      <c r="O1661">
        <v>0.01</v>
      </c>
      <c r="P1661">
        <v>0.99</v>
      </c>
      <c r="Q1661">
        <v>0.01</v>
      </c>
    </row>
    <row r="1662" spans="1:17" x14ac:dyDescent="0.25">
      <c r="A1662">
        <v>730586</v>
      </c>
      <c r="B1662" t="s">
        <v>2974</v>
      </c>
      <c r="C1662" t="s">
        <v>78</v>
      </c>
      <c r="D1662" t="s">
        <v>78</v>
      </c>
      <c r="E1662" t="s">
        <v>78</v>
      </c>
      <c r="F1662" t="s">
        <v>78</v>
      </c>
      <c r="G1662" t="s">
        <v>78</v>
      </c>
      <c r="H1662">
        <v>0.4</v>
      </c>
      <c r="I1662" s="1">
        <v>0</v>
      </c>
      <c r="J1662" s="1">
        <v>0</v>
      </c>
      <c r="K1662">
        <v>0</v>
      </c>
      <c r="L1662">
        <v>0</v>
      </c>
      <c r="M1662">
        <v>0.01</v>
      </c>
      <c r="N1662" s="1">
        <v>5000000</v>
      </c>
      <c r="O1662">
        <v>0.01</v>
      </c>
      <c r="P1662">
        <v>0.4</v>
      </c>
      <c r="Q1662">
        <v>0.01</v>
      </c>
    </row>
    <row r="1663" spans="1:17" x14ac:dyDescent="0.25">
      <c r="A1663">
        <v>730587</v>
      </c>
      <c r="B1663" t="s">
        <v>2975</v>
      </c>
      <c r="C1663" t="s">
        <v>78</v>
      </c>
      <c r="D1663" t="s">
        <v>78</v>
      </c>
      <c r="E1663" t="s">
        <v>78</v>
      </c>
      <c r="F1663" t="s">
        <v>78</v>
      </c>
      <c r="G1663" t="s">
        <v>78</v>
      </c>
      <c r="H1663">
        <v>3.57</v>
      </c>
      <c r="I1663" s="1">
        <v>0</v>
      </c>
      <c r="J1663" s="1">
        <v>0</v>
      </c>
      <c r="K1663">
        <v>0</v>
      </c>
      <c r="L1663">
        <v>3.67</v>
      </c>
      <c r="M1663">
        <v>3.75</v>
      </c>
      <c r="N1663" s="1">
        <v>10000000</v>
      </c>
      <c r="O1663">
        <v>3.67</v>
      </c>
      <c r="P1663">
        <v>4.66</v>
      </c>
      <c r="Q1663">
        <v>2.68</v>
      </c>
    </row>
    <row r="1664" spans="1:17" x14ac:dyDescent="0.25">
      <c r="A1664">
        <v>730588</v>
      </c>
      <c r="B1664" t="s">
        <v>2976</v>
      </c>
      <c r="C1664" t="s">
        <v>78</v>
      </c>
      <c r="D1664" t="s">
        <v>78</v>
      </c>
      <c r="E1664" t="s">
        <v>78</v>
      </c>
      <c r="F1664" t="s">
        <v>78</v>
      </c>
      <c r="G1664" t="s">
        <v>78</v>
      </c>
      <c r="H1664">
        <v>4.54</v>
      </c>
      <c r="I1664" s="1">
        <v>0</v>
      </c>
      <c r="J1664" s="1">
        <v>0</v>
      </c>
      <c r="K1664">
        <v>0</v>
      </c>
      <c r="L1664">
        <v>4.54</v>
      </c>
      <c r="M1664">
        <v>4.63</v>
      </c>
      <c r="N1664" s="1">
        <v>15000000</v>
      </c>
      <c r="O1664">
        <v>4.63</v>
      </c>
      <c r="P1664">
        <v>5.6</v>
      </c>
      <c r="Q1664">
        <v>3.65</v>
      </c>
    </row>
    <row r="1665" spans="1:17" x14ac:dyDescent="0.25">
      <c r="A1665">
        <v>730589</v>
      </c>
      <c r="B1665" t="s">
        <v>2977</v>
      </c>
      <c r="C1665" t="s">
        <v>78</v>
      </c>
      <c r="D1665" t="s">
        <v>78</v>
      </c>
      <c r="E1665" t="s">
        <v>78</v>
      </c>
      <c r="F1665" t="s">
        <v>78</v>
      </c>
      <c r="G1665" t="s">
        <v>78</v>
      </c>
      <c r="H1665">
        <v>0.03</v>
      </c>
      <c r="I1665" s="1">
        <v>0</v>
      </c>
      <c r="J1665" s="1">
        <v>0</v>
      </c>
      <c r="K1665">
        <v>0</v>
      </c>
      <c r="L1665">
        <v>0.02</v>
      </c>
      <c r="M1665">
        <v>0.03</v>
      </c>
      <c r="N1665" s="1">
        <v>10000000</v>
      </c>
      <c r="O1665">
        <v>0.03</v>
      </c>
      <c r="P1665">
        <v>0.51</v>
      </c>
      <c r="Q1665">
        <v>0.01</v>
      </c>
    </row>
    <row r="1666" spans="1:17" x14ac:dyDescent="0.25">
      <c r="A1666">
        <v>730590</v>
      </c>
      <c r="B1666" t="s">
        <v>2978</v>
      </c>
      <c r="C1666" t="s">
        <v>78</v>
      </c>
      <c r="D1666" t="s">
        <v>78</v>
      </c>
      <c r="E1666" t="s">
        <v>78</v>
      </c>
      <c r="F1666" t="s">
        <v>78</v>
      </c>
      <c r="G1666" t="s">
        <v>78</v>
      </c>
      <c r="H1666">
        <v>0.17</v>
      </c>
      <c r="I1666" s="1">
        <v>0</v>
      </c>
      <c r="J1666" s="1">
        <v>0</v>
      </c>
      <c r="K1666">
        <v>0</v>
      </c>
      <c r="L1666">
        <v>0.03</v>
      </c>
      <c r="M1666">
        <v>0.1</v>
      </c>
      <c r="N1666" s="1">
        <v>10000000</v>
      </c>
      <c r="O1666">
        <v>0.1</v>
      </c>
      <c r="P1666">
        <v>1.05</v>
      </c>
      <c r="Q1666">
        <v>0.01</v>
      </c>
    </row>
    <row r="1667" spans="1:17" x14ac:dyDescent="0.25">
      <c r="A1667">
        <v>730591</v>
      </c>
      <c r="B1667" t="s">
        <v>2979</v>
      </c>
      <c r="C1667" t="s">
        <v>78</v>
      </c>
      <c r="D1667" t="s">
        <v>78</v>
      </c>
      <c r="E1667" t="s">
        <v>78</v>
      </c>
      <c r="F1667" t="s">
        <v>78</v>
      </c>
      <c r="G1667" t="s">
        <v>78</v>
      </c>
      <c r="H1667">
        <v>6.2</v>
      </c>
      <c r="I1667" s="1">
        <v>0</v>
      </c>
      <c r="J1667" s="1">
        <v>0</v>
      </c>
      <c r="K1667">
        <v>0</v>
      </c>
      <c r="L1667">
        <v>9.9</v>
      </c>
      <c r="M1667">
        <v>10.8</v>
      </c>
      <c r="N1667" s="1">
        <v>10000000</v>
      </c>
      <c r="O1667">
        <v>9.9</v>
      </c>
      <c r="P1667">
        <v>11.6</v>
      </c>
      <c r="Q1667">
        <v>8.1999999999999993</v>
      </c>
    </row>
    <row r="1668" spans="1:17" x14ac:dyDescent="0.25">
      <c r="A1668">
        <v>730592</v>
      </c>
      <c r="B1668" t="s">
        <v>2980</v>
      </c>
      <c r="C1668" t="s">
        <v>78</v>
      </c>
      <c r="D1668" t="s">
        <v>78</v>
      </c>
      <c r="E1668" t="s">
        <v>78</v>
      </c>
      <c r="F1668" t="s">
        <v>78</v>
      </c>
      <c r="G1668" t="s">
        <v>78</v>
      </c>
      <c r="H1668">
        <v>0.04</v>
      </c>
      <c r="I1668" s="1">
        <v>0</v>
      </c>
      <c r="J1668" s="1">
        <v>0</v>
      </c>
      <c r="K1668">
        <v>0</v>
      </c>
      <c r="L1668">
        <v>0.01</v>
      </c>
      <c r="M1668">
        <v>0.1</v>
      </c>
      <c r="N1668" s="1">
        <v>5000000</v>
      </c>
      <c r="O1668">
        <v>0.04</v>
      </c>
      <c r="P1668">
        <v>0.59</v>
      </c>
      <c r="Q1668">
        <v>0.01</v>
      </c>
    </row>
    <row r="1669" spans="1:17" x14ac:dyDescent="0.25">
      <c r="A1669">
        <v>730593</v>
      </c>
      <c r="B1669" t="s">
        <v>2981</v>
      </c>
      <c r="C1669" t="s">
        <v>78</v>
      </c>
      <c r="D1669" t="s">
        <v>78</v>
      </c>
      <c r="E1669" t="s">
        <v>78</v>
      </c>
      <c r="F1669" t="s">
        <v>78</v>
      </c>
      <c r="G1669" t="s">
        <v>78</v>
      </c>
      <c r="H1669">
        <v>4.96</v>
      </c>
      <c r="I1669" s="1">
        <v>0</v>
      </c>
      <c r="J1669" s="1">
        <v>0</v>
      </c>
      <c r="K1669">
        <v>0</v>
      </c>
      <c r="L1669">
        <v>3.38</v>
      </c>
      <c r="M1669">
        <v>3.48</v>
      </c>
      <c r="N1669" s="1">
        <v>5000000</v>
      </c>
      <c r="O1669">
        <v>3.38</v>
      </c>
      <c r="P1669">
        <v>4.26</v>
      </c>
      <c r="Q1669">
        <v>2.5</v>
      </c>
    </row>
    <row r="1670" spans="1:17" x14ac:dyDescent="0.25">
      <c r="A1670">
        <v>730594</v>
      </c>
      <c r="B1670" t="s">
        <v>2982</v>
      </c>
      <c r="C1670" t="s">
        <v>78</v>
      </c>
      <c r="D1670" t="s">
        <v>78</v>
      </c>
      <c r="E1670" t="s">
        <v>78</v>
      </c>
      <c r="F1670" t="s">
        <v>78</v>
      </c>
      <c r="G1670" t="s">
        <v>78</v>
      </c>
      <c r="H1670">
        <v>0.04</v>
      </c>
      <c r="I1670" s="1">
        <v>0</v>
      </c>
      <c r="J1670" s="1">
        <v>0</v>
      </c>
      <c r="K1670">
        <v>0</v>
      </c>
      <c r="L1670">
        <v>0</v>
      </c>
      <c r="M1670">
        <v>0.03</v>
      </c>
      <c r="N1670" s="1">
        <v>7000000</v>
      </c>
      <c r="O1670">
        <v>0.03</v>
      </c>
      <c r="P1670">
        <v>0.78</v>
      </c>
      <c r="Q1670">
        <v>0.01</v>
      </c>
    </row>
    <row r="1671" spans="1:17" x14ac:dyDescent="0.25">
      <c r="A1671">
        <v>730595</v>
      </c>
      <c r="B1671" t="s">
        <v>2983</v>
      </c>
      <c r="C1671">
        <v>0.4</v>
      </c>
      <c r="D1671">
        <v>0</v>
      </c>
      <c r="E1671">
        <v>0.42</v>
      </c>
      <c r="F1671">
        <v>0.42</v>
      </c>
      <c r="G1671">
        <v>0.4</v>
      </c>
      <c r="H1671">
        <v>0.41</v>
      </c>
      <c r="I1671" s="1">
        <v>15000</v>
      </c>
      <c r="J1671" s="1">
        <v>6100</v>
      </c>
      <c r="K1671">
        <v>2</v>
      </c>
      <c r="L1671">
        <v>0.39</v>
      </c>
      <c r="M1671">
        <v>0.4</v>
      </c>
      <c r="N1671" s="1">
        <v>5000000</v>
      </c>
      <c r="O1671">
        <v>0.4</v>
      </c>
      <c r="P1671">
        <v>0.84</v>
      </c>
      <c r="Q1671">
        <v>0.01</v>
      </c>
    </row>
    <row r="1672" spans="1:17" x14ac:dyDescent="0.25">
      <c r="A1672">
        <v>730596</v>
      </c>
      <c r="B1672" t="s">
        <v>2984</v>
      </c>
      <c r="C1672">
        <v>0.45</v>
      </c>
      <c r="D1672">
        <v>-0.05</v>
      </c>
      <c r="E1672">
        <v>0.5</v>
      </c>
      <c r="F1672">
        <v>0.5</v>
      </c>
      <c r="G1672">
        <v>0.45</v>
      </c>
      <c r="H1672">
        <v>0.48</v>
      </c>
      <c r="I1672" s="1">
        <v>1514000</v>
      </c>
      <c r="J1672" s="1">
        <v>721260</v>
      </c>
      <c r="K1672">
        <v>50</v>
      </c>
      <c r="L1672">
        <v>0.45</v>
      </c>
      <c r="M1672">
        <v>0.46</v>
      </c>
      <c r="N1672" s="1">
        <v>5000000</v>
      </c>
      <c r="O1672">
        <v>0.45</v>
      </c>
      <c r="P1672">
        <v>0.97</v>
      </c>
      <c r="Q1672">
        <v>0.01</v>
      </c>
    </row>
    <row r="1673" spans="1:17" x14ac:dyDescent="0.25">
      <c r="A1673">
        <v>730597</v>
      </c>
      <c r="B1673" t="s">
        <v>2985</v>
      </c>
      <c r="C1673">
        <v>0.34</v>
      </c>
      <c r="D1673">
        <v>-0.04</v>
      </c>
      <c r="E1673">
        <v>0.38</v>
      </c>
      <c r="F1673">
        <v>0.38</v>
      </c>
      <c r="G1673">
        <v>0.34</v>
      </c>
      <c r="H1673">
        <v>0.36</v>
      </c>
      <c r="I1673" s="1">
        <v>640000</v>
      </c>
      <c r="J1673" s="1">
        <v>230000</v>
      </c>
      <c r="K1673">
        <v>7</v>
      </c>
      <c r="L1673">
        <v>0.34</v>
      </c>
      <c r="M1673">
        <v>0.35</v>
      </c>
      <c r="N1673" s="1">
        <v>5000000</v>
      </c>
      <c r="O1673">
        <v>0.34</v>
      </c>
      <c r="P1673">
        <v>1.3</v>
      </c>
      <c r="Q1673">
        <v>0.01</v>
      </c>
    </row>
    <row r="1674" spans="1:17" x14ac:dyDescent="0.25">
      <c r="A1674">
        <v>730598</v>
      </c>
      <c r="B1674" t="s">
        <v>2986</v>
      </c>
      <c r="C1674" t="s">
        <v>78</v>
      </c>
      <c r="D1674" t="s">
        <v>78</v>
      </c>
      <c r="E1674" t="s">
        <v>78</v>
      </c>
      <c r="F1674" t="s">
        <v>78</v>
      </c>
      <c r="G1674" t="s">
        <v>78</v>
      </c>
      <c r="H1674">
        <v>0.23</v>
      </c>
      <c r="I1674" s="1">
        <v>0</v>
      </c>
      <c r="J1674" s="1">
        <v>0</v>
      </c>
      <c r="K1674">
        <v>0</v>
      </c>
      <c r="L1674">
        <v>0.22</v>
      </c>
      <c r="M1674">
        <v>0.23</v>
      </c>
      <c r="N1674" s="1">
        <v>5000000</v>
      </c>
      <c r="O1674">
        <v>0.22</v>
      </c>
      <c r="P1674">
        <v>0.76</v>
      </c>
      <c r="Q1674">
        <v>0.01</v>
      </c>
    </row>
    <row r="1675" spans="1:17" x14ac:dyDescent="0.25">
      <c r="A1675">
        <v>730599</v>
      </c>
      <c r="B1675" t="s">
        <v>2987</v>
      </c>
      <c r="C1675" t="s">
        <v>78</v>
      </c>
      <c r="D1675" t="s">
        <v>78</v>
      </c>
      <c r="E1675" t="s">
        <v>78</v>
      </c>
      <c r="F1675" t="s">
        <v>78</v>
      </c>
      <c r="G1675" t="s">
        <v>78</v>
      </c>
      <c r="H1675">
        <v>0.45</v>
      </c>
      <c r="I1675" s="1">
        <v>0</v>
      </c>
      <c r="J1675" s="1">
        <v>0</v>
      </c>
      <c r="K1675">
        <v>0</v>
      </c>
      <c r="L1675">
        <v>0.48</v>
      </c>
      <c r="M1675">
        <v>0.49</v>
      </c>
      <c r="N1675" s="1">
        <v>5000000</v>
      </c>
      <c r="O1675">
        <v>0.48</v>
      </c>
      <c r="P1675">
        <v>1.22</v>
      </c>
      <c r="Q1675">
        <v>0.01</v>
      </c>
    </row>
    <row r="1676" spans="1:17" x14ac:dyDescent="0.25">
      <c r="A1676">
        <v>730600</v>
      </c>
      <c r="B1676" t="s">
        <v>2988</v>
      </c>
      <c r="C1676" t="s">
        <v>78</v>
      </c>
      <c r="D1676" t="s">
        <v>78</v>
      </c>
      <c r="E1676" t="s">
        <v>78</v>
      </c>
      <c r="F1676" t="s">
        <v>78</v>
      </c>
      <c r="G1676" t="s">
        <v>78</v>
      </c>
      <c r="H1676">
        <v>0.68</v>
      </c>
      <c r="I1676" s="1">
        <v>0</v>
      </c>
      <c r="J1676" s="1">
        <v>0</v>
      </c>
      <c r="K1676">
        <v>0</v>
      </c>
      <c r="L1676">
        <v>0.52</v>
      </c>
      <c r="M1676">
        <v>0.56999999999999995</v>
      </c>
      <c r="N1676" s="1">
        <v>5000000</v>
      </c>
      <c r="O1676">
        <v>0.52</v>
      </c>
      <c r="P1676">
        <v>1.31</v>
      </c>
      <c r="Q1676">
        <v>0.01</v>
      </c>
    </row>
    <row r="1677" spans="1:17" x14ac:dyDescent="0.25">
      <c r="A1677">
        <v>730601</v>
      </c>
      <c r="B1677" t="s">
        <v>2989</v>
      </c>
      <c r="C1677">
        <v>2.81</v>
      </c>
      <c r="D1677">
        <v>0.09</v>
      </c>
      <c r="E1677">
        <v>2.81</v>
      </c>
      <c r="F1677">
        <v>2.9</v>
      </c>
      <c r="G1677">
        <v>2.81</v>
      </c>
      <c r="H1677">
        <v>2.84</v>
      </c>
      <c r="I1677" s="1">
        <v>35000</v>
      </c>
      <c r="J1677" s="1">
        <v>99300</v>
      </c>
      <c r="K1677">
        <v>5</v>
      </c>
      <c r="L1677">
        <v>2.81</v>
      </c>
      <c r="M1677">
        <v>2.86</v>
      </c>
      <c r="N1677" s="1">
        <v>10000000</v>
      </c>
      <c r="O1677">
        <v>2.81</v>
      </c>
      <c r="P1677">
        <v>3.75</v>
      </c>
      <c r="Q1677">
        <v>1.87</v>
      </c>
    </row>
    <row r="1678" spans="1:17" x14ac:dyDescent="0.25">
      <c r="A1678">
        <v>730602</v>
      </c>
      <c r="B1678" t="s">
        <v>2990</v>
      </c>
      <c r="C1678">
        <v>0.18</v>
      </c>
      <c r="D1678">
        <v>-7.0000000000000007E-2</v>
      </c>
      <c r="E1678">
        <v>0.19</v>
      </c>
      <c r="F1678">
        <v>0.2</v>
      </c>
      <c r="G1678">
        <v>0.18</v>
      </c>
      <c r="H1678">
        <v>0.19</v>
      </c>
      <c r="I1678" s="1">
        <v>156000</v>
      </c>
      <c r="J1678" s="1">
        <v>29340</v>
      </c>
      <c r="K1678">
        <v>8</v>
      </c>
      <c r="L1678">
        <v>0.17</v>
      </c>
      <c r="M1678">
        <v>0.18</v>
      </c>
      <c r="N1678" s="1">
        <v>5000000</v>
      </c>
      <c r="O1678">
        <v>0.18</v>
      </c>
      <c r="P1678">
        <v>0.99</v>
      </c>
      <c r="Q1678">
        <v>0.01</v>
      </c>
    </row>
    <row r="1679" spans="1:17" x14ac:dyDescent="0.25">
      <c r="A1679">
        <v>730603</v>
      </c>
      <c r="B1679" t="s">
        <v>2991</v>
      </c>
      <c r="C1679">
        <v>0.61</v>
      </c>
      <c r="D1679">
        <v>-0.04</v>
      </c>
      <c r="E1679">
        <v>0.65</v>
      </c>
      <c r="F1679">
        <v>0.66</v>
      </c>
      <c r="G1679">
        <v>0.61</v>
      </c>
      <c r="H1679">
        <v>0.63</v>
      </c>
      <c r="I1679" s="1">
        <v>58000</v>
      </c>
      <c r="J1679" s="1">
        <v>36450</v>
      </c>
      <c r="K1679">
        <v>7</v>
      </c>
      <c r="L1679">
        <v>0.61</v>
      </c>
      <c r="M1679">
        <v>0.62</v>
      </c>
      <c r="N1679" s="1">
        <v>5000000</v>
      </c>
      <c r="O1679">
        <v>0.61</v>
      </c>
      <c r="P1679">
        <v>1.22</v>
      </c>
      <c r="Q1679">
        <v>0.01</v>
      </c>
    </row>
    <row r="1680" spans="1:17" x14ac:dyDescent="0.25">
      <c r="A1680">
        <v>730604</v>
      </c>
      <c r="B1680" t="s">
        <v>2992</v>
      </c>
      <c r="C1680" t="s">
        <v>78</v>
      </c>
      <c r="D1680" t="s">
        <v>78</v>
      </c>
      <c r="E1680" t="s">
        <v>78</v>
      </c>
      <c r="F1680" t="s">
        <v>78</v>
      </c>
      <c r="G1680" t="s">
        <v>78</v>
      </c>
      <c r="H1680">
        <v>2.35</v>
      </c>
      <c r="I1680" s="1">
        <v>0</v>
      </c>
      <c r="J1680" s="1">
        <v>0</v>
      </c>
      <c r="K1680">
        <v>0</v>
      </c>
      <c r="L1680">
        <v>2.17</v>
      </c>
      <c r="M1680">
        <v>2.2000000000000002</v>
      </c>
      <c r="N1680" s="1">
        <v>5000000</v>
      </c>
      <c r="O1680">
        <v>2.2000000000000002</v>
      </c>
      <c r="P1680">
        <v>3.08</v>
      </c>
      <c r="Q1680">
        <v>1.32</v>
      </c>
    </row>
    <row r="1681" spans="1:17" x14ac:dyDescent="0.25">
      <c r="A1681">
        <v>730605</v>
      </c>
      <c r="B1681" t="s">
        <v>2993</v>
      </c>
      <c r="C1681">
        <v>2.6</v>
      </c>
      <c r="D1681">
        <v>-0.21</v>
      </c>
      <c r="E1681">
        <v>2.6</v>
      </c>
      <c r="F1681">
        <v>2.6</v>
      </c>
      <c r="G1681">
        <v>2.6</v>
      </c>
      <c r="H1681">
        <v>2.6</v>
      </c>
      <c r="I1681" s="1">
        <v>1000</v>
      </c>
      <c r="J1681" s="1">
        <v>2600</v>
      </c>
      <c r="K1681">
        <v>1</v>
      </c>
      <c r="L1681">
        <v>2.66</v>
      </c>
      <c r="M1681">
        <v>3.1</v>
      </c>
      <c r="N1681" s="1">
        <v>10000000</v>
      </c>
      <c r="O1681">
        <v>2.6</v>
      </c>
      <c r="P1681">
        <v>3.24</v>
      </c>
      <c r="Q1681">
        <v>1.96</v>
      </c>
    </row>
    <row r="1682" spans="1:17" x14ac:dyDescent="0.25">
      <c r="A1682">
        <v>730606</v>
      </c>
      <c r="B1682" t="s">
        <v>2994</v>
      </c>
      <c r="C1682">
        <v>2.15</v>
      </c>
      <c r="D1682">
        <v>0.35</v>
      </c>
      <c r="E1682">
        <v>1.96</v>
      </c>
      <c r="F1682">
        <v>2.29</v>
      </c>
      <c r="G1682">
        <v>1.96</v>
      </c>
      <c r="H1682">
        <v>1.99</v>
      </c>
      <c r="I1682" s="1">
        <v>121000</v>
      </c>
      <c r="J1682" s="1">
        <v>241250</v>
      </c>
      <c r="K1682">
        <v>6</v>
      </c>
      <c r="L1682">
        <v>1.96</v>
      </c>
      <c r="M1682">
        <v>2.0299999999999998</v>
      </c>
      <c r="N1682" s="1">
        <v>1500000</v>
      </c>
      <c r="O1682">
        <v>2.15</v>
      </c>
      <c r="P1682">
        <v>3.71</v>
      </c>
      <c r="Q1682">
        <v>0.59</v>
      </c>
    </row>
    <row r="1683" spans="1:17" x14ac:dyDescent="0.25">
      <c r="A1683">
        <v>730607</v>
      </c>
      <c r="B1683" t="s">
        <v>2995</v>
      </c>
      <c r="C1683" t="s">
        <v>78</v>
      </c>
      <c r="D1683" t="s">
        <v>78</v>
      </c>
      <c r="E1683" t="s">
        <v>78</v>
      </c>
      <c r="F1683" t="s">
        <v>78</v>
      </c>
      <c r="G1683" t="s">
        <v>78</v>
      </c>
      <c r="H1683">
        <v>0.02</v>
      </c>
      <c r="I1683" s="1">
        <v>0</v>
      </c>
      <c r="J1683" s="1">
        <v>0</v>
      </c>
      <c r="K1683">
        <v>0</v>
      </c>
      <c r="L1683">
        <v>0.01</v>
      </c>
      <c r="M1683">
        <v>0.03</v>
      </c>
      <c r="N1683" s="1">
        <v>10000000</v>
      </c>
      <c r="O1683">
        <v>0.02</v>
      </c>
      <c r="P1683">
        <v>0.4</v>
      </c>
      <c r="Q1683">
        <v>0.01</v>
      </c>
    </row>
    <row r="1684" spans="1:17" x14ac:dyDescent="0.25">
      <c r="A1684">
        <v>730608</v>
      </c>
      <c r="B1684" t="s">
        <v>2996</v>
      </c>
      <c r="C1684" t="s">
        <v>78</v>
      </c>
      <c r="D1684" t="s">
        <v>78</v>
      </c>
      <c r="E1684" t="s">
        <v>78</v>
      </c>
      <c r="F1684" t="s">
        <v>78</v>
      </c>
      <c r="G1684" t="s">
        <v>78</v>
      </c>
      <c r="H1684">
        <v>7.0000000000000007E-2</v>
      </c>
      <c r="I1684" s="1">
        <v>0</v>
      </c>
      <c r="J1684" s="1">
        <v>0</v>
      </c>
      <c r="K1684">
        <v>0</v>
      </c>
      <c r="L1684">
        <v>0</v>
      </c>
      <c r="M1684">
        <v>0.02</v>
      </c>
      <c r="N1684" s="1">
        <v>10000000</v>
      </c>
      <c r="O1684">
        <v>0.02</v>
      </c>
      <c r="P1684">
        <v>1.67</v>
      </c>
      <c r="Q1684">
        <v>0.01</v>
      </c>
    </row>
    <row r="1685" spans="1:17" x14ac:dyDescent="0.25">
      <c r="A1685">
        <v>730609</v>
      </c>
      <c r="B1685" t="s">
        <v>2997</v>
      </c>
      <c r="C1685">
        <v>0.41</v>
      </c>
      <c r="D1685">
        <v>-0.01</v>
      </c>
      <c r="E1685">
        <v>0.42</v>
      </c>
      <c r="F1685">
        <v>0.42</v>
      </c>
      <c r="G1685">
        <v>0.41</v>
      </c>
      <c r="H1685">
        <v>0.41</v>
      </c>
      <c r="I1685" s="1">
        <v>320000</v>
      </c>
      <c r="J1685" s="1">
        <v>131700</v>
      </c>
      <c r="K1685">
        <v>2</v>
      </c>
      <c r="L1685">
        <v>0.4</v>
      </c>
      <c r="M1685">
        <v>0.41</v>
      </c>
      <c r="N1685" s="1">
        <v>5000000</v>
      </c>
      <c r="O1685">
        <v>0.41</v>
      </c>
      <c r="P1685">
        <v>1.38</v>
      </c>
      <c r="Q1685">
        <v>0.01</v>
      </c>
    </row>
    <row r="1686" spans="1:17" x14ac:dyDescent="0.25">
      <c r="A1686">
        <v>730610</v>
      </c>
      <c r="B1686" t="s">
        <v>2998</v>
      </c>
      <c r="C1686" t="s">
        <v>78</v>
      </c>
      <c r="D1686" t="s">
        <v>78</v>
      </c>
      <c r="E1686" t="s">
        <v>78</v>
      </c>
      <c r="F1686" t="s">
        <v>78</v>
      </c>
      <c r="G1686" t="s">
        <v>78</v>
      </c>
      <c r="H1686">
        <v>0.23</v>
      </c>
      <c r="I1686" s="1">
        <v>0</v>
      </c>
      <c r="J1686" s="1">
        <v>0</v>
      </c>
      <c r="K1686">
        <v>0</v>
      </c>
      <c r="L1686">
        <v>0.22</v>
      </c>
      <c r="M1686">
        <v>0.23</v>
      </c>
      <c r="N1686" s="1">
        <v>5000000</v>
      </c>
      <c r="O1686">
        <v>0.23</v>
      </c>
      <c r="P1686">
        <v>0.79</v>
      </c>
      <c r="Q1686">
        <v>0.01</v>
      </c>
    </row>
    <row r="1687" spans="1:17" x14ac:dyDescent="0.25">
      <c r="A1687">
        <v>730611</v>
      </c>
      <c r="B1687" t="s">
        <v>2999</v>
      </c>
      <c r="C1687">
        <v>0.79</v>
      </c>
      <c r="D1687">
        <v>0.01</v>
      </c>
      <c r="E1687">
        <v>0.76</v>
      </c>
      <c r="F1687">
        <v>0.79</v>
      </c>
      <c r="G1687">
        <v>0.76</v>
      </c>
      <c r="H1687">
        <v>0.77</v>
      </c>
      <c r="I1687" s="1">
        <v>40000</v>
      </c>
      <c r="J1687" s="1">
        <v>30700</v>
      </c>
      <c r="K1687">
        <v>2</v>
      </c>
      <c r="L1687">
        <v>0.78</v>
      </c>
      <c r="M1687">
        <v>0.8</v>
      </c>
      <c r="N1687" s="1">
        <v>5000000</v>
      </c>
      <c r="O1687">
        <v>0.79</v>
      </c>
      <c r="P1687">
        <v>1.56</v>
      </c>
      <c r="Q1687">
        <v>0.02</v>
      </c>
    </row>
    <row r="1688" spans="1:17" x14ac:dyDescent="0.25">
      <c r="A1688">
        <v>730612</v>
      </c>
      <c r="B1688" t="s">
        <v>3000</v>
      </c>
      <c r="C1688" t="s">
        <v>78</v>
      </c>
      <c r="D1688" t="s">
        <v>78</v>
      </c>
      <c r="E1688" t="s">
        <v>78</v>
      </c>
      <c r="F1688" t="s">
        <v>78</v>
      </c>
      <c r="G1688" t="s">
        <v>78</v>
      </c>
      <c r="H1688">
        <v>4.66</v>
      </c>
      <c r="I1688" s="1">
        <v>0</v>
      </c>
      <c r="J1688" s="1">
        <v>0</v>
      </c>
      <c r="K1688">
        <v>0</v>
      </c>
      <c r="L1688">
        <v>0</v>
      </c>
      <c r="M1688">
        <v>6.6</v>
      </c>
      <c r="N1688" s="1">
        <v>10000000</v>
      </c>
      <c r="O1688">
        <v>6.6</v>
      </c>
      <c r="P1688">
        <v>7.9</v>
      </c>
      <c r="Q1688">
        <v>5.3</v>
      </c>
    </row>
    <row r="1689" spans="1:17" x14ac:dyDescent="0.25">
      <c r="A1689">
        <v>730613</v>
      </c>
      <c r="B1689" t="s">
        <v>3001</v>
      </c>
      <c r="C1689" t="s">
        <v>78</v>
      </c>
      <c r="D1689" t="s">
        <v>78</v>
      </c>
      <c r="E1689" t="s">
        <v>78</v>
      </c>
      <c r="F1689" t="s">
        <v>78</v>
      </c>
      <c r="G1689" t="s">
        <v>78</v>
      </c>
      <c r="H1689">
        <v>5.2</v>
      </c>
      <c r="I1689" s="1">
        <v>0</v>
      </c>
      <c r="J1689" s="1">
        <v>0</v>
      </c>
      <c r="K1689">
        <v>0</v>
      </c>
      <c r="L1689">
        <v>3.38</v>
      </c>
      <c r="M1689">
        <v>0</v>
      </c>
      <c r="N1689" s="1">
        <v>10000000</v>
      </c>
      <c r="O1689">
        <v>3.6</v>
      </c>
      <c r="P1689">
        <v>4.5</v>
      </c>
      <c r="Q1689">
        <v>2.7</v>
      </c>
    </row>
    <row r="1690" spans="1:17" x14ac:dyDescent="0.25">
      <c r="A1690">
        <v>730614</v>
      </c>
      <c r="B1690" t="s">
        <v>3002</v>
      </c>
      <c r="C1690">
        <v>0.08</v>
      </c>
      <c r="D1690">
        <v>0.01</v>
      </c>
      <c r="E1690">
        <v>0.08</v>
      </c>
      <c r="F1690">
        <v>0.08</v>
      </c>
      <c r="G1690">
        <v>0.08</v>
      </c>
      <c r="H1690">
        <v>0.08</v>
      </c>
      <c r="I1690" s="1">
        <v>10000</v>
      </c>
      <c r="J1690" s="1">
        <v>800</v>
      </c>
      <c r="K1690">
        <v>1</v>
      </c>
      <c r="L1690">
        <v>7.0000000000000007E-2</v>
      </c>
      <c r="M1690">
        <v>0.08</v>
      </c>
      <c r="N1690" s="1">
        <v>10000000</v>
      </c>
      <c r="O1690">
        <v>0.08</v>
      </c>
      <c r="P1690">
        <v>0.45</v>
      </c>
      <c r="Q1690">
        <v>0.01</v>
      </c>
    </row>
    <row r="1691" spans="1:17" x14ac:dyDescent="0.25">
      <c r="A1691">
        <v>730615</v>
      </c>
      <c r="B1691" t="s">
        <v>3003</v>
      </c>
      <c r="C1691" t="s">
        <v>78</v>
      </c>
      <c r="D1691" t="s">
        <v>78</v>
      </c>
      <c r="E1691" t="s">
        <v>78</v>
      </c>
      <c r="F1691" t="s">
        <v>78</v>
      </c>
      <c r="G1691" t="s">
        <v>78</v>
      </c>
      <c r="H1691">
        <v>0.08</v>
      </c>
      <c r="I1691" s="1">
        <v>0</v>
      </c>
      <c r="J1691" s="1">
        <v>0</v>
      </c>
      <c r="K1691">
        <v>0</v>
      </c>
      <c r="L1691">
        <v>0</v>
      </c>
      <c r="M1691">
        <v>0.01</v>
      </c>
      <c r="N1691" s="1">
        <v>10000000</v>
      </c>
      <c r="O1691">
        <v>0.01</v>
      </c>
      <c r="P1691">
        <v>0.52</v>
      </c>
      <c r="Q1691">
        <v>0.01</v>
      </c>
    </row>
    <row r="1692" spans="1:17" x14ac:dyDescent="0.25">
      <c r="A1692">
        <v>730616</v>
      </c>
      <c r="B1692" t="s">
        <v>3004</v>
      </c>
      <c r="C1692" t="s">
        <v>78</v>
      </c>
      <c r="D1692" t="s">
        <v>78</v>
      </c>
      <c r="E1692" t="s">
        <v>78</v>
      </c>
      <c r="F1692" t="s">
        <v>78</v>
      </c>
      <c r="G1692" t="s">
        <v>78</v>
      </c>
      <c r="H1692">
        <v>0.2</v>
      </c>
      <c r="I1692" s="1">
        <v>0</v>
      </c>
      <c r="J1692" s="1">
        <v>0</v>
      </c>
      <c r="K1692">
        <v>0</v>
      </c>
      <c r="L1692">
        <v>0</v>
      </c>
      <c r="M1692">
        <v>0.03</v>
      </c>
      <c r="N1692" s="1">
        <v>5000000</v>
      </c>
      <c r="O1692">
        <v>0.03</v>
      </c>
      <c r="P1692">
        <v>0.52</v>
      </c>
      <c r="Q1692">
        <v>0.01</v>
      </c>
    </row>
    <row r="1693" spans="1:17" x14ac:dyDescent="0.25">
      <c r="A1693">
        <v>730617</v>
      </c>
      <c r="B1693" t="s">
        <v>3005</v>
      </c>
      <c r="C1693" t="s">
        <v>78</v>
      </c>
      <c r="D1693" t="s">
        <v>78</v>
      </c>
      <c r="E1693" t="s">
        <v>78</v>
      </c>
      <c r="F1693" t="s">
        <v>78</v>
      </c>
      <c r="G1693" t="s">
        <v>78</v>
      </c>
      <c r="H1693">
        <v>0.02</v>
      </c>
      <c r="I1693" s="1">
        <v>0</v>
      </c>
      <c r="J1693" s="1">
        <v>0</v>
      </c>
      <c r="K1693">
        <v>0</v>
      </c>
      <c r="L1693">
        <v>0</v>
      </c>
      <c r="M1693">
        <v>0.01</v>
      </c>
      <c r="N1693" s="1">
        <v>5000000</v>
      </c>
      <c r="O1693">
        <v>0.01</v>
      </c>
      <c r="P1693">
        <v>0.57999999999999996</v>
      </c>
      <c r="Q1693">
        <v>0.01</v>
      </c>
    </row>
    <row r="1694" spans="1:17" x14ac:dyDescent="0.25">
      <c r="A1694">
        <v>730618</v>
      </c>
      <c r="B1694" t="s">
        <v>3006</v>
      </c>
      <c r="C1694" t="s">
        <v>78</v>
      </c>
      <c r="D1694" t="s">
        <v>78</v>
      </c>
      <c r="E1694" t="s">
        <v>78</v>
      </c>
      <c r="F1694" t="s">
        <v>78</v>
      </c>
      <c r="G1694" t="s">
        <v>78</v>
      </c>
      <c r="H1694">
        <v>6.6</v>
      </c>
      <c r="I1694" s="1">
        <v>0</v>
      </c>
      <c r="J1694" s="1">
        <v>0</v>
      </c>
      <c r="K1694">
        <v>0</v>
      </c>
      <c r="L1694">
        <v>0</v>
      </c>
      <c r="M1694">
        <v>0</v>
      </c>
      <c r="N1694" s="1">
        <v>10000000</v>
      </c>
      <c r="O1694">
        <v>7</v>
      </c>
      <c r="P1694">
        <v>8.5500000000000007</v>
      </c>
      <c r="Q1694">
        <v>5.45</v>
      </c>
    </row>
    <row r="1695" spans="1:17" x14ac:dyDescent="0.25">
      <c r="A1695">
        <v>730619</v>
      </c>
      <c r="B1695" t="s">
        <v>3007</v>
      </c>
      <c r="C1695" t="s">
        <v>78</v>
      </c>
      <c r="D1695" t="s">
        <v>78</v>
      </c>
      <c r="E1695" t="s">
        <v>78</v>
      </c>
      <c r="F1695" t="s">
        <v>78</v>
      </c>
      <c r="G1695" t="s">
        <v>78</v>
      </c>
      <c r="H1695">
        <v>0.18</v>
      </c>
      <c r="I1695" s="1">
        <v>0</v>
      </c>
      <c r="J1695" s="1">
        <v>0</v>
      </c>
      <c r="K1695">
        <v>0</v>
      </c>
      <c r="L1695">
        <v>0.06</v>
      </c>
      <c r="M1695">
        <v>7.0000000000000007E-2</v>
      </c>
      <c r="N1695" s="1">
        <v>5000000</v>
      </c>
      <c r="O1695">
        <v>7.0000000000000007E-2</v>
      </c>
      <c r="P1695">
        <v>0.55000000000000004</v>
      </c>
      <c r="Q1695">
        <v>0.01</v>
      </c>
    </row>
    <row r="1696" spans="1:17" x14ac:dyDescent="0.25">
      <c r="A1696">
        <v>730620</v>
      </c>
      <c r="B1696" t="s">
        <v>3008</v>
      </c>
      <c r="C1696" t="s">
        <v>78</v>
      </c>
      <c r="D1696" t="s">
        <v>78</v>
      </c>
      <c r="E1696" t="s">
        <v>78</v>
      </c>
      <c r="F1696" t="s">
        <v>78</v>
      </c>
      <c r="G1696" t="s">
        <v>78</v>
      </c>
      <c r="H1696">
        <v>0.21</v>
      </c>
      <c r="I1696" s="1">
        <v>0</v>
      </c>
      <c r="J1696" s="1">
        <v>0</v>
      </c>
      <c r="K1696">
        <v>0</v>
      </c>
      <c r="L1696">
        <v>0.03</v>
      </c>
      <c r="M1696">
        <v>0.04</v>
      </c>
      <c r="N1696" s="1">
        <v>5000000</v>
      </c>
      <c r="O1696">
        <v>0.04</v>
      </c>
      <c r="P1696">
        <v>0.74</v>
      </c>
      <c r="Q1696">
        <v>0.01</v>
      </c>
    </row>
    <row r="1697" spans="1:17" x14ac:dyDescent="0.25">
      <c r="A1697">
        <v>730621</v>
      </c>
      <c r="B1697" t="s">
        <v>3009</v>
      </c>
      <c r="C1697" t="s">
        <v>78</v>
      </c>
      <c r="D1697" t="s">
        <v>78</v>
      </c>
      <c r="E1697" t="s">
        <v>78</v>
      </c>
      <c r="F1697" t="s">
        <v>78</v>
      </c>
      <c r="G1697" t="s">
        <v>78</v>
      </c>
      <c r="H1697">
        <v>0.23</v>
      </c>
      <c r="I1697" s="1">
        <v>0</v>
      </c>
      <c r="J1697" s="1">
        <v>0</v>
      </c>
      <c r="K1697">
        <v>0</v>
      </c>
      <c r="L1697">
        <v>0.21</v>
      </c>
      <c r="M1697">
        <v>0.23</v>
      </c>
      <c r="N1697" s="1">
        <v>5000000</v>
      </c>
      <c r="O1697">
        <v>0.23</v>
      </c>
      <c r="P1697">
        <v>0.93</v>
      </c>
      <c r="Q1697">
        <v>0.01</v>
      </c>
    </row>
    <row r="1698" spans="1:17" x14ac:dyDescent="0.25">
      <c r="A1698">
        <v>730622</v>
      </c>
      <c r="B1698" t="s">
        <v>3010</v>
      </c>
      <c r="C1698" t="s">
        <v>78</v>
      </c>
      <c r="D1698" t="s">
        <v>78</v>
      </c>
      <c r="E1698" t="s">
        <v>78</v>
      </c>
      <c r="F1698" t="s">
        <v>78</v>
      </c>
      <c r="G1698" t="s">
        <v>78</v>
      </c>
      <c r="H1698">
        <v>0.09</v>
      </c>
      <c r="I1698" s="1">
        <v>0</v>
      </c>
      <c r="J1698" s="1">
        <v>0</v>
      </c>
      <c r="K1698">
        <v>0</v>
      </c>
      <c r="L1698">
        <v>0.06</v>
      </c>
      <c r="M1698">
        <v>0.1</v>
      </c>
      <c r="N1698" s="1">
        <v>5000000</v>
      </c>
      <c r="O1698">
        <v>0.06</v>
      </c>
      <c r="P1698">
        <v>0.77</v>
      </c>
      <c r="Q1698">
        <v>0.01</v>
      </c>
    </row>
    <row r="1699" spans="1:17" x14ac:dyDescent="0.25">
      <c r="A1699">
        <v>730623</v>
      </c>
      <c r="B1699" t="s">
        <v>3011</v>
      </c>
      <c r="C1699" t="s">
        <v>78</v>
      </c>
      <c r="D1699" t="s">
        <v>78</v>
      </c>
      <c r="E1699" t="s">
        <v>78</v>
      </c>
      <c r="F1699" t="s">
        <v>78</v>
      </c>
      <c r="G1699" t="s">
        <v>78</v>
      </c>
      <c r="H1699">
        <v>3.98</v>
      </c>
      <c r="I1699" s="1">
        <v>0</v>
      </c>
      <c r="J1699" s="1">
        <v>0</v>
      </c>
      <c r="K1699">
        <v>0</v>
      </c>
      <c r="L1699">
        <v>8.6999999999999993</v>
      </c>
      <c r="M1699">
        <v>8.9499999999999993</v>
      </c>
      <c r="N1699" s="1">
        <v>5000000</v>
      </c>
      <c r="O1699">
        <v>8.9</v>
      </c>
      <c r="P1699">
        <v>10.9</v>
      </c>
      <c r="Q1699">
        <v>6.9</v>
      </c>
    </row>
    <row r="1700" spans="1:17" x14ac:dyDescent="0.25">
      <c r="A1700">
        <v>730624</v>
      </c>
      <c r="B1700" t="s">
        <v>3012</v>
      </c>
      <c r="C1700" t="s">
        <v>78</v>
      </c>
      <c r="D1700" t="s">
        <v>78</v>
      </c>
      <c r="E1700" t="s">
        <v>78</v>
      </c>
      <c r="F1700" t="s">
        <v>78</v>
      </c>
      <c r="G1700" t="s">
        <v>78</v>
      </c>
      <c r="H1700">
        <v>13</v>
      </c>
      <c r="I1700" s="1">
        <v>0</v>
      </c>
      <c r="J1700" s="1">
        <v>0</v>
      </c>
      <c r="K1700">
        <v>0</v>
      </c>
      <c r="L1700">
        <v>12.6</v>
      </c>
      <c r="M1700">
        <v>13</v>
      </c>
      <c r="N1700" s="1">
        <v>5000000</v>
      </c>
      <c r="O1700">
        <v>12.9</v>
      </c>
      <c r="P1700">
        <v>16</v>
      </c>
      <c r="Q1700">
        <v>9.75</v>
      </c>
    </row>
    <row r="1701" spans="1:17" x14ac:dyDescent="0.25">
      <c r="A1701">
        <v>730625</v>
      </c>
      <c r="B1701" t="s">
        <v>3013</v>
      </c>
      <c r="C1701">
        <v>2.91</v>
      </c>
      <c r="D1701">
        <v>0.71</v>
      </c>
      <c r="E1701">
        <v>2.91</v>
      </c>
      <c r="F1701">
        <v>2.91</v>
      </c>
      <c r="G1701">
        <v>2.91</v>
      </c>
      <c r="H1701">
        <v>2.91</v>
      </c>
      <c r="I1701" s="1">
        <v>15000</v>
      </c>
      <c r="J1701" s="1">
        <v>43650</v>
      </c>
      <c r="K1701">
        <v>1</v>
      </c>
      <c r="L1701">
        <v>2.87</v>
      </c>
      <c r="M1701">
        <v>2.97</v>
      </c>
      <c r="N1701" s="1">
        <v>5000000</v>
      </c>
      <c r="O1701">
        <v>2.91</v>
      </c>
      <c r="P1701">
        <v>4.6500000000000004</v>
      </c>
      <c r="Q1701">
        <v>1.17</v>
      </c>
    </row>
    <row r="1702" spans="1:17" x14ac:dyDescent="0.25">
      <c r="A1702">
        <v>730626</v>
      </c>
      <c r="B1702" t="s">
        <v>3014</v>
      </c>
      <c r="C1702">
        <v>2.8</v>
      </c>
      <c r="D1702">
        <v>0.08</v>
      </c>
      <c r="E1702">
        <v>3.01</v>
      </c>
      <c r="F1702">
        <v>3.01</v>
      </c>
      <c r="G1702">
        <v>2.8</v>
      </c>
      <c r="H1702">
        <v>2.9</v>
      </c>
      <c r="I1702" s="1">
        <v>2000</v>
      </c>
      <c r="J1702" s="1">
        <v>5810</v>
      </c>
      <c r="K1702">
        <v>2</v>
      </c>
      <c r="L1702">
        <v>2.88</v>
      </c>
      <c r="M1702">
        <v>2.89</v>
      </c>
      <c r="N1702" s="1">
        <v>10000000</v>
      </c>
      <c r="O1702">
        <v>2.8</v>
      </c>
      <c r="P1702">
        <v>3.82</v>
      </c>
      <c r="Q1702">
        <v>1.78</v>
      </c>
    </row>
    <row r="1703" spans="1:17" x14ac:dyDescent="0.25">
      <c r="A1703">
        <v>730627</v>
      </c>
      <c r="B1703" t="s">
        <v>3015</v>
      </c>
      <c r="C1703" t="s">
        <v>78</v>
      </c>
      <c r="D1703" t="s">
        <v>78</v>
      </c>
      <c r="E1703" t="s">
        <v>78</v>
      </c>
      <c r="F1703" t="s">
        <v>78</v>
      </c>
      <c r="G1703" t="s">
        <v>78</v>
      </c>
      <c r="H1703">
        <v>0.02</v>
      </c>
      <c r="I1703" s="1">
        <v>0</v>
      </c>
      <c r="J1703" s="1">
        <v>0</v>
      </c>
      <c r="K1703">
        <v>0</v>
      </c>
      <c r="L1703">
        <v>0</v>
      </c>
      <c r="M1703">
        <v>0.01</v>
      </c>
      <c r="N1703" s="1">
        <v>10000000</v>
      </c>
      <c r="O1703">
        <v>0.01</v>
      </c>
      <c r="P1703">
        <v>0.49</v>
      </c>
      <c r="Q1703">
        <v>0.01</v>
      </c>
    </row>
    <row r="1704" spans="1:17" x14ac:dyDescent="0.25">
      <c r="A1704">
        <v>730628</v>
      </c>
      <c r="B1704" t="s">
        <v>3016</v>
      </c>
      <c r="C1704">
        <v>0.13</v>
      </c>
      <c r="D1704">
        <v>0.01</v>
      </c>
      <c r="E1704">
        <v>0.13</v>
      </c>
      <c r="F1704">
        <v>0.13</v>
      </c>
      <c r="G1704">
        <v>0.13</v>
      </c>
      <c r="H1704">
        <v>0.13</v>
      </c>
      <c r="I1704" s="1">
        <v>10000</v>
      </c>
      <c r="J1704" s="1">
        <v>1300</v>
      </c>
      <c r="K1704">
        <v>1</v>
      </c>
      <c r="L1704">
        <v>0.09</v>
      </c>
      <c r="M1704">
        <v>0.1</v>
      </c>
      <c r="N1704" s="1">
        <v>5000000</v>
      </c>
      <c r="O1704">
        <v>0.13</v>
      </c>
      <c r="P1704">
        <v>0.69</v>
      </c>
      <c r="Q1704">
        <v>0.01</v>
      </c>
    </row>
    <row r="1705" spans="1:17" x14ac:dyDescent="0.25">
      <c r="A1705">
        <v>730629</v>
      </c>
      <c r="B1705" t="s">
        <v>3017</v>
      </c>
      <c r="C1705" t="s">
        <v>78</v>
      </c>
      <c r="D1705" t="s">
        <v>78</v>
      </c>
      <c r="E1705" t="s">
        <v>78</v>
      </c>
      <c r="F1705" t="s">
        <v>78</v>
      </c>
      <c r="G1705" t="s">
        <v>78</v>
      </c>
      <c r="H1705">
        <v>7.0000000000000007E-2</v>
      </c>
      <c r="I1705" s="1">
        <v>0</v>
      </c>
      <c r="J1705" s="1">
        <v>0</v>
      </c>
      <c r="K1705">
        <v>0</v>
      </c>
      <c r="L1705">
        <v>0.04</v>
      </c>
      <c r="M1705">
        <v>0.1</v>
      </c>
      <c r="N1705" s="1">
        <v>5000000</v>
      </c>
      <c r="O1705">
        <v>7.0000000000000007E-2</v>
      </c>
      <c r="P1705">
        <v>0.77</v>
      </c>
      <c r="Q1705">
        <v>0.01</v>
      </c>
    </row>
    <row r="1706" spans="1:17" x14ac:dyDescent="0.25">
      <c r="A1706">
        <v>730630</v>
      </c>
      <c r="B1706" t="s">
        <v>3018</v>
      </c>
      <c r="C1706" t="s">
        <v>78</v>
      </c>
      <c r="D1706" t="s">
        <v>78</v>
      </c>
      <c r="E1706" t="s">
        <v>78</v>
      </c>
      <c r="F1706" t="s">
        <v>78</v>
      </c>
      <c r="G1706" t="s">
        <v>78</v>
      </c>
      <c r="H1706">
        <v>0.16</v>
      </c>
      <c r="I1706" s="1">
        <v>0</v>
      </c>
      <c r="J1706" s="1">
        <v>0</v>
      </c>
      <c r="K1706">
        <v>0</v>
      </c>
      <c r="L1706">
        <v>0.03</v>
      </c>
      <c r="M1706">
        <v>0.1</v>
      </c>
      <c r="N1706" s="1">
        <v>5000000</v>
      </c>
      <c r="O1706">
        <v>0.1</v>
      </c>
      <c r="P1706">
        <v>0.54</v>
      </c>
      <c r="Q1706">
        <v>0.01</v>
      </c>
    </row>
    <row r="1707" spans="1:17" x14ac:dyDescent="0.25">
      <c r="A1707">
        <v>730631</v>
      </c>
      <c r="B1707" t="s">
        <v>3019</v>
      </c>
      <c r="C1707" t="s">
        <v>78</v>
      </c>
      <c r="D1707" t="s">
        <v>78</v>
      </c>
      <c r="E1707" t="s">
        <v>78</v>
      </c>
      <c r="F1707" t="s">
        <v>78</v>
      </c>
      <c r="G1707" t="s">
        <v>78</v>
      </c>
      <c r="H1707">
        <v>0.49</v>
      </c>
      <c r="I1707" s="1">
        <v>0</v>
      </c>
      <c r="J1707" s="1">
        <v>0</v>
      </c>
      <c r="K1707">
        <v>0</v>
      </c>
      <c r="L1707">
        <v>0</v>
      </c>
      <c r="M1707">
        <v>0.1</v>
      </c>
      <c r="N1707" s="1">
        <v>5000000</v>
      </c>
      <c r="O1707">
        <v>0.1</v>
      </c>
      <c r="P1707">
        <v>0.72</v>
      </c>
      <c r="Q1707">
        <v>0.01</v>
      </c>
    </row>
    <row r="1708" spans="1:17" x14ac:dyDescent="0.25">
      <c r="A1708">
        <v>730632</v>
      </c>
      <c r="B1708" t="s">
        <v>3020</v>
      </c>
      <c r="C1708">
        <v>1.2</v>
      </c>
      <c r="D1708">
        <v>0.25</v>
      </c>
      <c r="E1708">
        <v>1.1499999999999999</v>
      </c>
      <c r="F1708">
        <v>1.2</v>
      </c>
      <c r="G1708">
        <v>1.1499999999999999</v>
      </c>
      <c r="H1708">
        <v>1.18</v>
      </c>
      <c r="I1708" s="1">
        <v>30000</v>
      </c>
      <c r="J1708" s="1">
        <v>35300</v>
      </c>
      <c r="K1708">
        <v>3</v>
      </c>
      <c r="L1708">
        <v>0.96</v>
      </c>
      <c r="M1708">
        <v>0.97</v>
      </c>
      <c r="N1708" s="1">
        <v>10000000</v>
      </c>
      <c r="O1708">
        <v>1.2</v>
      </c>
      <c r="P1708">
        <v>2.11</v>
      </c>
      <c r="Q1708">
        <v>0.28999999999999998</v>
      </c>
    </row>
    <row r="1709" spans="1:17" x14ac:dyDescent="0.25">
      <c r="A1709">
        <v>730633</v>
      </c>
      <c r="B1709" t="s">
        <v>3021</v>
      </c>
      <c r="C1709" t="s">
        <v>78</v>
      </c>
      <c r="D1709" t="s">
        <v>78</v>
      </c>
      <c r="E1709" t="s">
        <v>78</v>
      </c>
      <c r="F1709" t="s">
        <v>78</v>
      </c>
      <c r="G1709" t="s">
        <v>78</v>
      </c>
      <c r="H1709">
        <v>0.05</v>
      </c>
      <c r="I1709" s="1">
        <v>0</v>
      </c>
      <c r="J1709" s="1">
        <v>0</v>
      </c>
      <c r="K1709">
        <v>0</v>
      </c>
      <c r="L1709">
        <v>0.03</v>
      </c>
      <c r="M1709">
        <v>0.04</v>
      </c>
      <c r="N1709" s="1">
        <v>20000000</v>
      </c>
      <c r="O1709">
        <v>0.04</v>
      </c>
      <c r="P1709">
        <v>1.08</v>
      </c>
      <c r="Q1709">
        <v>0.01</v>
      </c>
    </row>
    <row r="1710" spans="1:17" x14ac:dyDescent="0.25">
      <c r="A1710">
        <v>730634</v>
      </c>
      <c r="B1710" t="s">
        <v>3022</v>
      </c>
      <c r="C1710">
        <v>1.33</v>
      </c>
      <c r="D1710">
        <v>0.01</v>
      </c>
      <c r="E1710">
        <v>1.29</v>
      </c>
      <c r="F1710">
        <v>1.33</v>
      </c>
      <c r="G1710">
        <v>1.29</v>
      </c>
      <c r="H1710">
        <v>1.31</v>
      </c>
      <c r="I1710" s="1">
        <v>45000</v>
      </c>
      <c r="J1710" s="1">
        <v>59100</v>
      </c>
      <c r="K1710">
        <v>4</v>
      </c>
      <c r="L1710">
        <v>1.32</v>
      </c>
      <c r="M1710">
        <v>1.34</v>
      </c>
      <c r="N1710" s="1">
        <v>5000000</v>
      </c>
      <c r="O1710">
        <v>1.33</v>
      </c>
      <c r="P1710">
        <v>2.46</v>
      </c>
      <c r="Q1710">
        <v>0.2</v>
      </c>
    </row>
    <row r="1711" spans="1:17" x14ac:dyDescent="0.25">
      <c r="A1711">
        <v>730635</v>
      </c>
      <c r="B1711" t="s">
        <v>3023</v>
      </c>
      <c r="C1711" t="s">
        <v>78</v>
      </c>
      <c r="D1711" t="s">
        <v>78</v>
      </c>
      <c r="E1711" t="s">
        <v>78</v>
      </c>
      <c r="F1711" t="s">
        <v>78</v>
      </c>
      <c r="G1711" t="s">
        <v>78</v>
      </c>
      <c r="H1711">
        <v>1.3</v>
      </c>
      <c r="I1711" s="1">
        <v>0</v>
      </c>
      <c r="J1711" s="1">
        <v>0</v>
      </c>
      <c r="K1711">
        <v>0</v>
      </c>
      <c r="L1711">
        <v>1.34</v>
      </c>
      <c r="M1711">
        <v>1.37</v>
      </c>
      <c r="N1711" s="1">
        <v>10000000</v>
      </c>
      <c r="O1711">
        <v>1.34</v>
      </c>
      <c r="P1711">
        <v>2.09</v>
      </c>
      <c r="Q1711">
        <v>0.57999999999999996</v>
      </c>
    </row>
    <row r="1712" spans="1:17" x14ac:dyDescent="0.25">
      <c r="A1712">
        <v>730636</v>
      </c>
      <c r="B1712" t="s">
        <v>3024</v>
      </c>
      <c r="C1712">
        <v>0.5</v>
      </c>
      <c r="D1712">
        <v>-0.01</v>
      </c>
      <c r="E1712">
        <v>0.5</v>
      </c>
      <c r="F1712">
        <v>0.5</v>
      </c>
      <c r="G1712">
        <v>0.5</v>
      </c>
      <c r="H1712">
        <v>0.5</v>
      </c>
      <c r="I1712" s="1">
        <v>25000</v>
      </c>
      <c r="J1712" s="1">
        <v>12500</v>
      </c>
      <c r="K1712">
        <v>2</v>
      </c>
      <c r="L1712">
        <v>0.49</v>
      </c>
      <c r="M1712">
        <v>0.5</v>
      </c>
      <c r="N1712" s="1">
        <v>8000000</v>
      </c>
      <c r="O1712">
        <v>0.5</v>
      </c>
      <c r="P1712">
        <v>0.93</v>
      </c>
      <c r="Q1712">
        <v>7.0000000000000007E-2</v>
      </c>
    </row>
    <row r="1713" spans="1:17" x14ac:dyDescent="0.25">
      <c r="A1713">
        <v>730637</v>
      </c>
      <c r="B1713" t="s">
        <v>3025</v>
      </c>
      <c r="C1713">
        <v>0.32</v>
      </c>
      <c r="D1713">
        <v>-0.02</v>
      </c>
      <c r="E1713">
        <v>0.33</v>
      </c>
      <c r="F1713">
        <v>0.34</v>
      </c>
      <c r="G1713">
        <v>0.32</v>
      </c>
      <c r="H1713">
        <v>0.32</v>
      </c>
      <c r="I1713" s="1">
        <v>201000</v>
      </c>
      <c r="J1713" s="1">
        <v>65180</v>
      </c>
      <c r="K1713">
        <v>6</v>
      </c>
      <c r="L1713">
        <v>0.31</v>
      </c>
      <c r="M1713">
        <v>0.32</v>
      </c>
      <c r="N1713" s="1">
        <v>5000000</v>
      </c>
      <c r="O1713">
        <v>0.32</v>
      </c>
      <c r="P1713">
        <v>0.73</v>
      </c>
      <c r="Q1713">
        <v>0.01</v>
      </c>
    </row>
    <row r="1714" spans="1:17" x14ac:dyDescent="0.25">
      <c r="A1714">
        <v>730638</v>
      </c>
      <c r="B1714" t="s">
        <v>3026</v>
      </c>
      <c r="C1714">
        <v>1.02</v>
      </c>
      <c r="D1714">
        <v>0.02</v>
      </c>
      <c r="E1714">
        <v>1.04</v>
      </c>
      <c r="F1714">
        <v>1.07</v>
      </c>
      <c r="G1714">
        <v>1.02</v>
      </c>
      <c r="H1714">
        <v>1.04</v>
      </c>
      <c r="I1714" s="1">
        <v>19000</v>
      </c>
      <c r="J1714" s="1">
        <v>19800</v>
      </c>
      <c r="K1714">
        <v>4</v>
      </c>
      <c r="L1714">
        <v>1.01</v>
      </c>
      <c r="M1714">
        <v>1.02</v>
      </c>
      <c r="N1714" s="1">
        <v>10000000</v>
      </c>
      <c r="O1714">
        <v>1.02</v>
      </c>
      <c r="P1714">
        <v>1.53</v>
      </c>
      <c r="Q1714">
        <v>0.51</v>
      </c>
    </row>
    <row r="1715" spans="1:17" x14ac:dyDescent="0.25">
      <c r="A1715">
        <v>730639</v>
      </c>
      <c r="B1715" t="s">
        <v>3027</v>
      </c>
      <c r="C1715" t="s">
        <v>78</v>
      </c>
      <c r="D1715" t="s">
        <v>78</v>
      </c>
      <c r="E1715" t="s">
        <v>78</v>
      </c>
      <c r="F1715" t="s">
        <v>78</v>
      </c>
      <c r="G1715" t="s">
        <v>78</v>
      </c>
      <c r="H1715">
        <v>4.3899999999999997</v>
      </c>
      <c r="I1715" s="1">
        <v>0</v>
      </c>
      <c r="J1715" s="1">
        <v>0</v>
      </c>
      <c r="K1715">
        <v>0</v>
      </c>
      <c r="L1715">
        <v>4.1900000000000004</v>
      </c>
      <c r="M1715">
        <v>4.29</v>
      </c>
      <c r="N1715" s="1">
        <v>5000000</v>
      </c>
      <c r="O1715">
        <v>4.29</v>
      </c>
      <c r="P1715">
        <v>5.7</v>
      </c>
      <c r="Q1715">
        <v>2.85</v>
      </c>
    </row>
    <row r="1716" spans="1:17" x14ac:dyDescent="0.25">
      <c r="A1716">
        <v>730640</v>
      </c>
      <c r="B1716" t="s">
        <v>3028</v>
      </c>
      <c r="C1716">
        <v>0.28000000000000003</v>
      </c>
      <c r="D1716">
        <v>-7.0000000000000007E-2</v>
      </c>
      <c r="E1716">
        <v>0.28000000000000003</v>
      </c>
      <c r="F1716">
        <v>0.28000000000000003</v>
      </c>
      <c r="G1716">
        <v>0.28000000000000003</v>
      </c>
      <c r="H1716">
        <v>0.28000000000000003</v>
      </c>
      <c r="I1716" s="1">
        <v>10000</v>
      </c>
      <c r="J1716" s="1">
        <v>2800</v>
      </c>
      <c r="K1716">
        <v>1</v>
      </c>
      <c r="L1716">
        <v>0.28000000000000003</v>
      </c>
      <c r="M1716">
        <v>0.31</v>
      </c>
      <c r="N1716" s="1">
        <v>10000000</v>
      </c>
      <c r="O1716">
        <v>0.28000000000000003</v>
      </c>
      <c r="P1716">
        <v>0.92</v>
      </c>
      <c r="Q1716">
        <v>0.01</v>
      </c>
    </row>
    <row r="1717" spans="1:17" x14ac:dyDescent="0.25">
      <c r="A1717">
        <v>730642</v>
      </c>
      <c r="B1717" t="s">
        <v>3029</v>
      </c>
      <c r="C1717" t="s">
        <v>78</v>
      </c>
      <c r="D1717" t="s">
        <v>78</v>
      </c>
      <c r="E1717" t="s">
        <v>78</v>
      </c>
      <c r="F1717" t="s">
        <v>78</v>
      </c>
      <c r="G1717" t="s">
        <v>78</v>
      </c>
      <c r="H1717">
        <v>0.13</v>
      </c>
      <c r="I1717" s="1">
        <v>0</v>
      </c>
      <c r="J1717" s="1">
        <v>0</v>
      </c>
      <c r="K1717">
        <v>0</v>
      </c>
      <c r="L1717">
        <v>0.01</v>
      </c>
      <c r="M1717">
        <v>0.02</v>
      </c>
      <c r="N1717" s="1">
        <v>5000000</v>
      </c>
      <c r="O1717">
        <v>0.02</v>
      </c>
      <c r="P1717">
        <v>1.19</v>
      </c>
      <c r="Q1717">
        <v>0.01</v>
      </c>
    </row>
    <row r="1718" spans="1:17" x14ac:dyDescent="0.25">
      <c r="A1718">
        <v>730643</v>
      </c>
      <c r="B1718" t="s">
        <v>3030</v>
      </c>
      <c r="C1718" t="s">
        <v>78</v>
      </c>
      <c r="D1718" t="s">
        <v>78</v>
      </c>
      <c r="E1718" t="s">
        <v>78</v>
      </c>
      <c r="F1718" t="s">
        <v>78</v>
      </c>
      <c r="G1718" t="s">
        <v>78</v>
      </c>
      <c r="H1718">
        <v>0.36</v>
      </c>
      <c r="I1718" s="1">
        <v>0</v>
      </c>
      <c r="J1718" s="1">
        <v>0</v>
      </c>
      <c r="K1718">
        <v>0</v>
      </c>
      <c r="L1718">
        <v>0.32</v>
      </c>
      <c r="M1718">
        <v>0.35</v>
      </c>
      <c r="N1718" s="1">
        <v>10000000</v>
      </c>
      <c r="O1718">
        <v>0.35</v>
      </c>
      <c r="P1718">
        <v>0.9</v>
      </c>
      <c r="Q1718">
        <v>0.01</v>
      </c>
    </row>
    <row r="1719" spans="1:17" x14ac:dyDescent="0.25">
      <c r="A1719">
        <v>730644</v>
      </c>
      <c r="B1719" t="s">
        <v>3031</v>
      </c>
      <c r="C1719" t="s">
        <v>78</v>
      </c>
      <c r="D1719" t="s">
        <v>78</v>
      </c>
      <c r="E1719" t="s">
        <v>78</v>
      </c>
      <c r="F1719" t="s">
        <v>78</v>
      </c>
      <c r="G1719" t="s">
        <v>78</v>
      </c>
      <c r="H1719">
        <v>0.23</v>
      </c>
      <c r="I1719" s="1">
        <v>0</v>
      </c>
      <c r="J1719" s="1">
        <v>0</v>
      </c>
      <c r="K1719">
        <v>0</v>
      </c>
      <c r="L1719">
        <v>0.1</v>
      </c>
      <c r="M1719">
        <v>0.11</v>
      </c>
      <c r="N1719" s="1">
        <v>10000000</v>
      </c>
      <c r="O1719">
        <v>0.11</v>
      </c>
      <c r="P1719">
        <v>0.76</v>
      </c>
      <c r="Q1719">
        <v>0.01</v>
      </c>
    </row>
    <row r="1720" spans="1:17" x14ac:dyDescent="0.25">
      <c r="A1720">
        <v>730645</v>
      </c>
      <c r="B1720" t="s">
        <v>3032</v>
      </c>
      <c r="C1720" t="s">
        <v>78</v>
      </c>
      <c r="D1720" t="s">
        <v>78</v>
      </c>
      <c r="E1720" t="s">
        <v>78</v>
      </c>
      <c r="F1720" t="s">
        <v>78</v>
      </c>
      <c r="G1720" t="s">
        <v>78</v>
      </c>
      <c r="H1720">
        <v>0.08</v>
      </c>
      <c r="I1720" s="1">
        <v>0</v>
      </c>
      <c r="J1720" s="1">
        <v>0</v>
      </c>
      <c r="K1720">
        <v>0</v>
      </c>
      <c r="L1720">
        <v>0</v>
      </c>
      <c r="M1720">
        <v>0.01</v>
      </c>
      <c r="N1720" s="1">
        <v>5000000</v>
      </c>
      <c r="O1720">
        <v>0.01</v>
      </c>
      <c r="P1720">
        <v>0.75</v>
      </c>
      <c r="Q1720">
        <v>0.01</v>
      </c>
    </row>
    <row r="1721" spans="1:17" x14ac:dyDescent="0.25">
      <c r="A1721">
        <v>730646</v>
      </c>
      <c r="B1721" t="s">
        <v>3033</v>
      </c>
      <c r="C1721" t="s">
        <v>78</v>
      </c>
      <c r="D1721" t="s">
        <v>78</v>
      </c>
      <c r="E1721" t="s">
        <v>78</v>
      </c>
      <c r="F1721" t="s">
        <v>78</v>
      </c>
      <c r="G1721" t="s">
        <v>78</v>
      </c>
      <c r="H1721">
        <v>0.36</v>
      </c>
      <c r="I1721" s="1">
        <v>0</v>
      </c>
      <c r="J1721" s="1">
        <v>0</v>
      </c>
      <c r="K1721">
        <v>0</v>
      </c>
      <c r="L1721">
        <v>0.27</v>
      </c>
      <c r="M1721">
        <v>0.3</v>
      </c>
      <c r="N1721" s="1">
        <v>5000000</v>
      </c>
      <c r="O1721">
        <v>0.28999999999999998</v>
      </c>
      <c r="P1721">
        <v>0.81</v>
      </c>
      <c r="Q1721">
        <v>0.01</v>
      </c>
    </row>
    <row r="1722" spans="1:17" x14ac:dyDescent="0.25">
      <c r="A1722">
        <v>730647</v>
      </c>
      <c r="B1722" t="s">
        <v>3034</v>
      </c>
      <c r="C1722" t="s">
        <v>78</v>
      </c>
      <c r="D1722" t="s">
        <v>78</v>
      </c>
      <c r="E1722" t="s">
        <v>78</v>
      </c>
      <c r="F1722" t="s">
        <v>78</v>
      </c>
      <c r="G1722" t="s">
        <v>78</v>
      </c>
      <c r="H1722">
        <v>1.6</v>
      </c>
      <c r="I1722" s="1">
        <v>0</v>
      </c>
      <c r="J1722" s="1">
        <v>0</v>
      </c>
      <c r="K1722">
        <v>0</v>
      </c>
      <c r="L1722">
        <v>1.54</v>
      </c>
      <c r="M1722">
        <v>1.57</v>
      </c>
      <c r="N1722" s="1">
        <v>5000000</v>
      </c>
      <c r="O1722">
        <v>1.54</v>
      </c>
      <c r="P1722">
        <v>2.64</v>
      </c>
      <c r="Q1722">
        <v>0.44</v>
      </c>
    </row>
    <row r="1723" spans="1:17" x14ac:dyDescent="0.25">
      <c r="A1723">
        <v>730648</v>
      </c>
      <c r="B1723" t="s">
        <v>3035</v>
      </c>
      <c r="C1723">
        <v>0.7</v>
      </c>
      <c r="D1723">
        <v>0</v>
      </c>
      <c r="E1723">
        <v>0.72</v>
      </c>
      <c r="F1723">
        <v>0.72</v>
      </c>
      <c r="G1723">
        <v>0.7</v>
      </c>
      <c r="H1723">
        <v>0.71</v>
      </c>
      <c r="I1723" s="1">
        <v>20000</v>
      </c>
      <c r="J1723" s="1">
        <v>14200</v>
      </c>
      <c r="K1723">
        <v>2</v>
      </c>
      <c r="L1723">
        <v>0.66</v>
      </c>
      <c r="M1723">
        <v>0.67</v>
      </c>
      <c r="N1723" s="1">
        <v>5000000</v>
      </c>
      <c r="O1723">
        <v>0.7</v>
      </c>
      <c r="P1723">
        <v>1.21</v>
      </c>
      <c r="Q1723">
        <v>0.19</v>
      </c>
    </row>
    <row r="1724" spans="1:17" x14ac:dyDescent="0.25">
      <c r="A1724">
        <v>730649</v>
      </c>
      <c r="B1724" t="s">
        <v>3036</v>
      </c>
      <c r="C1724">
        <v>1.03</v>
      </c>
      <c r="D1724">
        <v>0</v>
      </c>
      <c r="E1724">
        <v>0.95</v>
      </c>
      <c r="F1724">
        <v>1.03</v>
      </c>
      <c r="G1724">
        <v>0.93</v>
      </c>
      <c r="H1724">
        <v>0.97</v>
      </c>
      <c r="I1724" s="1">
        <v>465000</v>
      </c>
      <c r="J1724" s="1">
        <v>452840</v>
      </c>
      <c r="K1724">
        <v>13</v>
      </c>
      <c r="L1724">
        <v>0.97</v>
      </c>
      <c r="M1724">
        <v>0.98</v>
      </c>
      <c r="N1724" s="1">
        <v>5000000</v>
      </c>
      <c r="O1724">
        <v>1.03</v>
      </c>
      <c r="P1724">
        <v>1.9</v>
      </c>
      <c r="Q1724">
        <v>0.16</v>
      </c>
    </row>
    <row r="1725" spans="1:17" x14ac:dyDescent="0.25">
      <c r="A1725">
        <v>730650</v>
      </c>
      <c r="B1725" t="s">
        <v>3037</v>
      </c>
      <c r="C1725" t="s">
        <v>78</v>
      </c>
      <c r="D1725" t="s">
        <v>78</v>
      </c>
      <c r="E1725" t="s">
        <v>78</v>
      </c>
      <c r="F1725" t="s">
        <v>78</v>
      </c>
      <c r="G1725" t="s">
        <v>78</v>
      </c>
      <c r="H1725">
        <v>7.2</v>
      </c>
      <c r="I1725" s="1">
        <v>0</v>
      </c>
      <c r="J1725" s="1">
        <v>0</v>
      </c>
      <c r="K1725">
        <v>0</v>
      </c>
      <c r="L1725">
        <v>8.1</v>
      </c>
      <c r="M1725">
        <v>0</v>
      </c>
      <c r="N1725" s="1">
        <v>5000000</v>
      </c>
      <c r="O1725">
        <v>8.1</v>
      </c>
      <c r="P1725">
        <v>9.85</v>
      </c>
      <c r="Q1725">
        <v>6.35</v>
      </c>
    </row>
    <row r="1726" spans="1:17" x14ac:dyDescent="0.25">
      <c r="A1726">
        <v>730651</v>
      </c>
      <c r="B1726" t="s">
        <v>3038</v>
      </c>
      <c r="C1726">
        <v>0.27</v>
      </c>
      <c r="D1726">
        <v>-0.05</v>
      </c>
      <c r="E1726">
        <v>0.27</v>
      </c>
      <c r="F1726">
        <v>0.27</v>
      </c>
      <c r="G1726">
        <v>0.27</v>
      </c>
      <c r="H1726">
        <v>0.27</v>
      </c>
      <c r="I1726" s="1">
        <v>40000</v>
      </c>
      <c r="J1726" s="1">
        <v>10800</v>
      </c>
      <c r="K1726">
        <v>2</v>
      </c>
      <c r="L1726">
        <v>0.23</v>
      </c>
      <c r="M1726">
        <v>0.24</v>
      </c>
      <c r="N1726" s="1">
        <v>5000000</v>
      </c>
      <c r="O1726">
        <v>0.27</v>
      </c>
      <c r="P1726">
        <v>1.28</v>
      </c>
      <c r="Q1726">
        <v>0.01</v>
      </c>
    </row>
    <row r="1727" spans="1:17" x14ac:dyDescent="0.25">
      <c r="A1727">
        <v>730652</v>
      </c>
      <c r="B1727" t="s">
        <v>3039</v>
      </c>
      <c r="C1727">
        <v>3.31</v>
      </c>
      <c r="D1727">
        <v>0.42</v>
      </c>
      <c r="E1727">
        <v>3.34</v>
      </c>
      <c r="F1727">
        <v>3.34</v>
      </c>
      <c r="G1727">
        <v>3.31</v>
      </c>
      <c r="H1727">
        <v>3.34</v>
      </c>
      <c r="I1727" s="1">
        <v>11000</v>
      </c>
      <c r="J1727" s="1">
        <v>36710</v>
      </c>
      <c r="K1727">
        <v>3</v>
      </c>
      <c r="L1727">
        <v>3.22</v>
      </c>
      <c r="M1727">
        <v>0</v>
      </c>
      <c r="N1727" s="1">
        <v>10000000</v>
      </c>
      <c r="O1727">
        <v>3.31</v>
      </c>
      <c r="P1727">
        <v>5.85</v>
      </c>
      <c r="Q1727">
        <v>0.75</v>
      </c>
    </row>
    <row r="1728" spans="1:17" x14ac:dyDescent="0.25">
      <c r="A1728">
        <v>730653</v>
      </c>
      <c r="B1728" t="s">
        <v>3040</v>
      </c>
      <c r="C1728" t="s">
        <v>78</v>
      </c>
      <c r="D1728" t="s">
        <v>78</v>
      </c>
      <c r="E1728" t="s">
        <v>78</v>
      </c>
      <c r="F1728" t="s">
        <v>78</v>
      </c>
      <c r="G1728" t="s">
        <v>78</v>
      </c>
      <c r="H1728">
        <v>0.81</v>
      </c>
      <c r="I1728" s="1">
        <v>0</v>
      </c>
      <c r="J1728" s="1">
        <v>0</v>
      </c>
      <c r="K1728">
        <v>0</v>
      </c>
      <c r="L1728">
        <v>0.56999999999999995</v>
      </c>
      <c r="M1728">
        <v>0.6</v>
      </c>
      <c r="N1728" s="1">
        <v>10000000</v>
      </c>
      <c r="O1728">
        <v>0.56999999999999995</v>
      </c>
      <c r="P1728">
        <v>1.52</v>
      </c>
      <c r="Q1728">
        <v>0.01</v>
      </c>
    </row>
    <row r="1729" spans="1:17" x14ac:dyDescent="0.25">
      <c r="A1729">
        <v>730654</v>
      </c>
      <c r="B1729" t="s">
        <v>3041</v>
      </c>
      <c r="C1729">
        <v>4.29</v>
      </c>
      <c r="D1729">
        <v>-7.0000000000000007E-2</v>
      </c>
      <c r="E1729">
        <v>4.49</v>
      </c>
      <c r="F1729">
        <v>4.49</v>
      </c>
      <c r="G1729">
        <v>4.29</v>
      </c>
      <c r="H1729">
        <v>4.3899999999999997</v>
      </c>
      <c r="I1729" s="1">
        <v>65000</v>
      </c>
      <c r="J1729" s="1">
        <v>285220</v>
      </c>
      <c r="K1729">
        <v>8</v>
      </c>
      <c r="L1729">
        <v>4.2300000000000004</v>
      </c>
      <c r="M1729">
        <v>4.28</v>
      </c>
      <c r="N1729" s="1">
        <v>10000000</v>
      </c>
      <c r="O1729">
        <v>4.29</v>
      </c>
      <c r="P1729">
        <v>5.25</v>
      </c>
      <c r="Q1729">
        <v>3.31</v>
      </c>
    </row>
    <row r="1730" spans="1:17" x14ac:dyDescent="0.25">
      <c r="A1730">
        <v>730655</v>
      </c>
      <c r="B1730" t="s">
        <v>3042</v>
      </c>
      <c r="C1730">
        <v>3.37</v>
      </c>
      <c r="D1730">
        <v>-0.62</v>
      </c>
      <c r="E1730">
        <v>3.37</v>
      </c>
      <c r="F1730">
        <v>3.37</v>
      </c>
      <c r="G1730">
        <v>3.37</v>
      </c>
      <c r="H1730">
        <v>3.37</v>
      </c>
      <c r="I1730" s="1">
        <v>10000</v>
      </c>
      <c r="J1730" s="1">
        <v>33700</v>
      </c>
      <c r="K1730">
        <v>1</v>
      </c>
      <c r="L1730">
        <v>3.48</v>
      </c>
      <c r="M1730">
        <v>3.58</v>
      </c>
      <c r="N1730" s="1">
        <v>10000000</v>
      </c>
      <c r="O1730">
        <v>3.37</v>
      </c>
      <c r="P1730">
        <v>4.46</v>
      </c>
      <c r="Q1730">
        <v>2.2799999999999998</v>
      </c>
    </row>
    <row r="1731" spans="1:17" x14ac:dyDescent="0.25">
      <c r="A1731">
        <v>730656</v>
      </c>
      <c r="B1731" t="s">
        <v>3043</v>
      </c>
      <c r="C1731" t="s">
        <v>78</v>
      </c>
      <c r="D1731" t="s">
        <v>78</v>
      </c>
      <c r="E1731" t="s">
        <v>78</v>
      </c>
      <c r="F1731" t="s">
        <v>78</v>
      </c>
      <c r="G1731" t="s">
        <v>78</v>
      </c>
      <c r="H1731">
        <v>0.18</v>
      </c>
      <c r="I1731" s="1">
        <v>0</v>
      </c>
      <c r="J1731" s="1">
        <v>0</v>
      </c>
      <c r="K1731">
        <v>0</v>
      </c>
      <c r="L1731">
        <v>0.03</v>
      </c>
      <c r="M1731">
        <v>0.04</v>
      </c>
      <c r="N1731" s="1">
        <v>5000000</v>
      </c>
      <c r="O1731">
        <v>0.03</v>
      </c>
      <c r="P1731">
        <v>0.72</v>
      </c>
      <c r="Q1731">
        <v>0.01</v>
      </c>
    </row>
    <row r="1732" spans="1:17" x14ac:dyDescent="0.25">
      <c r="A1732">
        <v>730657</v>
      </c>
      <c r="B1732" t="s">
        <v>3044</v>
      </c>
      <c r="C1732" t="s">
        <v>78</v>
      </c>
      <c r="D1732" t="s">
        <v>78</v>
      </c>
      <c r="E1732" t="s">
        <v>78</v>
      </c>
      <c r="F1732" t="s">
        <v>78</v>
      </c>
      <c r="G1732" t="s">
        <v>78</v>
      </c>
      <c r="H1732">
        <v>0.11</v>
      </c>
      <c r="I1732" s="1">
        <v>0</v>
      </c>
      <c r="J1732" s="1">
        <v>0</v>
      </c>
      <c r="K1732">
        <v>0</v>
      </c>
      <c r="L1732">
        <v>0.01</v>
      </c>
      <c r="M1732">
        <v>0.02</v>
      </c>
      <c r="N1732" s="1">
        <v>5000000</v>
      </c>
      <c r="O1732">
        <v>0.02</v>
      </c>
      <c r="P1732">
        <v>0.9</v>
      </c>
      <c r="Q1732">
        <v>0.01</v>
      </c>
    </row>
    <row r="1733" spans="1:17" x14ac:dyDescent="0.25">
      <c r="A1733">
        <v>730658</v>
      </c>
      <c r="B1733" t="s">
        <v>3045</v>
      </c>
      <c r="C1733" t="s">
        <v>78</v>
      </c>
      <c r="D1733" t="s">
        <v>78</v>
      </c>
      <c r="E1733" t="s">
        <v>78</v>
      </c>
      <c r="F1733" t="s">
        <v>78</v>
      </c>
      <c r="G1733" t="s">
        <v>78</v>
      </c>
      <c r="H1733">
        <v>0.28999999999999998</v>
      </c>
      <c r="I1733" s="1">
        <v>0</v>
      </c>
      <c r="J1733" s="1">
        <v>0</v>
      </c>
      <c r="K1733">
        <v>0</v>
      </c>
      <c r="L1733">
        <v>0.05</v>
      </c>
      <c r="M1733">
        <v>0.1</v>
      </c>
      <c r="N1733" s="1">
        <v>10000000</v>
      </c>
      <c r="O1733">
        <v>0.1</v>
      </c>
      <c r="P1733">
        <v>0.71</v>
      </c>
      <c r="Q1733">
        <v>0.01</v>
      </c>
    </row>
    <row r="1734" spans="1:17" x14ac:dyDescent="0.25">
      <c r="A1734">
        <v>730659</v>
      </c>
      <c r="B1734" t="s">
        <v>3046</v>
      </c>
      <c r="C1734" t="s">
        <v>78</v>
      </c>
      <c r="D1734" t="s">
        <v>78</v>
      </c>
      <c r="E1734" t="s">
        <v>78</v>
      </c>
      <c r="F1734" t="s">
        <v>78</v>
      </c>
      <c r="G1734" t="s">
        <v>78</v>
      </c>
      <c r="H1734">
        <v>0.11</v>
      </c>
      <c r="I1734" s="1">
        <v>0</v>
      </c>
      <c r="J1734" s="1">
        <v>0</v>
      </c>
      <c r="K1734">
        <v>0</v>
      </c>
      <c r="L1734">
        <v>0</v>
      </c>
      <c r="M1734">
        <v>0.02</v>
      </c>
      <c r="N1734" s="1">
        <v>5000000</v>
      </c>
      <c r="O1734">
        <v>0.02</v>
      </c>
      <c r="P1734">
        <v>0.41</v>
      </c>
      <c r="Q1734">
        <v>0.01</v>
      </c>
    </row>
    <row r="1735" spans="1:17" x14ac:dyDescent="0.25">
      <c r="A1735">
        <v>730660</v>
      </c>
      <c r="B1735" t="s">
        <v>3047</v>
      </c>
      <c r="C1735" t="s">
        <v>78</v>
      </c>
      <c r="D1735" t="s">
        <v>78</v>
      </c>
      <c r="E1735" t="s">
        <v>78</v>
      </c>
      <c r="F1735" t="s">
        <v>78</v>
      </c>
      <c r="G1735" t="s">
        <v>78</v>
      </c>
      <c r="H1735">
        <v>0.36</v>
      </c>
      <c r="I1735" s="1">
        <v>0</v>
      </c>
      <c r="J1735" s="1">
        <v>0</v>
      </c>
      <c r="K1735">
        <v>0</v>
      </c>
      <c r="L1735">
        <v>0.34</v>
      </c>
      <c r="M1735">
        <v>0.35</v>
      </c>
      <c r="N1735" s="1">
        <v>10000000</v>
      </c>
      <c r="O1735">
        <v>0.35</v>
      </c>
      <c r="P1735">
        <v>1.03</v>
      </c>
      <c r="Q1735">
        <v>0.01</v>
      </c>
    </row>
    <row r="1736" spans="1:17" x14ac:dyDescent="0.25">
      <c r="A1736">
        <v>730661</v>
      </c>
      <c r="B1736" t="s">
        <v>3048</v>
      </c>
      <c r="C1736" t="s">
        <v>78</v>
      </c>
      <c r="D1736" t="s">
        <v>78</v>
      </c>
      <c r="E1736" t="s">
        <v>78</v>
      </c>
      <c r="F1736" t="s">
        <v>78</v>
      </c>
      <c r="G1736" t="s">
        <v>78</v>
      </c>
      <c r="H1736">
        <v>1.62</v>
      </c>
      <c r="I1736" s="1">
        <v>0</v>
      </c>
      <c r="J1736" s="1">
        <v>0</v>
      </c>
      <c r="K1736">
        <v>0</v>
      </c>
      <c r="L1736">
        <v>1.7</v>
      </c>
      <c r="M1736">
        <v>0</v>
      </c>
      <c r="N1736" s="1">
        <v>10000000</v>
      </c>
      <c r="O1736">
        <v>1.87</v>
      </c>
      <c r="P1736">
        <v>2.42</v>
      </c>
      <c r="Q1736">
        <v>1.32</v>
      </c>
    </row>
    <row r="1737" spans="1:17" x14ac:dyDescent="0.25">
      <c r="A1737">
        <v>730662</v>
      </c>
      <c r="B1737" t="s">
        <v>3049</v>
      </c>
      <c r="C1737" t="s">
        <v>78</v>
      </c>
      <c r="D1737" t="s">
        <v>78</v>
      </c>
      <c r="E1737" t="s">
        <v>78</v>
      </c>
      <c r="F1737" t="s">
        <v>78</v>
      </c>
      <c r="G1737" t="s">
        <v>78</v>
      </c>
      <c r="H1737">
        <v>0.06</v>
      </c>
      <c r="I1737" s="1">
        <v>0</v>
      </c>
      <c r="J1737" s="1">
        <v>0</v>
      </c>
      <c r="K1737">
        <v>0</v>
      </c>
      <c r="L1737">
        <v>0</v>
      </c>
      <c r="M1737">
        <v>0.01</v>
      </c>
      <c r="N1737" s="1">
        <v>5000000</v>
      </c>
      <c r="O1737">
        <v>0.01</v>
      </c>
      <c r="P1737">
        <v>0.73</v>
      </c>
      <c r="Q1737">
        <v>0.01</v>
      </c>
    </row>
    <row r="1738" spans="1:17" x14ac:dyDescent="0.25">
      <c r="A1738">
        <v>730663</v>
      </c>
      <c r="B1738" t="s">
        <v>3050</v>
      </c>
      <c r="C1738" t="s">
        <v>78</v>
      </c>
      <c r="D1738" t="s">
        <v>78</v>
      </c>
      <c r="E1738" t="s">
        <v>78</v>
      </c>
      <c r="F1738" t="s">
        <v>78</v>
      </c>
      <c r="G1738" t="s">
        <v>78</v>
      </c>
      <c r="H1738">
        <v>0.1</v>
      </c>
      <c r="I1738" s="1">
        <v>0</v>
      </c>
      <c r="J1738" s="1">
        <v>0</v>
      </c>
      <c r="K1738">
        <v>0</v>
      </c>
      <c r="L1738">
        <v>0</v>
      </c>
      <c r="M1738">
        <v>0.02</v>
      </c>
      <c r="N1738" s="1">
        <v>5000000</v>
      </c>
      <c r="O1738">
        <v>0.02</v>
      </c>
      <c r="P1738">
        <v>0.54</v>
      </c>
      <c r="Q1738">
        <v>0.01</v>
      </c>
    </row>
    <row r="1739" spans="1:17" x14ac:dyDescent="0.25">
      <c r="A1739">
        <v>730664</v>
      </c>
      <c r="B1739" t="s">
        <v>3051</v>
      </c>
      <c r="C1739" t="s">
        <v>78</v>
      </c>
      <c r="D1739" t="s">
        <v>78</v>
      </c>
      <c r="E1739" t="s">
        <v>78</v>
      </c>
      <c r="F1739" t="s">
        <v>78</v>
      </c>
      <c r="G1739" t="s">
        <v>78</v>
      </c>
      <c r="H1739">
        <v>7.31</v>
      </c>
      <c r="I1739" s="1">
        <v>0</v>
      </c>
      <c r="J1739" s="1">
        <v>0</v>
      </c>
      <c r="K1739">
        <v>0</v>
      </c>
      <c r="L1739">
        <v>6.3</v>
      </c>
      <c r="M1739">
        <v>6.4</v>
      </c>
      <c r="N1739" s="1">
        <v>10000000</v>
      </c>
      <c r="O1739">
        <v>6.4</v>
      </c>
      <c r="P1739">
        <v>8.25</v>
      </c>
      <c r="Q1739">
        <v>4.54</v>
      </c>
    </row>
    <row r="1740" spans="1:17" x14ac:dyDescent="0.25">
      <c r="A1740">
        <v>730665</v>
      </c>
      <c r="B1740" t="s">
        <v>3052</v>
      </c>
      <c r="C1740">
        <v>0.28999999999999998</v>
      </c>
      <c r="D1740">
        <v>0.02</v>
      </c>
      <c r="E1740">
        <v>0.28999999999999998</v>
      </c>
      <c r="F1740">
        <v>0.28999999999999998</v>
      </c>
      <c r="G1740">
        <v>0.28999999999999998</v>
      </c>
      <c r="H1740">
        <v>0.28999999999999998</v>
      </c>
      <c r="I1740" s="1">
        <v>20000</v>
      </c>
      <c r="J1740" s="1">
        <v>5800</v>
      </c>
      <c r="K1740">
        <v>1</v>
      </c>
      <c r="L1740">
        <v>0.31</v>
      </c>
      <c r="M1740">
        <v>0.32</v>
      </c>
      <c r="N1740" s="1">
        <v>5000000</v>
      </c>
      <c r="O1740">
        <v>0.28999999999999998</v>
      </c>
      <c r="P1740">
        <v>1.35</v>
      </c>
      <c r="Q1740">
        <v>0.01</v>
      </c>
    </row>
    <row r="1741" spans="1:17" x14ac:dyDescent="0.25">
      <c r="A1741">
        <v>730666</v>
      </c>
      <c r="B1741" t="s">
        <v>3053</v>
      </c>
      <c r="C1741" t="s">
        <v>78</v>
      </c>
      <c r="D1741" t="s">
        <v>78</v>
      </c>
      <c r="E1741" t="s">
        <v>78</v>
      </c>
      <c r="F1741" t="s">
        <v>78</v>
      </c>
      <c r="G1741" t="s">
        <v>78</v>
      </c>
      <c r="H1741">
        <v>6</v>
      </c>
      <c r="I1741" s="1">
        <v>0</v>
      </c>
      <c r="J1741" s="1">
        <v>0</v>
      </c>
      <c r="K1741">
        <v>0</v>
      </c>
      <c r="L1741">
        <v>5.8</v>
      </c>
      <c r="M1741">
        <v>0</v>
      </c>
      <c r="N1741" s="1">
        <v>5000000</v>
      </c>
      <c r="O1741">
        <v>6</v>
      </c>
      <c r="P1741">
        <v>7.35</v>
      </c>
      <c r="Q1741">
        <v>4.62</v>
      </c>
    </row>
    <row r="1742" spans="1:17" x14ac:dyDescent="0.25">
      <c r="A1742">
        <v>730667</v>
      </c>
      <c r="B1742" t="s">
        <v>3054</v>
      </c>
      <c r="C1742">
        <v>0.06</v>
      </c>
      <c r="D1742">
        <v>0.02</v>
      </c>
      <c r="E1742">
        <v>0.05</v>
      </c>
      <c r="F1742">
        <v>0.06</v>
      </c>
      <c r="G1742">
        <v>0.05</v>
      </c>
      <c r="H1742">
        <v>0.06</v>
      </c>
      <c r="I1742" s="1">
        <v>395000</v>
      </c>
      <c r="J1742" s="1">
        <v>22200</v>
      </c>
      <c r="K1742">
        <v>7</v>
      </c>
      <c r="L1742">
        <v>0.05</v>
      </c>
      <c r="M1742">
        <v>0.06</v>
      </c>
      <c r="N1742" s="1">
        <v>10000000</v>
      </c>
      <c r="O1742">
        <v>0.06</v>
      </c>
      <c r="P1742">
        <v>0.94</v>
      </c>
      <c r="Q1742">
        <v>0.01</v>
      </c>
    </row>
    <row r="1743" spans="1:17" x14ac:dyDescent="0.25">
      <c r="A1743">
        <v>730668</v>
      </c>
      <c r="B1743" t="s">
        <v>3055</v>
      </c>
      <c r="C1743">
        <v>1.98</v>
      </c>
      <c r="D1743">
        <v>0.06</v>
      </c>
      <c r="E1743">
        <v>2.33</v>
      </c>
      <c r="F1743">
        <v>2.33</v>
      </c>
      <c r="G1743">
        <v>1.9</v>
      </c>
      <c r="H1743">
        <v>2.15</v>
      </c>
      <c r="I1743" s="1">
        <v>92000</v>
      </c>
      <c r="J1743" s="1">
        <v>197440</v>
      </c>
      <c r="K1743">
        <v>8</v>
      </c>
      <c r="L1743">
        <v>2.09</v>
      </c>
      <c r="M1743">
        <v>2.11</v>
      </c>
      <c r="N1743" s="1">
        <v>10000000</v>
      </c>
      <c r="O1743">
        <v>1.98</v>
      </c>
      <c r="P1743">
        <v>4.2</v>
      </c>
      <c r="Q1743">
        <v>0.01</v>
      </c>
    </row>
    <row r="1744" spans="1:17" x14ac:dyDescent="0.25">
      <c r="A1744">
        <v>730669</v>
      </c>
      <c r="B1744" t="s">
        <v>3056</v>
      </c>
      <c r="C1744" t="s">
        <v>78</v>
      </c>
      <c r="D1744" t="s">
        <v>78</v>
      </c>
      <c r="E1744" t="s">
        <v>78</v>
      </c>
      <c r="F1744" t="s">
        <v>78</v>
      </c>
      <c r="G1744" t="s">
        <v>78</v>
      </c>
      <c r="H1744">
        <v>1.76</v>
      </c>
      <c r="I1744" s="1">
        <v>0</v>
      </c>
      <c r="J1744" s="1">
        <v>0</v>
      </c>
      <c r="K1744">
        <v>0</v>
      </c>
      <c r="L1744">
        <v>1.1599999999999999</v>
      </c>
      <c r="M1744">
        <v>1.26</v>
      </c>
      <c r="N1744" s="1">
        <v>5000000</v>
      </c>
      <c r="O1744">
        <v>1.22</v>
      </c>
      <c r="P1744">
        <v>1.94</v>
      </c>
      <c r="Q1744">
        <v>0.5</v>
      </c>
    </row>
    <row r="1745" spans="1:17" x14ac:dyDescent="0.25">
      <c r="A1745">
        <v>730670</v>
      </c>
      <c r="B1745" t="s">
        <v>3057</v>
      </c>
      <c r="C1745" t="s">
        <v>78</v>
      </c>
      <c r="D1745" t="s">
        <v>78</v>
      </c>
      <c r="E1745" t="s">
        <v>78</v>
      </c>
      <c r="F1745" t="s">
        <v>78</v>
      </c>
      <c r="G1745" t="s">
        <v>78</v>
      </c>
      <c r="H1745">
        <v>0.01</v>
      </c>
      <c r="I1745" s="1">
        <v>0</v>
      </c>
      <c r="J1745" s="1">
        <v>0</v>
      </c>
      <c r="K1745">
        <v>0</v>
      </c>
      <c r="L1745">
        <v>0</v>
      </c>
      <c r="M1745">
        <v>0.02</v>
      </c>
      <c r="N1745" s="1">
        <v>10000000</v>
      </c>
      <c r="O1745">
        <v>0.01</v>
      </c>
      <c r="P1745">
        <v>0.45</v>
      </c>
      <c r="Q1745">
        <v>0.01</v>
      </c>
    </row>
    <row r="1746" spans="1:17" x14ac:dyDescent="0.25">
      <c r="A1746">
        <v>730671</v>
      </c>
      <c r="B1746" t="s">
        <v>3058</v>
      </c>
      <c r="C1746" t="s">
        <v>78</v>
      </c>
      <c r="D1746" t="s">
        <v>78</v>
      </c>
      <c r="E1746" t="s">
        <v>78</v>
      </c>
      <c r="F1746" t="s">
        <v>78</v>
      </c>
      <c r="G1746" t="s">
        <v>78</v>
      </c>
      <c r="H1746">
        <v>4.58</v>
      </c>
      <c r="I1746" s="1">
        <v>0</v>
      </c>
      <c r="J1746" s="1">
        <v>0</v>
      </c>
      <c r="K1746">
        <v>0</v>
      </c>
      <c r="L1746">
        <v>3.71</v>
      </c>
      <c r="M1746">
        <v>3.81</v>
      </c>
      <c r="N1746" s="1">
        <v>5000000</v>
      </c>
      <c r="O1746">
        <v>3.81</v>
      </c>
      <c r="P1746">
        <v>4.7300000000000004</v>
      </c>
      <c r="Q1746">
        <v>2.89</v>
      </c>
    </row>
    <row r="1747" spans="1:17" x14ac:dyDescent="0.25">
      <c r="A1747">
        <v>730672</v>
      </c>
      <c r="B1747" t="s">
        <v>3059</v>
      </c>
      <c r="C1747" t="s">
        <v>78</v>
      </c>
      <c r="D1747" t="s">
        <v>78</v>
      </c>
      <c r="E1747" t="s">
        <v>78</v>
      </c>
      <c r="F1747" t="s">
        <v>78</v>
      </c>
      <c r="G1747" t="s">
        <v>78</v>
      </c>
      <c r="H1747">
        <v>0.01</v>
      </c>
      <c r="I1747" s="1">
        <v>0</v>
      </c>
      <c r="J1747" s="1">
        <v>0</v>
      </c>
      <c r="K1747">
        <v>0</v>
      </c>
      <c r="L1747">
        <v>0</v>
      </c>
      <c r="M1747">
        <v>0.01</v>
      </c>
      <c r="N1747" s="1">
        <v>10000000</v>
      </c>
      <c r="O1747">
        <v>0.01</v>
      </c>
      <c r="P1747">
        <v>1</v>
      </c>
      <c r="Q1747">
        <v>0.01</v>
      </c>
    </row>
    <row r="1748" spans="1:17" x14ac:dyDescent="0.25">
      <c r="A1748">
        <v>730673</v>
      </c>
      <c r="B1748" t="s">
        <v>3060</v>
      </c>
      <c r="C1748" t="s">
        <v>78</v>
      </c>
      <c r="D1748" t="s">
        <v>78</v>
      </c>
      <c r="E1748" t="s">
        <v>78</v>
      </c>
      <c r="F1748" t="s">
        <v>78</v>
      </c>
      <c r="G1748" t="s">
        <v>78</v>
      </c>
      <c r="H1748">
        <v>0.48</v>
      </c>
      <c r="I1748" s="1">
        <v>0</v>
      </c>
      <c r="J1748" s="1">
        <v>0</v>
      </c>
      <c r="K1748">
        <v>0</v>
      </c>
      <c r="L1748">
        <v>0.01</v>
      </c>
      <c r="M1748">
        <v>0.02</v>
      </c>
      <c r="N1748" s="1">
        <v>10000000</v>
      </c>
      <c r="O1748">
        <v>0.02</v>
      </c>
      <c r="P1748">
        <v>0.6</v>
      </c>
      <c r="Q1748">
        <v>0.01</v>
      </c>
    </row>
    <row r="1749" spans="1:17" x14ac:dyDescent="0.25">
      <c r="A1749">
        <v>730674</v>
      </c>
      <c r="B1749" t="s">
        <v>3061</v>
      </c>
      <c r="C1749" t="s">
        <v>78</v>
      </c>
      <c r="D1749" t="s">
        <v>78</v>
      </c>
      <c r="E1749" t="s">
        <v>78</v>
      </c>
      <c r="F1749" t="s">
        <v>78</v>
      </c>
      <c r="G1749" t="s">
        <v>78</v>
      </c>
      <c r="H1749">
        <v>3.4</v>
      </c>
      <c r="I1749" s="1">
        <v>0</v>
      </c>
      <c r="J1749" s="1">
        <v>0</v>
      </c>
      <c r="K1749">
        <v>0</v>
      </c>
      <c r="L1749">
        <v>4.2</v>
      </c>
      <c r="M1749">
        <v>0</v>
      </c>
      <c r="N1749" s="1">
        <v>5000000</v>
      </c>
      <c r="O1749">
        <v>4.55</v>
      </c>
      <c r="P1749">
        <v>5.7</v>
      </c>
      <c r="Q1749">
        <v>3.39</v>
      </c>
    </row>
    <row r="1750" spans="1:17" x14ac:dyDescent="0.25">
      <c r="A1750">
        <v>730675</v>
      </c>
      <c r="B1750" t="s">
        <v>3062</v>
      </c>
      <c r="C1750">
        <v>0.34</v>
      </c>
      <c r="D1750">
        <v>0</v>
      </c>
      <c r="E1750">
        <v>0.34</v>
      </c>
      <c r="F1750">
        <v>0.34</v>
      </c>
      <c r="G1750">
        <v>0.34</v>
      </c>
      <c r="H1750">
        <v>0.34</v>
      </c>
      <c r="I1750" s="1">
        <v>3000</v>
      </c>
      <c r="J1750" s="1">
        <v>1020</v>
      </c>
      <c r="K1750">
        <v>1</v>
      </c>
      <c r="L1750">
        <v>0.35</v>
      </c>
      <c r="M1750">
        <v>0.36</v>
      </c>
      <c r="N1750" s="1">
        <v>5000000</v>
      </c>
      <c r="O1750">
        <v>0.34</v>
      </c>
      <c r="P1750">
        <v>0.83</v>
      </c>
      <c r="Q1750">
        <v>0.01</v>
      </c>
    </row>
    <row r="1751" spans="1:17" x14ac:dyDescent="0.25">
      <c r="A1751">
        <v>730676</v>
      </c>
      <c r="B1751" t="s">
        <v>3063</v>
      </c>
      <c r="C1751" t="s">
        <v>78</v>
      </c>
      <c r="D1751" t="s">
        <v>78</v>
      </c>
      <c r="E1751" t="s">
        <v>78</v>
      </c>
      <c r="F1751" t="s">
        <v>78</v>
      </c>
      <c r="G1751" t="s">
        <v>78</v>
      </c>
      <c r="H1751">
        <v>0.1</v>
      </c>
      <c r="I1751" s="1">
        <v>0</v>
      </c>
      <c r="J1751" s="1">
        <v>0</v>
      </c>
      <c r="K1751">
        <v>0</v>
      </c>
      <c r="L1751">
        <v>0.01</v>
      </c>
      <c r="M1751">
        <v>0.02</v>
      </c>
      <c r="N1751" s="1">
        <v>5000000</v>
      </c>
      <c r="O1751">
        <v>0.02</v>
      </c>
      <c r="P1751">
        <v>1</v>
      </c>
      <c r="Q1751">
        <v>0.01</v>
      </c>
    </row>
    <row r="1752" spans="1:17" x14ac:dyDescent="0.25">
      <c r="A1752">
        <v>730677</v>
      </c>
      <c r="B1752" t="s">
        <v>3064</v>
      </c>
      <c r="C1752" t="s">
        <v>78</v>
      </c>
      <c r="D1752" t="s">
        <v>78</v>
      </c>
      <c r="E1752" t="s">
        <v>78</v>
      </c>
      <c r="F1752" t="s">
        <v>78</v>
      </c>
      <c r="G1752" t="s">
        <v>78</v>
      </c>
      <c r="H1752">
        <v>4.05</v>
      </c>
      <c r="I1752" s="1">
        <v>0</v>
      </c>
      <c r="J1752" s="1">
        <v>0</v>
      </c>
      <c r="K1752">
        <v>0</v>
      </c>
      <c r="L1752">
        <v>8.4499999999999993</v>
      </c>
      <c r="M1752">
        <v>0</v>
      </c>
      <c r="N1752" s="1">
        <v>5000000</v>
      </c>
      <c r="O1752">
        <v>10.3</v>
      </c>
      <c r="P1752">
        <v>12.3</v>
      </c>
      <c r="Q1752">
        <v>8.3000000000000007</v>
      </c>
    </row>
    <row r="1753" spans="1:17" x14ac:dyDescent="0.25">
      <c r="A1753">
        <v>730678</v>
      </c>
      <c r="B1753" t="s">
        <v>3065</v>
      </c>
      <c r="C1753" t="s">
        <v>78</v>
      </c>
      <c r="D1753" t="s">
        <v>78</v>
      </c>
      <c r="E1753" t="s">
        <v>78</v>
      </c>
      <c r="F1753" t="s">
        <v>78</v>
      </c>
      <c r="G1753" t="s">
        <v>78</v>
      </c>
      <c r="H1753">
        <v>0.2</v>
      </c>
      <c r="I1753" s="1">
        <v>0</v>
      </c>
      <c r="J1753" s="1">
        <v>0</v>
      </c>
      <c r="K1753">
        <v>0</v>
      </c>
      <c r="L1753">
        <v>0.05</v>
      </c>
      <c r="M1753">
        <v>0.06</v>
      </c>
      <c r="N1753" s="1">
        <v>5000000</v>
      </c>
      <c r="O1753">
        <v>0.06</v>
      </c>
      <c r="P1753">
        <v>0.71</v>
      </c>
      <c r="Q1753">
        <v>0.01</v>
      </c>
    </row>
    <row r="1754" spans="1:17" x14ac:dyDescent="0.25">
      <c r="A1754">
        <v>730679</v>
      </c>
      <c r="B1754" t="s">
        <v>3066</v>
      </c>
      <c r="C1754">
        <v>1.66</v>
      </c>
      <c r="D1754">
        <v>0.38</v>
      </c>
      <c r="E1754">
        <v>1.41</v>
      </c>
      <c r="F1754">
        <v>1.76</v>
      </c>
      <c r="G1754">
        <v>1.36</v>
      </c>
      <c r="H1754">
        <v>1.51</v>
      </c>
      <c r="I1754" s="1">
        <v>49000</v>
      </c>
      <c r="J1754" s="1">
        <v>73840</v>
      </c>
      <c r="K1754">
        <v>5</v>
      </c>
      <c r="L1754">
        <v>1.54</v>
      </c>
      <c r="M1754">
        <v>1.63</v>
      </c>
      <c r="N1754" s="1">
        <v>5000000</v>
      </c>
      <c r="O1754">
        <v>1.66</v>
      </c>
      <c r="P1754">
        <v>3.11</v>
      </c>
      <c r="Q1754">
        <v>0.21</v>
      </c>
    </row>
    <row r="1755" spans="1:17" x14ac:dyDescent="0.25">
      <c r="A1755">
        <v>730680</v>
      </c>
      <c r="B1755" t="s">
        <v>3067</v>
      </c>
      <c r="C1755" t="s">
        <v>78</v>
      </c>
      <c r="D1755" t="s">
        <v>78</v>
      </c>
      <c r="E1755" t="s">
        <v>78</v>
      </c>
      <c r="F1755" t="s">
        <v>78</v>
      </c>
      <c r="G1755" t="s">
        <v>78</v>
      </c>
      <c r="H1755">
        <v>2.33</v>
      </c>
      <c r="I1755" s="1">
        <v>0</v>
      </c>
      <c r="J1755" s="1">
        <v>0</v>
      </c>
      <c r="K1755">
        <v>0</v>
      </c>
      <c r="L1755">
        <v>3.97</v>
      </c>
      <c r="M1755">
        <v>4.07</v>
      </c>
      <c r="N1755" s="1">
        <v>5000000</v>
      </c>
      <c r="O1755">
        <v>3.97</v>
      </c>
      <c r="P1755">
        <v>5.0999999999999996</v>
      </c>
      <c r="Q1755">
        <v>2.83</v>
      </c>
    </row>
    <row r="1756" spans="1:17" x14ac:dyDescent="0.25">
      <c r="A1756">
        <v>730681</v>
      </c>
      <c r="B1756" t="s">
        <v>3068</v>
      </c>
      <c r="C1756">
        <v>0.43</v>
      </c>
      <c r="D1756">
        <v>-7.0000000000000007E-2</v>
      </c>
      <c r="E1756">
        <v>0.47</v>
      </c>
      <c r="F1756">
        <v>0.47</v>
      </c>
      <c r="G1756">
        <v>0.43</v>
      </c>
      <c r="H1756">
        <v>0.46</v>
      </c>
      <c r="I1756" s="1">
        <v>102000</v>
      </c>
      <c r="J1756" s="1">
        <v>47140</v>
      </c>
      <c r="K1756">
        <v>5</v>
      </c>
      <c r="L1756">
        <v>0.42</v>
      </c>
      <c r="M1756">
        <v>0.43</v>
      </c>
      <c r="N1756" s="1">
        <v>10000000</v>
      </c>
      <c r="O1756">
        <v>0.43</v>
      </c>
      <c r="P1756">
        <v>0.95</v>
      </c>
      <c r="Q1756">
        <v>0.01</v>
      </c>
    </row>
    <row r="1757" spans="1:17" x14ac:dyDescent="0.25">
      <c r="A1757">
        <v>730682</v>
      </c>
      <c r="B1757" t="s">
        <v>3069</v>
      </c>
      <c r="C1757" t="s">
        <v>78</v>
      </c>
      <c r="D1757" t="s">
        <v>78</v>
      </c>
      <c r="E1757" t="s">
        <v>78</v>
      </c>
      <c r="F1757" t="s">
        <v>78</v>
      </c>
      <c r="G1757" t="s">
        <v>78</v>
      </c>
      <c r="H1757">
        <v>0.01</v>
      </c>
      <c r="I1757" s="1">
        <v>0</v>
      </c>
      <c r="J1757" s="1">
        <v>0</v>
      </c>
      <c r="K1757">
        <v>0</v>
      </c>
      <c r="L1757">
        <v>0</v>
      </c>
      <c r="M1757">
        <v>0.03</v>
      </c>
      <c r="N1757" s="1">
        <v>5000000</v>
      </c>
      <c r="O1757">
        <v>0.01</v>
      </c>
      <c r="P1757">
        <v>0.43</v>
      </c>
      <c r="Q1757">
        <v>0.01</v>
      </c>
    </row>
    <row r="1758" spans="1:17" x14ac:dyDescent="0.25">
      <c r="A1758">
        <v>730683</v>
      </c>
      <c r="B1758" t="s">
        <v>3070</v>
      </c>
      <c r="C1758">
        <v>4.12</v>
      </c>
      <c r="D1758">
        <v>0.57999999999999996</v>
      </c>
      <c r="E1758">
        <v>4.29</v>
      </c>
      <c r="F1758">
        <v>4.29</v>
      </c>
      <c r="G1758">
        <v>4.12</v>
      </c>
      <c r="H1758">
        <v>4.2</v>
      </c>
      <c r="I1758" s="1">
        <v>20000</v>
      </c>
      <c r="J1758" s="1">
        <v>84100</v>
      </c>
      <c r="K1758">
        <v>4</v>
      </c>
      <c r="L1758">
        <v>3.13</v>
      </c>
      <c r="M1758">
        <v>0</v>
      </c>
      <c r="N1758" s="1">
        <v>10000000</v>
      </c>
      <c r="O1758">
        <v>4.12</v>
      </c>
      <c r="P1758">
        <v>5.9</v>
      </c>
      <c r="Q1758">
        <v>2.3199999999999998</v>
      </c>
    </row>
    <row r="1759" spans="1:17" x14ac:dyDescent="0.25">
      <c r="A1759">
        <v>730684</v>
      </c>
      <c r="B1759" t="s">
        <v>3071</v>
      </c>
      <c r="C1759">
        <v>1.6</v>
      </c>
      <c r="D1759">
        <v>0.02</v>
      </c>
      <c r="E1759">
        <v>1.58</v>
      </c>
      <c r="F1759">
        <v>1.6</v>
      </c>
      <c r="G1759">
        <v>1.57</v>
      </c>
      <c r="H1759">
        <v>1.58</v>
      </c>
      <c r="I1759" s="1">
        <v>127000</v>
      </c>
      <c r="J1759" s="1">
        <v>200290</v>
      </c>
      <c r="K1759">
        <v>10</v>
      </c>
      <c r="L1759">
        <v>1.49</v>
      </c>
      <c r="M1759">
        <v>1.52</v>
      </c>
      <c r="N1759" s="1">
        <v>5000000</v>
      </c>
      <c r="O1759">
        <v>1.6</v>
      </c>
      <c r="P1759">
        <v>2.79</v>
      </c>
      <c r="Q1759">
        <v>0.41</v>
      </c>
    </row>
    <row r="1760" spans="1:17" x14ac:dyDescent="0.25">
      <c r="A1760">
        <v>730685</v>
      </c>
      <c r="B1760" t="s">
        <v>3072</v>
      </c>
      <c r="C1760" t="s">
        <v>78</v>
      </c>
      <c r="D1760" t="s">
        <v>78</v>
      </c>
      <c r="E1760" t="s">
        <v>78</v>
      </c>
      <c r="F1760" t="s">
        <v>78</v>
      </c>
      <c r="G1760" t="s">
        <v>78</v>
      </c>
      <c r="H1760">
        <v>0.35</v>
      </c>
      <c r="I1760" s="1">
        <v>0</v>
      </c>
      <c r="J1760" s="1">
        <v>0</v>
      </c>
      <c r="K1760">
        <v>0</v>
      </c>
      <c r="L1760">
        <v>0.17</v>
      </c>
      <c r="M1760">
        <v>0.18</v>
      </c>
      <c r="N1760" s="1">
        <v>5000000</v>
      </c>
      <c r="O1760">
        <v>0.18</v>
      </c>
      <c r="P1760">
        <v>0.96</v>
      </c>
      <c r="Q1760">
        <v>0.01</v>
      </c>
    </row>
    <row r="1761" spans="1:17" x14ac:dyDescent="0.25">
      <c r="A1761">
        <v>730686</v>
      </c>
      <c r="B1761" t="s">
        <v>3073</v>
      </c>
      <c r="C1761" t="s">
        <v>78</v>
      </c>
      <c r="D1761" t="s">
        <v>78</v>
      </c>
      <c r="E1761" t="s">
        <v>78</v>
      </c>
      <c r="F1761" t="s">
        <v>78</v>
      </c>
      <c r="G1761" t="s">
        <v>78</v>
      </c>
      <c r="H1761">
        <v>4.71</v>
      </c>
      <c r="I1761" s="1">
        <v>0</v>
      </c>
      <c r="J1761" s="1">
        <v>0</v>
      </c>
      <c r="K1761">
        <v>0</v>
      </c>
      <c r="L1761">
        <v>4.83</v>
      </c>
      <c r="M1761">
        <v>4.92</v>
      </c>
      <c r="N1761" s="1">
        <v>10000000</v>
      </c>
      <c r="O1761">
        <v>4.83</v>
      </c>
      <c r="P1761">
        <v>6.3</v>
      </c>
      <c r="Q1761">
        <v>3.32</v>
      </c>
    </row>
    <row r="1762" spans="1:17" x14ac:dyDescent="0.25">
      <c r="A1762">
        <v>730687</v>
      </c>
      <c r="B1762" t="s">
        <v>3074</v>
      </c>
      <c r="C1762" t="s">
        <v>78</v>
      </c>
      <c r="D1762" t="s">
        <v>78</v>
      </c>
      <c r="E1762" t="s">
        <v>78</v>
      </c>
      <c r="F1762" t="s">
        <v>78</v>
      </c>
      <c r="G1762" t="s">
        <v>78</v>
      </c>
      <c r="H1762">
        <v>0.01</v>
      </c>
      <c r="I1762" s="1">
        <v>0</v>
      </c>
      <c r="J1762" s="1">
        <v>0</v>
      </c>
      <c r="K1762">
        <v>0</v>
      </c>
      <c r="L1762">
        <v>0.01</v>
      </c>
      <c r="M1762">
        <v>0.02</v>
      </c>
      <c r="N1762" s="1">
        <v>10000000</v>
      </c>
      <c r="O1762">
        <v>0.01</v>
      </c>
      <c r="P1762">
        <v>0.56000000000000005</v>
      </c>
      <c r="Q1762">
        <v>0.01</v>
      </c>
    </row>
    <row r="1763" spans="1:17" x14ac:dyDescent="0.25">
      <c r="A1763">
        <v>730688</v>
      </c>
      <c r="B1763" t="s">
        <v>3075</v>
      </c>
      <c r="C1763" t="s">
        <v>78</v>
      </c>
      <c r="D1763" t="s">
        <v>78</v>
      </c>
      <c r="E1763" t="s">
        <v>78</v>
      </c>
      <c r="F1763" t="s">
        <v>78</v>
      </c>
      <c r="G1763" t="s">
        <v>78</v>
      </c>
      <c r="H1763">
        <v>1.87</v>
      </c>
      <c r="I1763" s="1">
        <v>0</v>
      </c>
      <c r="J1763" s="1">
        <v>0</v>
      </c>
      <c r="K1763">
        <v>0</v>
      </c>
      <c r="L1763">
        <v>1.85</v>
      </c>
      <c r="M1763">
        <v>1.93</v>
      </c>
      <c r="N1763" s="1">
        <v>10000000</v>
      </c>
      <c r="O1763">
        <v>1.93</v>
      </c>
      <c r="P1763">
        <v>2.7</v>
      </c>
      <c r="Q1763">
        <v>1.1599999999999999</v>
      </c>
    </row>
    <row r="1764" spans="1:17" x14ac:dyDescent="0.25">
      <c r="A1764">
        <v>730689</v>
      </c>
      <c r="B1764" t="s">
        <v>3076</v>
      </c>
      <c r="C1764">
        <v>0.37</v>
      </c>
      <c r="D1764">
        <v>0.01</v>
      </c>
      <c r="E1764">
        <v>0.37</v>
      </c>
      <c r="F1764">
        <v>0.37</v>
      </c>
      <c r="G1764">
        <v>0.37</v>
      </c>
      <c r="H1764">
        <v>0.37</v>
      </c>
      <c r="I1764" s="1">
        <v>6000</v>
      </c>
      <c r="J1764" s="1">
        <v>2220</v>
      </c>
      <c r="K1764">
        <v>2</v>
      </c>
      <c r="L1764">
        <v>0.36</v>
      </c>
      <c r="M1764">
        <v>0.37</v>
      </c>
      <c r="N1764" s="1">
        <v>10000000</v>
      </c>
      <c r="O1764">
        <v>0.37</v>
      </c>
      <c r="P1764">
        <v>0.77</v>
      </c>
      <c r="Q1764">
        <v>0.01</v>
      </c>
    </row>
    <row r="1765" spans="1:17" x14ac:dyDescent="0.25">
      <c r="A1765">
        <v>730690</v>
      </c>
      <c r="B1765" t="s">
        <v>3077</v>
      </c>
      <c r="C1765" t="s">
        <v>78</v>
      </c>
      <c r="D1765" t="s">
        <v>78</v>
      </c>
      <c r="E1765" t="s">
        <v>78</v>
      </c>
      <c r="F1765" t="s">
        <v>78</v>
      </c>
      <c r="G1765" t="s">
        <v>78</v>
      </c>
      <c r="H1765">
        <v>3.69</v>
      </c>
      <c r="I1765" s="1">
        <v>0</v>
      </c>
      <c r="J1765" s="1">
        <v>0</v>
      </c>
      <c r="K1765">
        <v>0</v>
      </c>
      <c r="L1765">
        <v>4.1100000000000003</v>
      </c>
      <c r="M1765">
        <v>0</v>
      </c>
      <c r="N1765" s="1">
        <v>10000000</v>
      </c>
      <c r="O1765">
        <v>4.3099999999999996</v>
      </c>
      <c r="P1765">
        <v>5.45</v>
      </c>
      <c r="Q1765">
        <v>3.17</v>
      </c>
    </row>
    <row r="1766" spans="1:17" x14ac:dyDescent="0.25">
      <c r="A1766">
        <v>730691</v>
      </c>
      <c r="B1766" t="s">
        <v>3078</v>
      </c>
      <c r="C1766" t="s">
        <v>78</v>
      </c>
      <c r="D1766" t="s">
        <v>78</v>
      </c>
      <c r="E1766" t="s">
        <v>78</v>
      </c>
      <c r="F1766" t="s">
        <v>78</v>
      </c>
      <c r="G1766" t="s">
        <v>78</v>
      </c>
      <c r="H1766">
        <v>2.39</v>
      </c>
      <c r="I1766" s="1">
        <v>0</v>
      </c>
      <c r="J1766" s="1">
        <v>0</v>
      </c>
      <c r="K1766">
        <v>0</v>
      </c>
      <c r="L1766">
        <v>0</v>
      </c>
      <c r="M1766">
        <v>5</v>
      </c>
      <c r="N1766" s="1">
        <v>5000000</v>
      </c>
      <c r="O1766">
        <v>5</v>
      </c>
      <c r="P1766">
        <v>5.95</v>
      </c>
      <c r="Q1766">
        <v>4.0199999999999996</v>
      </c>
    </row>
    <row r="1767" spans="1:17" x14ac:dyDescent="0.25">
      <c r="A1767">
        <v>730692</v>
      </c>
      <c r="B1767" t="s">
        <v>3079</v>
      </c>
      <c r="C1767" t="s">
        <v>78</v>
      </c>
      <c r="D1767" t="s">
        <v>78</v>
      </c>
      <c r="E1767" t="s">
        <v>78</v>
      </c>
      <c r="F1767" t="s">
        <v>78</v>
      </c>
      <c r="G1767" t="s">
        <v>78</v>
      </c>
      <c r="H1767">
        <v>1.52</v>
      </c>
      <c r="I1767" s="1">
        <v>0</v>
      </c>
      <c r="J1767" s="1">
        <v>0</v>
      </c>
      <c r="K1767">
        <v>0</v>
      </c>
      <c r="L1767">
        <v>1.75</v>
      </c>
      <c r="M1767">
        <v>1.83</v>
      </c>
      <c r="N1767" s="1">
        <v>5000000</v>
      </c>
      <c r="O1767">
        <v>1.75</v>
      </c>
      <c r="P1767">
        <v>3.09</v>
      </c>
      <c r="Q1767">
        <v>0.41</v>
      </c>
    </row>
    <row r="1768" spans="1:17" x14ac:dyDescent="0.25">
      <c r="A1768">
        <v>730693</v>
      </c>
      <c r="B1768" t="s">
        <v>3080</v>
      </c>
      <c r="C1768" t="s">
        <v>78</v>
      </c>
      <c r="D1768" t="s">
        <v>78</v>
      </c>
      <c r="E1768" t="s">
        <v>78</v>
      </c>
      <c r="F1768" t="s">
        <v>78</v>
      </c>
      <c r="G1768" t="s">
        <v>78</v>
      </c>
      <c r="H1768">
        <v>7.15</v>
      </c>
      <c r="I1768" s="1">
        <v>0</v>
      </c>
      <c r="J1768" s="1">
        <v>0</v>
      </c>
      <c r="K1768">
        <v>0</v>
      </c>
      <c r="L1768">
        <v>7.05</v>
      </c>
      <c r="M1768">
        <v>7.15</v>
      </c>
      <c r="N1768" s="1">
        <v>5000000</v>
      </c>
      <c r="O1768">
        <v>7.15</v>
      </c>
      <c r="P1768">
        <v>8.6999999999999993</v>
      </c>
      <c r="Q1768">
        <v>5.6</v>
      </c>
    </row>
    <row r="1769" spans="1:17" x14ac:dyDescent="0.25">
      <c r="A1769">
        <v>730694</v>
      </c>
      <c r="B1769" t="s">
        <v>3081</v>
      </c>
      <c r="C1769">
        <v>1.06</v>
      </c>
      <c r="D1769">
        <v>0.21</v>
      </c>
      <c r="E1769">
        <v>1.04</v>
      </c>
      <c r="F1769">
        <v>1.06</v>
      </c>
      <c r="G1769">
        <v>1.04</v>
      </c>
      <c r="H1769">
        <v>1.04</v>
      </c>
      <c r="I1769" s="1">
        <v>97000</v>
      </c>
      <c r="J1769" s="1">
        <v>100900</v>
      </c>
      <c r="K1769">
        <v>2</v>
      </c>
      <c r="L1769">
        <v>0.9</v>
      </c>
      <c r="M1769">
        <v>0.95</v>
      </c>
      <c r="N1769" s="1">
        <v>10000000</v>
      </c>
      <c r="O1769">
        <v>1.06</v>
      </c>
      <c r="P1769">
        <v>2.42</v>
      </c>
      <c r="Q1769">
        <v>0.01</v>
      </c>
    </row>
    <row r="1770" spans="1:17" x14ac:dyDescent="0.25">
      <c r="A1770">
        <v>730695</v>
      </c>
      <c r="B1770" t="s">
        <v>3082</v>
      </c>
      <c r="C1770" t="s">
        <v>78</v>
      </c>
      <c r="D1770" t="s">
        <v>78</v>
      </c>
      <c r="E1770" t="s">
        <v>78</v>
      </c>
      <c r="F1770" t="s">
        <v>78</v>
      </c>
      <c r="G1770" t="s">
        <v>78</v>
      </c>
      <c r="H1770">
        <v>7.43</v>
      </c>
      <c r="I1770" s="1">
        <v>0</v>
      </c>
      <c r="J1770" s="1">
        <v>0</v>
      </c>
      <c r="K1770">
        <v>0</v>
      </c>
      <c r="L1770">
        <v>0</v>
      </c>
      <c r="M1770">
        <v>0</v>
      </c>
      <c r="N1770" s="1">
        <v>5000000</v>
      </c>
      <c r="O1770">
        <v>7.55</v>
      </c>
      <c r="P1770">
        <v>9.1999999999999993</v>
      </c>
      <c r="Q1770">
        <v>5.9</v>
      </c>
    </row>
    <row r="1771" spans="1:17" x14ac:dyDescent="0.25">
      <c r="A1771">
        <v>730696</v>
      </c>
      <c r="B1771" t="s">
        <v>3083</v>
      </c>
      <c r="C1771" t="s">
        <v>78</v>
      </c>
      <c r="D1771" t="s">
        <v>78</v>
      </c>
      <c r="E1771" t="s">
        <v>78</v>
      </c>
      <c r="F1771" t="s">
        <v>78</v>
      </c>
      <c r="G1771" t="s">
        <v>78</v>
      </c>
      <c r="H1771">
        <v>0.47</v>
      </c>
      <c r="I1771" s="1">
        <v>0</v>
      </c>
      <c r="J1771" s="1">
        <v>0</v>
      </c>
      <c r="K1771">
        <v>0</v>
      </c>
      <c r="L1771">
        <v>0.4</v>
      </c>
      <c r="M1771">
        <v>0.45</v>
      </c>
      <c r="N1771" s="1">
        <v>5000000</v>
      </c>
      <c r="O1771">
        <v>0.44</v>
      </c>
      <c r="P1771">
        <v>0.97</v>
      </c>
      <c r="Q1771">
        <v>0.01</v>
      </c>
    </row>
    <row r="1772" spans="1:17" x14ac:dyDescent="0.25">
      <c r="A1772">
        <v>730697</v>
      </c>
      <c r="B1772" t="s">
        <v>3084</v>
      </c>
      <c r="C1772" t="s">
        <v>78</v>
      </c>
      <c r="D1772" t="s">
        <v>78</v>
      </c>
      <c r="E1772" t="s">
        <v>78</v>
      </c>
      <c r="F1772" t="s">
        <v>78</v>
      </c>
      <c r="G1772" t="s">
        <v>78</v>
      </c>
      <c r="H1772">
        <v>5</v>
      </c>
      <c r="I1772" s="1">
        <v>0</v>
      </c>
      <c r="J1772" s="1">
        <v>0</v>
      </c>
      <c r="K1772">
        <v>0</v>
      </c>
      <c r="L1772">
        <v>5</v>
      </c>
      <c r="M1772">
        <v>0</v>
      </c>
      <c r="N1772" s="1">
        <v>5000000</v>
      </c>
      <c r="O1772">
        <v>5</v>
      </c>
      <c r="P1772">
        <v>6.35</v>
      </c>
      <c r="Q1772">
        <v>3.62</v>
      </c>
    </row>
    <row r="1773" spans="1:17" x14ac:dyDescent="0.25">
      <c r="A1773">
        <v>730698</v>
      </c>
      <c r="B1773" t="s">
        <v>3085</v>
      </c>
      <c r="C1773" t="s">
        <v>78</v>
      </c>
      <c r="D1773" t="s">
        <v>78</v>
      </c>
      <c r="E1773" t="s">
        <v>78</v>
      </c>
      <c r="F1773" t="s">
        <v>78</v>
      </c>
      <c r="G1773" t="s">
        <v>78</v>
      </c>
      <c r="H1773">
        <v>0.18</v>
      </c>
      <c r="I1773" s="1">
        <v>0</v>
      </c>
      <c r="J1773" s="1">
        <v>0</v>
      </c>
      <c r="K1773">
        <v>0</v>
      </c>
      <c r="L1773">
        <v>0.16</v>
      </c>
      <c r="M1773">
        <v>0.17</v>
      </c>
      <c r="N1773" s="1">
        <v>5000000</v>
      </c>
      <c r="O1773">
        <v>0.17</v>
      </c>
      <c r="P1773">
        <v>0.86</v>
      </c>
      <c r="Q1773">
        <v>0.01</v>
      </c>
    </row>
    <row r="1774" spans="1:17" x14ac:dyDescent="0.25">
      <c r="A1774">
        <v>730699</v>
      </c>
      <c r="B1774" t="s">
        <v>3086</v>
      </c>
      <c r="C1774" t="s">
        <v>78</v>
      </c>
      <c r="D1774" t="s">
        <v>78</v>
      </c>
      <c r="E1774" t="s">
        <v>78</v>
      </c>
      <c r="F1774" t="s">
        <v>78</v>
      </c>
      <c r="G1774" t="s">
        <v>78</v>
      </c>
      <c r="H1774">
        <v>3.2</v>
      </c>
      <c r="I1774" s="1">
        <v>0</v>
      </c>
      <c r="J1774" s="1">
        <v>0</v>
      </c>
      <c r="K1774">
        <v>0</v>
      </c>
      <c r="L1774">
        <v>4.5199999999999996</v>
      </c>
      <c r="M1774">
        <v>4.59</v>
      </c>
      <c r="N1774" s="1">
        <v>10000000</v>
      </c>
      <c r="O1774">
        <v>4.5199999999999996</v>
      </c>
      <c r="P1774">
        <v>5.85</v>
      </c>
      <c r="Q1774">
        <v>3.16</v>
      </c>
    </row>
    <row r="1775" spans="1:17" x14ac:dyDescent="0.25">
      <c r="A1775">
        <v>730700</v>
      </c>
      <c r="B1775" t="s">
        <v>3087</v>
      </c>
      <c r="C1775">
        <v>0.48</v>
      </c>
      <c r="D1775">
        <v>-0.06</v>
      </c>
      <c r="E1775">
        <v>0.5</v>
      </c>
      <c r="F1775">
        <v>0.51</v>
      </c>
      <c r="G1775">
        <v>0.48</v>
      </c>
      <c r="H1775">
        <v>0.5</v>
      </c>
      <c r="I1775" s="1">
        <v>50000</v>
      </c>
      <c r="J1775" s="1">
        <v>24850</v>
      </c>
      <c r="K1775">
        <v>4</v>
      </c>
      <c r="L1775">
        <v>0.47</v>
      </c>
      <c r="M1775">
        <v>0.48</v>
      </c>
      <c r="N1775" s="1">
        <v>10000000</v>
      </c>
      <c r="O1775">
        <v>0.48</v>
      </c>
      <c r="P1775">
        <v>0.99</v>
      </c>
      <c r="Q1775">
        <v>0.01</v>
      </c>
    </row>
    <row r="1776" spans="1:17" x14ac:dyDescent="0.25">
      <c r="A1776">
        <v>730701</v>
      </c>
      <c r="B1776" t="s">
        <v>3088</v>
      </c>
      <c r="C1776">
        <v>0.35</v>
      </c>
      <c r="D1776">
        <v>0</v>
      </c>
      <c r="E1776">
        <v>0.35</v>
      </c>
      <c r="F1776">
        <v>0.35</v>
      </c>
      <c r="G1776">
        <v>0.35</v>
      </c>
      <c r="H1776">
        <v>0.35</v>
      </c>
      <c r="I1776" s="1">
        <v>20000</v>
      </c>
      <c r="J1776" s="1">
        <v>7000</v>
      </c>
      <c r="K1776">
        <v>1</v>
      </c>
      <c r="L1776">
        <v>0.35</v>
      </c>
      <c r="M1776">
        <v>0.36</v>
      </c>
      <c r="N1776" s="1">
        <v>10000000</v>
      </c>
      <c r="O1776">
        <v>0.35</v>
      </c>
      <c r="P1776">
        <v>0.66</v>
      </c>
      <c r="Q1776">
        <v>0.04</v>
      </c>
    </row>
    <row r="1777" spans="1:17" x14ac:dyDescent="0.25">
      <c r="A1777">
        <v>730702</v>
      </c>
      <c r="B1777" t="s">
        <v>3089</v>
      </c>
      <c r="C1777" t="s">
        <v>78</v>
      </c>
      <c r="D1777" t="s">
        <v>78</v>
      </c>
      <c r="E1777" t="s">
        <v>78</v>
      </c>
      <c r="F1777" t="s">
        <v>78</v>
      </c>
      <c r="G1777" t="s">
        <v>78</v>
      </c>
      <c r="H1777">
        <v>0.31</v>
      </c>
      <c r="I1777" s="1">
        <v>0</v>
      </c>
      <c r="J1777" s="1">
        <v>0</v>
      </c>
      <c r="K1777">
        <v>0</v>
      </c>
      <c r="L1777">
        <v>0.04</v>
      </c>
      <c r="M1777">
        <v>0.05</v>
      </c>
      <c r="N1777" s="1">
        <v>10000000</v>
      </c>
      <c r="O1777">
        <v>0.05</v>
      </c>
      <c r="P1777">
        <v>1.07</v>
      </c>
      <c r="Q1777">
        <v>0.01</v>
      </c>
    </row>
    <row r="1778" spans="1:17" x14ac:dyDescent="0.25">
      <c r="A1778">
        <v>730703</v>
      </c>
      <c r="B1778" t="s">
        <v>3090</v>
      </c>
      <c r="C1778">
        <v>0.3</v>
      </c>
      <c r="D1778">
        <v>-0.08</v>
      </c>
      <c r="E1778">
        <v>0.9</v>
      </c>
      <c r="F1778">
        <v>0.9</v>
      </c>
      <c r="G1778">
        <v>0.28000000000000003</v>
      </c>
      <c r="H1778">
        <v>0.35</v>
      </c>
      <c r="I1778" s="1">
        <v>177000</v>
      </c>
      <c r="J1778" s="1">
        <v>62660</v>
      </c>
      <c r="K1778">
        <v>6</v>
      </c>
      <c r="L1778">
        <v>0.24</v>
      </c>
      <c r="M1778">
        <v>0.26</v>
      </c>
      <c r="N1778" s="1">
        <v>5000000</v>
      </c>
      <c r="O1778">
        <v>0.3</v>
      </c>
      <c r="P1778">
        <v>0.82</v>
      </c>
      <c r="Q1778">
        <v>0.01</v>
      </c>
    </row>
    <row r="1779" spans="1:17" x14ac:dyDescent="0.25">
      <c r="A1779">
        <v>730704</v>
      </c>
      <c r="B1779" t="s">
        <v>3091</v>
      </c>
      <c r="C1779">
        <v>0.69</v>
      </c>
      <c r="D1779">
        <v>-0.04</v>
      </c>
      <c r="E1779">
        <v>0.69</v>
      </c>
      <c r="F1779">
        <v>0.69</v>
      </c>
      <c r="G1779">
        <v>0.69</v>
      </c>
      <c r="H1779">
        <v>0.69</v>
      </c>
      <c r="I1779" s="1">
        <v>20000</v>
      </c>
      <c r="J1779" s="1">
        <v>13800</v>
      </c>
      <c r="K1779">
        <v>2</v>
      </c>
      <c r="L1779">
        <v>0.61</v>
      </c>
      <c r="M1779">
        <v>0.65</v>
      </c>
      <c r="N1779" s="1">
        <v>10000000</v>
      </c>
      <c r="O1779">
        <v>0.69</v>
      </c>
      <c r="P1779">
        <v>1.77</v>
      </c>
      <c r="Q1779">
        <v>0.01</v>
      </c>
    </row>
    <row r="1780" spans="1:17" x14ac:dyDescent="0.25">
      <c r="A1780">
        <v>730705</v>
      </c>
      <c r="B1780" t="s">
        <v>3092</v>
      </c>
      <c r="C1780" t="s">
        <v>78</v>
      </c>
      <c r="D1780" t="s">
        <v>78</v>
      </c>
      <c r="E1780" t="s">
        <v>78</v>
      </c>
      <c r="F1780" t="s">
        <v>78</v>
      </c>
      <c r="G1780" t="s">
        <v>78</v>
      </c>
      <c r="H1780">
        <v>2.4300000000000002</v>
      </c>
      <c r="I1780" s="1">
        <v>0</v>
      </c>
      <c r="J1780" s="1">
        <v>0</v>
      </c>
      <c r="K1780">
        <v>0</v>
      </c>
      <c r="L1780">
        <v>2.4700000000000002</v>
      </c>
      <c r="M1780">
        <v>2.57</v>
      </c>
      <c r="N1780" s="1">
        <v>5000000</v>
      </c>
      <c r="O1780">
        <v>2.4700000000000002</v>
      </c>
      <c r="P1780">
        <v>3.31</v>
      </c>
      <c r="Q1780">
        <v>1.63</v>
      </c>
    </row>
    <row r="1781" spans="1:17" x14ac:dyDescent="0.25">
      <c r="A1781">
        <v>730706</v>
      </c>
      <c r="B1781" t="s">
        <v>3093</v>
      </c>
      <c r="C1781">
        <v>0.52</v>
      </c>
      <c r="D1781">
        <v>0.08</v>
      </c>
      <c r="E1781">
        <v>0.56000000000000005</v>
      </c>
      <c r="F1781">
        <v>0.63</v>
      </c>
      <c r="G1781">
        <v>0.49</v>
      </c>
      <c r="H1781">
        <v>0.56000000000000005</v>
      </c>
      <c r="I1781" s="1">
        <v>450000</v>
      </c>
      <c r="J1781" s="1">
        <v>253280</v>
      </c>
      <c r="K1781">
        <v>22</v>
      </c>
      <c r="L1781">
        <v>0.49</v>
      </c>
      <c r="M1781">
        <v>0.5</v>
      </c>
      <c r="N1781" s="1">
        <v>5000000</v>
      </c>
      <c r="O1781">
        <v>0.52</v>
      </c>
      <c r="P1781">
        <v>1.28</v>
      </c>
      <c r="Q1781">
        <v>0.01</v>
      </c>
    </row>
    <row r="1782" spans="1:17" x14ac:dyDescent="0.25">
      <c r="A1782">
        <v>730707</v>
      </c>
      <c r="B1782" t="s">
        <v>3094</v>
      </c>
      <c r="C1782" t="s">
        <v>78</v>
      </c>
      <c r="D1782" t="s">
        <v>78</v>
      </c>
      <c r="E1782" t="s">
        <v>78</v>
      </c>
      <c r="F1782" t="s">
        <v>78</v>
      </c>
      <c r="G1782" t="s">
        <v>78</v>
      </c>
      <c r="H1782">
        <v>0.01</v>
      </c>
      <c r="I1782" s="1">
        <v>0</v>
      </c>
      <c r="J1782" s="1">
        <v>0</v>
      </c>
      <c r="K1782">
        <v>0</v>
      </c>
      <c r="L1782">
        <v>0</v>
      </c>
      <c r="M1782">
        <v>0.01</v>
      </c>
      <c r="N1782" s="1">
        <v>5000000</v>
      </c>
      <c r="O1782">
        <v>0.01</v>
      </c>
      <c r="P1782">
        <v>0.71</v>
      </c>
      <c r="Q1782">
        <v>0.01</v>
      </c>
    </row>
    <row r="1783" spans="1:17" x14ac:dyDescent="0.25">
      <c r="A1783">
        <v>730708</v>
      </c>
      <c r="B1783" t="s">
        <v>3095</v>
      </c>
      <c r="C1783" t="s">
        <v>78</v>
      </c>
      <c r="D1783" t="s">
        <v>78</v>
      </c>
      <c r="E1783" t="s">
        <v>78</v>
      </c>
      <c r="F1783" t="s">
        <v>78</v>
      </c>
      <c r="G1783" t="s">
        <v>78</v>
      </c>
      <c r="H1783">
        <v>3.54</v>
      </c>
      <c r="I1783" s="1">
        <v>0</v>
      </c>
      <c r="J1783" s="1">
        <v>0</v>
      </c>
      <c r="K1783">
        <v>0</v>
      </c>
      <c r="L1783">
        <v>3.16</v>
      </c>
      <c r="M1783">
        <v>3.25</v>
      </c>
      <c r="N1783" s="1">
        <v>5000000</v>
      </c>
      <c r="O1783">
        <v>3.25</v>
      </c>
      <c r="P1783">
        <v>4.4800000000000004</v>
      </c>
      <c r="Q1783">
        <v>2.02</v>
      </c>
    </row>
    <row r="1784" spans="1:17" x14ac:dyDescent="0.25">
      <c r="A1784">
        <v>730709</v>
      </c>
      <c r="B1784" t="s">
        <v>3096</v>
      </c>
      <c r="C1784" t="s">
        <v>78</v>
      </c>
      <c r="D1784" t="s">
        <v>78</v>
      </c>
      <c r="E1784" t="s">
        <v>78</v>
      </c>
      <c r="F1784" t="s">
        <v>78</v>
      </c>
      <c r="G1784" t="s">
        <v>78</v>
      </c>
      <c r="H1784">
        <v>0.13</v>
      </c>
      <c r="I1784" s="1">
        <v>0</v>
      </c>
      <c r="J1784" s="1">
        <v>0</v>
      </c>
      <c r="K1784">
        <v>0</v>
      </c>
      <c r="L1784">
        <v>0</v>
      </c>
      <c r="M1784">
        <v>0</v>
      </c>
      <c r="N1784" s="1">
        <v>5000000</v>
      </c>
      <c r="O1784">
        <v>0.05</v>
      </c>
      <c r="P1784">
        <v>0.57999999999999996</v>
      </c>
      <c r="Q1784">
        <v>0.01</v>
      </c>
    </row>
    <row r="1785" spans="1:17" x14ac:dyDescent="0.25">
      <c r="A1785">
        <v>730710</v>
      </c>
      <c r="B1785" t="s">
        <v>3097</v>
      </c>
      <c r="C1785">
        <v>0.03</v>
      </c>
      <c r="D1785">
        <v>-0.03</v>
      </c>
      <c r="E1785">
        <v>0.03</v>
      </c>
      <c r="F1785">
        <v>0.03</v>
      </c>
      <c r="G1785">
        <v>0.03</v>
      </c>
      <c r="H1785">
        <v>0.03</v>
      </c>
      <c r="I1785" s="1">
        <v>299000</v>
      </c>
      <c r="J1785" s="1">
        <v>8970</v>
      </c>
      <c r="K1785">
        <v>1</v>
      </c>
      <c r="L1785">
        <v>0.03</v>
      </c>
      <c r="M1785">
        <v>0.05</v>
      </c>
      <c r="N1785" s="1">
        <v>5000000</v>
      </c>
      <c r="O1785">
        <v>0.03</v>
      </c>
      <c r="P1785">
        <v>0.66</v>
      </c>
      <c r="Q1785">
        <v>0.01</v>
      </c>
    </row>
    <row r="1786" spans="1:17" x14ac:dyDescent="0.25">
      <c r="A1786">
        <v>730711</v>
      </c>
      <c r="B1786" t="s">
        <v>3098</v>
      </c>
      <c r="C1786">
        <v>0.32</v>
      </c>
      <c r="D1786">
        <v>-0.02</v>
      </c>
      <c r="E1786">
        <v>0.31</v>
      </c>
      <c r="F1786">
        <v>0.32</v>
      </c>
      <c r="G1786">
        <v>0.31</v>
      </c>
      <c r="H1786">
        <v>0.31</v>
      </c>
      <c r="I1786" s="1">
        <v>120000</v>
      </c>
      <c r="J1786" s="1">
        <v>37700</v>
      </c>
      <c r="K1786">
        <v>3</v>
      </c>
      <c r="L1786">
        <v>0.32</v>
      </c>
      <c r="M1786">
        <v>0.33</v>
      </c>
      <c r="N1786" s="1">
        <v>10000000</v>
      </c>
      <c r="O1786">
        <v>0.32</v>
      </c>
      <c r="P1786">
        <v>0.9</v>
      </c>
      <c r="Q1786">
        <v>0.01</v>
      </c>
    </row>
    <row r="1787" spans="1:17" x14ac:dyDescent="0.25">
      <c r="A1787">
        <v>730712</v>
      </c>
      <c r="B1787" t="s">
        <v>3099</v>
      </c>
      <c r="C1787" t="s">
        <v>78</v>
      </c>
      <c r="D1787" t="s">
        <v>78</v>
      </c>
      <c r="E1787" t="s">
        <v>78</v>
      </c>
      <c r="F1787" t="s">
        <v>78</v>
      </c>
      <c r="G1787" t="s">
        <v>78</v>
      </c>
      <c r="H1787">
        <v>0.03</v>
      </c>
      <c r="I1787" s="1">
        <v>0</v>
      </c>
      <c r="J1787" s="1">
        <v>0</v>
      </c>
      <c r="K1787">
        <v>0</v>
      </c>
      <c r="L1787">
        <v>0</v>
      </c>
      <c r="M1787">
        <v>0</v>
      </c>
      <c r="N1787" s="1">
        <v>10000000</v>
      </c>
      <c r="O1787">
        <v>0.02</v>
      </c>
      <c r="P1787">
        <v>1.84</v>
      </c>
      <c r="Q1787">
        <v>0.01</v>
      </c>
    </row>
    <row r="1788" spans="1:17" x14ac:dyDescent="0.25">
      <c r="A1788">
        <v>730713</v>
      </c>
      <c r="B1788" t="s">
        <v>3100</v>
      </c>
      <c r="C1788" t="s">
        <v>78</v>
      </c>
      <c r="D1788" t="s">
        <v>78</v>
      </c>
      <c r="E1788" t="s">
        <v>78</v>
      </c>
      <c r="F1788" t="s">
        <v>78</v>
      </c>
      <c r="G1788" t="s">
        <v>78</v>
      </c>
      <c r="H1788">
        <v>0.6</v>
      </c>
      <c r="I1788" s="1">
        <v>0</v>
      </c>
      <c r="J1788" s="1">
        <v>0</v>
      </c>
      <c r="K1788">
        <v>0</v>
      </c>
      <c r="L1788">
        <v>0.57999999999999996</v>
      </c>
      <c r="M1788">
        <v>0.6</v>
      </c>
      <c r="N1788" s="1">
        <v>10000000</v>
      </c>
      <c r="O1788">
        <v>0.6</v>
      </c>
      <c r="P1788">
        <v>1.03</v>
      </c>
      <c r="Q1788">
        <v>0.17</v>
      </c>
    </row>
    <row r="1789" spans="1:17" x14ac:dyDescent="0.25">
      <c r="A1789">
        <v>730714</v>
      </c>
      <c r="B1789" t="s">
        <v>3101</v>
      </c>
      <c r="C1789">
        <v>0.61</v>
      </c>
      <c r="D1789">
        <v>0.01</v>
      </c>
      <c r="E1789">
        <v>0.61</v>
      </c>
      <c r="F1789">
        <v>0.61</v>
      </c>
      <c r="G1789">
        <v>0.61</v>
      </c>
      <c r="H1789">
        <v>0.61</v>
      </c>
      <c r="I1789" s="1">
        <v>54000</v>
      </c>
      <c r="J1789" s="1">
        <v>32940</v>
      </c>
      <c r="K1789">
        <v>1</v>
      </c>
      <c r="L1789">
        <v>0.56999999999999995</v>
      </c>
      <c r="M1789">
        <v>0.57999999999999996</v>
      </c>
      <c r="N1789" s="1">
        <v>5000000</v>
      </c>
      <c r="O1789">
        <v>0.61</v>
      </c>
      <c r="P1789">
        <v>1.66</v>
      </c>
      <c r="Q1789">
        <v>0.01</v>
      </c>
    </row>
    <row r="1790" spans="1:17" x14ac:dyDescent="0.25">
      <c r="A1790">
        <v>730715</v>
      </c>
      <c r="B1790" t="s">
        <v>3102</v>
      </c>
      <c r="C1790" t="s">
        <v>78</v>
      </c>
      <c r="D1790" t="s">
        <v>78</v>
      </c>
      <c r="E1790" t="s">
        <v>78</v>
      </c>
      <c r="F1790" t="s">
        <v>78</v>
      </c>
      <c r="G1790" t="s">
        <v>78</v>
      </c>
      <c r="H1790">
        <v>1.54</v>
      </c>
      <c r="I1790" s="1">
        <v>0</v>
      </c>
      <c r="J1790" s="1">
        <v>0</v>
      </c>
      <c r="K1790">
        <v>0</v>
      </c>
      <c r="L1790">
        <v>1.46</v>
      </c>
      <c r="M1790">
        <v>1.6</v>
      </c>
      <c r="N1790" s="1">
        <v>5000000</v>
      </c>
      <c r="O1790">
        <v>1.5</v>
      </c>
      <c r="P1790">
        <v>2.08</v>
      </c>
      <c r="Q1790">
        <v>0.92</v>
      </c>
    </row>
    <row r="1791" spans="1:17" x14ac:dyDescent="0.25">
      <c r="A1791">
        <v>730716</v>
      </c>
      <c r="B1791" t="s">
        <v>3103</v>
      </c>
      <c r="C1791">
        <v>7</v>
      </c>
      <c r="D1791">
        <v>0.2</v>
      </c>
      <c r="E1791">
        <v>7</v>
      </c>
      <c r="F1791">
        <v>7</v>
      </c>
      <c r="G1791">
        <v>7</v>
      </c>
      <c r="H1791">
        <v>7</v>
      </c>
      <c r="I1791" s="1">
        <v>10000</v>
      </c>
      <c r="J1791" s="1">
        <v>70000</v>
      </c>
      <c r="K1791">
        <v>2</v>
      </c>
      <c r="L1791">
        <v>6.5</v>
      </c>
      <c r="M1791">
        <v>6.6</v>
      </c>
      <c r="N1791" s="1">
        <v>5000000</v>
      </c>
      <c r="O1791">
        <v>7</v>
      </c>
      <c r="P1791">
        <v>9</v>
      </c>
      <c r="Q1791">
        <v>4.99</v>
      </c>
    </row>
    <row r="1792" spans="1:17" x14ac:dyDescent="0.25">
      <c r="A1792">
        <v>730717</v>
      </c>
      <c r="B1792" t="s">
        <v>3104</v>
      </c>
      <c r="C1792">
        <v>0.71</v>
      </c>
      <c r="D1792">
        <v>0.16</v>
      </c>
      <c r="E1792">
        <v>0.64</v>
      </c>
      <c r="F1792">
        <v>0.71</v>
      </c>
      <c r="G1792">
        <v>0.64</v>
      </c>
      <c r="H1792">
        <v>0.65</v>
      </c>
      <c r="I1792" s="1">
        <v>60000</v>
      </c>
      <c r="J1792" s="1">
        <v>39100</v>
      </c>
      <c r="K1792">
        <v>7</v>
      </c>
      <c r="L1792">
        <v>0.56999999999999995</v>
      </c>
      <c r="M1792">
        <v>0.57999999999999996</v>
      </c>
      <c r="N1792" s="1">
        <v>10000000</v>
      </c>
      <c r="O1792">
        <v>0.71</v>
      </c>
      <c r="P1792">
        <v>1.24</v>
      </c>
      <c r="Q1792">
        <v>0.18</v>
      </c>
    </row>
    <row r="1793" spans="1:17" x14ac:dyDescent="0.25">
      <c r="A1793">
        <v>730718</v>
      </c>
      <c r="B1793" t="s">
        <v>3105</v>
      </c>
      <c r="C1793" t="s">
        <v>78</v>
      </c>
      <c r="D1793" t="s">
        <v>78</v>
      </c>
      <c r="E1793" t="s">
        <v>78</v>
      </c>
      <c r="F1793" t="s">
        <v>78</v>
      </c>
      <c r="G1793" t="s">
        <v>78</v>
      </c>
      <c r="H1793">
        <v>3.06</v>
      </c>
      <c r="I1793" s="1">
        <v>0</v>
      </c>
      <c r="J1793" s="1">
        <v>0</v>
      </c>
      <c r="K1793">
        <v>0</v>
      </c>
      <c r="L1793">
        <v>2.94</v>
      </c>
      <c r="M1793">
        <v>3.02</v>
      </c>
      <c r="N1793" s="1">
        <v>10000000</v>
      </c>
      <c r="O1793">
        <v>2.94</v>
      </c>
      <c r="P1793">
        <v>3.98</v>
      </c>
      <c r="Q1793">
        <v>1.9</v>
      </c>
    </row>
    <row r="1794" spans="1:17" x14ac:dyDescent="0.25">
      <c r="A1794">
        <v>730719</v>
      </c>
      <c r="B1794" t="s">
        <v>3106</v>
      </c>
      <c r="C1794">
        <v>0.48</v>
      </c>
      <c r="D1794">
        <v>0.02</v>
      </c>
      <c r="E1794">
        <v>0.48</v>
      </c>
      <c r="F1794">
        <v>0.48</v>
      </c>
      <c r="G1794">
        <v>0.46</v>
      </c>
      <c r="H1794">
        <v>0.47</v>
      </c>
      <c r="I1794" s="1">
        <v>562000</v>
      </c>
      <c r="J1794" s="1">
        <v>264980</v>
      </c>
      <c r="K1794">
        <v>18</v>
      </c>
      <c r="L1794">
        <v>0.46</v>
      </c>
      <c r="M1794">
        <v>0.49</v>
      </c>
      <c r="N1794" s="1">
        <v>13000000</v>
      </c>
      <c r="O1794">
        <v>0.48</v>
      </c>
      <c r="P1794">
        <v>1.1299999999999999</v>
      </c>
      <c r="Q1794">
        <v>0.01</v>
      </c>
    </row>
    <row r="1795" spans="1:17" x14ac:dyDescent="0.25">
      <c r="A1795">
        <v>730720</v>
      </c>
      <c r="B1795" t="s">
        <v>3107</v>
      </c>
      <c r="C1795">
        <v>1.66</v>
      </c>
      <c r="D1795">
        <v>0.06</v>
      </c>
      <c r="E1795">
        <v>1.66</v>
      </c>
      <c r="F1795">
        <v>1.66</v>
      </c>
      <c r="G1795">
        <v>1.66</v>
      </c>
      <c r="H1795">
        <v>1.66</v>
      </c>
      <c r="I1795" s="1">
        <v>10000</v>
      </c>
      <c r="J1795" s="1">
        <v>16600</v>
      </c>
      <c r="K1795">
        <v>1</v>
      </c>
      <c r="L1795">
        <v>1.53</v>
      </c>
      <c r="M1795">
        <v>1.61</v>
      </c>
      <c r="N1795" s="1">
        <v>10000000</v>
      </c>
      <c r="O1795">
        <v>1.66</v>
      </c>
      <c r="P1795">
        <v>2.29</v>
      </c>
      <c r="Q1795">
        <v>1.03</v>
      </c>
    </row>
    <row r="1796" spans="1:17" x14ac:dyDescent="0.25">
      <c r="A1796">
        <v>730721</v>
      </c>
      <c r="B1796" t="s">
        <v>3108</v>
      </c>
      <c r="C1796">
        <v>0.73</v>
      </c>
      <c r="D1796">
        <v>-7.0000000000000007E-2</v>
      </c>
      <c r="E1796">
        <v>0.78</v>
      </c>
      <c r="F1796">
        <v>0.78</v>
      </c>
      <c r="G1796">
        <v>0.73</v>
      </c>
      <c r="H1796">
        <v>0.76</v>
      </c>
      <c r="I1796" s="1">
        <v>1428000</v>
      </c>
      <c r="J1796" s="1">
        <v>1084730</v>
      </c>
      <c r="K1796">
        <v>31</v>
      </c>
      <c r="L1796">
        <v>0.72</v>
      </c>
      <c r="M1796">
        <v>0.73</v>
      </c>
      <c r="N1796" s="1">
        <v>10000000</v>
      </c>
      <c r="O1796">
        <v>0.73</v>
      </c>
      <c r="P1796">
        <v>1.1299999999999999</v>
      </c>
      <c r="Q1796">
        <v>0.33</v>
      </c>
    </row>
    <row r="1797" spans="1:17" x14ac:dyDescent="0.25">
      <c r="A1797">
        <v>730722</v>
      </c>
      <c r="B1797" t="s">
        <v>3109</v>
      </c>
      <c r="C1797" t="s">
        <v>78</v>
      </c>
      <c r="D1797" t="s">
        <v>78</v>
      </c>
      <c r="E1797" t="s">
        <v>78</v>
      </c>
      <c r="F1797" t="s">
        <v>78</v>
      </c>
      <c r="G1797" t="s">
        <v>78</v>
      </c>
      <c r="H1797">
        <v>2.0499999999999998</v>
      </c>
      <c r="I1797" s="1">
        <v>0</v>
      </c>
      <c r="J1797" s="1">
        <v>0</v>
      </c>
      <c r="K1797">
        <v>0</v>
      </c>
      <c r="L1797">
        <v>1.18</v>
      </c>
      <c r="M1797">
        <v>0</v>
      </c>
      <c r="N1797" s="1">
        <v>5000000</v>
      </c>
      <c r="O1797">
        <v>2.0499999999999998</v>
      </c>
      <c r="P1797">
        <v>3.02</v>
      </c>
      <c r="Q1797">
        <v>1.08</v>
      </c>
    </row>
    <row r="1798" spans="1:17" x14ac:dyDescent="0.25">
      <c r="A1798">
        <v>730723</v>
      </c>
      <c r="B1798" t="s">
        <v>3110</v>
      </c>
      <c r="C1798">
        <v>1.68</v>
      </c>
      <c r="D1798">
        <v>0.04</v>
      </c>
      <c r="E1798">
        <v>1.68</v>
      </c>
      <c r="F1798">
        <v>1.68</v>
      </c>
      <c r="G1798">
        <v>1.68</v>
      </c>
      <c r="H1798">
        <v>1.68</v>
      </c>
      <c r="I1798" s="1">
        <v>10000</v>
      </c>
      <c r="J1798" s="1">
        <v>16800</v>
      </c>
      <c r="K1798">
        <v>1</v>
      </c>
      <c r="L1798">
        <v>0</v>
      </c>
      <c r="M1798">
        <v>0</v>
      </c>
      <c r="N1798" s="1">
        <v>10000000</v>
      </c>
      <c r="O1798">
        <v>1.68</v>
      </c>
      <c r="P1798">
        <v>2.13</v>
      </c>
      <c r="Q1798">
        <v>1.23</v>
      </c>
    </row>
    <row r="1799" spans="1:17" x14ac:dyDescent="0.25">
      <c r="A1799">
        <v>730724</v>
      </c>
      <c r="B1799" t="s">
        <v>3111</v>
      </c>
      <c r="C1799">
        <v>0.11</v>
      </c>
      <c r="D1799">
        <v>0.01</v>
      </c>
      <c r="E1799">
        <v>0.13</v>
      </c>
      <c r="F1799">
        <v>0.13</v>
      </c>
      <c r="G1799">
        <v>0.11</v>
      </c>
      <c r="H1799">
        <v>0.12</v>
      </c>
      <c r="I1799" s="1">
        <v>20000</v>
      </c>
      <c r="J1799" s="1">
        <v>2400</v>
      </c>
      <c r="K1799">
        <v>2</v>
      </c>
      <c r="L1799">
        <v>0.08</v>
      </c>
      <c r="M1799">
        <v>0.11</v>
      </c>
      <c r="N1799" s="1">
        <v>5000000</v>
      </c>
      <c r="O1799">
        <v>0.11</v>
      </c>
      <c r="P1799">
        <v>0.83</v>
      </c>
      <c r="Q1799">
        <v>0.01</v>
      </c>
    </row>
    <row r="1800" spans="1:17" x14ac:dyDescent="0.25">
      <c r="A1800">
        <v>730725</v>
      </c>
      <c r="B1800" t="s">
        <v>3112</v>
      </c>
      <c r="C1800" t="s">
        <v>78</v>
      </c>
      <c r="D1800" t="s">
        <v>78</v>
      </c>
      <c r="E1800" t="s">
        <v>78</v>
      </c>
      <c r="F1800" t="s">
        <v>78</v>
      </c>
      <c r="G1800" t="s">
        <v>78</v>
      </c>
      <c r="H1800">
        <v>1.91</v>
      </c>
      <c r="I1800" s="1">
        <v>0</v>
      </c>
      <c r="J1800" s="1">
        <v>0</v>
      </c>
      <c r="K1800">
        <v>0</v>
      </c>
      <c r="L1800">
        <v>1.85</v>
      </c>
      <c r="M1800">
        <v>1.95</v>
      </c>
      <c r="N1800" s="1">
        <v>5000000</v>
      </c>
      <c r="O1800">
        <v>1.86</v>
      </c>
      <c r="P1800">
        <v>2.84</v>
      </c>
      <c r="Q1800">
        <v>0.88</v>
      </c>
    </row>
    <row r="1801" spans="1:17" x14ac:dyDescent="0.25">
      <c r="A1801">
        <v>730726</v>
      </c>
      <c r="B1801" t="s">
        <v>3113</v>
      </c>
      <c r="C1801">
        <v>0.34</v>
      </c>
      <c r="D1801">
        <v>-0.02</v>
      </c>
      <c r="E1801">
        <v>0.34</v>
      </c>
      <c r="F1801">
        <v>0.34</v>
      </c>
      <c r="G1801">
        <v>0.34</v>
      </c>
      <c r="H1801">
        <v>0.34</v>
      </c>
      <c r="I1801" s="1">
        <v>15000</v>
      </c>
      <c r="J1801" s="1">
        <v>5100</v>
      </c>
      <c r="K1801">
        <v>1</v>
      </c>
      <c r="L1801">
        <v>0.28999999999999998</v>
      </c>
      <c r="M1801">
        <v>0.3</v>
      </c>
      <c r="N1801" s="1">
        <v>5000000</v>
      </c>
      <c r="O1801">
        <v>0.34</v>
      </c>
      <c r="P1801">
        <v>1.17</v>
      </c>
      <c r="Q1801">
        <v>0.01</v>
      </c>
    </row>
    <row r="1802" spans="1:17" x14ac:dyDescent="0.25">
      <c r="A1802">
        <v>730727</v>
      </c>
      <c r="B1802" t="s">
        <v>3114</v>
      </c>
      <c r="C1802" t="s">
        <v>78</v>
      </c>
      <c r="D1802" t="s">
        <v>78</v>
      </c>
      <c r="E1802" t="s">
        <v>78</v>
      </c>
      <c r="F1802" t="s">
        <v>78</v>
      </c>
      <c r="G1802" t="s">
        <v>78</v>
      </c>
      <c r="H1802">
        <v>3.09</v>
      </c>
      <c r="I1802" s="1">
        <v>0</v>
      </c>
      <c r="J1802" s="1">
        <v>0</v>
      </c>
      <c r="K1802">
        <v>0</v>
      </c>
      <c r="L1802">
        <v>3.55</v>
      </c>
      <c r="M1802">
        <v>3.66</v>
      </c>
      <c r="N1802" s="1">
        <v>5000000</v>
      </c>
      <c r="O1802">
        <v>3.66</v>
      </c>
      <c r="P1802">
        <v>4.66</v>
      </c>
      <c r="Q1802">
        <v>2.66</v>
      </c>
    </row>
    <row r="1803" spans="1:17" x14ac:dyDescent="0.25">
      <c r="A1803">
        <v>730728</v>
      </c>
      <c r="B1803" t="s">
        <v>3115</v>
      </c>
      <c r="C1803" t="s">
        <v>78</v>
      </c>
      <c r="D1803" t="s">
        <v>78</v>
      </c>
      <c r="E1803" t="s">
        <v>78</v>
      </c>
      <c r="F1803" t="s">
        <v>78</v>
      </c>
      <c r="G1803" t="s">
        <v>78</v>
      </c>
      <c r="H1803">
        <v>0.22</v>
      </c>
      <c r="I1803" s="1">
        <v>0</v>
      </c>
      <c r="J1803" s="1">
        <v>0</v>
      </c>
      <c r="K1803">
        <v>0</v>
      </c>
      <c r="L1803">
        <v>7.0000000000000007E-2</v>
      </c>
      <c r="M1803">
        <v>0.08</v>
      </c>
      <c r="N1803" s="1">
        <v>5000000</v>
      </c>
      <c r="O1803">
        <v>7.0000000000000007E-2</v>
      </c>
      <c r="P1803">
        <v>0.93</v>
      </c>
      <c r="Q1803">
        <v>0.01</v>
      </c>
    </row>
    <row r="1804" spans="1:17" x14ac:dyDescent="0.25">
      <c r="A1804">
        <v>730729</v>
      </c>
      <c r="B1804" t="s">
        <v>3116</v>
      </c>
      <c r="C1804" t="s">
        <v>78</v>
      </c>
      <c r="D1804" t="s">
        <v>78</v>
      </c>
      <c r="E1804" t="s">
        <v>78</v>
      </c>
      <c r="F1804" t="s">
        <v>78</v>
      </c>
      <c r="G1804" t="s">
        <v>78</v>
      </c>
      <c r="H1804">
        <v>0.21</v>
      </c>
      <c r="I1804" s="1">
        <v>0</v>
      </c>
      <c r="J1804" s="1">
        <v>0</v>
      </c>
      <c r="K1804">
        <v>0</v>
      </c>
      <c r="L1804">
        <v>0.26</v>
      </c>
      <c r="M1804">
        <v>0.36</v>
      </c>
      <c r="N1804" s="1">
        <v>10000000</v>
      </c>
      <c r="O1804">
        <v>0.26</v>
      </c>
      <c r="P1804">
        <v>1.59</v>
      </c>
      <c r="Q1804">
        <v>0.01</v>
      </c>
    </row>
    <row r="1805" spans="1:17" x14ac:dyDescent="0.25">
      <c r="A1805">
        <v>730730</v>
      </c>
      <c r="B1805" t="s">
        <v>3117</v>
      </c>
      <c r="C1805" t="s">
        <v>78</v>
      </c>
      <c r="D1805" t="s">
        <v>78</v>
      </c>
      <c r="E1805" t="s">
        <v>78</v>
      </c>
      <c r="F1805" t="s">
        <v>78</v>
      </c>
      <c r="G1805" t="s">
        <v>78</v>
      </c>
      <c r="H1805">
        <v>2.58</v>
      </c>
      <c r="I1805" s="1">
        <v>0</v>
      </c>
      <c r="J1805" s="1">
        <v>0</v>
      </c>
      <c r="K1805">
        <v>0</v>
      </c>
      <c r="L1805">
        <v>2.08</v>
      </c>
      <c r="M1805">
        <v>2.13</v>
      </c>
      <c r="N1805" s="1">
        <v>5000000</v>
      </c>
      <c r="O1805">
        <v>2.13</v>
      </c>
      <c r="P1805">
        <v>3.12</v>
      </c>
      <c r="Q1805">
        <v>1.1100000000000001</v>
      </c>
    </row>
    <row r="1806" spans="1:17" x14ac:dyDescent="0.25">
      <c r="A1806">
        <v>730731</v>
      </c>
      <c r="B1806" t="s">
        <v>3118</v>
      </c>
      <c r="C1806" t="s">
        <v>78</v>
      </c>
      <c r="D1806" t="s">
        <v>78</v>
      </c>
      <c r="E1806" t="s">
        <v>78</v>
      </c>
      <c r="F1806" t="s">
        <v>78</v>
      </c>
      <c r="G1806" t="s">
        <v>78</v>
      </c>
      <c r="H1806">
        <v>1.36</v>
      </c>
      <c r="I1806" s="1">
        <v>0</v>
      </c>
      <c r="J1806" s="1">
        <v>0</v>
      </c>
      <c r="K1806">
        <v>0</v>
      </c>
      <c r="L1806">
        <v>1.08</v>
      </c>
      <c r="M1806">
        <v>1.1100000000000001</v>
      </c>
      <c r="N1806" s="1">
        <v>5000000</v>
      </c>
      <c r="O1806">
        <v>1.0900000000000001</v>
      </c>
      <c r="P1806">
        <v>1.87</v>
      </c>
      <c r="Q1806">
        <v>0.31</v>
      </c>
    </row>
    <row r="1807" spans="1:17" x14ac:dyDescent="0.25">
      <c r="A1807">
        <v>730732</v>
      </c>
      <c r="B1807" t="s">
        <v>3119</v>
      </c>
      <c r="C1807">
        <v>0.28999999999999998</v>
      </c>
      <c r="D1807">
        <v>-0.02</v>
      </c>
      <c r="E1807">
        <v>0.28999999999999998</v>
      </c>
      <c r="F1807">
        <v>0.28999999999999998</v>
      </c>
      <c r="G1807">
        <v>0.28999999999999998</v>
      </c>
      <c r="H1807">
        <v>0.28999999999999998</v>
      </c>
      <c r="I1807" s="1">
        <v>10000</v>
      </c>
      <c r="J1807" s="1">
        <v>2900</v>
      </c>
      <c r="K1807">
        <v>1</v>
      </c>
      <c r="L1807">
        <v>0.28999999999999998</v>
      </c>
      <c r="M1807">
        <v>0.3</v>
      </c>
      <c r="N1807" s="1">
        <v>5000000</v>
      </c>
      <c r="O1807">
        <v>0.28999999999999998</v>
      </c>
      <c r="P1807">
        <v>1.22</v>
      </c>
      <c r="Q1807">
        <v>0.01</v>
      </c>
    </row>
    <row r="1808" spans="1:17" x14ac:dyDescent="0.25">
      <c r="A1808">
        <v>730733</v>
      </c>
      <c r="B1808" t="s">
        <v>3120</v>
      </c>
      <c r="C1808" t="s">
        <v>78</v>
      </c>
      <c r="D1808" t="s">
        <v>78</v>
      </c>
      <c r="E1808" t="s">
        <v>78</v>
      </c>
      <c r="F1808" t="s">
        <v>78</v>
      </c>
      <c r="G1808" t="s">
        <v>78</v>
      </c>
      <c r="H1808">
        <v>0.31</v>
      </c>
      <c r="I1808" s="1">
        <v>0</v>
      </c>
      <c r="J1808" s="1">
        <v>0</v>
      </c>
      <c r="K1808">
        <v>0</v>
      </c>
      <c r="L1808">
        <v>0.26</v>
      </c>
      <c r="M1808">
        <v>0.28000000000000003</v>
      </c>
      <c r="N1808" s="1">
        <v>5000000</v>
      </c>
      <c r="O1808">
        <v>0.28000000000000003</v>
      </c>
      <c r="P1808">
        <v>1.04</v>
      </c>
      <c r="Q1808">
        <v>0.01</v>
      </c>
    </row>
    <row r="1809" spans="1:17" x14ac:dyDescent="0.25">
      <c r="A1809">
        <v>730734</v>
      </c>
      <c r="B1809" t="s">
        <v>3121</v>
      </c>
      <c r="C1809">
        <v>0.98</v>
      </c>
      <c r="D1809">
        <v>0.02</v>
      </c>
      <c r="E1809">
        <v>0.98</v>
      </c>
      <c r="F1809">
        <v>0.98</v>
      </c>
      <c r="G1809">
        <v>0.98</v>
      </c>
      <c r="H1809">
        <v>0.98</v>
      </c>
      <c r="I1809" s="1">
        <v>25000</v>
      </c>
      <c r="J1809" s="1">
        <v>24500</v>
      </c>
      <c r="K1809">
        <v>2</v>
      </c>
      <c r="L1809">
        <v>0.95</v>
      </c>
      <c r="M1809">
        <v>0.97</v>
      </c>
      <c r="N1809" s="1">
        <v>10000000</v>
      </c>
      <c r="O1809">
        <v>0.98</v>
      </c>
      <c r="P1809">
        <v>1.63</v>
      </c>
      <c r="Q1809">
        <v>0.33</v>
      </c>
    </row>
    <row r="1810" spans="1:17" x14ac:dyDescent="0.25">
      <c r="A1810">
        <v>730735</v>
      </c>
      <c r="B1810" t="s">
        <v>3122</v>
      </c>
      <c r="C1810">
        <v>0.3</v>
      </c>
      <c r="D1810">
        <v>0.16</v>
      </c>
      <c r="E1810">
        <v>0.18</v>
      </c>
      <c r="F1810">
        <v>0.3</v>
      </c>
      <c r="G1810">
        <v>0.18</v>
      </c>
      <c r="H1810">
        <v>0.25</v>
      </c>
      <c r="I1810" s="1">
        <v>383000</v>
      </c>
      <c r="J1810" s="1">
        <v>94600</v>
      </c>
      <c r="K1810">
        <v>24</v>
      </c>
      <c r="L1810">
        <v>0.28999999999999998</v>
      </c>
      <c r="M1810">
        <v>0.3</v>
      </c>
      <c r="N1810" s="1">
        <v>5000000</v>
      </c>
      <c r="O1810">
        <v>0.3</v>
      </c>
      <c r="P1810">
        <v>1.07</v>
      </c>
      <c r="Q1810">
        <v>0.01</v>
      </c>
    </row>
    <row r="1811" spans="1:17" x14ac:dyDescent="0.25">
      <c r="A1811">
        <v>730736</v>
      </c>
      <c r="B1811" t="s">
        <v>3123</v>
      </c>
      <c r="C1811" t="s">
        <v>78</v>
      </c>
      <c r="D1811" t="s">
        <v>78</v>
      </c>
      <c r="E1811" t="s">
        <v>78</v>
      </c>
      <c r="F1811" t="s">
        <v>78</v>
      </c>
      <c r="G1811" t="s">
        <v>78</v>
      </c>
      <c r="H1811">
        <v>0.12</v>
      </c>
      <c r="I1811" s="1">
        <v>0</v>
      </c>
      <c r="J1811" s="1">
        <v>0</v>
      </c>
      <c r="K1811">
        <v>0</v>
      </c>
      <c r="L1811">
        <v>0.01</v>
      </c>
      <c r="M1811">
        <v>0.02</v>
      </c>
      <c r="N1811" s="1">
        <v>15000000</v>
      </c>
      <c r="O1811">
        <v>0.02</v>
      </c>
      <c r="P1811">
        <v>0.8</v>
      </c>
      <c r="Q1811">
        <v>0.01</v>
      </c>
    </row>
    <row r="1812" spans="1:17" x14ac:dyDescent="0.25">
      <c r="A1812">
        <v>730737</v>
      </c>
      <c r="B1812" t="s">
        <v>3124</v>
      </c>
      <c r="C1812">
        <v>0.04</v>
      </c>
      <c r="D1812">
        <v>-0.01</v>
      </c>
      <c r="E1812">
        <v>0.04</v>
      </c>
      <c r="F1812">
        <v>0.04</v>
      </c>
      <c r="G1812">
        <v>0.04</v>
      </c>
      <c r="H1812">
        <v>0.04</v>
      </c>
      <c r="I1812" s="1">
        <v>5000</v>
      </c>
      <c r="J1812" s="1">
        <v>200</v>
      </c>
      <c r="K1812">
        <v>1</v>
      </c>
      <c r="L1812">
        <v>0.03</v>
      </c>
      <c r="M1812">
        <v>0.04</v>
      </c>
      <c r="N1812" s="1">
        <v>10000000</v>
      </c>
      <c r="O1812">
        <v>0.04</v>
      </c>
      <c r="P1812">
        <v>0.54</v>
      </c>
      <c r="Q1812">
        <v>0.01</v>
      </c>
    </row>
    <row r="1813" spans="1:17" x14ac:dyDescent="0.25">
      <c r="A1813">
        <v>730738</v>
      </c>
      <c r="B1813" t="s">
        <v>3125</v>
      </c>
      <c r="C1813" t="s">
        <v>78</v>
      </c>
      <c r="D1813" t="s">
        <v>78</v>
      </c>
      <c r="E1813" t="s">
        <v>78</v>
      </c>
      <c r="F1813" t="s">
        <v>78</v>
      </c>
      <c r="G1813" t="s">
        <v>78</v>
      </c>
      <c r="H1813">
        <v>1.92</v>
      </c>
      <c r="I1813" s="1">
        <v>0</v>
      </c>
      <c r="J1813" s="1">
        <v>0</v>
      </c>
      <c r="K1813">
        <v>0</v>
      </c>
      <c r="L1813">
        <v>1.67</v>
      </c>
      <c r="M1813">
        <v>1.75</v>
      </c>
      <c r="N1813" s="1">
        <v>15000000</v>
      </c>
      <c r="O1813">
        <v>1.67</v>
      </c>
      <c r="P1813">
        <v>2.71</v>
      </c>
      <c r="Q1813">
        <v>0.63</v>
      </c>
    </row>
    <row r="1814" spans="1:17" x14ac:dyDescent="0.25">
      <c r="A1814">
        <v>730739</v>
      </c>
      <c r="B1814" t="s">
        <v>3126</v>
      </c>
      <c r="C1814" t="s">
        <v>78</v>
      </c>
      <c r="D1814" t="s">
        <v>78</v>
      </c>
      <c r="E1814" t="s">
        <v>78</v>
      </c>
      <c r="F1814" t="s">
        <v>78</v>
      </c>
      <c r="G1814" t="s">
        <v>78</v>
      </c>
      <c r="H1814">
        <v>0.19</v>
      </c>
      <c r="I1814" s="1">
        <v>0</v>
      </c>
      <c r="J1814" s="1">
        <v>0</v>
      </c>
      <c r="K1814">
        <v>0</v>
      </c>
      <c r="L1814">
        <v>0.19</v>
      </c>
      <c r="M1814">
        <v>0.2</v>
      </c>
      <c r="N1814" s="1">
        <v>10000000</v>
      </c>
      <c r="O1814">
        <v>0.2</v>
      </c>
      <c r="P1814">
        <v>1.34</v>
      </c>
      <c r="Q1814">
        <v>0.01</v>
      </c>
    </row>
    <row r="1815" spans="1:17" x14ac:dyDescent="0.25">
      <c r="A1815">
        <v>730740</v>
      </c>
      <c r="B1815" t="s">
        <v>3127</v>
      </c>
      <c r="C1815">
        <v>0.02</v>
      </c>
      <c r="D1815">
        <v>-0.02</v>
      </c>
      <c r="E1815">
        <v>0.02</v>
      </c>
      <c r="F1815">
        <v>0.02</v>
      </c>
      <c r="G1815">
        <v>0.02</v>
      </c>
      <c r="H1815">
        <v>0.02</v>
      </c>
      <c r="I1815" s="1">
        <v>5000</v>
      </c>
      <c r="J1815" s="1">
        <v>100</v>
      </c>
      <c r="K1815">
        <v>1</v>
      </c>
      <c r="L1815">
        <v>0.02</v>
      </c>
      <c r="M1815">
        <v>0.03</v>
      </c>
      <c r="N1815" s="1">
        <v>10000000</v>
      </c>
      <c r="O1815">
        <v>0.02</v>
      </c>
      <c r="P1815">
        <v>0.89</v>
      </c>
      <c r="Q1815">
        <v>0.01</v>
      </c>
    </row>
    <row r="1816" spans="1:17" x14ac:dyDescent="0.25">
      <c r="A1816">
        <v>730741</v>
      </c>
      <c r="B1816" t="s">
        <v>3128</v>
      </c>
      <c r="C1816">
        <v>0.08</v>
      </c>
      <c r="D1816">
        <v>0.03</v>
      </c>
      <c r="E1816">
        <v>0.08</v>
      </c>
      <c r="F1816">
        <v>0.08</v>
      </c>
      <c r="G1816">
        <v>0.08</v>
      </c>
      <c r="H1816">
        <v>0.08</v>
      </c>
      <c r="I1816" s="1">
        <v>2000</v>
      </c>
      <c r="J1816" s="1">
        <v>160</v>
      </c>
      <c r="K1816">
        <v>1</v>
      </c>
      <c r="L1816">
        <v>7.0000000000000007E-2</v>
      </c>
      <c r="M1816">
        <v>0.08</v>
      </c>
      <c r="N1816" s="1">
        <v>10000000</v>
      </c>
      <c r="O1816">
        <v>0.08</v>
      </c>
      <c r="P1816">
        <v>1.07</v>
      </c>
      <c r="Q1816">
        <v>0.01</v>
      </c>
    </row>
    <row r="1817" spans="1:17" x14ac:dyDescent="0.25">
      <c r="A1817">
        <v>730742</v>
      </c>
      <c r="B1817" t="s">
        <v>3129</v>
      </c>
      <c r="C1817" t="s">
        <v>78</v>
      </c>
      <c r="D1817" t="s">
        <v>78</v>
      </c>
      <c r="E1817" t="s">
        <v>78</v>
      </c>
      <c r="F1817" t="s">
        <v>78</v>
      </c>
      <c r="G1817" t="s">
        <v>78</v>
      </c>
      <c r="H1817">
        <v>6</v>
      </c>
      <c r="I1817" s="1">
        <v>0</v>
      </c>
      <c r="J1817" s="1">
        <v>0</v>
      </c>
      <c r="K1817">
        <v>0</v>
      </c>
      <c r="L1817">
        <v>7.75</v>
      </c>
      <c r="M1817">
        <v>8</v>
      </c>
      <c r="N1817" s="1">
        <v>5000000</v>
      </c>
      <c r="O1817">
        <v>7.95</v>
      </c>
      <c r="P1817">
        <v>9.9499999999999993</v>
      </c>
      <c r="Q1817">
        <v>5.95</v>
      </c>
    </row>
    <row r="1818" spans="1:17" x14ac:dyDescent="0.25">
      <c r="A1818">
        <v>730743</v>
      </c>
      <c r="B1818" t="s">
        <v>3130</v>
      </c>
      <c r="C1818" t="s">
        <v>78</v>
      </c>
      <c r="D1818" t="s">
        <v>78</v>
      </c>
      <c r="E1818" t="s">
        <v>78</v>
      </c>
      <c r="F1818" t="s">
        <v>78</v>
      </c>
      <c r="G1818" t="s">
        <v>78</v>
      </c>
      <c r="H1818">
        <v>12.69</v>
      </c>
      <c r="I1818" s="1">
        <v>0</v>
      </c>
      <c r="J1818" s="1">
        <v>0</v>
      </c>
      <c r="K1818">
        <v>0</v>
      </c>
      <c r="L1818">
        <v>13.6</v>
      </c>
      <c r="M1818">
        <v>13.8</v>
      </c>
      <c r="N1818" s="1">
        <v>5000000</v>
      </c>
      <c r="O1818">
        <v>13.8</v>
      </c>
      <c r="P1818">
        <v>21.7</v>
      </c>
      <c r="Q1818">
        <v>5.85</v>
      </c>
    </row>
    <row r="1819" spans="1:17" x14ac:dyDescent="0.25">
      <c r="A1819">
        <v>730744</v>
      </c>
      <c r="B1819" t="s">
        <v>3131</v>
      </c>
      <c r="C1819" t="s">
        <v>78</v>
      </c>
      <c r="D1819" t="s">
        <v>78</v>
      </c>
      <c r="E1819" t="s">
        <v>78</v>
      </c>
      <c r="F1819" t="s">
        <v>78</v>
      </c>
      <c r="G1819" t="s">
        <v>78</v>
      </c>
      <c r="H1819">
        <v>8.7899999999999991</v>
      </c>
      <c r="I1819" s="1">
        <v>0</v>
      </c>
      <c r="J1819" s="1">
        <v>0</v>
      </c>
      <c r="K1819">
        <v>0</v>
      </c>
      <c r="L1819">
        <v>0</v>
      </c>
      <c r="M1819">
        <v>9.9499999999999993</v>
      </c>
      <c r="N1819" s="1">
        <v>5000000</v>
      </c>
      <c r="O1819">
        <v>9.9499999999999993</v>
      </c>
      <c r="P1819">
        <v>12.7</v>
      </c>
      <c r="Q1819">
        <v>7.15</v>
      </c>
    </row>
    <row r="1820" spans="1:17" x14ac:dyDescent="0.25">
      <c r="A1820">
        <v>730745</v>
      </c>
      <c r="B1820" t="s">
        <v>3132</v>
      </c>
      <c r="C1820" t="s">
        <v>78</v>
      </c>
      <c r="D1820" t="s">
        <v>78</v>
      </c>
      <c r="E1820" t="s">
        <v>78</v>
      </c>
      <c r="F1820" t="s">
        <v>78</v>
      </c>
      <c r="G1820" t="s">
        <v>78</v>
      </c>
      <c r="H1820">
        <v>6.5</v>
      </c>
      <c r="I1820" s="1">
        <v>0</v>
      </c>
      <c r="J1820" s="1">
        <v>0</v>
      </c>
      <c r="K1820">
        <v>0</v>
      </c>
      <c r="L1820">
        <v>6.5</v>
      </c>
      <c r="M1820">
        <v>0</v>
      </c>
      <c r="N1820" s="1">
        <v>5000000</v>
      </c>
      <c r="O1820">
        <v>6.65</v>
      </c>
      <c r="P1820">
        <v>8.1999999999999993</v>
      </c>
      <c r="Q1820">
        <v>5.0999999999999996</v>
      </c>
    </row>
    <row r="1821" spans="1:17" x14ac:dyDescent="0.25">
      <c r="A1821">
        <v>730746</v>
      </c>
      <c r="B1821" t="s">
        <v>3133</v>
      </c>
      <c r="C1821" t="s">
        <v>78</v>
      </c>
      <c r="D1821" t="s">
        <v>78</v>
      </c>
      <c r="E1821" t="s">
        <v>78</v>
      </c>
      <c r="F1821" t="s">
        <v>78</v>
      </c>
      <c r="G1821" t="s">
        <v>78</v>
      </c>
      <c r="H1821">
        <v>3.62</v>
      </c>
      <c r="I1821" s="1">
        <v>0</v>
      </c>
      <c r="J1821" s="1">
        <v>0</v>
      </c>
      <c r="K1821">
        <v>0</v>
      </c>
      <c r="L1821">
        <v>0</v>
      </c>
      <c r="M1821">
        <v>0</v>
      </c>
      <c r="N1821" s="1">
        <v>5000000</v>
      </c>
      <c r="O1821">
        <v>8.6999999999999993</v>
      </c>
      <c r="P1821">
        <v>10.3</v>
      </c>
      <c r="Q1821">
        <v>7.05</v>
      </c>
    </row>
    <row r="1822" spans="1:17" x14ac:dyDescent="0.25">
      <c r="A1822">
        <v>730747</v>
      </c>
      <c r="B1822" t="s">
        <v>3134</v>
      </c>
      <c r="C1822" t="s">
        <v>78</v>
      </c>
      <c r="D1822" t="s">
        <v>78</v>
      </c>
      <c r="E1822" t="s">
        <v>78</v>
      </c>
      <c r="F1822" t="s">
        <v>78</v>
      </c>
      <c r="G1822" t="s">
        <v>78</v>
      </c>
      <c r="H1822">
        <v>0.03</v>
      </c>
      <c r="I1822" s="1">
        <v>0</v>
      </c>
      <c r="J1822" s="1">
        <v>0</v>
      </c>
      <c r="K1822">
        <v>0</v>
      </c>
      <c r="L1822">
        <v>0.03</v>
      </c>
      <c r="M1822">
        <v>0.04</v>
      </c>
      <c r="N1822" s="1">
        <v>5000000</v>
      </c>
      <c r="O1822">
        <v>0.03</v>
      </c>
      <c r="P1822">
        <v>2.58</v>
      </c>
      <c r="Q1822">
        <v>0.01</v>
      </c>
    </row>
    <row r="1823" spans="1:17" x14ac:dyDescent="0.25">
      <c r="A1823">
        <v>730748</v>
      </c>
      <c r="B1823" t="s">
        <v>3135</v>
      </c>
      <c r="C1823" t="s">
        <v>78</v>
      </c>
      <c r="D1823" t="s">
        <v>78</v>
      </c>
      <c r="E1823" t="s">
        <v>78</v>
      </c>
      <c r="F1823" t="s">
        <v>78</v>
      </c>
      <c r="G1823" t="s">
        <v>78</v>
      </c>
      <c r="H1823">
        <v>0.01</v>
      </c>
      <c r="I1823" s="1">
        <v>0</v>
      </c>
      <c r="J1823" s="1">
        <v>0</v>
      </c>
      <c r="K1823">
        <v>0</v>
      </c>
      <c r="L1823">
        <v>0</v>
      </c>
      <c r="M1823">
        <v>0.01</v>
      </c>
      <c r="N1823" s="1">
        <v>10000000</v>
      </c>
      <c r="O1823">
        <v>0.01</v>
      </c>
      <c r="P1823">
        <v>1.0900000000000001</v>
      </c>
      <c r="Q1823">
        <v>0.01</v>
      </c>
    </row>
    <row r="1824" spans="1:17" x14ac:dyDescent="0.25">
      <c r="A1824">
        <v>730749</v>
      </c>
      <c r="B1824" t="s">
        <v>3136</v>
      </c>
      <c r="C1824">
        <v>7.0000000000000007E-2</v>
      </c>
      <c r="D1824">
        <v>0</v>
      </c>
      <c r="E1824">
        <v>7.0000000000000007E-2</v>
      </c>
      <c r="F1824">
        <v>7.0000000000000007E-2</v>
      </c>
      <c r="G1824">
        <v>7.0000000000000007E-2</v>
      </c>
      <c r="H1824">
        <v>7.0000000000000007E-2</v>
      </c>
      <c r="I1824" s="1">
        <v>50000</v>
      </c>
      <c r="J1824" s="1">
        <v>3500</v>
      </c>
      <c r="K1824">
        <v>1</v>
      </c>
      <c r="L1824">
        <v>7.0000000000000007E-2</v>
      </c>
      <c r="M1824">
        <v>0.08</v>
      </c>
      <c r="N1824" s="1">
        <v>5000000</v>
      </c>
      <c r="O1824">
        <v>7.0000000000000007E-2</v>
      </c>
      <c r="P1824">
        <v>0.87</v>
      </c>
      <c r="Q1824">
        <v>0.01</v>
      </c>
    </row>
    <row r="1825" spans="1:17" x14ac:dyDescent="0.25">
      <c r="A1825">
        <v>730750</v>
      </c>
      <c r="B1825" t="s">
        <v>3137</v>
      </c>
      <c r="C1825" t="s">
        <v>78</v>
      </c>
      <c r="D1825" t="s">
        <v>78</v>
      </c>
      <c r="E1825" t="s">
        <v>78</v>
      </c>
      <c r="F1825" t="s">
        <v>78</v>
      </c>
      <c r="G1825" t="s">
        <v>78</v>
      </c>
      <c r="H1825">
        <v>7.95</v>
      </c>
      <c r="I1825" s="1">
        <v>0</v>
      </c>
      <c r="J1825" s="1">
        <v>0</v>
      </c>
      <c r="K1825">
        <v>0</v>
      </c>
      <c r="L1825">
        <v>6.4</v>
      </c>
      <c r="M1825">
        <v>7</v>
      </c>
      <c r="N1825" s="1">
        <v>5000000</v>
      </c>
      <c r="O1825">
        <v>7</v>
      </c>
      <c r="P1825">
        <v>9.1999999999999993</v>
      </c>
      <c r="Q1825">
        <v>4.76</v>
      </c>
    </row>
    <row r="1826" spans="1:17" x14ac:dyDescent="0.25">
      <c r="A1826">
        <v>730751</v>
      </c>
      <c r="B1826" t="s">
        <v>3138</v>
      </c>
      <c r="C1826">
        <v>0.45</v>
      </c>
      <c r="D1826">
        <v>0.1</v>
      </c>
      <c r="E1826">
        <v>0.45</v>
      </c>
      <c r="F1826">
        <v>0.45</v>
      </c>
      <c r="G1826">
        <v>0.45</v>
      </c>
      <c r="H1826">
        <v>0.45</v>
      </c>
      <c r="I1826" s="1">
        <v>15000</v>
      </c>
      <c r="J1826" s="1">
        <v>6750</v>
      </c>
      <c r="K1826">
        <v>1</v>
      </c>
      <c r="L1826">
        <v>0.37</v>
      </c>
      <c r="M1826">
        <v>0.38</v>
      </c>
      <c r="N1826" s="1">
        <v>10000000</v>
      </c>
      <c r="O1826">
        <v>0.45</v>
      </c>
      <c r="P1826">
        <v>1.1299999999999999</v>
      </c>
      <c r="Q1826">
        <v>0.01</v>
      </c>
    </row>
    <row r="1827" spans="1:17" x14ac:dyDescent="0.25">
      <c r="A1827">
        <v>730752</v>
      </c>
      <c r="B1827" t="s">
        <v>3139</v>
      </c>
      <c r="C1827" t="s">
        <v>78</v>
      </c>
      <c r="D1827" t="s">
        <v>78</v>
      </c>
      <c r="E1827" t="s">
        <v>78</v>
      </c>
      <c r="F1827" t="s">
        <v>78</v>
      </c>
      <c r="G1827" t="s">
        <v>78</v>
      </c>
      <c r="H1827">
        <v>4.28</v>
      </c>
      <c r="I1827" s="1">
        <v>0</v>
      </c>
      <c r="J1827" s="1">
        <v>0</v>
      </c>
      <c r="K1827">
        <v>0</v>
      </c>
      <c r="L1827">
        <v>3.78</v>
      </c>
      <c r="M1827">
        <v>0</v>
      </c>
      <c r="N1827" s="1">
        <v>5000000</v>
      </c>
      <c r="O1827">
        <v>4.37</v>
      </c>
      <c r="P1827">
        <v>5.45</v>
      </c>
      <c r="Q1827">
        <v>3.25</v>
      </c>
    </row>
    <row r="1828" spans="1:17" x14ac:dyDescent="0.25">
      <c r="A1828">
        <v>730753</v>
      </c>
      <c r="B1828" t="s">
        <v>3140</v>
      </c>
      <c r="C1828" t="s">
        <v>78</v>
      </c>
      <c r="D1828" t="s">
        <v>78</v>
      </c>
      <c r="E1828" t="s">
        <v>78</v>
      </c>
      <c r="F1828" t="s">
        <v>78</v>
      </c>
      <c r="G1828" t="s">
        <v>78</v>
      </c>
      <c r="H1828">
        <v>0.01</v>
      </c>
      <c r="I1828" s="1">
        <v>0</v>
      </c>
      <c r="J1828" s="1">
        <v>0</v>
      </c>
      <c r="K1828">
        <v>0</v>
      </c>
      <c r="L1828">
        <v>0</v>
      </c>
      <c r="M1828">
        <v>0.01</v>
      </c>
      <c r="N1828" s="1">
        <v>5000000</v>
      </c>
      <c r="O1828">
        <v>0.01</v>
      </c>
      <c r="P1828">
        <v>0.79</v>
      </c>
      <c r="Q1828">
        <v>0.01</v>
      </c>
    </row>
    <row r="1829" spans="1:17" x14ac:dyDescent="0.25">
      <c r="A1829">
        <v>730754</v>
      </c>
      <c r="B1829" t="s">
        <v>3141</v>
      </c>
      <c r="C1829" t="s">
        <v>78</v>
      </c>
      <c r="D1829" t="s">
        <v>78</v>
      </c>
      <c r="E1829" t="s">
        <v>78</v>
      </c>
      <c r="F1829" t="s">
        <v>78</v>
      </c>
      <c r="G1829" t="s">
        <v>78</v>
      </c>
      <c r="H1829">
        <v>0.17</v>
      </c>
      <c r="I1829" s="1">
        <v>0</v>
      </c>
      <c r="J1829" s="1">
        <v>0</v>
      </c>
      <c r="K1829">
        <v>0</v>
      </c>
      <c r="L1829">
        <v>0.1</v>
      </c>
      <c r="M1829">
        <v>0.12</v>
      </c>
      <c r="N1829" s="1">
        <v>5000000</v>
      </c>
      <c r="O1829">
        <v>0.12</v>
      </c>
      <c r="P1829">
        <v>1.3</v>
      </c>
      <c r="Q1829">
        <v>0.01</v>
      </c>
    </row>
    <row r="1830" spans="1:17" x14ac:dyDescent="0.25">
      <c r="A1830">
        <v>730755</v>
      </c>
      <c r="B1830" t="s">
        <v>3142</v>
      </c>
      <c r="C1830" t="s">
        <v>78</v>
      </c>
      <c r="D1830" t="s">
        <v>78</v>
      </c>
      <c r="E1830" t="s">
        <v>78</v>
      </c>
      <c r="F1830" t="s">
        <v>78</v>
      </c>
      <c r="G1830" t="s">
        <v>78</v>
      </c>
      <c r="H1830">
        <v>2.62</v>
      </c>
      <c r="I1830" s="1">
        <v>0</v>
      </c>
      <c r="J1830" s="1">
        <v>0</v>
      </c>
      <c r="K1830">
        <v>0</v>
      </c>
      <c r="L1830">
        <v>2.1</v>
      </c>
      <c r="M1830">
        <v>2.2000000000000002</v>
      </c>
      <c r="N1830" s="1">
        <v>4500000</v>
      </c>
      <c r="O1830">
        <v>2.1</v>
      </c>
      <c r="P1830">
        <v>2.92</v>
      </c>
      <c r="Q1830">
        <v>1.28</v>
      </c>
    </row>
    <row r="1831" spans="1:17" x14ac:dyDescent="0.25">
      <c r="A1831">
        <v>730756</v>
      </c>
      <c r="B1831" t="s">
        <v>3143</v>
      </c>
      <c r="C1831" t="s">
        <v>78</v>
      </c>
      <c r="D1831" t="s">
        <v>78</v>
      </c>
      <c r="E1831" t="s">
        <v>78</v>
      </c>
      <c r="F1831" t="s">
        <v>78</v>
      </c>
      <c r="G1831" t="s">
        <v>78</v>
      </c>
      <c r="H1831">
        <v>0.06</v>
      </c>
      <c r="I1831" s="1">
        <v>0</v>
      </c>
      <c r="J1831" s="1">
        <v>0</v>
      </c>
      <c r="K1831">
        <v>0</v>
      </c>
      <c r="L1831">
        <v>0.01</v>
      </c>
      <c r="M1831">
        <v>0.02</v>
      </c>
      <c r="N1831" s="1">
        <v>5000000</v>
      </c>
      <c r="O1831">
        <v>0.02</v>
      </c>
      <c r="P1831">
        <v>0.66</v>
      </c>
      <c r="Q1831">
        <v>0.01</v>
      </c>
    </row>
    <row r="1832" spans="1:17" x14ac:dyDescent="0.25">
      <c r="A1832">
        <v>730757</v>
      </c>
      <c r="B1832" t="s">
        <v>3144</v>
      </c>
      <c r="C1832" t="s">
        <v>78</v>
      </c>
      <c r="D1832" t="s">
        <v>78</v>
      </c>
      <c r="E1832" t="s">
        <v>78</v>
      </c>
      <c r="F1832" t="s">
        <v>78</v>
      </c>
      <c r="G1832" t="s">
        <v>78</v>
      </c>
      <c r="H1832">
        <v>7.0000000000000007E-2</v>
      </c>
      <c r="I1832" s="1">
        <v>0</v>
      </c>
      <c r="J1832" s="1">
        <v>0</v>
      </c>
      <c r="K1832">
        <v>0</v>
      </c>
      <c r="L1832">
        <v>0</v>
      </c>
      <c r="M1832">
        <v>0.01</v>
      </c>
      <c r="N1832" s="1">
        <v>5000000</v>
      </c>
      <c r="O1832">
        <v>0.01</v>
      </c>
      <c r="P1832">
        <v>0.67</v>
      </c>
      <c r="Q1832">
        <v>0.01</v>
      </c>
    </row>
    <row r="1833" spans="1:17" x14ac:dyDescent="0.25">
      <c r="A1833">
        <v>730758</v>
      </c>
      <c r="B1833" t="s">
        <v>3145</v>
      </c>
      <c r="C1833" t="s">
        <v>78</v>
      </c>
      <c r="D1833" t="s">
        <v>78</v>
      </c>
      <c r="E1833" t="s">
        <v>78</v>
      </c>
      <c r="F1833" t="s">
        <v>78</v>
      </c>
      <c r="G1833" t="s">
        <v>78</v>
      </c>
      <c r="H1833">
        <v>0.01</v>
      </c>
      <c r="I1833" s="1">
        <v>0</v>
      </c>
      <c r="J1833" s="1">
        <v>0</v>
      </c>
      <c r="K1833">
        <v>0</v>
      </c>
      <c r="L1833">
        <v>0</v>
      </c>
      <c r="M1833">
        <v>0.01</v>
      </c>
      <c r="N1833" s="1">
        <v>10000000</v>
      </c>
      <c r="O1833">
        <v>0.01</v>
      </c>
      <c r="P1833">
        <v>0.48</v>
      </c>
      <c r="Q1833">
        <v>0.01</v>
      </c>
    </row>
    <row r="1834" spans="1:17" x14ac:dyDescent="0.25">
      <c r="A1834">
        <v>730759</v>
      </c>
      <c r="B1834" t="s">
        <v>3146</v>
      </c>
      <c r="C1834">
        <v>0.02</v>
      </c>
      <c r="D1834">
        <v>0.01</v>
      </c>
      <c r="E1834">
        <v>0.01</v>
      </c>
      <c r="F1834">
        <v>0.02</v>
      </c>
      <c r="G1834">
        <v>0.01</v>
      </c>
      <c r="H1834">
        <v>0.01</v>
      </c>
      <c r="I1834" s="1">
        <v>94000</v>
      </c>
      <c r="J1834" s="1">
        <v>1080</v>
      </c>
      <c r="K1834">
        <v>2</v>
      </c>
      <c r="L1834">
        <v>0</v>
      </c>
      <c r="M1834">
        <v>0.03</v>
      </c>
      <c r="N1834" s="1">
        <v>10000000</v>
      </c>
      <c r="O1834">
        <v>0.02</v>
      </c>
      <c r="P1834">
        <v>1.42</v>
      </c>
      <c r="Q1834">
        <v>0.01</v>
      </c>
    </row>
    <row r="1835" spans="1:17" x14ac:dyDescent="0.25">
      <c r="A1835">
        <v>730760</v>
      </c>
      <c r="B1835" t="s">
        <v>3147</v>
      </c>
      <c r="C1835" t="s">
        <v>78</v>
      </c>
      <c r="D1835" t="s">
        <v>78</v>
      </c>
      <c r="E1835" t="s">
        <v>78</v>
      </c>
      <c r="F1835" t="s">
        <v>78</v>
      </c>
      <c r="G1835" t="s">
        <v>78</v>
      </c>
      <c r="H1835">
        <v>3.37</v>
      </c>
      <c r="I1835" s="1">
        <v>0</v>
      </c>
      <c r="J1835" s="1">
        <v>0</v>
      </c>
      <c r="K1835">
        <v>0</v>
      </c>
      <c r="L1835">
        <v>3.26</v>
      </c>
      <c r="M1835">
        <v>3.36</v>
      </c>
      <c r="N1835" s="1">
        <v>5000000</v>
      </c>
      <c r="O1835">
        <v>3.36</v>
      </c>
      <c r="P1835">
        <v>4.9000000000000004</v>
      </c>
      <c r="Q1835">
        <v>1.82</v>
      </c>
    </row>
    <row r="1836" spans="1:17" x14ac:dyDescent="0.25">
      <c r="A1836">
        <v>730761</v>
      </c>
      <c r="B1836" t="s">
        <v>3148</v>
      </c>
      <c r="C1836">
        <v>1.55</v>
      </c>
      <c r="D1836">
        <v>-0.32</v>
      </c>
      <c r="E1836">
        <v>1.55</v>
      </c>
      <c r="F1836">
        <v>1.55</v>
      </c>
      <c r="G1836">
        <v>1.55</v>
      </c>
      <c r="H1836">
        <v>1.55</v>
      </c>
      <c r="I1836" s="1">
        <v>20000</v>
      </c>
      <c r="J1836" s="1">
        <v>31000</v>
      </c>
      <c r="K1836">
        <v>2</v>
      </c>
      <c r="L1836">
        <v>1.52</v>
      </c>
      <c r="M1836">
        <v>1.64</v>
      </c>
      <c r="N1836" s="1">
        <v>10000000</v>
      </c>
      <c r="O1836">
        <v>1.55</v>
      </c>
      <c r="P1836">
        <v>3.81</v>
      </c>
      <c r="Q1836">
        <v>0.01</v>
      </c>
    </row>
    <row r="1837" spans="1:17" x14ac:dyDescent="0.25">
      <c r="A1837">
        <v>730762</v>
      </c>
      <c r="B1837" t="s">
        <v>3149</v>
      </c>
      <c r="C1837" t="s">
        <v>78</v>
      </c>
      <c r="D1837" t="s">
        <v>78</v>
      </c>
      <c r="E1837" t="s">
        <v>78</v>
      </c>
      <c r="F1837" t="s">
        <v>78</v>
      </c>
      <c r="G1837" t="s">
        <v>78</v>
      </c>
      <c r="H1837">
        <v>7.75</v>
      </c>
      <c r="I1837" s="1">
        <v>0</v>
      </c>
      <c r="J1837" s="1">
        <v>0</v>
      </c>
      <c r="K1837">
        <v>0</v>
      </c>
      <c r="L1837">
        <v>5.85</v>
      </c>
      <c r="M1837">
        <v>6.35</v>
      </c>
      <c r="N1837" s="1">
        <v>10000000</v>
      </c>
      <c r="O1837">
        <v>5.85</v>
      </c>
      <c r="P1837">
        <v>7.45</v>
      </c>
      <c r="Q1837">
        <v>4.25</v>
      </c>
    </row>
    <row r="1838" spans="1:17" x14ac:dyDescent="0.25">
      <c r="A1838">
        <v>730763</v>
      </c>
      <c r="B1838" t="s">
        <v>3150</v>
      </c>
      <c r="C1838" t="s">
        <v>78</v>
      </c>
      <c r="D1838" t="s">
        <v>78</v>
      </c>
      <c r="E1838" t="s">
        <v>78</v>
      </c>
      <c r="F1838" t="s">
        <v>78</v>
      </c>
      <c r="G1838" t="s">
        <v>78</v>
      </c>
      <c r="H1838">
        <v>2.56</v>
      </c>
      <c r="I1838" s="1">
        <v>0</v>
      </c>
      <c r="J1838" s="1">
        <v>0</v>
      </c>
      <c r="K1838">
        <v>0</v>
      </c>
      <c r="L1838">
        <v>2.2799999999999998</v>
      </c>
      <c r="M1838">
        <v>2.37</v>
      </c>
      <c r="N1838" s="1">
        <v>5000000</v>
      </c>
      <c r="O1838">
        <v>2.29</v>
      </c>
      <c r="P1838">
        <v>3.35</v>
      </c>
      <c r="Q1838">
        <v>1.23</v>
      </c>
    </row>
    <row r="1839" spans="1:17" x14ac:dyDescent="0.25">
      <c r="A1839">
        <v>730764</v>
      </c>
      <c r="B1839" t="s">
        <v>3151</v>
      </c>
      <c r="C1839">
        <v>3.97</v>
      </c>
      <c r="D1839">
        <v>0.04</v>
      </c>
      <c r="E1839">
        <v>3.94</v>
      </c>
      <c r="F1839">
        <v>4.21</v>
      </c>
      <c r="G1839">
        <v>3.91</v>
      </c>
      <c r="H1839">
        <v>3.96</v>
      </c>
      <c r="I1839" s="1">
        <v>132000</v>
      </c>
      <c r="J1839" s="1">
        <v>522400</v>
      </c>
      <c r="K1839">
        <v>13</v>
      </c>
      <c r="L1839">
        <v>3.79</v>
      </c>
      <c r="M1839">
        <v>3.85</v>
      </c>
      <c r="N1839" s="1">
        <v>5000000</v>
      </c>
      <c r="O1839">
        <v>3.97</v>
      </c>
      <c r="P1839">
        <v>4.9800000000000004</v>
      </c>
      <c r="Q1839">
        <v>2.96</v>
      </c>
    </row>
    <row r="1840" spans="1:17" x14ac:dyDescent="0.25">
      <c r="A1840">
        <v>730765</v>
      </c>
      <c r="B1840" t="s">
        <v>3152</v>
      </c>
      <c r="C1840">
        <v>4.7699999999999996</v>
      </c>
      <c r="D1840">
        <v>-0.04</v>
      </c>
      <c r="E1840">
        <v>4.9800000000000004</v>
      </c>
      <c r="F1840">
        <v>4.9800000000000004</v>
      </c>
      <c r="G1840">
        <v>4.7699999999999996</v>
      </c>
      <c r="H1840">
        <v>4.96</v>
      </c>
      <c r="I1840" s="1">
        <v>11000</v>
      </c>
      <c r="J1840" s="1">
        <v>54570</v>
      </c>
      <c r="K1840">
        <v>3</v>
      </c>
      <c r="L1840">
        <v>4.58</v>
      </c>
      <c r="M1840">
        <v>4.6500000000000004</v>
      </c>
      <c r="N1840" s="1">
        <v>5000000</v>
      </c>
      <c r="O1840">
        <v>4.7699999999999996</v>
      </c>
      <c r="P1840">
        <v>6.35</v>
      </c>
      <c r="Q1840">
        <v>3.19</v>
      </c>
    </row>
    <row r="1841" spans="1:17" x14ac:dyDescent="0.25">
      <c r="A1841">
        <v>730766</v>
      </c>
      <c r="B1841" t="s">
        <v>3153</v>
      </c>
      <c r="C1841" t="s">
        <v>78</v>
      </c>
      <c r="D1841" t="s">
        <v>78</v>
      </c>
      <c r="E1841" t="s">
        <v>78</v>
      </c>
      <c r="F1841" t="s">
        <v>78</v>
      </c>
      <c r="G1841" t="s">
        <v>78</v>
      </c>
      <c r="H1841">
        <v>4.46</v>
      </c>
      <c r="I1841" s="1">
        <v>0</v>
      </c>
      <c r="J1841" s="1">
        <v>0</v>
      </c>
      <c r="K1841">
        <v>0</v>
      </c>
      <c r="L1841">
        <v>4.7</v>
      </c>
      <c r="M1841">
        <v>4.8</v>
      </c>
      <c r="N1841" s="1">
        <v>5000000</v>
      </c>
      <c r="O1841">
        <v>4.8</v>
      </c>
      <c r="P1841">
        <v>5.9</v>
      </c>
      <c r="Q1841">
        <v>3.68</v>
      </c>
    </row>
    <row r="1842" spans="1:17" x14ac:dyDescent="0.25">
      <c r="A1842">
        <v>730767</v>
      </c>
      <c r="B1842" t="s">
        <v>3154</v>
      </c>
      <c r="C1842">
        <v>1.99</v>
      </c>
      <c r="D1842">
        <v>-0.28000000000000003</v>
      </c>
      <c r="E1842">
        <v>2.0099999999999998</v>
      </c>
      <c r="F1842">
        <v>2.0099999999999998</v>
      </c>
      <c r="G1842">
        <v>1.99</v>
      </c>
      <c r="H1842">
        <v>2</v>
      </c>
      <c r="I1842" s="1">
        <v>20000</v>
      </c>
      <c r="J1842" s="1">
        <v>40000</v>
      </c>
      <c r="K1842">
        <v>3</v>
      </c>
      <c r="L1842">
        <v>1.97</v>
      </c>
      <c r="M1842">
        <v>2.0499999999999998</v>
      </c>
      <c r="N1842" s="1">
        <v>5000000</v>
      </c>
      <c r="O1842">
        <v>1.99</v>
      </c>
      <c r="P1842">
        <v>3.44</v>
      </c>
      <c r="Q1842">
        <v>0.54</v>
      </c>
    </row>
    <row r="1843" spans="1:17" x14ac:dyDescent="0.25">
      <c r="A1843">
        <v>730768</v>
      </c>
      <c r="B1843" t="s">
        <v>3155</v>
      </c>
      <c r="C1843" t="s">
        <v>78</v>
      </c>
      <c r="D1843" t="s">
        <v>78</v>
      </c>
      <c r="E1843" t="s">
        <v>78</v>
      </c>
      <c r="F1843" t="s">
        <v>78</v>
      </c>
      <c r="G1843" t="s">
        <v>78</v>
      </c>
      <c r="H1843">
        <v>0.45</v>
      </c>
      <c r="I1843" s="1">
        <v>0</v>
      </c>
      <c r="J1843" s="1">
        <v>0</v>
      </c>
      <c r="K1843">
        <v>0</v>
      </c>
      <c r="L1843">
        <v>0.33</v>
      </c>
      <c r="M1843">
        <v>0.43</v>
      </c>
      <c r="N1843" s="1">
        <v>10000000</v>
      </c>
      <c r="O1843">
        <v>0.43</v>
      </c>
      <c r="P1843">
        <v>1.1200000000000001</v>
      </c>
      <c r="Q1843">
        <v>0.01</v>
      </c>
    </row>
    <row r="1844" spans="1:17" x14ac:dyDescent="0.25">
      <c r="A1844">
        <v>730769</v>
      </c>
      <c r="B1844" t="s">
        <v>3156</v>
      </c>
      <c r="C1844">
        <v>0.62</v>
      </c>
      <c r="D1844">
        <v>-0.1</v>
      </c>
      <c r="E1844">
        <v>0.62</v>
      </c>
      <c r="F1844">
        <v>0.62</v>
      </c>
      <c r="G1844">
        <v>0.62</v>
      </c>
      <c r="H1844">
        <v>0.62</v>
      </c>
      <c r="I1844" s="1">
        <v>50000</v>
      </c>
      <c r="J1844" s="1">
        <v>31000</v>
      </c>
      <c r="K1844">
        <v>1</v>
      </c>
      <c r="L1844">
        <v>0.57999999999999996</v>
      </c>
      <c r="M1844">
        <v>0.6</v>
      </c>
      <c r="N1844" s="1">
        <v>10000000</v>
      </c>
      <c r="O1844">
        <v>0.62</v>
      </c>
      <c r="P1844">
        <v>1.28</v>
      </c>
      <c r="Q1844">
        <v>0.01</v>
      </c>
    </row>
    <row r="1845" spans="1:17" x14ac:dyDescent="0.25">
      <c r="A1845">
        <v>730770</v>
      </c>
      <c r="B1845" t="s">
        <v>3157</v>
      </c>
      <c r="C1845" t="s">
        <v>78</v>
      </c>
      <c r="D1845" t="s">
        <v>78</v>
      </c>
      <c r="E1845" t="s">
        <v>78</v>
      </c>
      <c r="F1845" t="s">
        <v>78</v>
      </c>
      <c r="G1845" t="s">
        <v>78</v>
      </c>
      <c r="H1845">
        <v>0.03</v>
      </c>
      <c r="I1845" s="1">
        <v>0</v>
      </c>
      <c r="J1845" s="1">
        <v>0</v>
      </c>
      <c r="K1845">
        <v>0</v>
      </c>
      <c r="L1845">
        <v>0.02</v>
      </c>
      <c r="M1845">
        <v>0.03</v>
      </c>
      <c r="N1845" s="1">
        <v>10000000</v>
      </c>
      <c r="O1845">
        <v>0.03</v>
      </c>
      <c r="P1845">
        <v>0.48</v>
      </c>
      <c r="Q1845">
        <v>0.01</v>
      </c>
    </row>
    <row r="1846" spans="1:17" x14ac:dyDescent="0.25">
      <c r="A1846">
        <v>730771</v>
      </c>
      <c r="B1846" t="s">
        <v>3158</v>
      </c>
      <c r="C1846">
        <v>0.18</v>
      </c>
      <c r="D1846">
        <v>-0.01</v>
      </c>
      <c r="E1846">
        <v>0.18</v>
      </c>
      <c r="F1846">
        <v>0.18</v>
      </c>
      <c r="G1846">
        <v>0.18</v>
      </c>
      <c r="H1846">
        <v>0.18</v>
      </c>
      <c r="I1846" s="1">
        <v>100000</v>
      </c>
      <c r="J1846" s="1">
        <v>18000</v>
      </c>
      <c r="K1846">
        <v>1</v>
      </c>
      <c r="L1846">
        <v>0.17</v>
      </c>
      <c r="M1846">
        <v>0.18</v>
      </c>
      <c r="N1846" s="1">
        <v>10000000</v>
      </c>
      <c r="O1846">
        <v>0.18</v>
      </c>
      <c r="P1846">
        <v>0.77</v>
      </c>
      <c r="Q1846">
        <v>0.01</v>
      </c>
    </row>
    <row r="1847" spans="1:17" x14ac:dyDescent="0.25">
      <c r="A1847">
        <v>730772</v>
      </c>
      <c r="B1847" t="s">
        <v>3159</v>
      </c>
      <c r="C1847">
        <v>2.0299999999999998</v>
      </c>
      <c r="D1847">
        <v>-0.15</v>
      </c>
      <c r="E1847">
        <v>2.08</v>
      </c>
      <c r="F1847">
        <v>2.08</v>
      </c>
      <c r="G1847">
        <v>2.0299999999999998</v>
      </c>
      <c r="H1847">
        <v>2.06</v>
      </c>
      <c r="I1847" s="1">
        <v>85000</v>
      </c>
      <c r="J1847" s="1">
        <v>175390</v>
      </c>
      <c r="K1847">
        <v>4</v>
      </c>
      <c r="L1847">
        <v>2.0699999999999998</v>
      </c>
      <c r="M1847">
        <v>2.15</v>
      </c>
      <c r="N1847" s="1">
        <v>5000000</v>
      </c>
      <c r="O1847">
        <v>2.0299999999999998</v>
      </c>
      <c r="P1847">
        <v>3.19</v>
      </c>
      <c r="Q1847">
        <v>0.87</v>
      </c>
    </row>
    <row r="1848" spans="1:17" x14ac:dyDescent="0.25">
      <c r="A1848">
        <v>730773</v>
      </c>
      <c r="B1848" t="s">
        <v>3160</v>
      </c>
      <c r="C1848">
        <v>0.42</v>
      </c>
      <c r="D1848">
        <v>0</v>
      </c>
      <c r="E1848">
        <v>0.41</v>
      </c>
      <c r="F1848">
        <v>0.42</v>
      </c>
      <c r="G1848">
        <v>0.41</v>
      </c>
      <c r="H1848">
        <v>0.42</v>
      </c>
      <c r="I1848" s="1">
        <v>11000</v>
      </c>
      <c r="J1848" s="1">
        <v>4610</v>
      </c>
      <c r="K1848">
        <v>2</v>
      </c>
      <c r="L1848">
        <v>0.39</v>
      </c>
      <c r="M1848">
        <v>0.4</v>
      </c>
      <c r="N1848" s="1">
        <v>10000000</v>
      </c>
      <c r="O1848">
        <v>0.42</v>
      </c>
      <c r="P1848">
        <v>0.64</v>
      </c>
      <c r="Q1848">
        <v>0.2</v>
      </c>
    </row>
    <row r="1849" spans="1:17" x14ac:dyDescent="0.25">
      <c r="A1849">
        <v>730774</v>
      </c>
      <c r="B1849" t="s">
        <v>3161</v>
      </c>
      <c r="C1849">
        <v>5</v>
      </c>
      <c r="D1849">
        <v>0.06</v>
      </c>
      <c r="E1849">
        <v>5</v>
      </c>
      <c r="F1849">
        <v>5</v>
      </c>
      <c r="G1849">
        <v>5</v>
      </c>
      <c r="H1849">
        <v>5</v>
      </c>
      <c r="I1849" s="1">
        <v>10000</v>
      </c>
      <c r="J1849" s="1">
        <v>50000</v>
      </c>
      <c r="K1849">
        <v>1</v>
      </c>
      <c r="L1849">
        <v>4.9800000000000004</v>
      </c>
      <c r="M1849">
        <v>5.15</v>
      </c>
      <c r="N1849" s="1">
        <v>5000000</v>
      </c>
      <c r="O1849">
        <v>5</v>
      </c>
      <c r="P1849">
        <v>7.65</v>
      </c>
      <c r="Q1849">
        <v>2.34</v>
      </c>
    </row>
    <row r="1850" spans="1:17" x14ac:dyDescent="0.25">
      <c r="A1850">
        <v>730775</v>
      </c>
      <c r="B1850" t="s">
        <v>3162</v>
      </c>
      <c r="C1850" t="s">
        <v>78</v>
      </c>
      <c r="D1850" t="s">
        <v>78</v>
      </c>
      <c r="E1850" t="s">
        <v>78</v>
      </c>
      <c r="F1850" t="s">
        <v>78</v>
      </c>
      <c r="G1850" t="s">
        <v>78</v>
      </c>
      <c r="H1850">
        <v>0.08</v>
      </c>
      <c r="I1850" s="1">
        <v>0</v>
      </c>
      <c r="J1850" s="1">
        <v>0</v>
      </c>
      <c r="K1850">
        <v>0</v>
      </c>
      <c r="L1850">
        <v>0.02</v>
      </c>
      <c r="M1850">
        <v>0.03</v>
      </c>
      <c r="N1850" s="1">
        <v>5000000</v>
      </c>
      <c r="O1850">
        <v>0.03</v>
      </c>
      <c r="P1850">
        <v>0.79</v>
      </c>
      <c r="Q1850">
        <v>0.01</v>
      </c>
    </row>
    <row r="1851" spans="1:17" x14ac:dyDescent="0.25">
      <c r="A1851">
        <v>730776</v>
      </c>
      <c r="B1851" t="s">
        <v>3163</v>
      </c>
      <c r="C1851" t="s">
        <v>78</v>
      </c>
      <c r="D1851" t="s">
        <v>78</v>
      </c>
      <c r="E1851" t="s">
        <v>78</v>
      </c>
      <c r="F1851" t="s">
        <v>78</v>
      </c>
      <c r="G1851" t="s">
        <v>78</v>
      </c>
      <c r="H1851">
        <v>4.83</v>
      </c>
      <c r="I1851" s="1">
        <v>0</v>
      </c>
      <c r="J1851" s="1">
        <v>0</v>
      </c>
      <c r="K1851">
        <v>0</v>
      </c>
      <c r="L1851">
        <v>6.05</v>
      </c>
      <c r="M1851">
        <v>6.55</v>
      </c>
      <c r="N1851" s="1">
        <v>5000000</v>
      </c>
      <c r="O1851">
        <v>6.05</v>
      </c>
      <c r="P1851">
        <v>7.45</v>
      </c>
      <c r="Q1851">
        <v>4.63</v>
      </c>
    </row>
    <row r="1852" spans="1:17" x14ac:dyDescent="0.25">
      <c r="A1852">
        <v>730777</v>
      </c>
      <c r="B1852" t="s">
        <v>3164</v>
      </c>
      <c r="C1852" t="s">
        <v>78</v>
      </c>
      <c r="D1852" t="s">
        <v>78</v>
      </c>
      <c r="E1852" t="s">
        <v>78</v>
      </c>
      <c r="F1852" t="s">
        <v>78</v>
      </c>
      <c r="G1852" t="s">
        <v>78</v>
      </c>
      <c r="H1852">
        <v>0.01</v>
      </c>
      <c r="I1852" s="1">
        <v>0</v>
      </c>
      <c r="J1852" s="1">
        <v>0</v>
      </c>
      <c r="K1852">
        <v>0</v>
      </c>
      <c r="L1852">
        <v>0</v>
      </c>
      <c r="M1852">
        <v>0.01</v>
      </c>
      <c r="N1852" s="1">
        <v>5000000</v>
      </c>
      <c r="O1852">
        <v>0.01</v>
      </c>
      <c r="P1852">
        <v>0.82</v>
      </c>
      <c r="Q1852">
        <v>0.01</v>
      </c>
    </row>
    <row r="1853" spans="1:17" x14ac:dyDescent="0.25">
      <c r="A1853">
        <v>730778</v>
      </c>
      <c r="B1853" t="s">
        <v>3165</v>
      </c>
      <c r="C1853" t="s">
        <v>78</v>
      </c>
      <c r="D1853" t="s">
        <v>78</v>
      </c>
      <c r="E1853" t="s">
        <v>78</v>
      </c>
      <c r="F1853" t="s">
        <v>78</v>
      </c>
      <c r="G1853" t="s">
        <v>78</v>
      </c>
      <c r="H1853">
        <v>0.01</v>
      </c>
      <c r="I1853" s="1">
        <v>0</v>
      </c>
      <c r="J1853" s="1">
        <v>0</v>
      </c>
      <c r="K1853">
        <v>0</v>
      </c>
      <c r="L1853">
        <v>0</v>
      </c>
      <c r="M1853">
        <v>0.01</v>
      </c>
      <c r="N1853" s="1">
        <v>5000000</v>
      </c>
      <c r="O1853">
        <v>0.01</v>
      </c>
      <c r="P1853">
        <v>0.87</v>
      </c>
      <c r="Q1853">
        <v>0.01</v>
      </c>
    </row>
    <row r="1854" spans="1:17" x14ac:dyDescent="0.25">
      <c r="A1854">
        <v>730779</v>
      </c>
      <c r="B1854" t="s">
        <v>3166</v>
      </c>
      <c r="C1854" t="s">
        <v>78</v>
      </c>
      <c r="D1854" t="s">
        <v>78</v>
      </c>
      <c r="E1854" t="s">
        <v>78</v>
      </c>
      <c r="F1854" t="s">
        <v>78</v>
      </c>
      <c r="G1854" t="s">
        <v>78</v>
      </c>
      <c r="H1854">
        <v>2.7</v>
      </c>
      <c r="I1854" s="1">
        <v>0</v>
      </c>
      <c r="J1854" s="1">
        <v>0</v>
      </c>
      <c r="K1854">
        <v>0</v>
      </c>
      <c r="L1854">
        <v>4.1900000000000004</v>
      </c>
      <c r="M1854">
        <v>0</v>
      </c>
      <c r="N1854" s="1">
        <v>10000000</v>
      </c>
      <c r="O1854">
        <v>4.42</v>
      </c>
      <c r="P1854">
        <v>5.55</v>
      </c>
      <c r="Q1854">
        <v>3.26</v>
      </c>
    </row>
    <row r="1855" spans="1:17" x14ac:dyDescent="0.25">
      <c r="A1855">
        <v>730780</v>
      </c>
      <c r="B1855" t="s">
        <v>3167</v>
      </c>
      <c r="C1855" t="s">
        <v>78</v>
      </c>
      <c r="D1855" t="s">
        <v>78</v>
      </c>
      <c r="E1855" t="s">
        <v>78</v>
      </c>
      <c r="F1855" t="s">
        <v>78</v>
      </c>
      <c r="G1855" t="s">
        <v>78</v>
      </c>
      <c r="H1855">
        <v>3.58</v>
      </c>
      <c r="I1855" s="1">
        <v>0</v>
      </c>
      <c r="J1855" s="1">
        <v>0</v>
      </c>
      <c r="K1855">
        <v>0</v>
      </c>
      <c r="L1855">
        <v>0</v>
      </c>
      <c r="M1855">
        <v>4.0199999999999996</v>
      </c>
      <c r="N1855" s="1">
        <v>10000000</v>
      </c>
      <c r="O1855">
        <v>4.0199999999999996</v>
      </c>
      <c r="P1855">
        <v>5.25</v>
      </c>
      <c r="Q1855">
        <v>2.79</v>
      </c>
    </row>
    <row r="1856" spans="1:17" x14ac:dyDescent="0.25">
      <c r="A1856">
        <v>730781</v>
      </c>
      <c r="B1856" t="s">
        <v>3168</v>
      </c>
      <c r="C1856">
        <v>4.38</v>
      </c>
      <c r="D1856">
        <v>0.23</v>
      </c>
      <c r="E1856">
        <v>4.4000000000000004</v>
      </c>
      <c r="F1856">
        <v>4.4000000000000004</v>
      </c>
      <c r="G1856">
        <v>4.38</v>
      </c>
      <c r="H1856">
        <v>4.3899999999999997</v>
      </c>
      <c r="I1856" s="1">
        <v>20000</v>
      </c>
      <c r="J1856" s="1">
        <v>87800</v>
      </c>
      <c r="K1856">
        <v>2</v>
      </c>
      <c r="L1856">
        <v>4.25</v>
      </c>
      <c r="M1856">
        <v>4.3499999999999996</v>
      </c>
      <c r="N1856" s="1">
        <v>5000000</v>
      </c>
      <c r="O1856">
        <v>4.38</v>
      </c>
      <c r="P1856">
        <v>5.7</v>
      </c>
      <c r="Q1856">
        <v>3.02</v>
      </c>
    </row>
    <row r="1857" spans="1:17" x14ac:dyDescent="0.25">
      <c r="A1857">
        <v>730782</v>
      </c>
      <c r="B1857" t="s">
        <v>3169</v>
      </c>
      <c r="C1857" t="s">
        <v>78</v>
      </c>
      <c r="D1857" t="s">
        <v>78</v>
      </c>
      <c r="E1857" t="s">
        <v>78</v>
      </c>
      <c r="F1857" t="s">
        <v>78</v>
      </c>
      <c r="G1857" t="s">
        <v>78</v>
      </c>
      <c r="H1857">
        <v>0.49</v>
      </c>
      <c r="I1857" s="1">
        <v>0</v>
      </c>
      <c r="J1857" s="1">
        <v>0</v>
      </c>
      <c r="K1857">
        <v>0</v>
      </c>
      <c r="L1857">
        <v>0.21</v>
      </c>
      <c r="M1857">
        <v>0.22</v>
      </c>
      <c r="N1857" s="1">
        <v>10000000</v>
      </c>
      <c r="O1857">
        <v>0.22</v>
      </c>
      <c r="P1857">
        <v>0.73</v>
      </c>
      <c r="Q1857">
        <v>0.01</v>
      </c>
    </row>
    <row r="1858" spans="1:17" x14ac:dyDescent="0.25">
      <c r="A1858">
        <v>730783</v>
      </c>
      <c r="B1858" t="s">
        <v>3170</v>
      </c>
      <c r="C1858">
        <v>0.2</v>
      </c>
      <c r="D1858">
        <v>0</v>
      </c>
      <c r="E1858">
        <v>0.2</v>
      </c>
      <c r="F1858">
        <v>0.2</v>
      </c>
      <c r="G1858">
        <v>0.2</v>
      </c>
      <c r="H1858">
        <v>0.2</v>
      </c>
      <c r="I1858" s="1">
        <v>5000</v>
      </c>
      <c r="J1858" s="1">
        <v>1000</v>
      </c>
      <c r="K1858">
        <v>1</v>
      </c>
      <c r="L1858">
        <v>0.19</v>
      </c>
      <c r="M1858">
        <v>0.2</v>
      </c>
      <c r="N1858" s="1">
        <v>10000000</v>
      </c>
      <c r="O1858">
        <v>0.2</v>
      </c>
      <c r="P1858">
        <v>0.65</v>
      </c>
      <c r="Q1858">
        <v>0.01</v>
      </c>
    </row>
    <row r="1859" spans="1:17" x14ac:dyDescent="0.25">
      <c r="A1859">
        <v>730784</v>
      </c>
      <c r="B1859" t="s">
        <v>3171</v>
      </c>
      <c r="C1859" t="s">
        <v>78</v>
      </c>
      <c r="D1859" t="s">
        <v>78</v>
      </c>
      <c r="E1859" t="s">
        <v>78</v>
      </c>
      <c r="F1859" t="s">
        <v>78</v>
      </c>
      <c r="G1859" t="s">
        <v>78</v>
      </c>
      <c r="H1859">
        <v>0.01</v>
      </c>
      <c r="I1859" s="1">
        <v>0</v>
      </c>
      <c r="J1859" s="1">
        <v>0</v>
      </c>
      <c r="K1859">
        <v>0</v>
      </c>
      <c r="L1859">
        <v>0.01</v>
      </c>
      <c r="M1859">
        <v>0.02</v>
      </c>
      <c r="N1859" s="1">
        <v>10000000</v>
      </c>
      <c r="O1859">
        <v>0.01</v>
      </c>
      <c r="P1859">
        <v>1.55</v>
      </c>
      <c r="Q1859">
        <v>0.01</v>
      </c>
    </row>
    <row r="1860" spans="1:17" x14ac:dyDescent="0.25">
      <c r="A1860">
        <v>730785</v>
      </c>
      <c r="B1860" t="s">
        <v>3172</v>
      </c>
      <c r="C1860" t="s">
        <v>78</v>
      </c>
      <c r="D1860" t="s">
        <v>78</v>
      </c>
      <c r="E1860" t="s">
        <v>78</v>
      </c>
      <c r="F1860" t="s">
        <v>78</v>
      </c>
      <c r="G1860" t="s">
        <v>78</v>
      </c>
      <c r="H1860">
        <v>7.65</v>
      </c>
      <c r="I1860" s="1">
        <v>0</v>
      </c>
      <c r="J1860" s="1">
        <v>0</v>
      </c>
      <c r="K1860">
        <v>0</v>
      </c>
      <c r="L1860">
        <v>8.6999999999999993</v>
      </c>
      <c r="M1860">
        <v>9.1999999999999993</v>
      </c>
      <c r="N1860" s="1">
        <v>10000000</v>
      </c>
      <c r="O1860">
        <v>8.6999999999999993</v>
      </c>
      <c r="P1860">
        <v>10.4</v>
      </c>
      <c r="Q1860">
        <v>7</v>
      </c>
    </row>
    <row r="1861" spans="1:17" x14ac:dyDescent="0.25">
      <c r="A1861">
        <v>730786</v>
      </c>
      <c r="B1861" t="s">
        <v>3173</v>
      </c>
      <c r="C1861" t="s">
        <v>78</v>
      </c>
      <c r="D1861" t="s">
        <v>78</v>
      </c>
      <c r="E1861" t="s">
        <v>78</v>
      </c>
      <c r="F1861" t="s">
        <v>78</v>
      </c>
      <c r="G1861" t="s">
        <v>78</v>
      </c>
      <c r="H1861">
        <v>0.21</v>
      </c>
      <c r="I1861" s="1">
        <v>0</v>
      </c>
      <c r="J1861" s="1">
        <v>0</v>
      </c>
      <c r="K1861">
        <v>0</v>
      </c>
      <c r="L1861">
        <v>0.22</v>
      </c>
      <c r="M1861">
        <v>0.23</v>
      </c>
      <c r="N1861" s="1">
        <v>5000000</v>
      </c>
      <c r="O1861">
        <v>0.22</v>
      </c>
      <c r="P1861">
        <v>0.48</v>
      </c>
      <c r="Q1861">
        <v>0.01</v>
      </c>
    </row>
    <row r="1862" spans="1:17" x14ac:dyDescent="0.25">
      <c r="A1862">
        <v>730787</v>
      </c>
      <c r="B1862" t="s">
        <v>3174</v>
      </c>
      <c r="C1862" t="s">
        <v>78</v>
      </c>
      <c r="D1862" t="s">
        <v>78</v>
      </c>
      <c r="E1862" t="s">
        <v>78</v>
      </c>
      <c r="F1862" t="s">
        <v>78</v>
      </c>
      <c r="G1862" t="s">
        <v>78</v>
      </c>
      <c r="H1862">
        <v>0.16</v>
      </c>
      <c r="I1862" s="1">
        <v>0</v>
      </c>
      <c r="J1862" s="1">
        <v>0</v>
      </c>
      <c r="K1862">
        <v>0</v>
      </c>
      <c r="L1862">
        <v>0.16</v>
      </c>
      <c r="M1862">
        <v>0.17</v>
      </c>
      <c r="N1862" s="1">
        <v>5000000</v>
      </c>
      <c r="O1862">
        <v>0.16</v>
      </c>
      <c r="P1862">
        <v>0.42</v>
      </c>
      <c r="Q1862">
        <v>0.01</v>
      </c>
    </row>
    <row r="1863" spans="1:17" x14ac:dyDescent="0.25">
      <c r="A1863">
        <v>730788</v>
      </c>
      <c r="B1863" t="s">
        <v>3175</v>
      </c>
      <c r="C1863">
        <v>0.19</v>
      </c>
      <c r="D1863">
        <v>-0.01</v>
      </c>
      <c r="E1863">
        <v>0.2</v>
      </c>
      <c r="F1863">
        <v>0.2</v>
      </c>
      <c r="G1863">
        <v>0.19</v>
      </c>
      <c r="H1863">
        <v>0.2</v>
      </c>
      <c r="I1863" s="1">
        <v>60000</v>
      </c>
      <c r="J1863" s="1">
        <v>11800</v>
      </c>
      <c r="K1863">
        <v>3</v>
      </c>
      <c r="L1863">
        <v>0.19</v>
      </c>
      <c r="M1863">
        <v>0.2</v>
      </c>
      <c r="N1863" s="1">
        <v>5000000</v>
      </c>
      <c r="O1863">
        <v>0.19</v>
      </c>
      <c r="P1863">
        <v>0.61</v>
      </c>
      <c r="Q1863">
        <v>0.01</v>
      </c>
    </row>
    <row r="1864" spans="1:17" x14ac:dyDescent="0.25">
      <c r="A1864">
        <v>730789</v>
      </c>
      <c r="B1864" t="s">
        <v>3176</v>
      </c>
      <c r="C1864" t="s">
        <v>78</v>
      </c>
      <c r="D1864" t="s">
        <v>78</v>
      </c>
      <c r="E1864" t="s">
        <v>78</v>
      </c>
      <c r="F1864" t="s">
        <v>78</v>
      </c>
      <c r="G1864" t="s">
        <v>78</v>
      </c>
      <c r="H1864">
        <v>0.1</v>
      </c>
      <c r="I1864" s="1">
        <v>0</v>
      </c>
      <c r="J1864" s="1">
        <v>0</v>
      </c>
      <c r="K1864">
        <v>0</v>
      </c>
      <c r="L1864">
        <v>0.02</v>
      </c>
      <c r="M1864">
        <v>0.1</v>
      </c>
      <c r="N1864" s="1">
        <v>10000000</v>
      </c>
      <c r="O1864">
        <v>0.1</v>
      </c>
      <c r="P1864">
        <v>1.02</v>
      </c>
      <c r="Q1864">
        <v>0.01</v>
      </c>
    </row>
    <row r="1865" spans="1:17" x14ac:dyDescent="0.25">
      <c r="A1865">
        <v>730790</v>
      </c>
      <c r="B1865" t="s">
        <v>3177</v>
      </c>
      <c r="C1865">
        <v>0.18</v>
      </c>
      <c r="D1865">
        <v>-0.02</v>
      </c>
      <c r="E1865">
        <v>0.18</v>
      </c>
      <c r="F1865">
        <v>0.18</v>
      </c>
      <c r="G1865">
        <v>0.18</v>
      </c>
      <c r="H1865">
        <v>0.18</v>
      </c>
      <c r="I1865" s="1">
        <v>24000</v>
      </c>
      <c r="J1865" s="1">
        <v>4320</v>
      </c>
      <c r="K1865">
        <v>1</v>
      </c>
      <c r="L1865">
        <v>0.17</v>
      </c>
      <c r="M1865">
        <v>0.27</v>
      </c>
      <c r="N1865" s="1">
        <v>5000000</v>
      </c>
      <c r="O1865">
        <v>0.18</v>
      </c>
      <c r="P1865">
        <v>0.81</v>
      </c>
      <c r="Q1865">
        <v>0.01</v>
      </c>
    </row>
    <row r="1866" spans="1:17" x14ac:dyDescent="0.25">
      <c r="A1866">
        <v>730791</v>
      </c>
      <c r="B1866" t="s">
        <v>3178</v>
      </c>
      <c r="C1866">
        <v>0.57999999999999996</v>
      </c>
      <c r="D1866">
        <v>0.03</v>
      </c>
      <c r="E1866">
        <v>0.57999999999999996</v>
      </c>
      <c r="F1866">
        <v>0.57999999999999996</v>
      </c>
      <c r="G1866">
        <v>0.57999999999999996</v>
      </c>
      <c r="H1866">
        <v>0.57999999999999996</v>
      </c>
      <c r="I1866" s="1">
        <v>6000</v>
      </c>
      <c r="J1866" s="1">
        <v>3480</v>
      </c>
      <c r="K1866">
        <v>1</v>
      </c>
      <c r="L1866">
        <v>0.54</v>
      </c>
      <c r="M1866">
        <v>0.55000000000000004</v>
      </c>
      <c r="N1866" s="1">
        <v>10000000</v>
      </c>
      <c r="O1866">
        <v>0.57999999999999996</v>
      </c>
      <c r="P1866">
        <v>1.43</v>
      </c>
      <c r="Q1866">
        <v>0.01</v>
      </c>
    </row>
    <row r="1867" spans="1:17" x14ac:dyDescent="0.25">
      <c r="A1867">
        <v>730792</v>
      </c>
      <c r="B1867" t="s">
        <v>3179</v>
      </c>
      <c r="C1867">
        <v>0.39</v>
      </c>
      <c r="D1867">
        <v>0.03</v>
      </c>
      <c r="E1867">
        <v>0.43</v>
      </c>
      <c r="F1867">
        <v>0.43</v>
      </c>
      <c r="G1867">
        <v>0.39</v>
      </c>
      <c r="H1867">
        <v>0.39</v>
      </c>
      <c r="I1867" s="1">
        <v>449000</v>
      </c>
      <c r="J1867" s="1">
        <v>177110</v>
      </c>
      <c r="K1867">
        <v>8</v>
      </c>
      <c r="L1867">
        <v>0.42</v>
      </c>
      <c r="M1867">
        <v>0.43</v>
      </c>
      <c r="N1867" s="1">
        <v>10000000</v>
      </c>
      <c r="O1867">
        <v>0.39</v>
      </c>
      <c r="P1867">
        <v>1.66</v>
      </c>
      <c r="Q1867">
        <v>0.01</v>
      </c>
    </row>
    <row r="1868" spans="1:17" x14ac:dyDescent="0.25">
      <c r="A1868">
        <v>730793</v>
      </c>
      <c r="B1868" t="s">
        <v>3180</v>
      </c>
      <c r="C1868" t="s">
        <v>78</v>
      </c>
      <c r="D1868" t="s">
        <v>78</v>
      </c>
      <c r="E1868" t="s">
        <v>78</v>
      </c>
      <c r="F1868" t="s">
        <v>78</v>
      </c>
      <c r="G1868" t="s">
        <v>78</v>
      </c>
      <c r="H1868">
        <v>0.03</v>
      </c>
      <c r="I1868" s="1">
        <v>0</v>
      </c>
      <c r="J1868" s="1">
        <v>0</v>
      </c>
      <c r="K1868">
        <v>0</v>
      </c>
      <c r="L1868">
        <v>0.01</v>
      </c>
      <c r="M1868">
        <v>0.02</v>
      </c>
      <c r="N1868" s="1">
        <v>10000000</v>
      </c>
      <c r="O1868">
        <v>0.02</v>
      </c>
      <c r="P1868">
        <v>0.63</v>
      </c>
      <c r="Q1868">
        <v>0.01</v>
      </c>
    </row>
    <row r="1869" spans="1:17" x14ac:dyDescent="0.25">
      <c r="A1869">
        <v>730794</v>
      </c>
      <c r="B1869" t="s">
        <v>3181</v>
      </c>
      <c r="C1869" t="s">
        <v>78</v>
      </c>
      <c r="D1869" t="s">
        <v>78</v>
      </c>
      <c r="E1869" t="s">
        <v>78</v>
      </c>
      <c r="F1869" t="s">
        <v>78</v>
      </c>
      <c r="G1869" t="s">
        <v>78</v>
      </c>
      <c r="H1869">
        <v>1.33</v>
      </c>
      <c r="I1869" s="1">
        <v>0</v>
      </c>
      <c r="J1869" s="1">
        <v>0</v>
      </c>
      <c r="K1869">
        <v>0</v>
      </c>
      <c r="L1869">
        <v>1.2</v>
      </c>
      <c r="M1869">
        <v>1.28</v>
      </c>
      <c r="N1869" s="1">
        <v>10000000</v>
      </c>
      <c r="O1869">
        <v>1.28</v>
      </c>
      <c r="P1869">
        <v>2.4</v>
      </c>
      <c r="Q1869">
        <v>0.16</v>
      </c>
    </row>
    <row r="1870" spans="1:17" x14ac:dyDescent="0.25">
      <c r="A1870">
        <v>730795</v>
      </c>
      <c r="B1870" t="s">
        <v>3182</v>
      </c>
      <c r="C1870">
        <v>0.47</v>
      </c>
      <c r="D1870">
        <v>-0.03</v>
      </c>
      <c r="E1870">
        <v>0.5</v>
      </c>
      <c r="F1870">
        <v>0.5</v>
      </c>
      <c r="G1870">
        <v>0.47</v>
      </c>
      <c r="H1870">
        <v>0.48</v>
      </c>
      <c r="I1870" s="1">
        <v>60000</v>
      </c>
      <c r="J1870" s="1">
        <v>29100</v>
      </c>
      <c r="K1870">
        <v>3</v>
      </c>
      <c r="L1870">
        <v>0.45</v>
      </c>
      <c r="M1870">
        <v>0.46</v>
      </c>
      <c r="N1870" s="1">
        <v>10000000</v>
      </c>
      <c r="O1870">
        <v>0.47</v>
      </c>
      <c r="P1870">
        <v>0.98</v>
      </c>
      <c r="Q1870">
        <v>0.01</v>
      </c>
    </row>
    <row r="1871" spans="1:17" x14ac:dyDescent="0.25">
      <c r="A1871">
        <v>730796</v>
      </c>
      <c r="B1871" t="s">
        <v>3183</v>
      </c>
      <c r="C1871" t="s">
        <v>78</v>
      </c>
      <c r="D1871" t="s">
        <v>78</v>
      </c>
      <c r="E1871" t="s">
        <v>78</v>
      </c>
      <c r="F1871" t="s">
        <v>78</v>
      </c>
      <c r="G1871" t="s">
        <v>78</v>
      </c>
      <c r="H1871">
        <v>0.03</v>
      </c>
      <c r="I1871" s="1">
        <v>0</v>
      </c>
      <c r="J1871" s="1">
        <v>0</v>
      </c>
      <c r="K1871">
        <v>0</v>
      </c>
      <c r="L1871">
        <v>0.02</v>
      </c>
      <c r="M1871">
        <v>0.03</v>
      </c>
      <c r="N1871" s="1">
        <v>10000000</v>
      </c>
      <c r="O1871">
        <v>0.03</v>
      </c>
      <c r="P1871">
        <v>1.33</v>
      </c>
      <c r="Q1871">
        <v>0.01</v>
      </c>
    </row>
    <row r="1872" spans="1:17" x14ac:dyDescent="0.25">
      <c r="A1872">
        <v>730797</v>
      </c>
      <c r="B1872" t="s">
        <v>3184</v>
      </c>
      <c r="C1872">
        <v>0.19</v>
      </c>
      <c r="D1872">
        <v>-0.19</v>
      </c>
      <c r="E1872">
        <v>0.38</v>
      </c>
      <c r="F1872">
        <v>0.38</v>
      </c>
      <c r="G1872">
        <v>0.19</v>
      </c>
      <c r="H1872">
        <v>0.32</v>
      </c>
      <c r="I1872" s="1">
        <v>626000</v>
      </c>
      <c r="J1872" s="1">
        <v>200230</v>
      </c>
      <c r="K1872">
        <v>40</v>
      </c>
      <c r="L1872">
        <v>0.18</v>
      </c>
      <c r="M1872">
        <v>0.2</v>
      </c>
      <c r="N1872" s="1">
        <v>5000000</v>
      </c>
      <c r="O1872">
        <v>0.19</v>
      </c>
      <c r="P1872">
        <v>1.28</v>
      </c>
      <c r="Q1872">
        <v>0.01</v>
      </c>
    </row>
    <row r="1873" spans="1:17" x14ac:dyDescent="0.25">
      <c r="A1873">
        <v>730798</v>
      </c>
      <c r="B1873" t="s">
        <v>3185</v>
      </c>
      <c r="C1873" t="s">
        <v>78</v>
      </c>
      <c r="D1873" t="s">
        <v>78</v>
      </c>
      <c r="E1873" t="s">
        <v>78</v>
      </c>
      <c r="F1873" t="s">
        <v>78</v>
      </c>
      <c r="G1873" t="s">
        <v>78</v>
      </c>
      <c r="H1873">
        <v>0.13</v>
      </c>
      <c r="I1873" s="1">
        <v>0</v>
      </c>
      <c r="J1873" s="1">
        <v>0</v>
      </c>
      <c r="K1873">
        <v>0</v>
      </c>
      <c r="L1873">
        <v>0.02</v>
      </c>
      <c r="M1873">
        <v>0.03</v>
      </c>
      <c r="N1873" s="1">
        <v>5000000</v>
      </c>
      <c r="O1873">
        <v>0.03</v>
      </c>
      <c r="P1873">
        <v>1.35</v>
      </c>
      <c r="Q1873">
        <v>0.01</v>
      </c>
    </row>
    <row r="1874" spans="1:17" x14ac:dyDescent="0.25">
      <c r="A1874">
        <v>730799</v>
      </c>
      <c r="B1874" t="s">
        <v>3186</v>
      </c>
      <c r="C1874">
        <v>0.76</v>
      </c>
      <c r="D1874">
        <v>0.02</v>
      </c>
      <c r="E1874">
        <v>0.78</v>
      </c>
      <c r="F1874">
        <v>0.78</v>
      </c>
      <c r="G1874">
        <v>0.76</v>
      </c>
      <c r="H1874">
        <v>0.76</v>
      </c>
      <c r="I1874" s="1">
        <v>683000</v>
      </c>
      <c r="J1874" s="1">
        <v>519480</v>
      </c>
      <c r="K1874">
        <v>6</v>
      </c>
      <c r="L1874">
        <v>0.73</v>
      </c>
      <c r="M1874">
        <v>0.74</v>
      </c>
      <c r="N1874" s="1">
        <v>5700000</v>
      </c>
      <c r="O1874">
        <v>0.76</v>
      </c>
      <c r="P1874">
        <v>1.65</v>
      </c>
      <c r="Q1874">
        <v>0.01</v>
      </c>
    </row>
    <row r="1875" spans="1:17" x14ac:dyDescent="0.25">
      <c r="A1875">
        <v>730800</v>
      </c>
      <c r="B1875" t="s">
        <v>3187</v>
      </c>
      <c r="C1875">
        <v>0.43</v>
      </c>
      <c r="D1875">
        <v>0.08</v>
      </c>
      <c r="E1875">
        <v>0.45</v>
      </c>
      <c r="F1875">
        <v>0.5</v>
      </c>
      <c r="G1875">
        <v>0.43</v>
      </c>
      <c r="H1875">
        <v>0.48</v>
      </c>
      <c r="I1875" s="1">
        <v>504000</v>
      </c>
      <c r="J1875" s="1">
        <v>239920</v>
      </c>
      <c r="K1875">
        <v>7</v>
      </c>
      <c r="L1875">
        <v>0.4</v>
      </c>
      <c r="M1875">
        <v>0.41</v>
      </c>
      <c r="N1875" s="1">
        <v>5000000</v>
      </c>
      <c r="O1875">
        <v>0.43</v>
      </c>
      <c r="P1875">
        <v>1.19</v>
      </c>
      <c r="Q1875">
        <v>0.01</v>
      </c>
    </row>
    <row r="1876" spans="1:17" x14ac:dyDescent="0.25">
      <c r="A1876">
        <v>730801</v>
      </c>
      <c r="B1876" t="s">
        <v>3188</v>
      </c>
      <c r="C1876" t="s">
        <v>78</v>
      </c>
      <c r="D1876" t="s">
        <v>78</v>
      </c>
      <c r="E1876" t="s">
        <v>78</v>
      </c>
      <c r="F1876" t="s">
        <v>78</v>
      </c>
      <c r="G1876" t="s">
        <v>78</v>
      </c>
      <c r="H1876">
        <v>0.01</v>
      </c>
      <c r="I1876" s="1">
        <v>0</v>
      </c>
      <c r="J1876" s="1">
        <v>0</v>
      </c>
      <c r="K1876">
        <v>0</v>
      </c>
      <c r="L1876">
        <v>0.01</v>
      </c>
      <c r="M1876">
        <v>0.02</v>
      </c>
      <c r="N1876" s="1">
        <v>10000000</v>
      </c>
      <c r="O1876">
        <v>0.01</v>
      </c>
      <c r="P1876">
        <v>1.02</v>
      </c>
      <c r="Q1876">
        <v>0.01</v>
      </c>
    </row>
    <row r="1877" spans="1:17" x14ac:dyDescent="0.25">
      <c r="A1877">
        <v>730802</v>
      </c>
      <c r="B1877" t="s">
        <v>3189</v>
      </c>
      <c r="C1877" t="s">
        <v>78</v>
      </c>
      <c r="D1877" t="s">
        <v>78</v>
      </c>
      <c r="E1877" t="s">
        <v>78</v>
      </c>
      <c r="F1877" t="s">
        <v>78</v>
      </c>
      <c r="G1877" t="s">
        <v>78</v>
      </c>
      <c r="H1877">
        <v>0.08</v>
      </c>
      <c r="I1877" s="1">
        <v>0</v>
      </c>
      <c r="J1877" s="1">
        <v>0</v>
      </c>
      <c r="K1877">
        <v>0</v>
      </c>
      <c r="L1877">
        <v>7.0000000000000007E-2</v>
      </c>
      <c r="M1877">
        <v>0.08</v>
      </c>
      <c r="N1877" s="1">
        <v>5000000</v>
      </c>
      <c r="O1877">
        <v>0.08</v>
      </c>
      <c r="P1877">
        <v>0.6</v>
      </c>
      <c r="Q1877">
        <v>0.01</v>
      </c>
    </row>
    <row r="1878" spans="1:17" x14ac:dyDescent="0.25">
      <c r="A1878">
        <v>730803</v>
      </c>
      <c r="B1878" t="s">
        <v>3190</v>
      </c>
      <c r="C1878" t="s">
        <v>78</v>
      </c>
      <c r="D1878" t="s">
        <v>78</v>
      </c>
      <c r="E1878" t="s">
        <v>78</v>
      </c>
      <c r="F1878" t="s">
        <v>78</v>
      </c>
      <c r="G1878" t="s">
        <v>78</v>
      </c>
      <c r="H1878">
        <v>0.17</v>
      </c>
      <c r="I1878" s="1">
        <v>0</v>
      </c>
      <c r="J1878" s="1">
        <v>0</v>
      </c>
      <c r="K1878">
        <v>0</v>
      </c>
      <c r="L1878">
        <v>0.18</v>
      </c>
      <c r="M1878">
        <v>0.19</v>
      </c>
      <c r="N1878" s="1">
        <v>5000000</v>
      </c>
      <c r="O1878">
        <v>0.18</v>
      </c>
      <c r="P1878">
        <v>0.75</v>
      </c>
      <c r="Q1878">
        <v>0.01</v>
      </c>
    </row>
    <row r="1879" spans="1:17" x14ac:dyDescent="0.25">
      <c r="A1879">
        <v>730804</v>
      </c>
      <c r="B1879" t="s">
        <v>3191</v>
      </c>
      <c r="C1879" t="s">
        <v>78</v>
      </c>
      <c r="D1879" t="s">
        <v>78</v>
      </c>
      <c r="E1879" t="s">
        <v>78</v>
      </c>
      <c r="F1879" t="s">
        <v>78</v>
      </c>
      <c r="G1879" t="s">
        <v>78</v>
      </c>
      <c r="H1879">
        <v>0.02</v>
      </c>
      <c r="I1879" s="1">
        <v>0</v>
      </c>
      <c r="J1879" s="1">
        <v>0</v>
      </c>
      <c r="K1879">
        <v>0</v>
      </c>
      <c r="L1879">
        <v>0.05</v>
      </c>
      <c r="M1879">
        <v>0.15</v>
      </c>
      <c r="N1879" s="1">
        <v>5000000</v>
      </c>
      <c r="O1879">
        <v>0.06</v>
      </c>
      <c r="P1879">
        <v>0.91</v>
      </c>
      <c r="Q1879">
        <v>0.01</v>
      </c>
    </row>
    <row r="1880" spans="1:17" x14ac:dyDescent="0.25">
      <c r="A1880">
        <v>730805</v>
      </c>
      <c r="B1880" t="s">
        <v>3192</v>
      </c>
      <c r="C1880">
        <v>0.13</v>
      </c>
      <c r="D1880">
        <v>-0.03</v>
      </c>
      <c r="E1880">
        <v>0.15</v>
      </c>
      <c r="F1880">
        <v>0.15</v>
      </c>
      <c r="G1880">
        <v>0.13</v>
      </c>
      <c r="H1880">
        <v>0.15</v>
      </c>
      <c r="I1880" s="1">
        <v>56000</v>
      </c>
      <c r="J1880" s="1">
        <v>8300</v>
      </c>
      <c r="K1880">
        <v>4</v>
      </c>
      <c r="L1880">
        <v>0.13</v>
      </c>
      <c r="M1880">
        <v>0.14000000000000001</v>
      </c>
      <c r="N1880" s="1">
        <v>5000000</v>
      </c>
      <c r="O1880">
        <v>0.13</v>
      </c>
      <c r="P1880">
        <v>0.62</v>
      </c>
      <c r="Q1880">
        <v>0.01</v>
      </c>
    </row>
    <row r="1881" spans="1:17" x14ac:dyDescent="0.25">
      <c r="A1881">
        <v>730806</v>
      </c>
      <c r="B1881" t="s">
        <v>3193</v>
      </c>
      <c r="C1881" t="s">
        <v>78</v>
      </c>
      <c r="D1881" t="s">
        <v>78</v>
      </c>
      <c r="E1881" t="s">
        <v>78</v>
      </c>
      <c r="F1881" t="s">
        <v>78</v>
      </c>
      <c r="G1881" t="s">
        <v>78</v>
      </c>
      <c r="H1881">
        <v>0.02</v>
      </c>
      <c r="I1881" s="1">
        <v>0</v>
      </c>
      <c r="J1881" s="1">
        <v>0</v>
      </c>
      <c r="K1881">
        <v>0</v>
      </c>
      <c r="L1881">
        <v>0</v>
      </c>
      <c r="M1881">
        <v>0.02</v>
      </c>
      <c r="N1881" s="1">
        <v>10000000</v>
      </c>
      <c r="O1881">
        <v>0.02</v>
      </c>
      <c r="P1881">
        <v>0.6</v>
      </c>
      <c r="Q1881">
        <v>0.01</v>
      </c>
    </row>
    <row r="1882" spans="1:17" x14ac:dyDescent="0.25">
      <c r="A1882">
        <v>730807</v>
      </c>
      <c r="B1882" t="s">
        <v>3194</v>
      </c>
      <c r="C1882" t="s">
        <v>78</v>
      </c>
      <c r="D1882" t="s">
        <v>78</v>
      </c>
      <c r="E1882" t="s">
        <v>78</v>
      </c>
      <c r="F1882" t="s">
        <v>78</v>
      </c>
      <c r="G1882" t="s">
        <v>78</v>
      </c>
      <c r="H1882">
        <v>0.26</v>
      </c>
      <c r="I1882" s="1">
        <v>0</v>
      </c>
      <c r="J1882" s="1">
        <v>0</v>
      </c>
      <c r="K1882">
        <v>0</v>
      </c>
      <c r="L1882">
        <v>0.02</v>
      </c>
      <c r="M1882">
        <v>0.03</v>
      </c>
      <c r="N1882" s="1">
        <v>10000000</v>
      </c>
      <c r="O1882">
        <v>0.03</v>
      </c>
      <c r="P1882">
        <v>0.57999999999999996</v>
      </c>
      <c r="Q1882">
        <v>0.01</v>
      </c>
    </row>
    <row r="1883" spans="1:17" x14ac:dyDescent="0.25">
      <c r="A1883">
        <v>730808</v>
      </c>
      <c r="B1883" t="s">
        <v>3195</v>
      </c>
      <c r="C1883">
        <v>1.49</v>
      </c>
      <c r="D1883">
        <v>0.09</v>
      </c>
      <c r="E1883">
        <v>1.49</v>
      </c>
      <c r="F1883">
        <v>1.49</v>
      </c>
      <c r="G1883">
        <v>1.49</v>
      </c>
      <c r="H1883">
        <v>1.49</v>
      </c>
      <c r="I1883" s="1">
        <v>31000</v>
      </c>
      <c r="J1883" s="1">
        <v>46190</v>
      </c>
      <c r="K1883">
        <v>1</v>
      </c>
      <c r="L1883">
        <v>1.48</v>
      </c>
      <c r="M1883">
        <v>1.53</v>
      </c>
      <c r="N1883" s="1">
        <v>5000000</v>
      </c>
      <c r="O1883">
        <v>1.49</v>
      </c>
      <c r="P1883">
        <v>2.14</v>
      </c>
      <c r="Q1883">
        <v>0.84</v>
      </c>
    </row>
    <row r="1884" spans="1:17" x14ac:dyDescent="0.25">
      <c r="A1884">
        <v>730809</v>
      </c>
      <c r="B1884" t="s">
        <v>3196</v>
      </c>
      <c r="C1884">
        <v>0.05</v>
      </c>
      <c r="D1884">
        <v>0.03</v>
      </c>
      <c r="E1884">
        <v>0.05</v>
      </c>
      <c r="F1884">
        <v>0.05</v>
      </c>
      <c r="G1884">
        <v>0.05</v>
      </c>
      <c r="H1884">
        <v>0.05</v>
      </c>
      <c r="I1884" s="1">
        <v>10000</v>
      </c>
      <c r="J1884" s="1">
        <v>500</v>
      </c>
      <c r="K1884">
        <v>1</v>
      </c>
      <c r="L1884">
        <v>0.02</v>
      </c>
      <c r="M1884">
        <v>0.05</v>
      </c>
      <c r="N1884" s="1">
        <v>5000000</v>
      </c>
      <c r="O1884">
        <v>0.05</v>
      </c>
      <c r="P1884">
        <v>0.68</v>
      </c>
      <c r="Q1884">
        <v>0.01</v>
      </c>
    </row>
    <row r="1885" spans="1:17" x14ac:dyDescent="0.25">
      <c r="A1885">
        <v>730810</v>
      </c>
      <c r="B1885" t="s">
        <v>3197</v>
      </c>
      <c r="C1885" t="s">
        <v>78</v>
      </c>
      <c r="D1885" t="s">
        <v>78</v>
      </c>
      <c r="E1885" t="s">
        <v>78</v>
      </c>
      <c r="F1885" t="s">
        <v>78</v>
      </c>
      <c r="G1885" t="s">
        <v>78</v>
      </c>
      <c r="H1885">
        <v>0.09</v>
      </c>
      <c r="I1885" s="1">
        <v>0</v>
      </c>
      <c r="J1885" s="1">
        <v>0</v>
      </c>
      <c r="K1885">
        <v>0</v>
      </c>
      <c r="L1885">
        <v>0</v>
      </c>
      <c r="M1885">
        <v>0.01</v>
      </c>
      <c r="N1885" s="1">
        <v>10000000</v>
      </c>
      <c r="O1885">
        <v>0.01</v>
      </c>
      <c r="P1885">
        <v>0.61</v>
      </c>
      <c r="Q1885">
        <v>0.01</v>
      </c>
    </row>
    <row r="1886" spans="1:17" x14ac:dyDescent="0.25">
      <c r="A1886">
        <v>730811</v>
      </c>
      <c r="B1886" t="s">
        <v>3198</v>
      </c>
      <c r="C1886">
        <v>0.04</v>
      </c>
      <c r="D1886">
        <v>-0.01</v>
      </c>
      <c r="E1886">
        <v>0.04</v>
      </c>
      <c r="F1886">
        <v>0.04</v>
      </c>
      <c r="G1886">
        <v>0.04</v>
      </c>
      <c r="H1886">
        <v>0.04</v>
      </c>
      <c r="I1886" s="1">
        <v>150000</v>
      </c>
      <c r="J1886" s="1">
        <v>6000</v>
      </c>
      <c r="K1886">
        <v>2</v>
      </c>
      <c r="L1886">
        <v>0.04</v>
      </c>
      <c r="M1886">
        <v>7.0000000000000007E-2</v>
      </c>
      <c r="N1886" s="1">
        <v>5000000</v>
      </c>
      <c r="O1886">
        <v>0.04</v>
      </c>
      <c r="P1886">
        <v>0.61</v>
      </c>
      <c r="Q1886">
        <v>0.01</v>
      </c>
    </row>
    <row r="1887" spans="1:17" x14ac:dyDescent="0.25">
      <c r="A1887">
        <v>730812</v>
      </c>
      <c r="B1887" t="s">
        <v>3199</v>
      </c>
      <c r="C1887" t="s">
        <v>78</v>
      </c>
      <c r="D1887" t="s">
        <v>78</v>
      </c>
      <c r="E1887" t="s">
        <v>78</v>
      </c>
      <c r="F1887" t="s">
        <v>78</v>
      </c>
      <c r="G1887" t="s">
        <v>78</v>
      </c>
      <c r="H1887">
        <v>1.25</v>
      </c>
      <c r="I1887" s="1">
        <v>0</v>
      </c>
      <c r="J1887" s="1">
        <v>0</v>
      </c>
      <c r="K1887">
        <v>0</v>
      </c>
      <c r="L1887">
        <v>0</v>
      </c>
      <c r="M1887">
        <v>0</v>
      </c>
      <c r="N1887" s="1">
        <v>5000000</v>
      </c>
      <c r="O1887">
        <v>1.25</v>
      </c>
      <c r="P1887">
        <v>2.0499999999999998</v>
      </c>
      <c r="Q1887">
        <v>0.45</v>
      </c>
    </row>
    <row r="1888" spans="1:17" x14ac:dyDescent="0.25">
      <c r="A1888">
        <v>730813</v>
      </c>
      <c r="B1888" t="s">
        <v>3200</v>
      </c>
      <c r="C1888">
        <v>0.08</v>
      </c>
      <c r="D1888">
        <v>0</v>
      </c>
      <c r="E1888">
        <v>0.08</v>
      </c>
      <c r="F1888">
        <v>0.08</v>
      </c>
      <c r="G1888">
        <v>0.08</v>
      </c>
      <c r="H1888">
        <v>0.08</v>
      </c>
      <c r="I1888" s="1">
        <v>83000</v>
      </c>
      <c r="J1888" s="1">
        <v>6640</v>
      </c>
      <c r="K1888">
        <v>9</v>
      </c>
      <c r="L1888">
        <v>7.0000000000000007E-2</v>
      </c>
      <c r="M1888">
        <v>0.08</v>
      </c>
      <c r="N1888" s="1">
        <v>5000000</v>
      </c>
      <c r="O1888">
        <v>0.08</v>
      </c>
      <c r="P1888">
        <v>0.93</v>
      </c>
      <c r="Q1888">
        <v>0.01</v>
      </c>
    </row>
    <row r="1889" spans="1:17" x14ac:dyDescent="0.25">
      <c r="A1889">
        <v>730814</v>
      </c>
      <c r="B1889" t="s">
        <v>3201</v>
      </c>
      <c r="C1889">
        <v>0.34</v>
      </c>
      <c r="D1889">
        <v>0</v>
      </c>
      <c r="E1889">
        <v>0.34</v>
      </c>
      <c r="F1889">
        <v>0.34</v>
      </c>
      <c r="G1889">
        <v>0.34</v>
      </c>
      <c r="H1889">
        <v>0.34</v>
      </c>
      <c r="I1889" s="1">
        <v>300000</v>
      </c>
      <c r="J1889" s="1">
        <v>102000</v>
      </c>
      <c r="K1889">
        <v>2</v>
      </c>
      <c r="L1889">
        <v>0.34</v>
      </c>
      <c r="M1889">
        <v>0.35</v>
      </c>
      <c r="N1889" s="1">
        <v>5000000</v>
      </c>
      <c r="O1889">
        <v>0.34</v>
      </c>
      <c r="P1889">
        <v>0.86</v>
      </c>
      <c r="Q1889">
        <v>0.01</v>
      </c>
    </row>
    <row r="1890" spans="1:17" x14ac:dyDescent="0.25">
      <c r="A1890">
        <v>730815</v>
      </c>
      <c r="B1890" t="s">
        <v>3202</v>
      </c>
      <c r="C1890" t="s">
        <v>78</v>
      </c>
      <c r="D1890" t="s">
        <v>78</v>
      </c>
      <c r="E1890" t="s">
        <v>78</v>
      </c>
      <c r="F1890" t="s">
        <v>78</v>
      </c>
      <c r="G1890" t="s">
        <v>78</v>
      </c>
      <c r="H1890">
        <v>0.1</v>
      </c>
      <c r="I1890" s="1">
        <v>0</v>
      </c>
      <c r="J1890" s="1">
        <v>0</v>
      </c>
      <c r="K1890">
        <v>0</v>
      </c>
      <c r="L1890">
        <v>0</v>
      </c>
      <c r="M1890">
        <v>0.02</v>
      </c>
      <c r="N1890" s="1">
        <v>5000000</v>
      </c>
      <c r="O1890">
        <v>0.02</v>
      </c>
      <c r="P1890">
        <v>0.57999999999999996</v>
      </c>
      <c r="Q1890">
        <v>0.01</v>
      </c>
    </row>
    <row r="1891" spans="1:17" x14ac:dyDescent="0.25">
      <c r="A1891">
        <v>730816</v>
      </c>
      <c r="B1891" t="s">
        <v>3203</v>
      </c>
      <c r="C1891">
        <v>1.03</v>
      </c>
      <c r="D1891">
        <v>-0.1</v>
      </c>
      <c r="E1891">
        <v>1.05</v>
      </c>
      <c r="F1891">
        <v>1.05</v>
      </c>
      <c r="G1891">
        <v>1.02</v>
      </c>
      <c r="H1891">
        <v>1.04</v>
      </c>
      <c r="I1891" s="1">
        <v>406000</v>
      </c>
      <c r="J1891" s="1">
        <v>422240</v>
      </c>
      <c r="K1891">
        <v>12</v>
      </c>
      <c r="L1891">
        <v>1.04</v>
      </c>
      <c r="M1891">
        <v>1.06</v>
      </c>
      <c r="N1891" s="1">
        <v>5000000</v>
      </c>
      <c r="O1891">
        <v>1.03</v>
      </c>
      <c r="P1891">
        <v>1.61</v>
      </c>
      <c r="Q1891">
        <v>0.45</v>
      </c>
    </row>
    <row r="1892" spans="1:17" x14ac:dyDescent="0.25">
      <c r="A1892">
        <v>730817</v>
      </c>
      <c r="B1892" t="s">
        <v>3204</v>
      </c>
      <c r="C1892" t="s">
        <v>78</v>
      </c>
      <c r="D1892" t="s">
        <v>78</v>
      </c>
      <c r="E1892" t="s">
        <v>78</v>
      </c>
      <c r="F1892" t="s">
        <v>78</v>
      </c>
      <c r="G1892" t="s">
        <v>78</v>
      </c>
      <c r="H1892">
        <v>0.15</v>
      </c>
      <c r="I1892" s="1">
        <v>0</v>
      </c>
      <c r="J1892" s="1">
        <v>0</v>
      </c>
      <c r="K1892">
        <v>0</v>
      </c>
      <c r="L1892">
        <v>0.13</v>
      </c>
      <c r="M1892">
        <v>0.14000000000000001</v>
      </c>
      <c r="N1892" s="1">
        <v>10000000</v>
      </c>
      <c r="O1892">
        <v>0.14000000000000001</v>
      </c>
      <c r="P1892">
        <v>0.92</v>
      </c>
      <c r="Q1892">
        <v>0.01</v>
      </c>
    </row>
    <row r="1893" spans="1:17" x14ac:dyDescent="0.25">
      <c r="A1893">
        <v>730818</v>
      </c>
      <c r="B1893" t="s">
        <v>3205</v>
      </c>
      <c r="C1893" t="s">
        <v>78</v>
      </c>
      <c r="D1893" t="s">
        <v>78</v>
      </c>
      <c r="E1893" t="s">
        <v>78</v>
      </c>
      <c r="F1893" t="s">
        <v>78</v>
      </c>
      <c r="G1893" t="s">
        <v>78</v>
      </c>
      <c r="H1893">
        <v>1.27</v>
      </c>
      <c r="I1893" s="1">
        <v>0</v>
      </c>
      <c r="J1893" s="1">
        <v>0</v>
      </c>
      <c r="K1893">
        <v>0</v>
      </c>
      <c r="L1893">
        <v>1.55</v>
      </c>
      <c r="M1893">
        <v>1.58</v>
      </c>
      <c r="N1893" s="1">
        <v>10000000</v>
      </c>
      <c r="O1893">
        <v>1.55</v>
      </c>
      <c r="P1893">
        <v>2.35</v>
      </c>
      <c r="Q1893">
        <v>0.75</v>
      </c>
    </row>
    <row r="1894" spans="1:17" x14ac:dyDescent="0.25">
      <c r="A1894">
        <v>730819</v>
      </c>
      <c r="B1894" t="s">
        <v>3206</v>
      </c>
      <c r="C1894">
        <v>2.57</v>
      </c>
      <c r="D1894">
        <v>0.28000000000000003</v>
      </c>
      <c r="E1894">
        <v>2.57</v>
      </c>
      <c r="F1894">
        <v>2.57</v>
      </c>
      <c r="G1894">
        <v>2.57</v>
      </c>
      <c r="H1894">
        <v>2.57</v>
      </c>
      <c r="I1894" s="1">
        <v>100000</v>
      </c>
      <c r="J1894" s="1">
        <v>257000</v>
      </c>
      <c r="K1894">
        <v>10</v>
      </c>
      <c r="L1894">
        <v>2.39</v>
      </c>
      <c r="M1894">
        <v>2.4500000000000002</v>
      </c>
      <c r="N1894" s="1">
        <v>5000000</v>
      </c>
      <c r="O1894">
        <v>2.57</v>
      </c>
      <c r="P1894">
        <v>3.84</v>
      </c>
      <c r="Q1894">
        <v>1.3</v>
      </c>
    </row>
    <row r="1895" spans="1:17" x14ac:dyDescent="0.25">
      <c r="A1895">
        <v>730820</v>
      </c>
      <c r="B1895" t="s">
        <v>3207</v>
      </c>
      <c r="C1895">
        <v>4.63</v>
      </c>
      <c r="D1895">
        <v>-0.77</v>
      </c>
      <c r="E1895">
        <v>5.65</v>
      </c>
      <c r="F1895">
        <v>5.65</v>
      </c>
      <c r="G1895">
        <v>4.17</v>
      </c>
      <c r="H1895">
        <v>4.83</v>
      </c>
      <c r="I1895" s="1">
        <v>95000</v>
      </c>
      <c r="J1895" s="1">
        <v>459010</v>
      </c>
      <c r="K1895">
        <v>20</v>
      </c>
      <c r="L1895">
        <v>4.53</v>
      </c>
      <c r="M1895">
        <v>4.63</v>
      </c>
      <c r="N1895" s="1">
        <v>5000000</v>
      </c>
      <c r="O1895">
        <v>4.63</v>
      </c>
      <c r="P1895">
        <v>8.1</v>
      </c>
      <c r="Q1895">
        <v>1.1299999999999999</v>
      </c>
    </row>
    <row r="1896" spans="1:17" x14ac:dyDescent="0.25">
      <c r="A1896">
        <v>730821</v>
      </c>
      <c r="B1896" t="s">
        <v>3208</v>
      </c>
      <c r="C1896" t="s">
        <v>78</v>
      </c>
      <c r="D1896" t="s">
        <v>78</v>
      </c>
      <c r="E1896" t="s">
        <v>78</v>
      </c>
      <c r="F1896" t="s">
        <v>78</v>
      </c>
      <c r="G1896" t="s">
        <v>78</v>
      </c>
      <c r="H1896">
        <v>0.01</v>
      </c>
      <c r="I1896" s="1">
        <v>0</v>
      </c>
      <c r="J1896" s="1">
        <v>0</v>
      </c>
      <c r="K1896">
        <v>0</v>
      </c>
      <c r="L1896">
        <v>0.01</v>
      </c>
      <c r="M1896">
        <v>0.02</v>
      </c>
      <c r="N1896" s="1">
        <v>10000000</v>
      </c>
      <c r="O1896">
        <v>0.01</v>
      </c>
      <c r="P1896">
        <v>0.73</v>
      </c>
      <c r="Q1896">
        <v>0.01</v>
      </c>
    </row>
    <row r="1897" spans="1:17" x14ac:dyDescent="0.25">
      <c r="A1897">
        <v>730822</v>
      </c>
      <c r="B1897" t="s">
        <v>3209</v>
      </c>
      <c r="C1897">
        <v>0.12</v>
      </c>
      <c r="D1897">
        <v>0.03</v>
      </c>
      <c r="E1897">
        <v>0.14000000000000001</v>
      </c>
      <c r="F1897">
        <v>0.14000000000000001</v>
      </c>
      <c r="G1897">
        <v>0.12</v>
      </c>
      <c r="H1897">
        <v>0.13</v>
      </c>
      <c r="I1897" s="1">
        <v>240000</v>
      </c>
      <c r="J1897" s="1">
        <v>30800</v>
      </c>
      <c r="K1897">
        <v>4</v>
      </c>
      <c r="L1897">
        <v>0.12</v>
      </c>
      <c r="M1897">
        <v>0.14000000000000001</v>
      </c>
      <c r="N1897" s="1">
        <v>10000000</v>
      </c>
      <c r="O1897">
        <v>0.12</v>
      </c>
      <c r="P1897">
        <v>0.76</v>
      </c>
      <c r="Q1897">
        <v>0.01</v>
      </c>
    </row>
    <row r="1898" spans="1:17" x14ac:dyDescent="0.25">
      <c r="A1898">
        <v>730823</v>
      </c>
      <c r="B1898" t="s">
        <v>3210</v>
      </c>
      <c r="C1898" t="s">
        <v>78</v>
      </c>
      <c r="D1898" t="s">
        <v>78</v>
      </c>
      <c r="E1898" t="s">
        <v>78</v>
      </c>
      <c r="F1898" t="s">
        <v>78</v>
      </c>
      <c r="G1898" t="s">
        <v>78</v>
      </c>
      <c r="H1898">
        <v>2.13</v>
      </c>
      <c r="I1898" s="1">
        <v>0</v>
      </c>
      <c r="J1898" s="1">
        <v>0</v>
      </c>
      <c r="K1898">
        <v>0</v>
      </c>
      <c r="L1898">
        <v>1.8</v>
      </c>
      <c r="M1898">
        <v>1.88</v>
      </c>
      <c r="N1898" s="1">
        <v>10000000</v>
      </c>
      <c r="O1898">
        <v>1.82</v>
      </c>
      <c r="P1898">
        <v>2.69</v>
      </c>
      <c r="Q1898">
        <v>0.95</v>
      </c>
    </row>
    <row r="1899" spans="1:17" x14ac:dyDescent="0.25">
      <c r="A1899">
        <v>730824</v>
      </c>
      <c r="B1899" t="s">
        <v>3211</v>
      </c>
      <c r="C1899">
        <v>2.74</v>
      </c>
      <c r="D1899">
        <v>-0.13</v>
      </c>
      <c r="E1899">
        <v>2.66</v>
      </c>
      <c r="F1899">
        <v>2.74</v>
      </c>
      <c r="G1899">
        <v>2.57</v>
      </c>
      <c r="H1899">
        <v>2.66</v>
      </c>
      <c r="I1899" s="1">
        <v>79000</v>
      </c>
      <c r="J1899" s="1">
        <v>210530</v>
      </c>
      <c r="K1899">
        <v>10</v>
      </c>
      <c r="L1899">
        <v>2.62</v>
      </c>
      <c r="M1899">
        <v>2.66</v>
      </c>
      <c r="N1899" s="1">
        <v>10000000</v>
      </c>
      <c r="O1899">
        <v>2.74</v>
      </c>
      <c r="P1899">
        <v>3.9</v>
      </c>
      <c r="Q1899">
        <v>1.58</v>
      </c>
    </row>
    <row r="1900" spans="1:17" x14ac:dyDescent="0.25">
      <c r="A1900">
        <v>730825</v>
      </c>
      <c r="B1900" t="s">
        <v>3212</v>
      </c>
      <c r="C1900">
        <v>0.65</v>
      </c>
      <c r="D1900">
        <v>-0.01</v>
      </c>
      <c r="E1900">
        <v>0.65</v>
      </c>
      <c r="F1900">
        <v>0.65</v>
      </c>
      <c r="G1900">
        <v>0.65</v>
      </c>
      <c r="H1900">
        <v>0.65</v>
      </c>
      <c r="I1900" s="1">
        <v>100000</v>
      </c>
      <c r="J1900" s="1">
        <v>65000</v>
      </c>
      <c r="K1900">
        <v>2</v>
      </c>
      <c r="L1900">
        <v>0.62</v>
      </c>
      <c r="M1900">
        <v>0.63</v>
      </c>
      <c r="N1900" s="1">
        <v>5000000</v>
      </c>
      <c r="O1900">
        <v>0.65</v>
      </c>
      <c r="P1900">
        <v>1.45</v>
      </c>
      <c r="Q1900">
        <v>0.01</v>
      </c>
    </row>
    <row r="1901" spans="1:17" x14ac:dyDescent="0.25">
      <c r="A1901">
        <v>730826</v>
      </c>
      <c r="B1901" t="s">
        <v>3213</v>
      </c>
      <c r="C1901">
        <v>0.2</v>
      </c>
      <c r="D1901">
        <v>0.01</v>
      </c>
      <c r="E1901">
        <v>0.25</v>
      </c>
      <c r="F1901">
        <v>0.25</v>
      </c>
      <c r="G1901">
        <v>0.2</v>
      </c>
      <c r="H1901">
        <v>0.23</v>
      </c>
      <c r="I1901" s="1">
        <v>25000</v>
      </c>
      <c r="J1901" s="1">
        <v>5750</v>
      </c>
      <c r="K1901">
        <v>3</v>
      </c>
      <c r="L1901">
        <v>0.2</v>
      </c>
      <c r="M1901">
        <v>0.21</v>
      </c>
      <c r="N1901" s="1">
        <v>5200000</v>
      </c>
      <c r="O1901">
        <v>0.2</v>
      </c>
      <c r="P1901">
        <v>0.78</v>
      </c>
      <c r="Q1901">
        <v>0.01</v>
      </c>
    </row>
    <row r="1902" spans="1:17" x14ac:dyDescent="0.25">
      <c r="A1902">
        <v>730827</v>
      </c>
      <c r="B1902" t="s">
        <v>3214</v>
      </c>
      <c r="C1902" t="s">
        <v>78</v>
      </c>
      <c r="D1902" t="s">
        <v>78</v>
      </c>
      <c r="E1902" t="s">
        <v>78</v>
      </c>
      <c r="F1902" t="s">
        <v>78</v>
      </c>
      <c r="G1902" t="s">
        <v>78</v>
      </c>
      <c r="H1902">
        <v>4.68</v>
      </c>
      <c r="I1902" s="1">
        <v>0</v>
      </c>
      <c r="J1902" s="1">
        <v>0</v>
      </c>
      <c r="K1902">
        <v>0</v>
      </c>
      <c r="L1902">
        <v>2.88</v>
      </c>
      <c r="M1902">
        <v>2.98</v>
      </c>
      <c r="N1902" s="1">
        <v>5000000</v>
      </c>
      <c r="O1902">
        <v>2.88</v>
      </c>
      <c r="P1902">
        <v>3.94</v>
      </c>
      <c r="Q1902">
        <v>1.82</v>
      </c>
    </row>
    <row r="1903" spans="1:17" x14ac:dyDescent="0.25">
      <c r="A1903">
        <v>730828</v>
      </c>
      <c r="B1903" t="s">
        <v>3215</v>
      </c>
      <c r="C1903" t="s">
        <v>78</v>
      </c>
      <c r="D1903" t="s">
        <v>78</v>
      </c>
      <c r="E1903" t="s">
        <v>78</v>
      </c>
      <c r="F1903" t="s">
        <v>78</v>
      </c>
      <c r="G1903" t="s">
        <v>78</v>
      </c>
      <c r="H1903">
        <v>0.05</v>
      </c>
      <c r="I1903" s="1">
        <v>0</v>
      </c>
      <c r="J1903" s="1">
        <v>0</v>
      </c>
      <c r="K1903">
        <v>0</v>
      </c>
      <c r="L1903">
        <v>0.02</v>
      </c>
      <c r="M1903">
        <v>0.1</v>
      </c>
      <c r="N1903" s="1">
        <v>5000000</v>
      </c>
      <c r="O1903">
        <v>0.05</v>
      </c>
      <c r="P1903">
        <v>1.0900000000000001</v>
      </c>
      <c r="Q1903">
        <v>0.01</v>
      </c>
    </row>
    <row r="1904" spans="1:17" x14ac:dyDescent="0.25">
      <c r="A1904">
        <v>730829</v>
      </c>
      <c r="B1904" t="s">
        <v>3216</v>
      </c>
      <c r="C1904">
        <v>0.46</v>
      </c>
      <c r="D1904">
        <v>0.15</v>
      </c>
      <c r="E1904">
        <v>0.46</v>
      </c>
      <c r="F1904">
        <v>0.46</v>
      </c>
      <c r="G1904">
        <v>0.46</v>
      </c>
      <c r="H1904">
        <v>0.46</v>
      </c>
      <c r="I1904" s="1">
        <v>10000</v>
      </c>
      <c r="J1904" s="1">
        <v>4600</v>
      </c>
      <c r="K1904">
        <v>1</v>
      </c>
      <c r="L1904">
        <v>0.35</v>
      </c>
      <c r="M1904">
        <v>0.38</v>
      </c>
      <c r="N1904" s="1">
        <v>15000000</v>
      </c>
      <c r="O1904">
        <v>0.46</v>
      </c>
      <c r="P1904">
        <v>1.48</v>
      </c>
      <c r="Q1904">
        <v>0.01</v>
      </c>
    </row>
    <row r="1905" spans="1:17" x14ac:dyDescent="0.25">
      <c r="A1905">
        <v>730830</v>
      </c>
      <c r="B1905" t="s">
        <v>3217</v>
      </c>
      <c r="C1905" t="s">
        <v>78</v>
      </c>
      <c r="D1905" t="s">
        <v>78</v>
      </c>
      <c r="E1905" t="s">
        <v>78</v>
      </c>
      <c r="F1905" t="s">
        <v>78</v>
      </c>
      <c r="G1905" t="s">
        <v>78</v>
      </c>
      <c r="H1905">
        <v>0.19</v>
      </c>
      <c r="I1905" s="1">
        <v>0</v>
      </c>
      <c r="J1905" s="1">
        <v>0</v>
      </c>
      <c r="K1905">
        <v>0</v>
      </c>
      <c r="L1905">
        <v>0.17</v>
      </c>
      <c r="M1905">
        <v>0.27</v>
      </c>
      <c r="N1905" s="1">
        <v>5000000</v>
      </c>
      <c r="O1905">
        <v>0.2</v>
      </c>
      <c r="P1905">
        <v>0.98</v>
      </c>
      <c r="Q1905">
        <v>0.01</v>
      </c>
    </row>
    <row r="1906" spans="1:17" x14ac:dyDescent="0.25">
      <c r="A1906">
        <v>730831</v>
      </c>
      <c r="B1906" t="s">
        <v>3218</v>
      </c>
      <c r="C1906" t="s">
        <v>78</v>
      </c>
      <c r="D1906" t="s">
        <v>78</v>
      </c>
      <c r="E1906" t="s">
        <v>78</v>
      </c>
      <c r="F1906" t="s">
        <v>78</v>
      </c>
      <c r="G1906" t="s">
        <v>78</v>
      </c>
      <c r="H1906">
        <v>0.08</v>
      </c>
      <c r="I1906" s="1">
        <v>0</v>
      </c>
      <c r="J1906" s="1">
        <v>0</v>
      </c>
      <c r="K1906">
        <v>0</v>
      </c>
      <c r="L1906">
        <v>0.02</v>
      </c>
      <c r="M1906">
        <v>0.12</v>
      </c>
      <c r="N1906" s="1">
        <v>5000000</v>
      </c>
      <c r="O1906">
        <v>0.08</v>
      </c>
      <c r="P1906">
        <v>1.06</v>
      </c>
      <c r="Q1906">
        <v>0.01</v>
      </c>
    </row>
    <row r="1907" spans="1:17" x14ac:dyDescent="0.25">
      <c r="A1907">
        <v>730832</v>
      </c>
      <c r="B1907" t="s">
        <v>3219</v>
      </c>
      <c r="C1907">
        <v>2.5299999999999998</v>
      </c>
      <c r="D1907">
        <v>-0.08</v>
      </c>
      <c r="E1907">
        <v>2.5299999999999998</v>
      </c>
      <c r="F1907">
        <v>2.5299999999999998</v>
      </c>
      <c r="G1907">
        <v>2.5299999999999998</v>
      </c>
      <c r="H1907">
        <v>2.5299999999999998</v>
      </c>
      <c r="I1907" s="1">
        <v>19000</v>
      </c>
      <c r="J1907" s="1">
        <v>48070</v>
      </c>
      <c r="K1907">
        <v>1</v>
      </c>
      <c r="L1907">
        <v>2.6</v>
      </c>
      <c r="M1907">
        <v>2.7</v>
      </c>
      <c r="N1907" s="1">
        <v>5000000</v>
      </c>
      <c r="O1907">
        <v>2.5299999999999998</v>
      </c>
      <c r="P1907">
        <v>3.98</v>
      </c>
      <c r="Q1907">
        <v>1.08</v>
      </c>
    </row>
    <row r="1908" spans="1:17" x14ac:dyDescent="0.25">
      <c r="A1908">
        <v>730833</v>
      </c>
      <c r="B1908" t="s">
        <v>3220</v>
      </c>
      <c r="C1908">
        <v>2.1</v>
      </c>
      <c r="D1908">
        <v>7.0000000000000007E-2</v>
      </c>
      <c r="E1908">
        <v>2.0499999999999998</v>
      </c>
      <c r="F1908">
        <v>2.1</v>
      </c>
      <c r="G1908">
        <v>2.0499999999999998</v>
      </c>
      <c r="H1908">
        <v>2.08</v>
      </c>
      <c r="I1908" s="1">
        <v>22000</v>
      </c>
      <c r="J1908" s="1">
        <v>45720</v>
      </c>
      <c r="K1908">
        <v>5</v>
      </c>
      <c r="L1908">
        <v>2.0099999999999998</v>
      </c>
      <c r="M1908">
        <v>2.11</v>
      </c>
      <c r="N1908" s="1">
        <v>5000000</v>
      </c>
      <c r="O1908">
        <v>2.1</v>
      </c>
      <c r="P1908">
        <v>3.89</v>
      </c>
      <c r="Q1908">
        <v>0.31</v>
      </c>
    </row>
    <row r="1909" spans="1:17" x14ac:dyDescent="0.25">
      <c r="A1909">
        <v>730834</v>
      </c>
      <c r="B1909" t="s">
        <v>3221</v>
      </c>
      <c r="C1909" t="s">
        <v>78</v>
      </c>
      <c r="D1909" t="s">
        <v>78</v>
      </c>
      <c r="E1909" t="s">
        <v>78</v>
      </c>
      <c r="F1909" t="s">
        <v>78</v>
      </c>
      <c r="G1909" t="s">
        <v>78</v>
      </c>
      <c r="H1909">
        <v>0.01</v>
      </c>
      <c r="I1909" s="1">
        <v>0</v>
      </c>
      <c r="J1909" s="1">
        <v>0</v>
      </c>
      <c r="K1909">
        <v>0</v>
      </c>
      <c r="L1909">
        <v>0</v>
      </c>
      <c r="M1909">
        <v>0.04</v>
      </c>
      <c r="N1909" s="1">
        <v>10000000</v>
      </c>
      <c r="O1909">
        <v>0.04</v>
      </c>
      <c r="P1909">
        <v>0.91</v>
      </c>
      <c r="Q1909">
        <v>0.01</v>
      </c>
    </row>
    <row r="1910" spans="1:17" x14ac:dyDescent="0.25">
      <c r="A1910">
        <v>730835</v>
      </c>
      <c r="B1910" t="s">
        <v>3222</v>
      </c>
      <c r="C1910" t="s">
        <v>78</v>
      </c>
      <c r="D1910" t="s">
        <v>78</v>
      </c>
      <c r="E1910" t="s">
        <v>78</v>
      </c>
      <c r="F1910" t="s">
        <v>78</v>
      </c>
      <c r="G1910" t="s">
        <v>78</v>
      </c>
      <c r="H1910">
        <v>5.0999999999999996</v>
      </c>
      <c r="I1910" s="1">
        <v>0</v>
      </c>
      <c r="J1910" s="1">
        <v>0</v>
      </c>
      <c r="K1910">
        <v>0</v>
      </c>
      <c r="L1910">
        <v>5.45</v>
      </c>
      <c r="M1910">
        <v>5.95</v>
      </c>
      <c r="N1910" s="1">
        <v>5000000</v>
      </c>
      <c r="O1910">
        <v>5.45</v>
      </c>
      <c r="P1910">
        <v>7.45</v>
      </c>
      <c r="Q1910">
        <v>3.45</v>
      </c>
    </row>
    <row r="1911" spans="1:17" x14ac:dyDescent="0.25">
      <c r="A1911">
        <v>730836</v>
      </c>
      <c r="B1911" t="s">
        <v>3223</v>
      </c>
      <c r="C1911" t="s">
        <v>78</v>
      </c>
      <c r="D1911" t="s">
        <v>78</v>
      </c>
      <c r="E1911" t="s">
        <v>78</v>
      </c>
      <c r="F1911" t="s">
        <v>78</v>
      </c>
      <c r="G1911" t="s">
        <v>78</v>
      </c>
      <c r="H1911">
        <v>0.26</v>
      </c>
      <c r="I1911" s="1">
        <v>0</v>
      </c>
      <c r="J1911" s="1">
        <v>0</v>
      </c>
      <c r="K1911">
        <v>0</v>
      </c>
      <c r="L1911">
        <v>0.18</v>
      </c>
      <c r="M1911">
        <v>0.21</v>
      </c>
      <c r="N1911" s="1">
        <v>5000000</v>
      </c>
      <c r="O1911">
        <v>0.2</v>
      </c>
      <c r="P1911">
        <v>0.74</v>
      </c>
      <c r="Q1911">
        <v>0.01</v>
      </c>
    </row>
    <row r="1912" spans="1:17" x14ac:dyDescent="0.25">
      <c r="A1912">
        <v>730837</v>
      </c>
      <c r="B1912" t="s">
        <v>3224</v>
      </c>
      <c r="C1912">
        <v>0.8</v>
      </c>
      <c r="D1912">
        <v>0.14000000000000001</v>
      </c>
      <c r="E1912">
        <v>0.8</v>
      </c>
      <c r="F1912">
        <v>0.8</v>
      </c>
      <c r="G1912">
        <v>0.8</v>
      </c>
      <c r="H1912">
        <v>0.8</v>
      </c>
      <c r="I1912" s="1">
        <v>10000</v>
      </c>
      <c r="J1912" s="1">
        <v>8000</v>
      </c>
      <c r="K1912">
        <v>1</v>
      </c>
      <c r="L1912">
        <v>0.68</v>
      </c>
      <c r="M1912">
        <v>0.71</v>
      </c>
      <c r="N1912" s="1">
        <v>10000000</v>
      </c>
      <c r="O1912">
        <v>0.8</v>
      </c>
      <c r="P1912">
        <v>1.6</v>
      </c>
      <c r="Q1912">
        <v>0.01</v>
      </c>
    </row>
    <row r="1913" spans="1:17" x14ac:dyDescent="0.25">
      <c r="A1913">
        <v>730838</v>
      </c>
      <c r="B1913" t="s">
        <v>3225</v>
      </c>
      <c r="C1913" t="s">
        <v>78</v>
      </c>
      <c r="D1913" t="s">
        <v>78</v>
      </c>
      <c r="E1913" t="s">
        <v>78</v>
      </c>
      <c r="F1913" t="s">
        <v>78</v>
      </c>
      <c r="G1913" t="s">
        <v>78</v>
      </c>
      <c r="H1913">
        <v>1.19</v>
      </c>
      <c r="I1913" s="1">
        <v>0</v>
      </c>
      <c r="J1913" s="1">
        <v>0</v>
      </c>
      <c r="K1913">
        <v>0</v>
      </c>
      <c r="L1913">
        <v>1.1399999999999999</v>
      </c>
      <c r="M1913">
        <v>1.21</v>
      </c>
      <c r="N1913" s="1">
        <v>5000000</v>
      </c>
      <c r="O1913">
        <v>1.1399999999999999</v>
      </c>
      <c r="P1913">
        <v>1.77</v>
      </c>
      <c r="Q1913">
        <v>0.51</v>
      </c>
    </row>
    <row r="1914" spans="1:17" x14ac:dyDescent="0.25">
      <c r="A1914">
        <v>730839</v>
      </c>
      <c r="B1914" t="s">
        <v>3226</v>
      </c>
      <c r="C1914" t="s">
        <v>78</v>
      </c>
      <c r="D1914" t="s">
        <v>78</v>
      </c>
      <c r="E1914" t="s">
        <v>78</v>
      </c>
      <c r="F1914" t="s">
        <v>78</v>
      </c>
      <c r="G1914" t="s">
        <v>78</v>
      </c>
      <c r="H1914">
        <v>0.01</v>
      </c>
      <c r="I1914" s="1">
        <v>0</v>
      </c>
      <c r="J1914" s="1">
        <v>0</v>
      </c>
      <c r="K1914">
        <v>0</v>
      </c>
      <c r="L1914">
        <v>0</v>
      </c>
      <c r="M1914">
        <v>0.01</v>
      </c>
      <c r="N1914" s="1">
        <v>10000000</v>
      </c>
      <c r="O1914">
        <v>0.01</v>
      </c>
      <c r="P1914">
        <v>0.91</v>
      </c>
      <c r="Q1914">
        <v>0.01</v>
      </c>
    </row>
    <row r="1915" spans="1:17" x14ac:dyDescent="0.25">
      <c r="A1915">
        <v>730840</v>
      </c>
      <c r="B1915" t="s">
        <v>3227</v>
      </c>
      <c r="C1915">
        <v>0.06</v>
      </c>
      <c r="D1915">
        <v>-0.02</v>
      </c>
      <c r="E1915">
        <v>7.0000000000000007E-2</v>
      </c>
      <c r="F1915">
        <v>7.0000000000000007E-2</v>
      </c>
      <c r="G1915">
        <v>0.06</v>
      </c>
      <c r="H1915">
        <v>7.0000000000000007E-2</v>
      </c>
      <c r="I1915" s="1">
        <v>660000</v>
      </c>
      <c r="J1915" s="1">
        <v>43200</v>
      </c>
      <c r="K1915">
        <v>7</v>
      </c>
      <c r="L1915">
        <v>0.06</v>
      </c>
      <c r="M1915">
        <v>7.0000000000000007E-2</v>
      </c>
      <c r="N1915" s="1">
        <v>10000000</v>
      </c>
      <c r="O1915">
        <v>0.06</v>
      </c>
      <c r="P1915">
        <v>0.76</v>
      </c>
      <c r="Q1915">
        <v>0.01</v>
      </c>
    </row>
    <row r="1916" spans="1:17" x14ac:dyDescent="0.25">
      <c r="A1916">
        <v>730841</v>
      </c>
      <c r="B1916" t="s">
        <v>3228</v>
      </c>
      <c r="C1916">
        <v>3.78</v>
      </c>
      <c r="D1916">
        <v>0.02</v>
      </c>
      <c r="E1916">
        <v>4.22</v>
      </c>
      <c r="F1916">
        <v>4.22</v>
      </c>
      <c r="G1916">
        <v>3.78</v>
      </c>
      <c r="H1916">
        <v>4.08</v>
      </c>
      <c r="I1916" s="1">
        <v>20000</v>
      </c>
      <c r="J1916" s="1">
        <v>81560</v>
      </c>
      <c r="K1916">
        <v>6</v>
      </c>
      <c r="L1916">
        <v>3.75</v>
      </c>
      <c r="M1916">
        <v>3.81</v>
      </c>
      <c r="N1916" s="1">
        <v>5000000</v>
      </c>
      <c r="O1916">
        <v>3.78</v>
      </c>
      <c r="P1916">
        <v>5.95</v>
      </c>
      <c r="Q1916">
        <v>1.57</v>
      </c>
    </row>
    <row r="1917" spans="1:17" x14ac:dyDescent="0.25">
      <c r="A1917">
        <v>730842</v>
      </c>
      <c r="B1917" t="s">
        <v>3229</v>
      </c>
      <c r="C1917" t="s">
        <v>78</v>
      </c>
      <c r="D1917" t="s">
        <v>78</v>
      </c>
      <c r="E1917" t="s">
        <v>78</v>
      </c>
      <c r="F1917" t="s">
        <v>78</v>
      </c>
      <c r="G1917" t="s">
        <v>78</v>
      </c>
      <c r="H1917">
        <v>4</v>
      </c>
      <c r="I1917" s="1">
        <v>0</v>
      </c>
      <c r="J1917" s="1">
        <v>0</v>
      </c>
      <c r="K1917">
        <v>0</v>
      </c>
      <c r="L1917">
        <v>0</v>
      </c>
      <c r="M1917">
        <v>6.25</v>
      </c>
      <c r="N1917" s="1">
        <v>10000000</v>
      </c>
      <c r="O1917">
        <v>6.25</v>
      </c>
      <c r="P1917">
        <v>7.55</v>
      </c>
      <c r="Q1917">
        <v>4.92</v>
      </c>
    </row>
    <row r="1918" spans="1:17" x14ac:dyDescent="0.25">
      <c r="A1918">
        <v>730843</v>
      </c>
      <c r="B1918" t="s">
        <v>3230</v>
      </c>
      <c r="C1918">
        <v>0.15</v>
      </c>
      <c r="D1918">
        <v>0.04</v>
      </c>
      <c r="E1918">
        <v>0.15</v>
      </c>
      <c r="F1918">
        <v>0.15</v>
      </c>
      <c r="G1918">
        <v>0.15</v>
      </c>
      <c r="H1918">
        <v>0.15</v>
      </c>
      <c r="I1918" s="1">
        <v>10000</v>
      </c>
      <c r="J1918" s="1">
        <v>1500</v>
      </c>
      <c r="K1918">
        <v>1</v>
      </c>
      <c r="L1918">
        <v>0.17</v>
      </c>
      <c r="M1918">
        <v>0.18</v>
      </c>
      <c r="N1918" s="1">
        <v>5000000</v>
      </c>
      <c r="O1918">
        <v>0.15</v>
      </c>
      <c r="P1918">
        <v>1.63</v>
      </c>
      <c r="Q1918">
        <v>0.01</v>
      </c>
    </row>
    <row r="1919" spans="1:17" x14ac:dyDescent="0.25">
      <c r="A1919">
        <v>730844</v>
      </c>
      <c r="B1919" t="s">
        <v>3231</v>
      </c>
      <c r="C1919">
        <v>4.91</v>
      </c>
      <c r="D1919">
        <v>0.36</v>
      </c>
      <c r="E1919">
        <v>4.8600000000000003</v>
      </c>
      <c r="F1919">
        <v>4.91</v>
      </c>
      <c r="G1919">
        <v>4.8600000000000003</v>
      </c>
      <c r="H1919">
        <v>4.88</v>
      </c>
      <c r="I1919" s="1">
        <v>20000</v>
      </c>
      <c r="J1919" s="1">
        <v>97700</v>
      </c>
      <c r="K1919">
        <v>2</v>
      </c>
      <c r="L1919">
        <v>5.05</v>
      </c>
      <c r="M1919">
        <v>5.25</v>
      </c>
      <c r="N1919" s="1">
        <v>10000000</v>
      </c>
      <c r="O1919">
        <v>4.91</v>
      </c>
      <c r="P1919">
        <v>8.4</v>
      </c>
      <c r="Q1919">
        <v>1.41</v>
      </c>
    </row>
    <row r="1920" spans="1:17" x14ac:dyDescent="0.25">
      <c r="A1920">
        <v>730845</v>
      </c>
      <c r="B1920" t="s">
        <v>3232</v>
      </c>
      <c r="C1920" t="s">
        <v>78</v>
      </c>
      <c r="D1920" t="s">
        <v>78</v>
      </c>
      <c r="E1920" t="s">
        <v>78</v>
      </c>
      <c r="F1920" t="s">
        <v>78</v>
      </c>
      <c r="G1920" t="s">
        <v>78</v>
      </c>
      <c r="H1920">
        <v>0.03</v>
      </c>
      <c r="I1920" s="1">
        <v>0</v>
      </c>
      <c r="J1920" s="1">
        <v>0</v>
      </c>
      <c r="K1920">
        <v>0</v>
      </c>
      <c r="L1920">
        <v>0</v>
      </c>
      <c r="M1920">
        <v>0.01</v>
      </c>
      <c r="N1920" s="1">
        <v>5000000</v>
      </c>
      <c r="O1920">
        <v>0.01</v>
      </c>
      <c r="P1920">
        <v>0.56999999999999995</v>
      </c>
      <c r="Q1920">
        <v>0.01</v>
      </c>
    </row>
    <row r="1921" spans="1:17" x14ac:dyDescent="0.25">
      <c r="A1921">
        <v>730846</v>
      </c>
      <c r="B1921" t="s">
        <v>3233</v>
      </c>
      <c r="C1921" t="s">
        <v>78</v>
      </c>
      <c r="D1921" t="s">
        <v>78</v>
      </c>
      <c r="E1921" t="s">
        <v>78</v>
      </c>
      <c r="F1921" t="s">
        <v>78</v>
      </c>
      <c r="G1921" t="s">
        <v>78</v>
      </c>
      <c r="H1921">
        <v>0.56000000000000005</v>
      </c>
      <c r="I1921" s="1">
        <v>0</v>
      </c>
      <c r="J1921" s="1">
        <v>0</v>
      </c>
      <c r="K1921">
        <v>0</v>
      </c>
      <c r="L1921">
        <v>0.35</v>
      </c>
      <c r="M1921">
        <v>0.36</v>
      </c>
      <c r="N1921" s="1">
        <v>10000000</v>
      </c>
      <c r="O1921">
        <v>0.36</v>
      </c>
      <c r="P1921">
        <v>0.98</v>
      </c>
      <c r="Q1921">
        <v>0.01</v>
      </c>
    </row>
    <row r="1922" spans="1:17" x14ac:dyDescent="0.25">
      <c r="A1922">
        <v>730847</v>
      </c>
      <c r="B1922" t="s">
        <v>3234</v>
      </c>
      <c r="C1922" t="s">
        <v>78</v>
      </c>
      <c r="D1922" t="s">
        <v>78</v>
      </c>
      <c r="E1922" t="s">
        <v>78</v>
      </c>
      <c r="F1922" t="s">
        <v>78</v>
      </c>
      <c r="G1922" t="s">
        <v>78</v>
      </c>
      <c r="H1922">
        <v>7.0000000000000007E-2</v>
      </c>
      <c r="I1922" s="1">
        <v>0</v>
      </c>
      <c r="J1922" s="1">
        <v>0</v>
      </c>
      <c r="K1922">
        <v>0</v>
      </c>
      <c r="L1922">
        <v>0.04</v>
      </c>
      <c r="M1922">
        <v>0.05</v>
      </c>
      <c r="N1922" s="1">
        <v>5000000</v>
      </c>
      <c r="O1922">
        <v>0.05</v>
      </c>
      <c r="P1922">
        <v>0.98</v>
      </c>
      <c r="Q1922">
        <v>0.01</v>
      </c>
    </row>
    <row r="1923" spans="1:17" x14ac:dyDescent="0.25">
      <c r="A1923">
        <v>730848</v>
      </c>
      <c r="B1923" t="s">
        <v>3235</v>
      </c>
      <c r="C1923" t="s">
        <v>78</v>
      </c>
      <c r="D1923" t="s">
        <v>78</v>
      </c>
      <c r="E1923" t="s">
        <v>78</v>
      </c>
      <c r="F1923" t="s">
        <v>78</v>
      </c>
      <c r="G1923" t="s">
        <v>78</v>
      </c>
      <c r="H1923">
        <v>2.27</v>
      </c>
      <c r="I1923" s="1">
        <v>0</v>
      </c>
      <c r="J1923" s="1">
        <v>0</v>
      </c>
      <c r="K1923">
        <v>0</v>
      </c>
      <c r="L1923">
        <v>2.2599999999999998</v>
      </c>
      <c r="M1923">
        <v>2.36</v>
      </c>
      <c r="N1923" s="1">
        <v>10000000</v>
      </c>
      <c r="O1923">
        <v>2.36</v>
      </c>
      <c r="P1923">
        <v>3.62</v>
      </c>
      <c r="Q1923">
        <v>1.1000000000000001</v>
      </c>
    </row>
    <row r="1924" spans="1:17" x14ac:dyDescent="0.25">
      <c r="A1924">
        <v>730849</v>
      </c>
      <c r="B1924" t="s">
        <v>3236</v>
      </c>
      <c r="C1924" t="s">
        <v>78</v>
      </c>
      <c r="D1924" t="s">
        <v>78</v>
      </c>
      <c r="E1924" t="s">
        <v>78</v>
      </c>
      <c r="F1924" t="s">
        <v>78</v>
      </c>
      <c r="G1924" t="s">
        <v>78</v>
      </c>
      <c r="H1924">
        <v>0.03</v>
      </c>
      <c r="I1924" s="1">
        <v>0</v>
      </c>
      <c r="J1924" s="1">
        <v>0</v>
      </c>
      <c r="K1924">
        <v>0</v>
      </c>
      <c r="L1924">
        <v>0</v>
      </c>
      <c r="M1924">
        <v>0.01</v>
      </c>
      <c r="N1924" s="1">
        <v>5000000</v>
      </c>
      <c r="O1924">
        <v>0.01</v>
      </c>
      <c r="P1924">
        <v>1.64</v>
      </c>
      <c r="Q1924">
        <v>0.01</v>
      </c>
    </row>
    <row r="1925" spans="1:17" x14ac:dyDescent="0.25">
      <c r="A1925">
        <v>730850</v>
      </c>
      <c r="B1925" t="s">
        <v>3237</v>
      </c>
      <c r="C1925">
        <v>0.4</v>
      </c>
      <c r="D1925">
        <v>0.05</v>
      </c>
      <c r="E1925">
        <v>0.43</v>
      </c>
      <c r="F1925">
        <v>0.44</v>
      </c>
      <c r="G1925">
        <v>0.4</v>
      </c>
      <c r="H1925">
        <v>0.42</v>
      </c>
      <c r="I1925" s="1">
        <v>1239000</v>
      </c>
      <c r="J1925" s="1">
        <v>526160</v>
      </c>
      <c r="K1925">
        <v>14</v>
      </c>
      <c r="L1925">
        <v>0.38</v>
      </c>
      <c r="M1925">
        <v>0.39</v>
      </c>
      <c r="N1925" s="1">
        <v>10000000</v>
      </c>
      <c r="O1925">
        <v>0.4</v>
      </c>
      <c r="P1925">
        <v>1.35</v>
      </c>
      <c r="Q1925">
        <v>0.01</v>
      </c>
    </row>
    <row r="1926" spans="1:17" x14ac:dyDescent="0.25">
      <c r="A1926">
        <v>730851</v>
      </c>
      <c r="B1926" t="s">
        <v>3238</v>
      </c>
      <c r="C1926" t="s">
        <v>78</v>
      </c>
      <c r="D1926" t="s">
        <v>78</v>
      </c>
      <c r="E1926" t="s">
        <v>78</v>
      </c>
      <c r="F1926" t="s">
        <v>78</v>
      </c>
      <c r="G1926" t="s">
        <v>78</v>
      </c>
      <c r="H1926">
        <v>0.04</v>
      </c>
      <c r="I1926" s="1">
        <v>0</v>
      </c>
      <c r="J1926" s="1">
        <v>0</v>
      </c>
      <c r="K1926">
        <v>0</v>
      </c>
      <c r="L1926">
        <v>0</v>
      </c>
      <c r="M1926">
        <v>0.01</v>
      </c>
      <c r="N1926" s="1">
        <v>5000000</v>
      </c>
      <c r="O1926">
        <v>0.01</v>
      </c>
      <c r="P1926">
        <v>0.56999999999999995</v>
      </c>
      <c r="Q1926">
        <v>0.01</v>
      </c>
    </row>
    <row r="1927" spans="1:17" x14ac:dyDescent="0.25">
      <c r="A1927">
        <v>730852</v>
      </c>
      <c r="B1927" t="s">
        <v>3239</v>
      </c>
      <c r="C1927">
        <v>1.2</v>
      </c>
      <c r="D1927">
        <v>-0.04</v>
      </c>
      <c r="E1927">
        <v>1.2</v>
      </c>
      <c r="F1927">
        <v>1.2</v>
      </c>
      <c r="G1927">
        <v>1.2</v>
      </c>
      <c r="H1927">
        <v>1.2</v>
      </c>
      <c r="I1927" s="1">
        <v>30000</v>
      </c>
      <c r="J1927" s="1">
        <v>36000</v>
      </c>
      <c r="K1927">
        <v>1</v>
      </c>
      <c r="L1927">
        <v>1.1599999999999999</v>
      </c>
      <c r="M1927">
        <v>1.2</v>
      </c>
      <c r="N1927" s="1">
        <v>10000000</v>
      </c>
      <c r="O1927">
        <v>1.2</v>
      </c>
      <c r="P1927">
        <v>2.64</v>
      </c>
      <c r="Q1927">
        <v>0.01</v>
      </c>
    </row>
    <row r="1928" spans="1:17" x14ac:dyDescent="0.25">
      <c r="A1928">
        <v>730853</v>
      </c>
      <c r="B1928" t="s">
        <v>3240</v>
      </c>
      <c r="C1928" t="s">
        <v>78</v>
      </c>
      <c r="D1928" t="s">
        <v>78</v>
      </c>
      <c r="E1928" t="s">
        <v>78</v>
      </c>
      <c r="F1928" t="s">
        <v>78</v>
      </c>
      <c r="G1928" t="s">
        <v>78</v>
      </c>
      <c r="H1928">
        <v>3.11</v>
      </c>
      <c r="I1928" s="1">
        <v>0</v>
      </c>
      <c r="J1928" s="1">
        <v>0</v>
      </c>
      <c r="K1928">
        <v>0</v>
      </c>
      <c r="L1928">
        <v>2.93</v>
      </c>
      <c r="M1928">
        <v>0</v>
      </c>
      <c r="N1928" s="1">
        <v>5000000</v>
      </c>
      <c r="O1928">
        <v>2.93</v>
      </c>
      <c r="P1928">
        <v>3.8</v>
      </c>
      <c r="Q1928">
        <v>2.06</v>
      </c>
    </row>
    <row r="1929" spans="1:17" x14ac:dyDescent="0.25">
      <c r="A1929">
        <v>730854</v>
      </c>
      <c r="B1929" t="s">
        <v>3241</v>
      </c>
      <c r="C1929" t="s">
        <v>78</v>
      </c>
      <c r="D1929" t="s">
        <v>78</v>
      </c>
      <c r="E1929" t="s">
        <v>78</v>
      </c>
      <c r="F1929" t="s">
        <v>78</v>
      </c>
      <c r="G1929" t="s">
        <v>78</v>
      </c>
      <c r="H1929">
        <v>0.18</v>
      </c>
      <c r="I1929" s="1">
        <v>0</v>
      </c>
      <c r="J1929" s="1">
        <v>0</v>
      </c>
      <c r="K1929">
        <v>0</v>
      </c>
      <c r="L1929">
        <v>0.1</v>
      </c>
      <c r="M1929">
        <v>0.11</v>
      </c>
      <c r="N1929" s="1">
        <v>5000000</v>
      </c>
      <c r="O1929">
        <v>0.11</v>
      </c>
      <c r="P1929">
        <v>0.77</v>
      </c>
      <c r="Q1929">
        <v>0.01</v>
      </c>
    </row>
    <row r="1930" spans="1:17" x14ac:dyDescent="0.25">
      <c r="A1930">
        <v>730855</v>
      </c>
      <c r="B1930" t="s">
        <v>3242</v>
      </c>
      <c r="C1930" t="s">
        <v>78</v>
      </c>
      <c r="D1930" t="s">
        <v>78</v>
      </c>
      <c r="E1930" t="s">
        <v>78</v>
      </c>
      <c r="F1930" t="s">
        <v>78</v>
      </c>
      <c r="G1930" t="s">
        <v>78</v>
      </c>
      <c r="H1930">
        <v>0.02</v>
      </c>
      <c r="I1930" s="1">
        <v>0</v>
      </c>
      <c r="J1930" s="1">
        <v>0</v>
      </c>
      <c r="K1930">
        <v>0</v>
      </c>
      <c r="L1930">
        <v>0</v>
      </c>
      <c r="M1930">
        <v>0.02</v>
      </c>
      <c r="N1930" s="1">
        <v>5000000</v>
      </c>
      <c r="O1930">
        <v>0.02</v>
      </c>
      <c r="P1930">
        <v>0.89</v>
      </c>
      <c r="Q1930">
        <v>0.01</v>
      </c>
    </row>
    <row r="1931" spans="1:17" x14ac:dyDescent="0.25">
      <c r="A1931">
        <v>730856</v>
      </c>
      <c r="B1931" t="s">
        <v>3243</v>
      </c>
      <c r="C1931" t="s">
        <v>78</v>
      </c>
      <c r="D1931" t="s">
        <v>78</v>
      </c>
      <c r="E1931" t="s">
        <v>78</v>
      </c>
      <c r="F1931" t="s">
        <v>78</v>
      </c>
      <c r="G1931" t="s">
        <v>78</v>
      </c>
      <c r="H1931">
        <v>1.62</v>
      </c>
      <c r="I1931" s="1">
        <v>0</v>
      </c>
      <c r="J1931" s="1">
        <v>0</v>
      </c>
      <c r="K1931">
        <v>0</v>
      </c>
      <c r="L1931">
        <v>1.53</v>
      </c>
      <c r="M1931">
        <v>1.58</v>
      </c>
      <c r="N1931" s="1">
        <v>10000000</v>
      </c>
      <c r="O1931">
        <v>1.58</v>
      </c>
      <c r="P1931">
        <v>2.78</v>
      </c>
      <c r="Q1931">
        <v>0.38</v>
      </c>
    </row>
    <row r="1932" spans="1:17" x14ac:dyDescent="0.25">
      <c r="A1932">
        <v>730857</v>
      </c>
      <c r="B1932" t="s">
        <v>3244</v>
      </c>
      <c r="C1932">
        <v>0.14000000000000001</v>
      </c>
      <c r="D1932">
        <v>0.01</v>
      </c>
      <c r="E1932">
        <v>0.15</v>
      </c>
      <c r="F1932">
        <v>0.18</v>
      </c>
      <c r="G1932">
        <v>0.14000000000000001</v>
      </c>
      <c r="H1932">
        <v>0.16</v>
      </c>
      <c r="I1932" s="1">
        <v>2350000</v>
      </c>
      <c r="J1932" s="1">
        <v>382500</v>
      </c>
      <c r="K1932">
        <v>18</v>
      </c>
      <c r="L1932">
        <v>0.13</v>
      </c>
      <c r="M1932">
        <v>0.14000000000000001</v>
      </c>
      <c r="N1932" s="1">
        <v>5000000</v>
      </c>
      <c r="O1932">
        <v>0.14000000000000001</v>
      </c>
      <c r="P1932">
        <v>1.0900000000000001</v>
      </c>
      <c r="Q1932">
        <v>0.01</v>
      </c>
    </row>
    <row r="1933" spans="1:17" x14ac:dyDescent="0.25">
      <c r="A1933">
        <v>730858</v>
      </c>
      <c r="B1933" t="s">
        <v>3245</v>
      </c>
      <c r="C1933">
        <v>2.29</v>
      </c>
      <c r="D1933">
        <v>-0.13</v>
      </c>
      <c r="E1933">
        <v>2.36</v>
      </c>
      <c r="F1933">
        <v>2.36</v>
      </c>
      <c r="G1933">
        <v>2.29</v>
      </c>
      <c r="H1933">
        <v>2.3199999999999998</v>
      </c>
      <c r="I1933" s="1">
        <v>20000</v>
      </c>
      <c r="J1933" s="1">
        <v>46500</v>
      </c>
      <c r="K1933">
        <v>3</v>
      </c>
      <c r="L1933">
        <v>2.3199999999999998</v>
      </c>
      <c r="M1933">
        <v>2.4</v>
      </c>
      <c r="N1933" s="1">
        <v>10000000</v>
      </c>
      <c r="O1933">
        <v>2.29</v>
      </c>
      <c r="P1933">
        <v>4.08</v>
      </c>
      <c r="Q1933">
        <v>0.5</v>
      </c>
    </row>
    <row r="1934" spans="1:17" x14ac:dyDescent="0.25">
      <c r="A1934">
        <v>730859</v>
      </c>
      <c r="B1934" t="s">
        <v>3246</v>
      </c>
      <c r="C1934" t="s">
        <v>78</v>
      </c>
      <c r="D1934" t="s">
        <v>78</v>
      </c>
      <c r="E1934" t="s">
        <v>78</v>
      </c>
      <c r="F1934" t="s">
        <v>78</v>
      </c>
      <c r="G1934" t="s">
        <v>78</v>
      </c>
      <c r="H1934">
        <v>3.55</v>
      </c>
      <c r="I1934" s="1">
        <v>0</v>
      </c>
      <c r="J1934" s="1">
        <v>0</v>
      </c>
      <c r="K1934">
        <v>0</v>
      </c>
      <c r="L1934">
        <v>3.79</v>
      </c>
      <c r="M1934">
        <v>3.89</v>
      </c>
      <c r="N1934" s="1">
        <v>5000000</v>
      </c>
      <c r="O1934">
        <v>3.79</v>
      </c>
      <c r="P1934">
        <v>5.35</v>
      </c>
      <c r="Q1934">
        <v>2.23</v>
      </c>
    </row>
    <row r="1935" spans="1:17" x14ac:dyDescent="0.25">
      <c r="A1935">
        <v>730860</v>
      </c>
      <c r="B1935" t="s">
        <v>3247</v>
      </c>
      <c r="C1935">
        <v>0.25</v>
      </c>
      <c r="D1935">
        <v>0</v>
      </c>
      <c r="E1935">
        <v>0.24</v>
      </c>
      <c r="F1935">
        <v>0.25</v>
      </c>
      <c r="G1935">
        <v>0.24</v>
      </c>
      <c r="H1935">
        <v>0.24</v>
      </c>
      <c r="I1935" s="1">
        <v>20000</v>
      </c>
      <c r="J1935" s="1">
        <v>4900</v>
      </c>
      <c r="K1935">
        <v>2</v>
      </c>
      <c r="L1935">
        <v>0.21</v>
      </c>
      <c r="M1935">
        <v>0.23</v>
      </c>
      <c r="N1935" s="1">
        <v>5000000</v>
      </c>
      <c r="O1935">
        <v>0.25</v>
      </c>
      <c r="P1935">
        <v>0.81</v>
      </c>
      <c r="Q1935">
        <v>0.01</v>
      </c>
    </row>
    <row r="1936" spans="1:17" x14ac:dyDescent="0.25">
      <c r="A1936">
        <v>730861</v>
      </c>
      <c r="B1936" t="s">
        <v>3248</v>
      </c>
      <c r="C1936" t="s">
        <v>78</v>
      </c>
      <c r="D1936" t="s">
        <v>78</v>
      </c>
      <c r="E1936" t="s">
        <v>78</v>
      </c>
      <c r="F1936" t="s">
        <v>78</v>
      </c>
      <c r="G1936" t="s">
        <v>78</v>
      </c>
      <c r="H1936">
        <v>7.0000000000000007E-2</v>
      </c>
      <c r="I1936" s="1">
        <v>0</v>
      </c>
      <c r="J1936" s="1">
        <v>0</v>
      </c>
      <c r="K1936">
        <v>0</v>
      </c>
      <c r="L1936">
        <v>0</v>
      </c>
      <c r="M1936">
        <v>0</v>
      </c>
      <c r="N1936" s="1">
        <v>5000000</v>
      </c>
      <c r="O1936">
        <v>0.05</v>
      </c>
      <c r="P1936">
        <v>0.48</v>
      </c>
      <c r="Q1936">
        <v>0.01</v>
      </c>
    </row>
    <row r="1937" spans="1:17" x14ac:dyDescent="0.25">
      <c r="A1937">
        <v>730862</v>
      </c>
      <c r="B1937" t="s">
        <v>3249</v>
      </c>
      <c r="C1937" t="s">
        <v>78</v>
      </c>
      <c r="D1937" t="s">
        <v>78</v>
      </c>
      <c r="E1937" t="s">
        <v>78</v>
      </c>
      <c r="F1937" t="s">
        <v>78</v>
      </c>
      <c r="G1937" t="s">
        <v>78</v>
      </c>
      <c r="H1937">
        <v>9.61</v>
      </c>
      <c r="I1937" s="1">
        <v>0</v>
      </c>
      <c r="J1937" s="1">
        <v>0</v>
      </c>
      <c r="K1937">
        <v>0</v>
      </c>
      <c r="L1937">
        <v>7.45</v>
      </c>
      <c r="M1937">
        <v>7.65</v>
      </c>
      <c r="N1937" s="1">
        <v>5000000</v>
      </c>
      <c r="O1937">
        <v>7.65</v>
      </c>
      <c r="P1937">
        <v>10.1</v>
      </c>
      <c r="Q1937">
        <v>5.2</v>
      </c>
    </row>
    <row r="1938" spans="1:17" x14ac:dyDescent="0.25">
      <c r="A1938">
        <v>730863</v>
      </c>
      <c r="B1938" t="s">
        <v>3250</v>
      </c>
      <c r="C1938" t="s">
        <v>78</v>
      </c>
      <c r="D1938" t="s">
        <v>78</v>
      </c>
      <c r="E1938" t="s">
        <v>78</v>
      </c>
      <c r="F1938" t="s">
        <v>78</v>
      </c>
      <c r="G1938" t="s">
        <v>78</v>
      </c>
      <c r="H1938">
        <v>4.17</v>
      </c>
      <c r="I1938" s="1">
        <v>0</v>
      </c>
      <c r="J1938" s="1">
        <v>0</v>
      </c>
      <c r="K1938">
        <v>0</v>
      </c>
      <c r="L1938">
        <v>6.4</v>
      </c>
      <c r="M1938">
        <v>6.45</v>
      </c>
      <c r="N1938" s="1">
        <v>5000000</v>
      </c>
      <c r="O1938">
        <v>6.45</v>
      </c>
      <c r="P1938">
        <v>8.4</v>
      </c>
      <c r="Q1938">
        <v>4.42</v>
      </c>
    </row>
    <row r="1939" spans="1:17" x14ac:dyDescent="0.25">
      <c r="A1939">
        <v>730864</v>
      </c>
      <c r="B1939" t="s">
        <v>3251</v>
      </c>
      <c r="C1939" t="s">
        <v>78</v>
      </c>
      <c r="D1939" t="s">
        <v>78</v>
      </c>
      <c r="E1939" t="s">
        <v>78</v>
      </c>
      <c r="F1939" t="s">
        <v>78</v>
      </c>
      <c r="G1939" t="s">
        <v>78</v>
      </c>
      <c r="H1939">
        <v>11.4</v>
      </c>
      <c r="I1939" s="1">
        <v>0</v>
      </c>
      <c r="J1939" s="1">
        <v>0</v>
      </c>
      <c r="K1939">
        <v>0</v>
      </c>
      <c r="L1939">
        <v>11.2</v>
      </c>
      <c r="M1939">
        <v>12.2</v>
      </c>
      <c r="N1939" s="1">
        <v>10000000</v>
      </c>
      <c r="O1939">
        <v>11.2</v>
      </c>
      <c r="P1939">
        <v>14.6</v>
      </c>
      <c r="Q1939">
        <v>7.75</v>
      </c>
    </row>
    <row r="1940" spans="1:17" x14ac:dyDescent="0.25">
      <c r="A1940">
        <v>730865</v>
      </c>
      <c r="B1940" t="s">
        <v>3252</v>
      </c>
      <c r="C1940">
        <v>2.97</v>
      </c>
      <c r="D1940">
        <v>0.03</v>
      </c>
      <c r="E1940">
        <v>3.18</v>
      </c>
      <c r="F1940">
        <v>3.18</v>
      </c>
      <c r="G1940">
        <v>2.97</v>
      </c>
      <c r="H1940">
        <v>3.08</v>
      </c>
      <c r="I1940" s="1">
        <v>2000</v>
      </c>
      <c r="J1940" s="1">
        <v>6150</v>
      </c>
      <c r="K1940">
        <v>2</v>
      </c>
      <c r="L1940">
        <v>2.97</v>
      </c>
      <c r="M1940">
        <v>3.05</v>
      </c>
      <c r="N1940" s="1">
        <v>15000000</v>
      </c>
      <c r="O1940">
        <v>2.97</v>
      </c>
      <c r="P1940">
        <v>3.83</v>
      </c>
      <c r="Q1940">
        <v>2.11</v>
      </c>
    </row>
    <row r="1941" spans="1:17" x14ac:dyDescent="0.25">
      <c r="A1941">
        <v>730866</v>
      </c>
      <c r="B1941" t="s">
        <v>3253</v>
      </c>
      <c r="C1941">
        <v>1.06</v>
      </c>
      <c r="D1941">
        <v>0.13</v>
      </c>
      <c r="E1941">
        <v>0.89</v>
      </c>
      <c r="F1941">
        <v>1.1299999999999999</v>
      </c>
      <c r="G1941">
        <v>0.89</v>
      </c>
      <c r="H1941">
        <v>1.04</v>
      </c>
      <c r="I1941" s="1">
        <v>113000</v>
      </c>
      <c r="J1941" s="1">
        <v>117520</v>
      </c>
      <c r="K1941">
        <v>10</v>
      </c>
      <c r="L1941">
        <v>1.03</v>
      </c>
      <c r="M1941">
        <v>1.06</v>
      </c>
      <c r="N1941" s="1">
        <v>13000000</v>
      </c>
      <c r="O1941">
        <v>1.06</v>
      </c>
      <c r="P1941">
        <v>2.0699999999999998</v>
      </c>
      <c r="Q1941">
        <v>0.05</v>
      </c>
    </row>
    <row r="1942" spans="1:17" x14ac:dyDescent="0.25">
      <c r="A1942">
        <v>730867</v>
      </c>
      <c r="B1942" t="s">
        <v>3254</v>
      </c>
      <c r="C1942" t="s">
        <v>78</v>
      </c>
      <c r="D1942" t="s">
        <v>78</v>
      </c>
      <c r="E1942" t="s">
        <v>78</v>
      </c>
      <c r="F1942" t="s">
        <v>78</v>
      </c>
      <c r="G1942" t="s">
        <v>78</v>
      </c>
      <c r="H1942">
        <v>0.66</v>
      </c>
      <c r="I1942" s="1">
        <v>0</v>
      </c>
      <c r="J1942" s="1">
        <v>0</v>
      </c>
      <c r="K1942">
        <v>0</v>
      </c>
      <c r="L1942">
        <v>0.74</v>
      </c>
      <c r="M1942">
        <v>0.78</v>
      </c>
      <c r="N1942" s="1">
        <v>13000000</v>
      </c>
      <c r="O1942">
        <v>0.74</v>
      </c>
      <c r="P1942">
        <v>1.72</v>
      </c>
      <c r="Q1942">
        <v>0.01</v>
      </c>
    </row>
    <row r="1943" spans="1:17" x14ac:dyDescent="0.25">
      <c r="A1943">
        <v>730868</v>
      </c>
      <c r="B1943" t="s">
        <v>3255</v>
      </c>
      <c r="C1943" t="s">
        <v>78</v>
      </c>
      <c r="D1943" t="s">
        <v>78</v>
      </c>
      <c r="E1943" t="s">
        <v>78</v>
      </c>
      <c r="F1943" t="s">
        <v>78</v>
      </c>
      <c r="G1943" t="s">
        <v>78</v>
      </c>
      <c r="H1943">
        <v>2.42</v>
      </c>
      <c r="I1943" s="1">
        <v>0</v>
      </c>
      <c r="J1943" s="1">
        <v>0</v>
      </c>
      <c r="K1943">
        <v>0</v>
      </c>
      <c r="L1943">
        <v>0</v>
      </c>
      <c r="M1943">
        <v>0</v>
      </c>
      <c r="N1943" s="1">
        <v>10000000</v>
      </c>
      <c r="O1943">
        <v>6.9</v>
      </c>
      <c r="P1943">
        <v>8.1</v>
      </c>
      <c r="Q1943">
        <v>5.7</v>
      </c>
    </row>
    <row r="1944" spans="1:17" x14ac:dyDescent="0.25">
      <c r="A1944">
        <v>730869</v>
      </c>
      <c r="B1944" t="s">
        <v>3256</v>
      </c>
      <c r="C1944" t="s">
        <v>78</v>
      </c>
      <c r="D1944" t="s">
        <v>78</v>
      </c>
      <c r="E1944" t="s">
        <v>78</v>
      </c>
      <c r="F1944" t="s">
        <v>78</v>
      </c>
      <c r="G1944" t="s">
        <v>78</v>
      </c>
      <c r="H1944">
        <v>5.75</v>
      </c>
      <c r="I1944" s="1">
        <v>0</v>
      </c>
      <c r="J1944" s="1">
        <v>0</v>
      </c>
      <c r="K1944">
        <v>0</v>
      </c>
      <c r="L1944">
        <v>5.8</v>
      </c>
      <c r="M1944">
        <v>0</v>
      </c>
      <c r="N1944" s="1">
        <v>5000000</v>
      </c>
      <c r="O1944">
        <v>5.8</v>
      </c>
      <c r="P1944">
        <v>7.95</v>
      </c>
      <c r="Q1944">
        <v>3.63</v>
      </c>
    </row>
    <row r="1945" spans="1:17" x14ac:dyDescent="0.25">
      <c r="A1945">
        <v>730870</v>
      </c>
      <c r="B1945" t="s">
        <v>3257</v>
      </c>
      <c r="C1945">
        <v>4.6100000000000003</v>
      </c>
      <c r="D1945">
        <v>-0.24</v>
      </c>
      <c r="E1945">
        <v>5.2</v>
      </c>
      <c r="F1945">
        <v>5.45</v>
      </c>
      <c r="G1945">
        <v>4.6100000000000003</v>
      </c>
      <c r="H1945">
        <v>5.31</v>
      </c>
      <c r="I1945" s="1">
        <v>53000</v>
      </c>
      <c r="J1945" s="1">
        <v>281330</v>
      </c>
      <c r="K1945">
        <v>5</v>
      </c>
      <c r="L1945">
        <v>4.68</v>
      </c>
      <c r="M1945">
        <v>4.7</v>
      </c>
      <c r="N1945" s="1">
        <v>5000000</v>
      </c>
      <c r="O1945">
        <v>4.6100000000000003</v>
      </c>
      <c r="P1945">
        <v>6.85</v>
      </c>
      <c r="Q1945">
        <v>2.37</v>
      </c>
    </row>
    <row r="1946" spans="1:17" x14ac:dyDescent="0.25">
      <c r="A1946">
        <v>730871</v>
      </c>
      <c r="B1946" t="s">
        <v>3258</v>
      </c>
      <c r="C1946" t="s">
        <v>78</v>
      </c>
      <c r="D1946" t="s">
        <v>78</v>
      </c>
      <c r="E1946" t="s">
        <v>78</v>
      </c>
      <c r="F1946" t="s">
        <v>78</v>
      </c>
      <c r="G1946" t="s">
        <v>78</v>
      </c>
      <c r="H1946">
        <v>0.27</v>
      </c>
      <c r="I1946" s="1">
        <v>0</v>
      </c>
      <c r="J1946" s="1">
        <v>0</v>
      </c>
      <c r="K1946">
        <v>0</v>
      </c>
      <c r="L1946">
        <v>0.17</v>
      </c>
      <c r="M1946">
        <v>0.18</v>
      </c>
      <c r="N1946" s="1">
        <v>10000000</v>
      </c>
      <c r="O1946">
        <v>0.18</v>
      </c>
      <c r="P1946">
        <v>1.1000000000000001</v>
      </c>
      <c r="Q1946">
        <v>0.01</v>
      </c>
    </row>
    <row r="1947" spans="1:17" x14ac:dyDescent="0.25">
      <c r="A1947">
        <v>730872</v>
      </c>
      <c r="B1947" t="s">
        <v>3259</v>
      </c>
      <c r="C1947" t="s">
        <v>78</v>
      </c>
      <c r="D1947" t="s">
        <v>78</v>
      </c>
      <c r="E1947" t="s">
        <v>78</v>
      </c>
      <c r="F1947" t="s">
        <v>78</v>
      </c>
      <c r="G1947" t="s">
        <v>78</v>
      </c>
      <c r="H1947">
        <v>0.27</v>
      </c>
      <c r="I1947" s="1">
        <v>0</v>
      </c>
      <c r="J1947" s="1">
        <v>0</v>
      </c>
      <c r="K1947">
        <v>0</v>
      </c>
      <c r="L1947">
        <v>0.25</v>
      </c>
      <c r="M1947">
        <v>0.26</v>
      </c>
      <c r="N1947" s="1">
        <v>5000000</v>
      </c>
      <c r="O1947">
        <v>0.26</v>
      </c>
      <c r="P1947">
        <v>0.98</v>
      </c>
      <c r="Q1947">
        <v>0.01</v>
      </c>
    </row>
    <row r="1948" spans="1:17" x14ac:dyDescent="0.25">
      <c r="A1948">
        <v>730873</v>
      </c>
      <c r="B1948" t="s">
        <v>3260</v>
      </c>
      <c r="C1948" t="s">
        <v>78</v>
      </c>
      <c r="D1948" t="s">
        <v>78</v>
      </c>
      <c r="E1948" t="s">
        <v>78</v>
      </c>
      <c r="F1948" t="s">
        <v>78</v>
      </c>
      <c r="G1948" t="s">
        <v>78</v>
      </c>
      <c r="H1948">
        <v>0.02</v>
      </c>
      <c r="I1948" s="1">
        <v>0</v>
      </c>
      <c r="J1948" s="1">
        <v>0</v>
      </c>
      <c r="K1948">
        <v>0</v>
      </c>
      <c r="L1948">
        <v>0</v>
      </c>
      <c r="M1948">
        <v>0.01</v>
      </c>
      <c r="N1948" s="1">
        <v>10000000</v>
      </c>
      <c r="O1948">
        <v>0.01</v>
      </c>
      <c r="P1948">
        <v>0.3</v>
      </c>
      <c r="Q1948">
        <v>0.01</v>
      </c>
    </row>
    <row r="1949" spans="1:17" x14ac:dyDescent="0.25">
      <c r="A1949">
        <v>730874</v>
      </c>
      <c r="B1949" t="s">
        <v>3261</v>
      </c>
      <c r="C1949" t="s">
        <v>78</v>
      </c>
      <c r="D1949" t="s">
        <v>78</v>
      </c>
      <c r="E1949" t="s">
        <v>78</v>
      </c>
      <c r="F1949" t="s">
        <v>78</v>
      </c>
      <c r="G1949" t="s">
        <v>78</v>
      </c>
      <c r="H1949">
        <v>0.15</v>
      </c>
      <c r="I1949" s="1">
        <v>0</v>
      </c>
      <c r="J1949" s="1">
        <v>0</v>
      </c>
      <c r="K1949">
        <v>0</v>
      </c>
      <c r="L1949">
        <v>0</v>
      </c>
      <c r="M1949">
        <v>0.03</v>
      </c>
      <c r="N1949" s="1">
        <v>5000000</v>
      </c>
      <c r="O1949">
        <v>0.02</v>
      </c>
      <c r="P1949">
        <v>0.35</v>
      </c>
      <c r="Q1949">
        <v>0.01</v>
      </c>
    </row>
    <row r="1950" spans="1:17" x14ac:dyDescent="0.25">
      <c r="A1950">
        <v>730875</v>
      </c>
      <c r="B1950" t="s">
        <v>3262</v>
      </c>
      <c r="C1950" t="s">
        <v>78</v>
      </c>
      <c r="D1950" t="s">
        <v>78</v>
      </c>
      <c r="E1950" t="s">
        <v>78</v>
      </c>
      <c r="F1950" t="s">
        <v>78</v>
      </c>
      <c r="G1950" t="s">
        <v>78</v>
      </c>
      <c r="H1950">
        <v>0.4</v>
      </c>
      <c r="I1950" s="1">
        <v>0</v>
      </c>
      <c r="J1950" s="1">
        <v>0</v>
      </c>
      <c r="K1950">
        <v>0</v>
      </c>
      <c r="L1950">
        <v>7.0000000000000007E-2</v>
      </c>
      <c r="M1950">
        <v>0.1</v>
      </c>
      <c r="N1950" s="1">
        <v>10000000</v>
      </c>
      <c r="O1950">
        <v>0.09</v>
      </c>
      <c r="P1950">
        <v>0.95</v>
      </c>
      <c r="Q1950">
        <v>0.01</v>
      </c>
    </row>
    <row r="1951" spans="1:17" x14ac:dyDescent="0.25">
      <c r="A1951">
        <v>730876</v>
      </c>
      <c r="B1951" t="s">
        <v>3263</v>
      </c>
      <c r="C1951">
        <v>0.31</v>
      </c>
      <c r="D1951">
        <v>0.01</v>
      </c>
      <c r="E1951">
        <v>0.31</v>
      </c>
      <c r="F1951">
        <v>0.31</v>
      </c>
      <c r="G1951">
        <v>0.3</v>
      </c>
      <c r="H1951">
        <v>0.31</v>
      </c>
      <c r="I1951" s="1">
        <v>208000</v>
      </c>
      <c r="J1951" s="1">
        <v>63490</v>
      </c>
      <c r="K1951">
        <v>7</v>
      </c>
      <c r="L1951">
        <v>0.28999999999999998</v>
      </c>
      <c r="M1951">
        <v>0.3</v>
      </c>
      <c r="N1951" s="1">
        <v>10000000</v>
      </c>
      <c r="O1951">
        <v>0.31</v>
      </c>
      <c r="P1951">
        <v>0.95</v>
      </c>
      <c r="Q1951">
        <v>0.01</v>
      </c>
    </row>
    <row r="1952" spans="1:17" x14ac:dyDescent="0.25">
      <c r="A1952">
        <v>730877</v>
      </c>
      <c r="B1952" t="s">
        <v>3264</v>
      </c>
      <c r="C1952">
        <v>0.05</v>
      </c>
      <c r="D1952">
        <v>0</v>
      </c>
      <c r="E1952">
        <v>0.05</v>
      </c>
      <c r="F1952">
        <v>0.05</v>
      </c>
      <c r="G1952">
        <v>0.05</v>
      </c>
      <c r="H1952">
        <v>0.05</v>
      </c>
      <c r="I1952" s="1">
        <v>5000</v>
      </c>
      <c r="J1952" s="1">
        <v>250</v>
      </c>
      <c r="K1952">
        <v>1</v>
      </c>
      <c r="L1952">
        <v>0.05</v>
      </c>
      <c r="M1952">
        <v>0.08</v>
      </c>
      <c r="N1952" s="1">
        <v>5000000</v>
      </c>
      <c r="O1952">
        <v>0.05</v>
      </c>
      <c r="P1952">
        <v>0.47</v>
      </c>
      <c r="Q1952">
        <v>0.01</v>
      </c>
    </row>
    <row r="1953" spans="1:17" x14ac:dyDescent="0.25">
      <c r="A1953">
        <v>730878</v>
      </c>
      <c r="B1953" t="s">
        <v>3265</v>
      </c>
      <c r="C1953" t="s">
        <v>78</v>
      </c>
      <c r="D1953" t="s">
        <v>78</v>
      </c>
      <c r="E1953" t="s">
        <v>78</v>
      </c>
      <c r="F1953" t="s">
        <v>78</v>
      </c>
      <c r="G1953" t="s">
        <v>78</v>
      </c>
      <c r="H1953">
        <v>0.02</v>
      </c>
      <c r="I1953" s="1">
        <v>0</v>
      </c>
      <c r="J1953" s="1">
        <v>0</v>
      </c>
      <c r="K1953">
        <v>0</v>
      </c>
      <c r="L1953">
        <v>0</v>
      </c>
      <c r="M1953">
        <v>0.01</v>
      </c>
      <c r="N1953" s="1">
        <v>5000000</v>
      </c>
      <c r="O1953">
        <v>0.01</v>
      </c>
      <c r="P1953">
        <v>0.92</v>
      </c>
      <c r="Q1953">
        <v>0.01</v>
      </c>
    </row>
    <row r="1954" spans="1:17" x14ac:dyDescent="0.25">
      <c r="A1954">
        <v>730879</v>
      </c>
      <c r="B1954" t="s">
        <v>3266</v>
      </c>
      <c r="C1954" t="s">
        <v>78</v>
      </c>
      <c r="D1954" t="s">
        <v>78</v>
      </c>
      <c r="E1954" t="s">
        <v>78</v>
      </c>
      <c r="F1954" t="s">
        <v>78</v>
      </c>
      <c r="G1954" t="s">
        <v>78</v>
      </c>
      <c r="H1954">
        <v>4.51</v>
      </c>
      <c r="I1954" s="1">
        <v>0</v>
      </c>
      <c r="J1954" s="1">
        <v>0</v>
      </c>
      <c r="K1954">
        <v>0</v>
      </c>
      <c r="L1954">
        <v>3.95</v>
      </c>
      <c r="M1954">
        <v>4.05</v>
      </c>
      <c r="N1954" s="1">
        <v>10000000</v>
      </c>
      <c r="O1954">
        <v>4.05</v>
      </c>
      <c r="P1954">
        <v>5.7</v>
      </c>
      <c r="Q1954">
        <v>2.4</v>
      </c>
    </row>
    <row r="1955" spans="1:17" x14ac:dyDescent="0.25">
      <c r="A1955">
        <v>730880</v>
      </c>
      <c r="B1955" t="s">
        <v>3267</v>
      </c>
      <c r="C1955" t="s">
        <v>78</v>
      </c>
      <c r="D1955" t="s">
        <v>78</v>
      </c>
      <c r="E1955" t="s">
        <v>78</v>
      </c>
      <c r="F1955" t="s">
        <v>78</v>
      </c>
      <c r="G1955" t="s">
        <v>78</v>
      </c>
      <c r="H1955">
        <v>0.02</v>
      </c>
      <c r="I1955" s="1">
        <v>0</v>
      </c>
      <c r="J1955" s="1">
        <v>0</v>
      </c>
      <c r="K1955">
        <v>0</v>
      </c>
      <c r="L1955">
        <v>0.01</v>
      </c>
      <c r="M1955">
        <v>0.02</v>
      </c>
      <c r="N1955" s="1">
        <v>10000000</v>
      </c>
      <c r="O1955">
        <v>0.02</v>
      </c>
      <c r="P1955">
        <v>1.0900000000000001</v>
      </c>
      <c r="Q1955">
        <v>0.01</v>
      </c>
    </row>
    <row r="1956" spans="1:17" x14ac:dyDescent="0.25">
      <c r="A1956">
        <v>730881</v>
      </c>
      <c r="B1956" t="s">
        <v>3268</v>
      </c>
      <c r="C1956">
        <v>0.26</v>
      </c>
      <c r="D1956">
        <v>-0.04</v>
      </c>
      <c r="E1956">
        <v>0.3</v>
      </c>
      <c r="F1956">
        <v>0.3</v>
      </c>
      <c r="G1956">
        <v>0.26</v>
      </c>
      <c r="H1956">
        <v>0.28000000000000003</v>
      </c>
      <c r="I1956" s="1">
        <v>1501000</v>
      </c>
      <c r="J1956" s="1">
        <v>414150</v>
      </c>
      <c r="K1956">
        <v>27</v>
      </c>
      <c r="L1956">
        <v>0.26</v>
      </c>
      <c r="M1956">
        <v>0.27</v>
      </c>
      <c r="N1956" s="1">
        <v>10000000</v>
      </c>
      <c r="O1956">
        <v>0.26</v>
      </c>
      <c r="P1956">
        <v>0.88</v>
      </c>
      <c r="Q1956">
        <v>0.01</v>
      </c>
    </row>
    <row r="1957" spans="1:17" x14ac:dyDescent="0.25">
      <c r="A1957">
        <v>730882</v>
      </c>
      <c r="B1957" t="s">
        <v>3269</v>
      </c>
      <c r="C1957">
        <v>0.1</v>
      </c>
      <c r="D1957">
        <v>0.03</v>
      </c>
      <c r="E1957">
        <v>0.09</v>
      </c>
      <c r="F1957">
        <v>0.1</v>
      </c>
      <c r="G1957">
        <v>0.09</v>
      </c>
      <c r="H1957">
        <v>0.1</v>
      </c>
      <c r="I1957" s="1">
        <v>21000</v>
      </c>
      <c r="J1957" s="1">
        <v>2080</v>
      </c>
      <c r="K1957">
        <v>2</v>
      </c>
      <c r="L1957">
        <v>7.0000000000000007E-2</v>
      </c>
      <c r="M1957">
        <v>0.08</v>
      </c>
      <c r="N1957" s="1">
        <v>10000000</v>
      </c>
      <c r="O1957">
        <v>0.1</v>
      </c>
      <c r="P1957">
        <v>1.05</v>
      </c>
      <c r="Q1957">
        <v>0.01</v>
      </c>
    </row>
    <row r="1958" spans="1:17" x14ac:dyDescent="0.25">
      <c r="A1958">
        <v>730883</v>
      </c>
      <c r="B1958" t="s">
        <v>3270</v>
      </c>
      <c r="C1958" t="s">
        <v>78</v>
      </c>
      <c r="D1958" t="s">
        <v>78</v>
      </c>
      <c r="E1958" t="s">
        <v>78</v>
      </c>
      <c r="F1958" t="s">
        <v>78</v>
      </c>
      <c r="G1958" t="s">
        <v>78</v>
      </c>
      <c r="H1958">
        <v>0.11</v>
      </c>
      <c r="I1958" s="1">
        <v>0</v>
      </c>
      <c r="J1958" s="1">
        <v>0</v>
      </c>
      <c r="K1958">
        <v>0</v>
      </c>
      <c r="L1958">
        <v>0.12</v>
      </c>
      <c r="M1958">
        <v>0.13</v>
      </c>
      <c r="N1958" s="1">
        <v>10000000</v>
      </c>
      <c r="O1958">
        <v>0.13</v>
      </c>
      <c r="P1958">
        <v>0.62</v>
      </c>
      <c r="Q1958">
        <v>0.01</v>
      </c>
    </row>
    <row r="1959" spans="1:17" x14ac:dyDescent="0.25">
      <c r="A1959">
        <v>730884</v>
      </c>
      <c r="B1959" t="s">
        <v>3271</v>
      </c>
      <c r="C1959" t="s">
        <v>78</v>
      </c>
      <c r="D1959" t="s">
        <v>78</v>
      </c>
      <c r="E1959" t="s">
        <v>78</v>
      </c>
      <c r="F1959" t="s">
        <v>78</v>
      </c>
      <c r="G1959" t="s">
        <v>78</v>
      </c>
      <c r="H1959">
        <v>2.37</v>
      </c>
      <c r="I1959" s="1">
        <v>0</v>
      </c>
      <c r="J1959" s="1">
        <v>0</v>
      </c>
      <c r="K1959">
        <v>0</v>
      </c>
      <c r="L1959">
        <v>2.2799999999999998</v>
      </c>
      <c r="M1959">
        <v>2.38</v>
      </c>
      <c r="N1959" s="1">
        <v>15000000</v>
      </c>
      <c r="O1959">
        <v>2.38</v>
      </c>
      <c r="P1959">
        <v>3.33</v>
      </c>
      <c r="Q1959">
        <v>1.43</v>
      </c>
    </row>
    <row r="1960" spans="1:17" x14ac:dyDescent="0.25">
      <c r="A1960">
        <v>730885</v>
      </c>
      <c r="B1960" t="s">
        <v>3272</v>
      </c>
      <c r="C1960" t="s">
        <v>78</v>
      </c>
      <c r="D1960" t="s">
        <v>78</v>
      </c>
      <c r="E1960" t="s">
        <v>78</v>
      </c>
      <c r="F1960" t="s">
        <v>78</v>
      </c>
      <c r="G1960" t="s">
        <v>78</v>
      </c>
      <c r="H1960">
        <v>0.02</v>
      </c>
      <c r="I1960" s="1">
        <v>0</v>
      </c>
      <c r="J1960" s="1">
        <v>0</v>
      </c>
      <c r="K1960">
        <v>0</v>
      </c>
      <c r="L1960">
        <v>0</v>
      </c>
      <c r="M1960">
        <v>0.02</v>
      </c>
      <c r="N1960" s="1">
        <v>10000000</v>
      </c>
      <c r="O1960">
        <v>0.02</v>
      </c>
      <c r="P1960">
        <v>1.18</v>
      </c>
      <c r="Q1960">
        <v>0.01</v>
      </c>
    </row>
    <row r="1961" spans="1:17" x14ac:dyDescent="0.25">
      <c r="A1961">
        <v>730886</v>
      </c>
      <c r="B1961" t="s">
        <v>3273</v>
      </c>
      <c r="C1961" t="s">
        <v>78</v>
      </c>
      <c r="D1961" t="s">
        <v>78</v>
      </c>
      <c r="E1961" t="s">
        <v>78</v>
      </c>
      <c r="F1961" t="s">
        <v>78</v>
      </c>
      <c r="G1961" t="s">
        <v>78</v>
      </c>
      <c r="H1961">
        <v>0.11</v>
      </c>
      <c r="I1961" s="1">
        <v>0</v>
      </c>
      <c r="J1961" s="1">
        <v>0</v>
      </c>
      <c r="K1961">
        <v>0</v>
      </c>
      <c r="L1961">
        <v>0</v>
      </c>
      <c r="M1961">
        <v>0</v>
      </c>
      <c r="N1961" s="1">
        <v>10000000</v>
      </c>
      <c r="O1961">
        <v>0.04</v>
      </c>
      <c r="P1961">
        <v>0.77</v>
      </c>
      <c r="Q1961">
        <v>0.01</v>
      </c>
    </row>
    <row r="1962" spans="1:17" x14ac:dyDescent="0.25">
      <c r="A1962">
        <v>730887</v>
      </c>
      <c r="B1962" t="s">
        <v>3274</v>
      </c>
      <c r="C1962" t="s">
        <v>78</v>
      </c>
      <c r="D1962" t="s">
        <v>78</v>
      </c>
      <c r="E1962" t="s">
        <v>78</v>
      </c>
      <c r="F1962" t="s">
        <v>78</v>
      </c>
      <c r="G1962" t="s">
        <v>78</v>
      </c>
      <c r="H1962">
        <v>0.04</v>
      </c>
      <c r="I1962" s="1">
        <v>0</v>
      </c>
      <c r="J1962" s="1">
        <v>0</v>
      </c>
      <c r="K1962">
        <v>0</v>
      </c>
      <c r="L1962">
        <v>0</v>
      </c>
      <c r="M1962">
        <v>0.06</v>
      </c>
      <c r="N1962" s="1">
        <v>5000000</v>
      </c>
      <c r="O1962">
        <v>0.04</v>
      </c>
      <c r="P1962">
        <v>1.1299999999999999</v>
      </c>
      <c r="Q1962">
        <v>0.01</v>
      </c>
    </row>
    <row r="1963" spans="1:17" x14ac:dyDescent="0.25">
      <c r="A1963">
        <v>730888</v>
      </c>
      <c r="B1963" t="s">
        <v>3275</v>
      </c>
      <c r="C1963" t="s">
        <v>78</v>
      </c>
      <c r="D1963" t="s">
        <v>78</v>
      </c>
      <c r="E1963" t="s">
        <v>78</v>
      </c>
      <c r="F1963" t="s">
        <v>78</v>
      </c>
      <c r="G1963" t="s">
        <v>78</v>
      </c>
      <c r="H1963">
        <v>0.09</v>
      </c>
      <c r="I1963" s="1">
        <v>0</v>
      </c>
      <c r="J1963" s="1">
        <v>0</v>
      </c>
      <c r="K1963">
        <v>0</v>
      </c>
      <c r="L1963">
        <v>0.03</v>
      </c>
      <c r="M1963">
        <v>0.04</v>
      </c>
      <c r="N1963" s="1">
        <v>5000000</v>
      </c>
      <c r="O1963">
        <v>0.04</v>
      </c>
      <c r="P1963">
        <v>0.97</v>
      </c>
      <c r="Q1963">
        <v>0.01</v>
      </c>
    </row>
    <row r="1964" spans="1:17" x14ac:dyDescent="0.25">
      <c r="A1964">
        <v>730889</v>
      </c>
      <c r="B1964" t="s">
        <v>3276</v>
      </c>
      <c r="C1964">
        <v>4.8899999999999997</v>
      </c>
      <c r="D1964">
        <v>0.28000000000000003</v>
      </c>
      <c r="E1964">
        <v>4.8899999999999997</v>
      </c>
      <c r="F1964">
        <v>4.8899999999999997</v>
      </c>
      <c r="G1964">
        <v>4.8899999999999997</v>
      </c>
      <c r="H1964">
        <v>4.8899999999999997</v>
      </c>
      <c r="I1964" s="1">
        <v>12000</v>
      </c>
      <c r="J1964" s="1">
        <v>58680</v>
      </c>
      <c r="K1964">
        <v>2</v>
      </c>
      <c r="L1964">
        <v>3.99</v>
      </c>
      <c r="M1964">
        <v>4.09</v>
      </c>
      <c r="N1964" s="1">
        <v>5000000</v>
      </c>
      <c r="O1964">
        <v>4.8899999999999997</v>
      </c>
      <c r="P1964">
        <v>6.8</v>
      </c>
      <c r="Q1964">
        <v>2.97</v>
      </c>
    </row>
    <row r="1965" spans="1:17" x14ac:dyDescent="0.25">
      <c r="A1965">
        <v>730890</v>
      </c>
      <c r="B1965" t="s">
        <v>3277</v>
      </c>
      <c r="C1965" t="s">
        <v>78</v>
      </c>
      <c r="D1965" t="s">
        <v>78</v>
      </c>
      <c r="E1965" t="s">
        <v>78</v>
      </c>
      <c r="F1965" t="s">
        <v>78</v>
      </c>
      <c r="G1965" t="s">
        <v>78</v>
      </c>
      <c r="H1965">
        <v>0.24</v>
      </c>
      <c r="I1965" s="1">
        <v>0</v>
      </c>
      <c r="J1965" s="1">
        <v>0</v>
      </c>
      <c r="K1965">
        <v>0</v>
      </c>
      <c r="L1965">
        <v>0</v>
      </c>
      <c r="M1965">
        <v>0.04</v>
      </c>
      <c r="N1965" s="1">
        <v>5000000</v>
      </c>
      <c r="O1965">
        <v>0.04</v>
      </c>
      <c r="P1965">
        <v>0.91</v>
      </c>
      <c r="Q1965">
        <v>0.01</v>
      </c>
    </row>
    <row r="1966" spans="1:17" x14ac:dyDescent="0.25">
      <c r="A1966">
        <v>730891</v>
      </c>
      <c r="B1966" t="s">
        <v>3278</v>
      </c>
      <c r="C1966" t="s">
        <v>78</v>
      </c>
      <c r="D1966" t="s">
        <v>78</v>
      </c>
      <c r="E1966" t="s">
        <v>78</v>
      </c>
      <c r="F1966" t="s">
        <v>78</v>
      </c>
      <c r="G1966" t="s">
        <v>78</v>
      </c>
      <c r="H1966">
        <v>0.13</v>
      </c>
      <c r="I1966" s="1">
        <v>0</v>
      </c>
      <c r="J1966" s="1">
        <v>0</v>
      </c>
      <c r="K1966">
        <v>0</v>
      </c>
      <c r="L1966">
        <v>0.11</v>
      </c>
      <c r="M1966">
        <v>0.12</v>
      </c>
      <c r="N1966" s="1">
        <v>5000000</v>
      </c>
      <c r="O1966">
        <v>0.12</v>
      </c>
      <c r="P1966">
        <v>1.1100000000000001</v>
      </c>
      <c r="Q1966">
        <v>0.01</v>
      </c>
    </row>
    <row r="1967" spans="1:17" x14ac:dyDescent="0.25">
      <c r="A1967">
        <v>730892</v>
      </c>
      <c r="B1967" t="s">
        <v>3279</v>
      </c>
      <c r="C1967" t="s">
        <v>78</v>
      </c>
      <c r="D1967" t="s">
        <v>78</v>
      </c>
      <c r="E1967" t="s">
        <v>78</v>
      </c>
      <c r="F1967" t="s">
        <v>78</v>
      </c>
      <c r="G1967" t="s">
        <v>78</v>
      </c>
      <c r="H1967">
        <v>2.62</v>
      </c>
      <c r="I1967" s="1">
        <v>0</v>
      </c>
      <c r="J1967" s="1">
        <v>0</v>
      </c>
      <c r="K1967">
        <v>0</v>
      </c>
      <c r="L1967">
        <v>3.41</v>
      </c>
      <c r="M1967">
        <v>0</v>
      </c>
      <c r="N1967" s="1">
        <v>10000000</v>
      </c>
      <c r="O1967">
        <v>3.67</v>
      </c>
      <c r="P1967">
        <v>4.8499999999999996</v>
      </c>
      <c r="Q1967">
        <v>2.4900000000000002</v>
      </c>
    </row>
    <row r="1968" spans="1:17" x14ac:dyDescent="0.25">
      <c r="A1968">
        <v>730893</v>
      </c>
      <c r="B1968" t="s">
        <v>3280</v>
      </c>
      <c r="C1968">
        <v>0.02</v>
      </c>
      <c r="D1968">
        <v>0</v>
      </c>
      <c r="E1968">
        <v>0.02</v>
      </c>
      <c r="F1968">
        <v>0.02</v>
      </c>
      <c r="G1968">
        <v>0.02</v>
      </c>
      <c r="H1968">
        <v>0.02</v>
      </c>
      <c r="I1968" s="1">
        <v>90000</v>
      </c>
      <c r="J1968" s="1">
        <v>1800</v>
      </c>
      <c r="K1968">
        <v>1</v>
      </c>
      <c r="L1968">
        <v>0.02</v>
      </c>
      <c r="M1968">
        <v>0.03</v>
      </c>
      <c r="N1968" s="1">
        <v>5000000</v>
      </c>
      <c r="O1968">
        <v>0.02</v>
      </c>
      <c r="P1968">
        <v>1.08</v>
      </c>
      <c r="Q1968">
        <v>0.01</v>
      </c>
    </row>
    <row r="1969" spans="1:17" x14ac:dyDescent="0.25">
      <c r="A1969">
        <v>730894</v>
      </c>
      <c r="B1969" t="s">
        <v>3281</v>
      </c>
      <c r="C1969">
        <v>0.21</v>
      </c>
      <c r="D1969">
        <v>-0.03</v>
      </c>
      <c r="E1969">
        <v>0.21</v>
      </c>
      <c r="F1969">
        <v>0.21</v>
      </c>
      <c r="G1969">
        <v>0.21</v>
      </c>
      <c r="H1969">
        <v>0.21</v>
      </c>
      <c r="I1969" s="1">
        <v>40000</v>
      </c>
      <c r="J1969" s="1">
        <v>8400</v>
      </c>
      <c r="K1969">
        <v>4</v>
      </c>
      <c r="L1969">
        <v>0.21</v>
      </c>
      <c r="M1969">
        <v>0.22</v>
      </c>
      <c r="N1969" s="1">
        <v>10000000</v>
      </c>
      <c r="O1969">
        <v>0.21</v>
      </c>
      <c r="P1969">
        <v>1.1200000000000001</v>
      </c>
      <c r="Q1969">
        <v>0.01</v>
      </c>
    </row>
    <row r="1970" spans="1:17" x14ac:dyDescent="0.25">
      <c r="A1970">
        <v>730895</v>
      </c>
      <c r="B1970" t="s">
        <v>3282</v>
      </c>
      <c r="C1970">
        <v>3.85</v>
      </c>
      <c r="D1970">
        <v>0.28999999999999998</v>
      </c>
      <c r="E1970">
        <v>3.95</v>
      </c>
      <c r="F1970">
        <v>4.01</v>
      </c>
      <c r="G1970">
        <v>3.85</v>
      </c>
      <c r="H1970">
        <v>3.92</v>
      </c>
      <c r="I1970" s="1">
        <v>60000</v>
      </c>
      <c r="J1970" s="1">
        <v>234900</v>
      </c>
      <c r="K1970">
        <v>12</v>
      </c>
      <c r="L1970">
        <v>3.74</v>
      </c>
      <c r="M1970">
        <v>3.84</v>
      </c>
      <c r="N1970" s="1">
        <v>10000000</v>
      </c>
      <c r="O1970">
        <v>3.85</v>
      </c>
      <c r="P1970">
        <v>6.4</v>
      </c>
      <c r="Q1970">
        <v>1.29</v>
      </c>
    </row>
    <row r="1971" spans="1:17" x14ac:dyDescent="0.25">
      <c r="A1971">
        <v>730896</v>
      </c>
      <c r="B1971" t="s">
        <v>3283</v>
      </c>
      <c r="C1971" t="s">
        <v>78</v>
      </c>
      <c r="D1971" t="s">
        <v>78</v>
      </c>
      <c r="E1971" t="s">
        <v>78</v>
      </c>
      <c r="F1971" t="s">
        <v>78</v>
      </c>
      <c r="G1971" t="s">
        <v>78</v>
      </c>
      <c r="H1971">
        <v>8.65</v>
      </c>
      <c r="I1971" s="1">
        <v>0</v>
      </c>
      <c r="J1971" s="1">
        <v>0</v>
      </c>
      <c r="K1971">
        <v>0</v>
      </c>
      <c r="L1971">
        <v>7.9</v>
      </c>
      <c r="M1971">
        <v>8.4</v>
      </c>
      <c r="N1971" s="1">
        <v>5000000</v>
      </c>
      <c r="O1971">
        <v>7.9</v>
      </c>
      <c r="P1971">
        <v>9.8000000000000007</v>
      </c>
      <c r="Q1971">
        <v>6</v>
      </c>
    </row>
    <row r="1972" spans="1:17" x14ac:dyDescent="0.25">
      <c r="A1972">
        <v>730897</v>
      </c>
      <c r="B1972" t="s">
        <v>3284</v>
      </c>
      <c r="C1972">
        <v>0.79</v>
      </c>
      <c r="D1972">
        <v>-0.01</v>
      </c>
      <c r="E1972">
        <v>0.79</v>
      </c>
      <c r="F1972">
        <v>0.79</v>
      </c>
      <c r="G1972">
        <v>0.79</v>
      </c>
      <c r="H1972">
        <v>0.79</v>
      </c>
      <c r="I1972" s="1">
        <v>100000</v>
      </c>
      <c r="J1972" s="1">
        <v>79000</v>
      </c>
      <c r="K1972">
        <v>1</v>
      </c>
      <c r="L1972">
        <v>0.75</v>
      </c>
      <c r="M1972">
        <v>0.79</v>
      </c>
      <c r="N1972" s="1">
        <v>5000000</v>
      </c>
      <c r="O1972">
        <v>0.79</v>
      </c>
      <c r="P1972">
        <v>1.84</v>
      </c>
      <c r="Q1972">
        <v>0.01</v>
      </c>
    </row>
    <row r="1973" spans="1:17" x14ac:dyDescent="0.25">
      <c r="A1973">
        <v>730898</v>
      </c>
      <c r="B1973" t="s">
        <v>3285</v>
      </c>
      <c r="C1973">
        <v>0.23</v>
      </c>
      <c r="D1973">
        <v>0.03</v>
      </c>
      <c r="E1973">
        <v>0.26</v>
      </c>
      <c r="F1973">
        <v>0.26</v>
      </c>
      <c r="G1973">
        <v>0.23</v>
      </c>
      <c r="H1973">
        <v>0.25</v>
      </c>
      <c r="I1973" s="1">
        <v>3000</v>
      </c>
      <c r="J1973" s="1">
        <v>750</v>
      </c>
      <c r="K1973">
        <v>2</v>
      </c>
      <c r="L1973">
        <v>0.22</v>
      </c>
      <c r="M1973">
        <v>0.24</v>
      </c>
      <c r="N1973" s="1">
        <v>5000000</v>
      </c>
      <c r="O1973">
        <v>0.23</v>
      </c>
      <c r="P1973">
        <v>0.57999999999999996</v>
      </c>
      <c r="Q1973">
        <v>0.01</v>
      </c>
    </row>
    <row r="1974" spans="1:17" x14ac:dyDescent="0.25">
      <c r="A1974">
        <v>730899</v>
      </c>
      <c r="B1974" t="s">
        <v>3286</v>
      </c>
      <c r="C1974">
        <v>0.2</v>
      </c>
      <c r="D1974">
        <v>0.03</v>
      </c>
      <c r="E1974">
        <v>0.19</v>
      </c>
      <c r="F1974">
        <v>0.2</v>
      </c>
      <c r="G1974">
        <v>0.19</v>
      </c>
      <c r="H1974">
        <v>0.2</v>
      </c>
      <c r="I1974" s="1">
        <v>490000</v>
      </c>
      <c r="J1974" s="1">
        <v>96600</v>
      </c>
      <c r="K1974">
        <v>11</v>
      </c>
      <c r="L1974">
        <v>0.18</v>
      </c>
      <c r="M1974">
        <v>0.2</v>
      </c>
      <c r="N1974" s="1">
        <v>10000000</v>
      </c>
      <c r="O1974">
        <v>0.2</v>
      </c>
      <c r="P1974">
        <v>0.79</v>
      </c>
      <c r="Q1974">
        <v>0.01</v>
      </c>
    </row>
    <row r="1975" spans="1:17" x14ac:dyDescent="0.25">
      <c r="A1975">
        <v>730900</v>
      </c>
      <c r="B1975" t="s">
        <v>3287</v>
      </c>
      <c r="C1975" t="s">
        <v>78</v>
      </c>
      <c r="D1975" t="s">
        <v>78</v>
      </c>
      <c r="E1975" t="s">
        <v>78</v>
      </c>
      <c r="F1975" t="s">
        <v>78</v>
      </c>
      <c r="G1975" t="s">
        <v>78</v>
      </c>
      <c r="H1975">
        <v>8.3000000000000007</v>
      </c>
      <c r="I1975" s="1">
        <v>0</v>
      </c>
      <c r="J1975" s="1">
        <v>0</v>
      </c>
      <c r="K1975">
        <v>0</v>
      </c>
      <c r="L1975">
        <v>10.6</v>
      </c>
      <c r="M1975">
        <v>0</v>
      </c>
      <c r="N1975" s="1">
        <v>5000000</v>
      </c>
      <c r="O1975">
        <v>10.6</v>
      </c>
      <c r="P1975">
        <v>12.7</v>
      </c>
      <c r="Q1975">
        <v>8.4</v>
      </c>
    </row>
    <row r="1976" spans="1:17" x14ac:dyDescent="0.25">
      <c r="A1976">
        <v>730901</v>
      </c>
      <c r="B1976" t="s">
        <v>3288</v>
      </c>
      <c r="C1976">
        <v>0.02</v>
      </c>
      <c r="D1976">
        <v>-0.01</v>
      </c>
      <c r="E1976">
        <v>0.02</v>
      </c>
      <c r="F1976">
        <v>0.02</v>
      </c>
      <c r="G1976">
        <v>0.02</v>
      </c>
      <c r="H1976">
        <v>0.02</v>
      </c>
      <c r="I1976" s="1">
        <v>3000</v>
      </c>
      <c r="J1976" s="1">
        <v>60</v>
      </c>
      <c r="K1976">
        <v>1</v>
      </c>
      <c r="L1976">
        <v>0.02</v>
      </c>
      <c r="M1976">
        <v>0.03</v>
      </c>
      <c r="N1976" s="1">
        <v>5000000</v>
      </c>
      <c r="O1976">
        <v>0.02</v>
      </c>
      <c r="P1976">
        <v>0.87</v>
      </c>
      <c r="Q1976">
        <v>0.01</v>
      </c>
    </row>
    <row r="1977" spans="1:17" x14ac:dyDescent="0.25">
      <c r="A1977">
        <v>730902</v>
      </c>
      <c r="B1977" t="s">
        <v>3289</v>
      </c>
      <c r="C1977" t="s">
        <v>78</v>
      </c>
      <c r="D1977" t="s">
        <v>78</v>
      </c>
      <c r="E1977" t="s">
        <v>78</v>
      </c>
      <c r="F1977" t="s">
        <v>78</v>
      </c>
      <c r="G1977" t="s">
        <v>78</v>
      </c>
      <c r="H1977">
        <v>0.03</v>
      </c>
      <c r="I1977" s="1">
        <v>0</v>
      </c>
      <c r="J1977" s="1">
        <v>0</v>
      </c>
      <c r="K1977">
        <v>0</v>
      </c>
      <c r="L1977">
        <v>0</v>
      </c>
      <c r="M1977">
        <v>0.02</v>
      </c>
      <c r="N1977" s="1">
        <v>5000000</v>
      </c>
      <c r="O1977">
        <v>0.02</v>
      </c>
      <c r="P1977">
        <v>1.02</v>
      </c>
      <c r="Q1977">
        <v>0.01</v>
      </c>
    </row>
    <row r="1978" spans="1:17" x14ac:dyDescent="0.25">
      <c r="A1978">
        <v>730903</v>
      </c>
      <c r="B1978" t="s">
        <v>3290</v>
      </c>
      <c r="C1978" t="s">
        <v>78</v>
      </c>
      <c r="D1978" t="s">
        <v>78</v>
      </c>
      <c r="E1978" t="s">
        <v>78</v>
      </c>
      <c r="F1978" t="s">
        <v>78</v>
      </c>
      <c r="G1978" t="s">
        <v>78</v>
      </c>
      <c r="H1978">
        <v>0.02</v>
      </c>
      <c r="I1978" s="1">
        <v>0</v>
      </c>
      <c r="J1978" s="1">
        <v>0</v>
      </c>
      <c r="K1978">
        <v>0</v>
      </c>
      <c r="L1978">
        <v>0</v>
      </c>
      <c r="M1978">
        <v>0.01</v>
      </c>
      <c r="N1978" s="1">
        <v>5000000</v>
      </c>
      <c r="O1978">
        <v>0.01</v>
      </c>
      <c r="P1978">
        <v>1.31</v>
      </c>
      <c r="Q1978">
        <v>0.01</v>
      </c>
    </row>
    <row r="1979" spans="1:17" x14ac:dyDescent="0.25">
      <c r="A1979">
        <v>730904</v>
      </c>
      <c r="B1979" t="s">
        <v>3291</v>
      </c>
      <c r="C1979">
        <v>0.52</v>
      </c>
      <c r="D1979">
        <v>-0.06</v>
      </c>
      <c r="E1979">
        <v>0.59</v>
      </c>
      <c r="F1979">
        <v>0.65</v>
      </c>
      <c r="G1979">
        <v>0.52</v>
      </c>
      <c r="H1979">
        <v>0.62</v>
      </c>
      <c r="I1979" s="1">
        <v>590000</v>
      </c>
      <c r="J1979" s="1">
        <v>366800</v>
      </c>
      <c r="K1979">
        <v>7</v>
      </c>
      <c r="L1979">
        <v>0.54</v>
      </c>
      <c r="M1979">
        <v>0.62</v>
      </c>
      <c r="N1979" s="1">
        <v>5000000</v>
      </c>
      <c r="O1979">
        <v>0.52</v>
      </c>
      <c r="P1979">
        <v>1.34</v>
      </c>
      <c r="Q1979">
        <v>0.01</v>
      </c>
    </row>
    <row r="1980" spans="1:17" x14ac:dyDescent="0.25">
      <c r="A1980">
        <v>730905</v>
      </c>
      <c r="B1980" t="s">
        <v>3292</v>
      </c>
      <c r="C1980">
        <v>0.6</v>
      </c>
      <c r="D1980">
        <v>-0.01</v>
      </c>
      <c r="E1980">
        <v>0.6</v>
      </c>
      <c r="F1980">
        <v>0.6</v>
      </c>
      <c r="G1980">
        <v>0.6</v>
      </c>
      <c r="H1980">
        <v>0.6</v>
      </c>
      <c r="I1980" s="1">
        <v>10000</v>
      </c>
      <c r="J1980" s="1">
        <v>6000</v>
      </c>
      <c r="K1980">
        <v>1</v>
      </c>
      <c r="L1980">
        <v>0.6</v>
      </c>
      <c r="M1980">
        <v>0.62</v>
      </c>
      <c r="N1980" s="1">
        <v>10000000</v>
      </c>
      <c r="O1980">
        <v>0.6</v>
      </c>
      <c r="P1980">
        <v>1.34</v>
      </c>
      <c r="Q1980">
        <v>0.01</v>
      </c>
    </row>
    <row r="1981" spans="1:17" x14ac:dyDescent="0.25">
      <c r="A1981">
        <v>730906</v>
      </c>
      <c r="B1981" t="s">
        <v>3293</v>
      </c>
      <c r="C1981" t="s">
        <v>78</v>
      </c>
      <c r="D1981" t="s">
        <v>78</v>
      </c>
      <c r="E1981" t="s">
        <v>78</v>
      </c>
      <c r="F1981" t="s">
        <v>78</v>
      </c>
      <c r="G1981" t="s">
        <v>78</v>
      </c>
      <c r="H1981">
        <v>2.4</v>
      </c>
      <c r="I1981" s="1">
        <v>0</v>
      </c>
      <c r="J1981" s="1">
        <v>0</v>
      </c>
      <c r="K1981">
        <v>0</v>
      </c>
      <c r="L1981">
        <v>2.08</v>
      </c>
      <c r="M1981">
        <v>2.1800000000000002</v>
      </c>
      <c r="N1981" s="1">
        <v>5000000</v>
      </c>
      <c r="O1981">
        <v>2.17</v>
      </c>
      <c r="P1981">
        <v>3.75</v>
      </c>
      <c r="Q1981">
        <v>0.53</v>
      </c>
    </row>
    <row r="1982" spans="1:17" x14ac:dyDescent="0.25">
      <c r="A1982">
        <v>730907</v>
      </c>
      <c r="B1982" t="s">
        <v>3294</v>
      </c>
      <c r="C1982" t="s">
        <v>78</v>
      </c>
      <c r="D1982" t="s">
        <v>78</v>
      </c>
      <c r="E1982" t="s">
        <v>78</v>
      </c>
      <c r="F1982" t="s">
        <v>78</v>
      </c>
      <c r="G1982" t="s">
        <v>78</v>
      </c>
      <c r="H1982">
        <v>0.14000000000000001</v>
      </c>
      <c r="I1982" s="1">
        <v>0</v>
      </c>
      <c r="J1982" s="1">
        <v>0</v>
      </c>
      <c r="K1982">
        <v>0</v>
      </c>
      <c r="L1982">
        <v>0.14000000000000001</v>
      </c>
      <c r="M1982">
        <v>0.15</v>
      </c>
      <c r="N1982" s="1">
        <v>10000000</v>
      </c>
      <c r="O1982">
        <v>0.15</v>
      </c>
      <c r="P1982">
        <v>1.59</v>
      </c>
      <c r="Q1982">
        <v>0.01</v>
      </c>
    </row>
    <row r="1983" spans="1:17" x14ac:dyDescent="0.25">
      <c r="A1983">
        <v>730908</v>
      </c>
      <c r="B1983" t="s">
        <v>3295</v>
      </c>
      <c r="C1983">
        <v>0.05</v>
      </c>
      <c r="D1983">
        <v>-0.01</v>
      </c>
      <c r="E1983">
        <v>0.05</v>
      </c>
      <c r="F1983">
        <v>0.05</v>
      </c>
      <c r="G1983">
        <v>0.05</v>
      </c>
      <c r="H1983">
        <v>0.05</v>
      </c>
      <c r="I1983" s="1">
        <v>50000</v>
      </c>
      <c r="J1983" s="1">
        <v>2500</v>
      </c>
      <c r="K1983">
        <v>1</v>
      </c>
      <c r="L1983">
        <v>0.05</v>
      </c>
      <c r="M1983">
        <v>7.0000000000000007E-2</v>
      </c>
      <c r="N1983" s="1">
        <v>5000000</v>
      </c>
      <c r="O1983">
        <v>0.05</v>
      </c>
      <c r="P1983">
        <v>0.96</v>
      </c>
      <c r="Q1983">
        <v>0.01</v>
      </c>
    </row>
    <row r="1984" spans="1:17" x14ac:dyDescent="0.25">
      <c r="A1984">
        <v>730909</v>
      </c>
      <c r="B1984" t="s">
        <v>3296</v>
      </c>
      <c r="C1984" t="s">
        <v>78</v>
      </c>
      <c r="D1984" t="s">
        <v>78</v>
      </c>
      <c r="E1984" t="s">
        <v>78</v>
      </c>
      <c r="F1984" t="s">
        <v>78</v>
      </c>
      <c r="G1984" t="s">
        <v>78</v>
      </c>
      <c r="H1984">
        <v>0.01</v>
      </c>
      <c r="I1984" s="1">
        <v>0</v>
      </c>
      <c r="J1984" s="1">
        <v>0</v>
      </c>
      <c r="K1984">
        <v>0</v>
      </c>
      <c r="L1984">
        <v>0</v>
      </c>
      <c r="M1984">
        <v>0.01</v>
      </c>
      <c r="N1984" s="1">
        <v>10000000</v>
      </c>
      <c r="O1984">
        <v>0.01</v>
      </c>
      <c r="P1984">
        <v>1.58</v>
      </c>
      <c r="Q1984">
        <v>0.01</v>
      </c>
    </row>
    <row r="1985" spans="1:17" x14ac:dyDescent="0.25">
      <c r="A1985">
        <v>730910</v>
      </c>
      <c r="B1985" t="s">
        <v>3297</v>
      </c>
      <c r="C1985" t="s">
        <v>78</v>
      </c>
      <c r="D1985" t="s">
        <v>78</v>
      </c>
      <c r="E1985" t="s">
        <v>78</v>
      </c>
      <c r="F1985" t="s">
        <v>78</v>
      </c>
      <c r="G1985" t="s">
        <v>78</v>
      </c>
      <c r="H1985">
        <v>0.1</v>
      </c>
      <c r="I1985" s="1">
        <v>0</v>
      </c>
      <c r="J1985" s="1">
        <v>0</v>
      </c>
      <c r="K1985">
        <v>0</v>
      </c>
      <c r="L1985">
        <v>0.06</v>
      </c>
      <c r="M1985">
        <v>7.0000000000000007E-2</v>
      </c>
      <c r="N1985" s="1">
        <v>10000000</v>
      </c>
      <c r="O1985">
        <v>0.06</v>
      </c>
      <c r="P1985">
        <v>0.87</v>
      </c>
      <c r="Q1985">
        <v>0.01</v>
      </c>
    </row>
    <row r="1986" spans="1:17" x14ac:dyDescent="0.25">
      <c r="A1986">
        <v>730911</v>
      </c>
      <c r="B1986" t="s">
        <v>3298</v>
      </c>
      <c r="C1986" t="s">
        <v>78</v>
      </c>
      <c r="D1986" t="s">
        <v>78</v>
      </c>
      <c r="E1986" t="s">
        <v>78</v>
      </c>
      <c r="F1986" t="s">
        <v>78</v>
      </c>
      <c r="G1986" t="s">
        <v>78</v>
      </c>
      <c r="H1986">
        <v>0.16</v>
      </c>
      <c r="I1986" s="1">
        <v>0</v>
      </c>
      <c r="J1986" s="1">
        <v>0</v>
      </c>
      <c r="K1986">
        <v>0</v>
      </c>
      <c r="L1986">
        <v>0.04</v>
      </c>
      <c r="M1986">
        <v>0.05</v>
      </c>
      <c r="N1986" s="1">
        <v>10000000</v>
      </c>
      <c r="O1986">
        <v>0.04</v>
      </c>
      <c r="P1986">
        <v>0.57999999999999996</v>
      </c>
      <c r="Q1986">
        <v>0.01</v>
      </c>
    </row>
    <row r="1987" spans="1:17" x14ac:dyDescent="0.25">
      <c r="A1987">
        <v>730912</v>
      </c>
      <c r="B1987" t="s">
        <v>3299</v>
      </c>
      <c r="C1987" t="s">
        <v>78</v>
      </c>
      <c r="D1987" t="s">
        <v>78</v>
      </c>
      <c r="E1987" t="s">
        <v>78</v>
      </c>
      <c r="F1987" t="s">
        <v>78</v>
      </c>
      <c r="G1987" t="s">
        <v>78</v>
      </c>
      <c r="H1987">
        <v>0.12</v>
      </c>
      <c r="I1987" s="1">
        <v>0</v>
      </c>
      <c r="J1987" s="1">
        <v>0</v>
      </c>
      <c r="K1987">
        <v>0</v>
      </c>
      <c r="L1987">
        <v>0.14000000000000001</v>
      </c>
      <c r="M1987">
        <v>0.15</v>
      </c>
      <c r="N1987" s="1">
        <v>10000000</v>
      </c>
      <c r="O1987">
        <v>0.14000000000000001</v>
      </c>
      <c r="P1987">
        <v>2.61</v>
      </c>
      <c r="Q1987">
        <v>0.01</v>
      </c>
    </row>
    <row r="1988" spans="1:17" x14ac:dyDescent="0.25">
      <c r="A1988">
        <v>730913</v>
      </c>
      <c r="B1988" t="s">
        <v>3300</v>
      </c>
      <c r="C1988">
        <v>1.36</v>
      </c>
      <c r="D1988">
        <v>-0.14000000000000001</v>
      </c>
      <c r="E1988">
        <v>1.37</v>
      </c>
      <c r="F1988">
        <v>1.37</v>
      </c>
      <c r="G1988">
        <v>1.36</v>
      </c>
      <c r="H1988">
        <v>1.37</v>
      </c>
      <c r="I1988" s="1">
        <v>80000</v>
      </c>
      <c r="J1988" s="1">
        <v>109300</v>
      </c>
      <c r="K1988">
        <v>2</v>
      </c>
      <c r="L1988">
        <v>1.37</v>
      </c>
      <c r="M1988">
        <v>1.46</v>
      </c>
      <c r="N1988" s="1">
        <v>10000000</v>
      </c>
      <c r="O1988">
        <v>1.36</v>
      </c>
      <c r="P1988">
        <v>3.73</v>
      </c>
      <c r="Q1988">
        <v>0.01</v>
      </c>
    </row>
    <row r="1989" spans="1:17" x14ac:dyDescent="0.25">
      <c r="A1989">
        <v>730914</v>
      </c>
      <c r="B1989" t="s">
        <v>3301</v>
      </c>
      <c r="C1989" t="s">
        <v>78</v>
      </c>
      <c r="D1989" t="s">
        <v>78</v>
      </c>
      <c r="E1989" t="s">
        <v>78</v>
      </c>
      <c r="F1989" t="s">
        <v>78</v>
      </c>
      <c r="G1989" t="s">
        <v>78</v>
      </c>
      <c r="H1989">
        <v>0.75</v>
      </c>
      <c r="I1989" s="1">
        <v>0</v>
      </c>
      <c r="J1989" s="1">
        <v>0</v>
      </c>
      <c r="K1989">
        <v>0</v>
      </c>
      <c r="L1989">
        <v>0.95</v>
      </c>
      <c r="M1989">
        <v>1.01</v>
      </c>
      <c r="N1989" s="1">
        <v>5000000</v>
      </c>
      <c r="O1989">
        <v>0.95</v>
      </c>
      <c r="P1989">
        <v>2.98</v>
      </c>
      <c r="Q1989">
        <v>0.01</v>
      </c>
    </row>
    <row r="1990" spans="1:17" x14ac:dyDescent="0.25">
      <c r="A1990">
        <v>730915</v>
      </c>
      <c r="B1990" t="s">
        <v>3302</v>
      </c>
      <c r="C1990">
        <v>0.15</v>
      </c>
      <c r="D1990">
        <v>0.03</v>
      </c>
      <c r="E1990">
        <v>0.15</v>
      </c>
      <c r="F1990">
        <v>0.15</v>
      </c>
      <c r="G1990">
        <v>0.15</v>
      </c>
      <c r="H1990">
        <v>0.15</v>
      </c>
      <c r="I1990" s="1">
        <v>10000</v>
      </c>
      <c r="J1990" s="1">
        <v>1500</v>
      </c>
      <c r="K1990">
        <v>1</v>
      </c>
      <c r="L1990">
        <v>0.15</v>
      </c>
      <c r="M1990">
        <v>0.16</v>
      </c>
      <c r="N1990" s="1">
        <v>5000000</v>
      </c>
      <c r="O1990">
        <v>0.15</v>
      </c>
      <c r="P1990">
        <v>0.66</v>
      </c>
      <c r="Q1990">
        <v>0.01</v>
      </c>
    </row>
    <row r="1991" spans="1:17" x14ac:dyDescent="0.25">
      <c r="A1991">
        <v>730916</v>
      </c>
      <c r="B1991" t="s">
        <v>3303</v>
      </c>
      <c r="C1991" t="s">
        <v>78</v>
      </c>
      <c r="D1991" t="s">
        <v>78</v>
      </c>
      <c r="E1991" t="s">
        <v>78</v>
      </c>
      <c r="F1991" t="s">
        <v>78</v>
      </c>
      <c r="G1991" t="s">
        <v>78</v>
      </c>
      <c r="H1991">
        <v>3.68</v>
      </c>
      <c r="I1991" s="1">
        <v>0</v>
      </c>
      <c r="J1991" s="1">
        <v>0</v>
      </c>
      <c r="K1991">
        <v>0</v>
      </c>
      <c r="L1991">
        <v>3.98</v>
      </c>
      <c r="M1991">
        <v>4.08</v>
      </c>
      <c r="N1991" s="1">
        <v>10000000</v>
      </c>
      <c r="O1991">
        <v>3.98</v>
      </c>
      <c r="P1991">
        <v>5.4</v>
      </c>
      <c r="Q1991">
        <v>2.56</v>
      </c>
    </row>
    <row r="1992" spans="1:17" x14ac:dyDescent="0.25">
      <c r="A1992">
        <v>730917</v>
      </c>
      <c r="B1992" t="s">
        <v>3304</v>
      </c>
      <c r="C1992" t="s">
        <v>78</v>
      </c>
      <c r="D1992" t="s">
        <v>78</v>
      </c>
      <c r="E1992" t="s">
        <v>78</v>
      </c>
      <c r="F1992" t="s">
        <v>78</v>
      </c>
      <c r="G1992" t="s">
        <v>78</v>
      </c>
      <c r="H1992">
        <v>0.56000000000000005</v>
      </c>
      <c r="I1992" s="1">
        <v>0</v>
      </c>
      <c r="J1992" s="1">
        <v>0</v>
      </c>
      <c r="K1992">
        <v>0</v>
      </c>
      <c r="L1992">
        <v>0.56999999999999995</v>
      </c>
      <c r="M1992">
        <v>0.61</v>
      </c>
      <c r="N1992" s="1">
        <v>5000000</v>
      </c>
      <c r="O1992">
        <v>0.56999999999999995</v>
      </c>
      <c r="P1992">
        <v>1.44</v>
      </c>
      <c r="Q1992">
        <v>0.01</v>
      </c>
    </row>
    <row r="1993" spans="1:17" x14ac:dyDescent="0.25">
      <c r="A1993">
        <v>730918</v>
      </c>
      <c r="B1993" t="s">
        <v>3305</v>
      </c>
      <c r="C1993" t="s">
        <v>78</v>
      </c>
      <c r="D1993" t="s">
        <v>78</v>
      </c>
      <c r="E1993" t="s">
        <v>78</v>
      </c>
      <c r="F1993" t="s">
        <v>78</v>
      </c>
      <c r="G1993" t="s">
        <v>78</v>
      </c>
      <c r="H1993">
        <v>1.45</v>
      </c>
      <c r="I1993" s="1">
        <v>0</v>
      </c>
      <c r="J1993" s="1">
        <v>0</v>
      </c>
      <c r="K1993">
        <v>0</v>
      </c>
      <c r="L1993">
        <v>1.66</v>
      </c>
      <c r="M1993">
        <v>1.76</v>
      </c>
      <c r="N1993" s="1">
        <v>5000000</v>
      </c>
      <c r="O1993">
        <v>1.76</v>
      </c>
      <c r="P1993">
        <v>2.86</v>
      </c>
      <c r="Q1993">
        <v>0.66</v>
      </c>
    </row>
    <row r="1994" spans="1:17" x14ac:dyDescent="0.25">
      <c r="A1994">
        <v>730919</v>
      </c>
      <c r="B1994" t="s">
        <v>3306</v>
      </c>
      <c r="C1994">
        <v>3.18</v>
      </c>
      <c r="D1994">
        <v>0.13</v>
      </c>
      <c r="E1994">
        <v>3.18</v>
      </c>
      <c r="F1994">
        <v>3.18</v>
      </c>
      <c r="G1994">
        <v>3.18</v>
      </c>
      <c r="H1994">
        <v>3.18</v>
      </c>
      <c r="I1994" s="1">
        <v>1000</v>
      </c>
      <c r="J1994" s="1">
        <v>3180</v>
      </c>
      <c r="K1994">
        <v>1</v>
      </c>
      <c r="L1994">
        <v>3.03</v>
      </c>
      <c r="M1994">
        <v>3.13</v>
      </c>
      <c r="N1994" s="1">
        <v>5000000</v>
      </c>
      <c r="O1994">
        <v>3.18</v>
      </c>
      <c r="P1994">
        <v>4.3</v>
      </c>
      <c r="Q1994">
        <v>2.06</v>
      </c>
    </row>
    <row r="1995" spans="1:17" x14ac:dyDescent="0.25">
      <c r="A1995">
        <v>730920</v>
      </c>
      <c r="B1995" t="s">
        <v>3307</v>
      </c>
      <c r="C1995">
        <v>2.93</v>
      </c>
      <c r="D1995">
        <v>-0.02</v>
      </c>
      <c r="E1995">
        <v>3.15</v>
      </c>
      <c r="F1995">
        <v>3.15</v>
      </c>
      <c r="G1995">
        <v>2.93</v>
      </c>
      <c r="H1995">
        <v>3.14</v>
      </c>
      <c r="I1995" s="1">
        <v>32000</v>
      </c>
      <c r="J1995" s="1">
        <v>100360</v>
      </c>
      <c r="K1995">
        <v>2</v>
      </c>
      <c r="L1995">
        <v>2.93</v>
      </c>
      <c r="M1995">
        <v>3</v>
      </c>
      <c r="N1995" s="1">
        <v>5000000</v>
      </c>
      <c r="O1995">
        <v>2.93</v>
      </c>
      <c r="P1995">
        <v>4.1900000000000004</v>
      </c>
      <c r="Q1995">
        <v>1.67</v>
      </c>
    </row>
    <row r="1996" spans="1:17" x14ac:dyDescent="0.25">
      <c r="A1996">
        <v>730921</v>
      </c>
      <c r="B1996" t="s">
        <v>3308</v>
      </c>
      <c r="C1996" t="s">
        <v>78</v>
      </c>
      <c r="D1996" t="s">
        <v>78</v>
      </c>
      <c r="E1996" t="s">
        <v>78</v>
      </c>
      <c r="F1996" t="s">
        <v>78</v>
      </c>
      <c r="G1996" t="s">
        <v>78</v>
      </c>
      <c r="H1996">
        <v>0.19</v>
      </c>
      <c r="I1996" s="1">
        <v>0</v>
      </c>
      <c r="J1996" s="1">
        <v>0</v>
      </c>
      <c r="K1996">
        <v>0</v>
      </c>
      <c r="L1996">
        <v>0.2</v>
      </c>
      <c r="M1996">
        <v>0.21</v>
      </c>
      <c r="N1996" s="1">
        <v>10000000</v>
      </c>
      <c r="O1996">
        <v>0.2</v>
      </c>
      <c r="P1996">
        <v>0.87</v>
      </c>
      <c r="Q1996">
        <v>0.01</v>
      </c>
    </row>
    <row r="1997" spans="1:17" x14ac:dyDescent="0.25">
      <c r="A1997">
        <v>730922</v>
      </c>
      <c r="B1997" t="s">
        <v>3309</v>
      </c>
      <c r="C1997" t="s">
        <v>78</v>
      </c>
      <c r="D1997" t="s">
        <v>78</v>
      </c>
      <c r="E1997" t="s">
        <v>78</v>
      </c>
      <c r="F1997" t="s">
        <v>78</v>
      </c>
      <c r="G1997" t="s">
        <v>78</v>
      </c>
      <c r="H1997">
        <v>0.1</v>
      </c>
      <c r="I1997" s="1">
        <v>0</v>
      </c>
      <c r="J1997" s="1">
        <v>0</v>
      </c>
      <c r="K1997">
        <v>0</v>
      </c>
      <c r="L1997">
        <v>0.02</v>
      </c>
      <c r="M1997">
        <v>0.03</v>
      </c>
      <c r="N1997" s="1">
        <v>5000000</v>
      </c>
      <c r="O1997">
        <v>0.03</v>
      </c>
      <c r="P1997">
        <v>0.45</v>
      </c>
      <c r="Q1997">
        <v>0.01</v>
      </c>
    </row>
    <row r="1998" spans="1:17" x14ac:dyDescent="0.25">
      <c r="A1998">
        <v>730923</v>
      </c>
      <c r="B1998" t="s">
        <v>3310</v>
      </c>
      <c r="C1998">
        <v>0.39</v>
      </c>
      <c r="D1998">
        <v>0.02</v>
      </c>
      <c r="E1998">
        <v>0.39</v>
      </c>
      <c r="F1998">
        <v>0.39</v>
      </c>
      <c r="G1998">
        <v>0.39</v>
      </c>
      <c r="H1998">
        <v>0.39</v>
      </c>
      <c r="I1998" s="1">
        <v>22000</v>
      </c>
      <c r="J1998" s="1">
        <v>8580</v>
      </c>
      <c r="K1998">
        <v>1</v>
      </c>
      <c r="L1998">
        <v>0.35</v>
      </c>
      <c r="M1998">
        <v>0.36</v>
      </c>
      <c r="N1998" s="1">
        <v>5000000</v>
      </c>
      <c r="O1998">
        <v>0.39</v>
      </c>
      <c r="P1998">
        <v>1.2</v>
      </c>
      <c r="Q1998">
        <v>0.01</v>
      </c>
    </row>
    <row r="1999" spans="1:17" x14ac:dyDescent="0.25">
      <c r="A1999">
        <v>730924</v>
      </c>
      <c r="B1999" t="s">
        <v>3311</v>
      </c>
      <c r="C1999" t="s">
        <v>78</v>
      </c>
      <c r="D1999" t="s">
        <v>78</v>
      </c>
      <c r="E1999" t="s">
        <v>78</v>
      </c>
      <c r="F1999" t="s">
        <v>78</v>
      </c>
      <c r="G1999" t="s">
        <v>78</v>
      </c>
      <c r="H1999">
        <v>0.01</v>
      </c>
      <c r="I1999" s="1">
        <v>0</v>
      </c>
      <c r="J1999" s="1">
        <v>0</v>
      </c>
      <c r="K1999">
        <v>0</v>
      </c>
      <c r="L1999">
        <v>0</v>
      </c>
      <c r="M1999">
        <v>0.01</v>
      </c>
      <c r="N1999" s="1">
        <v>10000000</v>
      </c>
      <c r="O1999">
        <v>0.01</v>
      </c>
      <c r="P1999">
        <v>0.7</v>
      </c>
      <c r="Q1999">
        <v>0.01</v>
      </c>
    </row>
    <row r="2000" spans="1:17" x14ac:dyDescent="0.25">
      <c r="A2000">
        <v>730925</v>
      </c>
      <c r="B2000" t="s">
        <v>3312</v>
      </c>
      <c r="C2000">
        <v>0.05</v>
      </c>
      <c r="D2000">
        <v>0</v>
      </c>
      <c r="E2000">
        <v>0.05</v>
      </c>
      <c r="F2000">
        <v>0.05</v>
      </c>
      <c r="G2000">
        <v>0.05</v>
      </c>
      <c r="H2000">
        <v>0.05</v>
      </c>
      <c r="I2000" s="1">
        <v>60000</v>
      </c>
      <c r="J2000" s="1">
        <v>3000</v>
      </c>
      <c r="K2000">
        <v>2</v>
      </c>
      <c r="L2000">
        <v>0.04</v>
      </c>
      <c r="M2000">
        <v>0.05</v>
      </c>
      <c r="N2000" s="1">
        <v>5067000</v>
      </c>
      <c r="O2000">
        <v>0.05</v>
      </c>
      <c r="P2000">
        <v>0.53</v>
      </c>
      <c r="Q2000">
        <v>0.01</v>
      </c>
    </row>
    <row r="2001" spans="1:17" x14ac:dyDescent="0.25">
      <c r="A2001">
        <v>730926</v>
      </c>
      <c r="B2001" t="s">
        <v>3313</v>
      </c>
      <c r="C2001" t="s">
        <v>78</v>
      </c>
      <c r="D2001" t="s">
        <v>78</v>
      </c>
      <c r="E2001" t="s">
        <v>78</v>
      </c>
      <c r="F2001" t="s">
        <v>78</v>
      </c>
      <c r="G2001" t="s">
        <v>78</v>
      </c>
      <c r="H2001">
        <v>0.11</v>
      </c>
      <c r="I2001" s="1">
        <v>0</v>
      </c>
      <c r="J2001" s="1">
        <v>0</v>
      </c>
      <c r="K2001">
        <v>0</v>
      </c>
      <c r="L2001">
        <v>0.03</v>
      </c>
      <c r="M2001">
        <v>0.04</v>
      </c>
      <c r="N2001" s="1">
        <v>10000000</v>
      </c>
      <c r="O2001">
        <v>0.04</v>
      </c>
      <c r="P2001">
        <v>0.67</v>
      </c>
      <c r="Q2001">
        <v>0.01</v>
      </c>
    </row>
    <row r="2002" spans="1:17" x14ac:dyDescent="0.25">
      <c r="A2002">
        <v>730927</v>
      </c>
      <c r="B2002" t="s">
        <v>3314</v>
      </c>
      <c r="C2002">
        <v>0.34</v>
      </c>
      <c r="D2002">
        <v>-0.01</v>
      </c>
      <c r="E2002">
        <v>0.36</v>
      </c>
      <c r="F2002">
        <v>0.36</v>
      </c>
      <c r="G2002">
        <v>0.33</v>
      </c>
      <c r="H2002">
        <v>0.35</v>
      </c>
      <c r="I2002" s="1">
        <v>370000</v>
      </c>
      <c r="J2002" s="1">
        <v>127850</v>
      </c>
      <c r="K2002">
        <v>11</v>
      </c>
      <c r="L2002">
        <v>0.34</v>
      </c>
      <c r="M2002">
        <v>0.35</v>
      </c>
      <c r="N2002" s="1">
        <v>10000000</v>
      </c>
      <c r="O2002">
        <v>0.34</v>
      </c>
      <c r="P2002">
        <v>1.1599999999999999</v>
      </c>
      <c r="Q2002">
        <v>0.01</v>
      </c>
    </row>
    <row r="2003" spans="1:17" x14ac:dyDescent="0.25">
      <c r="A2003">
        <v>730928</v>
      </c>
      <c r="B2003" t="s">
        <v>3315</v>
      </c>
      <c r="C2003" t="s">
        <v>78</v>
      </c>
      <c r="D2003" t="s">
        <v>78</v>
      </c>
      <c r="E2003" t="s">
        <v>78</v>
      </c>
      <c r="F2003" t="s">
        <v>78</v>
      </c>
      <c r="G2003" t="s">
        <v>78</v>
      </c>
      <c r="H2003">
        <v>2.88</v>
      </c>
      <c r="I2003" s="1">
        <v>0</v>
      </c>
      <c r="J2003" s="1">
        <v>0</v>
      </c>
      <c r="K2003">
        <v>0</v>
      </c>
      <c r="L2003">
        <v>0</v>
      </c>
      <c r="M2003">
        <v>0</v>
      </c>
      <c r="N2003" s="1">
        <v>5000000</v>
      </c>
      <c r="O2003">
        <v>2.82</v>
      </c>
      <c r="P2003">
        <v>3.64</v>
      </c>
      <c r="Q2003">
        <v>2</v>
      </c>
    </row>
    <row r="2004" spans="1:17" x14ac:dyDescent="0.25">
      <c r="A2004">
        <v>730929</v>
      </c>
      <c r="B2004" t="s">
        <v>3316</v>
      </c>
      <c r="C2004">
        <v>0.3</v>
      </c>
      <c r="D2004">
        <v>0.2</v>
      </c>
      <c r="E2004">
        <v>0.3</v>
      </c>
      <c r="F2004">
        <v>0.3</v>
      </c>
      <c r="G2004">
        <v>0.3</v>
      </c>
      <c r="H2004">
        <v>0.3</v>
      </c>
      <c r="I2004" s="1">
        <v>10000</v>
      </c>
      <c r="J2004" s="1">
        <v>3000</v>
      </c>
      <c r="K2004">
        <v>1</v>
      </c>
      <c r="L2004">
        <v>0</v>
      </c>
      <c r="M2004">
        <v>0.5</v>
      </c>
      <c r="N2004" s="1">
        <v>5000000</v>
      </c>
      <c r="O2004">
        <v>0.3</v>
      </c>
      <c r="P2004">
        <v>1.99</v>
      </c>
      <c r="Q2004">
        <v>0.01</v>
      </c>
    </row>
    <row r="2005" spans="1:17" x14ac:dyDescent="0.25">
      <c r="A2005">
        <v>730930</v>
      </c>
      <c r="B2005" t="s">
        <v>3317</v>
      </c>
      <c r="C2005" t="s">
        <v>78</v>
      </c>
      <c r="D2005" t="s">
        <v>78</v>
      </c>
      <c r="E2005" t="s">
        <v>78</v>
      </c>
      <c r="F2005" t="s">
        <v>78</v>
      </c>
      <c r="G2005" t="s">
        <v>78</v>
      </c>
      <c r="H2005">
        <v>4.0199999999999996</v>
      </c>
      <c r="I2005" s="1">
        <v>0</v>
      </c>
      <c r="J2005" s="1">
        <v>0</v>
      </c>
      <c r="K2005">
        <v>0</v>
      </c>
      <c r="L2005">
        <v>3.84</v>
      </c>
      <c r="M2005">
        <v>3.94</v>
      </c>
      <c r="N2005" s="1">
        <v>5000000</v>
      </c>
      <c r="O2005">
        <v>3.94</v>
      </c>
      <c r="P2005">
        <v>5.45</v>
      </c>
      <c r="Q2005">
        <v>2.4</v>
      </c>
    </row>
    <row r="2006" spans="1:17" x14ac:dyDescent="0.25">
      <c r="A2006">
        <v>730931</v>
      </c>
      <c r="B2006" t="s">
        <v>3318</v>
      </c>
      <c r="C2006" t="s">
        <v>78</v>
      </c>
      <c r="D2006" t="s">
        <v>78</v>
      </c>
      <c r="E2006" t="s">
        <v>78</v>
      </c>
      <c r="F2006" t="s">
        <v>78</v>
      </c>
      <c r="G2006" t="s">
        <v>78</v>
      </c>
      <c r="H2006">
        <v>0.05</v>
      </c>
      <c r="I2006" s="1">
        <v>0</v>
      </c>
      <c r="J2006" s="1">
        <v>0</v>
      </c>
      <c r="K2006">
        <v>0</v>
      </c>
      <c r="L2006">
        <v>0.02</v>
      </c>
      <c r="M2006">
        <v>0.05</v>
      </c>
      <c r="N2006" s="1">
        <v>10000000</v>
      </c>
      <c r="O2006">
        <v>0.05</v>
      </c>
      <c r="P2006">
        <v>0.53</v>
      </c>
      <c r="Q2006">
        <v>0.01</v>
      </c>
    </row>
    <row r="2007" spans="1:17" x14ac:dyDescent="0.25">
      <c r="A2007">
        <v>730932</v>
      </c>
      <c r="B2007" t="s">
        <v>3319</v>
      </c>
      <c r="C2007" t="s">
        <v>78</v>
      </c>
      <c r="D2007" t="s">
        <v>78</v>
      </c>
      <c r="E2007" t="s">
        <v>78</v>
      </c>
      <c r="F2007" t="s">
        <v>78</v>
      </c>
      <c r="G2007" t="s">
        <v>78</v>
      </c>
      <c r="H2007">
        <v>0.05</v>
      </c>
      <c r="I2007" s="1">
        <v>0</v>
      </c>
      <c r="J2007" s="1">
        <v>0</v>
      </c>
      <c r="K2007">
        <v>0</v>
      </c>
      <c r="L2007">
        <v>0</v>
      </c>
      <c r="M2007">
        <v>0.1</v>
      </c>
      <c r="N2007" s="1">
        <v>10000000</v>
      </c>
      <c r="O2007">
        <v>0.05</v>
      </c>
      <c r="P2007">
        <v>0.37</v>
      </c>
      <c r="Q2007">
        <v>0.01</v>
      </c>
    </row>
    <row r="2008" spans="1:17" x14ac:dyDescent="0.25">
      <c r="A2008">
        <v>730933</v>
      </c>
      <c r="B2008" t="s">
        <v>3320</v>
      </c>
      <c r="C2008">
        <v>1.1200000000000001</v>
      </c>
      <c r="D2008">
        <v>-0.02</v>
      </c>
      <c r="E2008">
        <v>1.1499999999999999</v>
      </c>
      <c r="F2008">
        <v>1.1499999999999999</v>
      </c>
      <c r="G2008">
        <v>1.1200000000000001</v>
      </c>
      <c r="H2008">
        <v>1.1299999999999999</v>
      </c>
      <c r="I2008" s="1">
        <v>130000</v>
      </c>
      <c r="J2008" s="1">
        <v>147000</v>
      </c>
      <c r="K2008">
        <v>5</v>
      </c>
      <c r="L2008">
        <v>1.05</v>
      </c>
      <c r="M2008">
        <v>1.1399999999999999</v>
      </c>
      <c r="N2008" s="1">
        <v>5000000</v>
      </c>
      <c r="O2008">
        <v>1.1200000000000001</v>
      </c>
      <c r="P2008">
        <v>1.97</v>
      </c>
      <c r="Q2008">
        <v>0.27</v>
      </c>
    </row>
    <row r="2009" spans="1:17" x14ac:dyDescent="0.25">
      <c r="A2009">
        <v>730934</v>
      </c>
      <c r="B2009" t="s">
        <v>3321</v>
      </c>
      <c r="C2009" t="s">
        <v>78</v>
      </c>
      <c r="D2009" t="s">
        <v>78</v>
      </c>
      <c r="E2009" t="s">
        <v>78</v>
      </c>
      <c r="F2009" t="s">
        <v>78</v>
      </c>
      <c r="G2009" t="s">
        <v>78</v>
      </c>
      <c r="H2009">
        <v>0.01</v>
      </c>
      <c r="I2009" s="1">
        <v>0</v>
      </c>
      <c r="J2009" s="1">
        <v>0</v>
      </c>
      <c r="K2009">
        <v>0</v>
      </c>
      <c r="L2009">
        <v>0.01</v>
      </c>
      <c r="M2009">
        <v>0.03</v>
      </c>
      <c r="N2009" s="1">
        <v>5000000</v>
      </c>
      <c r="O2009">
        <v>0.01</v>
      </c>
      <c r="P2009">
        <v>0.92</v>
      </c>
      <c r="Q2009">
        <v>0.01</v>
      </c>
    </row>
    <row r="2010" spans="1:17" x14ac:dyDescent="0.25">
      <c r="A2010">
        <v>730935</v>
      </c>
      <c r="B2010" t="s">
        <v>3322</v>
      </c>
      <c r="C2010">
        <v>1.73</v>
      </c>
      <c r="D2010">
        <v>-0.11</v>
      </c>
      <c r="E2010">
        <v>1.73</v>
      </c>
      <c r="F2010">
        <v>1.73</v>
      </c>
      <c r="G2010">
        <v>1.73</v>
      </c>
      <c r="H2010">
        <v>1.73</v>
      </c>
      <c r="I2010" s="1">
        <v>3000</v>
      </c>
      <c r="J2010" s="1">
        <v>5190</v>
      </c>
      <c r="K2010">
        <v>1</v>
      </c>
      <c r="L2010">
        <v>1.64</v>
      </c>
      <c r="M2010">
        <v>1.74</v>
      </c>
      <c r="N2010" s="1">
        <v>10000000</v>
      </c>
      <c r="O2010">
        <v>1.73</v>
      </c>
      <c r="P2010">
        <v>2.83</v>
      </c>
      <c r="Q2010">
        <v>0.63</v>
      </c>
    </row>
    <row r="2011" spans="1:17" x14ac:dyDescent="0.25">
      <c r="A2011">
        <v>730936</v>
      </c>
      <c r="B2011" t="s">
        <v>3323</v>
      </c>
      <c r="C2011" t="s">
        <v>78</v>
      </c>
      <c r="D2011" t="s">
        <v>78</v>
      </c>
      <c r="E2011" t="s">
        <v>78</v>
      </c>
      <c r="F2011" t="s">
        <v>78</v>
      </c>
      <c r="G2011" t="s">
        <v>78</v>
      </c>
      <c r="H2011">
        <v>0.04</v>
      </c>
      <c r="I2011" s="1">
        <v>0</v>
      </c>
      <c r="J2011" s="1">
        <v>0</v>
      </c>
      <c r="K2011">
        <v>0</v>
      </c>
      <c r="L2011">
        <v>0.02</v>
      </c>
      <c r="M2011">
        <v>0.03</v>
      </c>
      <c r="N2011" s="1">
        <v>5000000</v>
      </c>
      <c r="O2011">
        <v>0.03</v>
      </c>
      <c r="P2011">
        <v>2.63</v>
      </c>
      <c r="Q2011">
        <v>0.01</v>
      </c>
    </row>
    <row r="2012" spans="1:17" x14ac:dyDescent="0.25">
      <c r="A2012">
        <v>730937</v>
      </c>
      <c r="B2012" t="s">
        <v>3324</v>
      </c>
      <c r="C2012">
        <v>0.01</v>
      </c>
      <c r="D2012">
        <v>0</v>
      </c>
      <c r="E2012">
        <v>0.01</v>
      </c>
      <c r="F2012">
        <v>0.01</v>
      </c>
      <c r="G2012">
        <v>0.01</v>
      </c>
      <c r="H2012">
        <v>0.01</v>
      </c>
      <c r="I2012" s="1">
        <v>10000</v>
      </c>
      <c r="J2012" s="1">
        <v>100</v>
      </c>
      <c r="K2012">
        <v>1</v>
      </c>
      <c r="L2012">
        <v>0.01</v>
      </c>
      <c r="M2012">
        <v>0.02</v>
      </c>
      <c r="N2012" s="1">
        <v>5000000</v>
      </c>
      <c r="O2012">
        <v>0.01</v>
      </c>
      <c r="P2012">
        <v>1.02</v>
      </c>
      <c r="Q2012">
        <v>0.01</v>
      </c>
    </row>
    <row r="2013" spans="1:17" x14ac:dyDescent="0.25">
      <c r="A2013">
        <v>730938</v>
      </c>
      <c r="B2013" t="s">
        <v>3325</v>
      </c>
      <c r="C2013" t="s">
        <v>78</v>
      </c>
      <c r="D2013" t="s">
        <v>78</v>
      </c>
      <c r="E2013" t="s">
        <v>78</v>
      </c>
      <c r="F2013" t="s">
        <v>78</v>
      </c>
      <c r="G2013" t="s">
        <v>78</v>
      </c>
      <c r="H2013">
        <v>0.03</v>
      </c>
      <c r="I2013" s="1">
        <v>0</v>
      </c>
      <c r="J2013" s="1">
        <v>0</v>
      </c>
      <c r="K2013">
        <v>0</v>
      </c>
      <c r="L2013">
        <v>0</v>
      </c>
      <c r="M2013">
        <v>0.01</v>
      </c>
      <c r="N2013" s="1">
        <v>5000000</v>
      </c>
      <c r="O2013">
        <v>0.01</v>
      </c>
      <c r="P2013">
        <v>0.59</v>
      </c>
      <c r="Q2013">
        <v>0.01</v>
      </c>
    </row>
    <row r="2014" spans="1:17" x14ac:dyDescent="0.25">
      <c r="A2014">
        <v>730939</v>
      </c>
      <c r="B2014" t="s">
        <v>3326</v>
      </c>
      <c r="C2014">
        <v>0.01</v>
      </c>
      <c r="D2014">
        <v>0</v>
      </c>
      <c r="E2014">
        <v>0.01</v>
      </c>
      <c r="F2014">
        <v>0.01</v>
      </c>
      <c r="G2014">
        <v>0.01</v>
      </c>
      <c r="H2014">
        <v>0.01</v>
      </c>
      <c r="I2014" s="1">
        <v>100000</v>
      </c>
      <c r="J2014" s="1">
        <v>1000</v>
      </c>
      <c r="K2014">
        <v>1</v>
      </c>
      <c r="L2014">
        <v>0</v>
      </c>
      <c r="M2014">
        <v>0.01</v>
      </c>
      <c r="N2014" s="1">
        <v>10000000</v>
      </c>
      <c r="O2014">
        <v>0.01</v>
      </c>
      <c r="P2014">
        <v>1.57</v>
      </c>
      <c r="Q2014">
        <v>0.01</v>
      </c>
    </row>
    <row r="2015" spans="1:17" x14ac:dyDescent="0.25">
      <c r="A2015">
        <v>730940</v>
      </c>
      <c r="B2015" t="s">
        <v>3327</v>
      </c>
      <c r="C2015" t="s">
        <v>78</v>
      </c>
      <c r="D2015" t="s">
        <v>78</v>
      </c>
      <c r="E2015" t="s">
        <v>78</v>
      </c>
      <c r="F2015" t="s">
        <v>78</v>
      </c>
      <c r="G2015" t="s">
        <v>78</v>
      </c>
      <c r="H2015">
        <v>0.76</v>
      </c>
      <c r="I2015" s="1">
        <v>0</v>
      </c>
      <c r="J2015" s="1">
        <v>0</v>
      </c>
      <c r="K2015">
        <v>0</v>
      </c>
      <c r="L2015">
        <v>0.67</v>
      </c>
      <c r="M2015">
        <v>0.7</v>
      </c>
      <c r="N2015" s="1">
        <v>10000000</v>
      </c>
      <c r="O2015">
        <v>0.69</v>
      </c>
      <c r="P2015">
        <v>1.32</v>
      </c>
      <c r="Q2015">
        <v>0.06</v>
      </c>
    </row>
    <row r="2016" spans="1:17" x14ac:dyDescent="0.25">
      <c r="A2016">
        <v>730941</v>
      </c>
      <c r="B2016" t="s">
        <v>3328</v>
      </c>
      <c r="C2016" t="s">
        <v>78</v>
      </c>
      <c r="D2016" t="s">
        <v>78</v>
      </c>
      <c r="E2016" t="s">
        <v>78</v>
      </c>
      <c r="F2016" t="s">
        <v>78</v>
      </c>
      <c r="G2016" t="s">
        <v>78</v>
      </c>
      <c r="H2016">
        <v>0.1</v>
      </c>
      <c r="I2016" s="1">
        <v>0</v>
      </c>
      <c r="J2016" s="1">
        <v>0</v>
      </c>
      <c r="K2016">
        <v>0</v>
      </c>
      <c r="L2016">
        <v>0.05</v>
      </c>
      <c r="M2016">
        <v>0.06</v>
      </c>
      <c r="N2016" s="1">
        <v>10000000</v>
      </c>
      <c r="O2016">
        <v>0.06</v>
      </c>
      <c r="P2016">
        <v>0.56999999999999995</v>
      </c>
      <c r="Q2016">
        <v>0.01</v>
      </c>
    </row>
    <row r="2017" spans="1:17" x14ac:dyDescent="0.25">
      <c r="A2017">
        <v>730942</v>
      </c>
      <c r="B2017" t="s">
        <v>3329</v>
      </c>
      <c r="C2017" t="s">
        <v>78</v>
      </c>
      <c r="D2017" t="s">
        <v>78</v>
      </c>
      <c r="E2017" t="s">
        <v>78</v>
      </c>
      <c r="F2017" t="s">
        <v>78</v>
      </c>
      <c r="G2017" t="s">
        <v>78</v>
      </c>
      <c r="H2017">
        <v>0.1</v>
      </c>
      <c r="I2017" s="1">
        <v>0</v>
      </c>
      <c r="J2017" s="1">
        <v>0</v>
      </c>
      <c r="K2017">
        <v>0</v>
      </c>
      <c r="L2017">
        <v>0.09</v>
      </c>
      <c r="M2017">
        <v>0.11</v>
      </c>
      <c r="N2017" s="1">
        <v>10000000</v>
      </c>
      <c r="O2017">
        <v>0.1</v>
      </c>
      <c r="P2017">
        <v>0.72</v>
      </c>
      <c r="Q2017">
        <v>0.01</v>
      </c>
    </row>
    <row r="2018" spans="1:17" x14ac:dyDescent="0.25">
      <c r="A2018">
        <v>730943</v>
      </c>
      <c r="B2018" t="s">
        <v>3330</v>
      </c>
      <c r="C2018" t="s">
        <v>78</v>
      </c>
      <c r="D2018" t="s">
        <v>78</v>
      </c>
      <c r="E2018" t="s">
        <v>78</v>
      </c>
      <c r="F2018" t="s">
        <v>78</v>
      </c>
      <c r="G2018" t="s">
        <v>78</v>
      </c>
      <c r="H2018">
        <v>1.73</v>
      </c>
      <c r="I2018" s="1">
        <v>0</v>
      </c>
      <c r="J2018" s="1">
        <v>0</v>
      </c>
      <c r="K2018">
        <v>0</v>
      </c>
      <c r="L2018">
        <v>1.72</v>
      </c>
      <c r="M2018">
        <v>1.75</v>
      </c>
      <c r="N2018" s="1">
        <v>10000000</v>
      </c>
      <c r="O2018">
        <v>1.73</v>
      </c>
      <c r="P2018">
        <v>2.89</v>
      </c>
      <c r="Q2018">
        <v>0.56999999999999995</v>
      </c>
    </row>
    <row r="2019" spans="1:17" x14ac:dyDescent="0.25">
      <c r="A2019">
        <v>730944</v>
      </c>
      <c r="B2019" t="s">
        <v>3331</v>
      </c>
      <c r="C2019" t="s">
        <v>78</v>
      </c>
      <c r="D2019" t="s">
        <v>78</v>
      </c>
      <c r="E2019" t="s">
        <v>78</v>
      </c>
      <c r="F2019" t="s">
        <v>78</v>
      </c>
      <c r="G2019" t="s">
        <v>78</v>
      </c>
      <c r="H2019">
        <v>3.16</v>
      </c>
      <c r="I2019" s="1">
        <v>0</v>
      </c>
      <c r="J2019" s="1">
        <v>0</v>
      </c>
      <c r="K2019">
        <v>0</v>
      </c>
      <c r="L2019">
        <v>3.97</v>
      </c>
      <c r="M2019">
        <v>0</v>
      </c>
      <c r="N2019" s="1">
        <v>10000000</v>
      </c>
      <c r="O2019">
        <v>4.22</v>
      </c>
      <c r="P2019">
        <v>5.6</v>
      </c>
      <c r="Q2019">
        <v>2.8</v>
      </c>
    </row>
    <row r="2020" spans="1:17" x14ac:dyDescent="0.25">
      <c r="A2020">
        <v>730945</v>
      </c>
      <c r="B2020" t="s">
        <v>3332</v>
      </c>
      <c r="C2020" t="s">
        <v>78</v>
      </c>
      <c r="D2020" t="s">
        <v>78</v>
      </c>
      <c r="E2020" t="s">
        <v>78</v>
      </c>
      <c r="F2020" t="s">
        <v>78</v>
      </c>
      <c r="G2020" t="s">
        <v>78</v>
      </c>
      <c r="H2020">
        <v>0.1</v>
      </c>
      <c r="I2020" s="1">
        <v>0</v>
      </c>
      <c r="J2020" s="1">
        <v>0</v>
      </c>
      <c r="K2020">
        <v>0</v>
      </c>
      <c r="L2020">
        <v>0.08</v>
      </c>
      <c r="M2020">
        <v>0.09</v>
      </c>
      <c r="N2020" s="1">
        <v>5000000</v>
      </c>
      <c r="O2020">
        <v>0.08</v>
      </c>
      <c r="P2020">
        <v>0.79</v>
      </c>
      <c r="Q2020">
        <v>0.01</v>
      </c>
    </row>
    <row r="2021" spans="1:17" x14ac:dyDescent="0.25">
      <c r="A2021">
        <v>730946</v>
      </c>
      <c r="B2021" t="s">
        <v>3333</v>
      </c>
      <c r="C2021">
        <v>0.53</v>
      </c>
      <c r="D2021">
        <v>0</v>
      </c>
      <c r="E2021">
        <v>0.52</v>
      </c>
      <c r="F2021">
        <v>0.54</v>
      </c>
      <c r="G2021">
        <v>0.52</v>
      </c>
      <c r="H2021">
        <v>0.52</v>
      </c>
      <c r="I2021" s="1">
        <v>74000</v>
      </c>
      <c r="J2021" s="1">
        <v>38720</v>
      </c>
      <c r="K2021">
        <v>6</v>
      </c>
      <c r="L2021">
        <v>0.51</v>
      </c>
      <c r="M2021">
        <v>0.52</v>
      </c>
      <c r="N2021" s="1">
        <v>10000000</v>
      </c>
      <c r="O2021">
        <v>0.53</v>
      </c>
      <c r="P2021">
        <v>0.98</v>
      </c>
      <c r="Q2021">
        <v>0.08</v>
      </c>
    </row>
    <row r="2022" spans="1:17" x14ac:dyDescent="0.25">
      <c r="A2022">
        <v>730947</v>
      </c>
      <c r="B2022" t="s">
        <v>3334</v>
      </c>
      <c r="C2022" t="s">
        <v>78</v>
      </c>
      <c r="D2022" t="s">
        <v>78</v>
      </c>
      <c r="E2022" t="s">
        <v>78</v>
      </c>
      <c r="F2022" t="s">
        <v>78</v>
      </c>
      <c r="G2022" t="s">
        <v>78</v>
      </c>
      <c r="H2022">
        <v>0.7</v>
      </c>
      <c r="I2022" s="1">
        <v>0</v>
      </c>
      <c r="J2022" s="1">
        <v>0</v>
      </c>
      <c r="K2022">
        <v>0</v>
      </c>
      <c r="L2022">
        <v>0.7</v>
      </c>
      <c r="M2022">
        <v>0.71</v>
      </c>
      <c r="N2022" s="1">
        <v>5000000</v>
      </c>
      <c r="O2022">
        <v>0.7</v>
      </c>
      <c r="P2022">
        <v>1.48</v>
      </c>
      <c r="Q2022">
        <v>0.01</v>
      </c>
    </row>
    <row r="2023" spans="1:17" x14ac:dyDescent="0.25">
      <c r="A2023">
        <v>730948</v>
      </c>
      <c r="B2023" t="s">
        <v>3335</v>
      </c>
      <c r="C2023" t="s">
        <v>78</v>
      </c>
      <c r="D2023" t="s">
        <v>78</v>
      </c>
      <c r="E2023" t="s">
        <v>78</v>
      </c>
      <c r="F2023" t="s">
        <v>78</v>
      </c>
      <c r="G2023" t="s">
        <v>78</v>
      </c>
      <c r="H2023">
        <v>0.02</v>
      </c>
      <c r="I2023" s="1">
        <v>0</v>
      </c>
      <c r="J2023" s="1">
        <v>0</v>
      </c>
      <c r="K2023">
        <v>0</v>
      </c>
      <c r="L2023">
        <v>0.01</v>
      </c>
      <c r="M2023">
        <v>0.03</v>
      </c>
      <c r="N2023" s="1">
        <v>10000000</v>
      </c>
      <c r="O2023">
        <v>0.02</v>
      </c>
      <c r="P2023">
        <v>0.6</v>
      </c>
      <c r="Q2023">
        <v>0.01</v>
      </c>
    </row>
    <row r="2024" spans="1:17" x14ac:dyDescent="0.25">
      <c r="A2024">
        <v>730949</v>
      </c>
      <c r="B2024" t="s">
        <v>3336</v>
      </c>
      <c r="C2024">
        <v>3.61</v>
      </c>
      <c r="D2024">
        <v>0.09</v>
      </c>
      <c r="E2024">
        <v>3.58</v>
      </c>
      <c r="F2024">
        <v>3.65</v>
      </c>
      <c r="G2024">
        <v>3.52</v>
      </c>
      <c r="H2024">
        <v>3.61</v>
      </c>
      <c r="I2024" s="1">
        <v>255000</v>
      </c>
      <c r="J2024" s="1">
        <v>920100</v>
      </c>
      <c r="K2024">
        <v>34</v>
      </c>
      <c r="L2024">
        <v>3.61</v>
      </c>
      <c r="M2024">
        <v>3.62</v>
      </c>
      <c r="N2024" s="1">
        <v>5000000</v>
      </c>
      <c r="O2024">
        <v>3.61</v>
      </c>
      <c r="P2024">
        <v>5.15</v>
      </c>
      <c r="Q2024">
        <v>2.04</v>
      </c>
    </row>
    <row r="2025" spans="1:17" x14ac:dyDescent="0.25">
      <c r="A2025">
        <v>730950</v>
      </c>
      <c r="B2025" t="s">
        <v>3337</v>
      </c>
      <c r="C2025" t="s">
        <v>78</v>
      </c>
      <c r="D2025" t="s">
        <v>78</v>
      </c>
      <c r="E2025" t="s">
        <v>78</v>
      </c>
      <c r="F2025" t="s">
        <v>78</v>
      </c>
      <c r="G2025" t="s">
        <v>78</v>
      </c>
      <c r="H2025">
        <v>5.3</v>
      </c>
      <c r="I2025" s="1">
        <v>0</v>
      </c>
      <c r="J2025" s="1">
        <v>0</v>
      </c>
      <c r="K2025">
        <v>0</v>
      </c>
      <c r="L2025">
        <v>7.6</v>
      </c>
      <c r="M2025">
        <v>0</v>
      </c>
      <c r="N2025" s="1">
        <v>10000000</v>
      </c>
      <c r="O2025">
        <v>7.6</v>
      </c>
      <c r="P2025">
        <v>9.8000000000000007</v>
      </c>
      <c r="Q2025">
        <v>5.4</v>
      </c>
    </row>
    <row r="2026" spans="1:17" x14ac:dyDescent="0.25">
      <c r="A2026">
        <v>730951</v>
      </c>
      <c r="B2026" t="s">
        <v>3338</v>
      </c>
      <c r="C2026">
        <v>0.21</v>
      </c>
      <c r="D2026">
        <v>0</v>
      </c>
      <c r="E2026">
        <v>0.22</v>
      </c>
      <c r="F2026">
        <v>0.23</v>
      </c>
      <c r="G2026">
        <v>0.21</v>
      </c>
      <c r="H2026">
        <v>0.21</v>
      </c>
      <c r="I2026" s="1">
        <v>279000</v>
      </c>
      <c r="J2026" s="1">
        <v>59600</v>
      </c>
      <c r="K2026">
        <v>11</v>
      </c>
      <c r="L2026">
        <v>0.21</v>
      </c>
      <c r="M2026">
        <v>0.22</v>
      </c>
      <c r="N2026" s="1">
        <v>10000000</v>
      </c>
      <c r="O2026">
        <v>0.21</v>
      </c>
      <c r="P2026">
        <v>0.45</v>
      </c>
      <c r="Q2026">
        <v>0.01</v>
      </c>
    </row>
    <row r="2027" spans="1:17" x14ac:dyDescent="0.25">
      <c r="A2027">
        <v>730952</v>
      </c>
      <c r="B2027" t="s">
        <v>3339</v>
      </c>
      <c r="C2027" t="s">
        <v>78</v>
      </c>
      <c r="D2027" t="s">
        <v>78</v>
      </c>
      <c r="E2027" t="s">
        <v>78</v>
      </c>
      <c r="F2027" t="s">
        <v>78</v>
      </c>
      <c r="G2027" t="s">
        <v>78</v>
      </c>
      <c r="H2027">
        <v>0.15</v>
      </c>
      <c r="I2027" s="1">
        <v>0</v>
      </c>
      <c r="J2027" s="1">
        <v>0</v>
      </c>
      <c r="K2027">
        <v>0</v>
      </c>
      <c r="L2027">
        <v>0.09</v>
      </c>
      <c r="M2027">
        <v>0.1</v>
      </c>
      <c r="N2027" s="1">
        <v>5000000</v>
      </c>
      <c r="O2027">
        <v>0.09</v>
      </c>
      <c r="P2027">
        <v>0.87</v>
      </c>
      <c r="Q2027">
        <v>0.01</v>
      </c>
    </row>
    <row r="2028" spans="1:17" x14ac:dyDescent="0.25">
      <c r="A2028">
        <v>730953</v>
      </c>
      <c r="B2028" t="s">
        <v>3340</v>
      </c>
      <c r="C2028">
        <v>0.61</v>
      </c>
      <c r="D2028">
        <v>0.05</v>
      </c>
      <c r="E2028">
        <v>0.67</v>
      </c>
      <c r="F2028">
        <v>0.75</v>
      </c>
      <c r="G2028">
        <v>0.61</v>
      </c>
      <c r="H2028">
        <v>0.7</v>
      </c>
      <c r="I2028" s="1">
        <v>579000</v>
      </c>
      <c r="J2028" s="1">
        <v>404170</v>
      </c>
      <c r="K2028">
        <v>18</v>
      </c>
      <c r="L2028">
        <v>0.6</v>
      </c>
      <c r="M2028">
        <v>0.61</v>
      </c>
      <c r="N2028" s="1">
        <v>10000000</v>
      </c>
      <c r="O2028">
        <v>0.61</v>
      </c>
      <c r="P2028">
        <v>1.37</v>
      </c>
      <c r="Q2028">
        <v>0.01</v>
      </c>
    </row>
    <row r="2029" spans="1:17" x14ac:dyDescent="0.25">
      <c r="A2029">
        <v>730954</v>
      </c>
      <c r="B2029" t="s">
        <v>3341</v>
      </c>
      <c r="C2029" t="s">
        <v>78</v>
      </c>
      <c r="D2029" t="s">
        <v>78</v>
      </c>
      <c r="E2029" t="s">
        <v>78</v>
      </c>
      <c r="F2029" t="s">
        <v>78</v>
      </c>
      <c r="G2029" t="s">
        <v>78</v>
      </c>
      <c r="H2029">
        <v>0.01</v>
      </c>
      <c r="I2029" s="1">
        <v>0</v>
      </c>
      <c r="J2029" s="1">
        <v>0</v>
      </c>
      <c r="K2029">
        <v>0</v>
      </c>
      <c r="L2029">
        <v>0</v>
      </c>
      <c r="M2029">
        <v>0.01</v>
      </c>
      <c r="N2029" s="1">
        <v>10000000</v>
      </c>
      <c r="O2029">
        <v>0.01</v>
      </c>
      <c r="P2029">
        <v>0.59</v>
      </c>
      <c r="Q2029">
        <v>0.01</v>
      </c>
    </row>
    <row r="2030" spans="1:17" x14ac:dyDescent="0.25">
      <c r="A2030">
        <v>730955</v>
      </c>
      <c r="B2030" t="s">
        <v>3342</v>
      </c>
      <c r="C2030" t="s">
        <v>78</v>
      </c>
      <c r="D2030" t="s">
        <v>78</v>
      </c>
      <c r="E2030" t="s">
        <v>78</v>
      </c>
      <c r="F2030" t="s">
        <v>78</v>
      </c>
      <c r="G2030" t="s">
        <v>78</v>
      </c>
      <c r="H2030">
        <v>0.06</v>
      </c>
      <c r="I2030" s="1">
        <v>0</v>
      </c>
      <c r="J2030" s="1">
        <v>0</v>
      </c>
      <c r="K2030">
        <v>0</v>
      </c>
      <c r="L2030">
        <v>0.03</v>
      </c>
      <c r="M2030">
        <v>0.04</v>
      </c>
      <c r="N2030" s="1">
        <v>5000000</v>
      </c>
      <c r="O2030">
        <v>0.04</v>
      </c>
      <c r="P2030">
        <v>0.5</v>
      </c>
      <c r="Q2030">
        <v>0.01</v>
      </c>
    </row>
    <row r="2031" spans="1:17" x14ac:dyDescent="0.25">
      <c r="A2031">
        <v>730956</v>
      </c>
      <c r="B2031" t="s">
        <v>3343</v>
      </c>
      <c r="C2031" t="s">
        <v>78</v>
      </c>
      <c r="D2031" t="s">
        <v>78</v>
      </c>
      <c r="E2031" t="s">
        <v>78</v>
      </c>
      <c r="F2031" t="s">
        <v>78</v>
      </c>
      <c r="G2031" t="s">
        <v>78</v>
      </c>
      <c r="H2031">
        <v>0.11</v>
      </c>
      <c r="I2031" s="1">
        <v>0</v>
      </c>
      <c r="J2031" s="1">
        <v>0</v>
      </c>
      <c r="K2031">
        <v>0</v>
      </c>
      <c r="L2031">
        <v>0.1</v>
      </c>
      <c r="M2031">
        <v>0.11</v>
      </c>
      <c r="N2031" s="1">
        <v>5000000</v>
      </c>
      <c r="O2031">
        <v>0.11</v>
      </c>
      <c r="P2031">
        <v>0.81</v>
      </c>
      <c r="Q2031">
        <v>0.01</v>
      </c>
    </row>
    <row r="2032" spans="1:17" x14ac:dyDescent="0.25">
      <c r="A2032">
        <v>730957</v>
      </c>
      <c r="B2032" t="s">
        <v>3344</v>
      </c>
      <c r="C2032">
        <v>0.62</v>
      </c>
      <c r="D2032">
        <v>0.06</v>
      </c>
      <c r="E2032">
        <v>0.56999999999999995</v>
      </c>
      <c r="F2032">
        <v>0.62</v>
      </c>
      <c r="G2032">
        <v>0.56999999999999995</v>
      </c>
      <c r="H2032">
        <v>0.59</v>
      </c>
      <c r="I2032" s="1">
        <v>70000</v>
      </c>
      <c r="J2032" s="1">
        <v>41000</v>
      </c>
      <c r="K2032">
        <v>7</v>
      </c>
      <c r="L2032">
        <v>0.57999999999999996</v>
      </c>
      <c r="M2032">
        <v>0.59</v>
      </c>
      <c r="N2032" s="1">
        <v>5000000</v>
      </c>
      <c r="O2032">
        <v>0.62</v>
      </c>
      <c r="P2032">
        <v>1.07</v>
      </c>
      <c r="Q2032">
        <v>0.17</v>
      </c>
    </row>
    <row r="2033" spans="1:17" x14ac:dyDescent="0.25">
      <c r="A2033">
        <v>730958</v>
      </c>
      <c r="B2033" t="s">
        <v>3345</v>
      </c>
      <c r="C2033" t="s">
        <v>78</v>
      </c>
      <c r="D2033" t="s">
        <v>78</v>
      </c>
      <c r="E2033" t="s">
        <v>78</v>
      </c>
      <c r="F2033" t="s">
        <v>78</v>
      </c>
      <c r="G2033" t="s">
        <v>78</v>
      </c>
      <c r="H2033">
        <v>2.4300000000000002</v>
      </c>
      <c r="I2033" s="1">
        <v>0</v>
      </c>
      <c r="J2033" s="1">
        <v>0</v>
      </c>
      <c r="K2033">
        <v>0</v>
      </c>
      <c r="L2033">
        <v>2.8</v>
      </c>
      <c r="M2033">
        <v>2.9</v>
      </c>
      <c r="N2033" s="1">
        <v>10000000</v>
      </c>
      <c r="O2033">
        <v>2.9</v>
      </c>
      <c r="P2033">
        <v>4.01</v>
      </c>
      <c r="Q2033">
        <v>1.79</v>
      </c>
    </row>
    <row r="2034" spans="1:17" x14ac:dyDescent="0.25">
      <c r="A2034">
        <v>730959</v>
      </c>
      <c r="B2034" t="s">
        <v>3346</v>
      </c>
      <c r="C2034" t="s">
        <v>78</v>
      </c>
      <c r="D2034" t="s">
        <v>78</v>
      </c>
      <c r="E2034" t="s">
        <v>78</v>
      </c>
      <c r="F2034" t="s">
        <v>78</v>
      </c>
      <c r="G2034" t="s">
        <v>78</v>
      </c>
      <c r="H2034">
        <v>0.1</v>
      </c>
      <c r="I2034" s="1">
        <v>0</v>
      </c>
      <c r="J2034" s="1">
        <v>0</v>
      </c>
      <c r="K2034">
        <v>0</v>
      </c>
      <c r="L2034">
        <v>0.03</v>
      </c>
      <c r="M2034">
        <v>0.04</v>
      </c>
      <c r="N2034" s="1">
        <v>5000000</v>
      </c>
      <c r="O2034">
        <v>0.04</v>
      </c>
      <c r="P2034">
        <v>0.55000000000000004</v>
      </c>
      <c r="Q2034">
        <v>0.01</v>
      </c>
    </row>
    <row r="2035" spans="1:17" x14ac:dyDescent="0.25">
      <c r="A2035">
        <v>730960</v>
      </c>
      <c r="B2035" t="s">
        <v>3347</v>
      </c>
      <c r="C2035">
        <v>0.2</v>
      </c>
      <c r="D2035">
        <v>-0.03</v>
      </c>
      <c r="E2035">
        <v>0.21</v>
      </c>
      <c r="F2035">
        <v>0.21</v>
      </c>
      <c r="G2035">
        <v>0.2</v>
      </c>
      <c r="H2035">
        <v>0.21</v>
      </c>
      <c r="I2035" s="1">
        <v>618000</v>
      </c>
      <c r="J2035" s="1">
        <v>127700</v>
      </c>
      <c r="K2035">
        <v>4</v>
      </c>
      <c r="L2035">
        <v>0.2</v>
      </c>
      <c r="M2035">
        <v>0.21</v>
      </c>
      <c r="N2035" s="1">
        <v>5000000</v>
      </c>
      <c r="O2035">
        <v>0.2</v>
      </c>
      <c r="P2035">
        <v>0.91</v>
      </c>
      <c r="Q2035">
        <v>0.01</v>
      </c>
    </row>
    <row r="2036" spans="1:17" x14ac:dyDescent="0.25">
      <c r="A2036">
        <v>730961</v>
      </c>
      <c r="B2036" t="s">
        <v>3348</v>
      </c>
      <c r="C2036" t="s">
        <v>78</v>
      </c>
      <c r="D2036" t="s">
        <v>78</v>
      </c>
      <c r="E2036" t="s">
        <v>78</v>
      </c>
      <c r="F2036" t="s">
        <v>78</v>
      </c>
      <c r="G2036" t="s">
        <v>78</v>
      </c>
      <c r="H2036">
        <v>0.41</v>
      </c>
      <c r="I2036" s="1">
        <v>0</v>
      </c>
      <c r="J2036" s="1">
        <v>0</v>
      </c>
      <c r="K2036">
        <v>0</v>
      </c>
      <c r="L2036">
        <v>0.36</v>
      </c>
      <c r="M2036">
        <v>0.37</v>
      </c>
      <c r="N2036" s="1">
        <v>10000000</v>
      </c>
      <c r="O2036">
        <v>0.37</v>
      </c>
      <c r="P2036">
        <v>0.65</v>
      </c>
      <c r="Q2036">
        <v>0.09</v>
      </c>
    </row>
    <row r="2037" spans="1:17" x14ac:dyDescent="0.25">
      <c r="A2037">
        <v>730962</v>
      </c>
      <c r="B2037" t="s">
        <v>3349</v>
      </c>
      <c r="C2037">
        <v>3.22</v>
      </c>
      <c r="D2037">
        <v>7.0000000000000007E-2</v>
      </c>
      <c r="E2037">
        <v>3.28</v>
      </c>
      <c r="F2037">
        <v>3.28</v>
      </c>
      <c r="G2037">
        <v>3.22</v>
      </c>
      <c r="H2037">
        <v>3.25</v>
      </c>
      <c r="I2037" s="1">
        <v>20000</v>
      </c>
      <c r="J2037" s="1">
        <v>65000</v>
      </c>
      <c r="K2037">
        <v>3</v>
      </c>
      <c r="L2037">
        <v>2.97</v>
      </c>
      <c r="M2037">
        <v>3.03</v>
      </c>
      <c r="N2037" s="1">
        <v>5000000</v>
      </c>
      <c r="O2037">
        <v>3.22</v>
      </c>
      <c r="P2037">
        <v>4.4000000000000004</v>
      </c>
      <c r="Q2037">
        <v>2.04</v>
      </c>
    </row>
    <row r="2038" spans="1:17" x14ac:dyDescent="0.25">
      <c r="A2038">
        <v>730963</v>
      </c>
      <c r="B2038" t="s">
        <v>3350</v>
      </c>
      <c r="C2038" t="s">
        <v>78</v>
      </c>
      <c r="D2038" t="s">
        <v>78</v>
      </c>
      <c r="E2038" t="s">
        <v>78</v>
      </c>
      <c r="F2038" t="s">
        <v>78</v>
      </c>
      <c r="G2038" t="s">
        <v>78</v>
      </c>
      <c r="H2038">
        <v>3.73</v>
      </c>
      <c r="I2038" s="1">
        <v>0</v>
      </c>
      <c r="J2038" s="1">
        <v>0</v>
      </c>
      <c r="K2038">
        <v>0</v>
      </c>
      <c r="L2038">
        <v>0</v>
      </c>
      <c r="M2038">
        <v>0</v>
      </c>
      <c r="N2038" s="1">
        <v>5000000</v>
      </c>
      <c r="O2038">
        <v>5.7</v>
      </c>
      <c r="P2038">
        <v>6.8</v>
      </c>
      <c r="Q2038">
        <v>4.58</v>
      </c>
    </row>
    <row r="2039" spans="1:17" x14ac:dyDescent="0.25">
      <c r="A2039">
        <v>730964</v>
      </c>
      <c r="B2039" t="s">
        <v>3351</v>
      </c>
      <c r="C2039">
        <v>0.03</v>
      </c>
      <c r="D2039">
        <v>0</v>
      </c>
      <c r="E2039">
        <v>0.03</v>
      </c>
      <c r="F2039">
        <v>0.03</v>
      </c>
      <c r="G2039">
        <v>0.03</v>
      </c>
      <c r="H2039">
        <v>0.03</v>
      </c>
      <c r="I2039" s="1">
        <v>10000</v>
      </c>
      <c r="J2039" s="1">
        <v>300</v>
      </c>
      <c r="K2039">
        <v>1</v>
      </c>
      <c r="L2039">
        <v>0.01</v>
      </c>
      <c r="M2039">
        <v>0.03</v>
      </c>
      <c r="N2039" s="1">
        <v>5000000</v>
      </c>
      <c r="O2039">
        <v>0.03</v>
      </c>
      <c r="P2039">
        <v>0.94</v>
      </c>
      <c r="Q2039">
        <v>0.01</v>
      </c>
    </row>
    <row r="2040" spans="1:17" x14ac:dyDescent="0.25">
      <c r="A2040">
        <v>730965</v>
      </c>
      <c r="B2040" t="s">
        <v>3352</v>
      </c>
      <c r="C2040" t="s">
        <v>78</v>
      </c>
      <c r="D2040" t="s">
        <v>78</v>
      </c>
      <c r="E2040" t="s">
        <v>78</v>
      </c>
      <c r="F2040" t="s">
        <v>78</v>
      </c>
      <c r="G2040" t="s">
        <v>78</v>
      </c>
      <c r="H2040">
        <v>0.83</v>
      </c>
      <c r="I2040" s="1">
        <v>0</v>
      </c>
      <c r="J2040" s="1">
        <v>0</v>
      </c>
      <c r="K2040">
        <v>0</v>
      </c>
      <c r="L2040">
        <v>0.9</v>
      </c>
      <c r="M2040">
        <v>0.95</v>
      </c>
      <c r="N2040" s="1">
        <v>10000000</v>
      </c>
      <c r="O2040">
        <v>0.95</v>
      </c>
      <c r="P2040">
        <v>1.54</v>
      </c>
      <c r="Q2040">
        <v>0.36</v>
      </c>
    </row>
    <row r="2041" spans="1:17" x14ac:dyDescent="0.25">
      <c r="A2041">
        <v>730966</v>
      </c>
      <c r="B2041" t="s">
        <v>3353</v>
      </c>
      <c r="C2041" t="s">
        <v>78</v>
      </c>
      <c r="D2041" t="s">
        <v>78</v>
      </c>
      <c r="E2041" t="s">
        <v>78</v>
      </c>
      <c r="F2041" t="s">
        <v>78</v>
      </c>
      <c r="G2041" t="s">
        <v>78</v>
      </c>
      <c r="H2041">
        <v>0.21</v>
      </c>
      <c r="I2041" s="1">
        <v>0</v>
      </c>
      <c r="J2041" s="1">
        <v>0</v>
      </c>
      <c r="K2041">
        <v>0</v>
      </c>
      <c r="L2041">
        <v>0.02</v>
      </c>
      <c r="M2041">
        <v>0.03</v>
      </c>
      <c r="N2041" s="1">
        <v>10000000</v>
      </c>
      <c r="O2041">
        <v>0.02</v>
      </c>
      <c r="P2041">
        <v>0.79</v>
      </c>
      <c r="Q2041">
        <v>0.01</v>
      </c>
    </row>
    <row r="2042" spans="1:17" x14ac:dyDescent="0.25">
      <c r="A2042">
        <v>730967</v>
      </c>
      <c r="B2042" t="s">
        <v>3354</v>
      </c>
      <c r="C2042">
        <v>0.43</v>
      </c>
      <c r="D2042">
        <v>-0.01</v>
      </c>
      <c r="E2042">
        <v>0.44</v>
      </c>
      <c r="F2042">
        <v>0.44</v>
      </c>
      <c r="G2042">
        <v>0.43</v>
      </c>
      <c r="H2042">
        <v>0.44</v>
      </c>
      <c r="I2042" s="1">
        <v>300000</v>
      </c>
      <c r="J2042" s="1">
        <v>131010</v>
      </c>
      <c r="K2042">
        <v>4</v>
      </c>
      <c r="L2042">
        <v>0.4</v>
      </c>
      <c r="M2042">
        <v>0.42</v>
      </c>
      <c r="N2042" s="1">
        <v>10000000</v>
      </c>
      <c r="O2042">
        <v>0.43</v>
      </c>
      <c r="P2042">
        <v>1.51</v>
      </c>
      <c r="Q2042">
        <v>0.01</v>
      </c>
    </row>
    <row r="2043" spans="1:17" x14ac:dyDescent="0.25">
      <c r="A2043">
        <v>730968</v>
      </c>
      <c r="B2043" t="s">
        <v>3355</v>
      </c>
      <c r="C2043" t="s">
        <v>78</v>
      </c>
      <c r="D2043" t="s">
        <v>78</v>
      </c>
      <c r="E2043" t="s">
        <v>78</v>
      </c>
      <c r="F2043" t="s">
        <v>78</v>
      </c>
      <c r="G2043" t="s">
        <v>78</v>
      </c>
      <c r="H2043">
        <v>0.28000000000000003</v>
      </c>
      <c r="I2043" s="1">
        <v>0</v>
      </c>
      <c r="J2043" s="1">
        <v>0</v>
      </c>
      <c r="K2043">
        <v>0</v>
      </c>
      <c r="L2043">
        <v>0.27</v>
      </c>
      <c r="M2043">
        <v>0.28000000000000003</v>
      </c>
      <c r="N2043" s="1">
        <v>5000000</v>
      </c>
      <c r="O2043">
        <v>0.28000000000000003</v>
      </c>
      <c r="P2043">
        <v>1.33</v>
      </c>
      <c r="Q2043">
        <v>0.01</v>
      </c>
    </row>
    <row r="2044" spans="1:17" x14ac:dyDescent="0.25">
      <c r="A2044">
        <v>730969</v>
      </c>
      <c r="B2044" t="s">
        <v>3356</v>
      </c>
      <c r="C2044" t="s">
        <v>78</v>
      </c>
      <c r="D2044" t="s">
        <v>78</v>
      </c>
      <c r="E2044" t="s">
        <v>78</v>
      </c>
      <c r="F2044" t="s">
        <v>78</v>
      </c>
      <c r="G2044" t="s">
        <v>78</v>
      </c>
      <c r="H2044">
        <v>0.01</v>
      </c>
      <c r="I2044" s="1">
        <v>0</v>
      </c>
      <c r="J2044" s="1">
        <v>0</v>
      </c>
      <c r="K2044">
        <v>0</v>
      </c>
      <c r="L2044">
        <v>0.02</v>
      </c>
      <c r="M2044">
        <v>0.03</v>
      </c>
      <c r="N2044" s="1">
        <v>10000000</v>
      </c>
      <c r="O2044">
        <v>0.02</v>
      </c>
      <c r="P2044">
        <v>1.34</v>
      </c>
      <c r="Q2044">
        <v>0.01</v>
      </c>
    </row>
    <row r="2045" spans="1:17" x14ac:dyDescent="0.25">
      <c r="A2045">
        <v>730970</v>
      </c>
      <c r="B2045" t="s">
        <v>3357</v>
      </c>
      <c r="C2045" t="s">
        <v>78</v>
      </c>
      <c r="D2045" t="s">
        <v>78</v>
      </c>
      <c r="E2045" t="s">
        <v>78</v>
      </c>
      <c r="F2045" t="s">
        <v>78</v>
      </c>
      <c r="G2045" t="s">
        <v>78</v>
      </c>
      <c r="H2045">
        <v>0.01</v>
      </c>
      <c r="I2045" s="1">
        <v>0</v>
      </c>
      <c r="J2045" s="1">
        <v>0</v>
      </c>
      <c r="K2045">
        <v>0</v>
      </c>
      <c r="L2045">
        <v>0</v>
      </c>
      <c r="M2045">
        <v>0.01</v>
      </c>
      <c r="N2045" s="1">
        <v>10000000</v>
      </c>
      <c r="O2045">
        <v>0.01</v>
      </c>
      <c r="P2045">
        <v>1.18</v>
      </c>
      <c r="Q2045">
        <v>0.01</v>
      </c>
    </row>
    <row r="2046" spans="1:17" x14ac:dyDescent="0.25">
      <c r="A2046">
        <v>730971</v>
      </c>
      <c r="B2046" t="s">
        <v>3358</v>
      </c>
      <c r="C2046">
        <v>1.31</v>
      </c>
      <c r="D2046">
        <v>0.06</v>
      </c>
      <c r="E2046">
        <v>1.31</v>
      </c>
      <c r="F2046">
        <v>1.31</v>
      </c>
      <c r="G2046">
        <v>1.31</v>
      </c>
      <c r="H2046">
        <v>1.31</v>
      </c>
      <c r="I2046" s="1">
        <v>5000</v>
      </c>
      <c r="J2046" s="1">
        <v>6550</v>
      </c>
      <c r="K2046">
        <v>1</v>
      </c>
      <c r="L2046">
        <v>1.38</v>
      </c>
      <c r="M2046">
        <v>1.47</v>
      </c>
      <c r="N2046" s="1">
        <v>5000000</v>
      </c>
      <c r="O2046">
        <v>1.31</v>
      </c>
      <c r="P2046">
        <v>2.31</v>
      </c>
      <c r="Q2046">
        <v>0.31</v>
      </c>
    </row>
    <row r="2047" spans="1:17" x14ac:dyDescent="0.25">
      <c r="A2047">
        <v>730972</v>
      </c>
      <c r="B2047" t="s">
        <v>3359</v>
      </c>
      <c r="C2047" t="s">
        <v>78</v>
      </c>
      <c r="D2047" t="s">
        <v>78</v>
      </c>
      <c r="E2047" t="s">
        <v>78</v>
      </c>
      <c r="F2047" t="s">
        <v>78</v>
      </c>
      <c r="G2047" t="s">
        <v>78</v>
      </c>
      <c r="H2047">
        <v>0.2</v>
      </c>
      <c r="I2047" s="1">
        <v>0</v>
      </c>
      <c r="J2047" s="1">
        <v>0</v>
      </c>
      <c r="K2047">
        <v>0</v>
      </c>
      <c r="L2047">
        <v>0.23</v>
      </c>
      <c r="M2047">
        <v>0.24</v>
      </c>
      <c r="N2047" s="1">
        <v>10000000</v>
      </c>
      <c r="O2047">
        <v>0.23</v>
      </c>
      <c r="P2047">
        <v>2.13</v>
      </c>
      <c r="Q2047">
        <v>0.01</v>
      </c>
    </row>
    <row r="2048" spans="1:17" x14ac:dyDescent="0.25">
      <c r="A2048">
        <v>730973</v>
      </c>
      <c r="B2048" t="s">
        <v>3360</v>
      </c>
      <c r="C2048" t="s">
        <v>78</v>
      </c>
      <c r="D2048" t="s">
        <v>78</v>
      </c>
      <c r="E2048" t="s">
        <v>78</v>
      </c>
      <c r="F2048" t="s">
        <v>78</v>
      </c>
      <c r="G2048" t="s">
        <v>78</v>
      </c>
      <c r="H2048">
        <v>0.03</v>
      </c>
      <c r="I2048" s="1">
        <v>0</v>
      </c>
      <c r="J2048" s="1">
        <v>0</v>
      </c>
      <c r="K2048">
        <v>0</v>
      </c>
      <c r="L2048">
        <v>0.03</v>
      </c>
      <c r="M2048">
        <v>0.04</v>
      </c>
      <c r="N2048" s="1">
        <v>5000000</v>
      </c>
      <c r="O2048">
        <v>0.03</v>
      </c>
      <c r="P2048">
        <v>1.18</v>
      </c>
      <c r="Q2048">
        <v>0.01</v>
      </c>
    </row>
    <row r="2049" spans="1:17" x14ac:dyDescent="0.25">
      <c r="A2049">
        <v>730974</v>
      </c>
      <c r="B2049" t="s">
        <v>3361</v>
      </c>
      <c r="C2049">
        <v>0.26</v>
      </c>
      <c r="D2049">
        <v>-7.0000000000000007E-2</v>
      </c>
      <c r="E2049">
        <v>0.3</v>
      </c>
      <c r="F2049">
        <v>0.32</v>
      </c>
      <c r="G2049">
        <v>0.26</v>
      </c>
      <c r="H2049">
        <v>0.28000000000000003</v>
      </c>
      <c r="I2049" s="1">
        <v>46000</v>
      </c>
      <c r="J2049" s="1">
        <v>12710</v>
      </c>
      <c r="K2049">
        <v>8</v>
      </c>
      <c r="L2049">
        <v>0.25</v>
      </c>
      <c r="M2049">
        <v>0.26</v>
      </c>
      <c r="N2049" s="1">
        <v>10000000</v>
      </c>
      <c r="O2049">
        <v>0.26</v>
      </c>
      <c r="P2049">
        <v>0.63</v>
      </c>
      <c r="Q2049">
        <v>0.01</v>
      </c>
    </row>
    <row r="2050" spans="1:17" x14ac:dyDescent="0.25">
      <c r="A2050">
        <v>730975</v>
      </c>
      <c r="B2050" t="s">
        <v>3362</v>
      </c>
      <c r="C2050">
        <v>0.39</v>
      </c>
      <c r="D2050">
        <v>-0.03</v>
      </c>
      <c r="E2050">
        <v>0.39</v>
      </c>
      <c r="F2050">
        <v>0.39</v>
      </c>
      <c r="G2050">
        <v>0.39</v>
      </c>
      <c r="H2050">
        <v>0.39</v>
      </c>
      <c r="I2050" s="1">
        <v>5000</v>
      </c>
      <c r="J2050" s="1">
        <v>1950</v>
      </c>
      <c r="K2050">
        <v>1</v>
      </c>
      <c r="L2050">
        <v>0.39</v>
      </c>
      <c r="M2050">
        <v>0.4</v>
      </c>
      <c r="N2050" s="1">
        <v>10000000</v>
      </c>
      <c r="O2050">
        <v>0.39</v>
      </c>
      <c r="P2050">
        <v>0.8</v>
      </c>
      <c r="Q2050">
        <v>0.01</v>
      </c>
    </row>
    <row r="2051" spans="1:17" x14ac:dyDescent="0.25">
      <c r="A2051">
        <v>730976</v>
      </c>
      <c r="B2051" t="s">
        <v>3363</v>
      </c>
      <c r="C2051" t="s">
        <v>78</v>
      </c>
      <c r="D2051" t="s">
        <v>78</v>
      </c>
      <c r="E2051" t="s">
        <v>78</v>
      </c>
      <c r="F2051" t="s">
        <v>78</v>
      </c>
      <c r="G2051" t="s">
        <v>78</v>
      </c>
      <c r="H2051">
        <v>7.0000000000000007E-2</v>
      </c>
      <c r="I2051" s="1">
        <v>0</v>
      </c>
      <c r="J2051" s="1">
        <v>0</v>
      </c>
      <c r="K2051">
        <v>0</v>
      </c>
      <c r="L2051">
        <v>0.05</v>
      </c>
      <c r="M2051">
        <v>0.11</v>
      </c>
      <c r="N2051" s="1">
        <v>10000000</v>
      </c>
      <c r="O2051">
        <v>7.0000000000000007E-2</v>
      </c>
      <c r="P2051">
        <v>0.73</v>
      </c>
      <c r="Q2051">
        <v>0.01</v>
      </c>
    </row>
    <row r="2052" spans="1:17" x14ac:dyDescent="0.25">
      <c r="A2052">
        <v>730977</v>
      </c>
      <c r="B2052" t="s">
        <v>3364</v>
      </c>
      <c r="C2052" t="s">
        <v>78</v>
      </c>
      <c r="D2052" t="s">
        <v>78</v>
      </c>
      <c r="E2052" t="s">
        <v>78</v>
      </c>
      <c r="F2052" t="s">
        <v>78</v>
      </c>
      <c r="G2052" t="s">
        <v>78</v>
      </c>
      <c r="H2052">
        <v>0.05</v>
      </c>
      <c r="I2052" s="1">
        <v>0</v>
      </c>
      <c r="J2052" s="1">
        <v>0</v>
      </c>
      <c r="K2052">
        <v>0</v>
      </c>
      <c r="L2052">
        <v>0.01</v>
      </c>
      <c r="M2052">
        <v>0.04</v>
      </c>
      <c r="N2052" s="1">
        <v>10000000</v>
      </c>
      <c r="O2052">
        <v>0.04</v>
      </c>
      <c r="P2052">
        <v>1.04</v>
      </c>
      <c r="Q2052">
        <v>0.01</v>
      </c>
    </row>
    <row r="2053" spans="1:17" x14ac:dyDescent="0.25">
      <c r="A2053">
        <v>730978</v>
      </c>
      <c r="B2053" t="s">
        <v>3365</v>
      </c>
      <c r="C2053" t="s">
        <v>78</v>
      </c>
      <c r="D2053" t="s">
        <v>78</v>
      </c>
      <c r="E2053" t="s">
        <v>78</v>
      </c>
      <c r="F2053" t="s">
        <v>78</v>
      </c>
      <c r="G2053" t="s">
        <v>78</v>
      </c>
      <c r="H2053">
        <v>15.6</v>
      </c>
      <c r="I2053" s="1">
        <v>0</v>
      </c>
      <c r="J2053" s="1">
        <v>0</v>
      </c>
      <c r="K2053">
        <v>0</v>
      </c>
      <c r="L2053">
        <v>10.5</v>
      </c>
      <c r="M2053">
        <v>11.5</v>
      </c>
      <c r="N2053" s="1">
        <v>10000000</v>
      </c>
      <c r="O2053">
        <v>10.5</v>
      </c>
      <c r="P2053">
        <v>12.8</v>
      </c>
      <c r="Q2053">
        <v>8.1</v>
      </c>
    </row>
    <row r="2054" spans="1:17" x14ac:dyDescent="0.25">
      <c r="A2054">
        <v>730979</v>
      </c>
      <c r="B2054" t="s">
        <v>3366</v>
      </c>
      <c r="C2054" t="s">
        <v>78</v>
      </c>
      <c r="D2054" t="s">
        <v>78</v>
      </c>
      <c r="E2054" t="s">
        <v>78</v>
      </c>
      <c r="F2054" t="s">
        <v>78</v>
      </c>
      <c r="G2054" t="s">
        <v>78</v>
      </c>
      <c r="H2054">
        <v>0.01</v>
      </c>
      <c r="I2054" s="1">
        <v>0</v>
      </c>
      <c r="J2054" s="1">
        <v>0</v>
      </c>
      <c r="K2054">
        <v>0</v>
      </c>
      <c r="L2054">
        <v>0</v>
      </c>
      <c r="M2054">
        <v>0.01</v>
      </c>
      <c r="N2054" s="1">
        <v>5000000</v>
      </c>
      <c r="O2054">
        <v>0.01</v>
      </c>
      <c r="P2054">
        <v>1.31</v>
      </c>
      <c r="Q2054">
        <v>0.01</v>
      </c>
    </row>
    <row r="2055" spans="1:17" x14ac:dyDescent="0.25">
      <c r="A2055">
        <v>730980</v>
      </c>
      <c r="B2055" t="s">
        <v>3367</v>
      </c>
      <c r="C2055" t="s">
        <v>78</v>
      </c>
      <c r="D2055" t="s">
        <v>78</v>
      </c>
      <c r="E2055" t="s">
        <v>78</v>
      </c>
      <c r="F2055" t="s">
        <v>78</v>
      </c>
      <c r="G2055" t="s">
        <v>78</v>
      </c>
      <c r="H2055">
        <v>0.34</v>
      </c>
      <c r="I2055" s="1">
        <v>0</v>
      </c>
      <c r="J2055" s="1">
        <v>0</v>
      </c>
      <c r="K2055">
        <v>0</v>
      </c>
      <c r="L2055">
        <v>0.28000000000000003</v>
      </c>
      <c r="M2055">
        <v>0.28999999999999998</v>
      </c>
      <c r="N2055" s="1">
        <v>5000000</v>
      </c>
      <c r="O2055">
        <v>0.28999999999999998</v>
      </c>
      <c r="P2055">
        <v>0.82</v>
      </c>
      <c r="Q2055">
        <v>0.01</v>
      </c>
    </row>
    <row r="2056" spans="1:17" x14ac:dyDescent="0.25">
      <c r="A2056">
        <v>730981</v>
      </c>
      <c r="B2056" t="s">
        <v>3368</v>
      </c>
      <c r="C2056" t="s">
        <v>78</v>
      </c>
      <c r="D2056" t="s">
        <v>78</v>
      </c>
      <c r="E2056" t="s">
        <v>78</v>
      </c>
      <c r="F2056" t="s">
        <v>78</v>
      </c>
      <c r="G2056" t="s">
        <v>78</v>
      </c>
      <c r="H2056">
        <v>0.09</v>
      </c>
      <c r="I2056" s="1">
        <v>0</v>
      </c>
      <c r="J2056" s="1">
        <v>0</v>
      </c>
      <c r="K2056">
        <v>0</v>
      </c>
      <c r="L2056">
        <v>0.06</v>
      </c>
      <c r="M2056">
        <v>7.0000000000000007E-2</v>
      </c>
      <c r="N2056" s="1">
        <v>10000000</v>
      </c>
      <c r="O2056">
        <v>7.0000000000000007E-2</v>
      </c>
      <c r="P2056">
        <v>1.4</v>
      </c>
      <c r="Q2056">
        <v>0.01</v>
      </c>
    </row>
    <row r="2057" spans="1:17" x14ac:dyDescent="0.25">
      <c r="A2057">
        <v>730982</v>
      </c>
      <c r="B2057" t="s">
        <v>3369</v>
      </c>
      <c r="C2057" t="s">
        <v>78</v>
      </c>
      <c r="D2057" t="s">
        <v>78</v>
      </c>
      <c r="E2057" t="s">
        <v>78</v>
      </c>
      <c r="F2057" t="s">
        <v>78</v>
      </c>
      <c r="G2057" t="s">
        <v>78</v>
      </c>
      <c r="H2057">
        <v>0.1</v>
      </c>
      <c r="I2057" s="1">
        <v>0</v>
      </c>
      <c r="J2057" s="1">
        <v>0</v>
      </c>
      <c r="K2057">
        <v>0</v>
      </c>
      <c r="L2057">
        <v>0.12</v>
      </c>
      <c r="M2057">
        <v>0.14000000000000001</v>
      </c>
      <c r="N2057" s="1">
        <v>5000000</v>
      </c>
      <c r="O2057">
        <v>0.12</v>
      </c>
      <c r="P2057">
        <v>1.1599999999999999</v>
      </c>
      <c r="Q2057">
        <v>0.01</v>
      </c>
    </row>
    <row r="2058" spans="1:17" x14ac:dyDescent="0.25">
      <c r="A2058">
        <v>730983</v>
      </c>
      <c r="B2058" t="s">
        <v>3370</v>
      </c>
      <c r="C2058" t="s">
        <v>78</v>
      </c>
      <c r="D2058" t="s">
        <v>78</v>
      </c>
      <c r="E2058" t="s">
        <v>78</v>
      </c>
      <c r="F2058" t="s">
        <v>78</v>
      </c>
      <c r="G2058" t="s">
        <v>78</v>
      </c>
      <c r="H2058">
        <v>0.01</v>
      </c>
      <c r="I2058" s="1">
        <v>0</v>
      </c>
      <c r="J2058" s="1">
        <v>0</v>
      </c>
      <c r="K2058">
        <v>0</v>
      </c>
      <c r="L2058">
        <v>0</v>
      </c>
      <c r="M2058">
        <v>0.01</v>
      </c>
      <c r="N2058" s="1">
        <v>10000000</v>
      </c>
      <c r="O2058">
        <v>0.01</v>
      </c>
      <c r="P2058">
        <v>0.88</v>
      </c>
      <c r="Q2058">
        <v>0.01</v>
      </c>
    </row>
    <row r="2059" spans="1:17" x14ac:dyDescent="0.25">
      <c r="A2059">
        <v>730984</v>
      </c>
      <c r="B2059" t="s">
        <v>3371</v>
      </c>
      <c r="C2059" t="s">
        <v>78</v>
      </c>
      <c r="D2059" t="s">
        <v>78</v>
      </c>
      <c r="E2059" t="s">
        <v>78</v>
      </c>
      <c r="F2059" t="s">
        <v>78</v>
      </c>
      <c r="G2059" t="s">
        <v>78</v>
      </c>
      <c r="H2059">
        <v>1.44</v>
      </c>
      <c r="I2059" s="1">
        <v>0</v>
      </c>
      <c r="J2059" s="1">
        <v>0</v>
      </c>
      <c r="K2059">
        <v>0</v>
      </c>
      <c r="L2059">
        <v>1.99</v>
      </c>
      <c r="M2059">
        <v>2.08</v>
      </c>
      <c r="N2059" s="1">
        <v>10000000</v>
      </c>
      <c r="O2059">
        <v>1.99</v>
      </c>
      <c r="P2059">
        <v>2.75</v>
      </c>
      <c r="Q2059">
        <v>1.23</v>
      </c>
    </row>
    <row r="2060" spans="1:17" x14ac:dyDescent="0.25">
      <c r="A2060">
        <v>730985</v>
      </c>
      <c r="B2060" t="s">
        <v>3372</v>
      </c>
      <c r="C2060" t="s">
        <v>78</v>
      </c>
      <c r="D2060" t="s">
        <v>78</v>
      </c>
      <c r="E2060" t="s">
        <v>78</v>
      </c>
      <c r="F2060" t="s">
        <v>78</v>
      </c>
      <c r="G2060" t="s">
        <v>78</v>
      </c>
      <c r="H2060">
        <v>0.1</v>
      </c>
      <c r="I2060" s="1">
        <v>0</v>
      </c>
      <c r="J2060" s="1">
        <v>0</v>
      </c>
      <c r="K2060">
        <v>0</v>
      </c>
      <c r="L2060">
        <v>0</v>
      </c>
      <c r="M2060">
        <v>0.08</v>
      </c>
      <c r="N2060" s="1">
        <v>5000000</v>
      </c>
      <c r="O2060">
        <v>0.08</v>
      </c>
      <c r="P2060">
        <v>0.8</v>
      </c>
      <c r="Q2060">
        <v>0.01</v>
      </c>
    </row>
    <row r="2061" spans="1:17" x14ac:dyDescent="0.25">
      <c r="A2061">
        <v>730986</v>
      </c>
      <c r="B2061" t="s">
        <v>3373</v>
      </c>
      <c r="C2061" t="s">
        <v>78</v>
      </c>
      <c r="D2061" t="s">
        <v>78</v>
      </c>
      <c r="E2061" t="s">
        <v>78</v>
      </c>
      <c r="F2061" t="s">
        <v>78</v>
      </c>
      <c r="G2061" t="s">
        <v>78</v>
      </c>
      <c r="H2061">
        <v>3.5</v>
      </c>
      <c r="I2061" s="1">
        <v>0</v>
      </c>
      <c r="J2061" s="1">
        <v>0</v>
      </c>
      <c r="K2061">
        <v>0</v>
      </c>
      <c r="L2061">
        <v>4.28</v>
      </c>
      <c r="M2061">
        <v>0</v>
      </c>
      <c r="N2061" s="1">
        <v>10000000</v>
      </c>
      <c r="O2061">
        <v>4.6900000000000004</v>
      </c>
      <c r="P2061">
        <v>6.05</v>
      </c>
      <c r="Q2061">
        <v>3.3</v>
      </c>
    </row>
    <row r="2062" spans="1:17" x14ac:dyDescent="0.25">
      <c r="A2062">
        <v>730987</v>
      </c>
      <c r="B2062" t="s">
        <v>3374</v>
      </c>
      <c r="C2062" t="s">
        <v>78</v>
      </c>
      <c r="D2062" t="s">
        <v>78</v>
      </c>
      <c r="E2062" t="s">
        <v>78</v>
      </c>
      <c r="F2062" t="s">
        <v>78</v>
      </c>
      <c r="G2062" t="s">
        <v>78</v>
      </c>
      <c r="H2062">
        <v>0.02</v>
      </c>
      <c r="I2062" s="1">
        <v>0</v>
      </c>
      <c r="J2062" s="1">
        <v>0</v>
      </c>
      <c r="K2062">
        <v>0</v>
      </c>
      <c r="L2062">
        <v>0.01</v>
      </c>
      <c r="M2062">
        <v>0.02</v>
      </c>
      <c r="N2062" s="1">
        <v>10000000</v>
      </c>
      <c r="O2062">
        <v>0.02</v>
      </c>
      <c r="P2062">
        <v>0.54</v>
      </c>
      <c r="Q2062">
        <v>0.01</v>
      </c>
    </row>
    <row r="2063" spans="1:17" x14ac:dyDescent="0.25">
      <c r="A2063">
        <v>730988</v>
      </c>
      <c r="B2063" t="s">
        <v>3375</v>
      </c>
      <c r="C2063" t="s">
        <v>78</v>
      </c>
      <c r="D2063" t="s">
        <v>78</v>
      </c>
      <c r="E2063" t="s">
        <v>78</v>
      </c>
      <c r="F2063" t="s">
        <v>78</v>
      </c>
      <c r="G2063" t="s">
        <v>78</v>
      </c>
      <c r="H2063">
        <v>0.02</v>
      </c>
      <c r="I2063" s="1">
        <v>0</v>
      </c>
      <c r="J2063" s="1">
        <v>0</v>
      </c>
      <c r="K2063">
        <v>0</v>
      </c>
      <c r="L2063">
        <v>0.02</v>
      </c>
      <c r="M2063">
        <v>0.03</v>
      </c>
      <c r="N2063" s="1">
        <v>10000000</v>
      </c>
      <c r="O2063">
        <v>0.02</v>
      </c>
      <c r="P2063">
        <v>0.38</v>
      </c>
      <c r="Q2063">
        <v>0.01</v>
      </c>
    </row>
    <row r="2064" spans="1:17" x14ac:dyDescent="0.25">
      <c r="A2064">
        <v>730989</v>
      </c>
      <c r="B2064" t="s">
        <v>3376</v>
      </c>
      <c r="C2064" t="s">
        <v>78</v>
      </c>
      <c r="D2064" t="s">
        <v>78</v>
      </c>
      <c r="E2064" t="s">
        <v>78</v>
      </c>
      <c r="F2064" t="s">
        <v>78</v>
      </c>
      <c r="G2064" t="s">
        <v>78</v>
      </c>
      <c r="H2064">
        <v>0.1</v>
      </c>
      <c r="I2064" s="1">
        <v>0</v>
      </c>
      <c r="J2064" s="1">
        <v>0</v>
      </c>
      <c r="K2064">
        <v>0</v>
      </c>
      <c r="L2064">
        <v>0.01</v>
      </c>
      <c r="M2064">
        <v>0.02</v>
      </c>
      <c r="N2064" s="1">
        <v>10000000</v>
      </c>
      <c r="O2064">
        <v>0.02</v>
      </c>
      <c r="P2064">
        <v>0.74</v>
      </c>
      <c r="Q2064">
        <v>0.01</v>
      </c>
    </row>
    <row r="2065" spans="1:17" x14ac:dyDescent="0.25">
      <c r="A2065">
        <v>730990</v>
      </c>
      <c r="B2065" t="s">
        <v>3377</v>
      </c>
      <c r="C2065" t="s">
        <v>78</v>
      </c>
      <c r="D2065" t="s">
        <v>78</v>
      </c>
      <c r="E2065" t="s">
        <v>78</v>
      </c>
      <c r="F2065" t="s">
        <v>78</v>
      </c>
      <c r="G2065" t="s">
        <v>78</v>
      </c>
      <c r="H2065">
        <v>2.73</v>
      </c>
      <c r="I2065" s="1">
        <v>0</v>
      </c>
      <c r="J2065" s="1">
        <v>0</v>
      </c>
      <c r="K2065">
        <v>0</v>
      </c>
      <c r="L2065">
        <v>2.71</v>
      </c>
      <c r="M2065">
        <v>2.79</v>
      </c>
      <c r="N2065" s="1">
        <v>15000000</v>
      </c>
      <c r="O2065">
        <v>2.73</v>
      </c>
      <c r="P2065">
        <v>3.71</v>
      </c>
      <c r="Q2065">
        <v>1.75</v>
      </c>
    </row>
    <row r="2066" spans="1:17" x14ac:dyDescent="0.25">
      <c r="A2066">
        <v>730991</v>
      </c>
      <c r="B2066" t="s">
        <v>3378</v>
      </c>
      <c r="C2066" t="s">
        <v>78</v>
      </c>
      <c r="D2066" t="s">
        <v>78</v>
      </c>
      <c r="E2066" t="s">
        <v>78</v>
      </c>
      <c r="F2066" t="s">
        <v>78</v>
      </c>
      <c r="G2066" t="s">
        <v>78</v>
      </c>
      <c r="H2066">
        <v>2</v>
      </c>
      <c r="I2066" s="1">
        <v>0</v>
      </c>
      <c r="J2066" s="1">
        <v>0</v>
      </c>
      <c r="K2066">
        <v>0</v>
      </c>
      <c r="L2066">
        <v>1.64</v>
      </c>
      <c r="M2066">
        <v>1.74</v>
      </c>
      <c r="N2066" s="1">
        <v>5000000</v>
      </c>
      <c r="O2066">
        <v>1.74</v>
      </c>
      <c r="P2066">
        <v>2.91</v>
      </c>
      <c r="Q2066">
        <v>0.56999999999999995</v>
      </c>
    </row>
    <row r="2067" spans="1:17" x14ac:dyDescent="0.25">
      <c r="A2067">
        <v>730992</v>
      </c>
      <c r="B2067" t="s">
        <v>3379</v>
      </c>
      <c r="C2067">
        <v>1.52</v>
      </c>
      <c r="D2067">
        <v>0.15</v>
      </c>
      <c r="E2067">
        <v>1.41</v>
      </c>
      <c r="F2067">
        <v>1.54</v>
      </c>
      <c r="G2067">
        <v>1.41</v>
      </c>
      <c r="H2067">
        <v>1.48</v>
      </c>
      <c r="I2067" s="1">
        <v>175000</v>
      </c>
      <c r="J2067" s="1">
        <v>258150</v>
      </c>
      <c r="K2067">
        <v>14</v>
      </c>
      <c r="L2067">
        <v>1.44</v>
      </c>
      <c r="M2067">
        <v>1.47</v>
      </c>
      <c r="N2067" s="1">
        <v>5000000</v>
      </c>
      <c r="O2067">
        <v>1.52</v>
      </c>
      <c r="P2067">
        <v>2.75</v>
      </c>
      <c r="Q2067">
        <v>0.28999999999999998</v>
      </c>
    </row>
    <row r="2068" spans="1:17" x14ac:dyDescent="0.25">
      <c r="A2068">
        <v>730993</v>
      </c>
      <c r="B2068" t="s">
        <v>3380</v>
      </c>
      <c r="C2068" t="s">
        <v>78</v>
      </c>
      <c r="D2068" t="s">
        <v>78</v>
      </c>
      <c r="E2068" t="s">
        <v>78</v>
      </c>
      <c r="F2068" t="s">
        <v>78</v>
      </c>
      <c r="G2068" t="s">
        <v>78</v>
      </c>
      <c r="H2068">
        <v>8.85</v>
      </c>
      <c r="I2068" s="1">
        <v>0</v>
      </c>
      <c r="J2068" s="1">
        <v>0</v>
      </c>
      <c r="K2068">
        <v>0</v>
      </c>
      <c r="L2068">
        <v>7.85</v>
      </c>
      <c r="M2068">
        <v>8.1</v>
      </c>
      <c r="N2068" s="1">
        <v>5000000</v>
      </c>
      <c r="O2068">
        <v>7.85</v>
      </c>
      <c r="P2068">
        <v>9.9</v>
      </c>
      <c r="Q2068">
        <v>5.8</v>
      </c>
    </row>
    <row r="2069" spans="1:17" x14ac:dyDescent="0.25">
      <c r="A2069">
        <v>730994</v>
      </c>
      <c r="B2069" t="s">
        <v>3381</v>
      </c>
      <c r="C2069" t="s">
        <v>78</v>
      </c>
      <c r="D2069" t="s">
        <v>78</v>
      </c>
      <c r="E2069" t="s">
        <v>78</v>
      </c>
      <c r="F2069" t="s">
        <v>78</v>
      </c>
      <c r="G2069" t="s">
        <v>78</v>
      </c>
      <c r="H2069">
        <v>4.25</v>
      </c>
      <c r="I2069" s="1">
        <v>0</v>
      </c>
      <c r="J2069" s="1">
        <v>0</v>
      </c>
      <c r="K2069">
        <v>0</v>
      </c>
      <c r="L2069">
        <v>5.7</v>
      </c>
      <c r="M2069">
        <v>5.75</v>
      </c>
      <c r="N2069" s="1">
        <v>5000000</v>
      </c>
      <c r="O2069">
        <v>5.75</v>
      </c>
      <c r="P2069">
        <v>7.7</v>
      </c>
      <c r="Q2069">
        <v>3.79</v>
      </c>
    </row>
    <row r="2070" spans="1:17" x14ac:dyDescent="0.25">
      <c r="A2070">
        <v>730995</v>
      </c>
      <c r="B2070" t="s">
        <v>3382</v>
      </c>
      <c r="C2070">
        <v>0.8</v>
      </c>
      <c r="D2070">
        <v>0.01</v>
      </c>
      <c r="E2070">
        <v>0.83</v>
      </c>
      <c r="F2070">
        <v>0.84</v>
      </c>
      <c r="G2070">
        <v>0.8</v>
      </c>
      <c r="H2070">
        <v>0.81</v>
      </c>
      <c r="I2070" s="1">
        <v>231000</v>
      </c>
      <c r="J2070" s="1">
        <v>187560</v>
      </c>
      <c r="K2070">
        <v>10</v>
      </c>
      <c r="L2070">
        <v>0.79</v>
      </c>
      <c r="M2070">
        <v>0.8</v>
      </c>
      <c r="N2070" s="1">
        <v>5000000</v>
      </c>
      <c r="O2070">
        <v>0.8</v>
      </c>
      <c r="P2070">
        <v>1.74</v>
      </c>
      <c r="Q2070">
        <v>0.01</v>
      </c>
    </row>
    <row r="2071" spans="1:17" x14ac:dyDescent="0.25">
      <c r="A2071">
        <v>730996</v>
      </c>
      <c r="B2071" t="s">
        <v>3383</v>
      </c>
      <c r="C2071" t="s">
        <v>78</v>
      </c>
      <c r="D2071" t="s">
        <v>78</v>
      </c>
      <c r="E2071" t="s">
        <v>78</v>
      </c>
      <c r="F2071" t="s">
        <v>78</v>
      </c>
      <c r="G2071" t="s">
        <v>78</v>
      </c>
      <c r="H2071">
        <v>4.68</v>
      </c>
      <c r="I2071" s="1">
        <v>0</v>
      </c>
      <c r="J2071" s="1">
        <v>0</v>
      </c>
      <c r="K2071">
        <v>0</v>
      </c>
      <c r="L2071">
        <v>3.39</v>
      </c>
      <c r="M2071">
        <v>0</v>
      </c>
      <c r="N2071" s="1">
        <v>5000000</v>
      </c>
      <c r="O2071">
        <v>3.39</v>
      </c>
      <c r="P2071">
        <v>4.4400000000000004</v>
      </c>
      <c r="Q2071">
        <v>2.34</v>
      </c>
    </row>
    <row r="2072" spans="1:17" x14ac:dyDescent="0.25">
      <c r="A2072">
        <v>730997</v>
      </c>
      <c r="B2072" t="s">
        <v>3384</v>
      </c>
      <c r="C2072" t="s">
        <v>78</v>
      </c>
      <c r="D2072" t="s">
        <v>78</v>
      </c>
      <c r="E2072" t="s">
        <v>78</v>
      </c>
      <c r="F2072" t="s">
        <v>78</v>
      </c>
      <c r="G2072" t="s">
        <v>78</v>
      </c>
      <c r="H2072">
        <v>0.01</v>
      </c>
      <c r="I2072" s="1">
        <v>0</v>
      </c>
      <c r="J2072" s="1">
        <v>0</v>
      </c>
      <c r="K2072">
        <v>0</v>
      </c>
      <c r="L2072">
        <v>0</v>
      </c>
      <c r="M2072">
        <v>0.01</v>
      </c>
      <c r="N2072" s="1">
        <v>10000000</v>
      </c>
      <c r="O2072">
        <v>0.01</v>
      </c>
      <c r="P2072">
        <v>1.46</v>
      </c>
      <c r="Q2072">
        <v>0.01</v>
      </c>
    </row>
    <row r="2073" spans="1:17" x14ac:dyDescent="0.25">
      <c r="A2073">
        <v>730998</v>
      </c>
      <c r="B2073" t="s">
        <v>3385</v>
      </c>
      <c r="C2073" t="s">
        <v>78</v>
      </c>
      <c r="D2073" t="s">
        <v>78</v>
      </c>
      <c r="E2073" t="s">
        <v>78</v>
      </c>
      <c r="F2073" t="s">
        <v>78</v>
      </c>
      <c r="G2073" t="s">
        <v>78</v>
      </c>
      <c r="H2073">
        <v>0.01</v>
      </c>
      <c r="I2073" s="1">
        <v>0</v>
      </c>
      <c r="J2073" s="1">
        <v>0</v>
      </c>
      <c r="K2073">
        <v>0</v>
      </c>
      <c r="L2073">
        <v>0.01</v>
      </c>
      <c r="M2073">
        <v>0.02</v>
      </c>
      <c r="N2073" s="1">
        <v>5000000</v>
      </c>
      <c r="O2073">
        <v>0.01</v>
      </c>
      <c r="P2073">
        <v>1.46</v>
      </c>
      <c r="Q2073">
        <v>0.01</v>
      </c>
    </row>
    <row r="2074" spans="1:17" x14ac:dyDescent="0.25">
      <c r="A2074">
        <v>730999</v>
      </c>
      <c r="B2074" t="s">
        <v>3386</v>
      </c>
      <c r="C2074">
        <v>0.37</v>
      </c>
      <c r="D2074">
        <v>0.1</v>
      </c>
      <c r="E2074">
        <v>0.35</v>
      </c>
      <c r="F2074">
        <v>0.37</v>
      </c>
      <c r="G2074">
        <v>0.35</v>
      </c>
      <c r="H2074">
        <v>0.36</v>
      </c>
      <c r="I2074" s="1">
        <v>200000</v>
      </c>
      <c r="J2074" s="1">
        <v>72000</v>
      </c>
      <c r="K2074">
        <v>2</v>
      </c>
      <c r="L2074">
        <v>0.3</v>
      </c>
      <c r="M2074">
        <v>0.31</v>
      </c>
      <c r="N2074" s="1">
        <v>10000000</v>
      </c>
      <c r="O2074">
        <v>0.37</v>
      </c>
      <c r="P2074">
        <v>1.1299999999999999</v>
      </c>
      <c r="Q2074">
        <v>0.01</v>
      </c>
    </row>
    <row r="2075" spans="1:17" x14ac:dyDescent="0.25">
      <c r="A2075">
        <v>731000</v>
      </c>
      <c r="B2075" t="s">
        <v>3387</v>
      </c>
      <c r="C2075" t="s">
        <v>78</v>
      </c>
      <c r="D2075" t="s">
        <v>78</v>
      </c>
      <c r="E2075" t="s">
        <v>78</v>
      </c>
      <c r="F2075" t="s">
        <v>78</v>
      </c>
      <c r="G2075" t="s">
        <v>78</v>
      </c>
      <c r="H2075">
        <v>0.01</v>
      </c>
      <c r="I2075" s="1">
        <v>0</v>
      </c>
      <c r="J2075" s="1">
        <v>0</v>
      </c>
      <c r="K2075">
        <v>0</v>
      </c>
      <c r="L2075">
        <v>0</v>
      </c>
      <c r="M2075">
        <v>0.04</v>
      </c>
      <c r="N2075" s="1">
        <v>5111000</v>
      </c>
      <c r="O2075">
        <v>0.01</v>
      </c>
      <c r="P2075">
        <v>0.62</v>
      </c>
      <c r="Q2075">
        <v>0.01</v>
      </c>
    </row>
    <row r="2076" spans="1:17" x14ac:dyDescent="0.25">
      <c r="A2076">
        <v>731001</v>
      </c>
      <c r="B2076" t="s">
        <v>3388</v>
      </c>
      <c r="C2076" t="s">
        <v>78</v>
      </c>
      <c r="D2076" t="s">
        <v>78</v>
      </c>
      <c r="E2076" t="s">
        <v>78</v>
      </c>
      <c r="F2076" t="s">
        <v>78</v>
      </c>
      <c r="G2076" t="s">
        <v>78</v>
      </c>
      <c r="H2076">
        <v>7.0000000000000007E-2</v>
      </c>
      <c r="I2076" s="1">
        <v>0</v>
      </c>
      <c r="J2076" s="1">
        <v>0</v>
      </c>
      <c r="K2076">
        <v>0</v>
      </c>
      <c r="L2076">
        <v>0.04</v>
      </c>
      <c r="M2076">
        <v>0.05</v>
      </c>
      <c r="N2076" s="1">
        <v>10000000</v>
      </c>
      <c r="O2076">
        <v>0.05</v>
      </c>
      <c r="P2076">
        <v>0.55000000000000004</v>
      </c>
      <c r="Q2076">
        <v>0.01</v>
      </c>
    </row>
    <row r="2077" spans="1:17" x14ac:dyDescent="0.25">
      <c r="A2077">
        <v>731002</v>
      </c>
      <c r="B2077" t="s">
        <v>3389</v>
      </c>
      <c r="C2077" t="s">
        <v>78</v>
      </c>
      <c r="D2077" t="s">
        <v>78</v>
      </c>
      <c r="E2077" t="s">
        <v>78</v>
      </c>
      <c r="F2077" t="s">
        <v>78</v>
      </c>
      <c r="G2077" t="s">
        <v>78</v>
      </c>
      <c r="H2077">
        <v>0.11</v>
      </c>
      <c r="I2077" s="1">
        <v>0</v>
      </c>
      <c r="J2077" s="1">
        <v>0</v>
      </c>
      <c r="K2077">
        <v>0</v>
      </c>
      <c r="L2077">
        <v>0.01</v>
      </c>
      <c r="M2077">
        <v>0.02</v>
      </c>
      <c r="N2077" s="1">
        <v>10000000</v>
      </c>
      <c r="O2077">
        <v>0.02</v>
      </c>
      <c r="P2077">
        <v>0.74</v>
      </c>
      <c r="Q2077">
        <v>0.01</v>
      </c>
    </row>
    <row r="2078" spans="1:17" x14ac:dyDescent="0.25">
      <c r="A2078">
        <v>731003</v>
      </c>
      <c r="B2078" t="s">
        <v>3390</v>
      </c>
      <c r="C2078" t="s">
        <v>78</v>
      </c>
      <c r="D2078" t="s">
        <v>78</v>
      </c>
      <c r="E2078" t="s">
        <v>78</v>
      </c>
      <c r="F2078" t="s">
        <v>78</v>
      </c>
      <c r="G2078" t="s">
        <v>78</v>
      </c>
      <c r="H2078">
        <v>1.77</v>
      </c>
      <c r="I2078" s="1">
        <v>0</v>
      </c>
      <c r="J2078" s="1">
        <v>0</v>
      </c>
      <c r="K2078">
        <v>0</v>
      </c>
      <c r="L2078">
        <v>1.86</v>
      </c>
      <c r="M2078">
        <v>1.96</v>
      </c>
      <c r="N2078" s="1">
        <v>10000000</v>
      </c>
      <c r="O2078">
        <v>1.96</v>
      </c>
      <c r="P2078">
        <v>3.23</v>
      </c>
      <c r="Q2078">
        <v>0.69</v>
      </c>
    </row>
    <row r="2079" spans="1:17" x14ac:dyDescent="0.25">
      <c r="A2079">
        <v>731004</v>
      </c>
      <c r="B2079" t="s">
        <v>3391</v>
      </c>
      <c r="C2079" t="s">
        <v>78</v>
      </c>
      <c r="D2079" t="s">
        <v>78</v>
      </c>
      <c r="E2079" t="s">
        <v>78</v>
      </c>
      <c r="F2079" t="s">
        <v>78</v>
      </c>
      <c r="G2079" t="s">
        <v>78</v>
      </c>
      <c r="H2079">
        <v>0.03</v>
      </c>
      <c r="I2079" s="1">
        <v>0</v>
      </c>
      <c r="J2079" s="1">
        <v>0</v>
      </c>
      <c r="K2079">
        <v>0</v>
      </c>
      <c r="L2079">
        <v>0</v>
      </c>
      <c r="M2079">
        <v>0.02</v>
      </c>
      <c r="N2079" s="1">
        <v>5000000</v>
      </c>
      <c r="O2079">
        <v>0.02</v>
      </c>
      <c r="P2079">
        <v>0.4</v>
      </c>
      <c r="Q2079">
        <v>0.01</v>
      </c>
    </row>
    <row r="2080" spans="1:17" x14ac:dyDescent="0.25">
      <c r="A2080">
        <v>731005</v>
      </c>
      <c r="B2080" t="s">
        <v>3392</v>
      </c>
      <c r="C2080" t="s">
        <v>78</v>
      </c>
      <c r="D2080" t="s">
        <v>78</v>
      </c>
      <c r="E2080" t="s">
        <v>78</v>
      </c>
      <c r="F2080" t="s">
        <v>78</v>
      </c>
      <c r="G2080" t="s">
        <v>78</v>
      </c>
      <c r="H2080">
        <v>0.01</v>
      </c>
      <c r="I2080" s="1">
        <v>0</v>
      </c>
      <c r="J2080" s="1">
        <v>0</v>
      </c>
      <c r="K2080">
        <v>0</v>
      </c>
      <c r="L2080">
        <v>0</v>
      </c>
      <c r="M2080">
        <v>0.01</v>
      </c>
      <c r="N2080" s="1">
        <v>10000000</v>
      </c>
      <c r="O2080">
        <v>0.01</v>
      </c>
      <c r="P2080">
        <v>2.62</v>
      </c>
      <c r="Q2080">
        <v>0.01</v>
      </c>
    </row>
    <row r="2081" spans="1:17" x14ac:dyDescent="0.25">
      <c r="A2081">
        <v>731006</v>
      </c>
      <c r="B2081" t="s">
        <v>3393</v>
      </c>
      <c r="C2081" t="s">
        <v>78</v>
      </c>
      <c r="D2081" t="s">
        <v>78</v>
      </c>
      <c r="E2081" t="s">
        <v>78</v>
      </c>
      <c r="F2081" t="s">
        <v>78</v>
      </c>
      <c r="G2081" t="s">
        <v>78</v>
      </c>
      <c r="H2081">
        <v>2.52</v>
      </c>
      <c r="I2081" s="1">
        <v>0</v>
      </c>
      <c r="J2081" s="1">
        <v>0</v>
      </c>
      <c r="K2081">
        <v>0</v>
      </c>
      <c r="L2081">
        <v>2.86</v>
      </c>
      <c r="M2081">
        <v>2.96</v>
      </c>
      <c r="N2081" s="1">
        <v>10000000</v>
      </c>
      <c r="O2081">
        <v>2.96</v>
      </c>
      <c r="P2081">
        <v>4.0599999999999996</v>
      </c>
      <c r="Q2081">
        <v>1.86</v>
      </c>
    </row>
    <row r="2082" spans="1:17" x14ac:dyDescent="0.25">
      <c r="A2082">
        <v>731007</v>
      </c>
      <c r="B2082" t="s">
        <v>3394</v>
      </c>
      <c r="C2082" t="s">
        <v>78</v>
      </c>
      <c r="D2082" t="s">
        <v>78</v>
      </c>
      <c r="E2082" t="s">
        <v>78</v>
      </c>
      <c r="F2082" t="s">
        <v>78</v>
      </c>
      <c r="G2082" t="s">
        <v>78</v>
      </c>
      <c r="H2082">
        <v>4.1399999999999997</v>
      </c>
      <c r="I2082" s="1">
        <v>0</v>
      </c>
      <c r="J2082" s="1">
        <v>0</v>
      </c>
      <c r="K2082">
        <v>0</v>
      </c>
      <c r="L2082">
        <v>2.85</v>
      </c>
      <c r="M2082">
        <v>2.95</v>
      </c>
      <c r="N2082" s="1">
        <v>5000000</v>
      </c>
      <c r="O2082">
        <v>2.95</v>
      </c>
      <c r="P2082">
        <v>4.51</v>
      </c>
      <c r="Q2082">
        <v>1.39</v>
      </c>
    </row>
    <row r="2083" spans="1:17" x14ac:dyDescent="0.25">
      <c r="A2083">
        <v>731008</v>
      </c>
      <c r="B2083" t="s">
        <v>3395</v>
      </c>
      <c r="C2083" t="s">
        <v>78</v>
      </c>
      <c r="D2083" t="s">
        <v>78</v>
      </c>
      <c r="E2083" t="s">
        <v>78</v>
      </c>
      <c r="F2083" t="s">
        <v>78</v>
      </c>
      <c r="G2083" t="s">
        <v>78</v>
      </c>
      <c r="H2083">
        <v>1.72</v>
      </c>
      <c r="I2083" s="1">
        <v>0</v>
      </c>
      <c r="J2083" s="1">
        <v>0</v>
      </c>
      <c r="K2083">
        <v>0</v>
      </c>
      <c r="L2083">
        <v>2.68</v>
      </c>
      <c r="M2083">
        <v>2.72</v>
      </c>
      <c r="N2083" s="1">
        <v>5000000</v>
      </c>
      <c r="O2083">
        <v>2.68</v>
      </c>
      <c r="P2083">
        <v>3.96</v>
      </c>
      <c r="Q2083">
        <v>1.4</v>
      </c>
    </row>
    <row r="2084" spans="1:17" x14ac:dyDescent="0.25">
      <c r="A2084">
        <v>731009</v>
      </c>
      <c r="B2084" t="s">
        <v>3396</v>
      </c>
      <c r="C2084">
        <v>0.4</v>
      </c>
      <c r="D2084">
        <v>-0.05</v>
      </c>
      <c r="E2084">
        <v>0.43</v>
      </c>
      <c r="F2084">
        <v>0.43</v>
      </c>
      <c r="G2084">
        <v>0.4</v>
      </c>
      <c r="H2084">
        <v>0.41</v>
      </c>
      <c r="I2084" s="1">
        <v>123000</v>
      </c>
      <c r="J2084" s="1">
        <v>49920</v>
      </c>
      <c r="K2084">
        <v>3</v>
      </c>
      <c r="L2084">
        <v>0.38</v>
      </c>
      <c r="M2084">
        <v>0.4</v>
      </c>
      <c r="N2084" s="1">
        <v>5000000</v>
      </c>
      <c r="O2084">
        <v>0.4</v>
      </c>
      <c r="P2084">
        <v>1.34</v>
      </c>
      <c r="Q2084">
        <v>0.01</v>
      </c>
    </row>
    <row r="2085" spans="1:17" x14ac:dyDescent="0.25">
      <c r="A2085">
        <v>731010</v>
      </c>
      <c r="B2085" t="s">
        <v>3397</v>
      </c>
      <c r="C2085">
        <v>0.21</v>
      </c>
      <c r="D2085">
        <v>-0.04</v>
      </c>
      <c r="E2085">
        <v>0.24</v>
      </c>
      <c r="F2085">
        <v>0.24</v>
      </c>
      <c r="G2085">
        <v>0.21</v>
      </c>
      <c r="H2085">
        <v>0.22</v>
      </c>
      <c r="I2085" s="1">
        <v>105000</v>
      </c>
      <c r="J2085" s="1">
        <v>23070</v>
      </c>
      <c r="K2085">
        <v>3</v>
      </c>
      <c r="L2085">
        <v>0.21</v>
      </c>
      <c r="M2085">
        <v>0.23</v>
      </c>
      <c r="N2085" s="1">
        <v>10000000</v>
      </c>
      <c r="O2085">
        <v>0.21</v>
      </c>
      <c r="P2085">
        <v>0.46</v>
      </c>
      <c r="Q2085">
        <v>0.01</v>
      </c>
    </row>
    <row r="2086" spans="1:17" x14ac:dyDescent="0.25">
      <c r="A2086">
        <v>731011</v>
      </c>
      <c r="B2086" t="s">
        <v>3398</v>
      </c>
      <c r="C2086" t="s">
        <v>78</v>
      </c>
      <c r="D2086" t="s">
        <v>78</v>
      </c>
      <c r="E2086" t="s">
        <v>78</v>
      </c>
      <c r="F2086" t="s">
        <v>78</v>
      </c>
      <c r="G2086" t="s">
        <v>78</v>
      </c>
      <c r="H2086">
        <v>0.01</v>
      </c>
      <c r="I2086" s="1">
        <v>0</v>
      </c>
      <c r="J2086" s="1">
        <v>0</v>
      </c>
      <c r="K2086">
        <v>0</v>
      </c>
      <c r="L2086">
        <v>0</v>
      </c>
      <c r="M2086">
        <v>0.01</v>
      </c>
      <c r="N2086" s="1">
        <v>10000000</v>
      </c>
      <c r="O2086">
        <v>0.01</v>
      </c>
      <c r="P2086">
        <v>0.73</v>
      </c>
      <c r="Q2086">
        <v>0.01</v>
      </c>
    </row>
    <row r="2087" spans="1:17" x14ac:dyDescent="0.25">
      <c r="A2087">
        <v>731012</v>
      </c>
      <c r="B2087" t="s">
        <v>3399</v>
      </c>
      <c r="C2087" t="s">
        <v>78</v>
      </c>
      <c r="D2087" t="s">
        <v>78</v>
      </c>
      <c r="E2087" t="s">
        <v>78</v>
      </c>
      <c r="F2087" t="s">
        <v>78</v>
      </c>
      <c r="G2087" t="s">
        <v>78</v>
      </c>
      <c r="H2087">
        <v>0.21</v>
      </c>
      <c r="I2087" s="1">
        <v>0</v>
      </c>
      <c r="J2087" s="1">
        <v>0</v>
      </c>
      <c r="K2087">
        <v>0</v>
      </c>
      <c r="L2087">
        <v>0.22</v>
      </c>
      <c r="M2087">
        <v>0.23</v>
      </c>
      <c r="N2087" s="1">
        <v>10000000</v>
      </c>
      <c r="O2087">
        <v>0.22</v>
      </c>
      <c r="P2087">
        <v>0.98</v>
      </c>
      <c r="Q2087">
        <v>0.01</v>
      </c>
    </row>
    <row r="2088" spans="1:17" x14ac:dyDescent="0.25">
      <c r="A2088">
        <v>731013</v>
      </c>
      <c r="B2088" t="s">
        <v>3400</v>
      </c>
      <c r="C2088">
        <v>0.39</v>
      </c>
      <c r="D2088">
        <v>-0.01</v>
      </c>
      <c r="E2088">
        <v>0.39</v>
      </c>
      <c r="F2088">
        <v>0.39</v>
      </c>
      <c r="G2088">
        <v>0.39</v>
      </c>
      <c r="H2088">
        <v>0.39</v>
      </c>
      <c r="I2088" s="1">
        <v>10000</v>
      </c>
      <c r="J2088" s="1">
        <v>3900</v>
      </c>
      <c r="K2088">
        <v>1</v>
      </c>
      <c r="L2088">
        <v>0.37</v>
      </c>
      <c r="M2088">
        <v>0.38</v>
      </c>
      <c r="N2088" s="1">
        <v>10000000</v>
      </c>
      <c r="O2088">
        <v>0.39</v>
      </c>
      <c r="P2088">
        <v>0.78</v>
      </c>
      <c r="Q2088">
        <v>0.01</v>
      </c>
    </row>
    <row r="2089" spans="1:17" x14ac:dyDescent="0.25">
      <c r="A2089">
        <v>731014</v>
      </c>
      <c r="B2089" t="s">
        <v>3401</v>
      </c>
      <c r="C2089">
        <v>0.69</v>
      </c>
      <c r="D2089">
        <v>-0.02</v>
      </c>
      <c r="E2089">
        <v>0.69</v>
      </c>
      <c r="F2089">
        <v>0.69</v>
      </c>
      <c r="G2089">
        <v>0.69</v>
      </c>
      <c r="H2089">
        <v>0.69</v>
      </c>
      <c r="I2089" s="1">
        <v>30000</v>
      </c>
      <c r="J2089" s="1">
        <v>20700</v>
      </c>
      <c r="K2089">
        <v>3</v>
      </c>
      <c r="L2089">
        <v>0.67</v>
      </c>
      <c r="M2089">
        <v>0.69</v>
      </c>
      <c r="N2089" s="1">
        <v>5000000</v>
      </c>
      <c r="O2089">
        <v>0.69</v>
      </c>
      <c r="P2089">
        <v>1.74</v>
      </c>
      <c r="Q2089">
        <v>0.01</v>
      </c>
    </row>
    <row r="2090" spans="1:17" x14ac:dyDescent="0.25">
      <c r="A2090">
        <v>731015</v>
      </c>
      <c r="B2090" t="s">
        <v>3402</v>
      </c>
      <c r="C2090" t="s">
        <v>78</v>
      </c>
      <c r="D2090" t="s">
        <v>78</v>
      </c>
      <c r="E2090" t="s">
        <v>78</v>
      </c>
      <c r="F2090" t="s">
        <v>78</v>
      </c>
      <c r="G2090" t="s">
        <v>78</v>
      </c>
      <c r="H2090">
        <v>0.23</v>
      </c>
      <c r="I2090" s="1">
        <v>0</v>
      </c>
      <c r="J2090" s="1">
        <v>0</v>
      </c>
      <c r="K2090">
        <v>0</v>
      </c>
      <c r="L2090">
        <v>0.12</v>
      </c>
      <c r="M2090">
        <v>0.13</v>
      </c>
      <c r="N2090" s="1">
        <v>10000000</v>
      </c>
      <c r="O2090">
        <v>0.12</v>
      </c>
      <c r="P2090">
        <v>0.79</v>
      </c>
      <c r="Q2090">
        <v>0.01</v>
      </c>
    </row>
    <row r="2091" spans="1:17" x14ac:dyDescent="0.25">
      <c r="A2091">
        <v>731016</v>
      </c>
      <c r="B2091" t="s">
        <v>3403</v>
      </c>
      <c r="C2091">
        <v>0.72</v>
      </c>
      <c r="D2091">
        <v>0.03</v>
      </c>
      <c r="E2091">
        <v>0.74</v>
      </c>
      <c r="F2091">
        <v>0.8</v>
      </c>
      <c r="G2091">
        <v>0.7</v>
      </c>
      <c r="H2091">
        <v>0.75</v>
      </c>
      <c r="I2091" s="1">
        <v>926000</v>
      </c>
      <c r="J2091" s="1">
        <v>691320</v>
      </c>
      <c r="K2091">
        <v>24</v>
      </c>
      <c r="L2091">
        <v>0.72</v>
      </c>
      <c r="M2091">
        <v>0.73</v>
      </c>
      <c r="N2091" s="1">
        <v>5000000</v>
      </c>
      <c r="O2091">
        <v>0.72</v>
      </c>
      <c r="P2091">
        <v>1.45</v>
      </c>
      <c r="Q2091">
        <v>0.01</v>
      </c>
    </row>
    <row r="2092" spans="1:17" x14ac:dyDescent="0.25">
      <c r="A2092">
        <v>731017</v>
      </c>
      <c r="B2092" t="s">
        <v>3404</v>
      </c>
      <c r="C2092" t="s">
        <v>78</v>
      </c>
      <c r="D2092" t="s">
        <v>78</v>
      </c>
      <c r="E2092" t="s">
        <v>78</v>
      </c>
      <c r="F2092" t="s">
        <v>78</v>
      </c>
      <c r="G2092" t="s">
        <v>78</v>
      </c>
      <c r="H2092">
        <v>6.15</v>
      </c>
      <c r="I2092" s="1">
        <v>0</v>
      </c>
      <c r="J2092" s="1">
        <v>0</v>
      </c>
      <c r="K2092">
        <v>0</v>
      </c>
      <c r="L2092">
        <v>5.7</v>
      </c>
      <c r="M2092">
        <v>6.2</v>
      </c>
      <c r="N2092" s="1">
        <v>5000000</v>
      </c>
      <c r="O2092">
        <v>5.7</v>
      </c>
      <c r="P2092">
        <v>7.15</v>
      </c>
      <c r="Q2092">
        <v>4.2300000000000004</v>
      </c>
    </row>
    <row r="2093" spans="1:17" x14ac:dyDescent="0.25">
      <c r="A2093">
        <v>731018</v>
      </c>
      <c r="B2093" t="s">
        <v>3405</v>
      </c>
      <c r="C2093" t="s">
        <v>78</v>
      </c>
      <c r="D2093" t="s">
        <v>78</v>
      </c>
      <c r="E2093" t="s">
        <v>78</v>
      </c>
      <c r="F2093" t="s">
        <v>78</v>
      </c>
      <c r="G2093" t="s">
        <v>78</v>
      </c>
      <c r="H2093">
        <v>4.1100000000000003</v>
      </c>
      <c r="I2093" s="1">
        <v>0</v>
      </c>
      <c r="J2093" s="1">
        <v>0</v>
      </c>
      <c r="K2093">
        <v>0</v>
      </c>
      <c r="L2093">
        <v>3.67</v>
      </c>
      <c r="M2093">
        <v>3.77</v>
      </c>
      <c r="N2093" s="1">
        <v>10000000</v>
      </c>
      <c r="O2093">
        <v>3.77</v>
      </c>
      <c r="P2093">
        <v>5</v>
      </c>
      <c r="Q2093">
        <v>2.5099999999999998</v>
      </c>
    </row>
    <row r="2094" spans="1:17" x14ac:dyDescent="0.25">
      <c r="A2094">
        <v>731019</v>
      </c>
      <c r="B2094" t="s">
        <v>3406</v>
      </c>
      <c r="C2094">
        <v>0.49</v>
      </c>
      <c r="D2094">
        <v>-0.04</v>
      </c>
      <c r="E2094">
        <v>0.49</v>
      </c>
      <c r="F2094">
        <v>0.49</v>
      </c>
      <c r="G2094">
        <v>0.49</v>
      </c>
      <c r="H2094">
        <v>0.49</v>
      </c>
      <c r="I2094" s="1">
        <v>74000</v>
      </c>
      <c r="J2094" s="1">
        <v>36260</v>
      </c>
      <c r="K2094">
        <v>3</v>
      </c>
      <c r="L2094">
        <v>0.5</v>
      </c>
      <c r="M2094">
        <v>0.52</v>
      </c>
      <c r="N2094" s="1">
        <v>10000000</v>
      </c>
      <c r="O2094">
        <v>0.49</v>
      </c>
      <c r="P2094">
        <v>0.95</v>
      </c>
      <c r="Q2094">
        <v>0.03</v>
      </c>
    </row>
    <row r="2095" spans="1:17" x14ac:dyDescent="0.25">
      <c r="A2095">
        <v>731020</v>
      </c>
      <c r="B2095" t="s">
        <v>3407</v>
      </c>
      <c r="C2095" t="s">
        <v>78</v>
      </c>
      <c r="D2095" t="s">
        <v>78</v>
      </c>
      <c r="E2095" t="s">
        <v>78</v>
      </c>
      <c r="F2095" t="s">
        <v>78</v>
      </c>
      <c r="G2095" t="s">
        <v>78</v>
      </c>
      <c r="H2095">
        <v>0.02</v>
      </c>
      <c r="I2095" s="1">
        <v>0</v>
      </c>
      <c r="J2095" s="1">
        <v>0</v>
      </c>
      <c r="K2095">
        <v>0</v>
      </c>
      <c r="L2095">
        <v>0</v>
      </c>
      <c r="M2095">
        <v>0.02</v>
      </c>
      <c r="N2095" s="1">
        <v>10000000</v>
      </c>
      <c r="O2095">
        <v>0.02</v>
      </c>
      <c r="P2095">
        <v>0.9</v>
      </c>
      <c r="Q2095">
        <v>0.01</v>
      </c>
    </row>
    <row r="2096" spans="1:17" x14ac:dyDescent="0.25">
      <c r="A2096">
        <v>731021</v>
      </c>
      <c r="B2096" t="s">
        <v>3408</v>
      </c>
      <c r="C2096">
        <v>0.03</v>
      </c>
      <c r="D2096">
        <v>0.01</v>
      </c>
      <c r="E2096">
        <v>0.02</v>
      </c>
      <c r="F2096">
        <v>0.03</v>
      </c>
      <c r="G2096">
        <v>0.02</v>
      </c>
      <c r="H2096">
        <v>0.03</v>
      </c>
      <c r="I2096" s="1">
        <v>85000</v>
      </c>
      <c r="J2096" s="1">
        <v>2450</v>
      </c>
      <c r="K2096">
        <v>9</v>
      </c>
      <c r="L2096">
        <v>0.02</v>
      </c>
      <c r="M2096">
        <v>0.03</v>
      </c>
      <c r="N2096" s="1">
        <v>10000000</v>
      </c>
      <c r="O2096">
        <v>0.03</v>
      </c>
      <c r="P2096">
        <v>1.1299999999999999</v>
      </c>
      <c r="Q2096">
        <v>0.01</v>
      </c>
    </row>
    <row r="2097" spans="1:17" x14ac:dyDescent="0.25">
      <c r="A2097">
        <v>731022</v>
      </c>
      <c r="B2097" t="s">
        <v>3409</v>
      </c>
      <c r="C2097" t="s">
        <v>78</v>
      </c>
      <c r="D2097" t="s">
        <v>78</v>
      </c>
      <c r="E2097" t="s">
        <v>78</v>
      </c>
      <c r="F2097" t="s">
        <v>78</v>
      </c>
      <c r="G2097" t="s">
        <v>78</v>
      </c>
      <c r="H2097">
        <v>9.25</v>
      </c>
      <c r="I2097" s="1">
        <v>0</v>
      </c>
      <c r="J2097" s="1">
        <v>0</v>
      </c>
      <c r="K2097">
        <v>0</v>
      </c>
      <c r="L2097">
        <v>9.9</v>
      </c>
      <c r="M2097">
        <v>0</v>
      </c>
      <c r="N2097" s="1">
        <v>5000000</v>
      </c>
      <c r="O2097">
        <v>9.9</v>
      </c>
      <c r="P2097">
        <v>12</v>
      </c>
      <c r="Q2097">
        <v>7.8</v>
      </c>
    </row>
    <row r="2098" spans="1:17" x14ac:dyDescent="0.25">
      <c r="A2098">
        <v>731023</v>
      </c>
      <c r="B2098" t="s">
        <v>3410</v>
      </c>
      <c r="C2098" t="s">
        <v>78</v>
      </c>
      <c r="D2098" t="s">
        <v>78</v>
      </c>
      <c r="E2098" t="s">
        <v>78</v>
      </c>
      <c r="F2098" t="s">
        <v>78</v>
      </c>
      <c r="G2098" t="s">
        <v>78</v>
      </c>
      <c r="H2098">
        <v>1.1499999999999999</v>
      </c>
      <c r="I2098" s="1">
        <v>0</v>
      </c>
      <c r="J2098" s="1">
        <v>0</v>
      </c>
      <c r="K2098">
        <v>0</v>
      </c>
      <c r="L2098">
        <v>0.69</v>
      </c>
      <c r="M2098">
        <v>0.74</v>
      </c>
      <c r="N2098" s="1">
        <v>10000000</v>
      </c>
      <c r="O2098">
        <v>0.74</v>
      </c>
      <c r="P2098">
        <v>1.32</v>
      </c>
      <c r="Q2098">
        <v>0.16</v>
      </c>
    </row>
    <row r="2099" spans="1:17" x14ac:dyDescent="0.25">
      <c r="A2099">
        <v>731024</v>
      </c>
      <c r="B2099" t="s">
        <v>3411</v>
      </c>
      <c r="C2099" t="s">
        <v>78</v>
      </c>
      <c r="D2099" t="s">
        <v>78</v>
      </c>
      <c r="E2099" t="s">
        <v>78</v>
      </c>
      <c r="F2099" t="s">
        <v>78</v>
      </c>
      <c r="G2099" t="s">
        <v>78</v>
      </c>
      <c r="H2099">
        <v>1.62</v>
      </c>
      <c r="I2099" s="1">
        <v>0</v>
      </c>
      <c r="J2099" s="1">
        <v>0</v>
      </c>
      <c r="K2099">
        <v>0</v>
      </c>
      <c r="L2099">
        <v>1.19</v>
      </c>
      <c r="M2099">
        <v>1.27</v>
      </c>
      <c r="N2099" s="1">
        <v>10000000</v>
      </c>
      <c r="O2099">
        <v>1.27</v>
      </c>
      <c r="P2099">
        <v>2.1800000000000002</v>
      </c>
      <c r="Q2099">
        <v>0.36</v>
      </c>
    </row>
    <row r="2100" spans="1:17" x14ac:dyDescent="0.25">
      <c r="A2100">
        <v>731025</v>
      </c>
      <c r="B2100" t="s">
        <v>3412</v>
      </c>
      <c r="C2100">
        <v>2.74</v>
      </c>
      <c r="D2100">
        <v>0.09</v>
      </c>
      <c r="E2100">
        <v>2.91</v>
      </c>
      <c r="F2100">
        <v>2.91</v>
      </c>
      <c r="G2100">
        <v>2.74</v>
      </c>
      <c r="H2100">
        <v>2.81</v>
      </c>
      <c r="I2100" s="1">
        <v>100000</v>
      </c>
      <c r="J2100" s="1">
        <v>280840</v>
      </c>
      <c r="K2100">
        <v>5</v>
      </c>
      <c r="L2100">
        <v>2.89</v>
      </c>
      <c r="M2100">
        <v>2.99</v>
      </c>
      <c r="N2100" s="1">
        <v>10000000</v>
      </c>
      <c r="O2100">
        <v>2.74</v>
      </c>
      <c r="P2100">
        <v>5.3</v>
      </c>
      <c r="Q2100">
        <v>0.18</v>
      </c>
    </row>
    <row r="2101" spans="1:17" x14ac:dyDescent="0.25">
      <c r="A2101">
        <v>731026</v>
      </c>
      <c r="B2101" t="s">
        <v>3413</v>
      </c>
      <c r="C2101">
        <v>0.5</v>
      </c>
      <c r="D2101">
        <v>0</v>
      </c>
      <c r="E2101">
        <v>0.48</v>
      </c>
      <c r="F2101">
        <v>0.5</v>
      </c>
      <c r="G2101">
        <v>0.48</v>
      </c>
      <c r="H2101">
        <v>0.48</v>
      </c>
      <c r="I2101" s="1">
        <v>110000</v>
      </c>
      <c r="J2101" s="1">
        <v>53000</v>
      </c>
      <c r="K2101">
        <v>2</v>
      </c>
      <c r="L2101">
        <v>0.48</v>
      </c>
      <c r="M2101">
        <v>0.49</v>
      </c>
      <c r="N2101" s="1">
        <v>10000000</v>
      </c>
      <c r="O2101">
        <v>0.5</v>
      </c>
      <c r="P2101">
        <v>1.22</v>
      </c>
      <c r="Q2101">
        <v>0.01</v>
      </c>
    </row>
    <row r="2102" spans="1:17" x14ac:dyDescent="0.25">
      <c r="A2102">
        <v>731027</v>
      </c>
      <c r="B2102" t="s">
        <v>3414</v>
      </c>
      <c r="C2102">
        <v>0.94</v>
      </c>
      <c r="D2102">
        <v>-0.13</v>
      </c>
      <c r="E2102">
        <v>1.1499999999999999</v>
      </c>
      <c r="F2102">
        <v>1.1499999999999999</v>
      </c>
      <c r="G2102">
        <v>0.94</v>
      </c>
      <c r="H2102">
        <v>1.1100000000000001</v>
      </c>
      <c r="I2102" s="1">
        <v>329000</v>
      </c>
      <c r="J2102" s="1">
        <v>364230</v>
      </c>
      <c r="K2102">
        <v>11</v>
      </c>
      <c r="L2102">
        <v>0.92</v>
      </c>
      <c r="M2102">
        <v>0.94</v>
      </c>
      <c r="N2102" s="1">
        <v>10000000</v>
      </c>
      <c r="O2102">
        <v>0.94</v>
      </c>
      <c r="P2102">
        <v>1.65</v>
      </c>
      <c r="Q2102">
        <v>0.23</v>
      </c>
    </row>
    <row r="2103" spans="1:17" x14ac:dyDescent="0.25">
      <c r="A2103">
        <v>731028</v>
      </c>
      <c r="B2103" t="s">
        <v>3415</v>
      </c>
      <c r="C2103" t="s">
        <v>78</v>
      </c>
      <c r="D2103" t="s">
        <v>78</v>
      </c>
      <c r="E2103" t="s">
        <v>78</v>
      </c>
      <c r="F2103" t="s">
        <v>78</v>
      </c>
      <c r="G2103" t="s">
        <v>78</v>
      </c>
      <c r="H2103">
        <v>0.05</v>
      </c>
      <c r="I2103" s="1">
        <v>0</v>
      </c>
      <c r="J2103" s="1">
        <v>0</v>
      </c>
      <c r="K2103">
        <v>0</v>
      </c>
      <c r="L2103">
        <v>0</v>
      </c>
      <c r="M2103">
        <v>0.01</v>
      </c>
      <c r="N2103" s="1">
        <v>10000000</v>
      </c>
      <c r="O2103">
        <v>0.01</v>
      </c>
      <c r="P2103">
        <v>2.04</v>
      </c>
      <c r="Q2103">
        <v>0.01</v>
      </c>
    </row>
    <row r="2104" spans="1:17" x14ac:dyDescent="0.25">
      <c r="A2104">
        <v>731029</v>
      </c>
      <c r="B2104" t="s">
        <v>3416</v>
      </c>
      <c r="C2104" t="s">
        <v>78</v>
      </c>
      <c r="D2104" t="s">
        <v>78</v>
      </c>
      <c r="E2104" t="s">
        <v>78</v>
      </c>
      <c r="F2104" t="s">
        <v>78</v>
      </c>
      <c r="G2104" t="s">
        <v>78</v>
      </c>
      <c r="H2104">
        <v>0.03</v>
      </c>
      <c r="I2104" s="1">
        <v>0</v>
      </c>
      <c r="J2104" s="1">
        <v>0</v>
      </c>
      <c r="K2104">
        <v>0</v>
      </c>
      <c r="L2104">
        <v>0.05</v>
      </c>
      <c r="M2104">
        <v>0.06</v>
      </c>
      <c r="N2104" s="1">
        <v>10000000</v>
      </c>
      <c r="O2104">
        <v>0.05</v>
      </c>
      <c r="P2104">
        <v>1.04</v>
      </c>
      <c r="Q2104">
        <v>0.01</v>
      </c>
    </row>
    <row r="2105" spans="1:17" x14ac:dyDescent="0.25">
      <c r="A2105">
        <v>731030</v>
      </c>
      <c r="B2105" t="s">
        <v>3417</v>
      </c>
      <c r="C2105" t="s">
        <v>78</v>
      </c>
      <c r="D2105" t="s">
        <v>78</v>
      </c>
      <c r="E2105" t="s">
        <v>78</v>
      </c>
      <c r="F2105" t="s">
        <v>78</v>
      </c>
      <c r="G2105" t="s">
        <v>78</v>
      </c>
      <c r="H2105">
        <v>0.01</v>
      </c>
      <c r="I2105" s="1">
        <v>0</v>
      </c>
      <c r="J2105" s="1">
        <v>0</v>
      </c>
      <c r="K2105">
        <v>0</v>
      </c>
      <c r="L2105">
        <v>0</v>
      </c>
      <c r="M2105">
        <v>0.01</v>
      </c>
      <c r="N2105" s="1">
        <v>10000000</v>
      </c>
      <c r="O2105">
        <v>0.01</v>
      </c>
      <c r="P2105">
        <v>0.56000000000000005</v>
      </c>
      <c r="Q2105">
        <v>0.01</v>
      </c>
    </row>
    <row r="2106" spans="1:17" x14ac:dyDescent="0.25">
      <c r="A2106">
        <v>731031</v>
      </c>
      <c r="B2106" t="s">
        <v>3418</v>
      </c>
      <c r="C2106" t="s">
        <v>78</v>
      </c>
      <c r="D2106" t="s">
        <v>78</v>
      </c>
      <c r="E2106" t="s">
        <v>78</v>
      </c>
      <c r="F2106" t="s">
        <v>78</v>
      </c>
      <c r="G2106" t="s">
        <v>78</v>
      </c>
      <c r="H2106">
        <v>1.22</v>
      </c>
      <c r="I2106" s="1">
        <v>0</v>
      </c>
      <c r="J2106" s="1">
        <v>0</v>
      </c>
      <c r="K2106">
        <v>0</v>
      </c>
      <c r="L2106">
        <v>0.7</v>
      </c>
      <c r="M2106">
        <v>0.72</v>
      </c>
      <c r="N2106" s="1">
        <v>10000000</v>
      </c>
      <c r="O2106">
        <v>0.71</v>
      </c>
      <c r="P2106">
        <v>1.51</v>
      </c>
      <c r="Q2106">
        <v>0.01</v>
      </c>
    </row>
    <row r="2107" spans="1:17" x14ac:dyDescent="0.25">
      <c r="A2107">
        <v>731032</v>
      </c>
      <c r="B2107" t="s">
        <v>3419</v>
      </c>
      <c r="C2107">
        <v>0.23</v>
      </c>
      <c r="D2107">
        <v>0.01</v>
      </c>
      <c r="E2107">
        <v>0.23</v>
      </c>
      <c r="F2107">
        <v>0.23</v>
      </c>
      <c r="G2107">
        <v>0.23</v>
      </c>
      <c r="H2107">
        <v>0.23</v>
      </c>
      <c r="I2107" s="1">
        <v>1000</v>
      </c>
      <c r="J2107" s="1">
        <v>230</v>
      </c>
      <c r="K2107">
        <v>1</v>
      </c>
      <c r="L2107">
        <v>0.22</v>
      </c>
      <c r="M2107">
        <v>0.23</v>
      </c>
      <c r="N2107" s="1">
        <v>10000000</v>
      </c>
      <c r="O2107">
        <v>0.23</v>
      </c>
      <c r="P2107">
        <v>0.65</v>
      </c>
      <c r="Q2107">
        <v>0.01</v>
      </c>
    </row>
    <row r="2108" spans="1:17" x14ac:dyDescent="0.25">
      <c r="A2108">
        <v>731033</v>
      </c>
      <c r="B2108" t="s">
        <v>3420</v>
      </c>
      <c r="C2108" t="s">
        <v>78</v>
      </c>
      <c r="D2108" t="s">
        <v>78</v>
      </c>
      <c r="E2108" t="s">
        <v>78</v>
      </c>
      <c r="F2108" t="s">
        <v>78</v>
      </c>
      <c r="G2108" t="s">
        <v>78</v>
      </c>
      <c r="H2108">
        <v>0.43</v>
      </c>
      <c r="I2108" s="1">
        <v>0</v>
      </c>
      <c r="J2108" s="1">
        <v>0</v>
      </c>
      <c r="K2108">
        <v>0</v>
      </c>
      <c r="L2108">
        <v>0.26</v>
      </c>
      <c r="M2108">
        <v>0.28999999999999998</v>
      </c>
      <c r="N2108" s="1">
        <v>5000000</v>
      </c>
      <c r="O2108">
        <v>0.28999999999999998</v>
      </c>
      <c r="P2108">
        <v>0.92</v>
      </c>
      <c r="Q2108">
        <v>0.01</v>
      </c>
    </row>
    <row r="2109" spans="1:17" x14ac:dyDescent="0.25">
      <c r="A2109">
        <v>731034</v>
      </c>
      <c r="B2109" t="s">
        <v>3421</v>
      </c>
      <c r="C2109">
        <v>4.71</v>
      </c>
      <c r="D2109">
        <v>-0.14000000000000001</v>
      </c>
      <c r="E2109">
        <v>5</v>
      </c>
      <c r="F2109">
        <v>5</v>
      </c>
      <c r="G2109">
        <v>4.71</v>
      </c>
      <c r="H2109">
        <v>4.8600000000000003</v>
      </c>
      <c r="I2109" s="1">
        <v>20000</v>
      </c>
      <c r="J2109" s="1">
        <v>97100</v>
      </c>
      <c r="K2109">
        <v>3</v>
      </c>
      <c r="L2109">
        <v>4.67</v>
      </c>
      <c r="M2109">
        <v>4.71</v>
      </c>
      <c r="N2109" s="1">
        <v>5000000</v>
      </c>
      <c r="O2109">
        <v>4.71</v>
      </c>
      <c r="P2109">
        <v>6.05</v>
      </c>
      <c r="Q2109">
        <v>3.33</v>
      </c>
    </row>
    <row r="2110" spans="1:17" x14ac:dyDescent="0.25">
      <c r="A2110">
        <v>731035</v>
      </c>
      <c r="B2110" t="s">
        <v>3422</v>
      </c>
      <c r="C2110">
        <v>0.55000000000000004</v>
      </c>
      <c r="D2110">
        <v>0.03</v>
      </c>
      <c r="E2110">
        <v>0.55000000000000004</v>
      </c>
      <c r="F2110">
        <v>0.55000000000000004</v>
      </c>
      <c r="G2110">
        <v>0.55000000000000004</v>
      </c>
      <c r="H2110">
        <v>0.55000000000000004</v>
      </c>
      <c r="I2110" s="1">
        <v>20000</v>
      </c>
      <c r="J2110" s="1">
        <v>11000</v>
      </c>
      <c r="K2110">
        <v>2</v>
      </c>
      <c r="L2110">
        <v>0.54</v>
      </c>
      <c r="M2110">
        <v>0.55000000000000004</v>
      </c>
      <c r="N2110" s="1">
        <v>10000000</v>
      </c>
      <c r="O2110">
        <v>0.55000000000000004</v>
      </c>
      <c r="P2110">
        <v>1.26</v>
      </c>
      <c r="Q2110">
        <v>0.01</v>
      </c>
    </row>
    <row r="2111" spans="1:17" x14ac:dyDescent="0.25">
      <c r="A2111">
        <v>731036</v>
      </c>
      <c r="B2111" t="s">
        <v>3423</v>
      </c>
      <c r="C2111" t="s">
        <v>78</v>
      </c>
      <c r="D2111" t="s">
        <v>78</v>
      </c>
      <c r="E2111" t="s">
        <v>78</v>
      </c>
      <c r="F2111" t="s">
        <v>78</v>
      </c>
      <c r="G2111" t="s">
        <v>78</v>
      </c>
      <c r="H2111">
        <v>0.01</v>
      </c>
      <c r="I2111" s="1">
        <v>0</v>
      </c>
      <c r="J2111" s="1">
        <v>0</v>
      </c>
      <c r="K2111">
        <v>0</v>
      </c>
      <c r="L2111">
        <v>0.01</v>
      </c>
      <c r="M2111">
        <v>0.02</v>
      </c>
      <c r="N2111" s="1">
        <v>10000000</v>
      </c>
      <c r="O2111">
        <v>0.01</v>
      </c>
      <c r="P2111">
        <v>0.88</v>
      </c>
      <c r="Q2111">
        <v>0.01</v>
      </c>
    </row>
    <row r="2112" spans="1:17" x14ac:dyDescent="0.25">
      <c r="A2112">
        <v>731037</v>
      </c>
      <c r="B2112" t="s">
        <v>3424</v>
      </c>
      <c r="C2112" t="s">
        <v>78</v>
      </c>
      <c r="D2112" t="s">
        <v>78</v>
      </c>
      <c r="E2112" t="s">
        <v>78</v>
      </c>
      <c r="F2112" t="s">
        <v>78</v>
      </c>
      <c r="G2112" t="s">
        <v>78</v>
      </c>
      <c r="H2112">
        <v>7.0000000000000007E-2</v>
      </c>
      <c r="I2112" s="1">
        <v>0</v>
      </c>
      <c r="J2112" s="1">
        <v>0</v>
      </c>
      <c r="K2112">
        <v>0</v>
      </c>
      <c r="L2112">
        <v>7.0000000000000007E-2</v>
      </c>
      <c r="M2112">
        <v>0.08</v>
      </c>
      <c r="N2112" s="1">
        <v>13000000</v>
      </c>
      <c r="O2112">
        <v>7.0000000000000007E-2</v>
      </c>
      <c r="P2112">
        <v>0.46</v>
      </c>
      <c r="Q2112">
        <v>0.01</v>
      </c>
    </row>
    <row r="2113" spans="1:17" x14ac:dyDescent="0.25">
      <c r="A2113">
        <v>731038</v>
      </c>
      <c r="B2113" t="s">
        <v>3425</v>
      </c>
      <c r="C2113" t="s">
        <v>78</v>
      </c>
      <c r="D2113" t="s">
        <v>78</v>
      </c>
      <c r="E2113" t="s">
        <v>78</v>
      </c>
      <c r="F2113" t="s">
        <v>78</v>
      </c>
      <c r="G2113" t="s">
        <v>78</v>
      </c>
      <c r="H2113">
        <v>5.75</v>
      </c>
      <c r="I2113" s="1">
        <v>0</v>
      </c>
      <c r="J2113" s="1">
        <v>0</v>
      </c>
      <c r="K2113">
        <v>0</v>
      </c>
      <c r="L2113">
        <v>0</v>
      </c>
      <c r="M2113">
        <v>0</v>
      </c>
      <c r="N2113" s="1">
        <v>5000000</v>
      </c>
      <c r="O2113">
        <v>9.85</v>
      </c>
      <c r="P2113">
        <v>11.5</v>
      </c>
      <c r="Q2113">
        <v>8.15</v>
      </c>
    </row>
    <row r="2114" spans="1:17" x14ac:dyDescent="0.25">
      <c r="A2114">
        <v>731039</v>
      </c>
      <c r="B2114" t="s">
        <v>3426</v>
      </c>
      <c r="C2114" t="s">
        <v>78</v>
      </c>
      <c r="D2114" t="s">
        <v>78</v>
      </c>
      <c r="E2114" t="s">
        <v>78</v>
      </c>
      <c r="F2114" t="s">
        <v>78</v>
      </c>
      <c r="G2114" t="s">
        <v>78</v>
      </c>
      <c r="H2114">
        <v>0.1</v>
      </c>
      <c r="I2114" s="1">
        <v>0</v>
      </c>
      <c r="J2114" s="1">
        <v>0</v>
      </c>
      <c r="K2114">
        <v>0</v>
      </c>
      <c r="L2114">
        <v>0.09</v>
      </c>
      <c r="M2114">
        <v>0.1</v>
      </c>
      <c r="N2114" s="1">
        <v>10000000</v>
      </c>
      <c r="O2114">
        <v>0.09</v>
      </c>
      <c r="P2114">
        <v>0.51</v>
      </c>
      <c r="Q2114">
        <v>0.01</v>
      </c>
    </row>
    <row r="2115" spans="1:17" x14ac:dyDescent="0.25">
      <c r="A2115">
        <v>731040</v>
      </c>
      <c r="B2115" t="s">
        <v>3427</v>
      </c>
      <c r="C2115" t="s">
        <v>78</v>
      </c>
      <c r="D2115" t="s">
        <v>78</v>
      </c>
      <c r="E2115" t="s">
        <v>78</v>
      </c>
      <c r="F2115" t="s">
        <v>78</v>
      </c>
      <c r="G2115" t="s">
        <v>78</v>
      </c>
      <c r="H2115">
        <v>4.97</v>
      </c>
      <c r="I2115" s="1">
        <v>0</v>
      </c>
      <c r="J2115" s="1">
        <v>0</v>
      </c>
      <c r="K2115">
        <v>0</v>
      </c>
      <c r="L2115">
        <v>4.28</v>
      </c>
      <c r="M2115">
        <v>0</v>
      </c>
      <c r="N2115" s="1">
        <v>5000000</v>
      </c>
      <c r="O2115">
        <v>4.99</v>
      </c>
      <c r="P2115">
        <v>6.35</v>
      </c>
      <c r="Q2115">
        <v>3.59</v>
      </c>
    </row>
    <row r="2116" spans="1:17" x14ac:dyDescent="0.25">
      <c r="A2116">
        <v>731041</v>
      </c>
      <c r="B2116" t="s">
        <v>3428</v>
      </c>
      <c r="C2116" t="s">
        <v>78</v>
      </c>
      <c r="D2116" t="s">
        <v>78</v>
      </c>
      <c r="E2116" t="s">
        <v>78</v>
      </c>
      <c r="F2116" t="s">
        <v>78</v>
      </c>
      <c r="G2116" t="s">
        <v>78</v>
      </c>
      <c r="H2116">
        <v>8.3800000000000008</v>
      </c>
      <c r="I2116" s="1">
        <v>0</v>
      </c>
      <c r="J2116" s="1">
        <v>0</v>
      </c>
      <c r="K2116">
        <v>0</v>
      </c>
      <c r="L2116">
        <v>0</v>
      </c>
      <c r="M2116">
        <v>0</v>
      </c>
      <c r="N2116" s="1">
        <v>5000000</v>
      </c>
      <c r="O2116">
        <v>9.1</v>
      </c>
      <c r="P2116">
        <v>11</v>
      </c>
      <c r="Q2116">
        <v>7.15</v>
      </c>
    </row>
    <row r="2117" spans="1:17" x14ac:dyDescent="0.25">
      <c r="A2117">
        <v>731042</v>
      </c>
      <c r="B2117" t="s">
        <v>3429</v>
      </c>
      <c r="C2117" t="s">
        <v>78</v>
      </c>
      <c r="D2117" t="s">
        <v>78</v>
      </c>
      <c r="E2117" t="s">
        <v>78</v>
      </c>
      <c r="F2117" t="s">
        <v>78</v>
      </c>
      <c r="G2117" t="s">
        <v>78</v>
      </c>
      <c r="H2117">
        <v>1.84</v>
      </c>
      <c r="I2117" s="1">
        <v>0</v>
      </c>
      <c r="J2117" s="1">
        <v>0</v>
      </c>
      <c r="K2117">
        <v>0</v>
      </c>
      <c r="L2117">
        <v>2.57</v>
      </c>
      <c r="M2117">
        <v>2.67</v>
      </c>
      <c r="N2117" s="1">
        <v>5000000</v>
      </c>
      <c r="O2117">
        <v>2.57</v>
      </c>
      <c r="P2117">
        <v>3.85</v>
      </c>
      <c r="Q2117">
        <v>1.29</v>
      </c>
    </row>
    <row r="2118" spans="1:17" x14ac:dyDescent="0.25">
      <c r="A2118">
        <v>731043</v>
      </c>
      <c r="B2118" t="s">
        <v>3430</v>
      </c>
      <c r="C2118" t="s">
        <v>78</v>
      </c>
      <c r="D2118" t="s">
        <v>78</v>
      </c>
      <c r="E2118" t="s">
        <v>78</v>
      </c>
      <c r="F2118" t="s">
        <v>78</v>
      </c>
      <c r="G2118" t="s">
        <v>78</v>
      </c>
      <c r="H2118">
        <v>0.15</v>
      </c>
      <c r="I2118" s="1">
        <v>0</v>
      </c>
      <c r="J2118" s="1">
        <v>0</v>
      </c>
      <c r="K2118">
        <v>0</v>
      </c>
      <c r="L2118">
        <v>0.01</v>
      </c>
      <c r="M2118">
        <v>0.11</v>
      </c>
      <c r="N2118" s="1">
        <v>10000000</v>
      </c>
      <c r="O2118">
        <v>0.11</v>
      </c>
      <c r="P2118">
        <v>0.84</v>
      </c>
      <c r="Q2118">
        <v>0.01</v>
      </c>
    </row>
    <row r="2119" spans="1:17" x14ac:dyDescent="0.25">
      <c r="A2119">
        <v>731044</v>
      </c>
      <c r="B2119" t="s">
        <v>3431</v>
      </c>
      <c r="C2119" t="s">
        <v>78</v>
      </c>
      <c r="D2119" t="s">
        <v>78</v>
      </c>
      <c r="E2119" t="s">
        <v>78</v>
      </c>
      <c r="F2119" t="s">
        <v>78</v>
      </c>
      <c r="G2119" t="s">
        <v>78</v>
      </c>
      <c r="H2119">
        <v>0.28999999999999998</v>
      </c>
      <c r="I2119" s="1">
        <v>0</v>
      </c>
      <c r="J2119" s="1">
        <v>0</v>
      </c>
      <c r="K2119">
        <v>0</v>
      </c>
      <c r="L2119">
        <v>0.02</v>
      </c>
      <c r="M2119">
        <v>0.1</v>
      </c>
      <c r="N2119" s="1">
        <v>5000000</v>
      </c>
      <c r="O2119">
        <v>0.1</v>
      </c>
      <c r="P2119">
        <v>0.68</v>
      </c>
      <c r="Q2119">
        <v>0.01</v>
      </c>
    </row>
    <row r="2120" spans="1:17" x14ac:dyDescent="0.25">
      <c r="A2120">
        <v>731045</v>
      </c>
      <c r="B2120" t="s">
        <v>3432</v>
      </c>
      <c r="C2120" t="s">
        <v>78</v>
      </c>
      <c r="D2120" t="s">
        <v>78</v>
      </c>
      <c r="E2120" t="s">
        <v>78</v>
      </c>
      <c r="F2120" t="s">
        <v>78</v>
      </c>
      <c r="G2120" t="s">
        <v>78</v>
      </c>
      <c r="H2120">
        <v>0.06</v>
      </c>
      <c r="I2120" s="1">
        <v>0</v>
      </c>
      <c r="J2120" s="1">
        <v>0</v>
      </c>
      <c r="K2120">
        <v>0</v>
      </c>
      <c r="L2120">
        <v>0.02</v>
      </c>
      <c r="M2120">
        <v>0.1</v>
      </c>
      <c r="N2120" s="1">
        <v>5000000</v>
      </c>
      <c r="O2120">
        <v>0.06</v>
      </c>
      <c r="P2120">
        <v>0.66</v>
      </c>
      <c r="Q2120">
        <v>0.01</v>
      </c>
    </row>
    <row r="2121" spans="1:17" x14ac:dyDescent="0.25">
      <c r="A2121">
        <v>731046</v>
      </c>
      <c r="B2121" t="s">
        <v>3433</v>
      </c>
      <c r="C2121" t="s">
        <v>78</v>
      </c>
      <c r="D2121" t="s">
        <v>78</v>
      </c>
      <c r="E2121" t="s">
        <v>78</v>
      </c>
      <c r="F2121" t="s">
        <v>78</v>
      </c>
      <c r="G2121" t="s">
        <v>78</v>
      </c>
      <c r="H2121">
        <v>0.11</v>
      </c>
      <c r="I2121" s="1">
        <v>0</v>
      </c>
      <c r="J2121" s="1">
        <v>0</v>
      </c>
      <c r="K2121">
        <v>0</v>
      </c>
      <c r="L2121">
        <v>0</v>
      </c>
      <c r="M2121">
        <v>0.1</v>
      </c>
      <c r="N2121" s="1">
        <v>5000000</v>
      </c>
      <c r="O2121">
        <v>0.1</v>
      </c>
      <c r="P2121">
        <v>1</v>
      </c>
      <c r="Q2121">
        <v>0.01</v>
      </c>
    </row>
    <row r="2122" spans="1:17" x14ac:dyDescent="0.25">
      <c r="A2122">
        <v>731047</v>
      </c>
      <c r="B2122" t="s">
        <v>3434</v>
      </c>
      <c r="C2122" t="s">
        <v>78</v>
      </c>
      <c r="D2122" t="s">
        <v>78</v>
      </c>
      <c r="E2122" t="s">
        <v>78</v>
      </c>
      <c r="F2122" t="s">
        <v>78</v>
      </c>
      <c r="G2122" t="s">
        <v>78</v>
      </c>
      <c r="H2122">
        <v>0.1</v>
      </c>
      <c r="I2122" s="1">
        <v>0</v>
      </c>
      <c r="J2122" s="1">
        <v>0</v>
      </c>
      <c r="K2122">
        <v>0</v>
      </c>
      <c r="L2122">
        <v>0</v>
      </c>
      <c r="M2122">
        <v>0.03</v>
      </c>
      <c r="N2122" s="1">
        <v>5000000</v>
      </c>
      <c r="O2122">
        <v>0.03</v>
      </c>
      <c r="P2122">
        <v>0.68</v>
      </c>
      <c r="Q2122">
        <v>0.01</v>
      </c>
    </row>
    <row r="2123" spans="1:17" x14ac:dyDescent="0.25">
      <c r="A2123">
        <v>731048</v>
      </c>
      <c r="B2123" t="s">
        <v>3435</v>
      </c>
      <c r="C2123">
        <v>0.43</v>
      </c>
      <c r="D2123">
        <v>-0.05</v>
      </c>
      <c r="E2123">
        <v>0.47</v>
      </c>
      <c r="F2123">
        <v>0.47</v>
      </c>
      <c r="G2123">
        <v>0.42</v>
      </c>
      <c r="H2123">
        <v>0.44</v>
      </c>
      <c r="I2123" s="1">
        <v>458000</v>
      </c>
      <c r="J2123" s="1">
        <v>202370</v>
      </c>
      <c r="K2123">
        <v>17</v>
      </c>
      <c r="L2123">
        <v>0.42</v>
      </c>
      <c r="M2123">
        <v>0.43</v>
      </c>
      <c r="N2123" s="1">
        <v>5000000</v>
      </c>
      <c r="O2123">
        <v>0.43</v>
      </c>
      <c r="P2123">
        <v>1.1399999999999999</v>
      </c>
      <c r="Q2123">
        <v>0.01</v>
      </c>
    </row>
    <row r="2124" spans="1:17" x14ac:dyDescent="0.25">
      <c r="A2124">
        <v>731049</v>
      </c>
      <c r="B2124" t="s">
        <v>3436</v>
      </c>
      <c r="C2124" t="s">
        <v>78</v>
      </c>
      <c r="D2124" t="s">
        <v>78</v>
      </c>
      <c r="E2124" t="s">
        <v>78</v>
      </c>
      <c r="F2124" t="s">
        <v>78</v>
      </c>
      <c r="G2124" t="s">
        <v>78</v>
      </c>
      <c r="H2124">
        <v>7.0000000000000007E-2</v>
      </c>
      <c r="I2124" s="1">
        <v>0</v>
      </c>
      <c r="J2124" s="1">
        <v>0</v>
      </c>
      <c r="K2124">
        <v>0</v>
      </c>
      <c r="L2124">
        <v>0.04</v>
      </c>
      <c r="M2124">
        <v>0.05</v>
      </c>
      <c r="N2124" s="1">
        <v>5200000</v>
      </c>
      <c r="O2124">
        <v>0.04</v>
      </c>
      <c r="P2124">
        <v>0.71</v>
      </c>
      <c r="Q2124">
        <v>0.01</v>
      </c>
    </row>
    <row r="2125" spans="1:17" x14ac:dyDescent="0.25">
      <c r="A2125">
        <v>731050</v>
      </c>
      <c r="B2125" t="s">
        <v>3437</v>
      </c>
      <c r="C2125">
        <v>0.98</v>
      </c>
      <c r="D2125">
        <v>0.08</v>
      </c>
      <c r="E2125">
        <v>0.91</v>
      </c>
      <c r="F2125">
        <v>1.04</v>
      </c>
      <c r="G2125">
        <v>0.9</v>
      </c>
      <c r="H2125">
        <v>0.99</v>
      </c>
      <c r="I2125" s="1">
        <v>2192000</v>
      </c>
      <c r="J2125" s="1">
        <v>2162310</v>
      </c>
      <c r="K2125">
        <v>75</v>
      </c>
      <c r="L2125">
        <v>0.97</v>
      </c>
      <c r="M2125">
        <v>0.98</v>
      </c>
      <c r="N2125" s="1">
        <v>5000000</v>
      </c>
      <c r="O2125">
        <v>0.98</v>
      </c>
      <c r="P2125">
        <v>1.69</v>
      </c>
      <c r="Q2125">
        <v>0.27</v>
      </c>
    </row>
    <row r="2126" spans="1:17" x14ac:dyDescent="0.25">
      <c r="A2126">
        <v>731051</v>
      </c>
      <c r="B2126" t="s">
        <v>3438</v>
      </c>
      <c r="C2126">
        <v>0.14000000000000001</v>
      </c>
      <c r="D2126">
        <v>-0.03</v>
      </c>
      <c r="E2126">
        <v>0.17</v>
      </c>
      <c r="F2126">
        <v>0.17</v>
      </c>
      <c r="G2126">
        <v>0.14000000000000001</v>
      </c>
      <c r="H2126">
        <v>0.16</v>
      </c>
      <c r="I2126" s="1">
        <v>186000</v>
      </c>
      <c r="J2126" s="1">
        <v>29240</v>
      </c>
      <c r="K2126">
        <v>4</v>
      </c>
      <c r="L2126">
        <v>0.14000000000000001</v>
      </c>
      <c r="M2126">
        <v>0.16</v>
      </c>
      <c r="N2126" s="1">
        <v>5000000</v>
      </c>
      <c r="O2126">
        <v>0.14000000000000001</v>
      </c>
      <c r="P2126">
        <v>1.19</v>
      </c>
      <c r="Q2126">
        <v>0.01</v>
      </c>
    </row>
    <row r="2127" spans="1:17" x14ac:dyDescent="0.25">
      <c r="A2127">
        <v>731052</v>
      </c>
      <c r="B2127" t="s">
        <v>3439</v>
      </c>
      <c r="C2127" t="s">
        <v>78</v>
      </c>
      <c r="D2127" t="s">
        <v>78</v>
      </c>
      <c r="E2127" t="s">
        <v>78</v>
      </c>
      <c r="F2127" t="s">
        <v>78</v>
      </c>
      <c r="G2127" t="s">
        <v>78</v>
      </c>
      <c r="H2127">
        <v>0.05</v>
      </c>
      <c r="I2127" s="1">
        <v>0</v>
      </c>
      <c r="J2127" s="1">
        <v>0</v>
      </c>
      <c r="K2127">
        <v>0</v>
      </c>
      <c r="L2127">
        <v>0.01</v>
      </c>
      <c r="M2127">
        <v>0.02</v>
      </c>
      <c r="N2127" s="1">
        <v>5000000</v>
      </c>
      <c r="O2127">
        <v>0.02</v>
      </c>
      <c r="P2127">
        <v>1.52</v>
      </c>
      <c r="Q2127">
        <v>0.01</v>
      </c>
    </row>
    <row r="2128" spans="1:17" x14ac:dyDescent="0.25">
      <c r="A2128">
        <v>731053</v>
      </c>
      <c r="B2128" t="s">
        <v>3440</v>
      </c>
      <c r="C2128" t="s">
        <v>78</v>
      </c>
      <c r="D2128" t="s">
        <v>78</v>
      </c>
      <c r="E2128" t="s">
        <v>78</v>
      </c>
      <c r="F2128" t="s">
        <v>78</v>
      </c>
      <c r="G2128" t="s">
        <v>78</v>
      </c>
      <c r="H2128">
        <v>3.01</v>
      </c>
      <c r="I2128" s="1">
        <v>0</v>
      </c>
      <c r="J2128" s="1">
        <v>0</v>
      </c>
      <c r="K2128">
        <v>0</v>
      </c>
      <c r="L2128">
        <v>3.59</v>
      </c>
      <c r="M2128">
        <v>3.7</v>
      </c>
      <c r="N2128" s="1">
        <v>5000000</v>
      </c>
      <c r="O2128">
        <v>3.7</v>
      </c>
      <c r="P2128">
        <v>4.93</v>
      </c>
      <c r="Q2128">
        <v>2.4700000000000002</v>
      </c>
    </row>
    <row r="2129" spans="1:17" x14ac:dyDescent="0.25">
      <c r="A2129">
        <v>731054</v>
      </c>
      <c r="B2129" t="s">
        <v>3441</v>
      </c>
      <c r="C2129" t="s">
        <v>78</v>
      </c>
      <c r="D2129" t="s">
        <v>78</v>
      </c>
      <c r="E2129" t="s">
        <v>78</v>
      </c>
      <c r="F2129" t="s">
        <v>78</v>
      </c>
      <c r="G2129" t="s">
        <v>78</v>
      </c>
      <c r="H2129">
        <v>6.2</v>
      </c>
      <c r="I2129" s="1">
        <v>0</v>
      </c>
      <c r="J2129" s="1">
        <v>0</v>
      </c>
      <c r="K2129">
        <v>0</v>
      </c>
      <c r="L2129">
        <v>4.54</v>
      </c>
      <c r="M2129">
        <v>4.68</v>
      </c>
      <c r="N2129" s="1">
        <v>5000000</v>
      </c>
      <c r="O2129">
        <v>4.68</v>
      </c>
      <c r="P2129">
        <v>6.05</v>
      </c>
      <c r="Q2129">
        <v>3.28</v>
      </c>
    </row>
    <row r="2130" spans="1:17" x14ac:dyDescent="0.25">
      <c r="A2130">
        <v>731055</v>
      </c>
      <c r="B2130" t="s">
        <v>3442</v>
      </c>
      <c r="C2130" t="s">
        <v>78</v>
      </c>
      <c r="D2130" t="s">
        <v>78</v>
      </c>
      <c r="E2130" t="s">
        <v>78</v>
      </c>
      <c r="F2130" t="s">
        <v>78</v>
      </c>
      <c r="G2130" t="s">
        <v>78</v>
      </c>
      <c r="H2130">
        <v>0.38</v>
      </c>
      <c r="I2130" s="1">
        <v>0</v>
      </c>
      <c r="J2130" s="1">
        <v>0</v>
      </c>
      <c r="K2130">
        <v>0</v>
      </c>
      <c r="L2130">
        <v>0.36</v>
      </c>
      <c r="M2130">
        <v>0.38</v>
      </c>
      <c r="N2130" s="1">
        <v>10000000</v>
      </c>
      <c r="O2130">
        <v>0.38</v>
      </c>
      <c r="P2130">
        <v>1.1399999999999999</v>
      </c>
      <c r="Q2130">
        <v>0.01</v>
      </c>
    </row>
    <row r="2131" spans="1:17" x14ac:dyDescent="0.25">
      <c r="A2131">
        <v>731056</v>
      </c>
      <c r="B2131" t="s">
        <v>3443</v>
      </c>
      <c r="C2131" t="s">
        <v>78</v>
      </c>
      <c r="D2131" t="s">
        <v>78</v>
      </c>
      <c r="E2131" t="s">
        <v>78</v>
      </c>
      <c r="F2131" t="s">
        <v>78</v>
      </c>
      <c r="G2131" t="s">
        <v>78</v>
      </c>
      <c r="H2131">
        <v>7.35</v>
      </c>
      <c r="I2131" s="1">
        <v>0</v>
      </c>
      <c r="J2131" s="1">
        <v>0</v>
      </c>
      <c r="K2131">
        <v>0</v>
      </c>
      <c r="L2131">
        <v>7.55</v>
      </c>
      <c r="M2131">
        <v>8.0500000000000007</v>
      </c>
      <c r="N2131" s="1">
        <v>5000000</v>
      </c>
      <c r="O2131">
        <v>7.55</v>
      </c>
      <c r="P2131">
        <v>9.65</v>
      </c>
      <c r="Q2131">
        <v>5.45</v>
      </c>
    </row>
    <row r="2132" spans="1:17" x14ac:dyDescent="0.25">
      <c r="A2132">
        <v>731057</v>
      </c>
      <c r="B2132" t="s">
        <v>3444</v>
      </c>
      <c r="C2132" t="s">
        <v>78</v>
      </c>
      <c r="D2132" t="s">
        <v>78</v>
      </c>
      <c r="E2132" t="s">
        <v>78</v>
      </c>
      <c r="F2132" t="s">
        <v>78</v>
      </c>
      <c r="G2132" t="s">
        <v>78</v>
      </c>
      <c r="H2132">
        <v>0.88</v>
      </c>
      <c r="I2132" s="1">
        <v>0</v>
      </c>
      <c r="J2132" s="1">
        <v>0</v>
      </c>
      <c r="K2132">
        <v>0</v>
      </c>
      <c r="L2132">
        <v>0.85</v>
      </c>
      <c r="M2132">
        <v>0.86</v>
      </c>
      <c r="N2132" s="1">
        <v>5000000</v>
      </c>
      <c r="O2132">
        <v>0.86</v>
      </c>
      <c r="P2132">
        <v>1.66</v>
      </c>
      <c r="Q2132">
        <v>0.04</v>
      </c>
    </row>
    <row r="2133" spans="1:17" x14ac:dyDescent="0.25">
      <c r="A2133">
        <v>731058</v>
      </c>
      <c r="B2133" t="s">
        <v>3445</v>
      </c>
      <c r="C2133">
        <v>0.37</v>
      </c>
      <c r="D2133">
        <v>0</v>
      </c>
      <c r="E2133">
        <v>0.37</v>
      </c>
      <c r="F2133">
        <v>0.37</v>
      </c>
      <c r="G2133">
        <v>0.37</v>
      </c>
      <c r="H2133">
        <v>0.37</v>
      </c>
      <c r="I2133" s="1">
        <v>400000</v>
      </c>
      <c r="J2133" s="1">
        <v>148000</v>
      </c>
      <c r="K2133">
        <v>7</v>
      </c>
      <c r="L2133">
        <v>0.34</v>
      </c>
      <c r="M2133">
        <v>0.35</v>
      </c>
      <c r="N2133" s="1">
        <v>5000000</v>
      </c>
      <c r="O2133">
        <v>0.37</v>
      </c>
      <c r="P2133">
        <v>0.98</v>
      </c>
      <c r="Q2133">
        <v>0.01</v>
      </c>
    </row>
    <row r="2134" spans="1:17" x14ac:dyDescent="0.25">
      <c r="A2134">
        <v>731059</v>
      </c>
      <c r="B2134" t="s">
        <v>3446</v>
      </c>
      <c r="C2134">
        <v>3.8</v>
      </c>
      <c r="D2134">
        <v>-0.32</v>
      </c>
      <c r="E2134">
        <v>3.8</v>
      </c>
      <c r="F2134">
        <v>3.8</v>
      </c>
      <c r="G2134">
        <v>3.8</v>
      </c>
      <c r="H2134">
        <v>3.8</v>
      </c>
      <c r="I2134" s="1">
        <v>2000</v>
      </c>
      <c r="J2134" s="1">
        <v>7600</v>
      </c>
      <c r="K2134">
        <v>1</v>
      </c>
      <c r="L2134">
        <v>3.92</v>
      </c>
      <c r="M2134">
        <v>4.0199999999999996</v>
      </c>
      <c r="N2134" s="1">
        <v>5000000</v>
      </c>
      <c r="O2134">
        <v>3.8</v>
      </c>
      <c r="P2134">
        <v>5.2</v>
      </c>
      <c r="Q2134">
        <v>2.4</v>
      </c>
    </row>
    <row r="2135" spans="1:17" x14ac:dyDescent="0.25">
      <c r="A2135">
        <v>731060</v>
      </c>
      <c r="B2135" t="s">
        <v>3447</v>
      </c>
      <c r="C2135" t="s">
        <v>78</v>
      </c>
      <c r="D2135" t="s">
        <v>78</v>
      </c>
      <c r="E2135" t="s">
        <v>78</v>
      </c>
      <c r="F2135" t="s">
        <v>78</v>
      </c>
      <c r="G2135" t="s">
        <v>78</v>
      </c>
      <c r="H2135">
        <v>0.05</v>
      </c>
      <c r="I2135" s="1">
        <v>0</v>
      </c>
      <c r="J2135" s="1">
        <v>0</v>
      </c>
      <c r="K2135">
        <v>0</v>
      </c>
      <c r="L2135">
        <v>0.01</v>
      </c>
      <c r="M2135">
        <v>0.04</v>
      </c>
      <c r="N2135" s="1">
        <v>10000000</v>
      </c>
      <c r="O2135">
        <v>0.04</v>
      </c>
      <c r="P2135">
        <v>0.89</v>
      </c>
      <c r="Q2135">
        <v>0.01</v>
      </c>
    </row>
    <row r="2136" spans="1:17" x14ac:dyDescent="0.25">
      <c r="A2136">
        <v>731061</v>
      </c>
      <c r="B2136" t="s">
        <v>3448</v>
      </c>
      <c r="C2136" t="s">
        <v>78</v>
      </c>
      <c r="D2136" t="s">
        <v>78</v>
      </c>
      <c r="E2136" t="s">
        <v>78</v>
      </c>
      <c r="F2136" t="s">
        <v>78</v>
      </c>
      <c r="G2136" t="s">
        <v>78</v>
      </c>
      <c r="H2136">
        <v>0.01</v>
      </c>
      <c r="I2136" s="1">
        <v>0</v>
      </c>
      <c r="J2136" s="1">
        <v>0</v>
      </c>
      <c r="K2136">
        <v>0</v>
      </c>
      <c r="L2136">
        <v>0.01</v>
      </c>
      <c r="M2136">
        <v>0.04</v>
      </c>
      <c r="N2136" s="1">
        <v>5000000</v>
      </c>
      <c r="O2136">
        <v>0.01</v>
      </c>
      <c r="P2136">
        <v>0.69</v>
      </c>
      <c r="Q2136">
        <v>0.01</v>
      </c>
    </row>
    <row r="2137" spans="1:17" x14ac:dyDescent="0.25">
      <c r="A2137">
        <v>731062</v>
      </c>
      <c r="B2137" t="s">
        <v>3449</v>
      </c>
      <c r="C2137">
        <v>3.58</v>
      </c>
      <c r="D2137">
        <v>0.03</v>
      </c>
      <c r="E2137">
        <v>3.58</v>
      </c>
      <c r="F2137">
        <v>3.58</v>
      </c>
      <c r="G2137">
        <v>3.58</v>
      </c>
      <c r="H2137">
        <v>3.58</v>
      </c>
      <c r="I2137" s="1">
        <v>10000</v>
      </c>
      <c r="J2137" s="1">
        <v>35800</v>
      </c>
      <c r="K2137">
        <v>1</v>
      </c>
      <c r="L2137">
        <v>3.55</v>
      </c>
      <c r="M2137">
        <v>3.6</v>
      </c>
      <c r="N2137" s="1">
        <v>5000000</v>
      </c>
      <c r="O2137">
        <v>3.58</v>
      </c>
      <c r="P2137">
        <v>4.4800000000000004</v>
      </c>
      <c r="Q2137">
        <v>2.68</v>
      </c>
    </row>
    <row r="2138" spans="1:17" x14ac:dyDescent="0.25">
      <c r="A2138">
        <v>731063</v>
      </c>
      <c r="B2138" t="s">
        <v>3450</v>
      </c>
      <c r="C2138">
        <v>0.77</v>
      </c>
      <c r="D2138">
        <v>-0.01</v>
      </c>
      <c r="E2138">
        <v>0.77</v>
      </c>
      <c r="F2138">
        <v>0.77</v>
      </c>
      <c r="G2138">
        <v>0.77</v>
      </c>
      <c r="H2138">
        <v>0.77</v>
      </c>
      <c r="I2138" s="1">
        <v>20000</v>
      </c>
      <c r="J2138" s="1">
        <v>15400</v>
      </c>
      <c r="K2138">
        <v>1</v>
      </c>
      <c r="L2138">
        <v>0.79</v>
      </c>
      <c r="M2138">
        <v>0.8</v>
      </c>
      <c r="N2138" s="1">
        <v>5000000</v>
      </c>
      <c r="O2138">
        <v>0.77</v>
      </c>
      <c r="P2138">
        <v>2</v>
      </c>
      <c r="Q2138">
        <v>0.01</v>
      </c>
    </row>
    <row r="2139" spans="1:17" x14ac:dyDescent="0.25">
      <c r="A2139">
        <v>731064</v>
      </c>
      <c r="B2139" t="s">
        <v>3451</v>
      </c>
      <c r="C2139" t="s">
        <v>78</v>
      </c>
      <c r="D2139" t="s">
        <v>78</v>
      </c>
      <c r="E2139" t="s">
        <v>78</v>
      </c>
      <c r="F2139" t="s">
        <v>78</v>
      </c>
      <c r="G2139" t="s">
        <v>78</v>
      </c>
      <c r="H2139">
        <v>11.1</v>
      </c>
      <c r="I2139" s="1">
        <v>0</v>
      </c>
      <c r="J2139" s="1">
        <v>0</v>
      </c>
      <c r="K2139">
        <v>0</v>
      </c>
      <c r="L2139">
        <v>9.8000000000000007</v>
      </c>
      <c r="M2139">
        <v>10.6</v>
      </c>
      <c r="N2139" s="1">
        <v>5000000</v>
      </c>
      <c r="O2139">
        <v>9.8000000000000007</v>
      </c>
      <c r="P2139">
        <v>12.1</v>
      </c>
      <c r="Q2139">
        <v>7.5</v>
      </c>
    </row>
    <row r="2140" spans="1:17" x14ac:dyDescent="0.25">
      <c r="A2140">
        <v>731065</v>
      </c>
      <c r="B2140" t="s">
        <v>3452</v>
      </c>
      <c r="C2140">
        <v>0.8</v>
      </c>
      <c r="D2140">
        <v>-0.03</v>
      </c>
      <c r="E2140">
        <v>0.83</v>
      </c>
      <c r="F2140">
        <v>0.88</v>
      </c>
      <c r="G2140">
        <v>0.8</v>
      </c>
      <c r="H2140">
        <v>0.83</v>
      </c>
      <c r="I2140" s="1">
        <v>946000</v>
      </c>
      <c r="J2140" s="1">
        <v>785840</v>
      </c>
      <c r="K2140">
        <v>19</v>
      </c>
      <c r="L2140">
        <v>0.8</v>
      </c>
      <c r="M2140">
        <v>0.86</v>
      </c>
      <c r="N2140" s="1">
        <v>10000000</v>
      </c>
      <c r="O2140">
        <v>0.8</v>
      </c>
      <c r="P2140">
        <v>2.0499999999999998</v>
      </c>
      <c r="Q2140">
        <v>0.01</v>
      </c>
    </row>
    <row r="2141" spans="1:17" x14ac:dyDescent="0.25">
      <c r="A2141">
        <v>731066</v>
      </c>
      <c r="B2141" t="s">
        <v>3453</v>
      </c>
      <c r="C2141" t="s">
        <v>78</v>
      </c>
      <c r="D2141" t="s">
        <v>78</v>
      </c>
      <c r="E2141" t="s">
        <v>78</v>
      </c>
      <c r="F2141" t="s">
        <v>78</v>
      </c>
      <c r="G2141" t="s">
        <v>78</v>
      </c>
      <c r="H2141">
        <v>0.24</v>
      </c>
      <c r="I2141" s="1">
        <v>0</v>
      </c>
      <c r="J2141" s="1">
        <v>0</v>
      </c>
      <c r="K2141">
        <v>0</v>
      </c>
      <c r="L2141">
        <v>0.26</v>
      </c>
      <c r="M2141">
        <v>0.33</v>
      </c>
      <c r="N2141" s="1">
        <v>5000000</v>
      </c>
      <c r="O2141">
        <v>0.26</v>
      </c>
      <c r="P2141">
        <v>1.32</v>
      </c>
      <c r="Q2141">
        <v>0.01</v>
      </c>
    </row>
    <row r="2142" spans="1:17" x14ac:dyDescent="0.25">
      <c r="A2142">
        <v>731067</v>
      </c>
      <c r="B2142" t="s">
        <v>3454</v>
      </c>
      <c r="C2142" t="s">
        <v>78</v>
      </c>
      <c r="D2142" t="s">
        <v>78</v>
      </c>
      <c r="E2142" t="s">
        <v>78</v>
      </c>
      <c r="F2142" t="s">
        <v>78</v>
      </c>
      <c r="G2142" t="s">
        <v>78</v>
      </c>
      <c r="H2142">
        <v>0.01</v>
      </c>
      <c r="I2142" s="1">
        <v>0</v>
      </c>
      <c r="J2142" s="1">
        <v>0</v>
      </c>
      <c r="K2142">
        <v>0</v>
      </c>
      <c r="L2142">
        <v>0</v>
      </c>
      <c r="M2142">
        <v>0.01</v>
      </c>
      <c r="N2142" s="1">
        <v>5000000</v>
      </c>
      <c r="O2142">
        <v>0.01</v>
      </c>
      <c r="P2142">
        <v>0.91</v>
      </c>
      <c r="Q2142">
        <v>0.01</v>
      </c>
    </row>
    <row r="2143" spans="1:17" x14ac:dyDescent="0.25">
      <c r="A2143">
        <v>731068</v>
      </c>
      <c r="B2143" t="s">
        <v>3455</v>
      </c>
      <c r="C2143" t="s">
        <v>78</v>
      </c>
      <c r="D2143" t="s">
        <v>78</v>
      </c>
      <c r="E2143" t="s">
        <v>78</v>
      </c>
      <c r="F2143" t="s">
        <v>78</v>
      </c>
      <c r="G2143" t="s">
        <v>78</v>
      </c>
      <c r="H2143">
        <v>0.02</v>
      </c>
      <c r="I2143" s="1">
        <v>0</v>
      </c>
      <c r="J2143" s="1">
        <v>0</v>
      </c>
      <c r="K2143">
        <v>0</v>
      </c>
      <c r="L2143">
        <v>0</v>
      </c>
      <c r="M2143">
        <v>0.01</v>
      </c>
      <c r="N2143" s="1">
        <v>10000000</v>
      </c>
      <c r="O2143">
        <v>0.01</v>
      </c>
      <c r="P2143">
        <v>1.1100000000000001</v>
      </c>
      <c r="Q2143">
        <v>0.01</v>
      </c>
    </row>
    <row r="2144" spans="1:17" x14ac:dyDescent="0.25">
      <c r="A2144">
        <v>731069</v>
      </c>
      <c r="B2144" t="s">
        <v>3456</v>
      </c>
      <c r="C2144">
        <v>4.5</v>
      </c>
      <c r="D2144">
        <v>-0.35</v>
      </c>
      <c r="E2144">
        <v>5.35</v>
      </c>
      <c r="F2144">
        <v>5.4</v>
      </c>
      <c r="G2144">
        <v>4.5</v>
      </c>
      <c r="H2144">
        <v>5.19</v>
      </c>
      <c r="I2144" s="1">
        <v>359000</v>
      </c>
      <c r="J2144" s="1">
        <v>1861440</v>
      </c>
      <c r="K2144">
        <v>14</v>
      </c>
      <c r="L2144">
        <v>4.51</v>
      </c>
      <c r="M2144">
        <v>4.54</v>
      </c>
      <c r="N2144" s="1">
        <v>5000000</v>
      </c>
      <c r="O2144">
        <v>4.5</v>
      </c>
      <c r="P2144">
        <v>10.4</v>
      </c>
      <c r="Q2144">
        <v>0.01</v>
      </c>
    </row>
    <row r="2145" spans="1:17" x14ac:dyDescent="0.25">
      <c r="A2145">
        <v>731070</v>
      </c>
      <c r="B2145" t="s">
        <v>3457</v>
      </c>
      <c r="C2145">
        <v>5.4</v>
      </c>
      <c r="D2145">
        <v>0</v>
      </c>
      <c r="E2145">
        <v>5.9</v>
      </c>
      <c r="F2145">
        <v>5.9</v>
      </c>
      <c r="G2145">
        <v>5.25</v>
      </c>
      <c r="H2145">
        <v>5.84</v>
      </c>
      <c r="I2145" s="1">
        <v>59000</v>
      </c>
      <c r="J2145" s="1">
        <v>344500</v>
      </c>
      <c r="K2145">
        <v>6</v>
      </c>
      <c r="L2145">
        <v>5.25</v>
      </c>
      <c r="M2145">
        <v>5.3</v>
      </c>
      <c r="N2145" s="1">
        <v>5000000</v>
      </c>
      <c r="O2145">
        <v>5.4</v>
      </c>
      <c r="P2145">
        <v>9.35</v>
      </c>
      <c r="Q2145">
        <v>1.45</v>
      </c>
    </row>
    <row r="2146" spans="1:17" x14ac:dyDescent="0.25">
      <c r="A2146">
        <v>731071</v>
      </c>
      <c r="B2146" t="s">
        <v>3458</v>
      </c>
      <c r="C2146" t="s">
        <v>78</v>
      </c>
      <c r="D2146" t="s">
        <v>78</v>
      </c>
      <c r="E2146" t="s">
        <v>78</v>
      </c>
      <c r="F2146" t="s">
        <v>78</v>
      </c>
      <c r="G2146" t="s">
        <v>78</v>
      </c>
      <c r="H2146">
        <v>4.4400000000000004</v>
      </c>
      <c r="I2146" s="1">
        <v>0</v>
      </c>
      <c r="J2146" s="1">
        <v>0</v>
      </c>
      <c r="K2146">
        <v>0</v>
      </c>
      <c r="L2146">
        <v>5.65</v>
      </c>
      <c r="M2146">
        <v>6.1</v>
      </c>
      <c r="N2146" s="1">
        <v>5000000</v>
      </c>
      <c r="O2146">
        <v>5.65</v>
      </c>
      <c r="P2146">
        <v>7.1</v>
      </c>
      <c r="Q2146">
        <v>4.17</v>
      </c>
    </row>
    <row r="2147" spans="1:17" x14ac:dyDescent="0.25">
      <c r="A2147">
        <v>731072</v>
      </c>
      <c r="B2147" t="s">
        <v>3459</v>
      </c>
      <c r="C2147">
        <v>0.01</v>
      </c>
      <c r="D2147">
        <v>-0.02</v>
      </c>
      <c r="E2147">
        <v>0.01</v>
      </c>
      <c r="F2147">
        <v>0.01</v>
      </c>
      <c r="G2147">
        <v>0.01</v>
      </c>
      <c r="H2147">
        <v>0.01</v>
      </c>
      <c r="I2147" s="1">
        <v>11000</v>
      </c>
      <c r="J2147" s="1">
        <v>110</v>
      </c>
      <c r="K2147">
        <v>2</v>
      </c>
      <c r="L2147">
        <v>0.01</v>
      </c>
      <c r="M2147">
        <v>0.02</v>
      </c>
      <c r="N2147" s="1">
        <v>10000000</v>
      </c>
      <c r="O2147">
        <v>0.01</v>
      </c>
      <c r="P2147">
        <v>0.87</v>
      </c>
      <c r="Q2147">
        <v>0.01</v>
      </c>
    </row>
    <row r="2148" spans="1:17" x14ac:dyDescent="0.25">
      <c r="A2148">
        <v>731073</v>
      </c>
      <c r="B2148" t="s">
        <v>3460</v>
      </c>
      <c r="C2148">
        <v>1.42</v>
      </c>
      <c r="D2148">
        <v>0.05</v>
      </c>
      <c r="E2148">
        <v>1.42</v>
      </c>
      <c r="F2148">
        <v>1.42</v>
      </c>
      <c r="G2148">
        <v>1.42</v>
      </c>
      <c r="H2148">
        <v>1.42</v>
      </c>
      <c r="I2148" s="1">
        <v>15000</v>
      </c>
      <c r="J2148" s="1">
        <v>21300</v>
      </c>
      <c r="K2148">
        <v>1</v>
      </c>
      <c r="L2148">
        <v>1.3</v>
      </c>
      <c r="M2148">
        <v>1.4</v>
      </c>
      <c r="N2148" s="1">
        <v>5000000</v>
      </c>
      <c r="O2148">
        <v>1.42</v>
      </c>
      <c r="P2148">
        <v>1.9</v>
      </c>
      <c r="Q2148">
        <v>0.94</v>
      </c>
    </row>
    <row r="2149" spans="1:17" x14ac:dyDescent="0.25">
      <c r="A2149">
        <v>731074</v>
      </c>
      <c r="B2149" t="s">
        <v>3461</v>
      </c>
      <c r="C2149" t="s">
        <v>78</v>
      </c>
      <c r="D2149" t="s">
        <v>78</v>
      </c>
      <c r="E2149" t="s">
        <v>78</v>
      </c>
      <c r="F2149" t="s">
        <v>78</v>
      </c>
      <c r="G2149" t="s">
        <v>78</v>
      </c>
      <c r="H2149">
        <v>3.02</v>
      </c>
      <c r="I2149" s="1">
        <v>0</v>
      </c>
      <c r="J2149" s="1">
        <v>0</v>
      </c>
      <c r="K2149">
        <v>0</v>
      </c>
      <c r="L2149">
        <v>2.95</v>
      </c>
      <c r="M2149">
        <v>3.02</v>
      </c>
      <c r="N2149" s="1">
        <v>10000000</v>
      </c>
      <c r="O2149">
        <v>3.02</v>
      </c>
      <c r="P2149">
        <v>4.63</v>
      </c>
      <c r="Q2149">
        <v>1.41</v>
      </c>
    </row>
    <row r="2150" spans="1:17" x14ac:dyDescent="0.25">
      <c r="A2150">
        <v>731075</v>
      </c>
      <c r="B2150" t="s">
        <v>3462</v>
      </c>
      <c r="C2150" t="s">
        <v>78</v>
      </c>
      <c r="D2150" t="s">
        <v>78</v>
      </c>
      <c r="E2150" t="s">
        <v>78</v>
      </c>
      <c r="F2150" t="s">
        <v>78</v>
      </c>
      <c r="G2150" t="s">
        <v>78</v>
      </c>
      <c r="H2150">
        <v>5.05</v>
      </c>
      <c r="I2150" s="1">
        <v>0</v>
      </c>
      <c r="J2150" s="1">
        <v>0</v>
      </c>
      <c r="K2150">
        <v>0</v>
      </c>
      <c r="L2150">
        <v>6.9</v>
      </c>
      <c r="M2150">
        <v>7.35</v>
      </c>
      <c r="N2150" s="1">
        <v>13000000</v>
      </c>
      <c r="O2150">
        <v>6.9</v>
      </c>
      <c r="P2150">
        <v>8.35</v>
      </c>
      <c r="Q2150">
        <v>5.45</v>
      </c>
    </row>
    <row r="2151" spans="1:17" x14ac:dyDescent="0.25">
      <c r="A2151">
        <v>731076</v>
      </c>
      <c r="B2151" t="s">
        <v>3463</v>
      </c>
      <c r="C2151" t="s">
        <v>78</v>
      </c>
      <c r="D2151" t="s">
        <v>78</v>
      </c>
      <c r="E2151" t="s">
        <v>78</v>
      </c>
      <c r="F2151" t="s">
        <v>78</v>
      </c>
      <c r="G2151" t="s">
        <v>78</v>
      </c>
      <c r="H2151">
        <v>0.06</v>
      </c>
      <c r="I2151" s="1">
        <v>0</v>
      </c>
      <c r="J2151" s="1">
        <v>0</v>
      </c>
      <c r="K2151">
        <v>0</v>
      </c>
      <c r="L2151">
        <v>0.01</v>
      </c>
      <c r="M2151">
        <v>0.02</v>
      </c>
      <c r="N2151" s="1">
        <v>15000000</v>
      </c>
      <c r="O2151">
        <v>0.02</v>
      </c>
      <c r="P2151">
        <v>0.77</v>
      </c>
      <c r="Q2151">
        <v>0.01</v>
      </c>
    </row>
    <row r="2152" spans="1:17" x14ac:dyDescent="0.25">
      <c r="A2152">
        <v>731077</v>
      </c>
      <c r="B2152" t="s">
        <v>3464</v>
      </c>
      <c r="C2152">
        <v>0.33</v>
      </c>
      <c r="D2152">
        <v>-0.03</v>
      </c>
      <c r="E2152">
        <v>0.33</v>
      </c>
      <c r="F2152">
        <v>0.33</v>
      </c>
      <c r="G2152">
        <v>0.33</v>
      </c>
      <c r="H2152">
        <v>0.33</v>
      </c>
      <c r="I2152" s="1">
        <v>20000</v>
      </c>
      <c r="J2152" s="1">
        <v>6600</v>
      </c>
      <c r="K2152">
        <v>1</v>
      </c>
      <c r="L2152">
        <v>0.32</v>
      </c>
      <c r="M2152">
        <v>0.34</v>
      </c>
      <c r="N2152" s="1">
        <v>10000000</v>
      </c>
      <c r="O2152">
        <v>0.33</v>
      </c>
      <c r="P2152">
        <v>0.68</v>
      </c>
      <c r="Q2152">
        <v>0.01</v>
      </c>
    </row>
    <row r="2153" spans="1:17" x14ac:dyDescent="0.25">
      <c r="A2153">
        <v>731078</v>
      </c>
      <c r="B2153" t="s">
        <v>3465</v>
      </c>
      <c r="C2153">
        <v>4.96</v>
      </c>
      <c r="D2153">
        <v>0.21</v>
      </c>
      <c r="E2153">
        <v>4.95</v>
      </c>
      <c r="F2153">
        <v>4.96</v>
      </c>
      <c r="G2153">
        <v>4.95</v>
      </c>
      <c r="H2153">
        <v>4.96</v>
      </c>
      <c r="I2153" s="1">
        <v>20000</v>
      </c>
      <c r="J2153" s="1">
        <v>99100</v>
      </c>
      <c r="K2153">
        <v>2</v>
      </c>
      <c r="L2153">
        <v>4.84</v>
      </c>
      <c r="M2153">
        <v>4.92</v>
      </c>
      <c r="N2153" s="1">
        <v>15000000</v>
      </c>
      <c r="O2153">
        <v>4.96</v>
      </c>
      <c r="P2153">
        <v>6</v>
      </c>
      <c r="Q2153">
        <v>3.9</v>
      </c>
    </row>
    <row r="2154" spans="1:17" x14ac:dyDescent="0.25">
      <c r="A2154">
        <v>731079</v>
      </c>
      <c r="B2154" t="s">
        <v>3466</v>
      </c>
      <c r="C2154">
        <v>4.3499999999999996</v>
      </c>
      <c r="D2154">
        <v>0.2</v>
      </c>
      <c r="E2154">
        <v>4.38</v>
      </c>
      <c r="F2154">
        <v>4.38</v>
      </c>
      <c r="G2154">
        <v>4.2699999999999996</v>
      </c>
      <c r="H2154">
        <v>4.34</v>
      </c>
      <c r="I2154" s="1">
        <v>33000</v>
      </c>
      <c r="J2154" s="1">
        <v>143070</v>
      </c>
      <c r="K2154">
        <v>4</v>
      </c>
      <c r="L2154">
        <v>4.24</v>
      </c>
      <c r="M2154">
        <v>4.32</v>
      </c>
      <c r="N2154" s="1">
        <v>15000000</v>
      </c>
      <c r="O2154">
        <v>4.3499999999999996</v>
      </c>
      <c r="P2154">
        <v>5.2</v>
      </c>
      <c r="Q2154">
        <v>3.5</v>
      </c>
    </row>
    <row r="2155" spans="1:17" x14ac:dyDescent="0.25">
      <c r="A2155">
        <v>731080</v>
      </c>
      <c r="B2155" t="s">
        <v>3467</v>
      </c>
      <c r="C2155" t="s">
        <v>78</v>
      </c>
      <c r="D2155" t="s">
        <v>78</v>
      </c>
      <c r="E2155" t="s">
        <v>78</v>
      </c>
      <c r="F2155" t="s">
        <v>78</v>
      </c>
      <c r="G2155" t="s">
        <v>78</v>
      </c>
      <c r="H2155">
        <v>0.05</v>
      </c>
      <c r="I2155" s="1">
        <v>0</v>
      </c>
      <c r="J2155" s="1">
        <v>0</v>
      </c>
      <c r="K2155">
        <v>0</v>
      </c>
      <c r="L2155">
        <v>0.05</v>
      </c>
      <c r="M2155">
        <v>0.06</v>
      </c>
      <c r="N2155" s="1">
        <v>13000000</v>
      </c>
      <c r="O2155">
        <v>0.06</v>
      </c>
      <c r="P2155">
        <v>0.55000000000000004</v>
      </c>
      <c r="Q2155">
        <v>0.01</v>
      </c>
    </row>
    <row r="2156" spans="1:17" x14ac:dyDescent="0.25">
      <c r="A2156">
        <v>731081</v>
      </c>
      <c r="B2156" t="s">
        <v>3468</v>
      </c>
      <c r="C2156">
        <v>1.75</v>
      </c>
      <c r="D2156">
        <v>-0.03</v>
      </c>
      <c r="E2156">
        <v>1.75</v>
      </c>
      <c r="F2156">
        <v>1.75</v>
      </c>
      <c r="G2156">
        <v>1.75</v>
      </c>
      <c r="H2156">
        <v>1.75</v>
      </c>
      <c r="I2156" s="1">
        <v>1000</v>
      </c>
      <c r="J2156" s="1">
        <v>1750</v>
      </c>
      <c r="K2156">
        <v>1</v>
      </c>
      <c r="L2156">
        <v>1.71</v>
      </c>
      <c r="M2156">
        <v>1.8</v>
      </c>
      <c r="N2156" s="1">
        <v>10000000</v>
      </c>
      <c r="O2156">
        <v>1.75</v>
      </c>
      <c r="P2156">
        <v>2.48</v>
      </c>
      <c r="Q2156">
        <v>1.02</v>
      </c>
    </row>
    <row r="2157" spans="1:17" x14ac:dyDescent="0.25">
      <c r="A2157">
        <v>731082</v>
      </c>
      <c r="B2157" t="s">
        <v>3469</v>
      </c>
      <c r="C2157">
        <v>2.34</v>
      </c>
      <c r="D2157">
        <v>-0.03</v>
      </c>
      <c r="E2157">
        <v>2.46</v>
      </c>
      <c r="F2157">
        <v>2.46</v>
      </c>
      <c r="G2157">
        <v>2.34</v>
      </c>
      <c r="H2157">
        <v>2.37</v>
      </c>
      <c r="I2157" s="1">
        <v>13000</v>
      </c>
      <c r="J2157" s="1">
        <v>30780</v>
      </c>
      <c r="K2157">
        <v>2</v>
      </c>
      <c r="L2157">
        <v>2.31</v>
      </c>
      <c r="M2157">
        <v>2.37</v>
      </c>
      <c r="N2157" s="1">
        <v>15000000</v>
      </c>
      <c r="O2157">
        <v>2.34</v>
      </c>
      <c r="P2157">
        <v>3.13</v>
      </c>
      <c r="Q2157">
        <v>1.55</v>
      </c>
    </row>
    <row r="2158" spans="1:17" x14ac:dyDescent="0.25">
      <c r="A2158">
        <v>731083</v>
      </c>
      <c r="B2158" t="s">
        <v>3470</v>
      </c>
      <c r="C2158" t="s">
        <v>78</v>
      </c>
      <c r="D2158" t="s">
        <v>78</v>
      </c>
      <c r="E2158" t="s">
        <v>78</v>
      </c>
      <c r="F2158" t="s">
        <v>78</v>
      </c>
      <c r="G2158" t="s">
        <v>78</v>
      </c>
      <c r="H2158">
        <v>0.13</v>
      </c>
      <c r="I2158" s="1">
        <v>0</v>
      </c>
      <c r="J2158" s="1">
        <v>0</v>
      </c>
      <c r="K2158">
        <v>0</v>
      </c>
      <c r="L2158">
        <v>0.12</v>
      </c>
      <c r="M2158">
        <v>0.13</v>
      </c>
      <c r="N2158" s="1">
        <v>10000000</v>
      </c>
      <c r="O2158">
        <v>0.12</v>
      </c>
      <c r="P2158">
        <v>1.24</v>
      </c>
      <c r="Q2158">
        <v>0.01</v>
      </c>
    </row>
    <row r="2159" spans="1:17" x14ac:dyDescent="0.25">
      <c r="A2159">
        <v>731084</v>
      </c>
      <c r="B2159" t="s">
        <v>3471</v>
      </c>
      <c r="C2159" t="s">
        <v>78</v>
      </c>
      <c r="D2159" t="s">
        <v>78</v>
      </c>
      <c r="E2159" t="s">
        <v>78</v>
      </c>
      <c r="F2159" t="s">
        <v>78</v>
      </c>
      <c r="G2159" t="s">
        <v>78</v>
      </c>
      <c r="H2159">
        <v>0.02</v>
      </c>
      <c r="I2159" s="1">
        <v>0</v>
      </c>
      <c r="J2159" s="1">
        <v>0</v>
      </c>
      <c r="K2159">
        <v>0</v>
      </c>
      <c r="L2159">
        <v>0</v>
      </c>
      <c r="M2159">
        <v>0.02</v>
      </c>
      <c r="N2159" s="1">
        <v>5000000</v>
      </c>
      <c r="O2159">
        <v>0.02</v>
      </c>
      <c r="P2159">
        <v>0.34</v>
      </c>
      <c r="Q2159">
        <v>0.01</v>
      </c>
    </row>
    <row r="2160" spans="1:17" x14ac:dyDescent="0.25">
      <c r="A2160">
        <v>731085</v>
      </c>
      <c r="B2160" t="s">
        <v>3472</v>
      </c>
      <c r="C2160">
        <v>0.11</v>
      </c>
      <c r="D2160">
        <v>0.02</v>
      </c>
      <c r="E2160">
        <v>0.1</v>
      </c>
      <c r="F2160">
        <v>0.11</v>
      </c>
      <c r="G2160">
        <v>0.1</v>
      </c>
      <c r="H2160">
        <v>0.1</v>
      </c>
      <c r="I2160" s="1">
        <v>25000</v>
      </c>
      <c r="J2160" s="1">
        <v>2600</v>
      </c>
      <c r="K2160">
        <v>2</v>
      </c>
      <c r="L2160">
        <v>0.05</v>
      </c>
      <c r="M2160">
        <v>0.1</v>
      </c>
      <c r="N2160" s="1">
        <v>5000000</v>
      </c>
      <c r="O2160">
        <v>0.11</v>
      </c>
      <c r="P2160">
        <v>0.71</v>
      </c>
      <c r="Q2160">
        <v>0.01</v>
      </c>
    </row>
    <row r="2161" spans="1:17" x14ac:dyDescent="0.25">
      <c r="A2161">
        <v>731086</v>
      </c>
      <c r="B2161" t="s">
        <v>3473</v>
      </c>
      <c r="C2161" t="s">
        <v>78</v>
      </c>
      <c r="D2161" t="s">
        <v>78</v>
      </c>
      <c r="E2161" t="s">
        <v>78</v>
      </c>
      <c r="F2161" t="s">
        <v>78</v>
      </c>
      <c r="G2161" t="s">
        <v>78</v>
      </c>
      <c r="H2161">
        <v>6.5</v>
      </c>
      <c r="I2161" s="1">
        <v>0</v>
      </c>
      <c r="J2161" s="1">
        <v>0</v>
      </c>
      <c r="K2161">
        <v>0</v>
      </c>
      <c r="L2161">
        <v>7.25</v>
      </c>
      <c r="M2161">
        <v>0</v>
      </c>
      <c r="N2161" s="1">
        <v>5000000</v>
      </c>
      <c r="O2161">
        <v>7.25</v>
      </c>
      <c r="P2161">
        <v>8.6999999999999993</v>
      </c>
      <c r="Q2161">
        <v>5.8</v>
      </c>
    </row>
    <row r="2162" spans="1:17" x14ac:dyDescent="0.25">
      <c r="A2162">
        <v>731087</v>
      </c>
      <c r="B2162" t="s">
        <v>3474</v>
      </c>
      <c r="C2162">
        <v>0.14000000000000001</v>
      </c>
      <c r="D2162">
        <v>0.01</v>
      </c>
      <c r="E2162">
        <v>0.16</v>
      </c>
      <c r="F2162">
        <v>0.16</v>
      </c>
      <c r="G2162">
        <v>0.14000000000000001</v>
      </c>
      <c r="H2162">
        <v>0.14000000000000001</v>
      </c>
      <c r="I2162" s="1">
        <v>29000</v>
      </c>
      <c r="J2162" s="1">
        <v>4080</v>
      </c>
      <c r="K2162">
        <v>2</v>
      </c>
      <c r="L2162">
        <v>0.13</v>
      </c>
      <c r="M2162">
        <v>0.14000000000000001</v>
      </c>
      <c r="N2162" s="1">
        <v>10000000</v>
      </c>
      <c r="O2162">
        <v>0.14000000000000001</v>
      </c>
      <c r="P2162">
        <v>0.55000000000000004</v>
      </c>
      <c r="Q2162">
        <v>0.01</v>
      </c>
    </row>
    <row r="2163" spans="1:17" x14ac:dyDescent="0.25">
      <c r="A2163">
        <v>731088</v>
      </c>
      <c r="B2163" t="s">
        <v>3475</v>
      </c>
      <c r="C2163" t="s">
        <v>78</v>
      </c>
      <c r="D2163" t="s">
        <v>78</v>
      </c>
      <c r="E2163" t="s">
        <v>78</v>
      </c>
      <c r="F2163" t="s">
        <v>78</v>
      </c>
      <c r="G2163" t="s">
        <v>78</v>
      </c>
      <c r="H2163">
        <v>0.17</v>
      </c>
      <c r="I2163" s="1">
        <v>0</v>
      </c>
      <c r="J2163" s="1">
        <v>0</v>
      </c>
      <c r="K2163">
        <v>0</v>
      </c>
      <c r="L2163">
        <v>0.16</v>
      </c>
      <c r="M2163">
        <v>0.17</v>
      </c>
      <c r="N2163" s="1">
        <v>5000000</v>
      </c>
      <c r="O2163">
        <v>0.16</v>
      </c>
      <c r="P2163">
        <v>0.47</v>
      </c>
      <c r="Q2163">
        <v>0.01</v>
      </c>
    </row>
    <row r="2164" spans="1:17" x14ac:dyDescent="0.25">
      <c r="A2164">
        <v>731089</v>
      </c>
      <c r="B2164" t="s">
        <v>3476</v>
      </c>
      <c r="C2164">
        <v>1.85</v>
      </c>
      <c r="D2164">
        <v>-0.05</v>
      </c>
      <c r="E2164">
        <v>1.99</v>
      </c>
      <c r="F2164">
        <v>2.11</v>
      </c>
      <c r="G2164">
        <v>1.84</v>
      </c>
      <c r="H2164">
        <v>2.0699999999999998</v>
      </c>
      <c r="I2164" s="1">
        <v>388000</v>
      </c>
      <c r="J2164" s="1">
        <v>801440</v>
      </c>
      <c r="K2164">
        <v>47</v>
      </c>
      <c r="L2164">
        <v>1.85</v>
      </c>
      <c r="M2164">
        <v>1.9</v>
      </c>
      <c r="N2164" s="1">
        <v>5000000</v>
      </c>
      <c r="O2164">
        <v>1.85</v>
      </c>
      <c r="P2164">
        <v>2.34</v>
      </c>
      <c r="Q2164">
        <v>1.36</v>
      </c>
    </row>
    <row r="2165" spans="1:17" x14ac:dyDescent="0.25">
      <c r="A2165">
        <v>731090</v>
      </c>
      <c r="B2165" t="s">
        <v>3477</v>
      </c>
      <c r="C2165" t="s">
        <v>78</v>
      </c>
      <c r="D2165" t="s">
        <v>78</v>
      </c>
      <c r="E2165" t="s">
        <v>78</v>
      </c>
      <c r="F2165" t="s">
        <v>78</v>
      </c>
      <c r="G2165" t="s">
        <v>78</v>
      </c>
      <c r="H2165">
        <v>0.43</v>
      </c>
      <c r="I2165" s="1">
        <v>0</v>
      </c>
      <c r="J2165" s="1">
        <v>0</v>
      </c>
      <c r="K2165">
        <v>0</v>
      </c>
      <c r="L2165">
        <v>0</v>
      </c>
      <c r="M2165">
        <v>0.1</v>
      </c>
      <c r="N2165" s="1">
        <v>5000000</v>
      </c>
      <c r="O2165">
        <v>0.1</v>
      </c>
      <c r="P2165">
        <v>0.41</v>
      </c>
      <c r="Q2165">
        <v>0.01</v>
      </c>
    </row>
    <row r="2166" spans="1:17" x14ac:dyDescent="0.25">
      <c r="A2166">
        <v>731091</v>
      </c>
      <c r="B2166" t="s">
        <v>3478</v>
      </c>
      <c r="C2166" t="s">
        <v>78</v>
      </c>
      <c r="D2166" t="s">
        <v>78</v>
      </c>
      <c r="E2166" t="s">
        <v>78</v>
      </c>
      <c r="F2166" t="s">
        <v>78</v>
      </c>
      <c r="G2166" t="s">
        <v>78</v>
      </c>
      <c r="H2166">
        <v>0.56999999999999995</v>
      </c>
      <c r="I2166" s="1">
        <v>0</v>
      </c>
      <c r="J2166" s="1">
        <v>0</v>
      </c>
      <c r="K2166">
        <v>0</v>
      </c>
      <c r="L2166">
        <v>0.6</v>
      </c>
      <c r="M2166">
        <v>0.63</v>
      </c>
      <c r="N2166" s="1">
        <v>10000000</v>
      </c>
      <c r="O2166">
        <v>0.63</v>
      </c>
      <c r="P2166">
        <v>1.46</v>
      </c>
      <c r="Q2166">
        <v>0.01</v>
      </c>
    </row>
    <row r="2167" spans="1:17" x14ac:dyDescent="0.25">
      <c r="A2167">
        <v>731092</v>
      </c>
      <c r="B2167" t="s">
        <v>3479</v>
      </c>
      <c r="C2167" t="s">
        <v>78</v>
      </c>
      <c r="D2167" t="s">
        <v>78</v>
      </c>
      <c r="E2167" t="s">
        <v>78</v>
      </c>
      <c r="F2167" t="s">
        <v>78</v>
      </c>
      <c r="G2167" t="s">
        <v>78</v>
      </c>
      <c r="H2167">
        <v>0.1</v>
      </c>
      <c r="I2167" s="1">
        <v>0</v>
      </c>
      <c r="J2167" s="1">
        <v>0</v>
      </c>
      <c r="K2167">
        <v>0</v>
      </c>
      <c r="L2167">
        <v>0</v>
      </c>
      <c r="M2167">
        <v>0.01</v>
      </c>
      <c r="N2167" s="1">
        <v>5000000</v>
      </c>
      <c r="O2167">
        <v>0.01</v>
      </c>
      <c r="P2167">
        <v>0.6</v>
      </c>
      <c r="Q2167">
        <v>0.01</v>
      </c>
    </row>
    <row r="2168" spans="1:17" x14ac:dyDescent="0.25">
      <c r="A2168">
        <v>731093</v>
      </c>
      <c r="B2168" t="s">
        <v>3480</v>
      </c>
      <c r="C2168" t="s">
        <v>78</v>
      </c>
      <c r="D2168" t="s">
        <v>78</v>
      </c>
      <c r="E2168" t="s">
        <v>78</v>
      </c>
      <c r="F2168" t="s">
        <v>78</v>
      </c>
      <c r="G2168" t="s">
        <v>78</v>
      </c>
      <c r="H2168">
        <v>0.01</v>
      </c>
      <c r="I2168" s="1">
        <v>0</v>
      </c>
      <c r="J2168" s="1">
        <v>0</v>
      </c>
      <c r="K2168">
        <v>0</v>
      </c>
      <c r="L2168">
        <v>0</v>
      </c>
      <c r="M2168">
        <v>0.08</v>
      </c>
      <c r="N2168" s="1">
        <v>5000000</v>
      </c>
      <c r="O2168">
        <v>0.01</v>
      </c>
      <c r="P2168">
        <v>0.19</v>
      </c>
      <c r="Q2168">
        <v>0.01</v>
      </c>
    </row>
    <row r="2169" spans="1:17" x14ac:dyDescent="0.25">
      <c r="A2169">
        <v>731094</v>
      </c>
      <c r="B2169" t="s">
        <v>3481</v>
      </c>
      <c r="C2169">
        <v>0.11</v>
      </c>
      <c r="D2169">
        <v>-0.01</v>
      </c>
      <c r="E2169">
        <v>0.11</v>
      </c>
      <c r="F2169">
        <v>0.11</v>
      </c>
      <c r="G2169">
        <v>0.11</v>
      </c>
      <c r="H2169">
        <v>0.11</v>
      </c>
      <c r="I2169" s="1">
        <v>7000</v>
      </c>
      <c r="J2169" s="1">
        <v>770</v>
      </c>
      <c r="K2169">
        <v>1</v>
      </c>
      <c r="L2169">
        <v>0.11</v>
      </c>
      <c r="M2169">
        <v>0.12</v>
      </c>
      <c r="N2169" s="1">
        <v>5013000</v>
      </c>
      <c r="O2169">
        <v>0.11</v>
      </c>
      <c r="P2169">
        <v>0.81</v>
      </c>
      <c r="Q2169">
        <v>0.01</v>
      </c>
    </row>
    <row r="2170" spans="1:17" x14ac:dyDescent="0.25">
      <c r="A2170">
        <v>731095</v>
      </c>
      <c r="B2170" t="s">
        <v>3482</v>
      </c>
      <c r="C2170" t="s">
        <v>78</v>
      </c>
      <c r="D2170" t="s">
        <v>78</v>
      </c>
      <c r="E2170" t="s">
        <v>78</v>
      </c>
      <c r="F2170" t="s">
        <v>78</v>
      </c>
      <c r="G2170" t="s">
        <v>78</v>
      </c>
      <c r="H2170">
        <v>0.03</v>
      </c>
      <c r="I2170" s="1">
        <v>0</v>
      </c>
      <c r="J2170" s="1">
        <v>0</v>
      </c>
      <c r="K2170">
        <v>0</v>
      </c>
      <c r="L2170">
        <v>0</v>
      </c>
      <c r="M2170">
        <v>0.02</v>
      </c>
      <c r="N2170" s="1">
        <v>10000000</v>
      </c>
      <c r="O2170">
        <v>0.02</v>
      </c>
      <c r="P2170">
        <v>0.66</v>
      </c>
      <c r="Q2170">
        <v>0.01</v>
      </c>
    </row>
    <row r="2171" spans="1:17" x14ac:dyDescent="0.25">
      <c r="A2171">
        <v>731096</v>
      </c>
      <c r="B2171" t="s">
        <v>3483</v>
      </c>
      <c r="C2171" t="s">
        <v>78</v>
      </c>
      <c r="D2171" t="s">
        <v>78</v>
      </c>
      <c r="E2171" t="s">
        <v>78</v>
      </c>
      <c r="F2171" t="s">
        <v>78</v>
      </c>
      <c r="G2171" t="s">
        <v>78</v>
      </c>
      <c r="H2171">
        <v>0.2</v>
      </c>
      <c r="I2171" s="1">
        <v>0</v>
      </c>
      <c r="J2171" s="1">
        <v>0</v>
      </c>
      <c r="K2171">
        <v>0</v>
      </c>
      <c r="L2171">
        <v>0.09</v>
      </c>
      <c r="M2171">
        <v>0.1</v>
      </c>
      <c r="N2171" s="1">
        <v>5000000</v>
      </c>
      <c r="O2171">
        <v>0.09</v>
      </c>
      <c r="P2171">
        <v>0.85</v>
      </c>
      <c r="Q2171">
        <v>0.01</v>
      </c>
    </row>
    <row r="2172" spans="1:17" x14ac:dyDescent="0.25">
      <c r="A2172">
        <v>731097</v>
      </c>
      <c r="B2172" t="s">
        <v>3484</v>
      </c>
      <c r="C2172">
        <v>0.83</v>
      </c>
      <c r="D2172">
        <v>0.02</v>
      </c>
      <c r="E2172">
        <v>0.83</v>
      </c>
      <c r="F2172">
        <v>0.83</v>
      </c>
      <c r="G2172">
        <v>0.83</v>
      </c>
      <c r="H2172">
        <v>0.83</v>
      </c>
      <c r="I2172" s="1">
        <v>1000</v>
      </c>
      <c r="J2172" s="1">
        <v>830</v>
      </c>
      <c r="K2172">
        <v>1</v>
      </c>
      <c r="L2172">
        <v>0.81</v>
      </c>
      <c r="M2172">
        <v>0.84</v>
      </c>
      <c r="N2172" s="1">
        <v>5000000</v>
      </c>
      <c r="O2172">
        <v>0.83</v>
      </c>
      <c r="P2172">
        <v>1.85</v>
      </c>
      <c r="Q2172">
        <v>0.01</v>
      </c>
    </row>
    <row r="2173" spans="1:17" x14ac:dyDescent="0.25">
      <c r="A2173">
        <v>731098</v>
      </c>
      <c r="B2173" t="s">
        <v>3485</v>
      </c>
      <c r="C2173" t="s">
        <v>78</v>
      </c>
      <c r="D2173" t="s">
        <v>78</v>
      </c>
      <c r="E2173" t="s">
        <v>78</v>
      </c>
      <c r="F2173" t="s">
        <v>78</v>
      </c>
      <c r="G2173" t="s">
        <v>78</v>
      </c>
      <c r="H2173">
        <v>0.08</v>
      </c>
      <c r="I2173" s="1">
        <v>0</v>
      </c>
      <c r="J2173" s="1">
        <v>0</v>
      </c>
      <c r="K2173">
        <v>0</v>
      </c>
      <c r="L2173">
        <v>0</v>
      </c>
      <c r="M2173">
        <v>0.02</v>
      </c>
      <c r="N2173" s="1">
        <v>5000000</v>
      </c>
      <c r="O2173">
        <v>0.02</v>
      </c>
      <c r="P2173">
        <v>0.25</v>
      </c>
      <c r="Q2173">
        <v>0.01</v>
      </c>
    </row>
    <row r="2174" spans="1:17" x14ac:dyDescent="0.25">
      <c r="A2174">
        <v>731099</v>
      </c>
      <c r="B2174" t="s">
        <v>3486</v>
      </c>
      <c r="C2174" t="s">
        <v>78</v>
      </c>
      <c r="D2174" t="s">
        <v>78</v>
      </c>
      <c r="E2174" t="s">
        <v>78</v>
      </c>
      <c r="F2174" t="s">
        <v>78</v>
      </c>
      <c r="G2174" t="s">
        <v>78</v>
      </c>
      <c r="H2174">
        <v>0.19</v>
      </c>
      <c r="I2174" s="1">
        <v>0</v>
      </c>
      <c r="J2174" s="1">
        <v>0</v>
      </c>
      <c r="K2174">
        <v>0</v>
      </c>
      <c r="L2174">
        <v>0</v>
      </c>
      <c r="M2174">
        <v>0.02</v>
      </c>
      <c r="N2174" s="1">
        <v>5000000</v>
      </c>
      <c r="O2174">
        <v>0.02</v>
      </c>
      <c r="P2174">
        <v>0.28000000000000003</v>
      </c>
      <c r="Q2174">
        <v>0.01</v>
      </c>
    </row>
    <row r="2175" spans="1:17" x14ac:dyDescent="0.25">
      <c r="A2175">
        <v>731100</v>
      </c>
      <c r="B2175" t="s">
        <v>3487</v>
      </c>
      <c r="C2175">
        <v>0.3</v>
      </c>
      <c r="D2175">
        <v>0.01</v>
      </c>
      <c r="E2175">
        <v>0.31</v>
      </c>
      <c r="F2175">
        <v>0.31</v>
      </c>
      <c r="G2175">
        <v>0.3</v>
      </c>
      <c r="H2175">
        <v>0.3</v>
      </c>
      <c r="I2175" s="1">
        <v>212000</v>
      </c>
      <c r="J2175" s="1">
        <v>63810</v>
      </c>
      <c r="K2175">
        <v>5</v>
      </c>
      <c r="L2175">
        <v>0.28999999999999998</v>
      </c>
      <c r="M2175">
        <v>0.3</v>
      </c>
      <c r="N2175" s="1">
        <v>10000000</v>
      </c>
      <c r="O2175">
        <v>0.3</v>
      </c>
      <c r="P2175">
        <v>0.83</v>
      </c>
      <c r="Q2175">
        <v>0.01</v>
      </c>
    </row>
    <row r="2176" spans="1:17" x14ac:dyDescent="0.25">
      <c r="A2176">
        <v>731101</v>
      </c>
      <c r="B2176" t="s">
        <v>3488</v>
      </c>
      <c r="C2176">
        <v>0.23</v>
      </c>
      <c r="D2176">
        <v>0.04</v>
      </c>
      <c r="E2176">
        <v>0.23</v>
      </c>
      <c r="F2176">
        <v>0.23</v>
      </c>
      <c r="G2176">
        <v>0.23</v>
      </c>
      <c r="H2176">
        <v>0.23</v>
      </c>
      <c r="I2176" s="1">
        <v>6000</v>
      </c>
      <c r="J2176" s="1">
        <v>1380</v>
      </c>
      <c r="K2176">
        <v>1</v>
      </c>
      <c r="L2176">
        <v>0.2</v>
      </c>
      <c r="M2176">
        <v>0.21</v>
      </c>
      <c r="N2176" s="1">
        <v>5000000</v>
      </c>
      <c r="O2176">
        <v>0.23</v>
      </c>
      <c r="P2176">
        <v>1.18</v>
      </c>
      <c r="Q2176">
        <v>0.01</v>
      </c>
    </row>
    <row r="2177" spans="1:17" x14ac:dyDescent="0.25">
      <c r="A2177">
        <v>731102</v>
      </c>
      <c r="B2177" t="s">
        <v>3489</v>
      </c>
      <c r="C2177">
        <v>1.03</v>
      </c>
      <c r="D2177">
        <v>-0.12</v>
      </c>
      <c r="E2177">
        <v>1.1599999999999999</v>
      </c>
      <c r="F2177">
        <v>1.25</v>
      </c>
      <c r="G2177">
        <v>1.03</v>
      </c>
      <c r="H2177">
        <v>1.19</v>
      </c>
      <c r="I2177" s="1">
        <v>70000</v>
      </c>
      <c r="J2177" s="1">
        <v>82980</v>
      </c>
      <c r="K2177">
        <v>6</v>
      </c>
      <c r="L2177">
        <v>1.03</v>
      </c>
      <c r="M2177">
        <v>1.05</v>
      </c>
      <c r="N2177" s="1">
        <v>5000000</v>
      </c>
      <c r="O2177">
        <v>1.03</v>
      </c>
      <c r="P2177">
        <v>1.98</v>
      </c>
      <c r="Q2177">
        <v>0.08</v>
      </c>
    </row>
    <row r="2178" spans="1:17" x14ac:dyDescent="0.25">
      <c r="A2178">
        <v>731103</v>
      </c>
      <c r="B2178" t="s">
        <v>3490</v>
      </c>
      <c r="C2178" t="s">
        <v>78</v>
      </c>
      <c r="D2178" t="s">
        <v>78</v>
      </c>
      <c r="E2178" t="s">
        <v>78</v>
      </c>
      <c r="F2178" t="s">
        <v>78</v>
      </c>
      <c r="G2178" t="s">
        <v>78</v>
      </c>
      <c r="H2178">
        <v>0.45</v>
      </c>
      <c r="I2178" s="1">
        <v>0</v>
      </c>
      <c r="J2178" s="1">
        <v>0</v>
      </c>
      <c r="K2178">
        <v>0</v>
      </c>
      <c r="L2178">
        <v>0.36</v>
      </c>
      <c r="M2178">
        <v>0.79</v>
      </c>
      <c r="N2178" s="1">
        <v>5000000</v>
      </c>
      <c r="O2178">
        <v>0.45</v>
      </c>
      <c r="P2178">
        <v>1.35</v>
      </c>
      <c r="Q2178">
        <v>0.01</v>
      </c>
    </row>
    <row r="2179" spans="1:17" x14ac:dyDescent="0.25">
      <c r="A2179">
        <v>731104</v>
      </c>
      <c r="B2179" t="s">
        <v>3491</v>
      </c>
      <c r="C2179" t="s">
        <v>78</v>
      </c>
      <c r="D2179" t="s">
        <v>78</v>
      </c>
      <c r="E2179" t="s">
        <v>78</v>
      </c>
      <c r="F2179" t="s">
        <v>78</v>
      </c>
      <c r="G2179" t="s">
        <v>78</v>
      </c>
      <c r="H2179">
        <v>0.01</v>
      </c>
      <c r="I2179" s="1">
        <v>0</v>
      </c>
      <c r="J2179" s="1">
        <v>0</v>
      </c>
      <c r="K2179">
        <v>0</v>
      </c>
      <c r="L2179">
        <v>0.01</v>
      </c>
      <c r="M2179">
        <v>0.04</v>
      </c>
      <c r="N2179" s="1">
        <v>5000000</v>
      </c>
      <c r="O2179">
        <v>0.01</v>
      </c>
      <c r="P2179">
        <v>0.68</v>
      </c>
      <c r="Q2179">
        <v>0.01</v>
      </c>
    </row>
    <row r="2180" spans="1:17" x14ac:dyDescent="0.25">
      <c r="A2180">
        <v>731105</v>
      </c>
      <c r="B2180" t="s">
        <v>3492</v>
      </c>
      <c r="C2180" t="s">
        <v>78</v>
      </c>
      <c r="D2180" t="s">
        <v>78</v>
      </c>
      <c r="E2180" t="s">
        <v>78</v>
      </c>
      <c r="F2180" t="s">
        <v>78</v>
      </c>
      <c r="G2180" t="s">
        <v>78</v>
      </c>
      <c r="H2180">
        <v>3.06</v>
      </c>
      <c r="I2180" s="1">
        <v>0</v>
      </c>
      <c r="J2180" s="1">
        <v>0</v>
      </c>
      <c r="K2180">
        <v>0</v>
      </c>
      <c r="L2180">
        <v>3</v>
      </c>
      <c r="M2180">
        <v>3.05</v>
      </c>
      <c r="N2180" s="1">
        <v>5000000</v>
      </c>
      <c r="O2180">
        <v>3.05</v>
      </c>
      <c r="P2180">
        <v>4.2300000000000004</v>
      </c>
      <c r="Q2180">
        <v>1.87</v>
      </c>
    </row>
    <row r="2181" spans="1:17" x14ac:dyDescent="0.25">
      <c r="A2181">
        <v>731106</v>
      </c>
      <c r="B2181" t="s">
        <v>3493</v>
      </c>
      <c r="C2181" t="s">
        <v>78</v>
      </c>
      <c r="D2181" t="s">
        <v>78</v>
      </c>
      <c r="E2181" t="s">
        <v>78</v>
      </c>
      <c r="F2181" t="s">
        <v>78</v>
      </c>
      <c r="G2181" t="s">
        <v>78</v>
      </c>
      <c r="H2181">
        <v>0.04</v>
      </c>
      <c r="I2181" s="1">
        <v>0</v>
      </c>
      <c r="J2181" s="1">
        <v>0</v>
      </c>
      <c r="K2181">
        <v>0</v>
      </c>
      <c r="L2181">
        <v>0.04</v>
      </c>
      <c r="M2181">
        <v>0.05</v>
      </c>
      <c r="N2181" s="1">
        <v>5000000</v>
      </c>
      <c r="O2181">
        <v>0.04</v>
      </c>
      <c r="P2181">
        <v>0.89</v>
      </c>
      <c r="Q2181">
        <v>0.01</v>
      </c>
    </row>
    <row r="2182" spans="1:17" x14ac:dyDescent="0.25">
      <c r="A2182">
        <v>731107</v>
      </c>
      <c r="B2182" t="s">
        <v>3494</v>
      </c>
      <c r="C2182" t="s">
        <v>78</v>
      </c>
      <c r="D2182" t="s">
        <v>78</v>
      </c>
      <c r="E2182" t="s">
        <v>78</v>
      </c>
      <c r="F2182" t="s">
        <v>78</v>
      </c>
      <c r="G2182" t="s">
        <v>78</v>
      </c>
      <c r="H2182">
        <v>7.0000000000000007E-2</v>
      </c>
      <c r="I2182" s="1">
        <v>0</v>
      </c>
      <c r="J2182" s="1">
        <v>0</v>
      </c>
      <c r="K2182">
        <v>0</v>
      </c>
      <c r="L2182">
        <v>0.01</v>
      </c>
      <c r="M2182">
        <v>0.02</v>
      </c>
      <c r="N2182" s="1">
        <v>10000000</v>
      </c>
      <c r="O2182">
        <v>0.02</v>
      </c>
      <c r="P2182">
        <v>0.51</v>
      </c>
      <c r="Q2182">
        <v>0.01</v>
      </c>
    </row>
    <row r="2183" spans="1:17" x14ac:dyDescent="0.25">
      <c r="A2183">
        <v>731108</v>
      </c>
      <c r="B2183" t="s">
        <v>3495</v>
      </c>
      <c r="C2183" t="s">
        <v>78</v>
      </c>
      <c r="D2183" t="s">
        <v>78</v>
      </c>
      <c r="E2183" t="s">
        <v>78</v>
      </c>
      <c r="F2183" t="s">
        <v>78</v>
      </c>
      <c r="G2183" t="s">
        <v>78</v>
      </c>
      <c r="H2183">
        <v>0.12</v>
      </c>
      <c r="I2183" s="1">
        <v>0</v>
      </c>
      <c r="J2183" s="1">
        <v>0</v>
      </c>
      <c r="K2183">
        <v>0</v>
      </c>
      <c r="L2183">
        <v>0.02</v>
      </c>
      <c r="M2183">
        <v>0.03</v>
      </c>
      <c r="N2183" s="1">
        <v>10000000</v>
      </c>
      <c r="O2183">
        <v>0.02</v>
      </c>
      <c r="P2183">
        <v>0.79</v>
      </c>
      <c r="Q2183">
        <v>0.01</v>
      </c>
    </row>
    <row r="2184" spans="1:17" x14ac:dyDescent="0.25">
      <c r="A2184">
        <v>731109</v>
      </c>
      <c r="B2184" t="s">
        <v>3496</v>
      </c>
      <c r="C2184" t="s">
        <v>78</v>
      </c>
      <c r="D2184" t="s">
        <v>78</v>
      </c>
      <c r="E2184" t="s">
        <v>78</v>
      </c>
      <c r="F2184" t="s">
        <v>78</v>
      </c>
      <c r="G2184" t="s">
        <v>78</v>
      </c>
      <c r="H2184">
        <v>4.3</v>
      </c>
      <c r="I2184" s="1">
        <v>0</v>
      </c>
      <c r="J2184" s="1">
        <v>0</v>
      </c>
      <c r="K2184">
        <v>0</v>
      </c>
      <c r="L2184">
        <v>5.2</v>
      </c>
      <c r="M2184">
        <v>0</v>
      </c>
      <c r="N2184" s="1">
        <v>5000000</v>
      </c>
      <c r="O2184">
        <v>5.9</v>
      </c>
      <c r="P2184">
        <v>7.25</v>
      </c>
      <c r="Q2184">
        <v>4.5199999999999996</v>
      </c>
    </row>
    <row r="2185" spans="1:17" x14ac:dyDescent="0.25">
      <c r="A2185">
        <v>731110</v>
      </c>
      <c r="B2185" t="s">
        <v>3497</v>
      </c>
      <c r="C2185">
        <v>0.36</v>
      </c>
      <c r="D2185">
        <v>0.02</v>
      </c>
      <c r="E2185">
        <v>0.36</v>
      </c>
      <c r="F2185">
        <v>0.38</v>
      </c>
      <c r="G2185">
        <v>0.36</v>
      </c>
      <c r="H2185">
        <v>0.37</v>
      </c>
      <c r="I2185" s="1">
        <v>61000</v>
      </c>
      <c r="J2185" s="1">
        <v>22560</v>
      </c>
      <c r="K2185">
        <v>8</v>
      </c>
      <c r="L2185">
        <v>0.34</v>
      </c>
      <c r="M2185">
        <v>0.36</v>
      </c>
      <c r="N2185" s="1">
        <v>5000000</v>
      </c>
      <c r="O2185">
        <v>0.36</v>
      </c>
      <c r="P2185">
        <v>1.01</v>
      </c>
      <c r="Q2185">
        <v>0.01</v>
      </c>
    </row>
    <row r="2186" spans="1:17" x14ac:dyDescent="0.25">
      <c r="A2186">
        <v>731111</v>
      </c>
      <c r="B2186" t="s">
        <v>3498</v>
      </c>
      <c r="C2186">
        <v>0.56000000000000005</v>
      </c>
      <c r="D2186">
        <v>-0.01</v>
      </c>
      <c r="E2186">
        <v>0.63</v>
      </c>
      <c r="F2186">
        <v>0.67</v>
      </c>
      <c r="G2186">
        <v>0.56000000000000005</v>
      </c>
      <c r="H2186">
        <v>0.62</v>
      </c>
      <c r="I2186" s="1">
        <v>40000</v>
      </c>
      <c r="J2186" s="1">
        <v>25000</v>
      </c>
      <c r="K2186">
        <v>4</v>
      </c>
      <c r="L2186">
        <v>0.52</v>
      </c>
      <c r="M2186">
        <v>0.53</v>
      </c>
      <c r="N2186" s="1">
        <v>5000000</v>
      </c>
      <c r="O2186">
        <v>0.56000000000000005</v>
      </c>
      <c r="P2186">
        <v>1.38</v>
      </c>
      <c r="Q2186">
        <v>0.01</v>
      </c>
    </row>
    <row r="2187" spans="1:17" x14ac:dyDescent="0.25">
      <c r="A2187">
        <v>731112</v>
      </c>
      <c r="B2187" t="s">
        <v>3499</v>
      </c>
      <c r="C2187">
        <v>1.48</v>
      </c>
      <c r="D2187">
        <v>0.1</v>
      </c>
      <c r="E2187">
        <v>1.45</v>
      </c>
      <c r="F2187">
        <v>1.48</v>
      </c>
      <c r="G2187">
        <v>1.45</v>
      </c>
      <c r="H2187">
        <v>1.46</v>
      </c>
      <c r="I2187" s="1">
        <v>30000</v>
      </c>
      <c r="J2187" s="1">
        <v>43800</v>
      </c>
      <c r="K2187">
        <v>3</v>
      </c>
      <c r="L2187">
        <v>1.6</v>
      </c>
      <c r="M2187">
        <v>1.61</v>
      </c>
      <c r="N2187" s="1">
        <v>5000000</v>
      </c>
      <c r="O2187">
        <v>1.48</v>
      </c>
      <c r="P2187">
        <v>2.88</v>
      </c>
      <c r="Q2187">
        <v>0.08</v>
      </c>
    </row>
    <row r="2188" spans="1:17" x14ac:dyDescent="0.25">
      <c r="A2188">
        <v>731113</v>
      </c>
      <c r="B2188" t="s">
        <v>3500</v>
      </c>
      <c r="C2188" t="s">
        <v>78</v>
      </c>
      <c r="D2188" t="s">
        <v>78</v>
      </c>
      <c r="E2188" t="s">
        <v>78</v>
      </c>
      <c r="F2188" t="s">
        <v>78</v>
      </c>
      <c r="G2188" t="s">
        <v>78</v>
      </c>
      <c r="H2188">
        <v>0.38</v>
      </c>
      <c r="I2188" s="1">
        <v>0</v>
      </c>
      <c r="J2188" s="1">
        <v>0</v>
      </c>
      <c r="K2188">
        <v>0</v>
      </c>
      <c r="L2188">
        <v>0.54</v>
      </c>
      <c r="M2188">
        <v>0.55000000000000004</v>
      </c>
      <c r="N2188" s="1">
        <v>5000000</v>
      </c>
      <c r="O2188">
        <v>0.54</v>
      </c>
      <c r="P2188">
        <v>2.78</v>
      </c>
      <c r="Q2188">
        <v>0.01</v>
      </c>
    </row>
    <row r="2189" spans="1:17" x14ac:dyDescent="0.25">
      <c r="A2189">
        <v>731114</v>
      </c>
      <c r="B2189" t="s">
        <v>3501</v>
      </c>
      <c r="C2189">
        <v>1.1599999999999999</v>
      </c>
      <c r="D2189">
        <v>0.28000000000000003</v>
      </c>
      <c r="E2189">
        <v>0.95</v>
      </c>
      <c r="F2189">
        <v>1.1599999999999999</v>
      </c>
      <c r="G2189">
        <v>0.95</v>
      </c>
      <c r="H2189">
        <v>1.07</v>
      </c>
      <c r="I2189" s="1">
        <v>50000</v>
      </c>
      <c r="J2189" s="1">
        <v>53600</v>
      </c>
      <c r="K2189">
        <v>5</v>
      </c>
      <c r="L2189">
        <v>1.04</v>
      </c>
      <c r="M2189">
        <v>1.1399999999999999</v>
      </c>
      <c r="N2189" s="1">
        <v>5000000</v>
      </c>
      <c r="O2189">
        <v>1.1599999999999999</v>
      </c>
      <c r="P2189">
        <v>2.56</v>
      </c>
      <c r="Q2189">
        <v>0.01</v>
      </c>
    </row>
    <row r="2190" spans="1:17" x14ac:dyDescent="0.25">
      <c r="A2190">
        <v>731115</v>
      </c>
      <c r="B2190" t="s">
        <v>3502</v>
      </c>
      <c r="C2190">
        <v>1.4</v>
      </c>
      <c r="D2190">
        <v>0.12</v>
      </c>
      <c r="E2190">
        <v>1.34</v>
      </c>
      <c r="F2190">
        <v>1.41</v>
      </c>
      <c r="G2190">
        <v>1.24</v>
      </c>
      <c r="H2190">
        <v>1.33</v>
      </c>
      <c r="I2190" s="1">
        <v>13000</v>
      </c>
      <c r="J2190" s="1">
        <v>17260</v>
      </c>
      <c r="K2190">
        <v>8</v>
      </c>
      <c r="L2190">
        <v>1.36</v>
      </c>
      <c r="M2190">
        <v>1.4</v>
      </c>
      <c r="N2190" s="1">
        <v>10000000</v>
      </c>
      <c r="O2190">
        <v>1.4</v>
      </c>
      <c r="P2190">
        <v>2.14</v>
      </c>
      <c r="Q2190">
        <v>0.66</v>
      </c>
    </row>
    <row r="2191" spans="1:17" x14ac:dyDescent="0.25">
      <c r="A2191">
        <v>731116</v>
      </c>
      <c r="B2191" t="s">
        <v>3503</v>
      </c>
      <c r="C2191" t="s">
        <v>78</v>
      </c>
      <c r="D2191" t="s">
        <v>78</v>
      </c>
      <c r="E2191" t="s">
        <v>78</v>
      </c>
      <c r="F2191" t="s">
        <v>78</v>
      </c>
      <c r="G2191" t="s">
        <v>78</v>
      </c>
      <c r="H2191">
        <v>0.12</v>
      </c>
      <c r="I2191" s="1">
        <v>0</v>
      </c>
      <c r="J2191" s="1">
        <v>0</v>
      </c>
      <c r="K2191">
        <v>0</v>
      </c>
      <c r="L2191">
        <v>0</v>
      </c>
      <c r="M2191">
        <v>0.05</v>
      </c>
      <c r="N2191" s="1">
        <v>10000000</v>
      </c>
      <c r="O2191">
        <v>0.02</v>
      </c>
      <c r="P2191">
        <v>1.2</v>
      </c>
      <c r="Q2191">
        <v>0.01</v>
      </c>
    </row>
    <row r="2192" spans="1:17" x14ac:dyDescent="0.25">
      <c r="A2192">
        <v>731117</v>
      </c>
      <c r="B2192" t="s">
        <v>3504</v>
      </c>
      <c r="C2192" t="s">
        <v>78</v>
      </c>
      <c r="D2192" t="s">
        <v>78</v>
      </c>
      <c r="E2192" t="s">
        <v>78</v>
      </c>
      <c r="F2192" t="s">
        <v>78</v>
      </c>
      <c r="G2192" t="s">
        <v>78</v>
      </c>
      <c r="H2192">
        <v>1.73</v>
      </c>
      <c r="I2192" s="1">
        <v>0</v>
      </c>
      <c r="J2192" s="1">
        <v>0</v>
      </c>
      <c r="K2192">
        <v>0</v>
      </c>
      <c r="L2192">
        <v>2.16</v>
      </c>
      <c r="M2192">
        <v>2.2599999999999998</v>
      </c>
      <c r="N2192" s="1">
        <v>10000000</v>
      </c>
      <c r="O2192">
        <v>2.2599999999999998</v>
      </c>
      <c r="P2192">
        <v>2.95</v>
      </c>
      <c r="Q2192">
        <v>1.57</v>
      </c>
    </row>
    <row r="2193" spans="1:17" x14ac:dyDescent="0.25">
      <c r="A2193">
        <v>731118</v>
      </c>
      <c r="B2193" t="s">
        <v>3505</v>
      </c>
      <c r="C2193" t="s">
        <v>78</v>
      </c>
      <c r="D2193" t="s">
        <v>78</v>
      </c>
      <c r="E2193" t="s">
        <v>78</v>
      </c>
      <c r="F2193" t="s">
        <v>78</v>
      </c>
      <c r="G2193" t="s">
        <v>78</v>
      </c>
      <c r="H2193">
        <v>7.0000000000000007E-2</v>
      </c>
      <c r="I2193" s="1">
        <v>0</v>
      </c>
      <c r="J2193" s="1">
        <v>0</v>
      </c>
      <c r="K2193">
        <v>0</v>
      </c>
      <c r="L2193">
        <v>0.06</v>
      </c>
      <c r="M2193">
        <v>0.09</v>
      </c>
      <c r="N2193" s="1">
        <v>5000000</v>
      </c>
      <c r="O2193">
        <v>7.0000000000000007E-2</v>
      </c>
      <c r="P2193">
        <v>0.86</v>
      </c>
      <c r="Q2193">
        <v>0.01</v>
      </c>
    </row>
    <row r="2194" spans="1:17" x14ac:dyDescent="0.25">
      <c r="A2194">
        <v>731119</v>
      </c>
      <c r="B2194" t="s">
        <v>3506</v>
      </c>
      <c r="C2194" t="s">
        <v>78</v>
      </c>
      <c r="D2194" t="s">
        <v>78</v>
      </c>
      <c r="E2194" t="s">
        <v>78</v>
      </c>
      <c r="F2194" t="s">
        <v>78</v>
      </c>
      <c r="G2194" t="s">
        <v>78</v>
      </c>
      <c r="H2194">
        <v>0.27</v>
      </c>
      <c r="I2194" s="1">
        <v>0</v>
      </c>
      <c r="J2194" s="1">
        <v>0</v>
      </c>
      <c r="K2194">
        <v>0</v>
      </c>
      <c r="L2194">
        <v>0</v>
      </c>
      <c r="M2194">
        <v>0.01</v>
      </c>
      <c r="N2194" s="1">
        <v>5000000</v>
      </c>
      <c r="O2194">
        <v>0.01</v>
      </c>
      <c r="P2194">
        <v>0.27</v>
      </c>
      <c r="Q2194">
        <v>0.01</v>
      </c>
    </row>
    <row r="2195" spans="1:17" x14ac:dyDescent="0.25">
      <c r="A2195">
        <v>731120</v>
      </c>
      <c r="B2195" t="s">
        <v>3507</v>
      </c>
      <c r="C2195" t="s">
        <v>78</v>
      </c>
      <c r="D2195" t="s">
        <v>78</v>
      </c>
      <c r="E2195" t="s">
        <v>78</v>
      </c>
      <c r="F2195" t="s">
        <v>78</v>
      </c>
      <c r="G2195" t="s">
        <v>78</v>
      </c>
      <c r="H2195">
        <v>0.28000000000000003</v>
      </c>
      <c r="I2195" s="1">
        <v>0</v>
      </c>
      <c r="J2195" s="1">
        <v>0</v>
      </c>
      <c r="K2195">
        <v>0</v>
      </c>
      <c r="L2195">
        <v>0.13</v>
      </c>
      <c r="M2195">
        <v>0.14000000000000001</v>
      </c>
      <c r="N2195" s="1">
        <v>10000000</v>
      </c>
      <c r="O2195">
        <v>0.14000000000000001</v>
      </c>
      <c r="P2195">
        <v>1</v>
      </c>
      <c r="Q2195">
        <v>0.01</v>
      </c>
    </row>
    <row r="2196" spans="1:17" x14ac:dyDescent="0.25">
      <c r="A2196">
        <v>731121</v>
      </c>
      <c r="B2196" t="s">
        <v>3508</v>
      </c>
      <c r="C2196">
        <v>0.21</v>
      </c>
      <c r="D2196">
        <v>0.01</v>
      </c>
      <c r="E2196">
        <v>0.21</v>
      </c>
      <c r="F2196">
        <v>0.21</v>
      </c>
      <c r="G2196">
        <v>0.21</v>
      </c>
      <c r="H2196">
        <v>0.21</v>
      </c>
      <c r="I2196" s="1">
        <v>10000</v>
      </c>
      <c r="J2196" s="1">
        <v>2100</v>
      </c>
      <c r="K2196">
        <v>1</v>
      </c>
      <c r="L2196">
        <v>0.2</v>
      </c>
      <c r="M2196">
        <v>0.21</v>
      </c>
      <c r="N2196" s="1">
        <v>10000000</v>
      </c>
      <c r="O2196">
        <v>0.21</v>
      </c>
      <c r="P2196">
        <v>1.64</v>
      </c>
      <c r="Q2196">
        <v>0.01</v>
      </c>
    </row>
    <row r="2197" spans="1:17" x14ac:dyDescent="0.25">
      <c r="A2197">
        <v>731122</v>
      </c>
      <c r="B2197" t="s">
        <v>3509</v>
      </c>
      <c r="C2197">
        <v>0.42</v>
      </c>
      <c r="D2197">
        <v>0.04</v>
      </c>
      <c r="E2197">
        <v>0.45</v>
      </c>
      <c r="F2197">
        <v>0.46</v>
      </c>
      <c r="G2197">
        <v>0.42</v>
      </c>
      <c r="H2197">
        <v>0.44</v>
      </c>
      <c r="I2197" s="1">
        <v>495000</v>
      </c>
      <c r="J2197" s="1">
        <v>219500</v>
      </c>
      <c r="K2197">
        <v>9</v>
      </c>
      <c r="L2197">
        <v>0.4</v>
      </c>
      <c r="M2197">
        <v>0.41</v>
      </c>
      <c r="N2197" s="1">
        <v>10000000</v>
      </c>
      <c r="O2197">
        <v>0.42</v>
      </c>
      <c r="P2197">
        <v>1.1000000000000001</v>
      </c>
      <c r="Q2197">
        <v>0.01</v>
      </c>
    </row>
    <row r="2198" spans="1:17" x14ac:dyDescent="0.25">
      <c r="A2198">
        <v>731123</v>
      </c>
      <c r="B2198" t="s">
        <v>3510</v>
      </c>
      <c r="C2198" t="s">
        <v>78</v>
      </c>
      <c r="D2198" t="s">
        <v>78</v>
      </c>
      <c r="E2198" t="s">
        <v>78</v>
      </c>
      <c r="F2198" t="s">
        <v>78</v>
      </c>
      <c r="G2198" t="s">
        <v>78</v>
      </c>
      <c r="H2198">
        <v>1.88</v>
      </c>
      <c r="I2198" s="1">
        <v>0</v>
      </c>
      <c r="J2198" s="1">
        <v>0</v>
      </c>
      <c r="K2198">
        <v>0</v>
      </c>
      <c r="L2198">
        <v>2.08</v>
      </c>
      <c r="M2198">
        <v>2.17</v>
      </c>
      <c r="N2198" s="1">
        <v>5000000</v>
      </c>
      <c r="O2198">
        <v>2.08</v>
      </c>
      <c r="P2198">
        <v>3.19</v>
      </c>
      <c r="Q2198">
        <v>0.97</v>
      </c>
    </row>
    <row r="2199" spans="1:17" x14ac:dyDescent="0.25">
      <c r="A2199">
        <v>731124</v>
      </c>
      <c r="B2199" t="s">
        <v>3511</v>
      </c>
      <c r="C2199" t="s">
        <v>78</v>
      </c>
      <c r="D2199" t="s">
        <v>78</v>
      </c>
      <c r="E2199" t="s">
        <v>78</v>
      </c>
      <c r="F2199" t="s">
        <v>78</v>
      </c>
      <c r="G2199" t="s">
        <v>78</v>
      </c>
      <c r="H2199">
        <v>0.21</v>
      </c>
      <c r="I2199" s="1">
        <v>0</v>
      </c>
      <c r="J2199" s="1">
        <v>0</v>
      </c>
      <c r="K2199">
        <v>0</v>
      </c>
      <c r="L2199">
        <v>0.14000000000000001</v>
      </c>
      <c r="M2199">
        <v>0.15</v>
      </c>
      <c r="N2199" s="1">
        <v>5000000</v>
      </c>
      <c r="O2199">
        <v>0.15</v>
      </c>
      <c r="P2199">
        <v>0.51</v>
      </c>
      <c r="Q2199">
        <v>0.01</v>
      </c>
    </row>
    <row r="2200" spans="1:17" x14ac:dyDescent="0.25">
      <c r="A2200">
        <v>731125</v>
      </c>
      <c r="B2200" t="s">
        <v>3512</v>
      </c>
      <c r="C2200">
        <v>0.02</v>
      </c>
      <c r="D2200">
        <v>0</v>
      </c>
      <c r="E2200">
        <v>0.02</v>
      </c>
      <c r="F2200">
        <v>0.02</v>
      </c>
      <c r="G2200">
        <v>0.02</v>
      </c>
      <c r="H2200">
        <v>0.02</v>
      </c>
      <c r="I2200" s="1">
        <v>200000</v>
      </c>
      <c r="J2200" s="1">
        <v>4000</v>
      </c>
      <c r="K2200">
        <v>14</v>
      </c>
      <c r="L2200">
        <v>0.01</v>
      </c>
      <c r="M2200">
        <v>0.27</v>
      </c>
      <c r="N2200" s="1">
        <v>5000000</v>
      </c>
      <c r="O2200">
        <v>0.02</v>
      </c>
      <c r="P2200">
        <v>0.88</v>
      </c>
      <c r="Q2200">
        <v>0.01</v>
      </c>
    </row>
    <row r="2201" spans="1:17" x14ac:dyDescent="0.25">
      <c r="A2201">
        <v>731126</v>
      </c>
      <c r="B2201" t="s">
        <v>3513</v>
      </c>
      <c r="C2201">
        <v>0.21</v>
      </c>
      <c r="D2201">
        <v>-0.03</v>
      </c>
      <c r="E2201">
        <v>0.21</v>
      </c>
      <c r="F2201">
        <v>0.21</v>
      </c>
      <c r="G2201">
        <v>0.2</v>
      </c>
      <c r="H2201">
        <v>0.2</v>
      </c>
      <c r="I2201" s="1">
        <v>60000</v>
      </c>
      <c r="J2201" s="1">
        <v>12200</v>
      </c>
      <c r="K2201">
        <v>5</v>
      </c>
      <c r="L2201">
        <v>0.19</v>
      </c>
      <c r="M2201">
        <v>0.3</v>
      </c>
      <c r="N2201" s="1">
        <v>5000000</v>
      </c>
      <c r="O2201">
        <v>0.21</v>
      </c>
      <c r="P2201">
        <v>1.1100000000000001</v>
      </c>
      <c r="Q2201">
        <v>0.01</v>
      </c>
    </row>
    <row r="2202" spans="1:17" x14ac:dyDescent="0.25">
      <c r="A2202">
        <v>731127</v>
      </c>
      <c r="B2202" t="s">
        <v>3514</v>
      </c>
      <c r="C2202" t="s">
        <v>78</v>
      </c>
      <c r="D2202" t="s">
        <v>78</v>
      </c>
      <c r="E2202" t="s">
        <v>78</v>
      </c>
      <c r="F2202" t="s">
        <v>78</v>
      </c>
      <c r="G2202" t="s">
        <v>78</v>
      </c>
      <c r="H2202">
        <v>0.01</v>
      </c>
      <c r="I2202" s="1">
        <v>0</v>
      </c>
      <c r="J2202" s="1">
        <v>0</v>
      </c>
      <c r="K2202">
        <v>0</v>
      </c>
      <c r="L2202">
        <v>0.01</v>
      </c>
      <c r="M2202">
        <v>0.02</v>
      </c>
      <c r="N2202" s="1">
        <v>5000000</v>
      </c>
      <c r="O2202">
        <v>0.01</v>
      </c>
      <c r="P2202">
        <v>0.59</v>
      </c>
      <c r="Q2202">
        <v>0.01</v>
      </c>
    </row>
    <row r="2203" spans="1:17" x14ac:dyDescent="0.25">
      <c r="A2203">
        <v>731128</v>
      </c>
      <c r="B2203" t="s">
        <v>3515</v>
      </c>
      <c r="C2203">
        <v>0.68</v>
      </c>
      <c r="D2203">
        <v>0.02</v>
      </c>
      <c r="E2203">
        <v>0.68</v>
      </c>
      <c r="F2203">
        <v>0.69</v>
      </c>
      <c r="G2203">
        <v>0.6</v>
      </c>
      <c r="H2203">
        <v>0.66</v>
      </c>
      <c r="I2203" s="1">
        <v>1054000</v>
      </c>
      <c r="J2203" s="1">
        <v>695580</v>
      </c>
      <c r="K2203">
        <v>24</v>
      </c>
      <c r="L2203">
        <v>0.6</v>
      </c>
      <c r="M2203">
        <v>0.68</v>
      </c>
      <c r="N2203" s="1">
        <v>5000000</v>
      </c>
      <c r="O2203">
        <v>0.68</v>
      </c>
      <c r="P2203">
        <v>1.5</v>
      </c>
      <c r="Q2203">
        <v>0.01</v>
      </c>
    </row>
    <row r="2204" spans="1:17" x14ac:dyDescent="0.25">
      <c r="A2204">
        <v>731129</v>
      </c>
      <c r="B2204" t="s">
        <v>3516</v>
      </c>
      <c r="C2204">
        <v>0.01</v>
      </c>
      <c r="D2204">
        <v>0</v>
      </c>
      <c r="E2204">
        <v>0.2</v>
      </c>
      <c r="F2204">
        <v>0.2</v>
      </c>
      <c r="G2204">
        <v>0.01</v>
      </c>
      <c r="H2204">
        <v>0.02</v>
      </c>
      <c r="I2204" s="1">
        <v>31000</v>
      </c>
      <c r="J2204" s="1">
        <v>500</v>
      </c>
      <c r="K2204">
        <v>2</v>
      </c>
      <c r="L2204">
        <v>0</v>
      </c>
      <c r="M2204">
        <v>0.08</v>
      </c>
      <c r="N2204" s="1">
        <v>5000000</v>
      </c>
      <c r="O2204">
        <v>0.01</v>
      </c>
      <c r="P2204">
        <v>0.82</v>
      </c>
      <c r="Q2204">
        <v>0.01</v>
      </c>
    </row>
    <row r="2205" spans="1:17" x14ac:dyDescent="0.25">
      <c r="A2205">
        <v>731130</v>
      </c>
      <c r="B2205" t="s">
        <v>3517</v>
      </c>
      <c r="C2205" t="s">
        <v>78</v>
      </c>
      <c r="D2205" t="s">
        <v>78</v>
      </c>
      <c r="E2205" t="s">
        <v>78</v>
      </c>
      <c r="F2205" t="s">
        <v>78</v>
      </c>
      <c r="G2205" t="s">
        <v>78</v>
      </c>
      <c r="H2205">
        <v>3.55</v>
      </c>
      <c r="I2205" s="1">
        <v>0</v>
      </c>
      <c r="J2205" s="1">
        <v>0</v>
      </c>
      <c r="K2205">
        <v>0</v>
      </c>
      <c r="L2205">
        <v>3.27</v>
      </c>
      <c r="M2205">
        <v>3.37</v>
      </c>
      <c r="N2205" s="1">
        <v>10000000</v>
      </c>
      <c r="O2205">
        <v>3.27</v>
      </c>
      <c r="P2205">
        <v>4.72</v>
      </c>
      <c r="Q2205">
        <v>1.82</v>
      </c>
    </row>
    <row r="2206" spans="1:17" x14ac:dyDescent="0.25">
      <c r="A2206">
        <v>731131</v>
      </c>
      <c r="B2206" t="s">
        <v>3518</v>
      </c>
      <c r="C2206">
        <v>0.32</v>
      </c>
      <c r="D2206">
        <v>0</v>
      </c>
      <c r="E2206">
        <v>0.32</v>
      </c>
      <c r="F2206">
        <v>0.32</v>
      </c>
      <c r="G2206">
        <v>0.32</v>
      </c>
      <c r="H2206">
        <v>0.32</v>
      </c>
      <c r="I2206" s="1">
        <v>90000</v>
      </c>
      <c r="J2206" s="1">
        <v>28800</v>
      </c>
      <c r="K2206">
        <v>1</v>
      </c>
      <c r="L2206">
        <v>0.31</v>
      </c>
      <c r="M2206">
        <v>0.33</v>
      </c>
      <c r="N2206" s="1">
        <v>5000000</v>
      </c>
      <c r="O2206">
        <v>0.32</v>
      </c>
      <c r="P2206">
        <v>1.1000000000000001</v>
      </c>
      <c r="Q2206">
        <v>0.01</v>
      </c>
    </row>
    <row r="2207" spans="1:17" x14ac:dyDescent="0.25">
      <c r="A2207">
        <v>731132</v>
      </c>
      <c r="B2207" t="s">
        <v>3519</v>
      </c>
      <c r="C2207" t="s">
        <v>78</v>
      </c>
      <c r="D2207" t="s">
        <v>78</v>
      </c>
      <c r="E2207" t="s">
        <v>78</v>
      </c>
      <c r="F2207" t="s">
        <v>78</v>
      </c>
      <c r="G2207" t="s">
        <v>78</v>
      </c>
      <c r="H2207">
        <v>0.35</v>
      </c>
      <c r="I2207" s="1">
        <v>0</v>
      </c>
      <c r="J2207" s="1">
        <v>0</v>
      </c>
      <c r="K2207">
        <v>0</v>
      </c>
      <c r="L2207">
        <v>0.15</v>
      </c>
      <c r="M2207">
        <v>0.16</v>
      </c>
      <c r="N2207" s="1">
        <v>5000000</v>
      </c>
      <c r="O2207">
        <v>0.16</v>
      </c>
      <c r="P2207">
        <v>0.97</v>
      </c>
      <c r="Q2207">
        <v>0.01</v>
      </c>
    </row>
    <row r="2208" spans="1:17" x14ac:dyDescent="0.25">
      <c r="A2208">
        <v>731133</v>
      </c>
      <c r="B2208" t="s">
        <v>3520</v>
      </c>
      <c r="C2208" t="s">
        <v>78</v>
      </c>
      <c r="D2208" t="s">
        <v>78</v>
      </c>
      <c r="E2208" t="s">
        <v>78</v>
      </c>
      <c r="F2208" t="s">
        <v>78</v>
      </c>
      <c r="G2208" t="s">
        <v>78</v>
      </c>
      <c r="H2208">
        <v>0.17</v>
      </c>
      <c r="I2208" s="1">
        <v>0</v>
      </c>
      <c r="J2208" s="1">
        <v>0</v>
      </c>
      <c r="K2208">
        <v>0</v>
      </c>
      <c r="L2208">
        <v>0.06</v>
      </c>
      <c r="M2208">
        <v>7.0000000000000007E-2</v>
      </c>
      <c r="N2208" s="1">
        <v>10000000</v>
      </c>
      <c r="O2208">
        <v>7.0000000000000007E-2</v>
      </c>
      <c r="P2208">
        <v>0.92</v>
      </c>
      <c r="Q2208">
        <v>0.01</v>
      </c>
    </row>
    <row r="2209" spans="1:17" x14ac:dyDescent="0.25">
      <c r="A2209">
        <v>731134</v>
      </c>
      <c r="B2209" t="s">
        <v>3521</v>
      </c>
      <c r="C2209">
        <v>1.3</v>
      </c>
      <c r="D2209">
        <v>7.0000000000000007E-2</v>
      </c>
      <c r="E2209">
        <v>1.45</v>
      </c>
      <c r="F2209">
        <v>1.45</v>
      </c>
      <c r="G2209">
        <v>1.3</v>
      </c>
      <c r="H2209">
        <v>1.41</v>
      </c>
      <c r="I2209" s="1">
        <v>52000</v>
      </c>
      <c r="J2209" s="1">
        <v>73200</v>
      </c>
      <c r="K2209">
        <v>4</v>
      </c>
      <c r="L2209">
        <v>1.25</v>
      </c>
      <c r="M2209">
        <v>1.31</v>
      </c>
      <c r="N2209" s="1">
        <v>10000000</v>
      </c>
      <c r="O2209">
        <v>1.3</v>
      </c>
      <c r="P2209">
        <v>2.5099999999999998</v>
      </c>
      <c r="Q2209">
        <v>0.08</v>
      </c>
    </row>
    <row r="2210" spans="1:17" x14ac:dyDescent="0.25">
      <c r="A2210">
        <v>731135</v>
      </c>
      <c r="B2210" t="s">
        <v>3522</v>
      </c>
      <c r="C2210" t="s">
        <v>78</v>
      </c>
      <c r="D2210" t="s">
        <v>78</v>
      </c>
      <c r="E2210" t="s">
        <v>78</v>
      </c>
      <c r="F2210" t="s">
        <v>78</v>
      </c>
      <c r="G2210" t="s">
        <v>78</v>
      </c>
      <c r="H2210">
        <v>0.43</v>
      </c>
      <c r="I2210" s="1">
        <v>0</v>
      </c>
      <c r="J2210" s="1">
        <v>0</v>
      </c>
      <c r="K2210">
        <v>0</v>
      </c>
      <c r="L2210">
        <v>0.32</v>
      </c>
      <c r="M2210">
        <v>0.36</v>
      </c>
      <c r="N2210" s="1">
        <v>16000000</v>
      </c>
      <c r="O2210">
        <v>0.36</v>
      </c>
      <c r="P2210">
        <v>0.92</v>
      </c>
      <c r="Q2210">
        <v>0.01</v>
      </c>
    </row>
    <row r="2211" spans="1:17" x14ac:dyDescent="0.25">
      <c r="A2211">
        <v>731136</v>
      </c>
      <c r="B2211" t="s">
        <v>3523</v>
      </c>
      <c r="C2211" t="s">
        <v>78</v>
      </c>
      <c r="D2211" t="s">
        <v>78</v>
      </c>
      <c r="E2211" t="s">
        <v>78</v>
      </c>
      <c r="F2211" t="s">
        <v>78</v>
      </c>
      <c r="G2211" t="s">
        <v>78</v>
      </c>
      <c r="H2211">
        <v>0.42</v>
      </c>
      <c r="I2211" s="1">
        <v>0</v>
      </c>
      <c r="J2211" s="1">
        <v>0</v>
      </c>
      <c r="K2211">
        <v>0</v>
      </c>
      <c r="L2211">
        <v>0.42</v>
      </c>
      <c r="M2211">
        <v>0.43</v>
      </c>
      <c r="N2211" s="1">
        <v>10000000</v>
      </c>
      <c r="O2211">
        <v>0.43</v>
      </c>
      <c r="P2211">
        <v>0.78</v>
      </c>
      <c r="Q2211">
        <v>0.08</v>
      </c>
    </row>
    <row r="2212" spans="1:17" x14ac:dyDescent="0.25">
      <c r="A2212">
        <v>731137</v>
      </c>
      <c r="B2212" t="s">
        <v>3524</v>
      </c>
      <c r="C2212" t="s">
        <v>78</v>
      </c>
      <c r="D2212" t="s">
        <v>78</v>
      </c>
      <c r="E2212" t="s">
        <v>78</v>
      </c>
      <c r="F2212" t="s">
        <v>78</v>
      </c>
      <c r="G2212" t="s">
        <v>78</v>
      </c>
      <c r="H2212">
        <v>0.52</v>
      </c>
      <c r="I2212" s="1">
        <v>0</v>
      </c>
      <c r="J2212" s="1">
        <v>0</v>
      </c>
      <c r="K2212">
        <v>0</v>
      </c>
      <c r="L2212">
        <v>0.48</v>
      </c>
      <c r="M2212">
        <v>0.49</v>
      </c>
      <c r="N2212" s="1">
        <v>5000000</v>
      </c>
      <c r="O2212">
        <v>0.49</v>
      </c>
      <c r="P2212">
        <v>1.1399999999999999</v>
      </c>
      <c r="Q2212">
        <v>0.01</v>
      </c>
    </row>
    <row r="2213" spans="1:17" x14ac:dyDescent="0.25">
      <c r="A2213">
        <v>731138</v>
      </c>
      <c r="B2213" t="s">
        <v>3525</v>
      </c>
      <c r="C2213">
        <v>0.81</v>
      </c>
      <c r="D2213">
        <v>0.01</v>
      </c>
      <c r="E2213">
        <v>0.85</v>
      </c>
      <c r="F2213">
        <v>0.85</v>
      </c>
      <c r="G2213">
        <v>0.81</v>
      </c>
      <c r="H2213">
        <v>0.84</v>
      </c>
      <c r="I2213" s="1">
        <v>11000</v>
      </c>
      <c r="J2213" s="1">
        <v>9190</v>
      </c>
      <c r="K2213">
        <v>2</v>
      </c>
      <c r="L2213">
        <v>0.8</v>
      </c>
      <c r="M2213">
        <v>0.81</v>
      </c>
      <c r="N2213" s="1">
        <v>5000000</v>
      </c>
      <c r="O2213">
        <v>0.81</v>
      </c>
      <c r="P2213">
        <v>1.68</v>
      </c>
      <c r="Q2213">
        <v>0.01</v>
      </c>
    </row>
    <row r="2214" spans="1:17" x14ac:dyDescent="0.25">
      <c r="A2214">
        <v>731139</v>
      </c>
      <c r="B2214" t="s">
        <v>3526</v>
      </c>
      <c r="C2214" t="s">
        <v>78</v>
      </c>
      <c r="D2214" t="s">
        <v>78</v>
      </c>
      <c r="E2214" t="s">
        <v>78</v>
      </c>
      <c r="F2214" t="s">
        <v>78</v>
      </c>
      <c r="G2214" t="s">
        <v>78</v>
      </c>
      <c r="H2214">
        <v>0.23</v>
      </c>
      <c r="I2214" s="1">
        <v>0</v>
      </c>
      <c r="J2214" s="1">
        <v>0</v>
      </c>
      <c r="K2214">
        <v>0</v>
      </c>
      <c r="L2214">
        <v>0.12</v>
      </c>
      <c r="M2214">
        <v>0.14000000000000001</v>
      </c>
      <c r="N2214" s="1">
        <v>10000000</v>
      </c>
      <c r="O2214">
        <v>0.13</v>
      </c>
      <c r="P2214">
        <v>0.68</v>
      </c>
      <c r="Q2214">
        <v>0.01</v>
      </c>
    </row>
    <row r="2215" spans="1:17" x14ac:dyDescent="0.25">
      <c r="A2215">
        <v>731140</v>
      </c>
      <c r="B2215" t="s">
        <v>3527</v>
      </c>
      <c r="C2215">
        <v>0.74</v>
      </c>
      <c r="D2215">
        <v>0.04</v>
      </c>
      <c r="E2215">
        <v>0.7</v>
      </c>
      <c r="F2215">
        <v>0.74</v>
      </c>
      <c r="G2215">
        <v>0.7</v>
      </c>
      <c r="H2215">
        <v>0.71</v>
      </c>
      <c r="I2215" s="1">
        <v>13000</v>
      </c>
      <c r="J2215" s="1">
        <v>9180</v>
      </c>
      <c r="K2215">
        <v>5</v>
      </c>
      <c r="L2215">
        <v>0.7</v>
      </c>
      <c r="M2215">
        <v>0.74</v>
      </c>
      <c r="N2215" s="1">
        <v>5000000</v>
      </c>
      <c r="O2215">
        <v>0.74</v>
      </c>
      <c r="P2215">
        <v>1.41</v>
      </c>
      <c r="Q2215">
        <v>7.0000000000000007E-2</v>
      </c>
    </row>
    <row r="2216" spans="1:17" x14ac:dyDescent="0.25">
      <c r="A2216">
        <v>731141</v>
      </c>
      <c r="B2216" t="s">
        <v>3528</v>
      </c>
      <c r="C2216">
        <v>1.1499999999999999</v>
      </c>
      <c r="D2216">
        <v>0.21</v>
      </c>
      <c r="E2216">
        <v>0.87</v>
      </c>
      <c r="F2216">
        <v>1.23</v>
      </c>
      <c r="G2216">
        <v>0.87</v>
      </c>
      <c r="H2216">
        <v>1.1000000000000001</v>
      </c>
      <c r="I2216" s="1">
        <v>425000</v>
      </c>
      <c r="J2216" s="1">
        <v>468070</v>
      </c>
      <c r="K2216">
        <v>25</v>
      </c>
      <c r="L2216">
        <v>1.07</v>
      </c>
      <c r="M2216">
        <v>1.1200000000000001</v>
      </c>
      <c r="N2216" s="1">
        <v>5000000</v>
      </c>
      <c r="O2216">
        <v>1.1499999999999999</v>
      </c>
      <c r="P2216">
        <v>2.83</v>
      </c>
      <c r="Q2216">
        <v>0.01</v>
      </c>
    </row>
    <row r="2217" spans="1:17" x14ac:dyDescent="0.25">
      <c r="A2217">
        <v>731142</v>
      </c>
      <c r="B2217" t="s">
        <v>3529</v>
      </c>
      <c r="C2217">
        <v>0.43</v>
      </c>
      <c r="D2217">
        <v>0.04</v>
      </c>
      <c r="E2217">
        <v>0.44</v>
      </c>
      <c r="F2217">
        <v>0.52</v>
      </c>
      <c r="G2217">
        <v>0.43</v>
      </c>
      <c r="H2217">
        <v>0.48</v>
      </c>
      <c r="I2217" s="1">
        <v>105000</v>
      </c>
      <c r="J2217" s="1">
        <v>50750</v>
      </c>
      <c r="K2217">
        <v>7</v>
      </c>
      <c r="L2217">
        <v>0.4</v>
      </c>
      <c r="M2217">
        <v>0.41</v>
      </c>
      <c r="N2217" s="1">
        <v>5000000</v>
      </c>
      <c r="O2217">
        <v>0.43</v>
      </c>
      <c r="P2217">
        <v>1.57</v>
      </c>
      <c r="Q2217">
        <v>0.01</v>
      </c>
    </row>
    <row r="2218" spans="1:17" x14ac:dyDescent="0.25">
      <c r="A2218">
        <v>731143</v>
      </c>
      <c r="B2218" t="s">
        <v>3530</v>
      </c>
      <c r="C2218" t="s">
        <v>78</v>
      </c>
      <c r="D2218" t="s">
        <v>78</v>
      </c>
      <c r="E2218" t="s">
        <v>78</v>
      </c>
      <c r="F2218" t="s">
        <v>78</v>
      </c>
      <c r="G2218" t="s">
        <v>78</v>
      </c>
      <c r="H2218">
        <v>0.09</v>
      </c>
      <c r="I2218" s="1">
        <v>0</v>
      </c>
      <c r="J2218" s="1">
        <v>0</v>
      </c>
      <c r="K2218">
        <v>0</v>
      </c>
      <c r="L2218">
        <v>0</v>
      </c>
      <c r="M2218">
        <v>0</v>
      </c>
      <c r="N2218" s="1">
        <v>5000000</v>
      </c>
      <c r="O2218">
        <v>0.02</v>
      </c>
      <c r="P2218">
        <v>0.45</v>
      </c>
      <c r="Q2218">
        <v>0.01</v>
      </c>
    </row>
    <row r="2219" spans="1:17" x14ac:dyDescent="0.25">
      <c r="A2219">
        <v>731144</v>
      </c>
      <c r="B2219" t="s">
        <v>3531</v>
      </c>
      <c r="C2219">
        <v>0.12</v>
      </c>
      <c r="D2219">
        <v>0.02</v>
      </c>
      <c r="E2219">
        <v>0.1</v>
      </c>
      <c r="F2219">
        <v>0.12</v>
      </c>
      <c r="G2219">
        <v>0.1</v>
      </c>
      <c r="H2219">
        <v>0.11</v>
      </c>
      <c r="I2219" s="1">
        <v>14000</v>
      </c>
      <c r="J2219" s="1">
        <v>1480</v>
      </c>
      <c r="K2219">
        <v>2</v>
      </c>
      <c r="L2219">
        <v>0.08</v>
      </c>
      <c r="M2219">
        <v>0.2</v>
      </c>
      <c r="N2219" s="1">
        <v>5000000</v>
      </c>
      <c r="O2219">
        <v>0.12</v>
      </c>
      <c r="P2219">
        <v>0.66</v>
      </c>
      <c r="Q2219">
        <v>0.01</v>
      </c>
    </row>
    <row r="2220" spans="1:17" x14ac:dyDescent="0.25">
      <c r="A2220">
        <v>731145</v>
      </c>
      <c r="B2220" t="s">
        <v>3532</v>
      </c>
      <c r="C2220" t="s">
        <v>78</v>
      </c>
      <c r="D2220" t="s">
        <v>78</v>
      </c>
      <c r="E2220" t="s">
        <v>78</v>
      </c>
      <c r="F2220" t="s">
        <v>78</v>
      </c>
      <c r="G2220" t="s">
        <v>78</v>
      </c>
      <c r="H2220">
        <v>0.05</v>
      </c>
      <c r="I2220" s="1">
        <v>0</v>
      </c>
      <c r="J2220" s="1">
        <v>0</v>
      </c>
      <c r="K2220">
        <v>0</v>
      </c>
      <c r="L2220">
        <v>0</v>
      </c>
      <c r="M2220">
        <v>0.02</v>
      </c>
      <c r="N2220" s="1">
        <v>10000000</v>
      </c>
      <c r="O2220">
        <v>0.02</v>
      </c>
      <c r="P2220">
        <v>0.73</v>
      </c>
      <c r="Q2220">
        <v>0.01</v>
      </c>
    </row>
    <row r="2221" spans="1:17" x14ac:dyDescent="0.25">
      <c r="A2221">
        <v>731146</v>
      </c>
      <c r="B2221" t="s">
        <v>3533</v>
      </c>
      <c r="C2221" t="s">
        <v>78</v>
      </c>
      <c r="D2221" t="s">
        <v>78</v>
      </c>
      <c r="E2221" t="s">
        <v>78</v>
      </c>
      <c r="F2221" t="s">
        <v>78</v>
      </c>
      <c r="G2221" t="s">
        <v>78</v>
      </c>
      <c r="H2221">
        <v>0.09</v>
      </c>
      <c r="I2221" s="1">
        <v>0</v>
      </c>
      <c r="J2221" s="1">
        <v>0</v>
      </c>
      <c r="K2221">
        <v>0</v>
      </c>
      <c r="L2221">
        <v>0.01</v>
      </c>
      <c r="M2221">
        <v>0.02</v>
      </c>
      <c r="N2221" s="1">
        <v>10000000</v>
      </c>
      <c r="O2221">
        <v>0.02</v>
      </c>
      <c r="P2221">
        <v>0.5</v>
      </c>
      <c r="Q2221">
        <v>0.01</v>
      </c>
    </row>
    <row r="2222" spans="1:17" x14ac:dyDescent="0.25">
      <c r="A2222">
        <v>731147</v>
      </c>
      <c r="B2222" t="s">
        <v>3534</v>
      </c>
      <c r="C2222" t="s">
        <v>78</v>
      </c>
      <c r="D2222" t="s">
        <v>78</v>
      </c>
      <c r="E2222" t="s">
        <v>78</v>
      </c>
      <c r="F2222" t="s">
        <v>78</v>
      </c>
      <c r="G2222" t="s">
        <v>78</v>
      </c>
      <c r="H2222">
        <v>3.38</v>
      </c>
      <c r="I2222" s="1">
        <v>0</v>
      </c>
      <c r="J2222" s="1">
        <v>0</v>
      </c>
      <c r="K2222">
        <v>0</v>
      </c>
      <c r="L2222">
        <v>2.82</v>
      </c>
      <c r="M2222">
        <v>0</v>
      </c>
      <c r="N2222" s="1">
        <v>10000000</v>
      </c>
      <c r="O2222">
        <v>2.93</v>
      </c>
      <c r="P2222">
        <v>4.03</v>
      </c>
      <c r="Q2222">
        <v>1.83</v>
      </c>
    </row>
    <row r="2223" spans="1:17" x14ac:dyDescent="0.25">
      <c r="A2223">
        <v>731148</v>
      </c>
      <c r="B2223" t="s">
        <v>3535</v>
      </c>
      <c r="C2223" t="s">
        <v>78</v>
      </c>
      <c r="D2223" t="s">
        <v>78</v>
      </c>
      <c r="E2223" t="s">
        <v>78</v>
      </c>
      <c r="F2223" t="s">
        <v>78</v>
      </c>
      <c r="G2223" t="s">
        <v>78</v>
      </c>
      <c r="H2223">
        <v>0.06</v>
      </c>
      <c r="I2223" s="1">
        <v>0</v>
      </c>
      <c r="J2223" s="1">
        <v>0</v>
      </c>
      <c r="K2223">
        <v>0</v>
      </c>
      <c r="L2223">
        <v>0.01</v>
      </c>
      <c r="M2223">
        <v>0.02</v>
      </c>
      <c r="N2223" s="1">
        <v>10000000</v>
      </c>
      <c r="O2223">
        <v>0.02</v>
      </c>
      <c r="P2223">
        <v>0.77</v>
      </c>
      <c r="Q2223">
        <v>0.01</v>
      </c>
    </row>
    <row r="2224" spans="1:17" x14ac:dyDescent="0.25">
      <c r="A2224">
        <v>731149</v>
      </c>
      <c r="B2224" t="s">
        <v>3536</v>
      </c>
      <c r="C2224" t="s">
        <v>78</v>
      </c>
      <c r="D2224" t="s">
        <v>78</v>
      </c>
      <c r="E2224" t="s">
        <v>78</v>
      </c>
      <c r="F2224" t="s">
        <v>78</v>
      </c>
      <c r="G2224" t="s">
        <v>78</v>
      </c>
      <c r="H2224">
        <v>0.04</v>
      </c>
      <c r="I2224" s="1">
        <v>0</v>
      </c>
      <c r="J2224" s="1">
        <v>0</v>
      </c>
      <c r="K2224">
        <v>0</v>
      </c>
      <c r="L2224">
        <v>0.02</v>
      </c>
      <c r="M2224">
        <v>0.04</v>
      </c>
      <c r="N2224" s="1">
        <v>10000000</v>
      </c>
      <c r="O2224">
        <v>0.04</v>
      </c>
      <c r="P2224">
        <v>0.59</v>
      </c>
      <c r="Q2224">
        <v>0.01</v>
      </c>
    </row>
    <row r="2225" spans="1:17" x14ac:dyDescent="0.25">
      <c r="A2225">
        <v>731150</v>
      </c>
      <c r="B2225" t="s">
        <v>3537</v>
      </c>
      <c r="C2225" t="s">
        <v>78</v>
      </c>
      <c r="D2225" t="s">
        <v>78</v>
      </c>
      <c r="E2225" t="s">
        <v>78</v>
      </c>
      <c r="F2225" t="s">
        <v>78</v>
      </c>
      <c r="G2225" t="s">
        <v>78</v>
      </c>
      <c r="H2225">
        <v>0.13</v>
      </c>
      <c r="I2225" s="1">
        <v>0</v>
      </c>
      <c r="J2225" s="1">
        <v>0</v>
      </c>
      <c r="K2225">
        <v>0</v>
      </c>
      <c r="L2225">
        <v>0.05</v>
      </c>
      <c r="M2225">
        <v>0.06</v>
      </c>
      <c r="N2225" s="1">
        <v>5000000</v>
      </c>
      <c r="O2225">
        <v>0.05</v>
      </c>
      <c r="P2225">
        <v>0.81</v>
      </c>
      <c r="Q2225">
        <v>0.01</v>
      </c>
    </row>
    <row r="2226" spans="1:17" x14ac:dyDescent="0.25">
      <c r="A2226">
        <v>731151</v>
      </c>
      <c r="B2226" t="s">
        <v>3538</v>
      </c>
      <c r="C2226" t="s">
        <v>78</v>
      </c>
      <c r="D2226" t="s">
        <v>78</v>
      </c>
      <c r="E2226" t="s">
        <v>78</v>
      </c>
      <c r="F2226" t="s">
        <v>78</v>
      </c>
      <c r="G2226" t="s">
        <v>78</v>
      </c>
      <c r="H2226">
        <v>0.11</v>
      </c>
      <c r="I2226" s="1">
        <v>0</v>
      </c>
      <c r="J2226" s="1">
        <v>0</v>
      </c>
      <c r="K2226">
        <v>0</v>
      </c>
      <c r="L2226">
        <v>0.02</v>
      </c>
      <c r="M2226">
        <v>0.03</v>
      </c>
      <c r="N2226" s="1">
        <v>10000000</v>
      </c>
      <c r="O2226">
        <v>0.02</v>
      </c>
      <c r="P2226">
        <v>0.65</v>
      </c>
      <c r="Q2226">
        <v>0.01</v>
      </c>
    </row>
    <row r="2227" spans="1:17" x14ac:dyDescent="0.25">
      <c r="A2227">
        <v>731152</v>
      </c>
      <c r="B2227" t="s">
        <v>3539</v>
      </c>
      <c r="C2227">
        <v>0.14000000000000001</v>
      </c>
      <c r="D2227">
        <v>-0.03</v>
      </c>
      <c r="E2227">
        <v>0.13</v>
      </c>
      <c r="F2227">
        <v>0.14000000000000001</v>
      </c>
      <c r="G2227">
        <v>0.13</v>
      </c>
      <c r="H2227">
        <v>0.14000000000000001</v>
      </c>
      <c r="I2227" s="1">
        <v>32000</v>
      </c>
      <c r="J2227" s="1">
        <v>4380</v>
      </c>
      <c r="K2227">
        <v>4</v>
      </c>
      <c r="L2227">
        <v>0.15</v>
      </c>
      <c r="M2227">
        <v>0.16</v>
      </c>
      <c r="N2227" s="1">
        <v>5000000</v>
      </c>
      <c r="O2227">
        <v>0.14000000000000001</v>
      </c>
      <c r="P2227">
        <v>1.24</v>
      </c>
      <c r="Q2227">
        <v>0.01</v>
      </c>
    </row>
    <row r="2228" spans="1:17" x14ac:dyDescent="0.25">
      <c r="A2228">
        <v>731153</v>
      </c>
      <c r="B2228" t="s">
        <v>3540</v>
      </c>
      <c r="C2228" t="s">
        <v>78</v>
      </c>
      <c r="D2228" t="s">
        <v>78</v>
      </c>
      <c r="E2228" t="s">
        <v>78</v>
      </c>
      <c r="F2228" t="s">
        <v>78</v>
      </c>
      <c r="G2228" t="s">
        <v>78</v>
      </c>
      <c r="H2228">
        <v>0.13</v>
      </c>
      <c r="I2228" s="1">
        <v>0</v>
      </c>
      <c r="J2228" s="1">
        <v>0</v>
      </c>
      <c r="K2228">
        <v>0</v>
      </c>
      <c r="L2228">
        <v>0.09</v>
      </c>
      <c r="M2228">
        <v>0.1</v>
      </c>
      <c r="N2228" s="1">
        <v>10000000</v>
      </c>
      <c r="O2228">
        <v>0.1</v>
      </c>
      <c r="P2228">
        <v>0.49</v>
      </c>
      <c r="Q2228">
        <v>0.01</v>
      </c>
    </row>
    <row r="2229" spans="1:17" x14ac:dyDescent="0.25">
      <c r="A2229">
        <v>731154</v>
      </c>
      <c r="B2229" t="s">
        <v>3541</v>
      </c>
      <c r="C2229">
        <v>0.04</v>
      </c>
      <c r="D2229">
        <v>-0.14000000000000001</v>
      </c>
      <c r="E2229">
        <v>0.05</v>
      </c>
      <c r="F2229">
        <v>0.1</v>
      </c>
      <c r="G2229">
        <v>0.04</v>
      </c>
      <c r="H2229">
        <v>0.05</v>
      </c>
      <c r="I2229" s="1">
        <v>213000</v>
      </c>
      <c r="J2229" s="1">
        <v>9590</v>
      </c>
      <c r="K2229">
        <v>9</v>
      </c>
      <c r="L2229">
        <v>0.04</v>
      </c>
      <c r="M2229">
        <v>0.13</v>
      </c>
      <c r="N2229" s="1">
        <v>5000000</v>
      </c>
      <c r="O2229">
        <v>0.04</v>
      </c>
      <c r="P2229">
        <v>1.33</v>
      </c>
      <c r="Q2229">
        <v>0.01</v>
      </c>
    </row>
    <row r="2230" spans="1:17" x14ac:dyDescent="0.25">
      <c r="A2230">
        <v>731155</v>
      </c>
      <c r="B2230" t="s">
        <v>3542</v>
      </c>
      <c r="C2230" t="s">
        <v>78</v>
      </c>
      <c r="D2230" t="s">
        <v>78</v>
      </c>
      <c r="E2230" t="s">
        <v>78</v>
      </c>
      <c r="F2230" t="s">
        <v>78</v>
      </c>
      <c r="G2230" t="s">
        <v>78</v>
      </c>
      <c r="H2230">
        <v>0.19</v>
      </c>
      <c r="I2230" s="1">
        <v>0</v>
      </c>
      <c r="J2230" s="1">
        <v>0</v>
      </c>
      <c r="K2230">
        <v>0</v>
      </c>
      <c r="L2230">
        <v>0.17</v>
      </c>
      <c r="M2230">
        <v>0.18</v>
      </c>
      <c r="N2230" s="1">
        <v>5000000</v>
      </c>
      <c r="O2230">
        <v>0.18</v>
      </c>
      <c r="P2230">
        <v>1.22</v>
      </c>
      <c r="Q2230">
        <v>0.01</v>
      </c>
    </row>
    <row r="2231" spans="1:17" x14ac:dyDescent="0.25">
      <c r="A2231">
        <v>731156</v>
      </c>
      <c r="B2231" t="s">
        <v>3543</v>
      </c>
      <c r="C2231" t="s">
        <v>78</v>
      </c>
      <c r="D2231" t="s">
        <v>78</v>
      </c>
      <c r="E2231" t="s">
        <v>78</v>
      </c>
      <c r="F2231" t="s">
        <v>78</v>
      </c>
      <c r="G2231" t="s">
        <v>78</v>
      </c>
      <c r="H2231">
        <v>6</v>
      </c>
      <c r="I2231" s="1">
        <v>0</v>
      </c>
      <c r="J2231" s="1">
        <v>0</v>
      </c>
      <c r="K2231">
        <v>0</v>
      </c>
      <c r="L2231">
        <v>5.5</v>
      </c>
      <c r="M2231">
        <v>0</v>
      </c>
      <c r="N2231" s="1">
        <v>5000000</v>
      </c>
      <c r="O2231">
        <v>6</v>
      </c>
      <c r="P2231">
        <v>10.199999999999999</v>
      </c>
      <c r="Q2231">
        <v>1.8</v>
      </c>
    </row>
    <row r="2232" spans="1:17" x14ac:dyDescent="0.25">
      <c r="A2232">
        <v>731157</v>
      </c>
      <c r="B2232" t="s">
        <v>3544</v>
      </c>
      <c r="C2232">
        <v>0.68</v>
      </c>
      <c r="D2232">
        <v>0.13</v>
      </c>
      <c r="E2232">
        <v>0.68</v>
      </c>
      <c r="F2232">
        <v>0.68</v>
      </c>
      <c r="G2232">
        <v>0.68</v>
      </c>
      <c r="H2232">
        <v>0.68</v>
      </c>
      <c r="I2232" s="1">
        <v>20000</v>
      </c>
      <c r="J2232" s="1">
        <v>13600</v>
      </c>
      <c r="K2232">
        <v>1</v>
      </c>
      <c r="L2232">
        <v>0.63</v>
      </c>
      <c r="M2232">
        <v>0.68</v>
      </c>
      <c r="N2232" s="1">
        <v>5000000</v>
      </c>
      <c r="O2232">
        <v>0.68</v>
      </c>
      <c r="P2232">
        <v>4.5999999999999996</v>
      </c>
      <c r="Q2232">
        <v>0.01</v>
      </c>
    </row>
    <row r="2233" spans="1:17" x14ac:dyDescent="0.25">
      <c r="A2233">
        <v>731158</v>
      </c>
      <c r="B2233" t="s">
        <v>3545</v>
      </c>
      <c r="C2233">
        <v>0.39</v>
      </c>
      <c r="D2233">
        <v>0.06</v>
      </c>
      <c r="E2233">
        <v>0.34</v>
      </c>
      <c r="F2233">
        <v>0.39</v>
      </c>
      <c r="G2233">
        <v>0.34</v>
      </c>
      <c r="H2233">
        <v>0.35</v>
      </c>
      <c r="I2233" s="1">
        <v>199000</v>
      </c>
      <c r="J2233" s="1">
        <v>68700</v>
      </c>
      <c r="K2233">
        <v>3</v>
      </c>
      <c r="L2233">
        <v>0.34</v>
      </c>
      <c r="M2233">
        <v>0.37</v>
      </c>
      <c r="N2233" s="1">
        <v>5000000</v>
      </c>
      <c r="O2233">
        <v>0.39</v>
      </c>
      <c r="P2233">
        <v>4.3099999999999996</v>
      </c>
      <c r="Q2233">
        <v>0.01</v>
      </c>
    </row>
    <row r="2234" spans="1:17" x14ac:dyDescent="0.25">
      <c r="A2234">
        <v>731159</v>
      </c>
      <c r="B2234" t="s">
        <v>3546</v>
      </c>
      <c r="C2234" t="s">
        <v>78</v>
      </c>
      <c r="D2234" t="s">
        <v>78</v>
      </c>
      <c r="E2234" t="s">
        <v>78</v>
      </c>
      <c r="F2234" t="s">
        <v>78</v>
      </c>
      <c r="G2234" t="s">
        <v>78</v>
      </c>
      <c r="H2234">
        <v>2.08</v>
      </c>
      <c r="I2234" s="1">
        <v>0</v>
      </c>
      <c r="J2234" s="1">
        <v>0</v>
      </c>
      <c r="K2234">
        <v>0</v>
      </c>
      <c r="L2234">
        <v>1.75</v>
      </c>
      <c r="M2234">
        <v>1.84</v>
      </c>
      <c r="N2234" s="1">
        <v>10000000</v>
      </c>
      <c r="O2234">
        <v>1.84</v>
      </c>
      <c r="P2234">
        <v>3.66</v>
      </c>
      <c r="Q2234">
        <v>0.02</v>
      </c>
    </row>
    <row r="2235" spans="1:17" x14ac:dyDescent="0.25">
      <c r="A2235">
        <v>731160</v>
      </c>
      <c r="B2235" t="s">
        <v>3547</v>
      </c>
      <c r="C2235">
        <v>4.8600000000000003</v>
      </c>
      <c r="D2235">
        <v>-1.04</v>
      </c>
      <c r="E2235">
        <v>4.33</v>
      </c>
      <c r="F2235">
        <v>4.8899999999999997</v>
      </c>
      <c r="G2235">
        <v>4.33</v>
      </c>
      <c r="H2235">
        <v>4.83</v>
      </c>
      <c r="I2235" s="1">
        <v>150000</v>
      </c>
      <c r="J2235" s="1">
        <v>724700</v>
      </c>
      <c r="K2235">
        <v>6</v>
      </c>
      <c r="L2235">
        <v>4.96</v>
      </c>
      <c r="M2235">
        <v>0</v>
      </c>
      <c r="N2235" s="1">
        <v>5000000</v>
      </c>
      <c r="O2235">
        <v>4.8600000000000003</v>
      </c>
      <c r="P2235">
        <v>6.5</v>
      </c>
      <c r="Q2235">
        <v>3.22</v>
      </c>
    </row>
    <row r="2236" spans="1:17" x14ac:dyDescent="0.25">
      <c r="A2236">
        <v>731161</v>
      </c>
      <c r="B2236" t="s">
        <v>3548</v>
      </c>
      <c r="C2236" t="s">
        <v>78</v>
      </c>
      <c r="D2236" t="s">
        <v>78</v>
      </c>
      <c r="E2236" t="s">
        <v>78</v>
      </c>
      <c r="F2236" t="s">
        <v>78</v>
      </c>
      <c r="G2236" t="s">
        <v>78</v>
      </c>
      <c r="H2236">
        <v>0.04</v>
      </c>
      <c r="I2236" s="1">
        <v>0</v>
      </c>
      <c r="J2236" s="1">
        <v>0</v>
      </c>
      <c r="K2236">
        <v>0</v>
      </c>
      <c r="L2236">
        <v>0.04</v>
      </c>
      <c r="M2236">
        <v>0.05</v>
      </c>
      <c r="N2236" s="1">
        <v>5000000</v>
      </c>
      <c r="O2236">
        <v>0.04</v>
      </c>
      <c r="P2236">
        <v>0.42</v>
      </c>
      <c r="Q2236">
        <v>0.01</v>
      </c>
    </row>
    <row r="2237" spans="1:17" x14ac:dyDescent="0.25">
      <c r="A2237">
        <v>731162</v>
      </c>
      <c r="B2237" t="s">
        <v>3549</v>
      </c>
      <c r="C2237" t="s">
        <v>78</v>
      </c>
      <c r="D2237" t="s">
        <v>78</v>
      </c>
      <c r="E2237" t="s">
        <v>78</v>
      </c>
      <c r="F2237" t="s">
        <v>78</v>
      </c>
      <c r="G2237" t="s">
        <v>78</v>
      </c>
      <c r="H2237">
        <v>0.01</v>
      </c>
      <c r="I2237" s="1">
        <v>0</v>
      </c>
      <c r="J2237" s="1">
        <v>0</v>
      </c>
      <c r="K2237">
        <v>0</v>
      </c>
      <c r="L2237">
        <v>0</v>
      </c>
      <c r="M2237">
        <v>0.01</v>
      </c>
      <c r="N2237" s="1">
        <v>5000000</v>
      </c>
      <c r="O2237">
        <v>0.01</v>
      </c>
      <c r="P2237">
        <v>0.48</v>
      </c>
      <c r="Q2237">
        <v>0.01</v>
      </c>
    </row>
    <row r="2238" spans="1:17" x14ac:dyDescent="0.25">
      <c r="A2238">
        <v>731163</v>
      </c>
      <c r="B2238" t="s">
        <v>3550</v>
      </c>
      <c r="C2238">
        <v>3.67</v>
      </c>
      <c r="D2238">
        <v>-0.05</v>
      </c>
      <c r="E2238">
        <v>3.83</v>
      </c>
      <c r="F2238">
        <v>3.89</v>
      </c>
      <c r="G2238">
        <v>3.67</v>
      </c>
      <c r="H2238">
        <v>3.77</v>
      </c>
      <c r="I2238" s="1">
        <v>45000</v>
      </c>
      <c r="J2238" s="1">
        <v>169550</v>
      </c>
      <c r="K2238">
        <v>6</v>
      </c>
      <c r="L2238">
        <v>3.57</v>
      </c>
      <c r="M2238">
        <v>3.62</v>
      </c>
      <c r="N2238" s="1">
        <v>5000000</v>
      </c>
      <c r="O2238">
        <v>3.67</v>
      </c>
      <c r="P2238">
        <v>4.6500000000000004</v>
      </c>
      <c r="Q2238">
        <v>2.69</v>
      </c>
    </row>
    <row r="2239" spans="1:17" x14ac:dyDescent="0.25">
      <c r="A2239">
        <v>731164</v>
      </c>
      <c r="B2239" t="s">
        <v>3551</v>
      </c>
      <c r="C2239" t="s">
        <v>78</v>
      </c>
      <c r="D2239" t="s">
        <v>78</v>
      </c>
      <c r="E2239" t="s">
        <v>78</v>
      </c>
      <c r="F2239" t="s">
        <v>78</v>
      </c>
      <c r="G2239" t="s">
        <v>78</v>
      </c>
      <c r="H2239">
        <v>0.18</v>
      </c>
      <c r="I2239" s="1">
        <v>0</v>
      </c>
      <c r="J2239" s="1">
        <v>0</v>
      </c>
      <c r="K2239">
        <v>0</v>
      </c>
      <c r="L2239">
        <v>0.16</v>
      </c>
      <c r="M2239">
        <v>0.17</v>
      </c>
      <c r="N2239" s="1">
        <v>5000000</v>
      </c>
      <c r="O2239">
        <v>0.17</v>
      </c>
      <c r="P2239">
        <v>1.05</v>
      </c>
      <c r="Q2239">
        <v>0.01</v>
      </c>
    </row>
    <row r="2240" spans="1:17" x14ac:dyDescent="0.25">
      <c r="A2240">
        <v>731165</v>
      </c>
      <c r="B2240" t="s">
        <v>3552</v>
      </c>
      <c r="C2240" t="s">
        <v>78</v>
      </c>
      <c r="D2240" t="s">
        <v>78</v>
      </c>
      <c r="E2240" t="s">
        <v>78</v>
      </c>
      <c r="F2240" t="s">
        <v>78</v>
      </c>
      <c r="G2240" t="s">
        <v>78</v>
      </c>
      <c r="H2240">
        <v>0.23</v>
      </c>
      <c r="I2240" s="1">
        <v>0</v>
      </c>
      <c r="J2240" s="1">
        <v>0</v>
      </c>
      <c r="K2240">
        <v>0</v>
      </c>
      <c r="L2240">
        <v>0.02</v>
      </c>
      <c r="M2240">
        <v>0.1</v>
      </c>
      <c r="N2240" s="1">
        <v>10000000</v>
      </c>
      <c r="O2240">
        <v>0.1</v>
      </c>
      <c r="P2240">
        <v>0.66</v>
      </c>
      <c r="Q2240">
        <v>0.01</v>
      </c>
    </row>
    <row r="2241" spans="1:17" x14ac:dyDescent="0.25">
      <c r="A2241">
        <v>731166</v>
      </c>
      <c r="B2241" t="s">
        <v>3553</v>
      </c>
      <c r="C2241">
        <v>0.55000000000000004</v>
      </c>
      <c r="D2241">
        <v>-0.06</v>
      </c>
      <c r="E2241">
        <v>0.56999999999999995</v>
      </c>
      <c r="F2241">
        <v>0.56999999999999995</v>
      </c>
      <c r="G2241">
        <v>0.54</v>
      </c>
      <c r="H2241">
        <v>0.55000000000000004</v>
      </c>
      <c r="I2241" s="1">
        <v>429000</v>
      </c>
      <c r="J2241" s="1">
        <v>237660</v>
      </c>
      <c r="K2241">
        <v>29</v>
      </c>
      <c r="L2241">
        <v>0.55000000000000004</v>
      </c>
      <c r="M2241">
        <v>0.56000000000000005</v>
      </c>
      <c r="N2241" s="1">
        <v>5000000</v>
      </c>
      <c r="O2241">
        <v>0.55000000000000004</v>
      </c>
      <c r="P2241">
        <v>1.25</v>
      </c>
      <c r="Q2241">
        <v>0.01</v>
      </c>
    </row>
    <row r="2242" spans="1:17" x14ac:dyDescent="0.25">
      <c r="A2242">
        <v>731167</v>
      </c>
      <c r="B2242" t="s">
        <v>3554</v>
      </c>
      <c r="C2242" t="s">
        <v>78</v>
      </c>
      <c r="D2242" t="s">
        <v>78</v>
      </c>
      <c r="E2242" t="s">
        <v>78</v>
      </c>
      <c r="F2242" t="s">
        <v>78</v>
      </c>
      <c r="G2242" t="s">
        <v>78</v>
      </c>
      <c r="H2242">
        <v>2.57</v>
      </c>
      <c r="I2242" s="1">
        <v>0</v>
      </c>
      <c r="J2242" s="1">
        <v>0</v>
      </c>
      <c r="K2242">
        <v>0</v>
      </c>
      <c r="L2242">
        <v>2.34</v>
      </c>
      <c r="M2242">
        <v>2.41</v>
      </c>
      <c r="N2242" s="1">
        <v>5000000</v>
      </c>
      <c r="O2242">
        <v>2.41</v>
      </c>
      <c r="P2242">
        <v>3.18</v>
      </c>
      <c r="Q2242">
        <v>1.64</v>
      </c>
    </row>
    <row r="2243" spans="1:17" x14ac:dyDescent="0.25">
      <c r="A2243">
        <v>731168</v>
      </c>
      <c r="B2243" t="s">
        <v>3555</v>
      </c>
      <c r="C2243" t="s">
        <v>78</v>
      </c>
      <c r="D2243" t="s">
        <v>78</v>
      </c>
      <c r="E2243" t="s">
        <v>78</v>
      </c>
      <c r="F2243" t="s">
        <v>78</v>
      </c>
      <c r="G2243" t="s">
        <v>78</v>
      </c>
      <c r="H2243">
        <v>0.27</v>
      </c>
      <c r="I2243" s="1">
        <v>0</v>
      </c>
      <c r="J2243" s="1">
        <v>0</v>
      </c>
      <c r="K2243">
        <v>0</v>
      </c>
      <c r="L2243">
        <v>0.27</v>
      </c>
      <c r="M2243">
        <v>0.28000000000000003</v>
      </c>
      <c r="N2243" s="1">
        <v>5000000</v>
      </c>
      <c r="O2243">
        <v>0.27</v>
      </c>
      <c r="P2243">
        <v>0.84</v>
      </c>
      <c r="Q2243">
        <v>0.01</v>
      </c>
    </row>
    <row r="2244" spans="1:17" x14ac:dyDescent="0.25">
      <c r="A2244">
        <v>731169</v>
      </c>
      <c r="B2244" t="s">
        <v>3556</v>
      </c>
      <c r="C2244">
        <v>0.46</v>
      </c>
      <c r="D2244">
        <v>0.03</v>
      </c>
      <c r="E2244">
        <v>0.46</v>
      </c>
      <c r="F2244">
        <v>0.46</v>
      </c>
      <c r="G2244">
        <v>0.46</v>
      </c>
      <c r="H2244">
        <v>0.46</v>
      </c>
      <c r="I2244" s="1">
        <v>10000</v>
      </c>
      <c r="J2244" s="1">
        <v>4600</v>
      </c>
      <c r="K2244">
        <v>1</v>
      </c>
      <c r="L2244">
        <v>0.42</v>
      </c>
      <c r="M2244">
        <v>0.43</v>
      </c>
      <c r="N2244" s="1">
        <v>10000000</v>
      </c>
      <c r="O2244">
        <v>0.46</v>
      </c>
      <c r="P2244">
        <v>1.4</v>
      </c>
      <c r="Q2244">
        <v>0.01</v>
      </c>
    </row>
    <row r="2245" spans="1:17" x14ac:dyDescent="0.25">
      <c r="A2245">
        <v>731170</v>
      </c>
      <c r="B2245" t="s">
        <v>3557</v>
      </c>
      <c r="C2245">
        <v>0.37</v>
      </c>
      <c r="D2245">
        <v>0</v>
      </c>
      <c r="E2245">
        <v>0.37</v>
      </c>
      <c r="F2245">
        <v>0.39</v>
      </c>
      <c r="G2245">
        <v>0.37</v>
      </c>
      <c r="H2245">
        <v>0.37</v>
      </c>
      <c r="I2245" s="1">
        <v>263000</v>
      </c>
      <c r="J2245" s="1">
        <v>98510</v>
      </c>
      <c r="K2245">
        <v>7</v>
      </c>
      <c r="L2245">
        <v>0.36</v>
      </c>
      <c r="M2245">
        <v>0.37</v>
      </c>
      <c r="N2245" s="1">
        <v>6000000</v>
      </c>
      <c r="O2245">
        <v>0.37</v>
      </c>
      <c r="P2245">
        <v>0.95</v>
      </c>
      <c r="Q2245">
        <v>0.01</v>
      </c>
    </row>
    <row r="2246" spans="1:17" x14ac:dyDescent="0.25">
      <c r="A2246">
        <v>731171</v>
      </c>
      <c r="B2246" t="s">
        <v>3558</v>
      </c>
      <c r="C2246" t="s">
        <v>78</v>
      </c>
      <c r="D2246" t="s">
        <v>78</v>
      </c>
      <c r="E2246" t="s">
        <v>78</v>
      </c>
      <c r="F2246" t="s">
        <v>78</v>
      </c>
      <c r="G2246" t="s">
        <v>78</v>
      </c>
      <c r="H2246">
        <v>7.0000000000000007E-2</v>
      </c>
      <c r="I2246" s="1">
        <v>0</v>
      </c>
      <c r="J2246" s="1">
        <v>0</v>
      </c>
      <c r="K2246">
        <v>0</v>
      </c>
      <c r="L2246">
        <v>0.02</v>
      </c>
      <c r="M2246">
        <v>0.03</v>
      </c>
      <c r="N2246" s="1">
        <v>5000000</v>
      </c>
      <c r="O2246">
        <v>0.03</v>
      </c>
      <c r="P2246">
        <v>0.56000000000000005</v>
      </c>
      <c r="Q2246">
        <v>0.01</v>
      </c>
    </row>
    <row r="2247" spans="1:17" x14ac:dyDescent="0.25">
      <c r="A2247">
        <v>731172</v>
      </c>
      <c r="B2247" t="s">
        <v>3559</v>
      </c>
      <c r="C2247">
        <v>0.66</v>
      </c>
      <c r="D2247">
        <v>0.18</v>
      </c>
      <c r="E2247">
        <v>0.56000000000000005</v>
      </c>
      <c r="F2247">
        <v>0.72</v>
      </c>
      <c r="G2247">
        <v>0.56000000000000005</v>
      </c>
      <c r="H2247">
        <v>0.64</v>
      </c>
      <c r="I2247" s="1">
        <v>225000</v>
      </c>
      <c r="J2247" s="1">
        <v>143820</v>
      </c>
      <c r="K2247">
        <v>5</v>
      </c>
      <c r="L2247">
        <v>0.57999999999999996</v>
      </c>
      <c r="M2247">
        <v>0.6</v>
      </c>
      <c r="N2247" s="1">
        <v>5000000</v>
      </c>
      <c r="O2247">
        <v>0.66</v>
      </c>
      <c r="P2247">
        <v>1.94</v>
      </c>
      <c r="Q2247">
        <v>0.01</v>
      </c>
    </row>
    <row r="2248" spans="1:17" x14ac:dyDescent="0.25">
      <c r="A2248">
        <v>731173</v>
      </c>
      <c r="B2248" t="s">
        <v>3560</v>
      </c>
      <c r="C2248">
        <v>0.22</v>
      </c>
      <c r="D2248">
        <v>-0.04</v>
      </c>
      <c r="E2248">
        <v>0.23</v>
      </c>
      <c r="F2248">
        <v>0.24</v>
      </c>
      <c r="G2248">
        <v>0.22</v>
      </c>
      <c r="H2248">
        <v>0.23</v>
      </c>
      <c r="I2248" s="1">
        <v>173000</v>
      </c>
      <c r="J2248" s="1">
        <v>39970</v>
      </c>
      <c r="K2248">
        <v>5</v>
      </c>
      <c r="L2248">
        <v>0.23</v>
      </c>
      <c r="M2248">
        <v>0.24</v>
      </c>
      <c r="N2248" s="1">
        <v>5000000</v>
      </c>
      <c r="O2248">
        <v>0.22</v>
      </c>
      <c r="P2248">
        <v>1.08</v>
      </c>
      <c r="Q2248">
        <v>0.01</v>
      </c>
    </row>
    <row r="2249" spans="1:17" x14ac:dyDescent="0.25">
      <c r="A2249">
        <v>731174</v>
      </c>
      <c r="B2249" t="s">
        <v>3561</v>
      </c>
      <c r="C2249" t="s">
        <v>78</v>
      </c>
      <c r="D2249" t="s">
        <v>78</v>
      </c>
      <c r="E2249" t="s">
        <v>78</v>
      </c>
      <c r="F2249" t="s">
        <v>78</v>
      </c>
      <c r="G2249" t="s">
        <v>78</v>
      </c>
      <c r="H2249">
        <v>0.28999999999999998</v>
      </c>
      <c r="I2249" s="1">
        <v>0</v>
      </c>
      <c r="J2249" s="1">
        <v>0</v>
      </c>
      <c r="K2249">
        <v>0</v>
      </c>
      <c r="L2249">
        <v>0.14000000000000001</v>
      </c>
      <c r="M2249">
        <v>0.15</v>
      </c>
      <c r="N2249" s="1">
        <v>10000000</v>
      </c>
      <c r="O2249">
        <v>0.15</v>
      </c>
      <c r="P2249">
        <v>1.19</v>
      </c>
      <c r="Q2249">
        <v>0.01</v>
      </c>
    </row>
    <row r="2250" spans="1:17" x14ac:dyDescent="0.25">
      <c r="A2250">
        <v>731175</v>
      </c>
      <c r="B2250" t="s">
        <v>3562</v>
      </c>
      <c r="C2250" t="s">
        <v>78</v>
      </c>
      <c r="D2250" t="s">
        <v>78</v>
      </c>
      <c r="E2250" t="s">
        <v>78</v>
      </c>
      <c r="F2250" t="s">
        <v>78</v>
      </c>
      <c r="G2250" t="s">
        <v>78</v>
      </c>
      <c r="H2250">
        <v>0.27</v>
      </c>
      <c r="I2250" s="1">
        <v>0</v>
      </c>
      <c r="J2250" s="1">
        <v>0</v>
      </c>
      <c r="K2250">
        <v>0</v>
      </c>
      <c r="L2250">
        <v>0.26</v>
      </c>
      <c r="M2250">
        <v>0.27</v>
      </c>
      <c r="N2250" s="1">
        <v>10000000</v>
      </c>
      <c r="O2250">
        <v>0.27</v>
      </c>
      <c r="P2250">
        <v>0.79</v>
      </c>
      <c r="Q2250">
        <v>0.01</v>
      </c>
    </row>
    <row r="2251" spans="1:17" x14ac:dyDescent="0.25">
      <c r="A2251">
        <v>731176</v>
      </c>
      <c r="B2251" t="s">
        <v>3563</v>
      </c>
      <c r="C2251" t="s">
        <v>78</v>
      </c>
      <c r="D2251" t="s">
        <v>78</v>
      </c>
      <c r="E2251" t="s">
        <v>78</v>
      </c>
      <c r="F2251" t="s">
        <v>78</v>
      </c>
      <c r="G2251" t="s">
        <v>78</v>
      </c>
      <c r="H2251">
        <v>0.01</v>
      </c>
      <c r="I2251" s="1">
        <v>0</v>
      </c>
      <c r="J2251" s="1">
        <v>0</v>
      </c>
      <c r="K2251">
        <v>0</v>
      </c>
      <c r="L2251">
        <v>0.01</v>
      </c>
      <c r="M2251">
        <v>0.02</v>
      </c>
      <c r="N2251" s="1">
        <v>10000000</v>
      </c>
      <c r="O2251">
        <v>0.01</v>
      </c>
      <c r="P2251">
        <v>0.31</v>
      </c>
      <c r="Q2251">
        <v>0.01</v>
      </c>
    </row>
    <row r="2252" spans="1:17" x14ac:dyDescent="0.25">
      <c r="A2252">
        <v>731177</v>
      </c>
      <c r="B2252" t="s">
        <v>3564</v>
      </c>
      <c r="C2252">
        <v>0.99</v>
      </c>
      <c r="D2252">
        <v>0.03</v>
      </c>
      <c r="E2252">
        <v>0.99</v>
      </c>
      <c r="F2252">
        <v>0.99</v>
      </c>
      <c r="G2252">
        <v>0.99</v>
      </c>
      <c r="H2252">
        <v>0.99</v>
      </c>
      <c r="I2252" s="1">
        <v>22000</v>
      </c>
      <c r="J2252" s="1">
        <v>21780</v>
      </c>
      <c r="K2252">
        <v>2</v>
      </c>
      <c r="L2252">
        <v>0.91</v>
      </c>
      <c r="M2252">
        <v>0.93</v>
      </c>
      <c r="N2252" s="1">
        <v>10000000</v>
      </c>
      <c r="O2252">
        <v>0.99</v>
      </c>
      <c r="P2252">
        <v>2.4300000000000002</v>
      </c>
      <c r="Q2252">
        <v>0.01</v>
      </c>
    </row>
    <row r="2253" spans="1:17" x14ac:dyDescent="0.25">
      <c r="A2253">
        <v>731178</v>
      </c>
      <c r="B2253" t="s">
        <v>3565</v>
      </c>
      <c r="C2253">
        <v>0.96</v>
      </c>
      <c r="D2253">
        <v>-0.18</v>
      </c>
      <c r="E2253">
        <v>0.96</v>
      </c>
      <c r="F2253">
        <v>0.96</v>
      </c>
      <c r="G2253">
        <v>0.96</v>
      </c>
      <c r="H2253">
        <v>0.96</v>
      </c>
      <c r="I2253" s="1">
        <v>10000</v>
      </c>
      <c r="J2253" s="1">
        <v>9600</v>
      </c>
      <c r="K2253">
        <v>1</v>
      </c>
      <c r="L2253">
        <v>0.94</v>
      </c>
      <c r="M2253">
        <v>0.98</v>
      </c>
      <c r="N2253" s="1">
        <v>10000000</v>
      </c>
      <c r="O2253">
        <v>0.96</v>
      </c>
      <c r="P2253">
        <v>1.47</v>
      </c>
      <c r="Q2253">
        <v>0.45</v>
      </c>
    </row>
    <row r="2254" spans="1:17" x14ac:dyDescent="0.25">
      <c r="A2254">
        <v>731179</v>
      </c>
      <c r="B2254" t="s">
        <v>3566</v>
      </c>
      <c r="C2254" t="s">
        <v>78</v>
      </c>
      <c r="D2254" t="s">
        <v>78</v>
      </c>
      <c r="E2254" t="s">
        <v>78</v>
      </c>
      <c r="F2254" t="s">
        <v>78</v>
      </c>
      <c r="G2254" t="s">
        <v>78</v>
      </c>
      <c r="H2254">
        <v>0.06</v>
      </c>
      <c r="I2254" s="1">
        <v>0</v>
      </c>
      <c r="J2254" s="1">
        <v>0</v>
      </c>
      <c r="K2254">
        <v>0</v>
      </c>
      <c r="L2254">
        <v>0.02</v>
      </c>
      <c r="M2254">
        <v>0.03</v>
      </c>
      <c r="N2254" s="1">
        <v>10000000</v>
      </c>
      <c r="O2254">
        <v>0.03</v>
      </c>
      <c r="P2254">
        <v>0.51</v>
      </c>
      <c r="Q2254">
        <v>0.01</v>
      </c>
    </row>
    <row r="2255" spans="1:17" x14ac:dyDescent="0.25">
      <c r="A2255">
        <v>731180</v>
      </c>
      <c r="B2255" t="s">
        <v>3567</v>
      </c>
      <c r="C2255">
        <v>1.86</v>
      </c>
      <c r="D2255">
        <v>0.13</v>
      </c>
      <c r="E2255">
        <v>1.71</v>
      </c>
      <c r="F2255">
        <v>1.86</v>
      </c>
      <c r="G2255">
        <v>1.71</v>
      </c>
      <c r="H2255">
        <v>1.84</v>
      </c>
      <c r="I2255" s="1">
        <v>12000</v>
      </c>
      <c r="J2255" s="1">
        <v>22020</v>
      </c>
      <c r="K2255">
        <v>2</v>
      </c>
      <c r="L2255">
        <v>1.81</v>
      </c>
      <c r="M2255">
        <v>1.88</v>
      </c>
      <c r="N2255" s="1">
        <v>5500000</v>
      </c>
      <c r="O2255">
        <v>1.86</v>
      </c>
      <c r="P2255">
        <v>3.2</v>
      </c>
      <c r="Q2255">
        <v>0.52</v>
      </c>
    </row>
    <row r="2256" spans="1:17" x14ac:dyDescent="0.25">
      <c r="A2256">
        <v>731181</v>
      </c>
      <c r="B2256" t="s">
        <v>3568</v>
      </c>
      <c r="C2256">
        <v>0.03</v>
      </c>
      <c r="D2256">
        <v>-7.0000000000000007E-2</v>
      </c>
      <c r="E2256">
        <v>0.03</v>
      </c>
      <c r="F2256">
        <v>0.03</v>
      </c>
      <c r="G2256">
        <v>0.03</v>
      </c>
      <c r="H2256">
        <v>0.03</v>
      </c>
      <c r="I2256" s="1">
        <v>42000</v>
      </c>
      <c r="J2256" s="1">
        <v>1260</v>
      </c>
      <c r="K2256">
        <v>1</v>
      </c>
      <c r="L2256">
        <v>0.02</v>
      </c>
      <c r="M2256">
        <v>0.03</v>
      </c>
      <c r="N2256" s="1">
        <v>12000000</v>
      </c>
      <c r="O2256">
        <v>0.03</v>
      </c>
      <c r="P2256">
        <v>0.56000000000000005</v>
      </c>
      <c r="Q2256">
        <v>0.01</v>
      </c>
    </row>
    <row r="2257" spans="1:17" x14ac:dyDescent="0.25">
      <c r="A2257">
        <v>731182</v>
      </c>
      <c r="B2257" t="s">
        <v>3569</v>
      </c>
      <c r="C2257" t="s">
        <v>78</v>
      </c>
      <c r="D2257" t="s">
        <v>78</v>
      </c>
      <c r="E2257" t="s">
        <v>78</v>
      </c>
      <c r="F2257" t="s">
        <v>78</v>
      </c>
      <c r="G2257" t="s">
        <v>78</v>
      </c>
      <c r="H2257">
        <v>0.79</v>
      </c>
      <c r="I2257" s="1">
        <v>0</v>
      </c>
      <c r="J2257" s="1">
        <v>0</v>
      </c>
      <c r="K2257">
        <v>0</v>
      </c>
      <c r="L2257">
        <v>0.88</v>
      </c>
      <c r="M2257">
        <v>0.92</v>
      </c>
      <c r="N2257" s="1">
        <v>13000000</v>
      </c>
      <c r="O2257">
        <v>0.88</v>
      </c>
      <c r="P2257">
        <v>1.72</v>
      </c>
      <c r="Q2257">
        <v>0.04</v>
      </c>
    </row>
    <row r="2258" spans="1:17" x14ac:dyDescent="0.25">
      <c r="A2258">
        <v>731183</v>
      </c>
      <c r="B2258" t="s">
        <v>3570</v>
      </c>
      <c r="C2258" t="s">
        <v>78</v>
      </c>
      <c r="D2258" t="s">
        <v>78</v>
      </c>
      <c r="E2258" t="s">
        <v>78</v>
      </c>
      <c r="F2258" t="s">
        <v>78</v>
      </c>
      <c r="G2258" t="s">
        <v>78</v>
      </c>
      <c r="H2258">
        <v>3.17</v>
      </c>
      <c r="I2258" s="1">
        <v>0</v>
      </c>
      <c r="J2258" s="1">
        <v>0</v>
      </c>
      <c r="K2258">
        <v>0</v>
      </c>
      <c r="L2258">
        <v>3.75</v>
      </c>
      <c r="M2258">
        <v>0</v>
      </c>
      <c r="N2258" s="1">
        <v>10000000</v>
      </c>
      <c r="O2258">
        <v>3.76</v>
      </c>
      <c r="P2258">
        <v>4.63</v>
      </c>
      <c r="Q2258">
        <v>2.89</v>
      </c>
    </row>
    <row r="2259" spans="1:17" x14ac:dyDescent="0.25">
      <c r="A2259">
        <v>731184</v>
      </c>
      <c r="B2259" t="s">
        <v>3571</v>
      </c>
      <c r="C2259">
        <v>0.45</v>
      </c>
      <c r="D2259">
        <v>0.01</v>
      </c>
      <c r="E2259">
        <v>0.44</v>
      </c>
      <c r="F2259">
        <v>0.45</v>
      </c>
      <c r="G2259">
        <v>0.44</v>
      </c>
      <c r="H2259">
        <v>0.45</v>
      </c>
      <c r="I2259" s="1">
        <v>231000</v>
      </c>
      <c r="J2259" s="1">
        <v>103750</v>
      </c>
      <c r="K2259">
        <v>6</v>
      </c>
      <c r="L2259">
        <v>0.44</v>
      </c>
      <c r="M2259">
        <v>0.45</v>
      </c>
      <c r="N2259" s="1">
        <v>5000000</v>
      </c>
      <c r="O2259">
        <v>0.45</v>
      </c>
      <c r="P2259">
        <v>1.47</v>
      </c>
      <c r="Q2259">
        <v>0.01</v>
      </c>
    </row>
    <row r="2260" spans="1:17" x14ac:dyDescent="0.25">
      <c r="A2260">
        <v>731185</v>
      </c>
      <c r="B2260" t="s">
        <v>3572</v>
      </c>
      <c r="C2260">
        <v>1.67</v>
      </c>
      <c r="D2260">
        <v>0.09</v>
      </c>
      <c r="E2260">
        <v>1.85</v>
      </c>
      <c r="F2260">
        <v>1.85</v>
      </c>
      <c r="G2260">
        <v>1.64</v>
      </c>
      <c r="H2260">
        <v>1.72</v>
      </c>
      <c r="I2260" s="1">
        <v>176000</v>
      </c>
      <c r="J2260" s="1">
        <v>301870</v>
      </c>
      <c r="K2260">
        <v>15</v>
      </c>
      <c r="L2260">
        <v>1.73</v>
      </c>
      <c r="M2260">
        <v>1.74</v>
      </c>
      <c r="N2260" s="1">
        <v>5000000</v>
      </c>
      <c r="O2260">
        <v>1.67</v>
      </c>
      <c r="P2260">
        <v>2.95</v>
      </c>
      <c r="Q2260">
        <v>0.39</v>
      </c>
    </row>
    <row r="2261" spans="1:17" x14ac:dyDescent="0.25">
      <c r="A2261">
        <v>731186</v>
      </c>
      <c r="B2261" t="s">
        <v>3573</v>
      </c>
      <c r="C2261" t="s">
        <v>78</v>
      </c>
      <c r="D2261" t="s">
        <v>78</v>
      </c>
      <c r="E2261" t="s">
        <v>78</v>
      </c>
      <c r="F2261" t="s">
        <v>78</v>
      </c>
      <c r="G2261" t="s">
        <v>78</v>
      </c>
      <c r="H2261">
        <v>0.28999999999999998</v>
      </c>
      <c r="I2261" s="1">
        <v>0</v>
      </c>
      <c r="J2261" s="1">
        <v>0</v>
      </c>
      <c r="K2261">
        <v>0</v>
      </c>
      <c r="L2261">
        <v>0.21</v>
      </c>
      <c r="M2261">
        <v>0.22</v>
      </c>
      <c r="N2261" s="1">
        <v>5000000</v>
      </c>
      <c r="O2261">
        <v>0.22</v>
      </c>
      <c r="P2261">
        <v>1.1000000000000001</v>
      </c>
      <c r="Q2261">
        <v>0.01</v>
      </c>
    </row>
    <row r="2262" spans="1:17" x14ac:dyDescent="0.25">
      <c r="A2262">
        <v>731187</v>
      </c>
      <c r="B2262" t="s">
        <v>3574</v>
      </c>
      <c r="C2262" t="s">
        <v>78</v>
      </c>
      <c r="D2262" t="s">
        <v>78</v>
      </c>
      <c r="E2262" t="s">
        <v>78</v>
      </c>
      <c r="F2262" t="s">
        <v>78</v>
      </c>
      <c r="G2262" t="s">
        <v>78</v>
      </c>
      <c r="H2262">
        <v>0.23</v>
      </c>
      <c r="I2262" s="1">
        <v>0</v>
      </c>
      <c r="J2262" s="1">
        <v>0</v>
      </c>
      <c r="K2262">
        <v>0</v>
      </c>
      <c r="L2262">
        <v>0.03</v>
      </c>
      <c r="M2262">
        <v>0.1</v>
      </c>
      <c r="N2262" s="1">
        <v>5000000</v>
      </c>
      <c r="O2262">
        <v>0.1</v>
      </c>
      <c r="P2262">
        <v>0.96</v>
      </c>
      <c r="Q2262">
        <v>0.01</v>
      </c>
    </row>
    <row r="2263" spans="1:17" x14ac:dyDescent="0.25">
      <c r="A2263">
        <v>731188</v>
      </c>
      <c r="B2263" t="s">
        <v>3575</v>
      </c>
      <c r="C2263" t="s">
        <v>78</v>
      </c>
      <c r="D2263" t="s">
        <v>78</v>
      </c>
      <c r="E2263" t="s">
        <v>78</v>
      </c>
      <c r="F2263" t="s">
        <v>78</v>
      </c>
      <c r="G2263" t="s">
        <v>78</v>
      </c>
      <c r="H2263">
        <v>0.01</v>
      </c>
      <c r="I2263" s="1">
        <v>0</v>
      </c>
      <c r="J2263" s="1">
        <v>0</v>
      </c>
      <c r="K2263">
        <v>0</v>
      </c>
      <c r="L2263">
        <v>0</v>
      </c>
      <c r="M2263">
        <v>0.1</v>
      </c>
      <c r="N2263" s="1">
        <v>5000000</v>
      </c>
      <c r="O2263">
        <v>0.04</v>
      </c>
      <c r="P2263">
        <v>1.1100000000000001</v>
      </c>
      <c r="Q2263">
        <v>0.01</v>
      </c>
    </row>
    <row r="2264" spans="1:17" x14ac:dyDescent="0.25">
      <c r="A2264">
        <v>731189</v>
      </c>
      <c r="B2264" t="s">
        <v>3576</v>
      </c>
      <c r="C2264">
        <v>0.36</v>
      </c>
      <c r="D2264">
        <v>0.03</v>
      </c>
      <c r="E2264">
        <v>0.38</v>
      </c>
      <c r="F2264">
        <v>0.43</v>
      </c>
      <c r="G2264">
        <v>0.36</v>
      </c>
      <c r="H2264">
        <v>0.39</v>
      </c>
      <c r="I2264" s="1">
        <v>390000</v>
      </c>
      <c r="J2264" s="1">
        <v>153000</v>
      </c>
      <c r="K2264">
        <v>13</v>
      </c>
      <c r="L2264">
        <v>0.35</v>
      </c>
      <c r="M2264">
        <v>0.36</v>
      </c>
      <c r="N2264" s="1">
        <v>5000000</v>
      </c>
      <c r="O2264">
        <v>0.36</v>
      </c>
      <c r="P2264">
        <v>1.1200000000000001</v>
      </c>
      <c r="Q2264">
        <v>0.01</v>
      </c>
    </row>
    <row r="2265" spans="1:17" x14ac:dyDescent="0.25">
      <c r="A2265">
        <v>731190</v>
      </c>
      <c r="B2265" t="s">
        <v>3577</v>
      </c>
      <c r="C2265" t="s">
        <v>78</v>
      </c>
      <c r="D2265" t="s">
        <v>78</v>
      </c>
      <c r="E2265" t="s">
        <v>78</v>
      </c>
      <c r="F2265" t="s">
        <v>78</v>
      </c>
      <c r="G2265" t="s">
        <v>78</v>
      </c>
      <c r="H2265">
        <v>3.48</v>
      </c>
      <c r="I2265" s="1">
        <v>0</v>
      </c>
      <c r="J2265" s="1">
        <v>0</v>
      </c>
      <c r="K2265">
        <v>0</v>
      </c>
      <c r="L2265">
        <v>2.71</v>
      </c>
      <c r="M2265">
        <v>2.72</v>
      </c>
      <c r="N2265" s="1">
        <v>7000000</v>
      </c>
      <c r="O2265">
        <v>2.71</v>
      </c>
      <c r="P2265">
        <v>3.62</v>
      </c>
      <c r="Q2265">
        <v>1.8</v>
      </c>
    </row>
    <row r="2266" spans="1:17" x14ac:dyDescent="0.25">
      <c r="A2266">
        <v>731191</v>
      </c>
      <c r="B2266" t="s">
        <v>3578</v>
      </c>
      <c r="C2266">
        <v>0.32</v>
      </c>
      <c r="D2266">
        <v>-0.01</v>
      </c>
      <c r="E2266">
        <v>0.32</v>
      </c>
      <c r="F2266">
        <v>0.32</v>
      </c>
      <c r="G2266">
        <v>0.32</v>
      </c>
      <c r="H2266">
        <v>0.32</v>
      </c>
      <c r="I2266" s="1">
        <v>212000</v>
      </c>
      <c r="J2266" s="1">
        <v>67840</v>
      </c>
      <c r="K2266">
        <v>1</v>
      </c>
      <c r="L2266">
        <v>0.32</v>
      </c>
      <c r="M2266">
        <v>0.33</v>
      </c>
      <c r="N2266" s="1">
        <v>10000000</v>
      </c>
      <c r="O2266">
        <v>0.32</v>
      </c>
      <c r="P2266">
        <v>1</v>
      </c>
      <c r="Q2266">
        <v>0.01</v>
      </c>
    </row>
    <row r="2267" spans="1:17" x14ac:dyDescent="0.25">
      <c r="A2267">
        <v>731192</v>
      </c>
      <c r="B2267" t="s">
        <v>3579</v>
      </c>
      <c r="C2267" t="s">
        <v>78</v>
      </c>
      <c r="D2267" t="s">
        <v>78</v>
      </c>
      <c r="E2267" t="s">
        <v>78</v>
      </c>
      <c r="F2267" t="s">
        <v>78</v>
      </c>
      <c r="G2267" t="s">
        <v>78</v>
      </c>
      <c r="H2267">
        <v>0.06</v>
      </c>
      <c r="I2267" s="1">
        <v>0</v>
      </c>
      <c r="J2267" s="1">
        <v>0</v>
      </c>
      <c r="K2267">
        <v>0</v>
      </c>
      <c r="L2267">
        <v>0.03</v>
      </c>
      <c r="M2267">
        <v>0.04</v>
      </c>
      <c r="N2267" s="1">
        <v>7000000</v>
      </c>
      <c r="O2267">
        <v>0.03</v>
      </c>
      <c r="P2267">
        <v>0.88</v>
      </c>
      <c r="Q2267">
        <v>0.01</v>
      </c>
    </row>
    <row r="2268" spans="1:17" x14ac:dyDescent="0.25">
      <c r="A2268">
        <v>731193</v>
      </c>
      <c r="B2268" t="s">
        <v>3580</v>
      </c>
      <c r="C2268" t="s">
        <v>78</v>
      </c>
      <c r="D2268" t="s">
        <v>78</v>
      </c>
      <c r="E2268" t="s">
        <v>78</v>
      </c>
      <c r="F2268" t="s">
        <v>78</v>
      </c>
      <c r="G2268" t="s">
        <v>78</v>
      </c>
      <c r="H2268">
        <v>0.02</v>
      </c>
      <c r="I2268" s="1">
        <v>0</v>
      </c>
      <c r="J2268" s="1">
        <v>0</v>
      </c>
      <c r="K2268">
        <v>0</v>
      </c>
      <c r="L2268">
        <v>0.02</v>
      </c>
      <c r="M2268">
        <v>0.03</v>
      </c>
      <c r="N2268" s="1">
        <v>7000000</v>
      </c>
      <c r="O2268">
        <v>0.02</v>
      </c>
      <c r="P2268">
        <v>0.62</v>
      </c>
      <c r="Q2268">
        <v>0.01</v>
      </c>
    </row>
    <row r="2269" spans="1:17" x14ac:dyDescent="0.25">
      <c r="A2269">
        <v>731194</v>
      </c>
      <c r="B2269" t="s">
        <v>3581</v>
      </c>
      <c r="C2269" t="s">
        <v>78</v>
      </c>
      <c r="D2269" t="s">
        <v>78</v>
      </c>
      <c r="E2269" t="s">
        <v>78</v>
      </c>
      <c r="F2269" t="s">
        <v>78</v>
      </c>
      <c r="G2269" t="s">
        <v>78</v>
      </c>
      <c r="H2269">
        <v>0.23</v>
      </c>
      <c r="I2269" s="1">
        <v>0</v>
      </c>
      <c r="J2269" s="1">
        <v>0</v>
      </c>
      <c r="K2269">
        <v>0</v>
      </c>
      <c r="L2269">
        <v>0.22</v>
      </c>
      <c r="M2269">
        <v>0.23</v>
      </c>
      <c r="N2269" s="1">
        <v>10000000</v>
      </c>
      <c r="O2269">
        <v>0.22</v>
      </c>
      <c r="P2269">
        <v>0.94</v>
      </c>
      <c r="Q2269">
        <v>0.01</v>
      </c>
    </row>
    <row r="2270" spans="1:17" x14ac:dyDescent="0.25">
      <c r="A2270">
        <v>731195</v>
      </c>
      <c r="B2270" t="s">
        <v>3582</v>
      </c>
      <c r="C2270" t="s">
        <v>78</v>
      </c>
      <c r="D2270" t="s">
        <v>78</v>
      </c>
      <c r="E2270" t="s">
        <v>78</v>
      </c>
      <c r="F2270" t="s">
        <v>78</v>
      </c>
      <c r="G2270" t="s">
        <v>78</v>
      </c>
      <c r="H2270">
        <v>1.46</v>
      </c>
      <c r="I2270" s="1">
        <v>0</v>
      </c>
      <c r="J2270" s="1">
        <v>0</v>
      </c>
      <c r="K2270">
        <v>0</v>
      </c>
      <c r="L2270">
        <v>2.2599999999999998</v>
      </c>
      <c r="M2270">
        <v>2.27</v>
      </c>
      <c r="N2270" s="1">
        <v>10000000</v>
      </c>
      <c r="O2270">
        <v>2.27</v>
      </c>
      <c r="P2270">
        <v>3.43</v>
      </c>
      <c r="Q2270">
        <v>1.1100000000000001</v>
      </c>
    </row>
    <row r="2271" spans="1:17" x14ac:dyDescent="0.25">
      <c r="A2271">
        <v>731196</v>
      </c>
      <c r="B2271" t="s">
        <v>3583</v>
      </c>
      <c r="C2271" t="s">
        <v>78</v>
      </c>
      <c r="D2271" t="s">
        <v>78</v>
      </c>
      <c r="E2271" t="s">
        <v>78</v>
      </c>
      <c r="F2271" t="s">
        <v>78</v>
      </c>
      <c r="G2271" t="s">
        <v>78</v>
      </c>
      <c r="H2271">
        <v>0.8</v>
      </c>
      <c r="I2271" s="1">
        <v>0</v>
      </c>
      <c r="J2271" s="1">
        <v>0</v>
      </c>
      <c r="K2271">
        <v>0</v>
      </c>
      <c r="L2271">
        <v>0.91</v>
      </c>
      <c r="M2271">
        <v>0.92</v>
      </c>
      <c r="N2271" s="1">
        <v>7000000</v>
      </c>
      <c r="O2271">
        <v>0.91</v>
      </c>
      <c r="P2271">
        <v>1.97</v>
      </c>
      <c r="Q2271">
        <v>0.01</v>
      </c>
    </row>
    <row r="2272" spans="1:17" x14ac:dyDescent="0.25">
      <c r="A2272">
        <v>731197</v>
      </c>
      <c r="B2272" t="s">
        <v>3584</v>
      </c>
      <c r="C2272" t="s">
        <v>78</v>
      </c>
      <c r="D2272" t="s">
        <v>78</v>
      </c>
      <c r="E2272" t="s">
        <v>78</v>
      </c>
      <c r="F2272" t="s">
        <v>78</v>
      </c>
      <c r="G2272" t="s">
        <v>78</v>
      </c>
      <c r="H2272">
        <v>0.06</v>
      </c>
      <c r="I2272" s="1">
        <v>0</v>
      </c>
      <c r="J2272" s="1">
        <v>0</v>
      </c>
      <c r="K2272">
        <v>0</v>
      </c>
      <c r="L2272">
        <v>0.04</v>
      </c>
      <c r="M2272">
        <v>0.05</v>
      </c>
      <c r="N2272" s="1">
        <v>5000000</v>
      </c>
      <c r="O2272">
        <v>0.05</v>
      </c>
      <c r="P2272">
        <v>0.76</v>
      </c>
      <c r="Q2272">
        <v>0.01</v>
      </c>
    </row>
    <row r="2273" spans="1:17" x14ac:dyDescent="0.25">
      <c r="A2273">
        <v>731198</v>
      </c>
      <c r="B2273" t="s">
        <v>3585</v>
      </c>
      <c r="C2273" t="s">
        <v>78</v>
      </c>
      <c r="D2273" t="s">
        <v>78</v>
      </c>
      <c r="E2273" t="s">
        <v>78</v>
      </c>
      <c r="F2273" t="s">
        <v>78</v>
      </c>
      <c r="G2273" t="s">
        <v>78</v>
      </c>
      <c r="H2273">
        <v>5.85</v>
      </c>
      <c r="I2273" s="1">
        <v>0</v>
      </c>
      <c r="J2273" s="1">
        <v>0</v>
      </c>
      <c r="K2273">
        <v>0</v>
      </c>
      <c r="L2273">
        <v>7.9</v>
      </c>
      <c r="M2273">
        <v>7.95</v>
      </c>
      <c r="N2273" s="1">
        <v>10000000</v>
      </c>
      <c r="O2273">
        <v>7.9</v>
      </c>
      <c r="P2273">
        <v>9.6</v>
      </c>
      <c r="Q2273">
        <v>6.2</v>
      </c>
    </row>
    <row r="2274" spans="1:17" x14ac:dyDescent="0.25">
      <c r="A2274">
        <v>731199</v>
      </c>
      <c r="B2274" t="s">
        <v>3586</v>
      </c>
      <c r="C2274" t="s">
        <v>78</v>
      </c>
      <c r="D2274" t="s">
        <v>78</v>
      </c>
      <c r="E2274" t="s">
        <v>78</v>
      </c>
      <c r="F2274" t="s">
        <v>78</v>
      </c>
      <c r="G2274" t="s">
        <v>78</v>
      </c>
      <c r="H2274">
        <v>0.22</v>
      </c>
      <c r="I2274" s="1">
        <v>0</v>
      </c>
      <c r="J2274" s="1">
        <v>0</v>
      </c>
      <c r="K2274">
        <v>0</v>
      </c>
      <c r="L2274">
        <v>0.12</v>
      </c>
      <c r="M2274">
        <v>0.3</v>
      </c>
      <c r="N2274" s="1">
        <v>5000000</v>
      </c>
      <c r="O2274">
        <v>0.27</v>
      </c>
      <c r="P2274">
        <v>0.94</v>
      </c>
      <c r="Q2274">
        <v>0.01</v>
      </c>
    </row>
    <row r="2275" spans="1:17" x14ac:dyDescent="0.25">
      <c r="A2275">
        <v>731200</v>
      </c>
      <c r="B2275" t="s">
        <v>3587</v>
      </c>
      <c r="C2275" t="s">
        <v>78</v>
      </c>
      <c r="D2275" t="s">
        <v>78</v>
      </c>
      <c r="E2275" t="s">
        <v>78</v>
      </c>
      <c r="F2275" t="s">
        <v>78</v>
      </c>
      <c r="G2275" t="s">
        <v>78</v>
      </c>
      <c r="H2275">
        <v>0.48</v>
      </c>
      <c r="I2275" s="1">
        <v>0</v>
      </c>
      <c r="J2275" s="1">
        <v>0</v>
      </c>
      <c r="K2275">
        <v>0</v>
      </c>
      <c r="L2275">
        <v>0.01</v>
      </c>
      <c r="M2275">
        <v>0.04</v>
      </c>
      <c r="N2275" s="1">
        <v>5000000</v>
      </c>
      <c r="O2275">
        <v>0.04</v>
      </c>
      <c r="P2275">
        <v>0.67</v>
      </c>
      <c r="Q2275">
        <v>0.01</v>
      </c>
    </row>
    <row r="2276" spans="1:17" x14ac:dyDescent="0.25">
      <c r="A2276">
        <v>731201</v>
      </c>
      <c r="B2276" t="s">
        <v>3588</v>
      </c>
      <c r="C2276">
        <v>0.59</v>
      </c>
      <c r="D2276">
        <v>-0.09</v>
      </c>
      <c r="E2276">
        <v>0.63</v>
      </c>
      <c r="F2276">
        <v>0.63</v>
      </c>
      <c r="G2276">
        <v>0.59</v>
      </c>
      <c r="H2276">
        <v>0.61</v>
      </c>
      <c r="I2276" s="1">
        <v>20000</v>
      </c>
      <c r="J2276" s="1">
        <v>12200</v>
      </c>
      <c r="K2276">
        <v>3</v>
      </c>
      <c r="L2276">
        <v>0.55000000000000004</v>
      </c>
      <c r="M2276">
        <v>0.56999999999999995</v>
      </c>
      <c r="N2276" s="1">
        <v>5000000</v>
      </c>
      <c r="O2276">
        <v>0.59</v>
      </c>
      <c r="P2276">
        <v>1.06</v>
      </c>
      <c r="Q2276">
        <v>0.12</v>
      </c>
    </row>
    <row r="2277" spans="1:17" x14ac:dyDescent="0.25">
      <c r="A2277">
        <v>731202</v>
      </c>
      <c r="B2277" t="s">
        <v>3589</v>
      </c>
      <c r="C2277" t="s">
        <v>78</v>
      </c>
      <c r="D2277" t="s">
        <v>78</v>
      </c>
      <c r="E2277" t="s">
        <v>78</v>
      </c>
      <c r="F2277" t="s">
        <v>78</v>
      </c>
      <c r="G2277" t="s">
        <v>78</v>
      </c>
      <c r="H2277">
        <v>0.16</v>
      </c>
      <c r="I2277" s="1">
        <v>0</v>
      </c>
      <c r="J2277" s="1">
        <v>0</v>
      </c>
      <c r="K2277">
        <v>0</v>
      </c>
      <c r="L2277">
        <v>0</v>
      </c>
      <c r="M2277">
        <v>0.02</v>
      </c>
      <c r="N2277" s="1">
        <v>10000000</v>
      </c>
      <c r="O2277">
        <v>0.01</v>
      </c>
      <c r="P2277">
        <v>0.86</v>
      </c>
      <c r="Q2277">
        <v>0.01</v>
      </c>
    </row>
    <row r="2278" spans="1:17" x14ac:dyDescent="0.25">
      <c r="A2278">
        <v>731203</v>
      </c>
      <c r="B2278" t="s">
        <v>3590</v>
      </c>
      <c r="C2278">
        <v>2.97</v>
      </c>
      <c r="D2278">
        <v>0.37</v>
      </c>
      <c r="E2278">
        <v>2.79</v>
      </c>
      <c r="F2278">
        <v>2.97</v>
      </c>
      <c r="G2278">
        <v>2.79</v>
      </c>
      <c r="H2278">
        <v>2.88</v>
      </c>
      <c r="I2278" s="1">
        <v>20000</v>
      </c>
      <c r="J2278" s="1">
        <v>57600</v>
      </c>
      <c r="K2278">
        <v>3</v>
      </c>
      <c r="L2278">
        <v>2.7</v>
      </c>
      <c r="M2278">
        <v>2.77</v>
      </c>
      <c r="N2278" s="1">
        <v>5000000</v>
      </c>
      <c r="O2278">
        <v>2.97</v>
      </c>
      <c r="P2278">
        <v>4.3</v>
      </c>
      <c r="Q2278">
        <v>1.64</v>
      </c>
    </row>
    <row r="2279" spans="1:17" x14ac:dyDescent="0.25">
      <c r="A2279">
        <v>731204</v>
      </c>
      <c r="B2279" t="s">
        <v>3591</v>
      </c>
      <c r="C2279">
        <v>1.75</v>
      </c>
      <c r="D2279">
        <v>-0.25</v>
      </c>
      <c r="E2279">
        <v>1.75</v>
      </c>
      <c r="F2279">
        <v>1.75</v>
      </c>
      <c r="G2279">
        <v>1.75</v>
      </c>
      <c r="H2279">
        <v>1.75</v>
      </c>
      <c r="I2279" s="1">
        <v>1000</v>
      </c>
      <c r="J2279" s="1">
        <v>1750</v>
      </c>
      <c r="K2279">
        <v>1</v>
      </c>
      <c r="L2279">
        <v>1.75</v>
      </c>
      <c r="M2279">
        <v>1.85</v>
      </c>
      <c r="N2279" s="1">
        <v>5000000</v>
      </c>
      <c r="O2279">
        <v>1.75</v>
      </c>
      <c r="P2279">
        <v>2.5299999999999998</v>
      </c>
      <c r="Q2279">
        <v>0.97</v>
      </c>
    </row>
    <row r="2280" spans="1:17" x14ac:dyDescent="0.25">
      <c r="A2280">
        <v>731205</v>
      </c>
      <c r="B2280" t="s">
        <v>3592</v>
      </c>
      <c r="C2280" t="s">
        <v>78</v>
      </c>
      <c r="D2280" t="s">
        <v>78</v>
      </c>
      <c r="E2280" t="s">
        <v>78</v>
      </c>
      <c r="F2280" t="s">
        <v>78</v>
      </c>
      <c r="G2280" t="s">
        <v>78</v>
      </c>
      <c r="H2280">
        <v>0.14000000000000001</v>
      </c>
      <c r="I2280" s="1">
        <v>0</v>
      </c>
      <c r="J2280" s="1">
        <v>0</v>
      </c>
      <c r="K2280">
        <v>0</v>
      </c>
      <c r="L2280">
        <v>0</v>
      </c>
      <c r="M2280">
        <v>0.02</v>
      </c>
      <c r="N2280" s="1">
        <v>10000000</v>
      </c>
      <c r="O2280">
        <v>0.02</v>
      </c>
      <c r="P2280">
        <v>0.87</v>
      </c>
      <c r="Q2280">
        <v>0.01</v>
      </c>
    </row>
    <row r="2281" spans="1:17" x14ac:dyDescent="0.25">
      <c r="A2281">
        <v>731206</v>
      </c>
      <c r="B2281" t="s">
        <v>3593</v>
      </c>
      <c r="C2281" t="s">
        <v>78</v>
      </c>
      <c r="D2281" t="s">
        <v>78</v>
      </c>
      <c r="E2281" t="s">
        <v>78</v>
      </c>
      <c r="F2281" t="s">
        <v>78</v>
      </c>
      <c r="G2281" t="s">
        <v>78</v>
      </c>
      <c r="H2281">
        <v>0.04</v>
      </c>
      <c r="I2281" s="1">
        <v>0</v>
      </c>
      <c r="J2281" s="1">
        <v>0</v>
      </c>
      <c r="K2281">
        <v>0</v>
      </c>
      <c r="L2281">
        <v>0.01</v>
      </c>
      <c r="M2281">
        <v>0.02</v>
      </c>
      <c r="N2281" s="1">
        <v>10000000</v>
      </c>
      <c r="O2281">
        <v>0.02</v>
      </c>
      <c r="P2281">
        <v>0.68</v>
      </c>
      <c r="Q2281">
        <v>0.01</v>
      </c>
    </row>
    <row r="2282" spans="1:17" x14ac:dyDescent="0.25">
      <c r="A2282">
        <v>731207</v>
      </c>
      <c r="B2282" t="s">
        <v>3594</v>
      </c>
      <c r="C2282" t="s">
        <v>78</v>
      </c>
      <c r="D2282" t="s">
        <v>78</v>
      </c>
      <c r="E2282" t="s">
        <v>78</v>
      </c>
      <c r="F2282" t="s">
        <v>78</v>
      </c>
      <c r="G2282" t="s">
        <v>78</v>
      </c>
      <c r="H2282">
        <v>6.98</v>
      </c>
      <c r="I2282" s="1">
        <v>0</v>
      </c>
      <c r="J2282" s="1">
        <v>0</v>
      </c>
      <c r="K2282">
        <v>0</v>
      </c>
      <c r="L2282">
        <v>6.35</v>
      </c>
      <c r="M2282">
        <v>6.5</v>
      </c>
      <c r="N2282" s="1">
        <v>5000000</v>
      </c>
      <c r="O2282">
        <v>6.45</v>
      </c>
      <c r="P2282">
        <v>8.4</v>
      </c>
      <c r="Q2282">
        <v>4.42</v>
      </c>
    </row>
    <row r="2283" spans="1:17" x14ac:dyDescent="0.25">
      <c r="A2283">
        <v>731208</v>
      </c>
      <c r="B2283" t="s">
        <v>3595</v>
      </c>
      <c r="C2283">
        <v>3.98</v>
      </c>
      <c r="D2283">
        <v>0.32</v>
      </c>
      <c r="E2283">
        <v>3.98</v>
      </c>
      <c r="F2283">
        <v>3.98</v>
      </c>
      <c r="G2283">
        <v>3.98</v>
      </c>
      <c r="H2283">
        <v>3.98</v>
      </c>
      <c r="I2283" s="1">
        <v>1000</v>
      </c>
      <c r="J2283" s="1">
        <v>3980</v>
      </c>
      <c r="K2283">
        <v>1</v>
      </c>
      <c r="L2283">
        <v>3.73</v>
      </c>
      <c r="M2283">
        <v>4.18</v>
      </c>
      <c r="N2283" s="1">
        <v>5000000</v>
      </c>
      <c r="O2283">
        <v>3.98</v>
      </c>
      <c r="P2283">
        <v>5.45</v>
      </c>
      <c r="Q2283">
        <v>2.5099999999999998</v>
      </c>
    </row>
    <row r="2284" spans="1:17" x14ac:dyDescent="0.25">
      <c r="A2284">
        <v>731209</v>
      </c>
      <c r="B2284" t="s">
        <v>3596</v>
      </c>
      <c r="C2284">
        <v>1.03</v>
      </c>
      <c r="D2284">
        <v>0.21</v>
      </c>
      <c r="E2284">
        <v>0.76</v>
      </c>
      <c r="F2284">
        <v>1.08</v>
      </c>
      <c r="G2284">
        <v>0.76</v>
      </c>
      <c r="H2284">
        <v>0.94</v>
      </c>
      <c r="I2284" s="1">
        <v>220000</v>
      </c>
      <c r="J2284" s="1">
        <v>207600</v>
      </c>
      <c r="K2284">
        <v>16</v>
      </c>
      <c r="L2284">
        <v>0.96</v>
      </c>
      <c r="M2284">
        <v>1</v>
      </c>
      <c r="N2284" s="1">
        <v>10000000</v>
      </c>
      <c r="O2284">
        <v>1.03</v>
      </c>
      <c r="P2284">
        <v>2.71</v>
      </c>
      <c r="Q2284">
        <v>0.01</v>
      </c>
    </row>
    <row r="2285" spans="1:17" x14ac:dyDescent="0.25">
      <c r="A2285">
        <v>731210</v>
      </c>
      <c r="B2285" t="s">
        <v>3597</v>
      </c>
      <c r="C2285">
        <v>0.12</v>
      </c>
      <c r="D2285">
        <v>0</v>
      </c>
      <c r="E2285">
        <v>0.12</v>
      </c>
      <c r="F2285">
        <v>0.12</v>
      </c>
      <c r="G2285">
        <v>0.12</v>
      </c>
      <c r="H2285">
        <v>0.12</v>
      </c>
      <c r="I2285" s="1">
        <v>50000</v>
      </c>
      <c r="J2285" s="1">
        <v>6000</v>
      </c>
      <c r="K2285">
        <v>1</v>
      </c>
      <c r="L2285">
        <v>0.12</v>
      </c>
      <c r="M2285">
        <v>0.13</v>
      </c>
      <c r="N2285" s="1">
        <v>5000000</v>
      </c>
      <c r="O2285">
        <v>0.12</v>
      </c>
      <c r="P2285">
        <v>0.82</v>
      </c>
      <c r="Q2285">
        <v>0.01</v>
      </c>
    </row>
    <row r="2286" spans="1:17" x14ac:dyDescent="0.25">
      <c r="A2286">
        <v>731211</v>
      </c>
      <c r="B2286" t="s">
        <v>3598</v>
      </c>
      <c r="C2286">
        <v>0.85</v>
      </c>
      <c r="D2286">
        <v>0.21</v>
      </c>
      <c r="E2286">
        <v>0.68</v>
      </c>
      <c r="F2286">
        <v>0.86</v>
      </c>
      <c r="G2286">
        <v>0.63</v>
      </c>
      <c r="H2286">
        <v>0.74</v>
      </c>
      <c r="I2286" s="1">
        <v>146000</v>
      </c>
      <c r="J2286" s="1">
        <v>108320</v>
      </c>
      <c r="K2286">
        <v>18</v>
      </c>
      <c r="L2286">
        <v>0.75</v>
      </c>
      <c r="M2286">
        <v>0.77</v>
      </c>
      <c r="N2286" s="1">
        <v>5000000</v>
      </c>
      <c r="O2286">
        <v>0.85</v>
      </c>
      <c r="P2286">
        <v>2.25</v>
      </c>
      <c r="Q2286">
        <v>0.01</v>
      </c>
    </row>
    <row r="2287" spans="1:17" x14ac:dyDescent="0.25">
      <c r="A2287">
        <v>731212</v>
      </c>
      <c r="B2287" t="s">
        <v>3599</v>
      </c>
      <c r="C2287">
        <v>0.84</v>
      </c>
      <c r="D2287">
        <v>-0.02</v>
      </c>
      <c r="E2287">
        <v>0.86</v>
      </c>
      <c r="F2287">
        <v>0.86</v>
      </c>
      <c r="G2287">
        <v>0.84</v>
      </c>
      <c r="H2287">
        <v>0.85</v>
      </c>
      <c r="I2287" s="1">
        <v>20000</v>
      </c>
      <c r="J2287" s="1">
        <v>17000</v>
      </c>
      <c r="K2287">
        <v>3</v>
      </c>
      <c r="L2287">
        <v>0.79</v>
      </c>
      <c r="M2287">
        <v>0.8</v>
      </c>
      <c r="N2287" s="1">
        <v>10000000</v>
      </c>
      <c r="O2287">
        <v>0.84</v>
      </c>
      <c r="P2287">
        <v>1.56</v>
      </c>
      <c r="Q2287">
        <v>0.12</v>
      </c>
    </row>
    <row r="2288" spans="1:17" x14ac:dyDescent="0.25">
      <c r="A2288">
        <v>731213</v>
      </c>
      <c r="B2288" t="s">
        <v>3600</v>
      </c>
      <c r="C2288">
        <v>0.42</v>
      </c>
      <c r="D2288">
        <v>0.02</v>
      </c>
      <c r="E2288">
        <v>0.41</v>
      </c>
      <c r="F2288">
        <v>0.42</v>
      </c>
      <c r="G2288">
        <v>0.4</v>
      </c>
      <c r="H2288">
        <v>0.41</v>
      </c>
      <c r="I2288" s="1">
        <v>60000</v>
      </c>
      <c r="J2288" s="1">
        <v>24700</v>
      </c>
      <c r="K2288">
        <v>6</v>
      </c>
      <c r="L2288">
        <v>0.4</v>
      </c>
      <c r="M2288">
        <v>0.41</v>
      </c>
      <c r="N2288" s="1">
        <v>10000000</v>
      </c>
      <c r="O2288">
        <v>0.42</v>
      </c>
      <c r="P2288">
        <v>1.01</v>
      </c>
      <c r="Q2288">
        <v>0.01</v>
      </c>
    </row>
    <row r="2289" spans="1:17" x14ac:dyDescent="0.25">
      <c r="A2289">
        <v>731214</v>
      </c>
      <c r="B2289" t="s">
        <v>3601</v>
      </c>
      <c r="C2289" t="s">
        <v>78</v>
      </c>
      <c r="D2289" t="s">
        <v>78</v>
      </c>
      <c r="E2289" t="s">
        <v>78</v>
      </c>
      <c r="F2289" t="s">
        <v>78</v>
      </c>
      <c r="G2289" t="s">
        <v>78</v>
      </c>
      <c r="H2289">
        <v>7.25</v>
      </c>
      <c r="I2289" s="1">
        <v>0</v>
      </c>
      <c r="J2289" s="1">
        <v>0</v>
      </c>
      <c r="K2289">
        <v>0</v>
      </c>
      <c r="L2289">
        <v>8.3000000000000007</v>
      </c>
      <c r="M2289">
        <v>8.8000000000000007</v>
      </c>
      <c r="N2289" s="1">
        <v>5000000</v>
      </c>
      <c r="O2289">
        <v>8.3000000000000007</v>
      </c>
      <c r="P2289">
        <v>11.7</v>
      </c>
      <c r="Q2289">
        <v>4.8499999999999996</v>
      </c>
    </row>
    <row r="2290" spans="1:17" x14ac:dyDescent="0.25">
      <c r="A2290">
        <v>731215</v>
      </c>
      <c r="B2290" t="s">
        <v>3602</v>
      </c>
      <c r="C2290">
        <v>0.42</v>
      </c>
      <c r="D2290">
        <v>-0.01</v>
      </c>
      <c r="E2290">
        <v>0.42</v>
      </c>
      <c r="F2290">
        <v>0.42</v>
      </c>
      <c r="G2290">
        <v>0.42</v>
      </c>
      <c r="H2290">
        <v>0.42</v>
      </c>
      <c r="I2290" s="1">
        <v>100000</v>
      </c>
      <c r="J2290" s="1">
        <v>42000</v>
      </c>
      <c r="K2290">
        <v>1</v>
      </c>
      <c r="L2290">
        <v>0.4</v>
      </c>
      <c r="M2290">
        <v>0.42</v>
      </c>
      <c r="N2290" s="1">
        <v>5000000</v>
      </c>
      <c r="O2290">
        <v>0.42</v>
      </c>
      <c r="P2290">
        <v>1.47</v>
      </c>
      <c r="Q2290">
        <v>0.01</v>
      </c>
    </row>
    <row r="2291" spans="1:17" x14ac:dyDescent="0.25">
      <c r="A2291">
        <v>731216</v>
      </c>
      <c r="B2291" t="s">
        <v>3603</v>
      </c>
      <c r="C2291">
        <v>0.33</v>
      </c>
      <c r="D2291">
        <v>-0.02</v>
      </c>
      <c r="E2291">
        <v>0.34</v>
      </c>
      <c r="F2291">
        <v>0.34</v>
      </c>
      <c r="G2291">
        <v>0.32</v>
      </c>
      <c r="H2291">
        <v>0.34</v>
      </c>
      <c r="I2291" s="1">
        <v>324000</v>
      </c>
      <c r="J2291" s="1">
        <v>109280</v>
      </c>
      <c r="K2291">
        <v>8</v>
      </c>
      <c r="L2291">
        <v>0.33</v>
      </c>
      <c r="M2291">
        <v>0.34</v>
      </c>
      <c r="N2291" s="1">
        <v>10000000</v>
      </c>
      <c r="O2291">
        <v>0.33</v>
      </c>
      <c r="P2291">
        <v>1.1399999999999999</v>
      </c>
      <c r="Q2291">
        <v>0.01</v>
      </c>
    </row>
    <row r="2292" spans="1:17" x14ac:dyDescent="0.25">
      <c r="A2292">
        <v>731217</v>
      </c>
      <c r="B2292" t="s">
        <v>3604</v>
      </c>
      <c r="C2292" t="s">
        <v>78</v>
      </c>
      <c r="D2292" t="s">
        <v>78</v>
      </c>
      <c r="E2292" t="s">
        <v>78</v>
      </c>
      <c r="F2292" t="s">
        <v>78</v>
      </c>
      <c r="G2292" t="s">
        <v>78</v>
      </c>
      <c r="H2292">
        <v>0.1</v>
      </c>
      <c r="I2292" s="1">
        <v>0</v>
      </c>
      <c r="J2292" s="1">
        <v>0</v>
      </c>
      <c r="K2292">
        <v>0</v>
      </c>
      <c r="L2292">
        <v>0.08</v>
      </c>
      <c r="M2292">
        <v>0.1</v>
      </c>
      <c r="N2292" s="1">
        <v>5000000</v>
      </c>
      <c r="O2292">
        <v>0.1</v>
      </c>
      <c r="P2292">
        <v>0.59</v>
      </c>
      <c r="Q2292">
        <v>0.01</v>
      </c>
    </row>
    <row r="2293" spans="1:17" x14ac:dyDescent="0.25">
      <c r="A2293">
        <v>731218</v>
      </c>
      <c r="B2293" t="s">
        <v>3605</v>
      </c>
      <c r="C2293" t="s">
        <v>78</v>
      </c>
      <c r="D2293" t="s">
        <v>78</v>
      </c>
      <c r="E2293" t="s">
        <v>78</v>
      </c>
      <c r="F2293" t="s">
        <v>78</v>
      </c>
      <c r="G2293" t="s">
        <v>78</v>
      </c>
      <c r="H2293">
        <v>2.87</v>
      </c>
      <c r="I2293" s="1">
        <v>0</v>
      </c>
      <c r="J2293" s="1">
        <v>0</v>
      </c>
      <c r="K2293">
        <v>0</v>
      </c>
      <c r="L2293">
        <v>2.73</v>
      </c>
      <c r="M2293">
        <v>2.83</v>
      </c>
      <c r="N2293" s="1">
        <v>10000000</v>
      </c>
      <c r="O2293">
        <v>2.83</v>
      </c>
      <c r="P2293">
        <v>3.73</v>
      </c>
      <c r="Q2293">
        <v>1.93</v>
      </c>
    </row>
    <row r="2294" spans="1:17" x14ac:dyDescent="0.25">
      <c r="A2294">
        <v>731219</v>
      </c>
      <c r="B2294" t="s">
        <v>3606</v>
      </c>
      <c r="C2294" t="s">
        <v>78</v>
      </c>
      <c r="D2294" t="s">
        <v>78</v>
      </c>
      <c r="E2294" t="s">
        <v>78</v>
      </c>
      <c r="F2294" t="s">
        <v>78</v>
      </c>
      <c r="G2294" t="s">
        <v>78</v>
      </c>
      <c r="H2294">
        <v>3.01</v>
      </c>
      <c r="I2294" s="1">
        <v>0</v>
      </c>
      <c r="J2294" s="1">
        <v>0</v>
      </c>
      <c r="K2294">
        <v>0</v>
      </c>
      <c r="L2294">
        <v>2.84</v>
      </c>
      <c r="M2294">
        <v>2.94</v>
      </c>
      <c r="N2294" s="1">
        <v>5000000</v>
      </c>
      <c r="O2294">
        <v>2.94</v>
      </c>
      <c r="P2294">
        <v>4.17</v>
      </c>
      <c r="Q2294">
        <v>1.71</v>
      </c>
    </row>
    <row r="2295" spans="1:17" x14ac:dyDescent="0.25">
      <c r="A2295">
        <v>731220</v>
      </c>
      <c r="B2295" t="s">
        <v>3607</v>
      </c>
      <c r="C2295">
        <v>0.05</v>
      </c>
      <c r="D2295">
        <v>-0.05</v>
      </c>
      <c r="E2295">
        <v>0.02</v>
      </c>
      <c r="F2295">
        <v>0.05</v>
      </c>
      <c r="G2295">
        <v>0.02</v>
      </c>
      <c r="H2295">
        <v>0.03</v>
      </c>
      <c r="I2295" s="1">
        <v>26000</v>
      </c>
      <c r="J2295" s="1">
        <v>750</v>
      </c>
      <c r="K2295">
        <v>4</v>
      </c>
      <c r="L2295">
        <v>0.02</v>
      </c>
      <c r="M2295">
        <v>0.03</v>
      </c>
      <c r="N2295" s="1">
        <v>10000000</v>
      </c>
      <c r="O2295">
        <v>0.05</v>
      </c>
      <c r="P2295">
        <v>0.6</v>
      </c>
      <c r="Q2295">
        <v>0.01</v>
      </c>
    </row>
    <row r="2296" spans="1:17" x14ac:dyDescent="0.25">
      <c r="A2296">
        <v>731221</v>
      </c>
      <c r="B2296" t="s">
        <v>3608</v>
      </c>
      <c r="C2296" t="s">
        <v>78</v>
      </c>
      <c r="D2296" t="s">
        <v>78</v>
      </c>
      <c r="E2296" t="s">
        <v>78</v>
      </c>
      <c r="F2296" t="s">
        <v>78</v>
      </c>
      <c r="G2296" t="s">
        <v>78</v>
      </c>
      <c r="H2296">
        <v>0.14000000000000001</v>
      </c>
      <c r="I2296" s="1">
        <v>0</v>
      </c>
      <c r="J2296" s="1">
        <v>0</v>
      </c>
      <c r="K2296">
        <v>0</v>
      </c>
      <c r="L2296">
        <v>0.16</v>
      </c>
      <c r="M2296">
        <v>0.17</v>
      </c>
      <c r="N2296" s="1">
        <v>10000000</v>
      </c>
      <c r="O2296">
        <v>0.16</v>
      </c>
      <c r="P2296">
        <v>1.1100000000000001</v>
      </c>
      <c r="Q2296">
        <v>0.01</v>
      </c>
    </row>
    <row r="2297" spans="1:17" x14ac:dyDescent="0.25">
      <c r="A2297">
        <v>731222</v>
      </c>
      <c r="B2297" t="s">
        <v>3609</v>
      </c>
      <c r="C2297">
        <v>5.15</v>
      </c>
      <c r="D2297">
        <v>-0.15</v>
      </c>
      <c r="E2297">
        <v>4.96</v>
      </c>
      <c r="F2297">
        <v>5.15</v>
      </c>
      <c r="G2297">
        <v>4.96</v>
      </c>
      <c r="H2297">
        <v>5.0599999999999996</v>
      </c>
      <c r="I2297" s="1">
        <v>2000</v>
      </c>
      <c r="J2297" s="1">
        <v>10110</v>
      </c>
      <c r="K2297">
        <v>2</v>
      </c>
      <c r="L2297">
        <v>5.15</v>
      </c>
      <c r="M2297">
        <v>5.65</v>
      </c>
      <c r="N2297" s="1">
        <v>5000000</v>
      </c>
      <c r="O2297">
        <v>5.15</v>
      </c>
      <c r="P2297">
        <v>7.95</v>
      </c>
      <c r="Q2297">
        <v>2.35</v>
      </c>
    </row>
    <row r="2298" spans="1:17" x14ac:dyDescent="0.25">
      <c r="A2298">
        <v>731223</v>
      </c>
      <c r="B2298" t="s">
        <v>3610</v>
      </c>
      <c r="C2298">
        <v>0.47</v>
      </c>
      <c r="D2298">
        <v>0.01</v>
      </c>
      <c r="E2298">
        <v>0.49</v>
      </c>
      <c r="F2298">
        <v>0.49</v>
      </c>
      <c r="G2298">
        <v>0.47</v>
      </c>
      <c r="H2298">
        <v>0.48</v>
      </c>
      <c r="I2298" s="1">
        <v>400000</v>
      </c>
      <c r="J2298" s="1">
        <v>194000</v>
      </c>
      <c r="K2298">
        <v>4</v>
      </c>
      <c r="L2298">
        <v>0.47</v>
      </c>
      <c r="M2298">
        <v>0.49</v>
      </c>
      <c r="N2298" s="1">
        <v>5000000</v>
      </c>
      <c r="O2298">
        <v>0.47</v>
      </c>
      <c r="P2298">
        <v>1.29</v>
      </c>
      <c r="Q2298">
        <v>0.01</v>
      </c>
    </row>
    <row r="2299" spans="1:17" x14ac:dyDescent="0.25">
      <c r="A2299">
        <v>731224</v>
      </c>
      <c r="B2299" t="s">
        <v>3611</v>
      </c>
      <c r="C2299">
        <v>0.31</v>
      </c>
      <c r="D2299">
        <v>0.02</v>
      </c>
      <c r="E2299">
        <v>0.31</v>
      </c>
      <c r="F2299">
        <v>0.31</v>
      </c>
      <c r="G2299">
        <v>0.31</v>
      </c>
      <c r="H2299">
        <v>0.31</v>
      </c>
      <c r="I2299" s="1">
        <v>3000</v>
      </c>
      <c r="J2299" s="1">
        <v>930</v>
      </c>
      <c r="K2299">
        <v>1</v>
      </c>
      <c r="L2299">
        <v>0.28000000000000003</v>
      </c>
      <c r="M2299">
        <v>0.28999999999999998</v>
      </c>
      <c r="N2299" s="1">
        <v>10000000</v>
      </c>
      <c r="O2299">
        <v>0.31</v>
      </c>
      <c r="P2299">
        <v>1.05</v>
      </c>
      <c r="Q2299">
        <v>0.01</v>
      </c>
    </row>
    <row r="2300" spans="1:17" x14ac:dyDescent="0.25">
      <c r="A2300">
        <v>731225</v>
      </c>
      <c r="B2300" t="s">
        <v>3612</v>
      </c>
      <c r="C2300" t="s">
        <v>78</v>
      </c>
      <c r="D2300" t="s">
        <v>78</v>
      </c>
      <c r="E2300" t="s">
        <v>78</v>
      </c>
      <c r="F2300" t="s">
        <v>78</v>
      </c>
      <c r="G2300" t="s">
        <v>78</v>
      </c>
      <c r="H2300">
        <v>0.1</v>
      </c>
      <c r="I2300" s="1">
        <v>0</v>
      </c>
      <c r="J2300" s="1">
        <v>0</v>
      </c>
      <c r="K2300">
        <v>0</v>
      </c>
      <c r="L2300">
        <v>7.0000000000000007E-2</v>
      </c>
      <c r="M2300">
        <v>0.08</v>
      </c>
      <c r="N2300" s="1">
        <v>10000000</v>
      </c>
      <c r="O2300">
        <v>0.08</v>
      </c>
      <c r="P2300">
        <v>1.06</v>
      </c>
      <c r="Q2300">
        <v>0.01</v>
      </c>
    </row>
    <row r="2301" spans="1:17" x14ac:dyDescent="0.25">
      <c r="A2301">
        <v>731226</v>
      </c>
      <c r="B2301" t="s">
        <v>3613</v>
      </c>
      <c r="C2301" t="s">
        <v>78</v>
      </c>
      <c r="D2301" t="s">
        <v>78</v>
      </c>
      <c r="E2301" t="s">
        <v>78</v>
      </c>
      <c r="F2301" t="s">
        <v>78</v>
      </c>
      <c r="G2301" t="s">
        <v>78</v>
      </c>
      <c r="H2301">
        <v>0.01</v>
      </c>
      <c r="I2301" s="1">
        <v>0</v>
      </c>
      <c r="J2301" s="1">
        <v>0</v>
      </c>
      <c r="K2301">
        <v>0</v>
      </c>
      <c r="L2301">
        <v>0.01</v>
      </c>
      <c r="M2301">
        <v>0.02</v>
      </c>
      <c r="N2301" s="1">
        <v>5000000</v>
      </c>
      <c r="O2301">
        <v>0.01</v>
      </c>
      <c r="P2301">
        <v>1.37</v>
      </c>
      <c r="Q2301">
        <v>0.01</v>
      </c>
    </row>
    <row r="2302" spans="1:17" x14ac:dyDescent="0.25">
      <c r="A2302">
        <v>731227</v>
      </c>
      <c r="B2302" t="s">
        <v>3614</v>
      </c>
      <c r="C2302">
        <v>0.14000000000000001</v>
      </c>
      <c r="D2302">
        <v>0.01</v>
      </c>
      <c r="E2302">
        <v>0.11</v>
      </c>
      <c r="F2302">
        <v>0.5</v>
      </c>
      <c r="G2302">
        <v>0.09</v>
      </c>
      <c r="H2302">
        <v>0.13</v>
      </c>
      <c r="I2302" s="1">
        <v>619000</v>
      </c>
      <c r="J2302" s="1">
        <v>78850</v>
      </c>
      <c r="K2302">
        <v>42</v>
      </c>
      <c r="L2302">
        <v>0.14000000000000001</v>
      </c>
      <c r="M2302">
        <v>0.23</v>
      </c>
      <c r="N2302" s="1">
        <v>10000000</v>
      </c>
      <c r="O2302">
        <v>0.14000000000000001</v>
      </c>
      <c r="P2302">
        <v>2.38</v>
      </c>
      <c r="Q2302">
        <v>0.01</v>
      </c>
    </row>
    <row r="2303" spans="1:17" x14ac:dyDescent="0.25">
      <c r="A2303">
        <v>731228</v>
      </c>
      <c r="B2303" t="s">
        <v>3615</v>
      </c>
      <c r="C2303" t="s">
        <v>78</v>
      </c>
      <c r="D2303" t="s">
        <v>78</v>
      </c>
      <c r="E2303" t="s">
        <v>78</v>
      </c>
      <c r="F2303" t="s">
        <v>78</v>
      </c>
      <c r="G2303" t="s">
        <v>78</v>
      </c>
      <c r="H2303">
        <v>0.33</v>
      </c>
      <c r="I2303" s="1">
        <v>0</v>
      </c>
      <c r="J2303" s="1">
        <v>0</v>
      </c>
      <c r="K2303">
        <v>0</v>
      </c>
      <c r="L2303">
        <v>7.0000000000000007E-2</v>
      </c>
      <c r="M2303">
        <v>0.1</v>
      </c>
      <c r="N2303" s="1">
        <v>5000000</v>
      </c>
      <c r="O2303">
        <v>7.0000000000000007E-2</v>
      </c>
      <c r="P2303">
        <v>0.56999999999999995</v>
      </c>
      <c r="Q2303">
        <v>0.01</v>
      </c>
    </row>
    <row r="2304" spans="1:17" x14ac:dyDescent="0.25">
      <c r="A2304">
        <v>731229</v>
      </c>
      <c r="B2304" t="s">
        <v>3616</v>
      </c>
      <c r="C2304">
        <v>0.34</v>
      </c>
      <c r="D2304">
        <v>0.02</v>
      </c>
      <c r="E2304">
        <v>0.33</v>
      </c>
      <c r="F2304">
        <v>0.34</v>
      </c>
      <c r="G2304">
        <v>0.33</v>
      </c>
      <c r="H2304">
        <v>0.34</v>
      </c>
      <c r="I2304" s="1">
        <v>45000</v>
      </c>
      <c r="J2304" s="1">
        <v>15100</v>
      </c>
      <c r="K2304">
        <v>4</v>
      </c>
      <c r="L2304">
        <v>0.32</v>
      </c>
      <c r="M2304">
        <v>0.33</v>
      </c>
      <c r="N2304" s="1">
        <v>5000000</v>
      </c>
      <c r="O2304">
        <v>0.34</v>
      </c>
      <c r="P2304">
        <v>0.88</v>
      </c>
      <c r="Q2304">
        <v>0.01</v>
      </c>
    </row>
    <row r="2305" spans="1:17" x14ac:dyDescent="0.25">
      <c r="A2305">
        <v>731230</v>
      </c>
      <c r="B2305" t="s">
        <v>3617</v>
      </c>
      <c r="C2305">
        <v>0.83</v>
      </c>
      <c r="D2305">
        <v>0.01</v>
      </c>
      <c r="E2305">
        <v>0.94</v>
      </c>
      <c r="F2305">
        <v>0.94</v>
      </c>
      <c r="G2305">
        <v>0.81</v>
      </c>
      <c r="H2305">
        <v>0.89</v>
      </c>
      <c r="I2305" s="1">
        <v>90000</v>
      </c>
      <c r="J2305" s="1">
        <v>80150</v>
      </c>
      <c r="K2305">
        <v>11</v>
      </c>
      <c r="L2305">
        <v>0.86</v>
      </c>
      <c r="M2305">
        <v>0.87</v>
      </c>
      <c r="N2305" s="1">
        <v>5000000</v>
      </c>
      <c r="O2305">
        <v>0.83</v>
      </c>
      <c r="P2305">
        <v>1.85</v>
      </c>
      <c r="Q2305">
        <v>0.01</v>
      </c>
    </row>
    <row r="2306" spans="1:17" x14ac:dyDescent="0.25">
      <c r="A2306">
        <v>731231</v>
      </c>
      <c r="B2306" t="s">
        <v>3618</v>
      </c>
      <c r="C2306" t="s">
        <v>78</v>
      </c>
      <c r="D2306" t="s">
        <v>78</v>
      </c>
      <c r="E2306" t="s">
        <v>78</v>
      </c>
      <c r="F2306" t="s">
        <v>78</v>
      </c>
      <c r="G2306" t="s">
        <v>78</v>
      </c>
      <c r="H2306">
        <v>0.05</v>
      </c>
      <c r="I2306" s="1">
        <v>0</v>
      </c>
      <c r="J2306" s="1">
        <v>0</v>
      </c>
      <c r="K2306">
        <v>0</v>
      </c>
      <c r="L2306">
        <v>0.05</v>
      </c>
      <c r="M2306">
        <v>7.0000000000000007E-2</v>
      </c>
      <c r="N2306" s="1">
        <v>5000000</v>
      </c>
      <c r="O2306">
        <v>0.05</v>
      </c>
      <c r="P2306">
        <v>1</v>
      </c>
      <c r="Q2306">
        <v>0.01</v>
      </c>
    </row>
    <row r="2307" spans="1:17" x14ac:dyDescent="0.25">
      <c r="A2307">
        <v>731232</v>
      </c>
      <c r="B2307" t="s">
        <v>3619</v>
      </c>
      <c r="C2307">
        <v>0.38</v>
      </c>
      <c r="D2307">
        <v>0.01</v>
      </c>
      <c r="E2307">
        <v>0.38</v>
      </c>
      <c r="F2307">
        <v>0.38</v>
      </c>
      <c r="G2307">
        <v>0.38</v>
      </c>
      <c r="H2307">
        <v>0.38</v>
      </c>
      <c r="I2307" s="1">
        <v>16000</v>
      </c>
      <c r="J2307" s="1">
        <v>6080</v>
      </c>
      <c r="K2307">
        <v>2</v>
      </c>
      <c r="L2307">
        <v>0.34</v>
      </c>
      <c r="M2307">
        <v>0.36</v>
      </c>
      <c r="N2307" s="1">
        <v>5000000</v>
      </c>
      <c r="O2307">
        <v>0.38</v>
      </c>
      <c r="P2307">
        <v>1.01</v>
      </c>
      <c r="Q2307">
        <v>0.01</v>
      </c>
    </row>
    <row r="2308" spans="1:17" x14ac:dyDescent="0.25">
      <c r="A2308">
        <v>731233</v>
      </c>
      <c r="B2308" t="s">
        <v>3620</v>
      </c>
      <c r="C2308" t="s">
        <v>78</v>
      </c>
      <c r="D2308" t="s">
        <v>78</v>
      </c>
      <c r="E2308" t="s">
        <v>78</v>
      </c>
      <c r="F2308" t="s">
        <v>78</v>
      </c>
      <c r="G2308" t="s">
        <v>78</v>
      </c>
      <c r="H2308">
        <v>0.22</v>
      </c>
      <c r="I2308" s="1">
        <v>0</v>
      </c>
      <c r="J2308" s="1">
        <v>0</v>
      </c>
      <c r="K2308">
        <v>0</v>
      </c>
      <c r="L2308">
        <v>0.03</v>
      </c>
      <c r="M2308">
        <v>0.08</v>
      </c>
      <c r="N2308" s="1">
        <v>10000000</v>
      </c>
      <c r="O2308">
        <v>7.0000000000000007E-2</v>
      </c>
      <c r="P2308">
        <v>0.82</v>
      </c>
      <c r="Q2308">
        <v>0.01</v>
      </c>
    </row>
    <row r="2309" spans="1:17" x14ac:dyDescent="0.25">
      <c r="A2309">
        <v>731234</v>
      </c>
      <c r="B2309" t="s">
        <v>3621</v>
      </c>
      <c r="C2309">
        <v>0.97</v>
      </c>
      <c r="D2309">
        <v>-0.03</v>
      </c>
      <c r="E2309">
        <v>1.08</v>
      </c>
      <c r="F2309">
        <v>1.08</v>
      </c>
      <c r="G2309">
        <v>0.97</v>
      </c>
      <c r="H2309">
        <v>0.98</v>
      </c>
      <c r="I2309" s="1">
        <v>262000</v>
      </c>
      <c r="J2309" s="1">
        <v>257910</v>
      </c>
      <c r="K2309">
        <v>10</v>
      </c>
      <c r="L2309">
        <v>0.84</v>
      </c>
      <c r="M2309">
        <v>0.87</v>
      </c>
      <c r="N2309" s="1">
        <v>5000000</v>
      </c>
      <c r="O2309">
        <v>0.97</v>
      </c>
      <c r="P2309">
        <v>1.65</v>
      </c>
      <c r="Q2309">
        <v>0.28999999999999998</v>
      </c>
    </row>
    <row r="2310" spans="1:17" x14ac:dyDescent="0.25">
      <c r="A2310">
        <v>731235</v>
      </c>
      <c r="B2310" t="s">
        <v>3622</v>
      </c>
      <c r="C2310" t="s">
        <v>78</v>
      </c>
      <c r="D2310" t="s">
        <v>78</v>
      </c>
      <c r="E2310" t="s">
        <v>78</v>
      </c>
      <c r="F2310" t="s">
        <v>78</v>
      </c>
      <c r="G2310" t="s">
        <v>78</v>
      </c>
      <c r="H2310">
        <v>0.15</v>
      </c>
      <c r="I2310" s="1">
        <v>0</v>
      </c>
      <c r="J2310" s="1">
        <v>0</v>
      </c>
      <c r="K2310">
        <v>0</v>
      </c>
      <c r="L2310">
        <v>0.18</v>
      </c>
      <c r="M2310">
        <v>0.19</v>
      </c>
      <c r="N2310" s="1">
        <v>5000000</v>
      </c>
      <c r="O2310">
        <v>0.19</v>
      </c>
      <c r="P2310">
        <v>0.84</v>
      </c>
      <c r="Q2310">
        <v>0.01</v>
      </c>
    </row>
    <row r="2311" spans="1:17" x14ac:dyDescent="0.25">
      <c r="A2311">
        <v>731236</v>
      </c>
      <c r="B2311" t="s">
        <v>3623</v>
      </c>
      <c r="C2311">
        <v>0.27</v>
      </c>
      <c r="D2311">
        <v>0</v>
      </c>
      <c r="E2311">
        <v>0.27</v>
      </c>
      <c r="F2311">
        <v>0.27</v>
      </c>
      <c r="G2311">
        <v>0.27</v>
      </c>
      <c r="H2311">
        <v>0.27</v>
      </c>
      <c r="I2311" s="1">
        <v>200000</v>
      </c>
      <c r="J2311" s="1">
        <v>54000</v>
      </c>
      <c r="K2311">
        <v>1</v>
      </c>
      <c r="L2311">
        <v>0.26</v>
      </c>
      <c r="M2311">
        <v>0.27</v>
      </c>
      <c r="N2311" s="1">
        <v>5000000</v>
      </c>
      <c r="O2311">
        <v>0.27</v>
      </c>
      <c r="P2311">
        <v>0.98</v>
      </c>
      <c r="Q2311">
        <v>0.01</v>
      </c>
    </row>
    <row r="2312" spans="1:17" x14ac:dyDescent="0.25">
      <c r="A2312">
        <v>731237</v>
      </c>
      <c r="B2312" t="s">
        <v>3624</v>
      </c>
      <c r="C2312" t="s">
        <v>78</v>
      </c>
      <c r="D2312" t="s">
        <v>78</v>
      </c>
      <c r="E2312" t="s">
        <v>78</v>
      </c>
      <c r="F2312" t="s">
        <v>78</v>
      </c>
      <c r="G2312" t="s">
        <v>78</v>
      </c>
      <c r="H2312">
        <v>0.51</v>
      </c>
      <c r="I2312" s="1">
        <v>0</v>
      </c>
      <c r="J2312" s="1">
        <v>0</v>
      </c>
      <c r="K2312">
        <v>0</v>
      </c>
      <c r="L2312">
        <v>0.25</v>
      </c>
      <c r="M2312">
        <v>0.26</v>
      </c>
      <c r="N2312" s="1">
        <v>10000000</v>
      </c>
      <c r="O2312">
        <v>0.25</v>
      </c>
      <c r="P2312">
        <v>0.89</v>
      </c>
      <c r="Q2312">
        <v>0.01</v>
      </c>
    </row>
    <row r="2313" spans="1:17" x14ac:dyDescent="0.25">
      <c r="A2313">
        <v>731238</v>
      </c>
      <c r="B2313" t="s">
        <v>3625</v>
      </c>
      <c r="C2313">
        <v>1.39</v>
      </c>
      <c r="D2313">
        <v>0.08</v>
      </c>
      <c r="E2313">
        <v>1.48</v>
      </c>
      <c r="F2313">
        <v>1.48</v>
      </c>
      <c r="G2313">
        <v>1.31</v>
      </c>
      <c r="H2313">
        <v>1.38</v>
      </c>
      <c r="I2313" s="1">
        <v>586000</v>
      </c>
      <c r="J2313" s="1">
        <v>809750</v>
      </c>
      <c r="K2313">
        <v>31</v>
      </c>
      <c r="L2313">
        <v>1.39</v>
      </c>
      <c r="M2313">
        <v>1.41</v>
      </c>
      <c r="N2313" s="1">
        <v>5000000</v>
      </c>
      <c r="O2313">
        <v>1.39</v>
      </c>
      <c r="P2313">
        <v>2.54</v>
      </c>
      <c r="Q2313">
        <v>0.24</v>
      </c>
    </row>
    <row r="2314" spans="1:17" x14ac:dyDescent="0.25">
      <c r="A2314">
        <v>731239</v>
      </c>
      <c r="B2314" t="s">
        <v>3626</v>
      </c>
      <c r="C2314">
        <v>0.05</v>
      </c>
      <c r="D2314">
        <v>-7.0000000000000007E-2</v>
      </c>
      <c r="E2314">
        <v>0.05</v>
      </c>
      <c r="F2314">
        <v>0.05</v>
      </c>
      <c r="G2314">
        <v>0.05</v>
      </c>
      <c r="H2314">
        <v>0.05</v>
      </c>
      <c r="I2314" s="1">
        <v>30000</v>
      </c>
      <c r="J2314" s="1">
        <v>1500</v>
      </c>
      <c r="K2314">
        <v>1</v>
      </c>
      <c r="L2314">
        <v>0.04</v>
      </c>
      <c r="M2314">
        <v>0.13</v>
      </c>
      <c r="N2314" s="1">
        <v>5000000</v>
      </c>
      <c r="O2314">
        <v>0.05</v>
      </c>
      <c r="P2314">
        <v>0.59</v>
      </c>
      <c r="Q2314">
        <v>0.01</v>
      </c>
    </row>
    <row r="2315" spans="1:17" x14ac:dyDescent="0.25">
      <c r="A2315">
        <v>731240</v>
      </c>
      <c r="B2315" t="s">
        <v>3627</v>
      </c>
      <c r="C2315">
        <v>1.97</v>
      </c>
      <c r="D2315">
        <v>7.0000000000000007E-2</v>
      </c>
      <c r="E2315">
        <v>2.1</v>
      </c>
      <c r="F2315">
        <v>2.1</v>
      </c>
      <c r="G2315">
        <v>1.97</v>
      </c>
      <c r="H2315">
        <v>2.04</v>
      </c>
      <c r="I2315" s="1">
        <v>50000</v>
      </c>
      <c r="J2315" s="1">
        <v>102140</v>
      </c>
      <c r="K2315">
        <v>9</v>
      </c>
      <c r="L2315">
        <v>1.77</v>
      </c>
      <c r="M2315">
        <v>1.87</v>
      </c>
      <c r="N2315" s="1">
        <v>5000000</v>
      </c>
      <c r="O2315">
        <v>1.97</v>
      </c>
      <c r="P2315">
        <v>2.87</v>
      </c>
      <c r="Q2315">
        <v>1.07</v>
      </c>
    </row>
    <row r="2316" spans="1:17" x14ac:dyDescent="0.25">
      <c r="A2316">
        <v>731241</v>
      </c>
      <c r="B2316" t="s">
        <v>3628</v>
      </c>
      <c r="C2316" t="s">
        <v>78</v>
      </c>
      <c r="D2316" t="s">
        <v>78</v>
      </c>
      <c r="E2316" t="s">
        <v>78</v>
      </c>
      <c r="F2316" t="s">
        <v>78</v>
      </c>
      <c r="G2316" t="s">
        <v>78</v>
      </c>
      <c r="H2316">
        <v>4.3499999999999996</v>
      </c>
      <c r="I2316" s="1">
        <v>0</v>
      </c>
      <c r="J2316" s="1">
        <v>0</v>
      </c>
      <c r="K2316">
        <v>0</v>
      </c>
      <c r="L2316">
        <v>3.38</v>
      </c>
      <c r="M2316">
        <v>3.48</v>
      </c>
      <c r="N2316" s="1">
        <v>5000000</v>
      </c>
      <c r="O2316">
        <v>3.38</v>
      </c>
      <c r="P2316">
        <v>4.84</v>
      </c>
      <c r="Q2316">
        <v>1.92</v>
      </c>
    </row>
    <row r="2317" spans="1:17" x14ac:dyDescent="0.25">
      <c r="A2317">
        <v>731242</v>
      </c>
      <c r="B2317" t="s">
        <v>3629</v>
      </c>
      <c r="C2317" t="s">
        <v>78</v>
      </c>
      <c r="D2317" t="s">
        <v>78</v>
      </c>
      <c r="E2317" t="s">
        <v>78</v>
      </c>
      <c r="F2317" t="s">
        <v>78</v>
      </c>
      <c r="G2317" t="s">
        <v>78</v>
      </c>
      <c r="H2317">
        <v>3.85</v>
      </c>
      <c r="I2317" s="1">
        <v>0</v>
      </c>
      <c r="J2317" s="1">
        <v>0</v>
      </c>
      <c r="K2317">
        <v>0</v>
      </c>
      <c r="L2317">
        <v>3.42</v>
      </c>
      <c r="M2317">
        <v>3.52</v>
      </c>
      <c r="N2317" s="1">
        <v>5000000</v>
      </c>
      <c r="O2317">
        <v>3.52</v>
      </c>
      <c r="P2317">
        <v>5</v>
      </c>
      <c r="Q2317">
        <v>1.97</v>
      </c>
    </row>
    <row r="2318" spans="1:17" x14ac:dyDescent="0.25">
      <c r="A2318">
        <v>731243</v>
      </c>
      <c r="B2318" t="s">
        <v>3630</v>
      </c>
      <c r="C2318" t="s">
        <v>78</v>
      </c>
      <c r="D2318" t="s">
        <v>78</v>
      </c>
      <c r="E2318" t="s">
        <v>78</v>
      </c>
      <c r="F2318" t="s">
        <v>78</v>
      </c>
      <c r="G2318" t="s">
        <v>78</v>
      </c>
      <c r="H2318">
        <v>0.16</v>
      </c>
      <c r="I2318" s="1">
        <v>0</v>
      </c>
      <c r="J2318" s="1">
        <v>0</v>
      </c>
      <c r="K2318">
        <v>0</v>
      </c>
      <c r="L2318">
        <v>0.1</v>
      </c>
      <c r="M2318">
        <v>0.12</v>
      </c>
      <c r="N2318" s="1">
        <v>5000000</v>
      </c>
      <c r="O2318">
        <v>0.12</v>
      </c>
      <c r="P2318">
        <v>0.71</v>
      </c>
      <c r="Q2318">
        <v>0.01</v>
      </c>
    </row>
    <row r="2319" spans="1:17" x14ac:dyDescent="0.25">
      <c r="A2319">
        <v>731244</v>
      </c>
      <c r="B2319" t="s">
        <v>3631</v>
      </c>
      <c r="C2319">
        <v>0.09</v>
      </c>
      <c r="D2319">
        <v>-0.01</v>
      </c>
      <c r="E2319">
        <v>0.09</v>
      </c>
      <c r="F2319">
        <v>0.1</v>
      </c>
      <c r="G2319">
        <v>0.09</v>
      </c>
      <c r="H2319">
        <v>0.09</v>
      </c>
      <c r="I2319" s="1">
        <v>425000</v>
      </c>
      <c r="J2319" s="1">
        <v>38350</v>
      </c>
      <c r="K2319">
        <v>11</v>
      </c>
      <c r="L2319">
        <v>0.08</v>
      </c>
      <c r="M2319">
        <v>0.09</v>
      </c>
      <c r="N2319" s="1">
        <v>10000000</v>
      </c>
      <c r="O2319">
        <v>0.09</v>
      </c>
      <c r="P2319">
        <v>0.34</v>
      </c>
      <c r="Q2319">
        <v>0.01</v>
      </c>
    </row>
    <row r="2320" spans="1:17" x14ac:dyDescent="0.25">
      <c r="A2320">
        <v>731245</v>
      </c>
      <c r="B2320" t="s">
        <v>3632</v>
      </c>
      <c r="C2320" t="s">
        <v>78</v>
      </c>
      <c r="D2320" t="s">
        <v>78</v>
      </c>
      <c r="E2320" t="s">
        <v>78</v>
      </c>
      <c r="F2320" t="s">
        <v>78</v>
      </c>
      <c r="G2320" t="s">
        <v>78</v>
      </c>
      <c r="H2320">
        <v>0.13</v>
      </c>
      <c r="I2320" s="1">
        <v>0</v>
      </c>
      <c r="J2320" s="1">
        <v>0</v>
      </c>
      <c r="K2320">
        <v>0</v>
      </c>
      <c r="L2320">
        <v>0.02</v>
      </c>
      <c r="M2320">
        <v>0.03</v>
      </c>
      <c r="N2320" s="1">
        <v>5000000</v>
      </c>
      <c r="O2320">
        <v>0.02</v>
      </c>
      <c r="P2320">
        <v>0.52</v>
      </c>
      <c r="Q2320">
        <v>0.01</v>
      </c>
    </row>
    <row r="2321" spans="1:17" x14ac:dyDescent="0.25">
      <c r="A2321">
        <v>731246</v>
      </c>
      <c r="B2321" t="s">
        <v>3633</v>
      </c>
      <c r="C2321" t="s">
        <v>78</v>
      </c>
      <c r="D2321" t="s">
        <v>78</v>
      </c>
      <c r="E2321" t="s">
        <v>78</v>
      </c>
      <c r="F2321" t="s">
        <v>78</v>
      </c>
      <c r="G2321" t="s">
        <v>78</v>
      </c>
      <c r="H2321">
        <v>5.7</v>
      </c>
      <c r="I2321" s="1">
        <v>0</v>
      </c>
      <c r="J2321" s="1">
        <v>0</v>
      </c>
      <c r="K2321">
        <v>0</v>
      </c>
      <c r="L2321">
        <v>6.4</v>
      </c>
      <c r="M2321">
        <v>6.65</v>
      </c>
      <c r="N2321" s="1">
        <v>5000000</v>
      </c>
      <c r="O2321">
        <v>6.65</v>
      </c>
      <c r="P2321">
        <v>9.5500000000000007</v>
      </c>
      <c r="Q2321">
        <v>3.65</v>
      </c>
    </row>
    <row r="2322" spans="1:17" x14ac:dyDescent="0.25">
      <c r="A2322">
        <v>731247</v>
      </c>
      <c r="B2322" t="s">
        <v>3634</v>
      </c>
      <c r="C2322" t="s">
        <v>78</v>
      </c>
      <c r="D2322" t="s">
        <v>78</v>
      </c>
      <c r="E2322" t="s">
        <v>78</v>
      </c>
      <c r="F2322" t="s">
        <v>78</v>
      </c>
      <c r="G2322" t="s">
        <v>78</v>
      </c>
      <c r="H2322">
        <v>0.06</v>
      </c>
      <c r="I2322" s="1">
        <v>0</v>
      </c>
      <c r="J2322" s="1">
        <v>0</v>
      </c>
      <c r="K2322">
        <v>0</v>
      </c>
      <c r="L2322">
        <v>0.06</v>
      </c>
      <c r="M2322">
        <v>0.08</v>
      </c>
      <c r="N2322" s="1">
        <v>10000000</v>
      </c>
      <c r="O2322">
        <v>0.06</v>
      </c>
      <c r="P2322">
        <v>0.89</v>
      </c>
      <c r="Q2322">
        <v>0.01</v>
      </c>
    </row>
    <row r="2323" spans="1:17" x14ac:dyDescent="0.25">
      <c r="A2323">
        <v>731248</v>
      </c>
      <c r="B2323" t="s">
        <v>3635</v>
      </c>
      <c r="C2323" t="s">
        <v>78</v>
      </c>
      <c r="D2323" t="s">
        <v>78</v>
      </c>
      <c r="E2323" t="s">
        <v>78</v>
      </c>
      <c r="F2323" t="s">
        <v>78</v>
      </c>
      <c r="G2323" t="s">
        <v>78</v>
      </c>
      <c r="H2323">
        <v>6.19</v>
      </c>
      <c r="I2323" s="1">
        <v>0</v>
      </c>
      <c r="J2323" s="1">
        <v>0</v>
      </c>
      <c r="K2323">
        <v>0</v>
      </c>
      <c r="L2323">
        <v>7.05</v>
      </c>
      <c r="M2323">
        <v>0</v>
      </c>
      <c r="N2323" s="1">
        <v>5000000</v>
      </c>
      <c r="O2323">
        <v>7.5</v>
      </c>
      <c r="P2323">
        <v>9.65</v>
      </c>
      <c r="Q2323">
        <v>5.3</v>
      </c>
    </row>
    <row r="2324" spans="1:17" x14ac:dyDescent="0.25">
      <c r="A2324">
        <v>731249</v>
      </c>
      <c r="B2324" t="s">
        <v>3636</v>
      </c>
      <c r="C2324" t="s">
        <v>78</v>
      </c>
      <c r="D2324" t="s">
        <v>78</v>
      </c>
      <c r="E2324" t="s">
        <v>78</v>
      </c>
      <c r="F2324" t="s">
        <v>78</v>
      </c>
      <c r="G2324" t="s">
        <v>78</v>
      </c>
      <c r="H2324">
        <v>5.35</v>
      </c>
      <c r="I2324" s="1">
        <v>0</v>
      </c>
      <c r="J2324" s="1">
        <v>0</v>
      </c>
      <c r="K2324">
        <v>0</v>
      </c>
      <c r="L2324">
        <v>0</v>
      </c>
      <c r="M2324">
        <v>0</v>
      </c>
      <c r="N2324" s="1">
        <v>5000000</v>
      </c>
      <c r="O2324">
        <v>6.9</v>
      </c>
      <c r="P2324">
        <v>8.3000000000000007</v>
      </c>
      <c r="Q2324">
        <v>5.5</v>
      </c>
    </row>
    <row r="2325" spans="1:17" x14ac:dyDescent="0.25">
      <c r="A2325">
        <v>731250</v>
      </c>
      <c r="B2325" t="s">
        <v>3637</v>
      </c>
      <c r="C2325">
        <v>0.24</v>
      </c>
      <c r="D2325">
        <v>-0.01</v>
      </c>
      <c r="E2325">
        <v>0.24</v>
      </c>
      <c r="F2325">
        <v>0.24</v>
      </c>
      <c r="G2325">
        <v>0.24</v>
      </c>
      <c r="H2325">
        <v>0.24</v>
      </c>
      <c r="I2325" s="1">
        <v>4000</v>
      </c>
      <c r="J2325" s="1">
        <v>960</v>
      </c>
      <c r="K2325">
        <v>1</v>
      </c>
      <c r="L2325">
        <v>0.24</v>
      </c>
      <c r="M2325">
        <v>0.25</v>
      </c>
      <c r="N2325" s="1">
        <v>5000000</v>
      </c>
      <c r="O2325">
        <v>0.24</v>
      </c>
      <c r="P2325">
        <v>1.05</v>
      </c>
      <c r="Q2325">
        <v>0.01</v>
      </c>
    </row>
    <row r="2326" spans="1:17" x14ac:dyDescent="0.25">
      <c r="A2326">
        <v>731251</v>
      </c>
      <c r="B2326" t="s">
        <v>3638</v>
      </c>
      <c r="C2326">
        <v>0.26</v>
      </c>
      <c r="D2326">
        <v>0.03</v>
      </c>
      <c r="E2326">
        <v>0.22</v>
      </c>
      <c r="F2326">
        <v>0.26</v>
      </c>
      <c r="G2326">
        <v>0.22</v>
      </c>
      <c r="H2326">
        <v>0.25</v>
      </c>
      <c r="I2326" s="1">
        <v>70000</v>
      </c>
      <c r="J2326" s="1">
        <v>17600</v>
      </c>
      <c r="K2326">
        <v>5</v>
      </c>
      <c r="L2326">
        <v>0.22</v>
      </c>
      <c r="M2326">
        <v>0.26</v>
      </c>
      <c r="N2326" s="1">
        <v>5000000</v>
      </c>
      <c r="O2326">
        <v>0.26</v>
      </c>
      <c r="P2326">
        <v>1.19</v>
      </c>
      <c r="Q2326">
        <v>0.01</v>
      </c>
    </row>
    <row r="2327" spans="1:17" x14ac:dyDescent="0.25">
      <c r="A2327">
        <v>731252</v>
      </c>
      <c r="B2327" t="s">
        <v>3639</v>
      </c>
      <c r="C2327" t="s">
        <v>78</v>
      </c>
      <c r="D2327" t="s">
        <v>78</v>
      </c>
      <c r="E2327" t="s">
        <v>78</v>
      </c>
      <c r="F2327" t="s">
        <v>78</v>
      </c>
      <c r="G2327" t="s">
        <v>78</v>
      </c>
      <c r="H2327">
        <v>0.27</v>
      </c>
      <c r="I2327" s="1">
        <v>0</v>
      </c>
      <c r="J2327" s="1">
        <v>0</v>
      </c>
      <c r="K2327">
        <v>0</v>
      </c>
      <c r="L2327">
        <v>0.27</v>
      </c>
      <c r="M2327">
        <v>0.28000000000000003</v>
      </c>
      <c r="N2327" s="1">
        <v>10000000</v>
      </c>
      <c r="O2327">
        <v>0.27</v>
      </c>
      <c r="P2327">
        <v>0.98</v>
      </c>
      <c r="Q2327">
        <v>0.01</v>
      </c>
    </row>
    <row r="2328" spans="1:17" x14ac:dyDescent="0.25">
      <c r="A2328">
        <v>731253</v>
      </c>
      <c r="B2328" t="s">
        <v>3640</v>
      </c>
      <c r="C2328">
        <v>2.65</v>
      </c>
      <c r="D2328">
        <v>0.14000000000000001</v>
      </c>
      <c r="E2328">
        <v>2.72</v>
      </c>
      <c r="F2328">
        <v>2.72</v>
      </c>
      <c r="G2328">
        <v>2.65</v>
      </c>
      <c r="H2328">
        <v>2.68</v>
      </c>
      <c r="I2328" s="1">
        <v>2000</v>
      </c>
      <c r="J2328" s="1">
        <v>5370</v>
      </c>
      <c r="K2328">
        <v>2</v>
      </c>
      <c r="L2328">
        <v>2.4700000000000002</v>
      </c>
      <c r="M2328">
        <v>2.57</v>
      </c>
      <c r="N2328" s="1">
        <v>5000000</v>
      </c>
      <c r="O2328">
        <v>2.65</v>
      </c>
      <c r="P2328">
        <v>3.89</v>
      </c>
      <c r="Q2328">
        <v>1.41</v>
      </c>
    </row>
    <row r="2329" spans="1:17" x14ac:dyDescent="0.25">
      <c r="A2329">
        <v>731254</v>
      </c>
      <c r="B2329" t="s">
        <v>3641</v>
      </c>
      <c r="C2329" t="s">
        <v>78</v>
      </c>
      <c r="D2329" t="s">
        <v>78</v>
      </c>
      <c r="E2329" t="s">
        <v>78</v>
      </c>
      <c r="F2329" t="s">
        <v>78</v>
      </c>
      <c r="G2329" t="s">
        <v>78</v>
      </c>
      <c r="H2329">
        <v>0.02</v>
      </c>
      <c r="I2329" s="1">
        <v>0</v>
      </c>
      <c r="J2329" s="1">
        <v>0</v>
      </c>
      <c r="K2329">
        <v>0</v>
      </c>
      <c r="L2329">
        <v>0</v>
      </c>
      <c r="M2329">
        <v>0.02</v>
      </c>
      <c r="N2329" s="1">
        <v>5000000</v>
      </c>
      <c r="O2329">
        <v>0.02</v>
      </c>
      <c r="P2329">
        <v>0.35</v>
      </c>
      <c r="Q2329">
        <v>0.01</v>
      </c>
    </row>
    <row r="2330" spans="1:17" x14ac:dyDescent="0.25">
      <c r="A2330">
        <v>731255</v>
      </c>
      <c r="B2330" t="s">
        <v>3642</v>
      </c>
      <c r="C2330" t="s">
        <v>78</v>
      </c>
      <c r="D2330" t="s">
        <v>78</v>
      </c>
      <c r="E2330" t="s">
        <v>78</v>
      </c>
      <c r="F2330" t="s">
        <v>78</v>
      </c>
      <c r="G2330" t="s">
        <v>78</v>
      </c>
      <c r="H2330">
        <v>0.05</v>
      </c>
      <c r="I2330" s="1">
        <v>0</v>
      </c>
      <c r="J2330" s="1">
        <v>0</v>
      </c>
      <c r="K2330">
        <v>0</v>
      </c>
      <c r="L2330">
        <v>0.01</v>
      </c>
      <c r="M2330">
        <v>0.02</v>
      </c>
      <c r="N2330" s="1">
        <v>10000000</v>
      </c>
      <c r="O2330">
        <v>0.02</v>
      </c>
      <c r="P2330">
        <v>0.65</v>
      </c>
      <c r="Q2330">
        <v>0.01</v>
      </c>
    </row>
    <row r="2331" spans="1:17" x14ac:dyDescent="0.25">
      <c r="A2331">
        <v>731256</v>
      </c>
      <c r="B2331" t="s">
        <v>3643</v>
      </c>
      <c r="C2331">
        <v>0.22</v>
      </c>
      <c r="D2331">
        <v>0</v>
      </c>
      <c r="E2331">
        <v>0.22</v>
      </c>
      <c r="F2331">
        <v>0.22</v>
      </c>
      <c r="G2331">
        <v>0.22</v>
      </c>
      <c r="H2331">
        <v>0.22</v>
      </c>
      <c r="I2331" s="1">
        <v>5000</v>
      </c>
      <c r="J2331" s="1">
        <v>1100</v>
      </c>
      <c r="K2331">
        <v>1</v>
      </c>
      <c r="L2331">
        <v>0.22</v>
      </c>
      <c r="M2331">
        <v>0.23</v>
      </c>
      <c r="N2331" s="1">
        <v>10000000</v>
      </c>
      <c r="O2331">
        <v>0.22</v>
      </c>
      <c r="P2331">
        <v>0.86</v>
      </c>
      <c r="Q2331">
        <v>0.01</v>
      </c>
    </row>
    <row r="2332" spans="1:17" x14ac:dyDescent="0.25">
      <c r="A2332">
        <v>731257</v>
      </c>
      <c r="B2332" t="s">
        <v>3644</v>
      </c>
      <c r="C2332" t="s">
        <v>78</v>
      </c>
      <c r="D2332" t="s">
        <v>78</v>
      </c>
      <c r="E2332" t="s">
        <v>78</v>
      </c>
      <c r="F2332" t="s">
        <v>78</v>
      </c>
      <c r="G2332" t="s">
        <v>78</v>
      </c>
      <c r="H2332">
        <v>3.91</v>
      </c>
      <c r="I2332" s="1">
        <v>0</v>
      </c>
      <c r="J2332" s="1">
        <v>0</v>
      </c>
      <c r="K2332">
        <v>0</v>
      </c>
      <c r="L2332">
        <v>2.98</v>
      </c>
      <c r="M2332">
        <v>3.08</v>
      </c>
      <c r="N2332" s="1">
        <v>5000000</v>
      </c>
      <c r="O2332">
        <v>2.98</v>
      </c>
      <c r="P2332">
        <v>4</v>
      </c>
      <c r="Q2332">
        <v>1.96</v>
      </c>
    </row>
    <row r="2333" spans="1:17" x14ac:dyDescent="0.25">
      <c r="A2333">
        <v>731258</v>
      </c>
      <c r="B2333" t="s">
        <v>3645</v>
      </c>
      <c r="C2333" t="s">
        <v>78</v>
      </c>
      <c r="D2333" t="s">
        <v>78</v>
      </c>
      <c r="E2333" t="s">
        <v>78</v>
      </c>
      <c r="F2333" t="s">
        <v>78</v>
      </c>
      <c r="G2333" t="s">
        <v>78</v>
      </c>
      <c r="H2333">
        <v>0.14000000000000001</v>
      </c>
      <c r="I2333" s="1">
        <v>0</v>
      </c>
      <c r="J2333" s="1">
        <v>0</v>
      </c>
      <c r="K2333">
        <v>0</v>
      </c>
      <c r="L2333">
        <v>0.13</v>
      </c>
      <c r="M2333">
        <v>0.14000000000000001</v>
      </c>
      <c r="N2333" s="1">
        <v>5000000</v>
      </c>
      <c r="O2333">
        <v>0.14000000000000001</v>
      </c>
      <c r="P2333">
        <v>0.45</v>
      </c>
      <c r="Q2333">
        <v>0.01</v>
      </c>
    </row>
    <row r="2334" spans="1:17" x14ac:dyDescent="0.25">
      <c r="A2334">
        <v>731259</v>
      </c>
      <c r="B2334" t="s">
        <v>3646</v>
      </c>
      <c r="C2334">
        <v>0.53</v>
      </c>
      <c r="D2334">
        <v>0.03</v>
      </c>
      <c r="E2334">
        <v>0.53</v>
      </c>
      <c r="F2334">
        <v>0.53</v>
      </c>
      <c r="G2334">
        <v>0.48</v>
      </c>
      <c r="H2334">
        <v>0.51</v>
      </c>
      <c r="I2334" s="1">
        <v>570000</v>
      </c>
      <c r="J2334" s="1">
        <v>292350</v>
      </c>
      <c r="K2334">
        <v>12</v>
      </c>
      <c r="L2334">
        <v>0.51</v>
      </c>
      <c r="M2334">
        <v>0.52</v>
      </c>
      <c r="N2334" s="1">
        <v>5000000</v>
      </c>
      <c r="O2334">
        <v>0.53</v>
      </c>
      <c r="P2334">
        <v>1.24</v>
      </c>
      <c r="Q2334">
        <v>0.01</v>
      </c>
    </row>
    <row r="2335" spans="1:17" x14ac:dyDescent="0.25">
      <c r="A2335">
        <v>731260</v>
      </c>
      <c r="B2335" t="s">
        <v>3647</v>
      </c>
      <c r="C2335" t="s">
        <v>78</v>
      </c>
      <c r="D2335" t="s">
        <v>78</v>
      </c>
      <c r="E2335" t="s">
        <v>78</v>
      </c>
      <c r="F2335" t="s">
        <v>78</v>
      </c>
      <c r="G2335" t="s">
        <v>78</v>
      </c>
      <c r="H2335">
        <v>0.1</v>
      </c>
      <c r="I2335" s="1">
        <v>0</v>
      </c>
      <c r="J2335" s="1">
        <v>0</v>
      </c>
      <c r="K2335">
        <v>0</v>
      </c>
      <c r="L2335">
        <v>7.0000000000000007E-2</v>
      </c>
      <c r="M2335">
        <v>0.15</v>
      </c>
      <c r="N2335" s="1">
        <v>12500000</v>
      </c>
      <c r="O2335">
        <v>0.1</v>
      </c>
      <c r="P2335">
        <v>0.65</v>
      </c>
      <c r="Q2335">
        <v>0.01</v>
      </c>
    </row>
    <row r="2336" spans="1:17" x14ac:dyDescent="0.25">
      <c r="A2336">
        <v>731261</v>
      </c>
      <c r="B2336" t="s">
        <v>3648</v>
      </c>
      <c r="C2336" t="s">
        <v>78</v>
      </c>
      <c r="D2336" t="s">
        <v>78</v>
      </c>
      <c r="E2336" t="s">
        <v>78</v>
      </c>
      <c r="F2336" t="s">
        <v>78</v>
      </c>
      <c r="G2336" t="s">
        <v>78</v>
      </c>
      <c r="H2336">
        <v>0.1</v>
      </c>
      <c r="I2336" s="1">
        <v>0</v>
      </c>
      <c r="J2336" s="1">
        <v>0</v>
      </c>
      <c r="K2336">
        <v>0</v>
      </c>
      <c r="L2336">
        <v>0.12</v>
      </c>
      <c r="M2336">
        <v>0.13</v>
      </c>
      <c r="N2336" s="1">
        <v>10000000</v>
      </c>
      <c r="O2336">
        <v>0.12</v>
      </c>
      <c r="P2336">
        <v>0.73</v>
      </c>
      <c r="Q2336">
        <v>0.01</v>
      </c>
    </row>
    <row r="2337" spans="1:17" x14ac:dyDescent="0.25">
      <c r="A2337">
        <v>731262</v>
      </c>
      <c r="B2337" t="s">
        <v>3649</v>
      </c>
      <c r="C2337">
        <v>0.12</v>
      </c>
      <c r="D2337">
        <v>0.02</v>
      </c>
      <c r="E2337">
        <v>0.11</v>
      </c>
      <c r="F2337">
        <v>0.12</v>
      </c>
      <c r="G2337">
        <v>0.08</v>
      </c>
      <c r="H2337">
        <v>0.09</v>
      </c>
      <c r="I2337" s="1">
        <v>9000</v>
      </c>
      <c r="J2337" s="1">
        <v>820</v>
      </c>
      <c r="K2337">
        <v>4</v>
      </c>
      <c r="L2337">
        <v>0.08</v>
      </c>
      <c r="M2337">
        <v>0.12</v>
      </c>
      <c r="N2337" s="1">
        <v>10000000</v>
      </c>
      <c r="O2337">
        <v>0.12</v>
      </c>
      <c r="P2337">
        <v>0.45</v>
      </c>
      <c r="Q2337">
        <v>0.01</v>
      </c>
    </row>
    <row r="2338" spans="1:17" x14ac:dyDescent="0.25">
      <c r="A2338">
        <v>731263</v>
      </c>
      <c r="B2338" t="s">
        <v>3650</v>
      </c>
      <c r="C2338" t="s">
        <v>78</v>
      </c>
      <c r="D2338" t="s">
        <v>78</v>
      </c>
      <c r="E2338" t="s">
        <v>78</v>
      </c>
      <c r="F2338" t="s">
        <v>78</v>
      </c>
      <c r="G2338" t="s">
        <v>78</v>
      </c>
      <c r="H2338">
        <v>1.58</v>
      </c>
      <c r="I2338" s="1">
        <v>0</v>
      </c>
      <c r="J2338" s="1">
        <v>0</v>
      </c>
      <c r="K2338">
        <v>0</v>
      </c>
      <c r="L2338">
        <v>1.44</v>
      </c>
      <c r="M2338">
        <v>1.51</v>
      </c>
      <c r="N2338" s="1">
        <v>10000000</v>
      </c>
      <c r="O2338">
        <v>1.45</v>
      </c>
      <c r="P2338">
        <v>2.3199999999999998</v>
      </c>
      <c r="Q2338">
        <v>0.57999999999999996</v>
      </c>
    </row>
    <row r="2339" spans="1:17" x14ac:dyDescent="0.25">
      <c r="A2339">
        <v>731264</v>
      </c>
      <c r="B2339" t="s">
        <v>3651</v>
      </c>
      <c r="C2339">
        <v>0.08</v>
      </c>
      <c r="D2339">
        <v>-7.0000000000000007E-2</v>
      </c>
      <c r="E2339">
        <v>0.1</v>
      </c>
      <c r="F2339">
        <v>0.1</v>
      </c>
      <c r="G2339">
        <v>0.08</v>
      </c>
      <c r="H2339">
        <v>0.09</v>
      </c>
      <c r="I2339" s="1">
        <v>105000</v>
      </c>
      <c r="J2339" s="1">
        <v>9100</v>
      </c>
      <c r="K2339">
        <v>9</v>
      </c>
      <c r="L2339">
        <v>7.0000000000000007E-2</v>
      </c>
      <c r="M2339">
        <v>0.08</v>
      </c>
      <c r="N2339" s="1">
        <v>5000000</v>
      </c>
      <c r="O2339">
        <v>0.08</v>
      </c>
      <c r="P2339">
        <v>0.94</v>
      </c>
      <c r="Q2339">
        <v>0.01</v>
      </c>
    </row>
    <row r="2340" spans="1:17" x14ac:dyDescent="0.25">
      <c r="A2340">
        <v>731265</v>
      </c>
      <c r="B2340" t="s">
        <v>3652</v>
      </c>
      <c r="C2340">
        <v>7.0000000000000007E-2</v>
      </c>
      <c r="D2340">
        <v>-0.02</v>
      </c>
      <c r="E2340">
        <v>7.0000000000000007E-2</v>
      </c>
      <c r="F2340">
        <v>7.0000000000000007E-2</v>
      </c>
      <c r="G2340">
        <v>7.0000000000000007E-2</v>
      </c>
      <c r="H2340">
        <v>7.0000000000000007E-2</v>
      </c>
      <c r="I2340" s="1">
        <v>105000</v>
      </c>
      <c r="J2340" s="1">
        <v>7350</v>
      </c>
      <c r="K2340">
        <v>2</v>
      </c>
      <c r="L2340">
        <v>0.06</v>
      </c>
      <c r="M2340">
        <v>7.0000000000000007E-2</v>
      </c>
      <c r="N2340" s="1">
        <v>10000000</v>
      </c>
      <c r="O2340">
        <v>7.0000000000000007E-2</v>
      </c>
      <c r="P2340">
        <v>0.73</v>
      </c>
      <c r="Q2340">
        <v>0.01</v>
      </c>
    </row>
    <row r="2341" spans="1:17" x14ac:dyDescent="0.25">
      <c r="A2341">
        <v>731266</v>
      </c>
      <c r="B2341" t="s">
        <v>3653</v>
      </c>
      <c r="C2341" t="s">
        <v>78</v>
      </c>
      <c r="D2341" t="s">
        <v>78</v>
      </c>
      <c r="E2341" t="s">
        <v>78</v>
      </c>
      <c r="F2341" t="s">
        <v>78</v>
      </c>
      <c r="G2341" t="s">
        <v>78</v>
      </c>
      <c r="H2341">
        <v>4.92</v>
      </c>
      <c r="I2341" s="1">
        <v>0</v>
      </c>
      <c r="J2341" s="1">
        <v>0</v>
      </c>
      <c r="K2341">
        <v>0</v>
      </c>
      <c r="L2341">
        <v>5.3</v>
      </c>
      <c r="M2341">
        <v>0</v>
      </c>
      <c r="N2341" s="1">
        <v>5000000</v>
      </c>
      <c r="O2341">
        <v>5.6</v>
      </c>
      <c r="P2341">
        <v>7.15</v>
      </c>
      <c r="Q2341">
        <v>4.0199999999999996</v>
      </c>
    </row>
    <row r="2342" spans="1:17" x14ac:dyDescent="0.25">
      <c r="A2342">
        <v>731267</v>
      </c>
      <c r="B2342" t="s">
        <v>3654</v>
      </c>
      <c r="C2342">
        <v>1.1000000000000001</v>
      </c>
      <c r="D2342">
        <v>0.02</v>
      </c>
      <c r="E2342">
        <v>1.1499999999999999</v>
      </c>
      <c r="F2342">
        <v>1.1499999999999999</v>
      </c>
      <c r="G2342">
        <v>1.1000000000000001</v>
      </c>
      <c r="H2342">
        <v>1.1100000000000001</v>
      </c>
      <c r="I2342" s="1">
        <v>480000</v>
      </c>
      <c r="J2342" s="1">
        <v>531400</v>
      </c>
      <c r="K2342">
        <v>8</v>
      </c>
      <c r="L2342">
        <v>1.08</v>
      </c>
      <c r="M2342">
        <v>1.1000000000000001</v>
      </c>
      <c r="N2342" s="1">
        <v>5000000</v>
      </c>
      <c r="O2342">
        <v>1.1000000000000001</v>
      </c>
      <c r="P2342">
        <v>1.88</v>
      </c>
      <c r="Q2342">
        <v>0.32</v>
      </c>
    </row>
    <row r="2343" spans="1:17" x14ac:dyDescent="0.25">
      <c r="A2343">
        <v>731268</v>
      </c>
      <c r="B2343" t="s">
        <v>3655</v>
      </c>
      <c r="C2343" t="s">
        <v>78</v>
      </c>
      <c r="D2343" t="s">
        <v>78</v>
      </c>
      <c r="E2343" t="s">
        <v>78</v>
      </c>
      <c r="F2343" t="s">
        <v>78</v>
      </c>
      <c r="G2343" t="s">
        <v>78</v>
      </c>
      <c r="H2343">
        <v>1.92</v>
      </c>
      <c r="I2343" s="1">
        <v>0</v>
      </c>
      <c r="J2343" s="1">
        <v>0</v>
      </c>
      <c r="K2343">
        <v>0</v>
      </c>
      <c r="L2343">
        <v>2.0099999999999998</v>
      </c>
      <c r="M2343">
        <v>2.09</v>
      </c>
      <c r="N2343" s="1">
        <v>5000000</v>
      </c>
      <c r="O2343">
        <v>2.0099999999999998</v>
      </c>
      <c r="P2343">
        <v>3.16</v>
      </c>
      <c r="Q2343">
        <v>0.86</v>
      </c>
    </row>
    <row r="2344" spans="1:17" x14ac:dyDescent="0.25">
      <c r="A2344">
        <v>731269</v>
      </c>
      <c r="B2344" t="s">
        <v>3656</v>
      </c>
      <c r="C2344" t="s">
        <v>78</v>
      </c>
      <c r="D2344" t="s">
        <v>78</v>
      </c>
      <c r="E2344" t="s">
        <v>78</v>
      </c>
      <c r="F2344" t="s">
        <v>78</v>
      </c>
      <c r="G2344" t="s">
        <v>78</v>
      </c>
      <c r="H2344">
        <v>5.7</v>
      </c>
      <c r="I2344" s="1">
        <v>0</v>
      </c>
      <c r="J2344" s="1">
        <v>0</v>
      </c>
      <c r="K2344">
        <v>0</v>
      </c>
      <c r="L2344">
        <v>5</v>
      </c>
      <c r="M2344">
        <v>5.05</v>
      </c>
      <c r="N2344" s="1">
        <v>5000000</v>
      </c>
      <c r="O2344">
        <v>5</v>
      </c>
      <c r="P2344">
        <v>6.05</v>
      </c>
      <c r="Q2344">
        <v>3.9</v>
      </c>
    </row>
    <row r="2345" spans="1:17" x14ac:dyDescent="0.25">
      <c r="A2345">
        <v>731270</v>
      </c>
      <c r="B2345" t="s">
        <v>3657</v>
      </c>
      <c r="C2345" t="s">
        <v>78</v>
      </c>
      <c r="D2345" t="s">
        <v>78</v>
      </c>
      <c r="E2345" t="s">
        <v>78</v>
      </c>
      <c r="F2345" t="s">
        <v>78</v>
      </c>
      <c r="G2345" t="s">
        <v>78</v>
      </c>
      <c r="H2345">
        <v>0.14000000000000001</v>
      </c>
      <c r="I2345" s="1">
        <v>0</v>
      </c>
      <c r="J2345" s="1">
        <v>0</v>
      </c>
      <c r="K2345">
        <v>0</v>
      </c>
      <c r="L2345">
        <v>0.02</v>
      </c>
      <c r="M2345">
        <v>0.05</v>
      </c>
      <c r="N2345" s="1">
        <v>10000000</v>
      </c>
      <c r="O2345">
        <v>0.05</v>
      </c>
      <c r="P2345">
        <v>0.52</v>
      </c>
      <c r="Q2345">
        <v>0.01</v>
      </c>
    </row>
    <row r="2346" spans="1:17" x14ac:dyDescent="0.25">
      <c r="A2346">
        <v>731271</v>
      </c>
      <c r="B2346" t="s">
        <v>3658</v>
      </c>
      <c r="C2346" t="s">
        <v>78</v>
      </c>
      <c r="D2346" t="s">
        <v>78</v>
      </c>
      <c r="E2346" t="s">
        <v>78</v>
      </c>
      <c r="F2346" t="s">
        <v>78</v>
      </c>
      <c r="G2346" t="s">
        <v>78</v>
      </c>
      <c r="H2346">
        <v>2.5499999999999998</v>
      </c>
      <c r="I2346" s="1">
        <v>0</v>
      </c>
      <c r="J2346" s="1">
        <v>0</v>
      </c>
      <c r="K2346">
        <v>0</v>
      </c>
      <c r="L2346">
        <v>2.27</v>
      </c>
      <c r="M2346">
        <v>2.37</v>
      </c>
      <c r="N2346" s="1">
        <v>10000000</v>
      </c>
      <c r="O2346">
        <v>2.2799999999999998</v>
      </c>
      <c r="P2346">
        <v>3.44</v>
      </c>
      <c r="Q2346">
        <v>1.1200000000000001</v>
      </c>
    </row>
    <row r="2347" spans="1:17" x14ac:dyDescent="0.25">
      <c r="A2347">
        <v>731272</v>
      </c>
      <c r="B2347" t="s">
        <v>3659</v>
      </c>
      <c r="C2347">
        <v>0.56999999999999995</v>
      </c>
      <c r="D2347">
        <v>0.11</v>
      </c>
      <c r="E2347">
        <v>0.5</v>
      </c>
      <c r="F2347">
        <v>0.7</v>
      </c>
      <c r="G2347">
        <v>0.49</v>
      </c>
      <c r="H2347">
        <v>0.57999999999999996</v>
      </c>
      <c r="I2347" s="1">
        <v>419000</v>
      </c>
      <c r="J2347" s="1">
        <v>242670</v>
      </c>
      <c r="K2347">
        <v>35</v>
      </c>
      <c r="L2347">
        <v>0.54</v>
      </c>
      <c r="M2347">
        <v>0.6</v>
      </c>
      <c r="N2347" s="1">
        <v>5000000</v>
      </c>
      <c r="O2347">
        <v>0.56999999999999995</v>
      </c>
      <c r="P2347">
        <v>1.24</v>
      </c>
      <c r="Q2347">
        <v>0.01</v>
      </c>
    </row>
    <row r="2348" spans="1:17" x14ac:dyDescent="0.25">
      <c r="A2348">
        <v>731273</v>
      </c>
      <c r="B2348" t="s">
        <v>3660</v>
      </c>
      <c r="C2348" t="s">
        <v>78</v>
      </c>
      <c r="D2348" t="s">
        <v>78</v>
      </c>
      <c r="E2348" t="s">
        <v>78</v>
      </c>
      <c r="F2348" t="s">
        <v>78</v>
      </c>
      <c r="G2348" t="s">
        <v>78</v>
      </c>
      <c r="H2348">
        <v>2.84</v>
      </c>
      <c r="I2348" s="1">
        <v>0</v>
      </c>
      <c r="J2348" s="1">
        <v>0</v>
      </c>
      <c r="K2348">
        <v>0</v>
      </c>
      <c r="L2348">
        <v>3.22</v>
      </c>
      <c r="M2348">
        <v>3.32</v>
      </c>
      <c r="N2348" s="1">
        <v>5000000</v>
      </c>
      <c r="O2348">
        <v>3.22</v>
      </c>
      <c r="P2348">
        <v>4.7</v>
      </c>
      <c r="Q2348">
        <v>1.74</v>
      </c>
    </row>
    <row r="2349" spans="1:17" x14ac:dyDescent="0.25">
      <c r="A2349">
        <v>731274</v>
      </c>
      <c r="B2349" t="s">
        <v>3661</v>
      </c>
      <c r="C2349" t="s">
        <v>78</v>
      </c>
      <c r="D2349" t="s">
        <v>78</v>
      </c>
      <c r="E2349" t="s">
        <v>78</v>
      </c>
      <c r="F2349" t="s">
        <v>78</v>
      </c>
      <c r="G2349" t="s">
        <v>78</v>
      </c>
      <c r="H2349">
        <v>0.16</v>
      </c>
      <c r="I2349" s="1">
        <v>0</v>
      </c>
      <c r="J2349" s="1">
        <v>0</v>
      </c>
      <c r="K2349">
        <v>0</v>
      </c>
      <c r="L2349">
        <v>0.13</v>
      </c>
      <c r="M2349">
        <v>0.14000000000000001</v>
      </c>
      <c r="N2349" s="1">
        <v>5000000</v>
      </c>
      <c r="O2349">
        <v>0.14000000000000001</v>
      </c>
      <c r="P2349">
        <v>0.64</v>
      </c>
      <c r="Q2349">
        <v>0.01</v>
      </c>
    </row>
    <row r="2350" spans="1:17" x14ac:dyDescent="0.25">
      <c r="A2350">
        <v>731275</v>
      </c>
      <c r="B2350" t="s">
        <v>3662</v>
      </c>
      <c r="C2350">
        <v>0.37</v>
      </c>
      <c r="D2350">
        <v>-0.01</v>
      </c>
      <c r="E2350">
        <v>0.39</v>
      </c>
      <c r="F2350">
        <v>0.39</v>
      </c>
      <c r="G2350">
        <v>0.37</v>
      </c>
      <c r="H2350">
        <v>0.38</v>
      </c>
      <c r="I2350" s="1">
        <v>30000</v>
      </c>
      <c r="J2350" s="1">
        <v>11300</v>
      </c>
      <c r="K2350">
        <v>2</v>
      </c>
      <c r="L2350">
        <v>0.35</v>
      </c>
      <c r="M2350">
        <v>0.36</v>
      </c>
      <c r="N2350" s="1">
        <v>5000000</v>
      </c>
      <c r="O2350">
        <v>0.37</v>
      </c>
      <c r="P2350">
        <v>1.31</v>
      </c>
      <c r="Q2350">
        <v>0.01</v>
      </c>
    </row>
    <row r="2351" spans="1:17" x14ac:dyDescent="0.25">
      <c r="A2351">
        <v>731276</v>
      </c>
      <c r="B2351" t="s">
        <v>3663</v>
      </c>
      <c r="C2351" t="s">
        <v>78</v>
      </c>
      <c r="D2351" t="s">
        <v>78</v>
      </c>
      <c r="E2351" t="s">
        <v>78</v>
      </c>
      <c r="F2351" t="s">
        <v>78</v>
      </c>
      <c r="G2351" t="s">
        <v>78</v>
      </c>
      <c r="H2351">
        <v>2.5</v>
      </c>
      <c r="I2351" s="1">
        <v>0</v>
      </c>
      <c r="J2351" s="1">
        <v>0</v>
      </c>
      <c r="K2351">
        <v>0</v>
      </c>
      <c r="L2351">
        <v>1.67</v>
      </c>
      <c r="M2351">
        <v>1.73</v>
      </c>
      <c r="N2351" s="1">
        <v>5000000</v>
      </c>
      <c r="O2351">
        <v>1.67</v>
      </c>
      <c r="P2351">
        <v>2.7</v>
      </c>
      <c r="Q2351">
        <v>0.64</v>
      </c>
    </row>
    <row r="2352" spans="1:17" x14ac:dyDescent="0.25">
      <c r="A2352">
        <v>731277</v>
      </c>
      <c r="B2352" t="s">
        <v>3664</v>
      </c>
      <c r="C2352">
        <v>0.28999999999999998</v>
      </c>
      <c r="D2352">
        <v>0.08</v>
      </c>
      <c r="E2352">
        <v>0.28999999999999998</v>
      </c>
      <c r="F2352">
        <v>0.28999999999999998</v>
      </c>
      <c r="G2352">
        <v>0.28999999999999998</v>
      </c>
      <c r="H2352">
        <v>0.28999999999999998</v>
      </c>
      <c r="I2352" s="1">
        <v>25000</v>
      </c>
      <c r="J2352" s="1">
        <v>7250</v>
      </c>
      <c r="K2352">
        <v>1</v>
      </c>
      <c r="L2352">
        <v>0.24</v>
      </c>
      <c r="M2352">
        <v>0.25</v>
      </c>
      <c r="N2352" s="1">
        <v>5000000</v>
      </c>
      <c r="O2352">
        <v>0.28999999999999998</v>
      </c>
      <c r="P2352">
        <v>1.47</v>
      </c>
      <c r="Q2352">
        <v>0.01</v>
      </c>
    </row>
    <row r="2353" spans="1:17" x14ac:dyDescent="0.25">
      <c r="A2353">
        <v>731278</v>
      </c>
      <c r="B2353" t="s">
        <v>3665</v>
      </c>
      <c r="C2353" t="s">
        <v>78</v>
      </c>
      <c r="D2353" t="s">
        <v>78</v>
      </c>
      <c r="E2353" t="s">
        <v>78</v>
      </c>
      <c r="F2353" t="s">
        <v>78</v>
      </c>
      <c r="G2353" t="s">
        <v>78</v>
      </c>
      <c r="H2353">
        <v>0.08</v>
      </c>
      <c r="I2353" s="1">
        <v>0</v>
      </c>
      <c r="J2353" s="1">
        <v>0</v>
      </c>
      <c r="K2353">
        <v>0</v>
      </c>
      <c r="L2353">
        <v>0.08</v>
      </c>
      <c r="M2353">
        <v>0.09</v>
      </c>
      <c r="N2353" s="1">
        <v>5000000</v>
      </c>
      <c r="O2353">
        <v>0.08</v>
      </c>
      <c r="P2353">
        <v>1.32</v>
      </c>
      <c r="Q2353">
        <v>0.01</v>
      </c>
    </row>
    <row r="2354" spans="1:17" x14ac:dyDescent="0.25">
      <c r="A2354">
        <v>731279</v>
      </c>
      <c r="B2354" t="s">
        <v>3666</v>
      </c>
      <c r="C2354">
        <v>2.38</v>
      </c>
      <c r="D2354">
        <v>-0.08</v>
      </c>
      <c r="E2354">
        <v>2.48</v>
      </c>
      <c r="F2354">
        <v>2.48</v>
      </c>
      <c r="G2354">
        <v>2.38</v>
      </c>
      <c r="H2354">
        <v>2.44</v>
      </c>
      <c r="I2354" s="1">
        <v>31000</v>
      </c>
      <c r="J2354" s="1">
        <v>75580</v>
      </c>
      <c r="K2354">
        <v>3</v>
      </c>
      <c r="L2354">
        <v>2.2400000000000002</v>
      </c>
      <c r="M2354">
        <v>2.34</v>
      </c>
      <c r="N2354" s="1">
        <v>10000000</v>
      </c>
      <c r="O2354">
        <v>2.38</v>
      </c>
      <c r="P2354">
        <v>3.65</v>
      </c>
      <c r="Q2354">
        <v>1.1100000000000001</v>
      </c>
    </row>
    <row r="2355" spans="1:17" x14ac:dyDescent="0.25">
      <c r="A2355">
        <v>731280</v>
      </c>
      <c r="B2355" t="s">
        <v>3667</v>
      </c>
      <c r="C2355" t="s">
        <v>78</v>
      </c>
      <c r="D2355" t="s">
        <v>78</v>
      </c>
      <c r="E2355" t="s">
        <v>78</v>
      </c>
      <c r="F2355" t="s">
        <v>78</v>
      </c>
      <c r="G2355" t="s">
        <v>78</v>
      </c>
      <c r="H2355">
        <v>0.12</v>
      </c>
      <c r="I2355" s="1">
        <v>0</v>
      </c>
      <c r="J2355" s="1">
        <v>0</v>
      </c>
      <c r="K2355">
        <v>0</v>
      </c>
      <c r="L2355">
        <v>0.05</v>
      </c>
      <c r="M2355">
        <v>0.06</v>
      </c>
      <c r="N2355" s="1">
        <v>5000000</v>
      </c>
      <c r="O2355">
        <v>0.06</v>
      </c>
      <c r="P2355">
        <v>0.77</v>
      </c>
      <c r="Q2355">
        <v>0.01</v>
      </c>
    </row>
    <row r="2356" spans="1:17" x14ac:dyDescent="0.25">
      <c r="A2356">
        <v>731281</v>
      </c>
      <c r="B2356" t="s">
        <v>3668</v>
      </c>
      <c r="C2356" t="s">
        <v>78</v>
      </c>
      <c r="D2356" t="s">
        <v>78</v>
      </c>
      <c r="E2356" t="s">
        <v>78</v>
      </c>
      <c r="F2356" t="s">
        <v>78</v>
      </c>
      <c r="G2356" t="s">
        <v>78</v>
      </c>
      <c r="H2356">
        <v>0.88</v>
      </c>
      <c r="I2356" s="1">
        <v>0</v>
      </c>
      <c r="J2356" s="1">
        <v>0</v>
      </c>
      <c r="K2356">
        <v>0</v>
      </c>
      <c r="L2356">
        <v>0.79</v>
      </c>
      <c r="M2356">
        <v>0.82</v>
      </c>
      <c r="N2356" s="1">
        <v>5000000</v>
      </c>
      <c r="O2356">
        <v>0.82</v>
      </c>
      <c r="P2356">
        <v>2.39</v>
      </c>
      <c r="Q2356">
        <v>0.01</v>
      </c>
    </row>
    <row r="2357" spans="1:17" x14ac:dyDescent="0.25">
      <c r="A2357">
        <v>731282</v>
      </c>
      <c r="B2357" t="s">
        <v>3669</v>
      </c>
      <c r="C2357" t="s">
        <v>78</v>
      </c>
      <c r="D2357" t="s">
        <v>78</v>
      </c>
      <c r="E2357" t="s">
        <v>78</v>
      </c>
      <c r="F2357" t="s">
        <v>78</v>
      </c>
      <c r="G2357" t="s">
        <v>78</v>
      </c>
      <c r="H2357">
        <v>0.51</v>
      </c>
      <c r="I2357" s="1">
        <v>0</v>
      </c>
      <c r="J2357" s="1">
        <v>0</v>
      </c>
      <c r="K2357">
        <v>0</v>
      </c>
      <c r="L2357">
        <v>0.4</v>
      </c>
      <c r="M2357">
        <v>0.48</v>
      </c>
      <c r="N2357" s="1">
        <v>6500000</v>
      </c>
      <c r="O2357">
        <v>0.48</v>
      </c>
      <c r="P2357">
        <v>2.25</v>
      </c>
      <c r="Q2357">
        <v>0.01</v>
      </c>
    </row>
    <row r="2358" spans="1:17" x14ac:dyDescent="0.25">
      <c r="A2358">
        <v>731283</v>
      </c>
      <c r="B2358" t="s">
        <v>3670</v>
      </c>
      <c r="C2358">
        <v>0.39</v>
      </c>
      <c r="D2358">
        <v>0.01</v>
      </c>
      <c r="E2358">
        <v>0.35</v>
      </c>
      <c r="F2358">
        <v>0.4</v>
      </c>
      <c r="G2358">
        <v>0.35</v>
      </c>
      <c r="H2358">
        <v>0.37</v>
      </c>
      <c r="I2358" s="1">
        <v>757000</v>
      </c>
      <c r="J2358" s="1">
        <v>281130</v>
      </c>
      <c r="K2358">
        <v>11</v>
      </c>
      <c r="L2358">
        <v>0.39</v>
      </c>
      <c r="M2358">
        <v>0.43</v>
      </c>
      <c r="N2358" s="1">
        <v>5000000</v>
      </c>
      <c r="O2358">
        <v>0.39</v>
      </c>
      <c r="P2358">
        <v>1.02</v>
      </c>
      <c r="Q2358">
        <v>0.01</v>
      </c>
    </row>
    <row r="2359" spans="1:17" x14ac:dyDescent="0.25">
      <c r="A2359">
        <v>731284</v>
      </c>
      <c r="B2359" t="s">
        <v>3671</v>
      </c>
      <c r="C2359">
        <v>6.15</v>
      </c>
      <c r="D2359">
        <v>-0.85</v>
      </c>
      <c r="E2359">
        <v>6.4</v>
      </c>
      <c r="F2359">
        <v>6.4</v>
      </c>
      <c r="G2359">
        <v>6.15</v>
      </c>
      <c r="H2359">
        <v>6.37</v>
      </c>
      <c r="I2359" s="1">
        <v>26000</v>
      </c>
      <c r="J2359" s="1">
        <v>165650</v>
      </c>
      <c r="K2359">
        <v>3</v>
      </c>
      <c r="L2359">
        <v>6.5</v>
      </c>
      <c r="M2359">
        <v>8.3000000000000007</v>
      </c>
      <c r="N2359" s="1">
        <v>5000000</v>
      </c>
      <c r="O2359">
        <v>6.15</v>
      </c>
      <c r="P2359">
        <v>7.55</v>
      </c>
      <c r="Q2359">
        <v>4.6500000000000004</v>
      </c>
    </row>
    <row r="2360" spans="1:17" x14ac:dyDescent="0.25">
      <c r="A2360">
        <v>731285</v>
      </c>
      <c r="B2360" t="s">
        <v>3672</v>
      </c>
      <c r="C2360">
        <v>0.5</v>
      </c>
      <c r="D2360">
        <v>0.01</v>
      </c>
      <c r="E2360">
        <v>0.5</v>
      </c>
      <c r="F2360">
        <v>0.5</v>
      </c>
      <c r="G2360">
        <v>0.49</v>
      </c>
      <c r="H2360">
        <v>0.5</v>
      </c>
      <c r="I2360" s="1">
        <v>3000</v>
      </c>
      <c r="J2360" s="1">
        <v>1490</v>
      </c>
      <c r="K2360">
        <v>3</v>
      </c>
      <c r="L2360">
        <v>0.49</v>
      </c>
      <c r="M2360">
        <v>0.5</v>
      </c>
      <c r="N2360" s="1">
        <v>10000000</v>
      </c>
      <c r="O2360">
        <v>0.5</v>
      </c>
      <c r="P2360">
        <v>0.83</v>
      </c>
      <c r="Q2360">
        <v>0.17</v>
      </c>
    </row>
    <row r="2361" spans="1:17" x14ac:dyDescent="0.25">
      <c r="A2361">
        <v>731286</v>
      </c>
      <c r="B2361" t="s">
        <v>3673</v>
      </c>
      <c r="C2361">
        <v>3.54</v>
      </c>
      <c r="D2361">
        <v>-0.1</v>
      </c>
      <c r="E2361">
        <v>3.79</v>
      </c>
      <c r="F2361">
        <v>3.79</v>
      </c>
      <c r="G2361">
        <v>3.54</v>
      </c>
      <c r="H2361">
        <v>3.59</v>
      </c>
      <c r="I2361" s="1">
        <v>50000</v>
      </c>
      <c r="J2361" s="1">
        <v>179500</v>
      </c>
      <c r="K2361">
        <v>3</v>
      </c>
      <c r="L2361">
        <v>3.44</v>
      </c>
      <c r="M2361">
        <v>3.5</v>
      </c>
      <c r="N2361" s="1">
        <v>5000000</v>
      </c>
      <c r="O2361">
        <v>3.54</v>
      </c>
      <c r="P2361">
        <v>5.0999999999999996</v>
      </c>
      <c r="Q2361">
        <v>1.96</v>
      </c>
    </row>
    <row r="2362" spans="1:17" x14ac:dyDescent="0.25">
      <c r="A2362">
        <v>731287</v>
      </c>
      <c r="B2362" t="s">
        <v>3674</v>
      </c>
      <c r="C2362">
        <v>0.3</v>
      </c>
      <c r="D2362">
        <v>-0.01</v>
      </c>
      <c r="E2362">
        <v>0.31</v>
      </c>
      <c r="F2362">
        <v>0.32</v>
      </c>
      <c r="G2362">
        <v>0.3</v>
      </c>
      <c r="H2362">
        <v>0.3</v>
      </c>
      <c r="I2362" s="1">
        <v>1001000</v>
      </c>
      <c r="J2362" s="1">
        <v>304580</v>
      </c>
      <c r="K2362">
        <v>8</v>
      </c>
      <c r="L2362">
        <v>0.3</v>
      </c>
      <c r="M2362">
        <v>0.31</v>
      </c>
      <c r="N2362" s="1">
        <v>10000000</v>
      </c>
      <c r="O2362">
        <v>0.3</v>
      </c>
      <c r="P2362">
        <v>1.08</v>
      </c>
      <c r="Q2362">
        <v>0.01</v>
      </c>
    </row>
    <row r="2363" spans="1:17" x14ac:dyDescent="0.25">
      <c r="A2363">
        <v>731288</v>
      </c>
      <c r="B2363" t="s">
        <v>3675</v>
      </c>
      <c r="C2363" t="s">
        <v>78</v>
      </c>
      <c r="D2363" t="s">
        <v>78</v>
      </c>
      <c r="E2363" t="s">
        <v>78</v>
      </c>
      <c r="F2363" t="s">
        <v>78</v>
      </c>
      <c r="G2363" t="s">
        <v>78</v>
      </c>
      <c r="H2363">
        <v>0.17</v>
      </c>
      <c r="I2363" s="1">
        <v>0</v>
      </c>
      <c r="J2363" s="1">
        <v>0</v>
      </c>
      <c r="K2363">
        <v>0</v>
      </c>
      <c r="L2363">
        <v>0.14000000000000001</v>
      </c>
      <c r="M2363">
        <v>0.16</v>
      </c>
      <c r="N2363" s="1">
        <v>10000000</v>
      </c>
      <c r="O2363">
        <v>0.16</v>
      </c>
      <c r="P2363">
        <v>0.51</v>
      </c>
      <c r="Q2363">
        <v>0.01</v>
      </c>
    </row>
    <row r="2364" spans="1:17" x14ac:dyDescent="0.25">
      <c r="A2364">
        <v>731289</v>
      </c>
      <c r="B2364" t="s">
        <v>3676</v>
      </c>
      <c r="C2364">
        <v>4.54</v>
      </c>
      <c r="D2364">
        <v>0.31</v>
      </c>
      <c r="E2364">
        <v>4.45</v>
      </c>
      <c r="F2364">
        <v>4.57</v>
      </c>
      <c r="G2364">
        <v>4.45</v>
      </c>
      <c r="H2364">
        <v>4.53</v>
      </c>
      <c r="I2364" s="1">
        <v>32000</v>
      </c>
      <c r="J2364" s="1">
        <v>144820</v>
      </c>
      <c r="K2364">
        <v>4</v>
      </c>
      <c r="L2364">
        <v>4.42</v>
      </c>
      <c r="M2364">
        <v>4.5</v>
      </c>
      <c r="N2364" s="1">
        <v>10000000</v>
      </c>
      <c r="O2364">
        <v>4.54</v>
      </c>
      <c r="P2364">
        <v>5.6</v>
      </c>
      <c r="Q2364">
        <v>3.48</v>
      </c>
    </row>
    <row r="2365" spans="1:17" x14ac:dyDescent="0.25">
      <c r="A2365">
        <v>731290</v>
      </c>
      <c r="B2365" t="s">
        <v>3677</v>
      </c>
      <c r="C2365" t="s">
        <v>78</v>
      </c>
      <c r="D2365" t="s">
        <v>78</v>
      </c>
      <c r="E2365" t="s">
        <v>78</v>
      </c>
      <c r="F2365" t="s">
        <v>78</v>
      </c>
      <c r="G2365" t="s">
        <v>78</v>
      </c>
      <c r="H2365">
        <v>0.1</v>
      </c>
      <c r="I2365" s="1">
        <v>0</v>
      </c>
      <c r="J2365" s="1">
        <v>0</v>
      </c>
      <c r="K2365">
        <v>0</v>
      </c>
      <c r="L2365">
        <v>0.08</v>
      </c>
      <c r="M2365">
        <v>0.09</v>
      </c>
      <c r="N2365" s="1">
        <v>10000000</v>
      </c>
      <c r="O2365">
        <v>0.09</v>
      </c>
      <c r="P2365">
        <v>0.46</v>
      </c>
      <c r="Q2365">
        <v>0.01</v>
      </c>
    </row>
    <row r="2366" spans="1:17" x14ac:dyDescent="0.25">
      <c r="A2366">
        <v>731291</v>
      </c>
      <c r="B2366" t="s">
        <v>3678</v>
      </c>
      <c r="C2366" t="s">
        <v>78</v>
      </c>
      <c r="D2366" t="s">
        <v>78</v>
      </c>
      <c r="E2366" t="s">
        <v>78</v>
      </c>
      <c r="F2366" t="s">
        <v>78</v>
      </c>
      <c r="G2366" t="s">
        <v>78</v>
      </c>
      <c r="H2366">
        <v>0.03</v>
      </c>
      <c r="I2366" s="1">
        <v>0</v>
      </c>
      <c r="J2366" s="1">
        <v>0</v>
      </c>
      <c r="K2366">
        <v>0</v>
      </c>
      <c r="L2366">
        <v>0.01</v>
      </c>
      <c r="M2366">
        <v>7.0000000000000007E-2</v>
      </c>
      <c r="N2366" s="1">
        <v>10000000</v>
      </c>
      <c r="O2366">
        <v>0.03</v>
      </c>
      <c r="P2366">
        <v>0.61</v>
      </c>
      <c r="Q2366">
        <v>0.01</v>
      </c>
    </row>
    <row r="2367" spans="1:17" x14ac:dyDescent="0.25">
      <c r="A2367">
        <v>731292</v>
      </c>
      <c r="B2367" t="s">
        <v>3679</v>
      </c>
      <c r="C2367" t="s">
        <v>78</v>
      </c>
      <c r="D2367" t="s">
        <v>78</v>
      </c>
      <c r="E2367" t="s">
        <v>78</v>
      </c>
      <c r="F2367" t="s">
        <v>78</v>
      </c>
      <c r="G2367" t="s">
        <v>78</v>
      </c>
      <c r="H2367">
        <v>0.02</v>
      </c>
      <c r="I2367" s="1">
        <v>0</v>
      </c>
      <c r="J2367" s="1">
        <v>0</v>
      </c>
      <c r="K2367">
        <v>0</v>
      </c>
      <c r="L2367">
        <v>7.0000000000000007E-2</v>
      </c>
      <c r="M2367">
        <v>0.08</v>
      </c>
      <c r="N2367" s="1">
        <v>10000000</v>
      </c>
      <c r="O2367">
        <v>7.0000000000000007E-2</v>
      </c>
      <c r="P2367">
        <v>0.4</v>
      </c>
      <c r="Q2367">
        <v>0.01</v>
      </c>
    </row>
    <row r="2368" spans="1:17" x14ac:dyDescent="0.25">
      <c r="A2368">
        <v>731293</v>
      </c>
      <c r="B2368" t="s">
        <v>3680</v>
      </c>
      <c r="C2368">
        <v>1.05</v>
      </c>
      <c r="D2368">
        <v>0.05</v>
      </c>
      <c r="E2368">
        <v>1.05</v>
      </c>
      <c r="F2368">
        <v>1.05</v>
      </c>
      <c r="G2368">
        <v>1.05</v>
      </c>
      <c r="H2368">
        <v>1.05</v>
      </c>
      <c r="I2368" s="1">
        <v>10000</v>
      </c>
      <c r="J2368" s="1">
        <v>10500</v>
      </c>
      <c r="K2368">
        <v>1</v>
      </c>
      <c r="L2368">
        <v>0.99</v>
      </c>
      <c r="M2368">
        <v>1.04</v>
      </c>
      <c r="N2368" s="1">
        <v>10000000</v>
      </c>
      <c r="O2368">
        <v>1.05</v>
      </c>
      <c r="P2368">
        <v>1.86</v>
      </c>
      <c r="Q2368">
        <v>0.24</v>
      </c>
    </row>
    <row r="2369" spans="1:17" x14ac:dyDescent="0.25">
      <c r="A2369">
        <v>731294</v>
      </c>
      <c r="B2369" t="s">
        <v>3681</v>
      </c>
      <c r="C2369">
        <v>0.56999999999999995</v>
      </c>
      <c r="D2369">
        <v>0.06</v>
      </c>
      <c r="E2369">
        <v>0.57999999999999996</v>
      </c>
      <c r="F2369">
        <v>0.68</v>
      </c>
      <c r="G2369">
        <v>0.56999999999999995</v>
      </c>
      <c r="H2369">
        <v>0.6</v>
      </c>
      <c r="I2369" s="1">
        <v>786000</v>
      </c>
      <c r="J2369" s="1">
        <v>473460</v>
      </c>
      <c r="K2369">
        <v>14</v>
      </c>
      <c r="L2369">
        <v>0.56000000000000005</v>
      </c>
      <c r="M2369">
        <v>0.56999999999999995</v>
      </c>
      <c r="N2369" s="1">
        <v>5000000</v>
      </c>
      <c r="O2369">
        <v>0.56999999999999995</v>
      </c>
      <c r="P2369">
        <v>1.59</v>
      </c>
      <c r="Q2369">
        <v>0.01</v>
      </c>
    </row>
    <row r="2370" spans="1:17" x14ac:dyDescent="0.25">
      <c r="A2370">
        <v>731295</v>
      </c>
      <c r="B2370" t="s">
        <v>3682</v>
      </c>
      <c r="C2370" t="s">
        <v>78</v>
      </c>
      <c r="D2370" t="s">
        <v>78</v>
      </c>
      <c r="E2370" t="s">
        <v>78</v>
      </c>
      <c r="F2370" t="s">
        <v>78</v>
      </c>
      <c r="G2370" t="s">
        <v>78</v>
      </c>
      <c r="H2370">
        <v>3.4</v>
      </c>
      <c r="I2370" s="1">
        <v>0</v>
      </c>
      <c r="J2370" s="1">
        <v>0</v>
      </c>
      <c r="K2370">
        <v>0</v>
      </c>
      <c r="L2370">
        <v>3.23</v>
      </c>
      <c r="M2370">
        <v>3.33</v>
      </c>
      <c r="N2370" s="1">
        <v>10000000</v>
      </c>
      <c r="O2370">
        <v>3.24</v>
      </c>
      <c r="P2370">
        <v>5</v>
      </c>
      <c r="Q2370">
        <v>1.45</v>
      </c>
    </row>
    <row r="2371" spans="1:17" x14ac:dyDescent="0.25">
      <c r="A2371">
        <v>731296</v>
      </c>
      <c r="B2371" t="s">
        <v>3683</v>
      </c>
      <c r="C2371">
        <v>0.49</v>
      </c>
      <c r="D2371">
        <v>-0.09</v>
      </c>
      <c r="E2371">
        <v>0.53</v>
      </c>
      <c r="F2371">
        <v>0.53</v>
      </c>
      <c r="G2371">
        <v>0.49</v>
      </c>
      <c r="H2371">
        <v>0.51</v>
      </c>
      <c r="I2371" s="1">
        <v>40000</v>
      </c>
      <c r="J2371" s="1">
        <v>20500</v>
      </c>
      <c r="K2371">
        <v>3</v>
      </c>
      <c r="L2371">
        <v>0.49</v>
      </c>
      <c r="M2371">
        <v>0.51</v>
      </c>
      <c r="N2371" s="1">
        <v>10000000</v>
      </c>
      <c r="O2371">
        <v>0.49</v>
      </c>
      <c r="P2371">
        <v>1.78</v>
      </c>
      <c r="Q2371">
        <v>0.01</v>
      </c>
    </row>
    <row r="2372" spans="1:17" x14ac:dyDescent="0.25">
      <c r="A2372">
        <v>731297</v>
      </c>
      <c r="B2372" t="s">
        <v>3684</v>
      </c>
      <c r="C2372">
        <v>1.49</v>
      </c>
      <c r="D2372">
        <v>0.4</v>
      </c>
      <c r="E2372">
        <v>1.43</v>
      </c>
      <c r="F2372">
        <v>1.49</v>
      </c>
      <c r="G2372">
        <v>1.43</v>
      </c>
      <c r="H2372">
        <v>1.46</v>
      </c>
      <c r="I2372" s="1">
        <v>20000</v>
      </c>
      <c r="J2372" s="1">
        <v>29200</v>
      </c>
      <c r="K2372">
        <v>2</v>
      </c>
      <c r="L2372">
        <v>1.2</v>
      </c>
      <c r="M2372">
        <v>1.24</v>
      </c>
      <c r="N2372" s="1">
        <v>10000000</v>
      </c>
      <c r="O2372">
        <v>1.49</v>
      </c>
      <c r="P2372">
        <v>3.39</v>
      </c>
      <c r="Q2372">
        <v>0.01</v>
      </c>
    </row>
    <row r="2373" spans="1:17" x14ac:dyDescent="0.25">
      <c r="A2373">
        <v>731298</v>
      </c>
      <c r="B2373" t="s">
        <v>3685</v>
      </c>
      <c r="C2373">
        <v>0.06</v>
      </c>
      <c r="D2373">
        <v>-0.01</v>
      </c>
      <c r="E2373">
        <v>0.06</v>
      </c>
      <c r="F2373">
        <v>0.06</v>
      </c>
      <c r="G2373">
        <v>0.05</v>
      </c>
      <c r="H2373">
        <v>0.05</v>
      </c>
      <c r="I2373" s="1">
        <v>132000</v>
      </c>
      <c r="J2373" s="1">
        <v>6910</v>
      </c>
      <c r="K2373">
        <v>5</v>
      </c>
      <c r="L2373">
        <v>0.05</v>
      </c>
      <c r="M2373">
        <v>0.06</v>
      </c>
      <c r="N2373" s="1">
        <v>10000000</v>
      </c>
      <c r="O2373">
        <v>0.06</v>
      </c>
      <c r="P2373">
        <v>0.89</v>
      </c>
      <c r="Q2373">
        <v>0.01</v>
      </c>
    </row>
    <row r="2374" spans="1:17" x14ac:dyDescent="0.25">
      <c r="A2374">
        <v>731299</v>
      </c>
      <c r="B2374" t="s">
        <v>3686</v>
      </c>
      <c r="C2374" t="s">
        <v>78</v>
      </c>
      <c r="D2374" t="s">
        <v>78</v>
      </c>
      <c r="E2374" t="s">
        <v>78</v>
      </c>
      <c r="F2374" t="s">
        <v>78</v>
      </c>
      <c r="G2374" t="s">
        <v>78</v>
      </c>
      <c r="H2374">
        <v>0.06</v>
      </c>
      <c r="I2374" s="1">
        <v>0</v>
      </c>
      <c r="J2374" s="1">
        <v>0</v>
      </c>
      <c r="K2374">
        <v>0</v>
      </c>
      <c r="L2374">
        <v>0.06</v>
      </c>
      <c r="M2374">
        <v>7.0000000000000007E-2</v>
      </c>
      <c r="N2374" s="1">
        <v>10000000</v>
      </c>
      <c r="O2374">
        <v>0.06</v>
      </c>
      <c r="P2374">
        <v>0.83</v>
      </c>
      <c r="Q2374">
        <v>0.01</v>
      </c>
    </row>
    <row r="2375" spans="1:17" x14ac:dyDescent="0.25">
      <c r="A2375">
        <v>731300</v>
      </c>
      <c r="B2375" t="s">
        <v>3687</v>
      </c>
      <c r="C2375">
        <v>0.44</v>
      </c>
      <c r="D2375">
        <v>0.01</v>
      </c>
      <c r="E2375">
        <v>0.44</v>
      </c>
      <c r="F2375">
        <v>0.44</v>
      </c>
      <c r="G2375">
        <v>0.44</v>
      </c>
      <c r="H2375">
        <v>0.44</v>
      </c>
      <c r="I2375" s="1">
        <v>100000</v>
      </c>
      <c r="J2375" s="1">
        <v>44000</v>
      </c>
      <c r="K2375">
        <v>1</v>
      </c>
      <c r="L2375">
        <v>0.43</v>
      </c>
      <c r="M2375">
        <v>0.44</v>
      </c>
      <c r="N2375" s="1">
        <v>10000000</v>
      </c>
      <c r="O2375">
        <v>0.44</v>
      </c>
      <c r="P2375">
        <v>0.93</v>
      </c>
      <c r="Q2375">
        <v>0.01</v>
      </c>
    </row>
    <row r="2376" spans="1:17" x14ac:dyDescent="0.25">
      <c r="A2376">
        <v>731301</v>
      </c>
      <c r="B2376" t="s">
        <v>3688</v>
      </c>
      <c r="C2376" t="s">
        <v>78</v>
      </c>
      <c r="D2376" t="s">
        <v>78</v>
      </c>
      <c r="E2376" t="s">
        <v>78</v>
      </c>
      <c r="F2376" t="s">
        <v>78</v>
      </c>
      <c r="G2376" t="s">
        <v>78</v>
      </c>
      <c r="H2376">
        <v>4.8899999999999997</v>
      </c>
      <c r="I2376" s="1">
        <v>0</v>
      </c>
      <c r="J2376" s="1">
        <v>0</v>
      </c>
      <c r="K2376">
        <v>0</v>
      </c>
      <c r="L2376">
        <v>0</v>
      </c>
      <c r="M2376">
        <v>0</v>
      </c>
      <c r="N2376" s="1">
        <v>5000000</v>
      </c>
      <c r="O2376">
        <v>6.85</v>
      </c>
      <c r="P2376">
        <v>8.1</v>
      </c>
      <c r="Q2376">
        <v>5.6</v>
      </c>
    </row>
    <row r="2377" spans="1:17" x14ac:dyDescent="0.25">
      <c r="A2377">
        <v>731302</v>
      </c>
      <c r="B2377" t="s">
        <v>3689</v>
      </c>
      <c r="C2377" t="s">
        <v>78</v>
      </c>
      <c r="D2377" t="s">
        <v>78</v>
      </c>
      <c r="E2377" t="s">
        <v>78</v>
      </c>
      <c r="F2377" t="s">
        <v>78</v>
      </c>
      <c r="G2377" t="s">
        <v>78</v>
      </c>
      <c r="H2377">
        <v>0.45</v>
      </c>
      <c r="I2377" s="1">
        <v>0</v>
      </c>
      <c r="J2377" s="1">
        <v>0</v>
      </c>
      <c r="K2377">
        <v>0</v>
      </c>
      <c r="L2377">
        <v>0.23</v>
      </c>
      <c r="M2377">
        <v>0.24</v>
      </c>
      <c r="N2377" s="1">
        <v>13000000</v>
      </c>
      <c r="O2377">
        <v>0.24</v>
      </c>
      <c r="P2377">
        <v>0.7</v>
      </c>
      <c r="Q2377">
        <v>0.01</v>
      </c>
    </row>
    <row r="2378" spans="1:17" x14ac:dyDescent="0.25">
      <c r="A2378">
        <v>731303</v>
      </c>
      <c r="B2378" t="s">
        <v>3690</v>
      </c>
      <c r="C2378" t="s">
        <v>78</v>
      </c>
      <c r="D2378" t="s">
        <v>78</v>
      </c>
      <c r="E2378" t="s">
        <v>78</v>
      </c>
      <c r="F2378" t="s">
        <v>78</v>
      </c>
      <c r="G2378" t="s">
        <v>78</v>
      </c>
      <c r="H2378">
        <v>3.05</v>
      </c>
      <c r="I2378" s="1">
        <v>0</v>
      </c>
      <c r="J2378" s="1">
        <v>0</v>
      </c>
      <c r="K2378">
        <v>0</v>
      </c>
      <c r="L2378">
        <v>3.03</v>
      </c>
      <c r="M2378">
        <v>3.13</v>
      </c>
      <c r="N2378" s="1">
        <v>13000000</v>
      </c>
      <c r="O2378">
        <v>3.05</v>
      </c>
      <c r="P2378">
        <v>3.89</v>
      </c>
      <c r="Q2378">
        <v>2.21</v>
      </c>
    </row>
    <row r="2379" spans="1:17" x14ac:dyDescent="0.25">
      <c r="A2379">
        <v>731304</v>
      </c>
      <c r="B2379" t="s">
        <v>3691</v>
      </c>
      <c r="C2379">
        <v>1.72</v>
      </c>
      <c r="D2379">
        <v>0.12</v>
      </c>
      <c r="E2379">
        <v>1.72</v>
      </c>
      <c r="F2379">
        <v>1.72</v>
      </c>
      <c r="G2379">
        <v>1.72</v>
      </c>
      <c r="H2379">
        <v>1.72</v>
      </c>
      <c r="I2379" s="1">
        <v>15000</v>
      </c>
      <c r="J2379" s="1">
        <v>25800</v>
      </c>
      <c r="K2379">
        <v>2</v>
      </c>
      <c r="L2379">
        <v>1.63</v>
      </c>
      <c r="M2379">
        <v>1.64</v>
      </c>
      <c r="N2379" s="1">
        <v>10000000</v>
      </c>
      <c r="O2379">
        <v>1.72</v>
      </c>
      <c r="P2379">
        <v>2.6</v>
      </c>
      <c r="Q2379">
        <v>0.84</v>
      </c>
    </row>
    <row r="2380" spans="1:17" x14ac:dyDescent="0.25">
      <c r="A2380">
        <v>731305</v>
      </c>
      <c r="B2380" t="s">
        <v>3692</v>
      </c>
      <c r="C2380">
        <v>1.58</v>
      </c>
      <c r="D2380">
        <v>0.15</v>
      </c>
      <c r="E2380">
        <v>1.55</v>
      </c>
      <c r="F2380">
        <v>1.68</v>
      </c>
      <c r="G2380">
        <v>1.43</v>
      </c>
      <c r="H2380">
        <v>1.54</v>
      </c>
      <c r="I2380" s="1">
        <v>1720000</v>
      </c>
      <c r="J2380" s="1">
        <v>2651140</v>
      </c>
      <c r="K2380">
        <v>97</v>
      </c>
      <c r="L2380">
        <v>1.57</v>
      </c>
      <c r="M2380">
        <v>1.61</v>
      </c>
      <c r="N2380" s="1">
        <v>10000000</v>
      </c>
      <c r="O2380">
        <v>1.58</v>
      </c>
      <c r="P2380">
        <v>3.04</v>
      </c>
      <c r="Q2380">
        <v>0.12</v>
      </c>
    </row>
    <row r="2381" spans="1:17" x14ac:dyDescent="0.25">
      <c r="A2381">
        <v>731306</v>
      </c>
      <c r="B2381" t="s">
        <v>3693</v>
      </c>
      <c r="C2381" t="s">
        <v>78</v>
      </c>
      <c r="D2381" t="s">
        <v>78</v>
      </c>
      <c r="E2381" t="s">
        <v>78</v>
      </c>
      <c r="F2381" t="s">
        <v>78</v>
      </c>
      <c r="G2381" t="s">
        <v>78</v>
      </c>
      <c r="H2381">
        <v>0.81</v>
      </c>
      <c r="I2381" s="1">
        <v>0</v>
      </c>
      <c r="J2381" s="1">
        <v>0</v>
      </c>
      <c r="K2381">
        <v>0</v>
      </c>
      <c r="L2381">
        <v>0.86</v>
      </c>
      <c r="M2381">
        <v>0.88</v>
      </c>
      <c r="N2381" s="1">
        <v>10000000</v>
      </c>
      <c r="O2381">
        <v>0.86</v>
      </c>
      <c r="P2381">
        <v>1.51</v>
      </c>
      <c r="Q2381">
        <v>0.21</v>
      </c>
    </row>
    <row r="2382" spans="1:17" x14ac:dyDescent="0.25">
      <c r="A2382">
        <v>731307</v>
      </c>
      <c r="B2382" t="s">
        <v>3694</v>
      </c>
      <c r="C2382">
        <v>0.18</v>
      </c>
      <c r="D2382">
        <v>0</v>
      </c>
      <c r="E2382">
        <v>0.18</v>
      </c>
      <c r="F2382">
        <v>0.18</v>
      </c>
      <c r="G2382">
        <v>0.18</v>
      </c>
      <c r="H2382">
        <v>0.18</v>
      </c>
      <c r="I2382" s="1">
        <v>7000</v>
      </c>
      <c r="J2382" s="1">
        <v>1260</v>
      </c>
      <c r="K2382">
        <v>1</v>
      </c>
      <c r="L2382">
        <v>0.16</v>
      </c>
      <c r="M2382">
        <v>0.17</v>
      </c>
      <c r="N2382" s="1">
        <v>10000000</v>
      </c>
      <c r="O2382">
        <v>0.18</v>
      </c>
      <c r="P2382">
        <v>0.45</v>
      </c>
      <c r="Q2382">
        <v>0.01</v>
      </c>
    </row>
    <row r="2383" spans="1:17" x14ac:dyDescent="0.25">
      <c r="A2383">
        <v>731308</v>
      </c>
      <c r="B2383" t="s">
        <v>3695</v>
      </c>
      <c r="C2383" t="s">
        <v>78</v>
      </c>
      <c r="D2383" t="s">
        <v>78</v>
      </c>
      <c r="E2383" t="s">
        <v>78</v>
      </c>
      <c r="F2383" t="s">
        <v>78</v>
      </c>
      <c r="G2383" t="s">
        <v>78</v>
      </c>
      <c r="H2383">
        <v>4.26</v>
      </c>
      <c r="I2383" s="1">
        <v>0</v>
      </c>
      <c r="J2383" s="1">
        <v>0</v>
      </c>
      <c r="K2383">
        <v>0</v>
      </c>
      <c r="L2383">
        <v>3.79</v>
      </c>
      <c r="M2383">
        <v>0</v>
      </c>
      <c r="N2383" s="1">
        <v>5000000</v>
      </c>
      <c r="O2383">
        <v>3.94</v>
      </c>
      <c r="P2383">
        <v>4.9000000000000004</v>
      </c>
      <c r="Q2383">
        <v>2.98</v>
      </c>
    </row>
    <row r="2384" spans="1:17" x14ac:dyDescent="0.25">
      <c r="A2384">
        <v>731309</v>
      </c>
      <c r="B2384" t="s">
        <v>3696</v>
      </c>
      <c r="C2384" t="s">
        <v>78</v>
      </c>
      <c r="D2384" t="s">
        <v>78</v>
      </c>
      <c r="E2384" t="s">
        <v>78</v>
      </c>
      <c r="F2384" t="s">
        <v>78</v>
      </c>
      <c r="G2384" t="s">
        <v>78</v>
      </c>
      <c r="H2384">
        <v>0.12</v>
      </c>
      <c r="I2384" s="1">
        <v>0</v>
      </c>
      <c r="J2384" s="1">
        <v>0</v>
      </c>
      <c r="K2384">
        <v>0</v>
      </c>
      <c r="L2384">
        <v>0.1</v>
      </c>
      <c r="M2384">
        <v>0.12</v>
      </c>
      <c r="N2384" s="1">
        <v>5000000</v>
      </c>
      <c r="O2384">
        <v>0.12</v>
      </c>
      <c r="P2384">
        <v>0.83</v>
      </c>
      <c r="Q2384">
        <v>0.01</v>
      </c>
    </row>
    <row r="2385" spans="1:17" x14ac:dyDescent="0.25">
      <c r="A2385">
        <v>731310</v>
      </c>
      <c r="B2385" t="s">
        <v>3697</v>
      </c>
      <c r="C2385">
        <v>0.99</v>
      </c>
      <c r="D2385">
        <v>-0.01</v>
      </c>
      <c r="E2385">
        <v>1.04</v>
      </c>
      <c r="F2385">
        <v>1.04</v>
      </c>
      <c r="G2385">
        <v>0.99</v>
      </c>
      <c r="H2385">
        <v>1</v>
      </c>
      <c r="I2385" s="1">
        <v>18000</v>
      </c>
      <c r="J2385" s="1">
        <v>17920</v>
      </c>
      <c r="K2385">
        <v>3</v>
      </c>
      <c r="L2385">
        <v>0.99</v>
      </c>
      <c r="M2385">
        <v>1.02</v>
      </c>
      <c r="N2385" s="1">
        <v>10000000</v>
      </c>
      <c r="O2385">
        <v>0.99</v>
      </c>
      <c r="P2385">
        <v>1.59</v>
      </c>
      <c r="Q2385">
        <v>0.39</v>
      </c>
    </row>
    <row r="2386" spans="1:17" x14ac:dyDescent="0.25">
      <c r="A2386">
        <v>731311</v>
      </c>
      <c r="B2386" t="s">
        <v>3698</v>
      </c>
      <c r="C2386">
        <v>0.35</v>
      </c>
      <c r="D2386">
        <v>-0.03</v>
      </c>
      <c r="E2386">
        <v>0.37</v>
      </c>
      <c r="F2386">
        <v>0.37</v>
      </c>
      <c r="G2386">
        <v>0.34</v>
      </c>
      <c r="H2386">
        <v>0.36</v>
      </c>
      <c r="I2386" s="1">
        <v>425000</v>
      </c>
      <c r="J2386" s="1">
        <v>153390</v>
      </c>
      <c r="K2386">
        <v>13</v>
      </c>
      <c r="L2386">
        <v>0.34</v>
      </c>
      <c r="M2386">
        <v>0.37</v>
      </c>
      <c r="N2386" s="1">
        <v>6950000</v>
      </c>
      <c r="O2386">
        <v>0.35</v>
      </c>
      <c r="P2386">
        <v>1.28</v>
      </c>
      <c r="Q2386">
        <v>0.01</v>
      </c>
    </row>
    <row r="2387" spans="1:17" x14ac:dyDescent="0.25">
      <c r="A2387">
        <v>731312</v>
      </c>
      <c r="B2387" t="s">
        <v>3699</v>
      </c>
      <c r="C2387">
        <v>2.77</v>
      </c>
      <c r="D2387">
        <v>0.05</v>
      </c>
      <c r="E2387">
        <v>2.89</v>
      </c>
      <c r="F2387">
        <v>2.89</v>
      </c>
      <c r="G2387">
        <v>2.77</v>
      </c>
      <c r="H2387">
        <v>2.89</v>
      </c>
      <c r="I2387" s="1">
        <v>102000</v>
      </c>
      <c r="J2387" s="1">
        <v>294540</v>
      </c>
      <c r="K2387">
        <v>11</v>
      </c>
      <c r="L2387">
        <v>2.74</v>
      </c>
      <c r="M2387">
        <v>2.84</v>
      </c>
      <c r="N2387" s="1">
        <v>5000000</v>
      </c>
      <c r="O2387">
        <v>2.77</v>
      </c>
      <c r="P2387">
        <v>3.86</v>
      </c>
      <c r="Q2387">
        <v>1.68</v>
      </c>
    </row>
    <row r="2388" spans="1:17" x14ac:dyDescent="0.25">
      <c r="A2388">
        <v>731313</v>
      </c>
      <c r="B2388" t="s">
        <v>3700</v>
      </c>
      <c r="C2388">
        <v>3.19</v>
      </c>
      <c r="D2388">
        <v>-0.78</v>
      </c>
      <c r="E2388">
        <v>3.23</v>
      </c>
      <c r="F2388">
        <v>3.39</v>
      </c>
      <c r="G2388">
        <v>3.19</v>
      </c>
      <c r="H2388">
        <v>3.26</v>
      </c>
      <c r="I2388" s="1">
        <v>95000</v>
      </c>
      <c r="J2388" s="1">
        <v>309600</v>
      </c>
      <c r="K2388">
        <v>9</v>
      </c>
      <c r="L2388">
        <v>3.49</v>
      </c>
      <c r="M2388">
        <v>3.59</v>
      </c>
      <c r="N2388" s="1">
        <v>5000000</v>
      </c>
      <c r="O2388">
        <v>3.19</v>
      </c>
      <c r="P2388">
        <v>4.83</v>
      </c>
      <c r="Q2388">
        <v>1.55</v>
      </c>
    </row>
    <row r="2389" spans="1:17" x14ac:dyDescent="0.25">
      <c r="A2389">
        <v>731314</v>
      </c>
      <c r="B2389" t="s">
        <v>3701</v>
      </c>
      <c r="C2389" t="s">
        <v>78</v>
      </c>
      <c r="D2389" t="s">
        <v>78</v>
      </c>
      <c r="E2389" t="s">
        <v>78</v>
      </c>
      <c r="F2389" t="s">
        <v>78</v>
      </c>
      <c r="G2389" t="s">
        <v>78</v>
      </c>
      <c r="H2389">
        <v>0.04</v>
      </c>
      <c r="I2389" s="1">
        <v>0</v>
      </c>
      <c r="J2389" s="1">
        <v>0</v>
      </c>
      <c r="K2389">
        <v>0</v>
      </c>
      <c r="L2389">
        <v>0.04</v>
      </c>
      <c r="M2389">
        <v>0.1</v>
      </c>
      <c r="N2389" s="1">
        <v>10000000</v>
      </c>
      <c r="O2389">
        <v>0.04</v>
      </c>
      <c r="P2389">
        <v>0.52</v>
      </c>
      <c r="Q2389">
        <v>0.01</v>
      </c>
    </row>
    <row r="2390" spans="1:17" x14ac:dyDescent="0.25">
      <c r="A2390">
        <v>731315</v>
      </c>
      <c r="B2390" t="s">
        <v>3702</v>
      </c>
      <c r="C2390">
        <v>0.32</v>
      </c>
      <c r="D2390">
        <v>-0.01</v>
      </c>
      <c r="E2390">
        <v>0.32</v>
      </c>
      <c r="F2390">
        <v>0.32</v>
      </c>
      <c r="G2390">
        <v>0.32</v>
      </c>
      <c r="H2390">
        <v>0.32</v>
      </c>
      <c r="I2390" s="1">
        <v>47000</v>
      </c>
      <c r="J2390" s="1">
        <v>15040</v>
      </c>
      <c r="K2390">
        <v>1</v>
      </c>
      <c r="L2390">
        <v>0.31</v>
      </c>
      <c r="M2390">
        <v>0.32</v>
      </c>
      <c r="N2390" s="1">
        <v>5000000</v>
      </c>
      <c r="O2390">
        <v>0.32</v>
      </c>
      <c r="P2390">
        <v>1.31</v>
      </c>
      <c r="Q2390">
        <v>0.01</v>
      </c>
    </row>
    <row r="2391" spans="1:17" x14ac:dyDescent="0.25">
      <c r="A2391">
        <v>731316</v>
      </c>
      <c r="B2391" t="s">
        <v>3703</v>
      </c>
      <c r="C2391" t="s">
        <v>78</v>
      </c>
      <c r="D2391" t="s">
        <v>78</v>
      </c>
      <c r="E2391" t="s">
        <v>78</v>
      </c>
      <c r="F2391" t="s">
        <v>78</v>
      </c>
      <c r="G2391" t="s">
        <v>78</v>
      </c>
      <c r="H2391">
        <v>10</v>
      </c>
      <c r="I2391" s="1">
        <v>0</v>
      </c>
      <c r="J2391" s="1">
        <v>0</v>
      </c>
      <c r="K2391">
        <v>0</v>
      </c>
      <c r="L2391">
        <v>10.5</v>
      </c>
      <c r="M2391">
        <v>10.7</v>
      </c>
      <c r="N2391" s="1">
        <v>10000000</v>
      </c>
      <c r="O2391">
        <v>10.5</v>
      </c>
      <c r="P2391">
        <v>13.4</v>
      </c>
      <c r="Q2391">
        <v>7.55</v>
      </c>
    </row>
    <row r="2392" spans="1:17" x14ac:dyDescent="0.25">
      <c r="A2392">
        <v>731317</v>
      </c>
      <c r="B2392" t="s">
        <v>3704</v>
      </c>
      <c r="C2392" t="s">
        <v>78</v>
      </c>
      <c r="D2392" t="s">
        <v>78</v>
      </c>
      <c r="E2392" t="s">
        <v>78</v>
      </c>
      <c r="F2392" t="s">
        <v>78</v>
      </c>
      <c r="G2392" t="s">
        <v>78</v>
      </c>
      <c r="H2392">
        <v>0.02</v>
      </c>
      <c r="I2392" s="1">
        <v>0</v>
      </c>
      <c r="J2392" s="1">
        <v>0</v>
      </c>
      <c r="K2392">
        <v>0</v>
      </c>
      <c r="L2392">
        <v>0</v>
      </c>
      <c r="M2392">
        <v>0.01</v>
      </c>
      <c r="N2392" s="1">
        <v>10000000</v>
      </c>
      <c r="O2392">
        <v>0.01</v>
      </c>
      <c r="P2392">
        <v>1.01</v>
      </c>
      <c r="Q2392">
        <v>0.01</v>
      </c>
    </row>
    <row r="2393" spans="1:17" x14ac:dyDescent="0.25">
      <c r="A2393">
        <v>731318</v>
      </c>
      <c r="B2393" t="s">
        <v>3705</v>
      </c>
      <c r="C2393" t="s">
        <v>78</v>
      </c>
      <c r="D2393" t="s">
        <v>78</v>
      </c>
      <c r="E2393" t="s">
        <v>78</v>
      </c>
      <c r="F2393" t="s">
        <v>78</v>
      </c>
      <c r="G2393" t="s">
        <v>78</v>
      </c>
      <c r="H2393">
        <v>7.0000000000000007E-2</v>
      </c>
      <c r="I2393" s="1">
        <v>0</v>
      </c>
      <c r="J2393" s="1">
        <v>0</v>
      </c>
      <c r="K2393">
        <v>0</v>
      </c>
      <c r="L2393">
        <v>0.02</v>
      </c>
      <c r="M2393">
        <v>0.05</v>
      </c>
      <c r="N2393" s="1">
        <v>10000000</v>
      </c>
      <c r="O2393">
        <v>0.05</v>
      </c>
      <c r="P2393">
        <v>1</v>
      </c>
      <c r="Q2393">
        <v>0.01</v>
      </c>
    </row>
    <row r="2394" spans="1:17" x14ac:dyDescent="0.25">
      <c r="A2394">
        <v>731319</v>
      </c>
      <c r="B2394" t="s">
        <v>3706</v>
      </c>
      <c r="C2394">
        <v>0.09</v>
      </c>
      <c r="D2394">
        <v>0</v>
      </c>
      <c r="E2394">
        <v>0.09</v>
      </c>
      <c r="F2394">
        <v>0.09</v>
      </c>
      <c r="G2394">
        <v>0.09</v>
      </c>
      <c r="H2394">
        <v>0.09</v>
      </c>
      <c r="I2394" s="1">
        <v>33000</v>
      </c>
      <c r="J2394" s="1">
        <v>2970</v>
      </c>
      <c r="K2394">
        <v>2</v>
      </c>
      <c r="L2394">
        <v>0.09</v>
      </c>
      <c r="M2394">
        <v>0</v>
      </c>
      <c r="N2394" s="1">
        <v>5000000</v>
      </c>
      <c r="O2394">
        <v>0.09</v>
      </c>
      <c r="P2394">
        <v>0.57999999999999996</v>
      </c>
      <c r="Q2394">
        <v>0.01</v>
      </c>
    </row>
    <row r="2395" spans="1:17" x14ac:dyDescent="0.25">
      <c r="A2395">
        <v>731320</v>
      </c>
      <c r="B2395" t="s">
        <v>3707</v>
      </c>
      <c r="C2395">
        <v>2.91</v>
      </c>
      <c r="D2395">
        <v>0.13</v>
      </c>
      <c r="E2395">
        <v>2.91</v>
      </c>
      <c r="F2395">
        <v>2.91</v>
      </c>
      <c r="G2395">
        <v>2.91</v>
      </c>
      <c r="H2395">
        <v>2.91</v>
      </c>
      <c r="I2395" s="1">
        <v>4000</v>
      </c>
      <c r="J2395" s="1">
        <v>11640</v>
      </c>
      <c r="K2395">
        <v>1</v>
      </c>
      <c r="L2395">
        <v>2.77</v>
      </c>
      <c r="M2395">
        <v>2.87</v>
      </c>
      <c r="N2395" s="1">
        <v>5000000</v>
      </c>
      <c r="O2395">
        <v>2.91</v>
      </c>
      <c r="P2395">
        <v>3.63</v>
      </c>
      <c r="Q2395">
        <v>2.16</v>
      </c>
    </row>
    <row r="2396" spans="1:17" x14ac:dyDescent="0.25">
      <c r="A2396">
        <v>731321</v>
      </c>
      <c r="B2396" t="s">
        <v>3708</v>
      </c>
      <c r="C2396">
        <v>0.88</v>
      </c>
      <c r="D2396">
        <v>0</v>
      </c>
      <c r="E2396">
        <v>0.9</v>
      </c>
      <c r="F2396">
        <v>0.92</v>
      </c>
      <c r="G2396">
        <v>0.88</v>
      </c>
      <c r="H2396">
        <v>0.9</v>
      </c>
      <c r="I2396" s="1">
        <v>45000</v>
      </c>
      <c r="J2396" s="1">
        <v>40500</v>
      </c>
      <c r="K2396">
        <v>7</v>
      </c>
      <c r="L2396">
        <v>0.86</v>
      </c>
      <c r="M2396">
        <v>0.87</v>
      </c>
      <c r="N2396" s="1">
        <v>5000000</v>
      </c>
      <c r="O2396">
        <v>0.88</v>
      </c>
      <c r="P2396">
        <v>1.51</v>
      </c>
      <c r="Q2396">
        <v>0.25</v>
      </c>
    </row>
    <row r="2397" spans="1:17" x14ac:dyDescent="0.25">
      <c r="A2397">
        <v>731322</v>
      </c>
      <c r="B2397" t="s">
        <v>3709</v>
      </c>
      <c r="C2397" t="s">
        <v>78</v>
      </c>
      <c r="D2397" t="s">
        <v>78</v>
      </c>
      <c r="E2397" t="s">
        <v>78</v>
      </c>
      <c r="F2397" t="s">
        <v>78</v>
      </c>
      <c r="G2397" t="s">
        <v>78</v>
      </c>
      <c r="H2397">
        <v>1.23</v>
      </c>
      <c r="I2397" s="1">
        <v>0</v>
      </c>
      <c r="J2397" s="1">
        <v>0</v>
      </c>
      <c r="K2397">
        <v>0</v>
      </c>
      <c r="L2397">
        <v>1.0900000000000001</v>
      </c>
      <c r="M2397">
        <v>1.1399999999999999</v>
      </c>
      <c r="N2397" s="1">
        <v>5000000</v>
      </c>
      <c r="O2397">
        <v>1.1399999999999999</v>
      </c>
      <c r="P2397">
        <v>2.08</v>
      </c>
      <c r="Q2397">
        <v>0.2</v>
      </c>
    </row>
    <row r="2398" spans="1:17" x14ac:dyDescent="0.25">
      <c r="A2398">
        <v>731323</v>
      </c>
      <c r="B2398" t="s">
        <v>3710</v>
      </c>
      <c r="C2398" t="s">
        <v>78</v>
      </c>
      <c r="D2398" t="s">
        <v>78</v>
      </c>
      <c r="E2398" t="s">
        <v>78</v>
      </c>
      <c r="F2398" t="s">
        <v>78</v>
      </c>
      <c r="G2398" t="s">
        <v>78</v>
      </c>
      <c r="H2398">
        <v>7.0000000000000007E-2</v>
      </c>
      <c r="I2398" s="1">
        <v>0</v>
      </c>
      <c r="J2398" s="1">
        <v>0</v>
      </c>
      <c r="K2398">
        <v>0</v>
      </c>
      <c r="L2398">
        <v>7.0000000000000007E-2</v>
      </c>
      <c r="M2398">
        <v>0.08</v>
      </c>
      <c r="N2398" s="1">
        <v>10000000</v>
      </c>
      <c r="O2398">
        <v>7.0000000000000007E-2</v>
      </c>
      <c r="P2398">
        <v>2.35</v>
      </c>
      <c r="Q2398">
        <v>0.01</v>
      </c>
    </row>
    <row r="2399" spans="1:17" x14ac:dyDescent="0.25">
      <c r="A2399">
        <v>731324</v>
      </c>
      <c r="B2399" t="s">
        <v>3711</v>
      </c>
      <c r="C2399" t="s">
        <v>78</v>
      </c>
      <c r="D2399" t="s">
        <v>78</v>
      </c>
      <c r="E2399" t="s">
        <v>78</v>
      </c>
      <c r="F2399" t="s">
        <v>78</v>
      </c>
      <c r="G2399" t="s">
        <v>78</v>
      </c>
      <c r="H2399">
        <v>0.05</v>
      </c>
      <c r="I2399" s="1">
        <v>0</v>
      </c>
      <c r="J2399" s="1">
        <v>0</v>
      </c>
      <c r="K2399">
        <v>0</v>
      </c>
      <c r="L2399">
        <v>0.02</v>
      </c>
      <c r="M2399">
        <v>0.03</v>
      </c>
      <c r="N2399" s="1">
        <v>10000000</v>
      </c>
      <c r="O2399">
        <v>0.03</v>
      </c>
      <c r="P2399">
        <v>1.1599999999999999</v>
      </c>
      <c r="Q2399">
        <v>0.01</v>
      </c>
    </row>
    <row r="2400" spans="1:17" x14ac:dyDescent="0.25">
      <c r="A2400">
        <v>731325</v>
      </c>
      <c r="B2400" t="s">
        <v>3712</v>
      </c>
      <c r="C2400" t="s">
        <v>78</v>
      </c>
      <c r="D2400" t="s">
        <v>78</v>
      </c>
      <c r="E2400" t="s">
        <v>78</v>
      </c>
      <c r="F2400" t="s">
        <v>78</v>
      </c>
      <c r="G2400" t="s">
        <v>78</v>
      </c>
      <c r="H2400">
        <v>5.95</v>
      </c>
      <c r="I2400" s="1">
        <v>0</v>
      </c>
      <c r="J2400" s="1">
        <v>0</v>
      </c>
      <c r="K2400">
        <v>0</v>
      </c>
      <c r="L2400">
        <v>4.8099999999999996</v>
      </c>
      <c r="M2400">
        <v>4.91</v>
      </c>
      <c r="N2400" s="1">
        <v>5000000</v>
      </c>
      <c r="O2400">
        <v>4.91</v>
      </c>
      <c r="P2400">
        <v>6.45</v>
      </c>
      <c r="Q2400">
        <v>3.33</v>
      </c>
    </row>
    <row r="2401" spans="1:17" x14ac:dyDescent="0.25">
      <c r="A2401">
        <v>731326</v>
      </c>
      <c r="B2401" t="s">
        <v>3713</v>
      </c>
      <c r="C2401">
        <v>0.84</v>
      </c>
      <c r="D2401">
        <v>0.08</v>
      </c>
      <c r="E2401">
        <v>0.85</v>
      </c>
      <c r="F2401">
        <v>0.85</v>
      </c>
      <c r="G2401">
        <v>0.84</v>
      </c>
      <c r="H2401">
        <v>0.84</v>
      </c>
      <c r="I2401" s="1">
        <v>2000</v>
      </c>
      <c r="J2401" s="1">
        <v>1690</v>
      </c>
      <c r="K2401">
        <v>2</v>
      </c>
      <c r="L2401">
        <v>0.79</v>
      </c>
      <c r="M2401">
        <v>0.81</v>
      </c>
      <c r="N2401" s="1">
        <v>10000000</v>
      </c>
      <c r="O2401">
        <v>0.84</v>
      </c>
      <c r="P2401">
        <v>1.81</v>
      </c>
      <c r="Q2401">
        <v>0.01</v>
      </c>
    </row>
    <row r="2402" spans="1:17" x14ac:dyDescent="0.25">
      <c r="A2402">
        <v>731327</v>
      </c>
      <c r="B2402" t="s">
        <v>3714</v>
      </c>
      <c r="C2402">
        <v>0.19</v>
      </c>
      <c r="D2402">
        <v>0.02</v>
      </c>
      <c r="E2402">
        <v>0.19</v>
      </c>
      <c r="F2402">
        <v>0.19</v>
      </c>
      <c r="G2402">
        <v>0.19</v>
      </c>
      <c r="H2402">
        <v>0.19</v>
      </c>
      <c r="I2402" s="1">
        <v>57000</v>
      </c>
      <c r="J2402" s="1">
        <v>10830</v>
      </c>
      <c r="K2402">
        <v>1</v>
      </c>
      <c r="L2402">
        <v>0.18</v>
      </c>
      <c r="M2402">
        <v>0.19</v>
      </c>
      <c r="N2402" s="1">
        <v>10000000</v>
      </c>
      <c r="O2402">
        <v>0.19</v>
      </c>
      <c r="P2402">
        <v>0.78</v>
      </c>
      <c r="Q2402">
        <v>0.01</v>
      </c>
    </row>
    <row r="2403" spans="1:17" x14ac:dyDescent="0.25">
      <c r="A2403">
        <v>731328</v>
      </c>
      <c r="B2403" t="s">
        <v>3715</v>
      </c>
      <c r="C2403">
        <v>2</v>
      </c>
      <c r="D2403">
        <v>-0.13</v>
      </c>
      <c r="E2403">
        <v>2.31</v>
      </c>
      <c r="F2403">
        <v>2.31</v>
      </c>
      <c r="G2403">
        <v>2</v>
      </c>
      <c r="H2403">
        <v>2.04</v>
      </c>
      <c r="I2403" s="1">
        <v>116000</v>
      </c>
      <c r="J2403" s="1">
        <v>237010</v>
      </c>
      <c r="K2403">
        <v>4</v>
      </c>
      <c r="L2403">
        <v>1.99</v>
      </c>
      <c r="M2403">
        <v>2</v>
      </c>
      <c r="N2403" s="1">
        <v>10000000</v>
      </c>
      <c r="O2403">
        <v>2</v>
      </c>
      <c r="P2403">
        <v>2.9</v>
      </c>
      <c r="Q2403">
        <v>1.1000000000000001</v>
      </c>
    </row>
    <row r="2404" spans="1:17" x14ac:dyDescent="0.25">
      <c r="A2404">
        <v>731329</v>
      </c>
      <c r="B2404" t="s">
        <v>3716</v>
      </c>
      <c r="C2404">
        <v>2.0499999999999998</v>
      </c>
      <c r="D2404">
        <v>7.0000000000000007E-2</v>
      </c>
      <c r="E2404">
        <v>2.0499999999999998</v>
      </c>
      <c r="F2404">
        <v>2.0499999999999998</v>
      </c>
      <c r="G2404">
        <v>2.0499999999999998</v>
      </c>
      <c r="H2404">
        <v>2.0499999999999998</v>
      </c>
      <c r="I2404" s="1">
        <v>9000</v>
      </c>
      <c r="J2404" s="1">
        <v>18450</v>
      </c>
      <c r="K2404">
        <v>1</v>
      </c>
      <c r="L2404">
        <v>1.8</v>
      </c>
      <c r="M2404">
        <v>1.87</v>
      </c>
      <c r="N2404" s="1">
        <v>10000000</v>
      </c>
      <c r="O2404">
        <v>2.0499999999999998</v>
      </c>
      <c r="P2404">
        <v>2.9</v>
      </c>
      <c r="Q2404">
        <v>1.2</v>
      </c>
    </row>
    <row r="2405" spans="1:17" x14ac:dyDescent="0.25">
      <c r="A2405">
        <v>731330</v>
      </c>
      <c r="B2405" t="s">
        <v>3717</v>
      </c>
      <c r="C2405">
        <v>1.1100000000000001</v>
      </c>
      <c r="D2405">
        <v>0.22</v>
      </c>
      <c r="E2405">
        <v>0.92</v>
      </c>
      <c r="F2405">
        <v>1.1100000000000001</v>
      </c>
      <c r="G2405">
        <v>0.92</v>
      </c>
      <c r="H2405">
        <v>0.95</v>
      </c>
      <c r="I2405" s="1">
        <v>11000</v>
      </c>
      <c r="J2405" s="1">
        <v>10410</v>
      </c>
      <c r="K2405">
        <v>3</v>
      </c>
      <c r="L2405">
        <v>1.01</v>
      </c>
      <c r="M2405">
        <v>1.1100000000000001</v>
      </c>
      <c r="N2405" s="1">
        <v>10000000</v>
      </c>
      <c r="O2405">
        <v>1.1100000000000001</v>
      </c>
      <c r="P2405">
        <v>2.79</v>
      </c>
      <c r="Q2405">
        <v>0.01</v>
      </c>
    </row>
    <row r="2406" spans="1:17" x14ac:dyDescent="0.25">
      <c r="A2406">
        <v>731331</v>
      </c>
      <c r="B2406" t="s">
        <v>3718</v>
      </c>
      <c r="C2406" t="s">
        <v>78</v>
      </c>
      <c r="D2406" t="s">
        <v>78</v>
      </c>
      <c r="E2406" t="s">
        <v>78</v>
      </c>
      <c r="F2406" t="s">
        <v>78</v>
      </c>
      <c r="G2406" t="s">
        <v>78</v>
      </c>
      <c r="H2406">
        <v>0.13</v>
      </c>
      <c r="I2406" s="1">
        <v>0</v>
      </c>
      <c r="J2406" s="1">
        <v>0</v>
      </c>
      <c r="K2406">
        <v>0</v>
      </c>
      <c r="L2406">
        <v>0.1</v>
      </c>
      <c r="M2406">
        <v>0.11</v>
      </c>
      <c r="N2406" s="1">
        <v>10000000</v>
      </c>
      <c r="O2406">
        <v>0.11</v>
      </c>
      <c r="P2406">
        <v>0.62</v>
      </c>
      <c r="Q2406">
        <v>0.01</v>
      </c>
    </row>
    <row r="2407" spans="1:17" x14ac:dyDescent="0.25">
      <c r="A2407">
        <v>731332</v>
      </c>
      <c r="B2407" t="s">
        <v>3719</v>
      </c>
      <c r="C2407">
        <v>0.38</v>
      </c>
      <c r="D2407">
        <v>-0.02</v>
      </c>
      <c r="E2407">
        <v>0.38</v>
      </c>
      <c r="F2407">
        <v>0.38</v>
      </c>
      <c r="G2407">
        <v>0.36</v>
      </c>
      <c r="H2407">
        <v>0.37</v>
      </c>
      <c r="I2407" s="1">
        <v>261000</v>
      </c>
      <c r="J2407" s="1">
        <v>97460</v>
      </c>
      <c r="K2407">
        <v>13</v>
      </c>
      <c r="L2407">
        <v>0.37</v>
      </c>
      <c r="M2407">
        <v>0.38</v>
      </c>
      <c r="N2407" s="1">
        <v>10000000</v>
      </c>
      <c r="O2407">
        <v>0.38</v>
      </c>
      <c r="P2407">
        <v>0.73</v>
      </c>
      <c r="Q2407">
        <v>0.03</v>
      </c>
    </row>
    <row r="2408" spans="1:17" x14ac:dyDescent="0.25">
      <c r="A2408">
        <v>731333</v>
      </c>
      <c r="B2408" t="s">
        <v>3720</v>
      </c>
      <c r="C2408">
        <v>4.3600000000000003</v>
      </c>
      <c r="D2408">
        <v>0.17</v>
      </c>
      <c r="E2408">
        <v>4.3600000000000003</v>
      </c>
      <c r="F2408">
        <v>4.3600000000000003</v>
      </c>
      <c r="G2408">
        <v>4.3600000000000003</v>
      </c>
      <c r="H2408">
        <v>4.3600000000000003</v>
      </c>
      <c r="I2408" s="1">
        <v>1000</v>
      </c>
      <c r="J2408" s="1">
        <v>4360</v>
      </c>
      <c r="K2408">
        <v>1</v>
      </c>
      <c r="L2408">
        <v>4.2699999999999996</v>
      </c>
      <c r="M2408">
        <v>4.3600000000000003</v>
      </c>
      <c r="N2408" s="1">
        <v>10000000</v>
      </c>
      <c r="O2408">
        <v>4.3600000000000003</v>
      </c>
      <c r="P2408">
        <v>5.4</v>
      </c>
      <c r="Q2408">
        <v>3.3</v>
      </c>
    </row>
    <row r="2409" spans="1:17" x14ac:dyDescent="0.25">
      <c r="A2409">
        <v>731334</v>
      </c>
      <c r="B2409" t="s">
        <v>3721</v>
      </c>
      <c r="C2409" t="s">
        <v>78</v>
      </c>
      <c r="D2409" t="s">
        <v>78</v>
      </c>
      <c r="E2409" t="s">
        <v>78</v>
      </c>
      <c r="F2409" t="s">
        <v>78</v>
      </c>
      <c r="G2409" t="s">
        <v>78</v>
      </c>
      <c r="H2409">
        <v>1.49</v>
      </c>
      <c r="I2409" s="1">
        <v>0</v>
      </c>
      <c r="J2409" s="1">
        <v>0</v>
      </c>
      <c r="K2409">
        <v>0</v>
      </c>
      <c r="L2409">
        <v>1.36</v>
      </c>
      <c r="M2409">
        <v>1.42</v>
      </c>
      <c r="N2409" s="1">
        <v>10000000</v>
      </c>
      <c r="O2409">
        <v>1.42</v>
      </c>
      <c r="P2409">
        <v>2.08</v>
      </c>
      <c r="Q2409">
        <v>0.76</v>
      </c>
    </row>
    <row r="2410" spans="1:17" x14ac:dyDescent="0.25">
      <c r="A2410">
        <v>731335</v>
      </c>
      <c r="B2410" t="s">
        <v>3722</v>
      </c>
      <c r="C2410" t="s">
        <v>78</v>
      </c>
      <c r="D2410" t="s">
        <v>78</v>
      </c>
      <c r="E2410" t="s">
        <v>78</v>
      </c>
      <c r="F2410" t="s">
        <v>78</v>
      </c>
      <c r="G2410" t="s">
        <v>78</v>
      </c>
      <c r="H2410">
        <v>1.5</v>
      </c>
      <c r="I2410" s="1">
        <v>0</v>
      </c>
      <c r="J2410" s="1">
        <v>0</v>
      </c>
      <c r="K2410">
        <v>0</v>
      </c>
      <c r="L2410">
        <v>1.97</v>
      </c>
      <c r="M2410">
        <v>2.0499999999999998</v>
      </c>
      <c r="N2410" s="1">
        <v>15000000</v>
      </c>
      <c r="O2410">
        <v>2.0499999999999998</v>
      </c>
      <c r="P2410">
        <v>3.23</v>
      </c>
      <c r="Q2410">
        <v>0.87</v>
      </c>
    </row>
    <row r="2411" spans="1:17" x14ac:dyDescent="0.25">
      <c r="A2411">
        <v>731336</v>
      </c>
      <c r="B2411" t="s">
        <v>3723</v>
      </c>
      <c r="C2411">
        <v>3.17</v>
      </c>
      <c r="D2411">
        <v>-0.13</v>
      </c>
      <c r="E2411">
        <v>3.41</v>
      </c>
      <c r="F2411">
        <v>3.41</v>
      </c>
      <c r="G2411">
        <v>3.17</v>
      </c>
      <c r="H2411">
        <v>3.37</v>
      </c>
      <c r="I2411" s="1">
        <v>65000</v>
      </c>
      <c r="J2411" s="1">
        <v>219250</v>
      </c>
      <c r="K2411">
        <v>5</v>
      </c>
      <c r="L2411">
        <v>3.14</v>
      </c>
      <c r="M2411">
        <v>3.21</v>
      </c>
      <c r="N2411" s="1">
        <v>15000000</v>
      </c>
      <c r="O2411">
        <v>3.17</v>
      </c>
      <c r="P2411">
        <v>4.47</v>
      </c>
      <c r="Q2411">
        <v>1.87</v>
      </c>
    </row>
    <row r="2412" spans="1:17" x14ac:dyDescent="0.25">
      <c r="A2412">
        <v>731337</v>
      </c>
      <c r="B2412" t="s">
        <v>3724</v>
      </c>
      <c r="C2412">
        <v>2.97</v>
      </c>
      <c r="D2412">
        <v>-0.09</v>
      </c>
      <c r="E2412">
        <v>2.97</v>
      </c>
      <c r="F2412">
        <v>2.97</v>
      </c>
      <c r="G2412">
        <v>2.97</v>
      </c>
      <c r="H2412">
        <v>2.97</v>
      </c>
      <c r="I2412" s="1">
        <v>100000</v>
      </c>
      <c r="J2412" s="1">
        <v>297000</v>
      </c>
      <c r="K2412">
        <v>1</v>
      </c>
      <c r="L2412">
        <v>2.97</v>
      </c>
      <c r="M2412">
        <v>3.06</v>
      </c>
      <c r="N2412" s="1">
        <v>12000000</v>
      </c>
      <c r="O2412">
        <v>2.97</v>
      </c>
      <c r="P2412">
        <v>3.95</v>
      </c>
      <c r="Q2412">
        <v>1.99</v>
      </c>
    </row>
    <row r="2413" spans="1:17" x14ac:dyDescent="0.25">
      <c r="A2413">
        <v>731338</v>
      </c>
      <c r="B2413" t="s">
        <v>3725</v>
      </c>
      <c r="C2413">
        <v>0.61</v>
      </c>
      <c r="D2413">
        <v>0.03</v>
      </c>
      <c r="E2413">
        <v>0.64</v>
      </c>
      <c r="F2413">
        <v>0.7</v>
      </c>
      <c r="G2413">
        <v>0.61</v>
      </c>
      <c r="H2413">
        <v>0.66</v>
      </c>
      <c r="I2413" s="1">
        <v>1112000</v>
      </c>
      <c r="J2413" s="1">
        <v>730570</v>
      </c>
      <c r="K2413">
        <v>23</v>
      </c>
      <c r="L2413">
        <v>0.6</v>
      </c>
      <c r="M2413">
        <v>0.61</v>
      </c>
      <c r="N2413" s="1">
        <v>10000000</v>
      </c>
      <c r="O2413">
        <v>0.61</v>
      </c>
      <c r="P2413">
        <v>1.18</v>
      </c>
      <c r="Q2413">
        <v>0.04</v>
      </c>
    </row>
    <row r="2414" spans="1:17" x14ac:dyDescent="0.25">
      <c r="A2414">
        <v>731339</v>
      </c>
      <c r="B2414" t="s">
        <v>3726</v>
      </c>
      <c r="C2414">
        <v>0.28999999999999998</v>
      </c>
      <c r="D2414">
        <v>-0.01</v>
      </c>
      <c r="E2414">
        <v>0.3</v>
      </c>
      <c r="F2414">
        <v>0.3</v>
      </c>
      <c r="G2414">
        <v>0.28999999999999998</v>
      </c>
      <c r="H2414">
        <v>0.3</v>
      </c>
      <c r="I2414" s="1">
        <v>112000</v>
      </c>
      <c r="J2414" s="1">
        <v>33480</v>
      </c>
      <c r="K2414">
        <v>9</v>
      </c>
      <c r="L2414">
        <v>0.28999999999999998</v>
      </c>
      <c r="M2414">
        <v>0.3</v>
      </c>
      <c r="N2414" s="1">
        <v>10000000</v>
      </c>
      <c r="O2414">
        <v>0.28999999999999998</v>
      </c>
      <c r="P2414">
        <v>0.99</v>
      </c>
      <c r="Q2414">
        <v>0.01</v>
      </c>
    </row>
    <row r="2415" spans="1:17" x14ac:dyDescent="0.25">
      <c r="A2415">
        <v>731340</v>
      </c>
      <c r="B2415" t="s">
        <v>3727</v>
      </c>
      <c r="C2415">
        <v>0.51</v>
      </c>
      <c r="D2415">
        <v>-0.05</v>
      </c>
      <c r="E2415">
        <v>0.6</v>
      </c>
      <c r="F2415">
        <v>0.61</v>
      </c>
      <c r="G2415">
        <v>0.51</v>
      </c>
      <c r="H2415">
        <v>0.57999999999999996</v>
      </c>
      <c r="I2415" s="1">
        <v>791000</v>
      </c>
      <c r="J2415" s="1">
        <v>455490</v>
      </c>
      <c r="K2415">
        <v>9</v>
      </c>
      <c r="L2415">
        <v>0.51</v>
      </c>
      <c r="M2415">
        <v>0.61</v>
      </c>
      <c r="N2415" s="1">
        <v>10000000</v>
      </c>
      <c r="O2415">
        <v>0.51</v>
      </c>
      <c r="P2415">
        <v>1.34</v>
      </c>
      <c r="Q2415">
        <v>0.01</v>
      </c>
    </row>
    <row r="2416" spans="1:17" x14ac:dyDescent="0.25">
      <c r="A2416">
        <v>731341</v>
      </c>
      <c r="B2416" t="s">
        <v>3728</v>
      </c>
      <c r="C2416">
        <v>0.98</v>
      </c>
      <c r="D2416">
        <v>-0.06</v>
      </c>
      <c r="E2416">
        <v>0.96</v>
      </c>
      <c r="F2416">
        <v>0.98</v>
      </c>
      <c r="G2416">
        <v>0.92</v>
      </c>
      <c r="H2416">
        <v>0.94</v>
      </c>
      <c r="I2416" s="1">
        <v>300000</v>
      </c>
      <c r="J2416" s="1">
        <v>281500</v>
      </c>
      <c r="K2416">
        <v>5</v>
      </c>
      <c r="L2416">
        <v>0.92</v>
      </c>
      <c r="M2416">
        <v>0.93</v>
      </c>
      <c r="N2416" s="1">
        <v>10000000</v>
      </c>
      <c r="O2416">
        <v>0.98</v>
      </c>
      <c r="P2416">
        <v>1.55</v>
      </c>
      <c r="Q2416">
        <v>0.41</v>
      </c>
    </row>
    <row r="2417" spans="1:17" x14ac:dyDescent="0.25">
      <c r="A2417">
        <v>731342</v>
      </c>
      <c r="B2417" t="s">
        <v>3729</v>
      </c>
      <c r="C2417">
        <v>3.58</v>
      </c>
      <c r="D2417">
        <v>0.54</v>
      </c>
      <c r="E2417">
        <v>3.18</v>
      </c>
      <c r="F2417">
        <v>3.6</v>
      </c>
      <c r="G2417">
        <v>3.18</v>
      </c>
      <c r="H2417">
        <v>3.44</v>
      </c>
      <c r="I2417" s="1">
        <v>36000</v>
      </c>
      <c r="J2417" s="1">
        <v>123680</v>
      </c>
      <c r="K2417">
        <v>4</v>
      </c>
      <c r="L2417">
        <v>3.31</v>
      </c>
      <c r="M2417">
        <v>3.41</v>
      </c>
      <c r="N2417" s="1">
        <v>5000000</v>
      </c>
      <c r="O2417">
        <v>3.58</v>
      </c>
      <c r="P2417">
        <v>6.1</v>
      </c>
      <c r="Q2417">
        <v>1.04</v>
      </c>
    </row>
    <row r="2418" spans="1:17" x14ac:dyDescent="0.25">
      <c r="A2418">
        <v>731343</v>
      </c>
      <c r="B2418" t="s">
        <v>3730</v>
      </c>
      <c r="C2418" t="s">
        <v>78</v>
      </c>
      <c r="D2418" t="s">
        <v>78</v>
      </c>
      <c r="E2418" t="s">
        <v>78</v>
      </c>
      <c r="F2418" t="s">
        <v>78</v>
      </c>
      <c r="G2418" t="s">
        <v>78</v>
      </c>
      <c r="H2418">
        <v>0.18</v>
      </c>
      <c r="I2418" s="1">
        <v>0</v>
      </c>
      <c r="J2418" s="1">
        <v>0</v>
      </c>
      <c r="K2418">
        <v>0</v>
      </c>
      <c r="L2418">
        <v>0.15</v>
      </c>
      <c r="M2418">
        <v>0.17</v>
      </c>
      <c r="N2418" s="1">
        <v>10000000</v>
      </c>
      <c r="O2418">
        <v>0.17</v>
      </c>
      <c r="P2418">
        <v>0.61</v>
      </c>
      <c r="Q2418">
        <v>0.01</v>
      </c>
    </row>
    <row r="2419" spans="1:17" x14ac:dyDescent="0.25">
      <c r="A2419">
        <v>731344</v>
      </c>
      <c r="B2419" t="s">
        <v>3731</v>
      </c>
      <c r="C2419" t="s">
        <v>78</v>
      </c>
      <c r="D2419" t="s">
        <v>78</v>
      </c>
      <c r="E2419" t="s">
        <v>78</v>
      </c>
      <c r="F2419" t="s">
        <v>78</v>
      </c>
      <c r="G2419" t="s">
        <v>78</v>
      </c>
      <c r="H2419">
        <v>1.21</v>
      </c>
      <c r="I2419" s="1">
        <v>0</v>
      </c>
      <c r="J2419" s="1">
        <v>0</v>
      </c>
      <c r="K2419">
        <v>0</v>
      </c>
      <c r="L2419">
        <v>1.1499999999999999</v>
      </c>
      <c r="M2419">
        <v>1.17</v>
      </c>
      <c r="N2419" s="1">
        <v>10000000</v>
      </c>
      <c r="O2419">
        <v>1.17</v>
      </c>
      <c r="P2419">
        <v>1.66</v>
      </c>
      <c r="Q2419">
        <v>0.68</v>
      </c>
    </row>
    <row r="2420" spans="1:17" x14ac:dyDescent="0.25">
      <c r="A2420">
        <v>731345</v>
      </c>
      <c r="B2420" t="s">
        <v>3732</v>
      </c>
      <c r="C2420" t="s">
        <v>78</v>
      </c>
      <c r="D2420" t="s">
        <v>78</v>
      </c>
      <c r="E2420" t="s">
        <v>78</v>
      </c>
      <c r="F2420" t="s">
        <v>78</v>
      </c>
      <c r="G2420" t="s">
        <v>78</v>
      </c>
      <c r="H2420">
        <v>2.38</v>
      </c>
      <c r="I2420" s="1">
        <v>0</v>
      </c>
      <c r="J2420" s="1">
        <v>0</v>
      </c>
      <c r="K2420">
        <v>0</v>
      </c>
      <c r="L2420">
        <v>2.13</v>
      </c>
      <c r="M2420">
        <v>2.17</v>
      </c>
      <c r="N2420" s="1">
        <v>10000000</v>
      </c>
      <c r="O2420">
        <v>2.15</v>
      </c>
      <c r="P2420">
        <v>3.06</v>
      </c>
      <c r="Q2420">
        <v>1.24</v>
      </c>
    </row>
    <row r="2421" spans="1:17" x14ac:dyDescent="0.25">
      <c r="A2421">
        <v>731346</v>
      </c>
      <c r="B2421" t="s">
        <v>3733</v>
      </c>
      <c r="C2421" t="s">
        <v>78</v>
      </c>
      <c r="D2421" t="s">
        <v>78</v>
      </c>
      <c r="E2421" t="s">
        <v>78</v>
      </c>
      <c r="F2421" t="s">
        <v>78</v>
      </c>
      <c r="G2421" t="s">
        <v>78</v>
      </c>
      <c r="H2421">
        <v>4.37</v>
      </c>
      <c r="I2421" s="1">
        <v>0</v>
      </c>
      <c r="J2421" s="1">
        <v>0</v>
      </c>
      <c r="K2421">
        <v>0</v>
      </c>
      <c r="L2421">
        <v>3.78</v>
      </c>
      <c r="M2421">
        <v>3.88</v>
      </c>
      <c r="N2421" s="1">
        <v>5000000</v>
      </c>
      <c r="O2421">
        <v>3.88</v>
      </c>
      <c r="P2421">
        <v>4.8600000000000003</v>
      </c>
      <c r="Q2421">
        <v>2.9</v>
      </c>
    </row>
    <row r="2422" spans="1:17" x14ac:dyDescent="0.25">
      <c r="A2422">
        <v>731347</v>
      </c>
      <c r="B2422" t="s">
        <v>3734</v>
      </c>
      <c r="C2422">
        <v>0.79</v>
      </c>
      <c r="D2422">
        <v>0.15</v>
      </c>
      <c r="E2422">
        <v>0.62</v>
      </c>
      <c r="F2422">
        <v>0.85</v>
      </c>
      <c r="G2422">
        <v>0.59</v>
      </c>
      <c r="H2422">
        <v>0.66</v>
      </c>
      <c r="I2422" s="1">
        <v>1142000</v>
      </c>
      <c r="J2422" s="1">
        <v>751910</v>
      </c>
      <c r="K2422">
        <v>43</v>
      </c>
      <c r="L2422">
        <v>0.73</v>
      </c>
      <c r="M2422">
        <v>0.78</v>
      </c>
      <c r="N2422" s="1">
        <v>10000000</v>
      </c>
      <c r="O2422">
        <v>0.79</v>
      </c>
      <c r="P2422">
        <v>2.75</v>
      </c>
      <c r="Q2422">
        <v>0.01</v>
      </c>
    </row>
    <row r="2423" spans="1:17" x14ac:dyDescent="0.25">
      <c r="A2423">
        <v>731348</v>
      </c>
      <c r="B2423" t="s">
        <v>3735</v>
      </c>
      <c r="C2423">
        <v>0.67</v>
      </c>
      <c r="D2423">
        <v>0.01</v>
      </c>
      <c r="E2423">
        <v>0.65</v>
      </c>
      <c r="F2423">
        <v>0.67</v>
      </c>
      <c r="G2423">
        <v>0.65</v>
      </c>
      <c r="H2423">
        <v>0.67</v>
      </c>
      <c r="I2423" s="1">
        <v>600000</v>
      </c>
      <c r="J2423" s="1">
        <v>400000</v>
      </c>
      <c r="K2423">
        <v>8</v>
      </c>
      <c r="L2423">
        <v>0.69</v>
      </c>
      <c r="M2423">
        <v>0.71</v>
      </c>
      <c r="N2423" s="1">
        <v>5000000</v>
      </c>
      <c r="O2423">
        <v>0.67</v>
      </c>
      <c r="P2423">
        <v>1.47</v>
      </c>
      <c r="Q2423">
        <v>0.01</v>
      </c>
    </row>
    <row r="2424" spans="1:17" x14ac:dyDescent="0.25">
      <c r="A2424">
        <v>731349</v>
      </c>
      <c r="B2424" t="s">
        <v>3736</v>
      </c>
      <c r="C2424">
        <v>0.65</v>
      </c>
      <c r="D2424">
        <v>0.02</v>
      </c>
      <c r="E2424">
        <v>0.65</v>
      </c>
      <c r="F2424">
        <v>0.65</v>
      </c>
      <c r="G2424">
        <v>0.65</v>
      </c>
      <c r="H2424">
        <v>0.65</v>
      </c>
      <c r="I2424" s="1">
        <v>4000</v>
      </c>
      <c r="J2424" s="1">
        <v>2600</v>
      </c>
      <c r="K2424">
        <v>1</v>
      </c>
      <c r="L2424">
        <v>0.64</v>
      </c>
      <c r="M2424">
        <v>0.65</v>
      </c>
      <c r="N2424" s="1">
        <v>10000000</v>
      </c>
      <c r="O2424">
        <v>0.65</v>
      </c>
      <c r="P2424">
        <v>1.23</v>
      </c>
      <c r="Q2424">
        <v>7.0000000000000007E-2</v>
      </c>
    </row>
    <row r="2425" spans="1:17" x14ac:dyDescent="0.25">
      <c r="A2425">
        <v>731350</v>
      </c>
      <c r="B2425" t="s">
        <v>3737</v>
      </c>
      <c r="C2425">
        <v>1.46</v>
      </c>
      <c r="D2425">
        <v>0.03</v>
      </c>
      <c r="E2425">
        <v>1.57</v>
      </c>
      <c r="F2425">
        <v>1.57</v>
      </c>
      <c r="G2425">
        <v>1.46</v>
      </c>
      <c r="H2425">
        <v>1.52</v>
      </c>
      <c r="I2425" s="1">
        <v>4000</v>
      </c>
      <c r="J2425" s="1">
        <v>6060</v>
      </c>
      <c r="K2425">
        <v>3</v>
      </c>
      <c r="L2425">
        <v>1.5</v>
      </c>
      <c r="M2425">
        <v>1.56</v>
      </c>
      <c r="N2425" s="1">
        <v>6800000</v>
      </c>
      <c r="O2425">
        <v>1.46</v>
      </c>
      <c r="P2425">
        <v>2.19</v>
      </c>
      <c r="Q2425">
        <v>0.73</v>
      </c>
    </row>
    <row r="2426" spans="1:17" x14ac:dyDescent="0.25">
      <c r="A2426">
        <v>731351</v>
      </c>
      <c r="B2426" t="s">
        <v>3738</v>
      </c>
      <c r="C2426">
        <v>1.29</v>
      </c>
      <c r="D2426">
        <v>-0.11</v>
      </c>
      <c r="E2426">
        <v>1.49</v>
      </c>
      <c r="F2426">
        <v>1.49</v>
      </c>
      <c r="G2426">
        <v>1.29</v>
      </c>
      <c r="H2426">
        <v>1.42</v>
      </c>
      <c r="I2426" s="1">
        <v>1151000</v>
      </c>
      <c r="J2426" s="1">
        <v>1634710</v>
      </c>
      <c r="K2426">
        <v>28</v>
      </c>
      <c r="L2426">
        <v>1.28</v>
      </c>
      <c r="M2426">
        <v>1.29</v>
      </c>
      <c r="N2426" s="1">
        <v>5000000</v>
      </c>
      <c r="O2426">
        <v>1.29</v>
      </c>
      <c r="P2426">
        <v>1.97</v>
      </c>
      <c r="Q2426">
        <v>0.61</v>
      </c>
    </row>
    <row r="2427" spans="1:17" x14ac:dyDescent="0.25">
      <c r="A2427">
        <v>731352</v>
      </c>
      <c r="B2427" t="s">
        <v>3739</v>
      </c>
      <c r="C2427">
        <v>1.31</v>
      </c>
      <c r="D2427">
        <v>-0.11</v>
      </c>
      <c r="E2427">
        <v>1.51</v>
      </c>
      <c r="F2427">
        <v>1.51</v>
      </c>
      <c r="G2427">
        <v>1.3</v>
      </c>
      <c r="H2427">
        <v>1.43</v>
      </c>
      <c r="I2427" s="1">
        <v>890000</v>
      </c>
      <c r="J2427" s="1">
        <v>1269760</v>
      </c>
      <c r="K2427">
        <v>31</v>
      </c>
      <c r="L2427">
        <v>1.29</v>
      </c>
      <c r="M2427">
        <v>1.3</v>
      </c>
      <c r="N2427" s="1">
        <v>5000000</v>
      </c>
      <c r="O2427">
        <v>1.31</v>
      </c>
      <c r="P2427">
        <v>2.13</v>
      </c>
      <c r="Q2427">
        <v>0.49</v>
      </c>
    </row>
    <row r="2428" spans="1:17" x14ac:dyDescent="0.25">
      <c r="A2428">
        <v>731353</v>
      </c>
      <c r="B2428" t="s">
        <v>3740</v>
      </c>
      <c r="C2428" t="s">
        <v>78</v>
      </c>
      <c r="D2428" t="s">
        <v>78</v>
      </c>
      <c r="E2428" t="s">
        <v>78</v>
      </c>
      <c r="F2428" t="s">
        <v>78</v>
      </c>
      <c r="G2428" t="s">
        <v>78</v>
      </c>
      <c r="H2428">
        <v>0.1</v>
      </c>
      <c r="I2428" s="1">
        <v>0</v>
      </c>
      <c r="J2428" s="1">
        <v>0</v>
      </c>
      <c r="K2428">
        <v>0</v>
      </c>
      <c r="L2428">
        <v>0.08</v>
      </c>
      <c r="M2428">
        <v>0.1</v>
      </c>
      <c r="N2428" s="1">
        <v>5000000</v>
      </c>
      <c r="O2428">
        <v>0.1</v>
      </c>
      <c r="P2428">
        <v>0.56999999999999995</v>
      </c>
      <c r="Q2428">
        <v>0.01</v>
      </c>
    </row>
    <row r="2429" spans="1:17" x14ac:dyDescent="0.25">
      <c r="A2429">
        <v>731354</v>
      </c>
      <c r="B2429" t="s">
        <v>3741</v>
      </c>
      <c r="C2429" t="s">
        <v>78</v>
      </c>
      <c r="D2429" t="s">
        <v>78</v>
      </c>
      <c r="E2429" t="s">
        <v>78</v>
      </c>
      <c r="F2429" t="s">
        <v>78</v>
      </c>
      <c r="G2429" t="s">
        <v>78</v>
      </c>
      <c r="H2429">
        <v>7.0000000000000007E-2</v>
      </c>
      <c r="I2429" s="1">
        <v>0</v>
      </c>
      <c r="J2429" s="1">
        <v>0</v>
      </c>
      <c r="K2429">
        <v>0</v>
      </c>
      <c r="L2429">
        <v>0.06</v>
      </c>
      <c r="M2429">
        <v>0.1</v>
      </c>
      <c r="N2429" s="1">
        <v>5000000</v>
      </c>
      <c r="O2429">
        <v>0.08</v>
      </c>
      <c r="P2429">
        <v>0.61</v>
      </c>
      <c r="Q2429">
        <v>0.01</v>
      </c>
    </row>
    <row r="2430" spans="1:17" x14ac:dyDescent="0.25">
      <c r="A2430">
        <v>731355</v>
      </c>
      <c r="B2430" t="s">
        <v>3742</v>
      </c>
      <c r="C2430" t="s">
        <v>78</v>
      </c>
      <c r="D2430" t="s">
        <v>78</v>
      </c>
      <c r="E2430" t="s">
        <v>78</v>
      </c>
      <c r="F2430" t="s">
        <v>78</v>
      </c>
      <c r="G2430" t="s">
        <v>78</v>
      </c>
      <c r="H2430">
        <v>2.06</v>
      </c>
      <c r="I2430" s="1">
        <v>0</v>
      </c>
      <c r="J2430" s="1">
        <v>0</v>
      </c>
      <c r="K2430">
        <v>0</v>
      </c>
      <c r="L2430">
        <v>3.92</v>
      </c>
      <c r="M2430">
        <v>4.0199999999999996</v>
      </c>
      <c r="N2430" s="1">
        <v>10000000</v>
      </c>
      <c r="O2430">
        <v>4.0199999999999996</v>
      </c>
      <c r="P2430">
        <v>5.2</v>
      </c>
      <c r="Q2430">
        <v>2.84</v>
      </c>
    </row>
    <row r="2431" spans="1:17" x14ac:dyDescent="0.25">
      <c r="A2431">
        <v>731356</v>
      </c>
      <c r="B2431" t="s">
        <v>3743</v>
      </c>
      <c r="C2431" t="s">
        <v>78</v>
      </c>
      <c r="D2431" t="s">
        <v>78</v>
      </c>
      <c r="E2431" t="s">
        <v>78</v>
      </c>
      <c r="F2431" t="s">
        <v>78</v>
      </c>
      <c r="G2431" t="s">
        <v>78</v>
      </c>
      <c r="H2431">
        <v>4.72</v>
      </c>
      <c r="I2431" s="1">
        <v>0</v>
      </c>
      <c r="J2431" s="1">
        <v>0</v>
      </c>
      <c r="K2431">
        <v>0</v>
      </c>
      <c r="L2431">
        <v>4.13</v>
      </c>
      <c r="M2431">
        <v>4.2300000000000004</v>
      </c>
      <c r="N2431" s="1">
        <v>10000000</v>
      </c>
      <c r="O2431">
        <v>4.2300000000000004</v>
      </c>
      <c r="P2431">
        <v>5.8</v>
      </c>
      <c r="Q2431">
        <v>2.65</v>
      </c>
    </row>
    <row r="2432" spans="1:17" x14ac:dyDescent="0.25">
      <c r="A2432">
        <v>731357</v>
      </c>
      <c r="B2432" t="s">
        <v>3744</v>
      </c>
      <c r="C2432" t="s">
        <v>78</v>
      </c>
      <c r="D2432" t="s">
        <v>78</v>
      </c>
      <c r="E2432" t="s">
        <v>78</v>
      </c>
      <c r="F2432" t="s">
        <v>78</v>
      </c>
      <c r="G2432" t="s">
        <v>78</v>
      </c>
      <c r="H2432">
        <v>3.96</v>
      </c>
      <c r="I2432" s="1">
        <v>0</v>
      </c>
      <c r="J2432" s="1">
        <v>0</v>
      </c>
      <c r="K2432">
        <v>0</v>
      </c>
      <c r="L2432">
        <v>3.94</v>
      </c>
      <c r="M2432">
        <v>4.04</v>
      </c>
      <c r="N2432" s="1">
        <v>10000000</v>
      </c>
      <c r="O2432">
        <v>3.96</v>
      </c>
      <c r="P2432">
        <v>5.9</v>
      </c>
      <c r="Q2432">
        <v>1.99</v>
      </c>
    </row>
    <row r="2433" spans="1:17" x14ac:dyDescent="0.25">
      <c r="A2433">
        <v>731358</v>
      </c>
      <c r="B2433" t="s">
        <v>3745</v>
      </c>
      <c r="C2433">
        <v>6.2</v>
      </c>
      <c r="D2433">
        <v>-0.5</v>
      </c>
      <c r="E2433">
        <v>6.85</v>
      </c>
      <c r="F2433">
        <v>6.95</v>
      </c>
      <c r="G2433">
        <v>6.1</v>
      </c>
      <c r="H2433">
        <v>6.32</v>
      </c>
      <c r="I2433" s="1">
        <v>120000</v>
      </c>
      <c r="J2433" s="1">
        <v>758200</v>
      </c>
      <c r="K2433">
        <v>17</v>
      </c>
      <c r="L2433">
        <v>6.1</v>
      </c>
      <c r="M2433">
        <v>6.2</v>
      </c>
      <c r="N2433" s="1">
        <v>10000000</v>
      </c>
      <c r="O2433">
        <v>6.2</v>
      </c>
      <c r="P2433">
        <v>10.1</v>
      </c>
      <c r="Q2433">
        <v>2.25</v>
      </c>
    </row>
    <row r="2434" spans="1:17" x14ac:dyDescent="0.25">
      <c r="A2434">
        <v>731359</v>
      </c>
      <c r="B2434" t="s">
        <v>3746</v>
      </c>
      <c r="C2434" t="s">
        <v>78</v>
      </c>
      <c r="D2434" t="s">
        <v>78</v>
      </c>
      <c r="E2434" t="s">
        <v>78</v>
      </c>
      <c r="F2434" t="s">
        <v>78</v>
      </c>
      <c r="G2434" t="s">
        <v>78</v>
      </c>
      <c r="H2434">
        <v>0.22</v>
      </c>
      <c r="I2434" s="1">
        <v>0</v>
      </c>
      <c r="J2434" s="1">
        <v>0</v>
      </c>
      <c r="K2434">
        <v>0</v>
      </c>
      <c r="L2434">
        <v>0.22</v>
      </c>
      <c r="M2434">
        <v>0.23</v>
      </c>
      <c r="N2434" s="1">
        <v>10000000</v>
      </c>
      <c r="O2434">
        <v>0.23</v>
      </c>
      <c r="P2434">
        <v>0.6</v>
      </c>
      <c r="Q2434">
        <v>0.01</v>
      </c>
    </row>
    <row r="2435" spans="1:17" x14ac:dyDescent="0.25">
      <c r="A2435">
        <v>731360</v>
      </c>
      <c r="B2435" t="s">
        <v>3747</v>
      </c>
      <c r="C2435" t="s">
        <v>78</v>
      </c>
      <c r="D2435" t="s">
        <v>78</v>
      </c>
      <c r="E2435" t="s">
        <v>78</v>
      </c>
      <c r="F2435" t="s">
        <v>78</v>
      </c>
      <c r="G2435" t="s">
        <v>78</v>
      </c>
      <c r="H2435">
        <v>0.43</v>
      </c>
      <c r="I2435" s="1">
        <v>0</v>
      </c>
      <c r="J2435" s="1">
        <v>0</v>
      </c>
      <c r="K2435">
        <v>0</v>
      </c>
      <c r="L2435">
        <v>0.28000000000000003</v>
      </c>
      <c r="M2435">
        <v>0.28999999999999998</v>
      </c>
      <c r="N2435" s="1">
        <v>5013000</v>
      </c>
      <c r="O2435">
        <v>0.28999999999999998</v>
      </c>
      <c r="P2435">
        <v>0.86</v>
      </c>
      <c r="Q2435">
        <v>0.01</v>
      </c>
    </row>
    <row r="2436" spans="1:17" x14ac:dyDescent="0.25">
      <c r="A2436">
        <v>731361</v>
      </c>
      <c r="B2436" t="s">
        <v>3748</v>
      </c>
      <c r="C2436" t="s">
        <v>78</v>
      </c>
      <c r="D2436" t="s">
        <v>78</v>
      </c>
      <c r="E2436" t="s">
        <v>78</v>
      </c>
      <c r="F2436" t="s">
        <v>78</v>
      </c>
      <c r="G2436" t="s">
        <v>78</v>
      </c>
      <c r="H2436">
        <v>4.08</v>
      </c>
      <c r="I2436" s="1">
        <v>0</v>
      </c>
      <c r="J2436" s="1">
        <v>0</v>
      </c>
      <c r="K2436">
        <v>0</v>
      </c>
      <c r="L2436">
        <v>2.38</v>
      </c>
      <c r="M2436">
        <v>2.4300000000000002</v>
      </c>
      <c r="N2436" s="1">
        <v>10000000</v>
      </c>
      <c r="O2436">
        <v>2.4300000000000002</v>
      </c>
      <c r="P2436">
        <v>3.28</v>
      </c>
      <c r="Q2436">
        <v>1.58</v>
      </c>
    </row>
    <row r="2437" spans="1:17" x14ac:dyDescent="0.25">
      <c r="A2437">
        <v>731362</v>
      </c>
      <c r="B2437" t="s">
        <v>3749</v>
      </c>
      <c r="C2437" t="s">
        <v>78</v>
      </c>
      <c r="D2437" t="s">
        <v>78</v>
      </c>
      <c r="E2437" t="s">
        <v>78</v>
      </c>
      <c r="F2437" t="s">
        <v>78</v>
      </c>
      <c r="G2437" t="s">
        <v>78</v>
      </c>
      <c r="H2437">
        <v>3.31</v>
      </c>
      <c r="I2437" s="1">
        <v>0</v>
      </c>
      <c r="J2437" s="1">
        <v>0</v>
      </c>
      <c r="K2437">
        <v>0</v>
      </c>
      <c r="L2437">
        <v>3.08</v>
      </c>
      <c r="M2437">
        <v>0</v>
      </c>
      <c r="N2437" s="1">
        <v>5000000</v>
      </c>
      <c r="O2437">
        <v>3.08</v>
      </c>
      <c r="P2437">
        <v>4.16</v>
      </c>
      <c r="Q2437">
        <v>2</v>
      </c>
    </row>
    <row r="2438" spans="1:17" x14ac:dyDescent="0.25">
      <c r="A2438">
        <v>731363</v>
      </c>
      <c r="B2438" t="s">
        <v>3750</v>
      </c>
      <c r="C2438">
        <v>1.24</v>
      </c>
      <c r="D2438">
        <v>0.25</v>
      </c>
      <c r="E2438">
        <v>1.24</v>
      </c>
      <c r="F2438">
        <v>1.24</v>
      </c>
      <c r="G2438">
        <v>1.24</v>
      </c>
      <c r="H2438">
        <v>1.24</v>
      </c>
      <c r="I2438" s="1">
        <v>20000</v>
      </c>
      <c r="J2438" s="1">
        <v>24800</v>
      </c>
      <c r="K2438">
        <v>1</v>
      </c>
      <c r="L2438">
        <v>1.1599999999999999</v>
      </c>
      <c r="M2438">
        <v>1.2</v>
      </c>
      <c r="N2438" s="1">
        <v>10000000</v>
      </c>
      <c r="O2438">
        <v>1.24</v>
      </c>
      <c r="P2438">
        <v>2.92</v>
      </c>
      <c r="Q2438">
        <v>0.01</v>
      </c>
    </row>
    <row r="2439" spans="1:17" x14ac:dyDescent="0.25">
      <c r="A2439">
        <v>731364</v>
      </c>
      <c r="B2439" t="s">
        <v>3751</v>
      </c>
      <c r="C2439">
        <v>0.28000000000000003</v>
      </c>
      <c r="D2439">
        <v>7.0000000000000007E-2</v>
      </c>
      <c r="E2439">
        <v>0.24</v>
      </c>
      <c r="F2439">
        <v>0.28000000000000003</v>
      </c>
      <c r="G2439">
        <v>0.24</v>
      </c>
      <c r="H2439">
        <v>0.26</v>
      </c>
      <c r="I2439" s="1">
        <v>9000</v>
      </c>
      <c r="J2439" s="1">
        <v>2320</v>
      </c>
      <c r="K2439">
        <v>2</v>
      </c>
      <c r="L2439">
        <v>0.28000000000000003</v>
      </c>
      <c r="M2439">
        <v>0.28999999999999998</v>
      </c>
      <c r="N2439" s="1">
        <v>10000000</v>
      </c>
      <c r="O2439">
        <v>0.28000000000000003</v>
      </c>
      <c r="P2439">
        <v>1.05</v>
      </c>
      <c r="Q2439">
        <v>0.01</v>
      </c>
    </row>
    <row r="2440" spans="1:17" x14ac:dyDescent="0.25">
      <c r="A2440">
        <v>731365</v>
      </c>
      <c r="B2440" t="s">
        <v>3752</v>
      </c>
      <c r="C2440" t="s">
        <v>78</v>
      </c>
      <c r="D2440" t="s">
        <v>78</v>
      </c>
      <c r="E2440" t="s">
        <v>78</v>
      </c>
      <c r="F2440" t="s">
        <v>78</v>
      </c>
      <c r="G2440" t="s">
        <v>78</v>
      </c>
      <c r="H2440">
        <v>5.59</v>
      </c>
      <c r="I2440" s="1">
        <v>0</v>
      </c>
      <c r="J2440" s="1">
        <v>0</v>
      </c>
      <c r="K2440">
        <v>0</v>
      </c>
      <c r="L2440">
        <v>0</v>
      </c>
      <c r="M2440">
        <v>0</v>
      </c>
      <c r="N2440" s="1">
        <v>5000000</v>
      </c>
      <c r="O2440">
        <v>6.65</v>
      </c>
      <c r="P2440">
        <v>7.9</v>
      </c>
      <c r="Q2440">
        <v>5.4</v>
      </c>
    </row>
    <row r="2441" spans="1:17" x14ac:dyDescent="0.25">
      <c r="A2441">
        <v>731366</v>
      </c>
      <c r="B2441" t="s">
        <v>3753</v>
      </c>
      <c r="C2441" t="s">
        <v>78</v>
      </c>
      <c r="D2441" t="s">
        <v>78</v>
      </c>
      <c r="E2441" t="s">
        <v>78</v>
      </c>
      <c r="F2441" t="s">
        <v>78</v>
      </c>
      <c r="G2441" t="s">
        <v>78</v>
      </c>
      <c r="H2441">
        <v>5.95</v>
      </c>
      <c r="I2441" s="1">
        <v>0</v>
      </c>
      <c r="J2441" s="1">
        <v>0</v>
      </c>
      <c r="K2441">
        <v>0</v>
      </c>
      <c r="L2441">
        <v>4.66</v>
      </c>
      <c r="M2441">
        <v>4.67</v>
      </c>
      <c r="N2441" s="1">
        <v>5000000</v>
      </c>
      <c r="O2441">
        <v>4.67</v>
      </c>
      <c r="P2441">
        <v>5.95</v>
      </c>
      <c r="Q2441">
        <v>3.36</v>
      </c>
    </row>
    <row r="2442" spans="1:17" x14ac:dyDescent="0.25">
      <c r="A2442">
        <v>731367</v>
      </c>
      <c r="B2442" t="s">
        <v>3754</v>
      </c>
      <c r="C2442" t="s">
        <v>78</v>
      </c>
      <c r="D2442" t="s">
        <v>78</v>
      </c>
      <c r="E2442" t="s">
        <v>78</v>
      </c>
      <c r="F2442" t="s">
        <v>78</v>
      </c>
      <c r="G2442" t="s">
        <v>78</v>
      </c>
      <c r="H2442">
        <v>0.25</v>
      </c>
      <c r="I2442" s="1">
        <v>0</v>
      </c>
      <c r="J2442" s="1">
        <v>0</v>
      </c>
      <c r="K2442">
        <v>0</v>
      </c>
      <c r="L2442">
        <v>0.22</v>
      </c>
      <c r="M2442">
        <v>0.23</v>
      </c>
      <c r="N2442" s="1">
        <v>5000000</v>
      </c>
      <c r="O2442">
        <v>0.23</v>
      </c>
      <c r="P2442">
        <v>0.92</v>
      </c>
      <c r="Q2442">
        <v>0.01</v>
      </c>
    </row>
    <row r="2443" spans="1:17" x14ac:dyDescent="0.25">
      <c r="A2443">
        <v>731368</v>
      </c>
      <c r="B2443" t="s">
        <v>3755</v>
      </c>
      <c r="C2443" t="s">
        <v>78</v>
      </c>
      <c r="D2443" t="s">
        <v>78</v>
      </c>
      <c r="E2443" t="s">
        <v>78</v>
      </c>
      <c r="F2443" t="s">
        <v>78</v>
      </c>
      <c r="G2443" t="s">
        <v>78</v>
      </c>
      <c r="H2443">
        <v>0.05</v>
      </c>
      <c r="I2443" s="1">
        <v>0</v>
      </c>
      <c r="J2443" s="1">
        <v>0</v>
      </c>
      <c r="K2443">
        <v>0</v>
      </c>
      <c r="L2443">
        <v>0</v>
      </c>
      <c r="M2443">
        <v>0.01</v>
      </c>
      <c r="N2443" s="1">
        <v>5000000</v>
      </c>
      <c r="O2443">
        <v>0.01</v>
      </c>
      <c r="P2443">
        <v>0.88</v>
      </c>
      <c r="Q2443">
        <v>0.01</v>
      </c>
    </row>
    <row r="2444" spans="1:17" x14ac:dyDescent="0.25">
      <c r="A2444">
        <v>731369</v>
      </c>
      <c r="B2444" t="s">
        <v>3756</v>
      </c>
      <c r="C2444" t="s">
        <v>78</v>
      </c>
      <c r="D2444" t="s">
        <v>78</v>
      </c>
      <c r="E2444" t="s">
        <v>78</v>
      </c>
      <c r="F2444" t="s">
        <v>78</v>
      </c>
      <c r="G2444" t="s">
        <v>78</v>
      </c>
      <c r="H2444">
        <v>0.4</v>
      </c>
      <c r="I2444" s="1">
        <v>0</v>
      </c>
      <c r="J2444" s="1">
        <v>0</v>
      </c>
      <c r="K2444">
        <v>0</v>
      </c>
      <c r="L2444">
        <v>0.38</v>
      </c>
      <c r="M2444">
        <v>0.39</v>
      </c>
      <c r="N2444" s="1">
        <v>5000000</v>
      </c>
      <c r="O2444">
        <v>0.39</v>
      </c>
      <c r="P2444">
        <v>0.9</v>
      </c>
      <c r="Q2444">
        <v>0.01</v>
      </c>
    </row>
    <row r="2445" spans="1:17" x14ac:dyDescent="0.25">
      <c r="A2445">
        <v>731370</v>
      </c>
      <c r="B2445" t="s">
        <v>3757</v>
      </c>
      <c r="C2445" t="s">
        <v>78</v>
      </c>
      <c r="D2445" t="s">
        <v>78</v>
      </c>
      <c r="E2445" t="s">
        <v>78</v>
      </c>
      <c r="F2445" t="s">
        <v>78</v>
      </c>
      <c r="G2445" t="s">
        <v>78</v>
      </c>
      <c r="H2445">
        <v>1.26</v>
      </c>
      <c r="I2445" s="1">
        <v>0</v>
      </c>
      <c r="J2445" s="1">
        <v>0</v>
      </c>
      <c r="K2445">
        <v>0</v>
      </c>
      <c r="L2445">
        <v>0.69</v>
      </c>
      <c r="M2445">
        <v>0.73</v>
      </c>
      <c r="N2445" s="1">
        <v>10000000</v>
      </c>
      <c r="O2445">
        <v>0.73</v>
      </c>
      <c r="P2445">
        <v>1.67</v>
      </c>
      <c r="Q2445">
        <v>0.01</v>
      </c>
    </row>
    <row r="2446" spans="1:17" x14ac:dyDescent="0.25">
      <c r="A2446">
        <v>731371</v>
      </c>
      <c r="B2446" t="s">
        <v>3758</v>
      </c>
      <c r="C2446">
        <v>3.48</v>
      </c>
      <c r="D2446">
        <v>0.04</v>
      </c>
      <c r="E2446">
        <v>3.7</v>
      </c>
      <c r="F2446">
        <v>3.8</v>
      </c>
      <c r="G2446">
        <v>3.48</v>
      </c>
      <c r="H2446">
        <v>3.66</v>
      </c>
      <c r="I2446" s="1">
        <v>30000</v>
      </c>
      <c r="J2446" s="1">
        <v>109800</v>
      </c>
      <c r="K2446">
        <v>3</v>
      </c>
      <c r="L2446">
        <v>3.43</v>
      </c>
      <c r="M2446">
        <v>3.44</v>
      </c>
      <c r="N2446" s="1">
        <v>5000000</v>
      </c>
      <c r="O2446">
        <v>3.48</v>
      </c>
      <c r="P2446">
        <v>5.45</v>
      </c>
      <c r="Q2446">
        <v>1.51</v>
      </c>
    </row>
    <row r="2447" spans="1:17" x14ac:dyDescent="0.25">
      <c r="A2447">
        <v>731372</v>
      </c>
      <c r="B2447" t="s">
        <v>3759</v>
      </c>
      <c r="C2447">
        <v>0.99</v>
      </c>
      <c r="D2447">
        <v>0.09</v>
      </c>
      <c r="E2447">
        <v>0.91</v>
      </c>
      <c r="F2447">
        <v>0.99</v>
      </c>
      <c r="G2447">
        <v>0.91</v>
      </c>
      <c r="H2447">
        <v>0.94</v>
      </c>
      <c r="I2447" s="1">
        <v>120000</v>
      </c>
      <c r="J2447" s="1">
        <v>113200</v>
      </c>
      <c r="K2447">
        <v>6</v>
      </c>
      <c r="L2447">
        <v>0.91</v>
      </c>
      <c r="M2447">
        <v>0.92</v>
      </c>
      <c r="N2447" s="1">
        <v>10000000</v>
      </c>
      <c r="O2447">
        <v>0.99</v>
      </c>
      <c r="P2447">
        <v>1.58</v>
      </c>
      <c r="Q2447">
        <v>0.4</v>
      </c>
    </row>
    <row r="2448" spans="1:17" x14ac:dyDescent="0.25">
      <c r="A2448">
        <v>731373</v>
      </c>
      <c r="B2448" t="s">
        <v>3760</v>
      </c>
      <c r="C2448" t="s">
        <v>78</v>
      </c>
      <c r="D2448" t="s">
        <v>78</v>
      </c>
      <c r="E2448" t="s">
        <v>78</v>
      </c>
      <c r="F2448" t="s">
        <v>78</v>
      </c>
      <c r="G2448" t="s">
        <v>78</v>
      </c>
      <c r="H2448">
        <v>0.28000000000000003</v>
      </c>
      <c r="I2448" s="1">
        <v>0</v>
      </c>
      <c r="J2448" s="1">
        <v>0</v>
      </c>
      <c r="K2448">
        <v>0</v>
      </c>
      <c r="L2448">
        <v>0.13</v>
      </c>
      <c r="M2448">
        <v>0.14000000000000001</v>
      </c>
      <c r="N2448" s="1">
        <v>10000000</v>
      </c>
      <c r="O2448">
        <v>0.13</v>
      </c>
      <c r="P2448">
        <v>0.52</v>
      </c>
      <c r="Q2448">
        <v>0.01</v>
      </c>
    </row>
    <row r="2449" spans="1:17" x14ac:dyDescent="0.25">
      <c r="A2449">
        <v>731374</v>
      </c>
      <c r="B2449" t="s">
        <v>3761</v>
      </c>
      <c r="C2449">
        <v>0.68</v>
      </c>
      <c r="D2449">
        <v>0.04</v>
      </c>
      <c r="E2449">
        <v>0.74</v>
      </c>
      <c r="F2449">
        <v>0.82</v>
      </c>
      <c r="G2449">
        <v>0.68</v>
      </c>
      <c r="H2449">
        <v>0.75</v>
      </c>
      <c r="I2449" s="1">
        <v>368000</v>
      </c>
      <c r="J2449" s="1">
        <v>276010</v>
      </c>
      <c r="K2449">
        <v>18</v>
      </c>
      <c r="L2449">
        <v>0.66</v>
      </c>
      <c r="M2449">
        <v>0.67</v>
      </c>
      <c r="N2449" s="1">
        <v>10000000</v>
      </c>
      <c r="O2449">
        <v>0.68</v>
      </c>
      <c r="P2449">
        <v>1.74</v>
      </c>
      <c r="Q2449">
        <v>0.01</v>
      </c>
    </row>
    <row r="2450" spans="1:17" x14ac:dyDescent="0.25">
      <c r="A2450">
        <v>731375</v>
      </c>
      <c r="B2450" t="s">
        <v>3762</v>
      </c>
      <c r="C2450">
        <v>0.16</v>
      </c>
      <c r="D2450">
        <v>-0.01</v>
      </c>
      <c r="E2450">
        <v>0.16</v>
      </c>
      <c r="F2450">
        <v>0.16</v>
      </c>
      <c r="G2450">
        <v>0.16</v>
      </c>
      <c r="H2450">
        <v>0.16</v>
      </c>
      <c r="I2450" s="1">
        <v>105000</v>
      </c>
      <c r="J2450" s="1">
        <v>16800</v>
      </c>
      <c r="K2450">
        <v>5</v>
      </c>
      <c r="L2450">
        <v>0.15</v>
      </c>
      <c r="M2450">
        <v>0.16</v>
      </c>
      <c r="N2450" s="1">
        <v>10000000</v>
      </c>
      <c r="O2450">
        <v>0.16</v>
      </c>
      <c r="P2450">
        <v>0.68</v>
      </c>
      <c r="Q2450">
        <v>0.01</v>
      </c>
    </row>
    <row r="2451" spans="1:17" x14ac:dyDescent="0.25">
      <c r="A2451">
        <v>731376</v>
      </c>
      <c r="B2451" t="s">
        <v>3763</v>
      </c>
      <c r="C2451">
        <v>0.42</v>
      </c>
      <c r="D2451">
        <v>-0.01</v>
      </c>
      <c r="E2451">
        <v>0.45</v>
      </c>
      <c r="F2451">
        <v>0.45</v>
      </c>
      <c r="G2451">
        <v>0.39</v>
      </c>
      <c r="H2451">
        <v>0.4</v>
      </c>
      <c r="I2451" s="1">
        <v>109000</v>
      </c>
      <c r="J2451" s="1">
        <v>44040</v>
      </c>
      <c r="K2451">
        <v>11</v>
      </c>
      <c r="L2451">
        <v>0.41</v>
      </c>
      <c r="M2451">
        <v>0.42</v>
      </c>
      <c r="N2451" s="1">
        <v>5000000</v>
      </c>
      <c r="O2451">
        <v>0.42</v>
      </c>
      <c r="P2451">
        <v>1.27</v>
      </c>
      <c r="Q2451">
        <v>0.01</v>
      </c>
    </row>
    <row r="2452" spans="1:17" x14ac:dyDescent="0.25">
      <c r="A2452">
        <v>731377</v>
      </c>
      <c r="B2452" t="s">
        <v>3764</v>
      </c>
      <c r="C2452" t="s">
        <v>78</v>
      </c>
      <c r="D2452" t="s">
        <v>78</v>
      </c>
      <c r="E2452" t="s">
        <v>78</v>
      </c>
      <c r="F2452" t="s">
        <v>78</v>
      </c>
      <c r="G2452" t="s">
        <v>78</v>
      </c>
      <c r="H2452">
        <v>3.75</v>
      </c>
      <c r="I2452" s="1">
        <v>0</v>
      </c>
      <c r="J2452" s="1">
        <v>0</v>
      </c>
      <c r="K2452">
        <v>0</v>
      </c>
      <c r="L2452">
        <v>4.0599999999999996</v>
      </c>
      <c r="M2452">
        <v>4.07</v>
      </c>
      <c r="N2452" s="1">
        <v>5000000</v>
      </c>
      <c r="O2452">
        <v>4.07</v>
      </c>
      <c r="P2452">
        <v>5.65</v>
      </c>
      <c r="Q2452">
        <v>2.4900000000000002</v>
      </c>
    </row>
    <row r="2453" spans="1:17" x14ac:dyDescent="0.25">
      <c r="A2453">
        <v>731378</v>
      </c>
      <c r="B2453" t="s">
        <v>3765</v>
      </c>
      <c r="C2453">
        <v>0.35</v>
      </c>
      <c r="D2453">
        <v>0.09</v>
      </c>
      <c r="E2453">
        <v>0.35</v>
      </c>
      <c r="F2453">
        <v>0.35</v>
      </c>
      <c r="G2453">
        <v>0.35</v>
      </c>
      <c r="H2453">
        <v>0.35</v>
      </c>
      <c r="I2453" s="1">
        <v>149000</v>
      </c>
      <c r="J2453" s="1">
        <v>52150</v>
      </c>
      <c r="K2453">
        <v>1</v>
      </c>
      <c r="L2453">
        <v>0.36</v>
      </c>
      <c r="M2453">
        <v>0.38</v>
      </c>
      <c r="N2453" s="1">
        <v>10000000</v>
      </c>
      <c r="O2453">
        <v>0.35</v>
      </c>
      <c r="P2453">
        <v>1.1200000000000001</v>
      </c>
      <c r="Q2453">
        <v>0.01</v>
      </c>
    </row>
    <row r="2454" spans="1:17" x14ac:dyDescent="0.25">
      <c r="A2454">
        <v>731379</v>
      </c>
      <c r="B2454" t="s">
        <v>3766</v>
      </c>
      <c r="C2454">
        <v>0.46</v>
      </c>
      <c r="D2454">
        <v>0.09</v>
      </c>
      <c r="E2454">
        <v>0.51</v>
      </c>
      <c r="F2454">
        <v>0.56999999999999995</v>
      </c>
      <c r="G2454">
        <v>0.46</v>
      </c>
      <c r="H2454">
        <v>0.5</v>
      </c>
      <c r="I2454" s="1">
        <v>308000</v>
      </c>
      <c r="J2454" s="1">
        <v>155080</v>
      </c>
      <c r="K2454">
        <v>9</v>
      </c>
      <c r="L2454">
        <v>0.45</v>
      </c>
      <c r="M2454">
        <v>0.46</v>
      </c>
      <c r="N2454" s="1">
        <v>10000000</v>
      </c>
      <c r="O2454">
        <v>0.46</v>
      </c>
      <c r="P2454">
        <v>1.52</v>
      </c>
      <c r="Q2454">
        <v>0.01</v>
      </c>
    </row>
    <row r="2455" spans="1:17" x14ac:dyDescent="0.25">
      <c r="A2455">
        <v>731380</v>
      </c>
      <c r="B2455" t="s">
        <v>3767</v>
      </c>
      <c r="C2455" t="s">
        <v>78</v>
      </c>
      <c r="D2455" t="s">
        <v>78</v>
      </c>
      <c r="E2455" t="s">
        <v>78</v>
      </c>
      <c r="F2455" t="s">
        <v>78</v>
      </c>
      <c r="G2455" t="s">
        <v>78</v>
      </c>
      <c r="H2455">
        <v>5.9</v>
      </c>
      <c r="I2455" s="1">
        <v>0</v>
      </c>
      <c r="J2455" s="1">
        <v>0</v>
      </c>
      <c r="K2455">
        <v>0</v>
      </c>
      <c r="L2455">
        <v>5.5</v>
      </c>
      <c r="M2455">
        <v>5.55</v>
      </c>
      <c r="N2455" s="1">
        <v>5000000</v>
      </c>
      <c r="O2455">
        <v>5.5</v>
      </c>
      <c r="P2455">
        <v>7.05</v>
      </c>
      <c r="Q2455">
        <v>3.92</v>
      </c>
    </row>
    <row r="2456" spans="1:17" x14ac:dyDescent="0.25">
      <c r="A2456">
        <v>731381</v>
      </c>
      <c r="B2456" t="s">
        <v>3768</v>
      </c>
      <c r="C2456" t="s">
        <v>78</v>
      </c>
      <c r="D2456" t="s">
        <v>78</v>
      </c>
      <c r="E2456" t="s">
        <v>78</v>
      </c>
      <c r="F2456" t="s">
        <v>78</v>
      </c>
      <c r="G2456" t="s">
        <v>78</v>
      </c>
      <c r="H2456">
        <v>9.4</v>
      </c>
      <c r="I2456" s="1">
        <v>0</v>
      </c>
      <c r="J2456" s="1">
        <v>0</v>
      </c>
      <c r="K2456">
        <v>0</v>
      </c>
      <c r="L2456">
        <v>8.4499999999999993</v>
      </c>
      <c r="M2456">
        <v>8.5</v>
      </c>
      <c r="N2456" s="1">
        <v>5000000</v>
      </c>
      <c r="O2456">
        <v>8.4499999999999993</v>
      </c>
      <c r="P2456">
        <v>10.5</v>
      </c>
      <c r="Q2456">
        <v>6.35</v>
      </c>
    </row>
    <row r="2457" spans="1:17" x14ac:dyDescent="0.25">
      <c r="A2457">
        <v>731382</v>
      </c>
      <c r="B2457" t="s">
        <v>3769</v>
      </c>
      <c r="C2457" t="s">
        <v>78</v>
      </c>
      <c r="D2457" t="s">
        <v>78</v>
      </c>
      <c r="E2457" t="s">
        <v>78</v>
      </c>
      <c r="F2457" t="s">
        <v>78</v>
      </c>
      <c r="G2457" t="s">
        <v>78</v>
      </c>
      <c r="H2457">
        <v>4.22</v>
      </c>
      <c r="I2457" s="1">
        <v>0</v>
      </c>
      <c r="J2457" s="1">
        <v>0</v>
      </c>
      <c r="K2457">
        <v>0</v>
      </c>
      <c r="L2457">
        <v>4.05</v>
      </c>
      <c r="M2457">
        <v>4.0999999999999996</v>
      </c>
      <c r="N2457" s="1">
        <v>5000000</v>
      </c>
      <c r="O2457">
        <v>4.0999999999999996</v>
      </c>
      <c r="P2457">
        <v>5.25</v>
      </c>
      <c r="Q2457">
        <v>2.92</v>
      </c>
    </row>
    <row r="2458" spans="1:17" x14ac:dyDescent="0.25">
      <c r="A2458">
        <v>731383</v>
      </c>
      <c r="B2458" t="s">
        <v>3770</v>
      </c>
      <c r="C2458" t="s">
        <v>78</v>
      </c>
      <c r="D2458" t="s">
        <v>78</v>
      </c>
      <c r="E2458" t="s">
        <v>78</v>
      </c>
      <c r="F2458" t="s">
        <v>78</v>
      </c>
      <c r="G2458" t="s">
        <v>78</v>
      </c>
      <c r="H2458">
        <v>2.46</v>
      </c>
      <c r="I2458" s="1">
        <v>0</v>
      </c>
      <c r="J2458" s="1">
        <v>0</v>
      </c>
      <c r="K2458">
        <v>0</v>
      </c>
      <c r="L2458">
        <v>3.62</v>
      </c>
      <c r="M2458">
        <v>3.66</v>
      </c>
      <c r="N2458" s="1">
        <v>5000000</v>
      </c>
      <c r="O2458">
        <v>3.66</v>
      </c>
      <c r="P2458">
        <v>4.6399999999999997</v>
      </c>
      <c r="Q2458">
        <v>2.68</v>
      </c>
    </row>
    <row r="2459" spans="1:17" x14ac:dyDescent="0.25">
      <c r="A2459">
        <v>731384</v>
      </c>
      <c r="B2459" t="s">
        <v>3771</v>
      </c>
      <c r="C2459">
        <v>1.92</v>
      </c>
      <c r="D2459">
        <v>0.23</v>
      </c>
      <c r="E2459">
        <v>1.76</v>
      </c>
      <c r="F2459">
        <v>1.92</v>
      </c>
      <c r="G2459">
        <v>1.76</v>
      </c>
      <c r="H2459">
        <v>1.77</v>
      </c>
      <c r="I2459" s="1">
        <v>16000</v>
      </c>
      <c r="J2459" s="1">
        <v>28320</v>
      </c>
      <c r="K2459">
        <v>2</v>
      </c>
      <c r="L2459">
        <v>1.84</v>
      </c>
      <c r="M2459">
        <v>1.89</v>
      </c>
      <c r="N2459" s="1">
        <v>10000000</v>
      </c>
      <c r="O2459">
        <v>1.92</v>
      </c>
      <c r="P2459">
        <v>3.32</v>
      </c>
      <c r="Q2459">
        <v>0.52</v>
      </c>
    </row>
    <row r="2460" spans="1:17" x14ac:dyDescent="0.25">
      <c r="A2460">
        <v>731385</v>
      </c>
      <c r="B2460" t="s">
        <v>3772</v>
      </c>
      <c r="C2460">
        <v>2.04</v>
      </c>
      <c r="D2460">
        <v>-0.24</v>
      </c>
      <c r="E2460">
        <v>2.2000000000000002</v>
      </c>
      <c r="F2460">
        <v>2.2000000000000002</v>
      </c>
      <c r="G2460">
        <v>2</v>
      </c>
      <c r="H2460">
        <v>2.0499999999999998</v>
      </c>
      <c r="I2460" s="1">
        <v>47000</v>
      </c>
      <c r="J2460" s="1">
        <v>96500</v>
      </c>
      <c r="K2460">
        <v>7</v>
      </c>
      <c r="L2460">
        <v>2.0699999999999998</v>
      </c>
      <c r="M2460">
        <v>2.15</v>
      </c>
      <c r="N2460" s="1">
        <v>10000000</v>
      </c>
      <c r="O2460">
        <v>2.04</v>
      </c>
      <c r="P2460">
        <v>2.71</v>
      </c>
      <c r="Q2460">
        <v>1.37</v>
      </c>
    </row>
    <row r="2461" spans="1:17" x14ac:dyDescent="0.25">
      <c r="A2461">
        <v>731386</v>
      </c>
      <c r="B2461" t="s">
        <v>3773</v>
      </c>
      <c r="C2461">
        <v>1.23</v>
      </c>
      <c r="D2461">
        <v>0.12</v>
      </c>
      <c r="E2461">
        <v>1.23</v>
      </c>
      <c r="F2461">
        <v>1.23</v>
      </c>
      <c r="G2461">
        <v>1.23</v>
      </c>
      <c r="H2461">
        <v>1.23</v>
      </c>
      <c r="I2461" s="1">
        <v>416000</v>
      </c>
      <c r="J2461" s="1">
        <v>511680</v>
      </c>
      <c r="K2461">
        <v>1</v>
      </c>
      <c r="L2461">
        <v>1.21</v>
      </c>
      <c r="M2461">
        <v>1.23</v>
      </c>
      <c r="N2461" s="1">
        <v>10000000</v>
      </c>
      <c r="O2461">
        <v>1.23</v>
      </c>
      <c r="P2461">
        <v>1.8</v>
      </c>
      <c r="Q2461">
        <v>0.66</v>
      </c>
    </row>
    <row r="2462" spans="1:17" x14ac:dyDescent="0.25">
      <c r="A2462">
        <v>731387</v>
      </c>
      <c r="B2462" t="s">
        <v>3774</v>
      </c>
      <c r="C2462" t="s">
        <v>78</v>
      </c>
      <c r="D2462" t="s">
        <v>78</v>
      </c>
      <c r="E2462" t="s">
        <v>78</v>
      </c>
      <c r="F2462" t="s">
        <v>78</v>
      </c>
      <c r="G2462" t="s">
        <v>78</v>
      </c>
      <c r="H2462">
        <v>0.17</v>
      </c>
      <c r="I2462" s="1">
        <v>0</v>
      </c>
      <c r="J2462" s="1">
        <v>0</v>
      </c>
      <c r="K2462">
        <v>0</v>
      </c>
      <c r="L2462">
        <v>0.16</v>
      </c>
      <c r="M2462">
        <v>0.17</v>
      </c>
      <c r="N2462" s="1">
        <v>10000000</v>
      </c>
      <c r="O2462">
        <v>0.17</v>
      </c>
      <c r="P2462">
        <v>0.79</v>
      </c>
      <c r="Q2462">
        <v>0.01</v>
      </c>
    </row>
    <row r="2463" spans="1:17" x14ac:dyDescent="0.25">
      <c r="A2463">
        <v>731388</v>
      </c>
      <c r="B2463" t="s">
        <v>3775</v>
      </c>
      <c r="C2463" t="s">
        <v>78</v>
      </c>
      <c r="D2463" t="s">
        <v>78</v>
      </c>
      <c r="E2463" t="s">
        <v>78</v>
      </c>
      <c r="F2463" t="s">
        <v>78</v>
      </c>
      <c r="G2463" t="s">
        <v>78</v>
      </c>
      <c r="H2463">
        <v>0.05</v>
      </c>
      <c r="I2463" s="1">
        <v>0</v>
      </c>
      <c r="J2463" s="1">
        <v>0</v>
      </c>
      <c r="K2463">
        <v>0</v>
      </c>
      <c r="L2463">
        <v>0.01</v>
      </c>
      <c r="M2463">
        <v>0.02</v>
      </c>
      <c r="N2463" s="1">
        <v>10000000</v>
      </c>
      <c r="O2463">
        <v>0.02</v>
      </c>
      <c r="P2463">
        <v>4.08</v>
      </c>
      <c r="Q2463">
        <v>0.01</v>
      </c>
    </row>
    <row r="2464" spans="1:17" x14ac:dyDescent="0.25">
      <c r="A2464">
        <v>731389</v>
      </c>
      <c r="B2464" t="s">
        <v>3776</v>
      </c>
      <c r="C2464">
        <v>0.13</v>
      </c>
      <c r="D2464">
        <v>0.02</v>
      </c>
      <c r="E2464">
        <v>0.13</v>
      </c>
      <c r="F2464">
        <v>0.13</v>
      </c>
      <c r="G2464">
        <v>0.13</v>
      </c>
      <c r="H2464">
        <v>0.13</v>
      </c>
      <c r="I2464" s="1">
        <v>300000</v>
      </c>
      <c r="J2464" s="1">
        <v>39000</v>
      </c>
      <c r="K2464">
        <v>1</v>
      </c>
      <c r="L2464">
        <v>0.16</v>
      </c>
      <c r="M2464">
        <v>0.17</v>
      </c>
      <c r="N2464" s="1">
        <v>10000000</v>
      </c>
      <c r="O2464">
        <v>0.13</v>
      </c>
      <c r="P2464">
        <v>2.33</v>
      </c>
      <c r="Q2464">
        <v>0.01</v>
      </c>
    </row>
    <row r="2465" spans="1:17" x14ac:dyDescent="0.25">
      <c r="A2465">
        <v>731390</v>
      </c>
      <c r="B2465" t="s">
        <v>3777</v>
      </c>
      <c r="C2465" t="s">
        <v>78</v>
      </c>
      <c r="D2465" t="s">
        <v>78</v>
      </c>
      <c r="E2465" t="s">
        <v>78</v>
      </c>
      <c r="F2465" t="s">
        <v>78</v>
      </c>
      <c r="G2465" t="s">
        <v>78</v>
      </c>
      <c r="H2465">
        <v>2.06</v>
      </c>
      <c r="I2465" s="1">
        <v>0</v>
      </c>
      <c r="J2465" s="1">
        <v>0</v>
      </c>
      <c r="K2465">
        <v>0</v>
      </c>
      <c r="L2465">
        <v>1.79</v>
      </c>
      <c r="M2465">
        <v>1.89</v>
      </c>
      <c r="N2465" s="1">
        <v>10000000</v>
      </c>
      <c r="O2465">
        <v>1.79</v>
      </c>
      <c r="P2465">
        <v>3.19</v>
      </c>
      <c r="Q2465">
        <v>0.39</v>
      </c>
    </row>
    <row r="2466" spans="1:17" x14ac:dyDescent="0.25">
      <c r="A2466">
        <v>731391</v>
      </c>
      <c r="B2466" t="s">
        <v>3778</v>
      </c>
      <c r="C2466">
        <v>0.9</v>
      </c>
      <c r="D2466">
        <v>0.05</v>
      </c>
      <c r="E2466">
        <v>0.9</v>
      </c>
      <c r="F2466">
        <v>0.9</v>
      </c>
      <c r="G2466">
        <v>0.87</v>
      </c>
      <c r="H2466">
        <v>0.89</v>
      </c>
      <c r="I2466" s="1">
        <v>1268000</v>
      </c>
      <c r="J2466" s="1">
        <v>1130510</v>
      </c>
      <c r="K2466">
        <v>36</v>
      </c>
      <c r="L2466">
        <v>0.87</v>
      </c>
      <c r="M2466">
        <v>0.9</v>
      </c>
      <c r="N2466" s="1">
        <v>10000000</v>
      </c>
      <c r="O2466">
        <v>0.9</v>
      </c>
      <c r="P2466">
        <v>1.7</v>
      </c>
      <c r="Q2466">
        <v>0.09</v>
      </c>
    </row>
    <row r="2467" spans="1:17" x14ac:dyDescent="0.25">
      <c r="A2467">
        <v>731392</v>
      </c>
      <c r="B2467" t="s">
        <v>3779</v>
      </c>
      <c r="C2467">
        <v>3.81</v>
      </c>
      <c r="D2467">
        <v>-0.28000000000000003</v>
      </c>
      <c r="E2467">
        <v>3.62</v>
      </c>
      <c r="F2467">
        <v>3.81</v>
      </c>
      <c r="G2467">
        <v>3.62</v>
      </c>
      <c r="H2467">
        <v>3.72</v>
      </c>
      <c r="I2467" s="1">
        <v>2000</v>
      </c>
      <c r="J2467" s="1">
        <v>7430</v>
      </c>
      <c r="K2467">
        <v>2</v>
      </c>
      <c r="L2467">
        <v>3.8</v>
      </c>
      <c r="M2467">
        <v>3.9</v>
      </c>
      <c r="N2467" s="1">
        <v>5000000</v>
      </c>
      <c r="O2467">
        <v>3.81</v>
      </c>
      <c r="P2467">
        <v>4.87</v>
      </c>
      <c r="Q2467">
        <v>2.71</v>
      </c>
    </row>
    <row r="2468" spans="1:17" x14ac:dyDescent="0.25">
      <c r="A2468">
        <v>731393</v>
      </c>
      <c r="B2468" t="s">
        <v>3780</v>
      </c>
      <c r="C2468">
        <v>0.47</v>
      </c>
      <c r="D2468">
        <v>0</v>
      </c>
      <c r="E2468">
        <v>0.48</v>
      </c>
      <c r="F2468">
        <v>0.48</v>
      </c>
      <c r="G2468">
        <v>0.47</v>
      </c>
      <c r="H2468">
        <v>0.48</v>
      </c>
      <c r="I2468" s="1">
        <v>105000</v>
      </c>
      <c r="J2468" s="1">
        <v>50350</v>
      </c>
      <c r="K2468">
        <v>2</v>
      </c>
      <c r="L2468">
        <v>0.47</v>
      </c>
      <c r="M2468">
        <v>0.48</v>
      </c>
      <c r="N2468" s="1">
        <v>10000000</v>
      </c>
      <c r="O2468">
        <v>0.47</v>
      </c>
      <c r="P2468">
        <v>1.22</v>
      </c>
      <c r="Q2468">
        <v>0.01</v>
      </c>
    </row>
    <row r="2469" spans="1:17" x14ac:dyDescent="0.25">
      <c r="A2469">
        <v>731394</v>
      </c>
      <c r="B2469" t="s">
        <v>3781</v>
      </c>
      <c r="C2469">
        <v>1.02</v>
      </c>
      <c r="D2469">
        <v>0.1</v>
      </c>
      <c r="E2469">
        <v>1.1399999999999999</v>
      </c>
      <c r="F2469">
        <v>1.1399999999999999</v>
      </c>
      <c r="G2469">
        <v>1.02</v>
      </c>
      <c r="H2469">
        <v>1.04</v>
      </c>
      <c r="I2469" s="1">
        <v>59000</v>
      </c>
      <c r="J2469" s="1">
        <v>61140</v>
      </c>
      <c r="K2469">
        <v>7</v>
      </c>
      <c r="L2469">
        <v>0.94</v>
      </c>
      <c r="M2469">
        <v>0.97</v>
      </c>
      <c r="N2469" s="1">
        <v>10000000</v>
      </c>
      <c r="O2469">
        <v>1.02</v>
      </c>
      <c r="P2469">
        <v>1.57</v>
      </c>
      <c r="Q2469">
        <v>0.47</v>
      </c>
    </row>
    <row r="2470" spans="1:17" x14ac:dyDescent="0.25">
      <c r="A2470">
        <v>731395</v>
      </c>
      <c r="B2470" t="s">
        <v>3782</v>
      </c>
      <c r="C2470">
        <v>0.34</v>
      </c>
      <c r="D2470">
        <v>0</v>
      </c>
      <c r="E2470">
        <v>0.34</v>
      </c>
      <c r="F2470">
        <v>0.34</v>
      </c>
      <c r="G2470">
        <v>0.32</v>
      </c>
      <c r="H2470">
        <v>0.34</v>
      </c>
      <c r="I2470" s="1">
        <v>683000</v>
      </c>
      <c r="J2470" s="1">
        <v>229270</v>
      </c>
      <c r="K2470">
        <v>13</v>
      </c>
      <c r="L2470">
        <v>0.34</v>
      </c>
      <c r="M2470">
        <v>0.35</v>
      </c>
      <c r="N2470" s="1">
        <v>5000000</v>
      </c>
      <c r="O2470">
        <v>0.34</v>
      </c>
      <c r="P2470">
        <v>1.04</v>
      </c>
      <c r="Q2470">
        <v>0.01</v>
      </c>
    </row>
    <row r="2471" spans="1:17" x14ac:dyDescent="0.25">
      <c r="A2471">
        <v>731396</v>
      </c>
      <c r="B2471" t="s">
        <v>3783</v>
      </c>
      <c r="C2471">
        <v>3.81</v>
      </c>
      <c r="D2471">
        <v>-0.05</v>
      </c>
      <c r="E2471">
        <v>3.98</v>
      </c>
      <c r="F2471">
        <v>4.0199999999999996</v>
      </c>
      <c r="G2471">
        <v>3.81</v>
      </c>
      <c r="H2471">
        <v>3.98</v>
      </c>
      <c r="I2471" s="1">
        <v>22000</v>
      </c>
      <c r="J2471" s="1">
        <v>87620</v>
      </c>
      <c r="K2471">
        <v>4</v>
      </c>
      <c r="L2471">
        <v>3.72</v>
      </c>
      <c r="M2471">
        <v>3.76</v>
      </c>
      <c r="N2471" s="1">
        <v>5000000</v>
      </c>
      <c r="O2471">
        <v>3.81</v>
      </c>
      <c r="P2471">
        <v>4.79</v>
      </c>
      <c r="Q2471">
        <v>2.83</v>
      </c>
    </row>
    <row r="2472" spans="1:17" x14ac:dyDescent="0.25">
      <c r="A2472">
        <v>731397</v>
      </c>
      <c r="B2472" t="s">
        <v>3784</v>
      </c>
      <c r="C2472" t="s">
        <v>78</v>
      </c>
      <c r="D2472" t="s">
        <v>78</v>
      </c>
      <c r="E2472" t="s">
        <v>78</v>
      </c>
      <c r="F2472" t="s">
        <v>78</v>
      </c>
      <c r="G2472" t="s">
        <v>78</v>
      </c>
      <c r="H2472">
        <v>3.21</v>
      </c>
      <c r="I2472" s="1">
        <v>0</v>
      </c>
      <c r="J2472" s="1">
        <v>0</v>
      </c>
      <c r="K2472">
        <v>0</v>
      </c>
      <c r="L2472">
        <v>2.9</v>
      </c>
      <c r="M2472">
        <v>0</v>
      </c>
      <c r="N2472" s="1">
        <v>5000000</v>
      </c>
      <c r="O2472">
        <v>2.9</v>
      </c>
      <c r="P2472">
        <v>3.64</v>
      </c>
      <c r="Q2472">
        <v>2.13</v>
      </c>
    </row>
    <row r="2473" spans="1:17" x14ac:dyDescent="0.25">
      <c r="A2473">
        <v>731398</v>
      </c>
      <c r="B2473" t="s">
        <v>3785</v>
      </c>
      <c r="C2473" t="s">
        <v>78</v>
      </c>
      <c r="D2473" t="s">
        <v>78</v>
      </c>
      <c r="E2473" t="s">
        <v>78</v>
      </c>
      <c r="F2473" t="s">
        <v>78</v>
      </c>
      <c r="G2473" t="s">
        <v>78</v>
      </c>
      <c r="H2473">
        <v>1.5</v>
      </c>
      <c r="I2473" s="1">
        <v>0</v>
      </c>
      <c r="J2473" s="1">
        <v>0</v>
      </c>
      <c r="K2473">
        <v>0</v>
      </c>
      <c r="L2473">
        <v>1.36</v>
      </c>
      <c r="M2473">
        <v>1.41</v>
      </c>
      <c r="N2473" s="1">
        <v>5000000</v>
      </c>
      <c r="O2473">
        <v>1.36</v>
      </c>
      <c r="P2473">
        <v>2.1</v>
      </c>
      <c r="Q2473">
        <v>0.62</v>
      </c>
    </row>
    <row r="2474" spans="1:17" x14ac:dyDescent="0.25">
      <c r="A2474">
        <v>731399</v>
      </c>
      <c r="B2474" t="s">
        <v>3786</v>
      </c>
      <c r="C2474" t="s">
        <v>78</v>
      </c>
      <c r="D2474" t="s">
        <v>78</v>
      </c>
      <c r="E2474" t="s">
        <v>78</v>
      </c>
      <c r="F2474" t="s">
        <v>78</v>
      </c>
      <c r="G2474" t="s">
        <v>78</v>
      </c>
      <c r="H2474">
        <v>0.11</v>
      </c>
      <c r="I2474" s="1">
        <v>0</v>
      </c>
      <c r="J2474" s="1">
        <v>0</v>
      </c>
      <c r="K2474">
        <v>0</v>
      </c>
      <c r="L2474">
        <v>0.11</v>
      </c>
      <c r="M2474">
        <v>0.13</v>
      </c>
      <c r="N2474" s="1">
        <v>10000000</v>
      </c>
      <c r="O2474">
        <v>0.11</v>
      </c>
      <c r="P2474">
        <v>0.33</v>
      </c>
      <c r="Q2474">
        <v>0.01</v>
      </c>
    </row>
    <row r="2475" spans="1:17" x14ac:dyDescent="0.25">
      <c r="A2475">
        <v>731400</v>
      </c>
      <c r="B2475" t="s">
        <v>3787</v>
      </c>
      <c r="C2475" t="s">
        <v>78</v>
      </c>
      <c r="D2475" t="s">
        <v>78</v>
      </c>
      <c r="E2475" t="s">
        <v>78</v>
      </c>
      <c r="F2475" t="s">
        <v>78</v>
      </c>
      <c r="G2475" t="s">
        <v>78</v>
      </c>
      <c r="H2475">
        <v>7.3</v>
      </c>
      <c r="I2475" s="1">
        <v>0</v>
      </c>
      <c r="J2475" s="1">
        <v>0</v>
      </c>
      <c r="K2475">
        <v>0</v>
      </c>
      <c r="L2475">
        <v>6.05</v>
      </c>
      <c r="M2475">
        <v>6.55</v>
      </c>
      <c r="N2475" s="1">
        <v>10000000</v>
      </c>
      <c r="O2475">
        <v>6.25</v>
      </c>
      <c r="P2475">
        <v>9.1999999999999993</v>
      </c>
      <c r="Q2475">
        <v>3.3</v>
      </c>
    </row>
    <row r="2476" spans="1:17" x14ac:dyDescent="0.25">
      <c r="A2476">
        <v>731401</v>
      </c>
      <c r="B2476" t="s">
        <v>3788</v>
      </c>
      <c r="C2476" t="s">
        <v>78</v>
      </c>
      <c r="D2476" t="s">
        <v>78</v>
      </c>
      <c r="E2476" t="s">
        <v>78</v>
      </c>
      <c r="F2476" t="s">
        <v>78</v>
      </c>
      <c r="G2476" t="s">
        <v>78</v>
      </c>
      <c r="H2476">
        <v>0.27</v>
      </c>
      <c r="I2476" s="1">
        <v>0</v>
      </c>
      <c r="J2476" s="1">
        <v>0</v>
      </c>
      <c r="K2476">
        <v>0</v>
      </c>
      <c r="L2476">
        <v>0.24</v>
      </c>
      <c r="M2476">
        <v>0.26</v>
      </c>
      <c r="N2476" s="1">
        <v>10000000</v>
      </c>
      <c r="O2476">
        <v>0.26</v>
      </c>
      <c r="P2476">
        <v>0.63</v>
      </c>
      <c r="Q2476">
        <v>0.01</v>
      </c>
    </row>
    <row r="2477" spans="1:17" x14ac:dyDescent="0.25">
      <c r="A2477">
        <v>731402</v>
      </c>
      <c r="B2477" t="s">
        <v>3789</v>
      </c>
      <c r="C2477" t="s">
        <v>78</v>
      </c>
      <c r="D2477" t="s">
        <v>78</v>
      </c>
      <c r="E2477" t="s">
        <v>78</v>
      </c>
      <c r="F2477" t="s">
        <v>78</v>
      </c>
      <c r="G2477" t="s">
        <v>78</v>
      </c>
      <c r="H2477">
        <v>2.4300000000000002</v>
      </c>
      <c r="I2477" s="1">
        <v>0</v>
      </c>
      <c r="J2477" s="1">
        <v>0</v>
      </c>
      <c r="K2477">
        <v>0</v>
      </c>
      <c r="L2477">
        <v>2.15</v>
      </c>
      <c r="M2477">
        <v>0</v>
      </c>
      <c r="N2477" s="1">
        <v>10000000</v>
      </c>
      <c r="O2477">
        <v>2.1800000000000002</v>
      </c>
      <c r="P2477">
        <v>2.91</v>
      </c>
      <c r="Q2477">
        <v>1.45</v>
      </c>
    </row>
    <row r="2478" spans="1:17" x14ac:dyDescent="0.25">
      <c r="A2478">
        <v>731403</v>
      </c>
      <c r="B2478" t="s">
        <v>3790</v>
      </c>
      <c r="C2478" t="s">
        <v>78</v>
      </c>
      <c r="D2478" t="s">
        <v>78</v>
      </c>
      <c r="E2478" t="s">
        <v>78</v>
      </c>
      <c r="F2478" t="s">
        <v>78</v>
      </c>
      <c r="G2478" t="s">
        <v>78</v>
      </c>
      <c r="H2478">
        <v>2.17</v>
      </c>
      <c r="I2478" s="1">
        <v>0</v>
      </c>
      <c r="J2478" s="1">
        <v>0</v>
      </c>
      <c r="K2478">
        <v>0</v>
      </c>
      <c r="L2478">
        <v>2.0699999999999998</v>
      </c>
      <c r="M2478">
        <v>2.15</v>
      </c>
      <c r="N2478" s="1">
        <v>5044000</v>
      </c>
      <c r="O2478">
        <v>2.15</v>
      </c>
      <c r="P2478">
        <v>2.87</v>
      </c>
      <c r="Q2478">
        <v>1.4</v>
      </c>
    </row>
    <row r="2479" spans="1:17" x14ac:dyDescent="0.25">
      <c r="A2479">
        <v>731404</v>
      </c>
      <c r="B2479" t="s">
        <v>3791</v>
      </c>
      <c r="C2479" t="s">
        <v>78</v>
      </c>
      <c r="D2479" t="s">
        <v>78</v>
      </c>
      <c r="E2479" t="s">
        <v>78</v>
      </c>
      <c r="F2479" t="s">
        <v>78</v>
      </c>
      <c r="G2479" t="s">
        <v>78</v>
      </c>
      <c r="H2479">
        <v>0.21</v>
      </c>
      <c r="I2479" s="1">
        <v>0</v>
      </c>
      <c r="J2479" s="1">
        <v>0</v>
      </c>
      <c r="K2479">
        <v>0</v>
      </c>
      <c r="L2479">
        <v>0.16</v>
      </c>
      <c r="M2479">
        <v>0.17</v>
      </c>
      <c r="N2479" s="1">
        <v>5000000</v>
      </c>
      <c r="O2479">
        <v>0.16</v>
      </c>
      <c r="P2479">
        <v>0.8</v>
      </c>
      <c r="Q2479">
        <v>0.01</v>
      </c>
    </row>
    <row r="2480" spans="1:17" x14ac:dyDescent="0.25">
      <c r="A2480">
        <v>731405</v>
      </c>
      <c r="B2480" t="s">
        <v>3792</v>
      </c>
      <c r="C2480">
        <v>0.45</v>
      </c>
      <c r="D2480">
        <v>-0.06</v>
      </c>
      <c r="E2480">
        <v>0.46</v>
      </c>
      <c r="F2480">
        <v>0.46</v>
      </c>
      <c r="G2480">
        <v>0.45</v>
      </c>
      <c r="H2480">
        <v>0.45</v>
      </c>
      <c r="I2480" s="1">
        <v>40000</v>
      </c>
      <c r="J2480" s="1">
        <v>18100</v>
      </c>
      <c r="K2480">
        <v>2</v>
      </c>
      <c r="L2480">
        <v>0.45</v>
      </c>
      <c r="M2480">
        <v>0.46</v>
      </c>
      <c r="N2480" s="1">
        <v>5000000</v>
      </c>
      <c r="O2480">
        <v>0.45</v>
      </c>
      <c r="P2480">
        <v>1.37</v>
      </c>
      <c r="Q2480">
        <v>0.01</v>
      </c>
    </row>
    <row r="2481" spans="1:17" x14ac:dyDescent="0.25">
      <c r="A2481">
        <v>731406</v>
      </c>
      <c r="B2481" t="s">
        <v>3793</v>
      </c>
      <c r="C2481">
        <v>0.51</v>
      </c>
      <c r="D2481">
        <v>-0.02</v>
      </c>
      <c r="E2481">
        <v>0.53</v>
      </c>
      <c r="F2481">
        <v>0.53</v>
      </c>
      <c r="G2481">
        <v>0.5</v>
      </c>
      <c r="H2481">
        <v>0.52</v>
      </c>
      <c r="I2481" s="1">
        <v>798000</v>
      </c>
      <c r="J2481" s="1">
        <v>416290</v>
      </c>
      <c r="K2481">
        <v>21</v>
      </c>
      <c r="L2481">
        <v>0.5</v>
      </c>
      <c r="M2481">
        <v>0.51</v>
      </c>
      <c r="N2481" s="1">
        <v>10000000</v>
      </c>
      <c r="O2481">
        <v>0.51</v>
      </c>
      <c r="P2481">
        <v>0.85</v>
      </c>
      <c r="Q2481">
        <v>0.17</v>
      </c>
    </row>
    <row r="2482" spans="1:17" x14ac:dyDescent="0.25">
      <c r="A2482">
        <v>731407</v>
      </c>
      <c r="B2482" t="s">
        <v>3794</v>
      </c>
      <c r="C2482" t="s">
        <v>78</v>
      </c>
      <c r="D2482" t="s">
        <v>78</v>
      </c>
      <c r="E2482" t="s">
        <v>78</v>
      </c>
      <c r="F2482" t="s">
        <v>78</v>
      </c>
      <c r="G2482" t="s">
        <v>78</v>
      </c>
      <c r="H2482">
        <v>1.02</v>
      </c>
      <c r="I2482" s="1">
        <v>0</v>
      </c>
      <c r="J2482" s="1">
        <v>0</v>
      </c>
      <c r="K2482">
        <v>0</v>
      </c>
      <c r="L2482">
        <v>1</v>
      </c>
      <c r="M2482">
        <v>1.03</v>
      </c>
      <c r="N2482" s="1">
        <v>10000000</v>
      </c>
      <c r="O2482">
        <v>1.01</v>
      </c>
      <c r="P2482">
        <v>1.51</v>
      </c>
      <c r="Q2482">
        <v>0.51</v>
      </c>
    </row>
    <row r="2483" spans="1:17" x14ac:dyDescent="0.25">
      <c r="A2483">
        <v>731408</v>
      </c>
      <c r="B2483" t="s">
        <v>3795</v>
      </c>
      <c r="C2483">
        <v>0.78</v>
      </c>
      <c r="D2483">
        <v>0.02</v>
      </c>
      <c r="E2483">
        <v>0.8</v>
      </c>
      <c r="F2483">
        <v>0.8</v>
      </c>
      <c r="G2483">
        <v>0.78</v>
      </c>
      <c r="H2483">
        <v>0.8</v>
      </c>
      <c r="I2483" s="1">
        <v>118000</v>
      </c>
      <c r="J2483" s="1">
        <v>94140</v>
      </c>
      <c r="K2483">
        <v>4</v>
      </c>
      <c r="L2483">
        <v>0.77</v>
      </c>
      <c r="M2483">
        <v>0.78</v>
      </c>
      <c r="N2483" s="1">
        <v>10000000</v>
      </c>
      <c r="O2483">
        <v>0.78</v>
      </c>
      <c r="P2483">
        <v>1.1299999999999999</v>
      </c>
      <c r="Q2483">
        <v>0.43</v>
      </c>
    </row>
    <row r="2484" spans="1:17" x14ac:dyDescent="0.25">
      <c r="A2484">
        <v>731409</v>
      </c>
      <c r="B2484" t="s">
        <v>3796</v>
      </c>
      <c r="C2484">
        <v>3.24</v>
      </c>
      <c r="D2484">
        <v>-0.03</v>
      </c>
      <c r="E2484">
        <v>3.37</v>
      </c>
      <c r="F2484">
        <v>3.37</v>
      </c>
      <c r="G2484">
        <v>3.24</v>
      </c>
      <c r="H2484">
        <v>3.3</v>
      </c>
      <c r="I2484" s="1">
        <v>20000</v>
      </c>
      <c r="J2484" s="1">
        <v>66100</v>
      </c>
      <c r="K2484">
        <v>3</v>
      </c>
      <c r="L2484">
        <v>3.16</v>
      </c>
      <c r="M2484">
        <v>3.19</v>
      </c>
      <c r="N2484" s="1">
        <v>5000000</v>
      </c>
      <c r="O2484">
        <v>3.24</v>
      </c>
      <c r="P2484">
        <v>4.03</v>
      </c>
      <c r="Q2484">
        <v>2.4500000000000002</v>
      </c>
    </row>
    <row r="2485" spans="1:17" x14ac:dyDescent="0.25">
      <c r="A2485">
        <v>731410</v>
      </c>
      <c r="B2485" t="s">
        <v>3797</v>
      </c>
      <c r="C2485">
        <v>0.53</v>
      </c>
      <c r="D2485">
        <v>-0.06</v>
      </c>
      <c r="E2485">
        <v>0.54</v>
      </c>
      <c r="F2485">
        <v>0.54</v>
      </c>
      <c r="G2485">
        <v>0.5</v>
      </c>
      <c r="H2485">
        <v>0.51</v>
      </c>
      <c r="I2485" s="1">
        <v>381000</v>
      </c>
      <c r="J2485" s="1">
        <v>196100</v>
      </c>
      <c r="K2485">
        <v>10</v>
      </c>
      <c r="L2485">
        <v>0.54</v>
      </c>
      <c r="M2485">
        <v>0.56000000000000005</v>
      </c>
      <c r="N2485" s="1">
        <v>5000000</v>
      </c>
      <c r="O2485">
        <v>0.53</v>
      </c>
      <c r="P2485">
        <v>1.59</v>
      </c>
      <c r="Q2485">
        <v>0.01</v>
      </c>
    </row>
    <row r="2486" spans="1:17" x14ac:dyDescent="0.25">
      <c r="A2486">
        <v>731411</v>
      </c>
      <c r="B2486" t="s">
        <v>3798</v>
      </c>
      <c r="C2486" t="s">
        <v>78</v>
      </c>
      <c r="D2486" t="s">
        <v>78</v>
      </c>
      <c r="E2486" t="s">
        <v>78</v>
      </c>
      <c r="F2486" t="s">
        <v>78</v>
      </c>
      <c r="G2486" t="s">
        <v>78</v>
      </c>
      <c r="H2486">
        <v>0.17</v>
      </c>
      <c r="I2486" s="1">
        <v>0</v>
      </c>
      <c r="J2486" s="1">
        <v>0</v>
      </c>
      <c r="K2486">
        <v>0</v>
      </c>
      <c r="L2486">
        <v>0.01</v>
      </c>
      <c r="M2486">
        <v>0.02</v>
      </c>
      <c r="N2486" s="1">
        <v>5000000</v>
      </c>
      <c r="O2486">
        <v>0.02</v>
      </c>
      <c r="P2486">
        <v>1.22</v>
      </c>
      <c r="Q2486">
        <v>0.01</v>
      </c>
    </row>
    <row r="2487" spans="1:17" x14ac:dyDescent="0.25">
      <c r="A2487">
        <v>731412</v>
      </c>
      <c r="B2487" t="s">
        <v>3799</v>
      </c>
      <c r="C2487">
        <v>0.43</v>
      </c>
      <c r="D2487">
        <v>-0.08</v>
      </c>
      <c r="E2487">
        <v>0.46</v>
      </c>
      <c r="F2487">
        <v>0.46</v>
      </c>
      <c r="G2487">
        <v>0.43</v>
      </c>
      <c r="H2487">
        <v>0.44</v>
      </c>
      <c r="I2487" s="1">
        <v>12000</v>
      </c>
      <c r="J2487" s="1">
        <v>5310</v>
      </c>
      <c r="K2487">
        <v>2</v>
      </c>
      <c r="L2487">
        <v>0.31</v>
      </c>
      <c r="M2487">
        <v>0.34</v>
      </c>
      <c r="N2487" s="1">
        <v>5000000</v>
      </c>
      <c r="O2487">
        <v>0.43</v>
      </c>
      <c r="P2487">
        <v>1.93</v>
      </c>
      <c r="Q2487">
        <v>0.01</v>
      </c>
    </row>
    <row r="2488" spans="1:17" x14ac:dyDescent="0.25">
      <c r="A2488">
        <v>731413</v>
      </c>
      <c r="B2488" t="s">
        <v>3800</v>
      </c>
      <c r="C2488">
        <v>1.25</v>
      </c>
      <c r="D2488">
        <v>-0.24</v>
      </c>
      <c r="E2488">
        <v>1.63</v>
      </c>
      <c r="F2488">
        <v>1.63</v>
      </c>
      <c r="G2488">
        <v>1.24</v>
      </c>
      <c r="H2488">
        <v>1.39</v>
      </c>
      <c r="I2488" s="1">
        <v>483000</v>
      </c>
      <c r="J2488" s="1">
        <v>669180</v>
      </c>
      <c r="K2488">
        <v>13</v>
      </c>
      <c r="L2488">
        <v>1.23</v>
      </c>
      <c r="M2488">
        <v>1.25</v>
      </c>
      <c r="N2488" s="1">
        <v>10000000</v>
      </c>
      <c r="O2488">
        <v>1.25</v>
      </c>
      <c r="P2488">
        <v>3.17</v>
      </c>
      <c r="Q2488">
        <v>0.01</v>
      </c>
    </row>
    <row r="2489" spans="1:17" x14ac:dyDescent="0.25">
      <c r="A2489">
        <v>731414</v>
      </c>
      <c r="B2489" t="s">
        <v>3801</v>
      </c>
      <c r="C2489" t="s">
        <v>78</v>
      </c>
      <c r="D2489" t="s">
        <v>78</v>
      </c>
      <c r="E2489" t="s">
        <v>78</v>
      </c>
      <c r="F2489" t="s">
        <v>78</v>
      </c>
      <c r="G2489" t="s">
        <v>78</v>
      </c>
      <c r="H2489">
        <v>0.1</v>
      </c>
      <c r="I2489" s="1">
        <v>0</v>
      </c>
      <c r="J2489" s="1">
        <v>0</v>
      </c>
      <c r="K2489">
        <v>0</v>
      </c>
      <c r="L2489">
        <v>0.06</v>
      </c>
      <c r="M2489">
        <v>0.16</v>
      </c>
      <c r="N2489" s="1">
        <v>10000000</v>
      </c>
      <c r="O2489">
        <v>0.1</v>
      </c>
      <c r="P2489">
        <v>0.41</v>
      </c>
      <c r="Q2489">
        <v>0.01</v>
      </c>
    </row>
    <row r="2490" spans="1:17" x14ac:dyDescent="0.25">
      <c r="A2490">
        <v>731415</v>
      </c>
      <c r="B2490" t="s">
        <v>3802</v>
      </c>
      <c r="C2490" t="s">
        <v>78</v>
      </c>
      <c r="D2490" t="s">
        <v>78</v>
      </c>
      <c r="E2490" t="s">
        <v>78</v>
      </c>
      <c r="F2490" t="s">
        <v>78</v>
      </c>
      <c r="G2490" t="s">
        <v>78</v>
      </c>
      <c r="H2490">
        <v>0.38</v>
      </c>
      <c r="I2490" s="1">
        <v>0</v>
      </c>
      <c r="J2490" s="1">
        <v>0</v>
      </c>
      <c r="K2490">
        <v>0</v>
      </c>
      <c r="L2490">
        <v>0.38</v>
      </c>
      <c r="M2490">
        <v>0.39</v>
      </c>
      <c r="N2490" s="1">
        <v>10000000</v>
      </c>
      <c r="O2490">
        <v>0.38</v>
      </c>
      <c r="P2490">
        <v>0.9</v>
      </c>
      <c r="Q2490">
        <v>0.01</v>
      </c>
    </row>
    <row r="2491" spans="1:17" x14ac:dyDescent="0.25">
      <c r="A2491">
        <v>731416</v>
      </c>
      <c r="B2491" t="s">
        <v>3803</v>
      </c>
      <c r="C2491" t="s">
        <v>78</v>
      </c>
      <c r="D2491" t="s">
        <v>78</v>
      </c>
      <c r="E2491" t="s">
        <v>78</v>
      </c>
      <c r="F2491" t="s">
        <v>78</v>
      </c>
      <c r="G2491" t="s">
        <v>78</v>
      </c>
      <c r="H2491">
        <v>0.3</v>
      </c>
      <c r="I2491" s="1">
        <v>0</v>
      </c>
      <c r="J2491" s="1">
        <v>0</v>
      </c>
      <c r="K2491">
        <v>0</v>
      </c>
      <c r="L2491">
        <v>0.3</v>
      </c>
      <c r="M2491">
        <v>0.32</v>
      </c>
      <c r="N2491" s="1">
        <v>5000000</v>
      </c>
      <c r="O2491">
        <v>0.3</v>
      </c>
      <c r="P2491">
        <v>0.99</v>
      </c>
      <c r="Q2491">
        <v>0.01</v>
      </c>
    </row>
    <row r="2492" spans="1:17" x14ac:dyDescent="0.25">
      <c r="A2492">
        <v>731417</v>
      </c>
      <c r="B2492" t="s">
        <v>3804</v>
      </c>
      <c r="C2492" t="s">
        <v>78</v>
      </c>
      <c r="D2492" t="s">
        <v>78</v>
      </c>
      <c r="E2492" t="s">
        <v>78</v>
      </c>
      <c r="F2492" t="s">
        <v>78</v>
      </c>
      <c r="G2492" t="s">
        <v>78</v>
      </c>
      <c r="H2492">
        <v>0.02</v>
      </c>
      <c r="I2492" s="1">
        <v>0</v>
      </c>
      <c r="J2492" s="1">
        <v>0</v>
      </c>
      <c r="K2492">
        <v>0</v>
      </c>
      <c r="L2492">
        <v>0.01</v>
      </c>
      <c r="M2492">
        <v>0.05</v>
      </c>
      <c r="N2492" s="1">
        <v>5000000</v>
      </c>
      <c r="O2492">
        <v>0.02</v>
      </c>
      <c r="P2492">
        <v>0.54</v>
      </c>
      <c r="Q2492">
        <v>0.01</v>
      </c>
    </row>
    <row r="2493" spans="1:17" x14ac:dyDescent="0.25">
      <c r="A2493">
        <v>731418</v>
      </c>
      <c r="B2493" t="s">
        <v>3805</v>
      </c>
      <c r="C2493">
        <v>0.22</v>
      </c>
      <c r="D2493">
        <v>-0.04</v>
      </c>
      <c r="E2493">
        <v>0.22</v>
      </c>
      <c r="F2493">
        <v>0.22</v>
      </c>
      <c r="G2493">
        <v>0.22</v>
      </c>
      <c r="H2493">
        <v>0.22</v>
      </c>
      <c r="I2493" s="1">
        <v>20000</v>
      </c>
      <c r="J2493" s="1">
        <v>4400</v>
      </c>
      <c r="K2493">
        <v>2</v>
      </c>
      <c r="L2493">
        <v>0.22</v>
      </c>
      <c r="M2493">
        <v>0.24</v>
      </c>
      <c r="N2493" s="1">
        <v>10000000</v>
      </c>
      <c r="O2493">
        <v>0.22</v>
      </c>
      <c r="P2493">
        <v>0.63</v>
      </c>
      <c r="Q2493">
        <v>0.01</v>
      </c>
    </row>
    <row r="2494" spans="1:17" x14ac:dyDescent="0.25">
      <c r="A2494">
        <v>731419</v>
      </c>
      <c r="B2494" t="s">
        <v>3806</v>
      </c>
      <c r="C2494" t="s">
        <v>78</v>
      </c>
      <c r="D2494" t="s">
        <v>78</v>
      </c>
      <c r="E2494" t="s">
        <v>78</v>
      </c>
      <c r="F2494" t="s">
        <v>78</v>
      </c>
      <c r="G2494" t="s">
        <v>78</v>
      </c>
      <c r="H2494">
        <v>3</v>
      </c>
      <c r="I2494" s="1">
        <v>0</v>
      </c>
      <c r="J2494" s="1">
        <v>0</v>
      </c>
      <c r="K2494">
        <v>0</v>
      </c>
      <c r="L2494">
        <v>4.57</v>
      </c>
      <c r="M2494">
        <v>0</v>
      </c>
      <c r="N2494" s="1">
        <v>10000000</v>
      </c>
      <c r="O2494">
        <v>4.82</v>
      </c>
      <c r="P2494">
        <v>6</v>
      </c>
      <c r="Q2494">
        <v>3.62</v>
      </c>
    </row>
    <row r="2495" spans="1:17" x14ac:dyDescent="0.25">
      <c r="A2495">
        <v>731420</v>
      </c>
      <c r="B2495" t="s">
        <v>3807</v>
      </c>
      <c r="C2495" t="s">
        <v>78</v>
      </c>
      <c r="D2495" t="s">
        <v>78</v>
      </c>
      <c r="E2495" t="s">
        <v>78</v>
      </c>
      <c r="F2495" t="s">
        <v>78</v>
      </c>
      <c r="G2495" t="s">
        <v>78</v>
      </c>
      <c r="H2495">
        <v>0.09</v>
      </c>
      <c r="I2495" s="1">
        <v>0</v>
      </c>
      <c r="J2495" s="1">
        <v>0</v>
      </c>
      <c r="K2495">
        <v>0</v>
      </c>
      <c r="L2495">
        <v>0.06</v>
      </c>
      <c r="M2495">
        <v>0.09</v>
      </c>
      <c r="N2495" s="1">
        <v>10000000</v>
      </c>
      <c r="O2495">
        <v>0.09</v>
      </c>
      <c r="P2495">
        <v>0.52</v>
      </c>
      <c r="Q2495">
        <v>0.01</v>
      </c>
    </row>
    <row r="2496" spans="1:17" x14ac:dyDescent="0.25">
      <c r="A2496">
        <v>731421</v>
      </c>
      <c r="B2496" t="s">
        <v>3808</v>
      </c>
      <c r="C2496">
        <v>0.32</v>
      </c>
      <c r="D2496">
        <v>-0.04</v>
      </c>
      <c r="E2496">
        <v>0.37</v>
      </c>
      <c r="F2496">
        <v>0.37</v>
      </c>
      <c r="G2496">
        <v>0.32</v>
      </c>
      <c r="H2496">
        <v>0.33</v>
      </c>
      <c r="I2496" s="1">
        <v>77000</v>
      </c>
      <c r="J2496" s="1">
        <v>25330</v>
      </c>
      <c r="K2496">
        <v>6</v>
      </c>
      <c r="L2496">
        <v>0.32</v>
      </c>
      <c r="M2496">
        <v>0.33</v>
      </c>
      <c r="N2496" s="1">
        <v>10000000</v>
      </c>
      <c r="O2496">
        <v>0.32</v>
      </c>
      <c r="P2496">
        <v>0.74</v>
      </c>
      <c r="Q2496">
        <v>0.01</v>
      </c>
    </row>
    <row r="2497" spans="1:17" x14ac:dyDescent="0.25">
      <c r="A2497">
        <v>731422</v>
      </c>
      <c r="B2497" t="s">
        <v>3809</v>
      </c>
      <c r="C2497">
        <v>2.66</v>
      </c>
      <c r="D2497">
        <v>-0.05</v>
      </c>
      <c r="E2497">
        <v>2.7</v>
      </c>
      <c r="F2497">
        <v>2.85</v>
      </c>
      <c r="G2497">
        <v>2.6</v>
      </c>
      <c r="H2497">
        <v>2.65</v>
      </c>
      <c r="I2497" s="1">
        <v>98000</v>
      </c>
      <c r="J2497" s="1">
        <v>259960</v>
      </c>
      <c r="K2497">
        <v>8</v>
      </c>
      <c r="L2497">
        <v>2.6</v>
      </c>
      <c r="M2497">
        <v>2.64</v>
      </c>
      <c r="N2497" s="1">
        <v>10000000</v>
      </c>
      <c r="O2497">
        <v>2.66</v>
      </c>
      <c r="P2497">
        <v>3.24</v>
      </c>
      <c r="Q2497">
        <v>2.08</v>
      </c>
    </row>
    <row r="2498" spans="1:17" x14ac:dyDescent="0.25">
      <c r="A2498">
        <v>731423</v>
      </c>
      <c r="B2498" t="s">
        <v>3810</v>
      </c>
      <c r="C2498">
        <v>0.17</v>
      </c>
      <c r="D2498">
        <v>0.02</v>
      </c>
      <c r="E2498">
        <v>0.17</v>
      </c>
      <c r="F2498">
        <v>0.17</v>
      </c>
      <c r="G2498">
        <v>0.17</v>
      </c>
      <c r="H2498">
        <v>0.17</v>
      </c>
      <c r="I2498" s="1">
        <v>19000</v>
      </c>
      <c r="J2498" s="1">
        <v>3230</v>
      </c>
      <c r="K2498">
        <v>1</v>
      </c>
      <c r="L2498">
        <v>0.15</v>
      </c>
      <c r="M2498">
        <v>0.16</v>
      </c>
      <c r="N2498" s="1">
        <v>5000000</v>
      </c>
      <c r="O2498">
        <v>0.17</v>
      </c>
      <c r="P2498">
        <v>1.21</v>
      </c>
      <c r="Q2498">
        <v>0.01</v>
      </c>
    </row>
    <row r="2499" spans="1:17" x14ac:dyDescent="0.25">
      <c r="A2499">
        <v>731424</v>
      </c>
      <c r="B2499" t="s">
        <v>3811</v>
      </c>
      <c r="C2499">
        <v>0.47</v>
      </c>
      <c r="D2499">
        <v>0.03</v>
      </c>
      <c r="E2499">
        <v>0.43</v>
      </c>
      <c r="F2499">
        <v>0.47</v>
      </c>
      <c r="G2499">
        <v>0.43</v>
      </c>
      <c r="H2499">
        <v>0.43</v>
      </c>
      <c r="I2499" s="1">
        <v>222000</v>
      </c>
      <c r="J2499" s="1">
        <v>95980</v>
      </c>
      <c r="K2499">
        <v>5</v>
      </c>
      <c r="L2499">
        <v>0.46</v>
      </c>
      <c r="M2499">
        <v>0.47</v>
      </c>
      <c r="N2499" s="1">
        <v>5000000</v>
      </c>
      <c r="O2499">
        <v>0.47</v>
      </c>
      <c r="P2499">
        <v>1.04</v>
      </c>
      <c r="Q2499">
        <v>0.01</v>
      </c>
    </row>
    <row r="2500" spans="1:17" x14ac:dyDescent="0.25">
      <c r="A2500">
        <v>731425</v>
      </c>
      <c r="B2500" t="s">
        <v>3812</v>
      </c>
      <c r="C2500" t="s">
        <v>78</v>
      </c>
      <c r="D2500" t="s">
        <v>78</v>
      </c>
      <c r="E2500" t="s">
        <v>78</v>
      </c>
      <c r="F2500" t="s">
        <v>78</v>
      </c>
      <c r="G2500" t="s">
        <v>78</v>
      </c>
      <c r="H2500">
        <v>0.11</v>
      </c>
      <c r="I2500" s="1">
        <v>0</v>
      </c>
      <c r="J2500" s="1">
        <v>0</v>
      </c>
      <c r="K2500">
        <v>0</v>
      </c>
      <c r="L2500">
        <v>0</v>
      </c>
      <c r="M2500">
        <v>0.02</v>
      </c>
      <c r="N2500" s="1">
        <v>5000000</v>
      </c>
      <c r="O2500">
        <v>0.02</v>
      </c>
      <c r="P2500">
        <v>0.74</v>
      </c>
      <c r="Q2500">
        <v>0.01</v>
      </c>
    </row>
    <row r="2501" spans="1:17" x14ac:dyDescent="0.25">
      <c r="A2501">
        <v>731426</v>
      </c>
      <c r="B2501" t="s">
        <v>3813</v>
      </c>
      <c r="C2501" t="s">
        <v>78</v>
      </c>
      <c r="D2501" t="s">
        <v>78</v>
      </c>
      <c r="E2501" t="s">
        <v>78</v>
      </c>
      <c r="F2501" t="s">
        <v>78</v>
      </c>
      <c r="G2501" t="s">
        <v>78</v>
      </c>
      <c r="H2501">
        <v>0.06</v>
      </c>
      <c r="I2501" s="1">
        <v>0</v>
      </c>
      <c r="J2501" s="1">
        <v>0</v>
      </c>
      <c r="K2501">
        <v>0</v>
      </c>
      <c r="L2501">
        <v>0.01</v>
      </c>
      <c r="M2501">
        <v>0.02</v>
      </c>
      <c r="N2501" s="1">
        <v>5000000</v>
      </c>
      <c r="O2501">
        <v>0.02</v>
      </c>
      <c r="P2501">
        <v>0.6</v>
      </c>
      <c r="Q2501">
        <v>0.01</v>
      </c>
    </row>
    <row r="2502" spans="1:17" x14ac:dyDescent="0.25">
      <c r="A2502">
        <v>731427</v>
      </c>
      <c r="B2502" t="s">
        <v>3814</v>
      </c>
      <c r="C2502">
        <v>4.84</v>
      </c>
      <c r="D2502">
        <v>-0.16</v>
      </c>
      <c r="E2502">
        <v>4.99</v>
      </c>
      <c r="F2502">
        <v>4.99</v>
      </c>
      <c r="G2502">
        <v>4.84</v>
      </c>
      <c r="H2502">
        <v>4.97</v>
      </c>
      <c r="I2502" s="1">
        <v>19000</v>
      </c>
      <c r="J2502" s="1">
        <v>94410</v>
      </c>
      <c r="K2502">
        <v>7</v>
      </c>
      <c r="L2502">
        <v>4.8099999999999996</v>
      </c>
      <c r="M2502">
        <v>4.8899999999999997</v>
      </c>
      <c r="N2502" s="1">
        <v>5000000</v>
      </c>
      <c r="O2502">
        <v>4.84</v>
      </c>
      <c r="P2502">
        <v>6.35</v>
      </c>
      <c r="Q2502">
        <v>3.3</v>
      </c>
    </row>
    <row r="2503" spans="1:17" x14ac:dyDescent="0.25">
      <c r="A2503">
        <v>731428</v>
      </c>
      <c r="B2503" t="s">
        <v>3815</v>
      </c>
      <c r="C2503" t="s">
        <v>78</v>
      </c>
      <c r="D2503" t="s">
        <v>78</v>
      </c>
      <c r="E2503" t="s">
        <v>78</v>
      </c>
      <c r="F2503" t="s">
        <v>78</v>
      </c>
      <c r="G2503" t="s">
        <v>78</v>
      </c>
      <c r="H2503">
        <v>2.31</v>
      </c>
      <c r="I2503" s="1">
        <v>0</v>
      </c>
      <c r="J2503" s="1">
        <v>0</v>
      </c>
      <c r="K2503">
        <v>0</v>
      </c>
      <c r="L2503">
        <v>3.65</v>
      </c>
      <c r="M2503">
        <v>0</v>
      </c>
      <c r="N2503" s="1">
        <v>5000000</v>
      </c>
      <c r="O2503">
        <v>3.65</v>
      </c>
      <c r="P2503">
        <v>5.0999999999999996</v>
      </c>
      <c r="Q2503">
        <v>2.2000000000000002</v>
      </c>
    </row>
    <row r="2504" spans="1:17" x14ac:dyDescent="0.25">
      <c r="A2504">
        <v>731429</v>
      </c>
      <c r="B2504" t="s">
        <v>3816</v>
      </c>
      <c r="C2504">
        <v>0.61</v>
      </c>
      <c r="D2504">
        <v>0</v>
      </c>
      <c r="E2504">
        <v>0.61</v>
      </c>
      <c r="F2504">
        <v>0.61</v>
      </c>
      <c r="G2504">
        <v>0.61</v>
      </c>
      <c r="H2504">
        <v>0.61</v>
      </c>
      <c r="I2504" s="1">
        <v>125000</v>
      </c>
      <c r="J2504" s="1">
        <v>76250</v>
      </c>
      <c r="K2504">
        <v>2</v>
      </c>
      <c r="L2504">
        <v>0.57999999999999996</v>
      </c>
      <c r="M2504">
        <v>0.59</v>
      </c>
      <c r="N2504" s="1">
        <v>10000000</v>
      </c>
      <c r="O2504">
        <v>0.61</v>
      </c>
      <c r="P2504">
        <v>1.51</v>
      </c>
      <c r="Q2504">
        <v>0.01</v>
      </c>
    </row>
    <row r="2505" spans="1:17" x14ac:dyDescent="0.25">
      <c r="A2505">
        <v>731430</v>
      </c>
      <c r="B2505" t="s">
        <v>3817</v>
      </c>
      <c r="C2505" t="s">
        <v>78</v>
      </c>
      <c r="D2505" t="s">
        <v>78</v>
      </c>
      <c r="E2505" t="s">
        <v>78</v>
      </c>
      <c r="F2505" t="s">
        <v>78</v>
      </c>
      <c r="G2505" t="s">
        <v>78</v>
      </c>
      <c r="H2505">
        <v>3.32</v>
      </c>
      <c r="I2505" s="1">
        <v>0</v>
      </c>
      <c r="J2505" s="1">
        <v>0</v>
      </c>
      <c r="K2505">
        <v>0</v>
      </c>
      <c r="L2505">
        <v>2.9</v>
      </c>
      <c r="M2505">
        <v>3</v>
      </c>
      <c r="N2505" s="1">
        <v>10000000</v>
      </c>
      <c r="O2505">
        <v>2.91</v>
      </c>
      <c r="P2505">
        <v>4.47</v>
      </c>
      <c r="Q2505">
        <v>1.35</v>
      </c>
    </row>
    <row r="2506" spans="1:17" x14ac:dyDescent="0.25">
      <c r="A2506">
        <v>731431</v>
      </c>
      <c r="B2506" t="s">
        <v>3818</v>
      </c>
      <c r="C2506" t="s">
        <v>78</v>
      </c>
      <c r="D2506" t="s">
        <v>78</v>
      </c>
      <c r="E2506" t="s">
        <v>78</v>
      </c>
      <c r="F2506" t="s">
        <v>78</v>
      </c>
      <c r="G2506" t="s">
        <v>78</v>
      </c>
      <c r="H2506">
        <v>0.87</v>
      </c>
      <c r="I2506" s="1">
        <v>0</v>
      </c>
      <c r="J2506" s="1">
        <v>0</v>
      </c>
      <c r="K2506">
        <v>0</v>
      </c>
      <c r="L2506">
        <v>0.94</v>
      </c>
      <c r="M2506">
        <v>0.97</v>
      </c>
      <c r="N2506" s="1">
        <v>10000000</v>
      </c>
      <c r="O2506">
        <v>0.95</v>
      </c>
      <c r="P2506">
        <v>1.43</v>
      </c>
      <c r="Q2506">
        <v>0.47</v>
      </c>
    </row>
    <row r="2507" spans="1:17" x14ac:dyDescent="0.25">
      <c r="A2507">
        <v>731432</v>
      </c>
      <c r="B2507" t="s">
        <v>3819</v>
      </c>
      <c r="C2507" t="s">
        <v>78</v>
      </c>
      <c r="D2507" t="s">
        <v>78</v>
      </c>
      <c r="E2507" t="s">
        <v>78</v>
      </c>
      <c r="F2507" t="s">
        <v>78</v>
      </c>
      <c r="G2507" t="s">
        <v>78</v>
      </c>
      <c r="H2507">
        <v>4.41</v>
      </c>
      <c r="I2507" s="1">
        <v>0</v>
      </c>
      <c r="J2507" s="1">
        <v>0</v>
      </c>
      <c r="K2507">
        <v>0</v>
      </c>
      <c r="L2507">
        <v>4.18</v>
      </c>
      <c r="M2507">
        <v>4.24</v>
      </c>
      <c r="N2507" s="1">
        <v>5000000</v>
      </c>
      <c r="O2507">
        <v>4.24</v>
      </c>
      <c r="P2507">
        <v>5.6</v>
      </c>
      <c r="Q2507">
        <v>2.85</v>
      </c>
    </row>
    <row r="2508" spans="1:17" x14ac:dyDescent="0.25">
      <c r="A2508">
        <v>731433</v>
      </c>
      <c r="B2508" t="s">
        <v>3820</v>
      </c>
      <c r="C2508" t="s">
        <v>78</v>
      </c>
      <c r="D2508" t="s">
        <v>78</v>
      </c>
      <c r="E2508" t="s">
        <v>78</v>
      </c>
      <c r="F2508" t="s">
        <v>78</v>
      </c>
      <c r="G2508" t="s">
        <v>78</v>
      </c>
      <c r="H2508">
        <v>5.6</v>
      </c>
      <c r="I2508" s="1">
        <v>0</v>
      </c>
      <c r="J2508" s="1">
        <v>0</v>
      </c>
      <c r="K2508">
        <v>0</v>
      </c>
      <c r="L2508">
        <v>4.83</v>
      </c>
      <c r="M2508">
        <v>4.8899999999999997</v>
      </c>
      <c r="N2508" s="1">
        <v>5000000</v>
      </c>
      <c r="O2508">
        <v>4.8899999999999997</v>
      </c>
      <c r="P2508">
        <v>6.85</v>
      </c>
      <c r="Q2508">
        <v>2.91</v>
      </c>
    </row>
    <row r="2509" spans="1:17" x14ac:dyDescent="0.25">
      <c r="A2509">
        <v>731434</v>
      </c>
      <c r="B2509" t="s">
        <v>3821</v>
      </c>
      <c r="C2509" t="s">
        <v>78</v>
      </c>
      <c r="D2509" t="s">
        <v>78</v>
      </c>
      <c r="E2509" t="s">
        <v>78</v>
      </c>
      <c r="F2509" t="s">
        <v>78</v>
      </c>
      <c r="G2509" t="s">
        <v>78</v>
      </c>
      <c r="H2509">
        <v>4.5599999999999996</v>
      </c>
      <c r="I2509" s="1">
        <v>0</v>
      </c>
      <c r="J2509" s="1">
        <v>0</v>
      </c>
      <c r="K2509">
        <v>0</v>
      </c>
      <c r="L2509">
        <v>5.3</v>
      </c>
      <c r="M2509">
        <v>5.5</v>
      </c>
      <c r="N2509" s="1">
        <v>5000000</v>
      </c>
      <c r="O2509">
        <v>5.5</v>
      </c>
      <c r="P2509">
        <v>7.45</v>
      </c>
      <c r="Q2509">
        <v>3.52</v>
      </c>
    </row>
    <row r="2510" spans="1:17" x14ac:dyDescent="0.25">
      <c r="A2510">
        <v>731435</v>
      </c>
      <c r="B2510" t="s">
        <v>3822</v>
      </c>
      <c r="C2510">
        <v>4.97</v>
      </c>
      <c r="D2510">
        <v>0</v>
      </c>
      <c r="E2510">
        <v>5.2</v>
      </c>
      <c r="F2510">
        <v>5.2</v>
      </c>
      <c r="G2510">
        <v>4.97</v>
      </c>
      <c r="H2510">
        <v>5.08</v>
      </c>
      <c r="I2510" s="1">
        <v>21000</v>
      </c>
      <c r="J2510" s="1">
        <v>106700</v>
      </c>
      <c r="K2510">
        <v>3</v>
      </c>
      <c r="L2510">
        <v>4.88</v>
      </c>
      <c r="M2510">
        <v>4.92</v>
      </c>
      <c r="N2510" s="1">
        <v>10000000</v>
      </c>
      <c r="O2510">
        <v>4.97</v>
      </c>
      <c r="P2510">
        <v>6.7</v>
      </c>
      <c r="Q2510">
        <v>3.24</v>
      </c>
    </row>
    <row r="2511" spans="1:17" x14ac:dyDescent="0.25">
      <c r="A2511">
        <v>731436</v>
      </c>
      <c r="B2511" t="s">
        <v>3823</v>
      </c>
      <c r="C2511" t="s">
        <v>78</v>
      </c>
      <c r="D2511" t="s">
        <v>78</v>
      </c>
      <c r="E2511" t="s">
        <v>78</v>
      </c>
      <c r="F2511" t="s">
        <v>78</v>
      </c>
      <c r="G2511" t="s">
        <v>78</v>
      </c>
      <c r="H2511">
        <v>0.21</v>
      </c>
      <c r="I2511" s="1">
        <v>0</v>
      </c>
      <c r="J2511" s="1">
        <v>0</v>
      </c>
      <c r="K2511">
        <v>0</v>
      </c>
      <c r="L2511">
        <v>0.01</v>
      </c>
      <c r="M2511">
        <v>0.02</v>
      </c>
      <c r="N2511" s="1">
        <v>10000000</v>
      </c>
      <c r="O2511">
        <v>0.02</v>
      </c>
      <c r="P2511">
        <v>0.89</v>
      </c>
      <c r="Q2511">
        <v>0.01</v>
      </c>
    </row>
    <row r="2512" spans="1:17" x14ac:dyDescent="0.25">
      <c r="A2512">
        <v>731437</v>
      </c>
      <c r="B2512" t="s">
        <v>3824</v>
      </c>
      <c r="C2512" t="s">
        <v>78</v>
      </c>
      <c r="D2512" t="s">
        <v>78</v>
      </c>
      <c r="E2512" t="s">
        <v>78</v>
      </c>
      <c r="F2512" t="s">
        <v>78</v>
      </c>
      <c r="G2512" t="s">
        <v>78</v>
      </c>
      <c r="H2512">
        <v>1.7</v>
      </c>
      <c r="I2512" s="1">
        <v>0</v>
      </c>
      <c r="J2512" s="1">
        <v>0</v>
      </c>
      <c r="K2512">
        <v>0</v>
      </c>
      <c r="L2512">
        <v>1.44</v>
      </c>
      <c r="M2512">
        <v>1.53</v>
      </c>
      <c r="N2512" s="1">
        <v>10000000</v>
      </c>
      <c r="O2512">
        <v>1.52</v>
      </c>
      <c r="P2512">
        <v>2.23</v>
      </c>
      <c r="Q2512">
        <v>0.81</v>
      </c>
    </row>
    <row r="2513" spans="1:17" x14ac:dyDescent="0.25">
      <c r="A2513">
        <v>731438</v>
      </c>
      <c r="B2513" t="s">
        <v>3825</v>
      </c>
      <c r="C2513" t="s">
        <v>78</v>
      </c>
      <c r="D2513" t="s">
        <v>78</v>
      </c>
      <c r="E2513" t="s">
        <v>78</v>
      </c>
      <c r="F2513" t="s">
        <v>78</v>
      </c>
      <c r="G2513" t="s">
        <v>78</v>
      </c>
      <c r="H2513">
        <v>4.07</v>
      </c>
      <c r="I2513" s="1">
        <v>0</v>
      </c>
      <c r="J2513" s="1">
        <v>0</v>
      </c>
      <c r="K2513">
        <v>0</v>
      </c>
      <c r="L2513">
        <v>3.73</v>
      </c>
      <c r="M2513">
        <v>3.76</v>
      </c>
      <c r="N2513" s="1">
        <v>5000000</v>
      </c>
      <c r="O2513">
        <v>3.76</v>
      </c>
      <c r="P2513">
        <v>5.25</v>
      </c>
      <c r="Q2513">
        <v>2.27</v>
      </c>
    </row>
    <row r="2514" spans="1:17" x14ac:dyDescent="0.25">
      <c r="A2514">
        <v>731439</v>
      </c>
      <c r="B2514" t="s">
        <v>3826</v>
      </c>
      <c r="C2514" t="s">
        <v>78</v>
      </c>
      <c r="D2514" t="s">
        <v>78</v>
      </c>
      <c r="E2514" t="s">
        <v>78</v>
      </c>
      <c r="F2514" t="s">
        <v>78</v>
      </c>
      <c r="G2514" t="s">
        <v>78</v>
      </c>
      <c r="H2514">
        <v>4.9400000000000004</v>
      </c>
      <c r="I2514" s="1">
        <v>0</v>
      </c>
      <c r="J2514" s="1">
        <v>0</v>
      </c>
      <c r="K2514">
        <v>0</v>
      </c>
      <c r="L2514">
        <v>0</v>
      </c>
      <c r="M2514">
        <v>0</v>
      </c>
      <c r="N2514" s="1">
        <v>5000000</v>
      </c>
      <c r="O2514">
        <v>4.9400000000000004</v>
      </c>
      <c r="P2514">
        <v>5.9</v>
      </c>
      <c r="Q2514">
        <v>3.95</v>
      </c>
    </row>
    <row r="2515" spans="1:17" x14ac:dyDescent="0.25">
      <c r="A2515">
        <v>731440</v>
      </c>
      <c r="B2515" t="s">
        <v>3827</v>
      </c>
      <c r="C2515" t="s">
        <v>78</v>
      </c>
      <c r="D2515" t="s">
        <v>78</v>
      </c>
      <c r="E2515" t="s">
        <v>78</v>
      </c>
      <c r="F2515" t="s">
        <v>78</v>
      </c>
      <c r="G2515" t="s">
        <v>78</v>
      </c>
      <c r="H2515">
        <v>1.23</v>
      </c>
      <c r="I2515" s="1">
        <v>0</v>
      </c>
      <c r="J2515" s="1">
        <v>0</v>
      </c>
      <c r="K2515">
        <v>0</v>
      </c>
      <c r="L2515">
        <v>1.08</v>
      </c>
      <c r="M2515">
        <v>1.18</v>
      </c>
      <c r="N2515" s="1">
        <v>10000000</v>
      </c>
      <c r="O2515">
        <v>1.1299999999999999</v>
      </c>
      <c r="P2515">
        <v>1.88</v>
      </c>
      <c r="Q2515">
        <v>0.38</v>
      </c>
    </row>
    <row r="2516" spans="1:17" x14ac:dyDescent="0.25">
      <c r="A2516">
        <v>731441</v>
      </c>
      <c r="B2516" t="s">
        <v>3828</v>
      </c>
      <c r="C2516" t="s">
        <v>78</v>
      </c>
      <c r="D2516" t="s">
        <v>78</v>
      </c>
      <c r="E2516" t="s">
        <v>78</v>
      </c>
      <c r="F2516" t="s">
        <v>78</v>
      </c>
      <c r="G2516" t="s">
        <v>78</v>
      </c>
      <c r="H2516">
        <v>5.55</v>
      </c>
      <c r="I2516" s="1">
        <v>0</v>
      </c>
      <c r="J2516" s="1">
        <v>0</v>
      </c>
      <c r="K2516">
        <v>0</v>
      </c>
      <c r="L2516">
        <v>3.89</v>
      </c>
      <c r="M2516">
        <v>3.95</v>
      </c>
      <c r="N2516" s="1">
        <v>5000000</v>
      </c>
      <c r="O2516">
        <v>3.95</v>
      </c>
      <c r="P2516">
        <v>5.4</v>
      </c>
      <c r="Q2516">
        <v>2.46</v>
      </c>
    </row>
    <row r="2517" spans="1:17" x14ac:dyDescent="0.25">
      <c r="A2517">
        <v>731442</v>
      </c>
      <c r="B2517" t="s">
        <v>3829</v>
      </c>
      <c r="C2517" t="s">
        <v>78</v>
      </c>
      <c r="D2517" t="s">
        <v>78</v>
      </c>
      <c r="E2517" t="s">
        <v>78</v>
      </c>
      <c r="F2517" t="s">
        <v>78</v>
      </c>
      <c r="G2517" t="s">
        <v>78</v>
      </c>
      <c r="H2517">
        <v>5.5</v>
      </c>
      <c r="I2517" s="1">
        <v>0</v>
      </c>
      <c r="J2517" s="1">
        <v>0</v>
      </c>
      <c r="K2517">
        <v>0</v>
      </c>
      <c r="L2517">
        <v>4.84</v>
      </c>
      <c r="M2517">
        <v>0</v>
      </c>
      <c r="N2517" s="1">
        <v>5000000</v>
      </c>
      <c r="O2517">
        <v>5.5</v>
      </c>
      <c r="P2517">
        <v>6.95</v>
      </c>
      <c r="Q2517">
        <v>4.01</v>
      </c>
    </row>
    <row r="2518" spans="1:17" x14ac:dyDescent="0.25">
      <c r="A2518">
        <v>731443</v>
      </c>
      <c r="B2518" t="s">
        <v>3830</v>
      </c>
      <c r="C2518">
        <v>3.84</v>
      </c>
      <c r="D2518">
        <v>-0.12</v>
      </c>
      <c r="E2518">
        <v>4.12</v>
      </c>
      <c r="F2518">
        <v>4.12</v>
      </c>
      <c r="G2518">
        <v>3.74</v>
      </c>
      <c r="H2518">
        <v>3.95</v>
      </c>
      <c r="I2518" s="1">
        <v>50000</v>
      </c>
      <c r="J2518" s="1">
        <v>197300</v>
      </c>
      <c r="K2518">
        <v>10</v>
      </c>
      <c r="L2518">
        <v>3.76</v>
      </c>
      <c r="M2518">
        <v>3.82</v>
      </c>
      <c r="N2518" s="1">
        <v>5000000</v>
      </c>
      <c r="O2518">
        <v>3.84</v>
      </c>
      <c r="P2518">
        <v>5.8</v>
      </c>
      <c r="Q2518">
        <v>1.86</v>
      </c>
    </row>
    <row r="2519" spans="1:17" x14ac:dyDescent="0.25">
      <c r="A2519">
        <v>731444</v>
      </c>
      <c r="B2519" t="s">
        <v>3831</v>
      </c>
      <c r="C2519" t="s">
        <v>78</v>
      </c>
      <c r="D2519" t="s">
        <v>78</v>
      </c>
      <c r="E2519" t="s">
        <v>78</v>
      </c>
      <c r="F2519" t="s">
        <v>78</v>
      </c>
      <c r="G2519" t="s">
        <v>78</v>
      </c>
      <c r="H2519">
        <v>1.1499999999999999</v>
      </c>
      <c r="I2519" s="1">
        <v>0</v>
      </c>
      <c r="J2519" s="1">
        <v>0</v>
      </c>
      <c r="K2519">
        <v>0</v>
      </c>
      <c r="L2519">
        <v>1.1399999999999999</v>
      </c>
      <c r="M2519">
        <v>1.19</v>
      </c>
      <c r="N2519" s="1">
        <v>5000000</v>
      </c>
      <c r="O2519">
        <v>1.1499999999999999</v>
      </c>
      <c r="P2519">
        <v>1.95</v>
      </c>
      <c r="Q2519">
        <v>0.34</v>
      </c>
    </row>
    <row r="2520" spans="1:17" x14ac:dyDescent="0.25">
      <c r="A2520">
        <v>731445</v>
      </c>
      <c r="B2520" t="s">
        <v>3832</v>
      </c>
      <c r="C2520" t="s">
        <v>78</v>
      </c>
      <c r="D2520" t="s">
        <v>78</v>
      </c>
      <c r="E2520" t="s">
        <v>78</v>
      </c>
      <c r="F2520" t="s">
        <v>78</v>
      </c>
      <c r="G2520" t="s">
        <v>78</v>
      </c>
      <c r="H2520">
        <v>1.18</v>
      </c>
      <c r="I2520" s="1">
        <v>0</v>
      </c>
      <c r="J2520" s="1">
        <v>0</v>
      </c>
      <c r="K2520">
        <v>0</v>
      </c>
      <c r="L2520">
        <v>0.97</v>
      </c>
      <c r="M2520">
        <v>1.04</v>
      </c>
      <c r="N2520" s="1">
        <v>5000000</v>
      </c>
      <c r="O2520">
        <v>0.97</v>
      </c>
      <c r="P2520">
        <v>2.0299999999999998</v>
      </c>
      <c r="Q2520">
        <v>0.01</v>
      </c>
    </row>
    <row r="2521" spans="1:17" x14ac:dyDescent="0.25">
      <c r="A2521">
        <v>731446</v>
      </c>
      <c r="B2521" t="s">
        <v>3833</v>
      </c>
      <c r="C2521">
        <v>0.53</v>
      </c>
      <c r="D2521">
        <v>0.02</v>
      </c>
      <c r="E2521">
        <v>0.49</v>
      </c>
      <c r="F2521">
        <v>0.53</v>
      </c>
      <c r="G2521">
        <v>0.49</v>
      </c>
      <c r="H2521">
        <v>0.51</v>
      </c>
      <c r="I2521" s="1">
        <v>300000</v>
      </c>
      <c r="J2521" s="1">
        <v>154000</v>
      </c>
      <c r="K2521">
        <v>4</v>
      </c>
      <c r="L2521">
        <v>0.52</v>
      </c>
      <c r="M2521">
        <v>0.53</v>
      </c>
      <c r="N2521" s="1">
        <v>5000000</v>
      </c>
      <c r="O2521">
        <v>0.53</v>
      </c>
      <c r="P2521">
        <v>1.22</v>
      </c>
      <c r="Q2521">
        <v>0.01</v>
      </c>
    </row>
    <row r="2522" spans="1:17" x14ac:dyDescent="0.25">
      <c r="A2522">
        <v>731447</v>
      </c>
      <c r="B2522" t="s">
        <v>3834</v>
      </c>
      <c r="C2522" t="s">
        <v>78</v>
      </c>
      <c r="D2522" t="s">
        <v>78</v>
      </c>
      <c r="E2522" t="s">
        <v>78</v>
      </c>
      <c r="F2522" t="s">
        <v>78</v>
      </c>
      <c r="G2522" t="s">
        <v>78</v>
      </c>
      <c r="H2522">
        <v>0.08</v>
      </c>
      <c r="I2522" s="1">
        <v>0</v>
      </c>
      <c r="J2522" s="1">
        <v>0</v>
      </c>
      <c r="K2522">
        <v>0</v>
      </c>
      <c r="L2522">
        <v>0</v>
      </c>
      <c r="M2522">
        <v>0.02</v>
      </c>
      <c r="N2522" s="1">
        <v>5000000</v>
      </c>
      <c r="O2522">
        <v>0.02</v>
      </c>
      <c r="P2522">
        <v>1.18</v>
      </c>
      <c r="Q2522">
        <v>0.01</v>
      </c>
    </row>
    <row r="2523" spans="1:17" x14ac:dyDescent="0.25">
      <c r="A2523">
        <v>731448</v>
      </c>
      <c r="B2523" t="s">
        <v>3835</v>
      </c>
      <c r="C2523">
        <v>3.06</v>
      </c>
      <c r="D2523">
        <v>-0.04</v>
      </c>
      <c r="E2523">
        <v>3.06</v>
      </c>
      <c r="F2523">
        <v>3.06</v>
      </c>
      <c r="G2523">
        <v>3.06</v>
      </c>
      <c r="H2523">
        <v>3.06</v>
      </c>
      <c r="I2523" s="1">
        <v>10000</v>
      </c>
      <c r="J2523" s="1">
        <v>30600</v>
      </c>
      <c r="K2523">
        <v>1</v>
      </c>
      <c r="L2523">
        <v>2.96</v>
      </c>
      <c r="M2523">
        <v>3.02</v>
      </c>
      <c r="N2523" s="1">
        <v>5000000</v>
      </c>
      <c r="O2523">
        <v>3.06</v>
      </c>
      <c r="P2523">
        <v>4.28</v>
      </c>
      <c r="Q2523">
        <v>1.84</v>
      </c>
    </row>
    <row r="2524" spans="1:17" x14ac:dyDescent="0.25">
      <c r="A2524">
        <v>731449</v>
      </c>
      <c r="B2524" t="s">
        <v>3836</v>
      </c>
      <c r="C2524" t="s">
        <v>78</v>
      </c>
      <c r="D2524" t="s">
        <v>78</v>
      </c>
      <c r="E2524" t="s">
        <v>78</v>
      </c>
      <c r="F2524" t="s">
        <v>78</v>
      </c>
      <c r="G2524" t="s">
        <v>78</v>
      </c>
      <c r="H2524">
        <v>0.02</v>
      </c>
      <c r="I2524" s="1">
        <v>0</v>
      </c>
      <c r="J2524" s="1">
        <v>0</v>
      </c>
      <c r="K2524">
        <v>0</v>
      </c>
      <c r="L2524">
        <v>0.01</v>
      </c>
      <c r="M2524">
        <v>0.05</v>
      </c>
      <c r="N2524" s="1">
        <v>5000000</v>
      </c>
      <c r="O2524">
        <v>0.02</v>
      </c>
      <c r="P2524">
        <v>0.76</v>
      </c>
      <c r="Q2524">
        <v>0.01</v>
      </c>
    </row>
    <row r="2525" spans="1:17" x14ac:dyDescent="0.25">
      <c r="A2525">
        <v>731450</v>
      </c>
      <c r="B2525" t="s">
        <v>3837</v>
      </c>
      <c r="C2525">
        <v>0.77</v>
      </c>
      <c r="D2525">
        <v>0.03</v>
      </c>
      <c r="E2525">
        <v>0.76</v>
      </c>
      <c r="F2525">
        <v>0.77</v>
      </c>
      <c r="G2525">
        <v>0.76</v>
      </c>
      <c r="H2525">
        <v>0.76</v>
      </c>
      <c r="I2525" s="1">
        <v>26000</v>
      </c>
      <c r="J2525" s="1">
        <v>19820</v>
      </c>
      <c r="K2525">
        <v>2</v>
      </c>
      <c r="L2525">
        <v>0.73</v>
      </c>
      <c r="M2525">
        <v>0.74</v>
      </c>
      <c r="N2525" s="1">
        <v>5000000</v>
      </c>
      <c r="O2525">
        <v>0.77</v>
      </c>
      <c r="P2525">
        <v>1.17</v>
      </c>
      <c r="Q2525">
        <v>0.37</v>
      </c>
    </row>
    <row r="2526" spans="1:17" x14ac:dyDescent="0.25">
      <c r="A2526">
        <v>731451</v>
      </c>
      <c r="B2526" t="s">
        <v>3838</v>
      </c>
      <c r="C2526" t="s">
        <v>78</v>
      </c>
      <c r="D2526" t="s">
        <v>78</v>
      </c>
      <c r="E2526" t="s">
        <v>78</v>
      </c>
      <c r="F2526" t="s">
        <v>78</v>
      </c>
      <c r="G2526" t="s">
        <v>78</v>
      </c>
      <c r="H2526">
        <v>4.43</v>
      </c>
      <c r="I2526" s="1">
        <v>0</v>
      </c>
      <c r="J2526" s="1">
        <v>0</v>
      </c>
      <c r="K2526">
        <v>0</v>
      </c>
      <c r="L2526">
        <v>5.15</v>
      </c>
      <c r="M2526">
        <v>5.3</v>
      </c>
      <c r="N2526" s="1">
        <v>5000000</v>
      </c>
      <c r="O2526">
        <v>5.25</v>
      </c>
      <c r="P2526">
        <v>6.75</v>
      </c>
      <c r="Q2526">
        <v>3.7</v>
      </c>
    </row>
    <row r="2527" spans="1:17" x14ac:dyDescent="0.25">
      <c r="A2527">
        <v>731452</v>
      </c>
      <c r="B2527" t="s">
        <v>3839</v>
      </c>
      <c r="C2527" t="s">
        <v>78</v>
      </c>
      <c r="D2527" t="s">
        <v>78</v>
      </c>
      <c r="E2527" t="s">
        <v>78</v>
      </c>
      <c r="F2527" t="s">
        <v>78</v>
      </c>
      <c r="G2527" t="s">
        <v>78</v>
      </c>
      <c r="H2527">
        <v>3.6</v>
      </c>
      <c r="I2527" s="1">
        <v>0</v>
      </c>
      <c r="J2527" s="1">
        <v>0</v>
      </c>
      <c r="K2527">
        <v>0</v>
      </c>
      <c r="L2527">
        <v>3.46</v>
      </c>
      <c r="M2527">
        <v>0</v>
      </c>
      <c r="N2527" s="1">
        <v>5000000</v>
      </c>
      <c r="O2527">
        <v>3.6</v>
      </c>
      <c r="P2527">
        <v>4.68</v>
      </c>
      <c r="Q2527">
        <v>2.52</v>
      </c>
    </row>
    <row r="2528" spans="1:17" x14ac:dyDescent="0.25">
      <c r="A2528">
        <v>731453</v>
      </c>
      <c r="B2528" t="s">
        <v>3840</v>
      </c>
      <c r="C2528">
        <v>0.61</v>
      </c>
      <c r="D2528">
        <v>-0.03</v>
      </c>
      <c r="E2528">
        <v>0.62</v>
      </c>
      <c r="F2528">
        <v>0.63</v>
      </c>
      <c r="G2528">
        <v>0.61</v>
      </c>
      <c r="H2528">
        <v>0.62</v>
      </c>
      <c r="I2528" s="1">
        <v>55000</v>
      </c>
      <c r="J2528" s="1">
        <v>34160</v>
      </c>
      <c r="K2528">
        <v>6</v>
      </c>
      <c r="L2528">
        <v>0.57999999999999996</v>
      </c>
      <c r="M2528">
        <v>0.59</v>
      </c>
      <c r="N2528" s="1">
        <v>10000000</v>
      </c>
      <c r="O2528">
        <v>0.61</v>
      </c>
      <c r="P2528">
        <v>0.91</v>
      </c>
      <c r="Q2528">
        <v>0.31</v>
      </c>
    </row>
    <row r="2529" spans="1:17" x14ac:dyDescent="0.25">
      <c r="A2529">
        <v>731454</v>
      </c>
      <c r="B2529" t="s">
        <v>3841</v>
      </c>
      <c r="C2529">
        <v>0.55000000000000004</v>
      </c>
      <c r="D2529">
        <v>0.02</v>
      </c>
      <c r="E2529">
        <v>0.55000000000000004</v>
      </c>
      <c r="F2529">
        <v>0.55000000000000004</v>
      </c>
      <c r="G2529">
        <v>0.55000000000000004</v>
      </c>
      <c r="H2529">
        <v>0.55000000000000004</v>
      </c>
      <c r="I2529" s="1">
        <v>2000</v>
      </c>
      <c r="J2529" s="1">
        <v>1100</v>
      </c>
      <c r="K2529">
        <v>1</v>
      </c>
      <c r="L2529">
        <v>0.51</v>
      </c>
      <c r="M2529">
        <v>0.53</v>
      </c>
      <c r="N2529" s="1">
        <v>10000000</v>
      </c>
      <c r="O2529">
        <v>0.55000000000000004</v>
      </c>
      <c r="P2529">
        <v>2.02</v>
      </c>
      <c r="Q2529">
        <v>0.01</v>
      </c>
    </row>
    <row r="2530" spans="1:17" x14ac:dyDescent="0.25">
      <c r="A2530">
        <v>731455</v>
      </c>
      <c r="B2530" t="s">
        <v>3842</v>
      </c>
      <c r="C2530" t="s">
        <v>78</v>
      </c>
      <c r="D2530" t="s">
        <v>78</v>
      </c>
      <c r="E2530" t="s">
        <v>78</v>
      </c>
      <c r="F2530" t="s">
        <v>78</v>
      </c>
      <c r="G2530" t="s">
        <v>78</v>
      </c>
      <c r="H2530">
        <v>5.85</v>
      </c>
      <c r="I2530" s="1">
        <v>0</v>
      </c>
      <c r="J2530" s="1">
        <v>0</v>
      </c>
      <c r="K2530">
        <v>0</v>
      </c>
      <c r="L2530">
        <v>4.82</v>
      </c>
      <c r="M2530">
        <v>4.92</v>
      </c>
      <c r="N2530" s="1">
        <v>5000000</v>
      </c>
      <c r="O2530">
        <v>4.92</v>
      </c>
      <c r="P2530">
        <v>7.4</v>
      </c>
      <c r="Q2530">
        <v>2.44</v>
      </c>
    </row>
    <row r="2531" spans="1:17" x14ac:dyDescent="0.25">
      <c r="A2531">
        <v>731456</v>
      </c>
      <c r="B2531" t="s">
        <v>3843</v>
      </c>
      <c r="C2531" t="s">
        <v>78</v>
      </c>
      <c r="D2531" t="s">
        <v>78</v>
      </c>
      <c r="E2531" t="s">
        <v>78</v>
      </c>
      <c r="F2531" t="s">
        <v>78</v>
      </c>
      <c r="G2531" t="s">
        <v>78</v>
      </c>
      <c r="H2531">
        <v>2.4300000000000002</v>
      </c>
      <c r="I2531" s="1">
        <v>0</v>
      </c>
      <c r="J2531" s="1">
        <v>0</v>
      </c>
      <c r="K2531">
        <v>0</v>
      </c>
      <c r="L2531">
        <v>2.5</v>
      </c>
      <c r="M2531">
        <v>2.6</v>
      </c>
      <c r="N2531" s="1">
        <v>10000000</v>
      </c>
      <c r="O2531">
        <v>2.6</v>
      </c>
      <c r="P2531">
        <v>3.7</v>
      </c>
      <c r="Q2531">
        <v>1.5</v>
      </c>
    </row>
    <row r="2532" spans="1:17" x14ac:dyDescent="0.25">
      <c r="A2532">
        <v>731457</v>
      </c>
      <c r="B2532" t="s">
        <v>3844</v>
      </c>
      <c r="C2532">
        <v>0.67</v>
      </c>
      <c r="D2532">
        <v>0.2</v>
      </c>
      <c r="E2532">
        <v>0.64</v>
      </c>
      <c r="F2532">
        <v>0.72</v>
      </c>
      <c r="G2532">
        <v>0.64</v>
      </c>
      <c r="H2532">
        <v>0.69</v>
      </c>
      <c r="I2532" s="1">
        <v>174000</v>
      </c>
      <c r="J2532" s="1">
        <v>119930</v>
      </c>
      <c r="K2532">
        <v>4</v>
      </c>
      <c r="L2532">
        <v>0.55000000000000004</v>
      </c>
      <c r="M2532">
        <v>0.56000000000000005</v>
      </c>
      <c r="N2532" s="1">
        <v>10000000</v>
      </c>
      <c r="O2532">
        <v>0.67</v>
      </c>
      <c r="P2532">
        <v>3.71</v>
      </c>
      <c r="Q2532">
        <v>0.01</v>
      </c>
    </row>
    <row r="2533" spans="1:17" x14ac:dyDescent="0.25">
      <c r="A2533">
        <v>731458</v>
      </c>
      <c r="B2533" t="s">
        <v>3845</v>
      </c>
      <c r="C2533" t="s">
        <v>78</v>
      </c>
      <c r="D2533" t="s">
        <v>78</v>
      </c>
      <c r="E2533" t="s">
        <v>78</v>
      </c>
      <c r="F2533" t="s">
        <v>78</v>
      </c>
      <c r="G2533" t="s">
        <v>78</v>
      </c>
      <c r="H2533">
        <v>0.36</v>
      </c>
      <c r="I2533" s="1">
        <v>0</v>
      </c>
      <c r="J2533" s="1">
        <v>0</v>
      </c>
      <c r="K2533">
        <v>0</v>
      </c>
      <c r="L2533">
        <v>0.34</v>
      </c>
      <c r="M2533">
        <v>0.4</v>
      </c>
      <c r="N2533" s="1">
        <v>10000000</v>
      </c>
      <c r="O2533">
        <v>0.36</v>
      </c>
      <c r="P2533">
        <v>0.91</v>
      </c>
      <c r="Q2533">
        <v>0.01</v>
      </c>
    </row>
    <row r="2534" spans="1:17" x14ac:dyDescent="0.25">
      <c r="A2534">
        <v>731459</v>
      </c>
      <c r="B2534" t="s">
        <v>3846</v>
      </c>
      <c r="C2534">
        <v>2.31</v>
      </c>
      <c r="D2534">
        <v>-0.2</v>
      </c>
      <c r="E2534">
        <v>2.36</v>
      </c>
      <c r="F2534">
        <v>2.36</v>
      </c>
      <c r="G2534">
        <v>2.31</v>
      </c>
      <c r="H2534">
        <v>2.35</v>
      </c>
      <c r="I2534" s="1">
        <v>21000</v>
      </c>
      <c r="J2534" s="1">
        <v>49410</v>
      </c>
      <c r="K2534">
        <v>4</v>
      </c>
      <c r="L2534">
        <v>2.33</v>
      </c>
      <c r="M2534">
        <v>2.38</v>
      </c>
      <c r="N2534" s="1">
        <v>10000000</v>
      </c>
      <c r="O2534">
        <v>2.31</v>
      </c>
      <c r="P2534">
        <v>3.18</v>
      </c>
      <c r="Q2534">
        <v>1.44</v>
      </c>
    </row>
    <row r="2535" spans="1:17" x14ac:dyDescent="0.25">
      <c r="A2535">
        <v>731460</v>
      </c>
      <c r="B2535" t="s">
        <v>3847</v>
      </c>
      <c r="C2535">
        <v>1.26</v>
      </c>
      <c r="D2535">
        <v>0.02</v>
      </c>
      <c r="E2535">
        <v>1.26</v>
      </c>
      <c r="F2535">
        <v>1.34</v>
      </c>
      <c r="G2535">
        <v>1.26</v>
      </c>
      <c r="H2535">
        <v>1.27</v>
      </c>
      <c r="I2535" s="1">
        <v>261000</v>
      </c>
      <c r="J2535" s="1">
        <v>331460</v>
      </c>
      <c r="K2535">
        <v>19</v>
      </c>
      <c r="L2535">
        <v>1.27</v>
      </c>
      <c r="M2535">
        <v>1.28</v>
      </c>
      <c r="N2535" s="1">
        <v>10000000</v>
      </c>
      <c r="O2535">
        <v>1.26</v>
      </c>
      <c r="P2535">
        <v>2.0299999999999998</v>
      </c>
      <c r="Q2535">
        <v>0.49</v>
      </c>
    </row>
    <row r="2536" spans="1:17" x14ac:dyDescent="0.25">
      <c r="A2536">
        <v>731461</v>
      </c>
      <c r="B2536" t="s">
        <v>3848</v>
      </c>
      <c r="C2536" t="s">
        <v>78</v>
      </c>
      <c r="D2536" t="s">
        <v>78</v>
      </c>
      <c r="E2536" t="s">
        <v>78</v>
      </c>
      <c r="F2536" t="s">
        <v>78</v>
      </c>
      <c r="G2536" t="s">
        <v>78</v>
      </c>
      <c r="H2536">
        <v>0.22</v>
      </c>
      <c r="I2536" s="1">
        <v>0</v>
      </c>
      <c r="J2536" s="1">
        <v>0</v>
      </c>
      <c r="K2536">
        <v>0</v>
      </c>
      <c r="L2536">
        <v>0.2</v>
      </c>
      <c r="M2536">
        <v>0.21</v>
      </c>
      <c r="N2536" s="1">
        <v>5000000</v>
      </c>
      <c r="O2536">
        <v>0.21</v>
      </c>
      <c r="P2536">
        <v>1.01</v>
      </c>
      <c r="Q2536">
        <v>0.01</v>
      </c>
    </row>
    <row r="2537" spans="1:17" x14ac:dyDescent="0.25">
      <c r="A2537">
        <v>731462</v>
      </c>
      <c r="B2537" t="s">
        <v>3849</v>
      </c>
      <c r="C2537">
        <v>0.78</v>
      </c>
      <c r="D2537">
        <v>-0.01</v>
      </c>
      <c r="E2537">
        <v>0.8</v>
      </c>
      <c r="F2537">
        <v>0.83</v>
      </c>
      <c r="G2537">
        <v>0.78</v>
      </c>
      <c r="H2537">
        <v>0.79</v>
      </c>
      <c r="I2537" s="1">
        <v>293000</v>
      </c>
      <c r="J2537" s="1">
        <v>230640</v>
      </c>
      <c r="K2537">
        <v>17</v>
      </c>
      <c r="L2537">
        <v>0.77</v>
      </c>
      <c r="M2537">
        <v>0.78</v>
      </c>
      <c r="N2537" s="1">
        <v>10000000</v>
      </c>
      <c r="O2537">
        <v>0.78</v>
      </c>
      <c r="P2537">
        <v>1.64</v>
      </c>
      <c r="Q2537">
        <v>0.01</v>
      </c>
    </row>
    <row r="2538" spans="1:17" x14ac:dyDescent="0.25">
      <c r="A2538">
        <v>731463</v>
      </c>
      <c r="B2538" t="s">
        <v>3850</v>
      </c>
      <c r="C2538" t="s">
        <v>78</v>
      </c>
      <c r="D2538" t="s">
        <v>78</v>
      </c>
      <c r="E2538" t="s">
        <v>78</v>
      </c>
      <c r="F2538" t="s">
        <v>78</v>
      </c>
      <c r="G2538" t="s">
        <v>78</v>
      </c>
      <c r="H2538">
        <v>0.34</v>
      </c>
      <c r="I2538" s="1">
        <v>0</v>
      </c>
      <c r="J2538" s="1">
        <v>0</v>
      </c>
      <c r="K2538">
        <v>0</v>
      </c>
      <c r="L2538">
        <v>0.13</v>
      </c>
      <c r="M2538">
        <v>0.14000000000000001</v>
      </c>
      <c r="N2538" s="1">
        <v>10000000</v>
      </c>
      <c r="O2538">
        <v>0.14000000000000001</v>
      </c>
      <c r="P2538">
        <v>0.66</v>
      </c>
      <c r="Q2538">
        <v>0.01</v>
      </c>
    </row>
    <row r="2539" spans="1:17" x14ac:dyDescent="0.25">
      <c r="A2539">
        <v>731464</v>
      </c>
      <c r="B2539" t="s">
        <v>3851</v>
      </c>
      <c r="C2539" t="s">
        <v>78</v>
      </c>
      <c r="D2539" t="s">
        <v>78</v>
      </c>
      <c r="E2539" t="s">
        <v>78</v>
      </c>
      <c r="F2539" t="s">
        <v>78</v>
      </c>
      <c r="G2539" t="s">
        <v>78</v>
      </c>
      <c r="H2539">
        <v>4.78</v>
      </c>
      <c r="I2539" s="1">
        <v>0</v>
      </c>
      <c r="J2539" s="1">
        <v>0</v>
      </c>
      <c r="K2539">
        <v>0</v>
      </c>
      <c r="L2539">
        <v>4.51</v>
      </c>
      <c r="M2539">
        <v>4.6100000000000003</v>
      </c>
      <c r="N2539" s="1">
        <v>10000000</v>
      </c>
      <c r="O2539">
        <v>4.6100000000000003</v>
      </c>
      <c r="P2539">
        <v>6.1</v>
      </c>
      <c r="Q2539">
        <v>3.12</v>
      </c>
    </row>
    <row r="2540" spans="1:17" x14ac:dyDescent="0.25">
      <c r="A2540">
        <v>731465</v>
      </c>
      <c r="B2540" t="s">
        <v>3852</v>
      </c>
      <c r="C2540" t="s">
        <v>78</v>
      </c>
      <c r="D2540" t="s">
        <v>78</v>
      </c>
      <c r="E2540" t="s">
        <v>78</v>
      </c>
      <c r="F2540" t="s">
        <v>78</v>
      </c>
      <c r="G2540" t="s">
        <v>78</v>
      </c>
      <c r="H2540">
        <v>3.89</v>
      </c>
      <c r="I2540" s="1">
        <v>0</v>
      </c>
      <c r="J2540" s="1">
        <v>0</v>
      </c>
      <c r="K2540">
        <v>0</v>
      </c>
      <c r="L2540">
        <v>3.13</v>
      </c>
      <c r="M2540">
        <v>3.23</v>
      </c>
      <c r="N2540" s="1">
        <v>10000000</v>
      </c>
      <c r="O2540">
        <v>3.23</v>
      </c>
      <c r="P2540">
        <v>4.72</v>
      </c>
      <c r="Q2540">
        <v>1.74</v>
      </c>
    </row>
    <row r="2541" spans="1:17" x14ac:dyDescent="0.25">
      <c r="A2541">
        <v>731466</v>
      </c>
      <c r="B2541" t="s">
        <v>3853</v>
      </c>
      <c r="C2541">
        <v>0.2</v>
      </c>
      <c r="D2541">
        <v>0</v>
      </c>
      <c r="E2541">
        <v>0.2</v>
      </c>
      <c r="F2541">
        <v>0.2</v>
      </c>
      <c r="G2541">
        <v>0.2</v>
      </c>
      <c r="H2541">
        <v>0.2</v>
      </c>
      <c r="I2541" s="1">
        <v>10000</v>
      </c>
      <c r="J2541" s="1">
        <v>2000</v>
      </c>
      <c r="K2541">
        <v>1</v>
      </c>
      <c r="L2541">
        <v>0.2</v>
      </c>
      <c r="M2541">
        <v>0.21</v>
      </c>
      <c r="N2541" s="1">
        <v>10000000</v>
      </c>
      <c r="O2541">
        <v>0.2</v>
      </c>
      <c r="P2541">
        <v>0.73</v>
      </c>
      <c r="Q2541">
        <v>0.01</v>
      </c>
    </row>
    <row r="2542" spans="1:17" x14ac:dyDescent="0.25">
      <c r="A2542">
        <v>731467</v>
      </c>
      <c r="B2542" t="s">
        <v>3854</v>
      </c>
      <c r="C2542" t="s">
        <v>78</v>
      </c>
      <c r="D2542" t="s">
        <v>78</v>
      </c>
      <c r="E2542" t="s">
        <v>78</v>
      </c>
      <c r="F2542" t="s">
        <v>78</v>
      </c>
      <c r="G2542" t="s">
        <v>78</v>
      </c>
      <c r="H2542">
        <v>3.34</v>
      </c>
      <c r="I2542" s="1">
        <v>0</v>
      </c>
      <c r="J2542" s="1">
        <v>0</v>
      </c>
      <c r="K2542">
        <v>0</v>
      </c>
      <c r="L2542">
        <v>3.16</v>
      </c>
      <c r="M2542">
        <v>3.2</v>
      </c>
      <c r="N2542" s="1">
        <v>11000000</v>
      </c>
      <c r="O2542">
        <v>3.2</v>
      </c>
      <c r="P2542">
        <v>4.1900000000000004</v>
      </c>
      <c r="Q2542">
        <v>2.21</v>
      </c>
    </row>
    <row r="2543" spans="1:17" x14ac:dyDescent="0.25">
      <c r="A2543">
        <v>731468</v>
      </c>
      <c r="B2543" t="s">
        <v>3855</v>
      </c>
      <c r="C2543" t="s">
        <v>78</v>
      </c>
      <c r="D2543" t="s">
        <v>78</v>
      </c>
      <c r="E2543" t="s">
        <v>78</v>
      </c>
      <c r="F2543" t="s">
        <v>78</v>
      </c>
      <c r="G2543" t="s">
        <v>78</v>
      </c>
      <c r="H2543">
        <v>0.08</v>
      </c>
      <c r="I2543" s="1">
        <v>0</v>
      </c>
      <c r="J2543" s="1">
        <v>0</v>
      </c>
      <c r="K2543">
        <v>0</v>
      </c>
      <c r="L2543">
        <v>0.08</v>
      </c>
      <c r="M2543">
        <v>0.09</v>
      </c>
      <c r="N2543" s="1">
        <v>10000000</v>
      </c>
      <c r="O2543">
        <v>0.09</v>
      </c>
      <c r="P2543">
        <v>0.59</v>
      </c>
      <c r="Q2543">
        <v>0.01</v>
      </c>
    </row>
    <row r="2544" spans="1:17" x14ac:dyDescent="0.25">
      <c r="A2544">
        <v>731469</v>
      </c>
      <c r="B2544" t="s">
        <v>3856</v>
      </c>
      <c r="C2544" t="s">
        <v>78</v>
      </c>
      <c r="D2544" t="s">
        <v>78</v>
      </c>
      <c r="E2544" t="s">
        <v>78</v>
      </c>
      <c r="F2544" t="s">
        <v>78</v>
      </c>
      <c r="G2544" t="s">
        <v>78</v>
      </c>
      <c r="H2544">
        <v>0.14000000000000001</v>
      </c>
      <c r="I2544" s="1">
        <v>0</v>
      </c>
      <c r="J2544" s="1">
        <v>0</v>
      </c>
      <c r="K2544">
        <v>0</v>
      </c>
      <c r="L2544">
        <v>0.11</v>
      </c>
      <c r="M2544">
        <v>0.14000000000000001</v>
      </c>
      <c r="N2544" s="1">
        <v>10000000</v>
      </c>
      <c r="O2544">
        <v>0.13</v>
      </c>
      <c r="P2544">
        <v>0.53</v>
      </c>
      <c r="Q2544">
        <v>0.01</v>
      </c>
    </row>
    <row r="2545" spans="1:17" x14ac:dyDescent="0.25">
      <c r="A2545">
        <v>731470</v>
      </c>
      <c r="B2545" t="s">
        <v>3857</v>
      </c>
      <c r="C2545" t="s">
        <v>78</v>
      </c>
      <c r="D2545" t="s">
        <v>78</v>
      </c>
      <c r="E2545" t="s">
        <v>78</v>
      </c>
      <c r="F2545" t="s">
        <v>78</v>
      </c>
      <c r="G2545" t="s">
        <v>78</v>
      </c>
      <c r="H2545">
        <v>1.83</v>
      </c>
      <c r="I2545" s="1">
        <v>0</v>
      </c>
      <c r="J2545" s="1">
        <v>0</v>
      </c>
      <c r="K2545">
        <v>0</v>
      </c>
      <c r="L2545">
        <v>0.78</v>
      </c>
      <c r="M2545">
        <v>0.86</v>
      </c>
      <c r="N2545" s="1">
        <v>10000000</v>
      </c>
      <c r="O2545">
        <v>0.86</v>
      </c>
      <c r="P2545">
        <v>1.58</v>
      </c>
      <c r="Q2545">
        <v>0.14000000000000001</v>
      </c>
    </row>
    <row r="2546" spans="1:17" x14ac:dyDescent="0.25">
      <c r="A2546">
        <v>731471</v>
      </c>
      <c r="B2546" t="s">
        <v>3858</v>
      </c>
      <c r="C2546" t="s">
        <v>78</v>
      </c>
      <c r="D2546" t="s">
        <v>78</v>
      </c>
      <c r="E2546" t="s">
        <v>78</v>
      </c>
      <c r="F2546" t="s">
        <v>78</v>
      </c>
      <c r="G2546" t="s">
        <v>78</v>
      </c>
      <c r="H2546">
        <v>0.36</v>
      </c>
      <c r="I2546" s="1">
        <v>0</v>
      </c>
      <c r="J2546" s="1">
        <v>0</v>
      </c>
      <c r="K2546">
        <v>0</v>
      </c>
      <c r="L2546">
        <v>0.17</v>
      </c>
      <c r="M2546">
        <v>0.2</v>
      </c>
      <c r="N2546" s="1">
        <v>10000000</v>
      </c>
      <c r="O2546">
        <v>0.2</v>
      </c>
      <c r="P2546">
        <v>0.73</v>
      </c>
      <c r="Q2546">
        <v>0.01</v>
      </c>
    </row>
    <row r="2547" spans="1:17" x14ac:dyDescent="0.25">
      <c r="A2547">
        <v>731472</v>
      </c>
      <c r="B2547" t="s">
        <v>3859</v>
      </c>
      <c r="C2547" t="s">
        <v>78</v>
      </c>
      <c r="D2547" t="s">
        <v>78</v>
      </c>
      <c r="E2547" t="s">
        <v>78</v>
      </c>
      <c r="F2547" t="s">
        <v>78</v>
      </c>
      <c r="G2547" t="s">
        <v>78</v>
      </c>
      <c r="H2547">
        <v>0.79</v>
      </c>
      <c r="I2547" s="1">
        <v>0</v>
      </c>
      <c r="J2547" s="1">
        <v>0</v>
      </c>
      <c r="K2547">
        <v>0</v>
      </c>
      <c r="L2547">
        <v>0.96</v>
      </c>
      <c r="M2547">
        <v>1</v>
      </c>
      <c r="N2547" s="1">
        <v>10000000</v>
      </c>
      <c r="O2547">
        <v>0.96</v>
      </c>
      <c r="P2547">
        <v>1.45</v>
      </c>
      <c r="Q2547">
        <v>0.47</v>
      </c>
    </row>
    <row r="2548" spans="1:17" x14ac:dyDescent="0.25">
      <c r="A2548">
        <v>731473</v>
      </c>
      <c r="B2548" t="s">
        <v>3860</v>
      </c>
      <c r="C2548" t="s">
        <v>78</v>
      </c>
      <c r="D2548" t="s">
        <v>78</v>
      </c>
      <c r="E2548" t="s">
        <v>78</v>
      </c>
      <c r="F2548" t="s">
        <v>78</v>
      </c>
      <c r="G2548" t="s">
        <v>78</v>
      </c>
      <c r="H2548">
        <v>1.17</v>
      </c>
      <c r="I2548" s="1">
        <v>0</v>
      </c>
      <c r="J2548" s="1">
        <v>0</v>
      </c>
      <c r="K2548">
        <v>0</v>
      </c>
      <c r="L2548">
        <v>1.1399999999999999</v>
      </c>
      <c r="M2548">
        <v>1.18</v>
      </c>
      <c r="N2548" s="1">
        <v>10000000</v>
      </c>
      <c r="O2548">
        <v>1.17</v>
      </c>
      <c r="P2548">
        <v>1.8</v>
      </c>
      <c r="Q2548">
        <v>0.54</v>
      </c>
    </row>
    <row r="2549" spans="1:17" x14ac:dyDescent="0.25">
      <c r="A2549">
        <v>731474</v>
      </c>
      <c r="B2549" t="s">
        <v>3861</v>
      </c>
      <c r="C2549" t="s">
        <v>78</v>
      </c>
      <c r="D2549" t="s">
        <v>78</v>
      </c>
      <c r="E2549" t="s">
        <v>78</v>
      </c>
      <c r="F2549" t="s">
        <v>78</v>
      </c>
      <c r="G2549" t="s">
        <v>78</v>
      </c>
      <c r="H2549">
        <v>0.12</v>
      </c>
      <c r="I2549" s="1">
        <v>0</v>
      </c>
      <c r="J2549" s="1">
        <v>0</v>
      </c>
      <c r="K2549">
        <v>0</v>
      </c>
      <c r="L2549">
        <v>0.11</v>
      </c>
      <c r="M2549">
        <v>0.12</v>
      </c>
      <c r="N2549" s="1">
        <v>10000000</v>
      </c>
      <c r="O2549">
        <v>0.12</v>
      </c>
      <c r="P2549">
        <v>0.68</v>
      </c>
      <c r="Q2549">
        <v>0.01</v>
      </c>
    </row>
    <row r="2550" spans="1:17" x14ac:dyDescent="0.25">
      <c r="A2550">
        <v>731475</v>
      </c>
      <c r="B2550" t="s">
        <v>3862</v>
      </c>
      <c r="C2550" t="s">
        <v>78</v>
      </c>
      <c r="D2550" t="s">
        <v>78</v>
      </c>
      <c r="E2550" t="s">
        <v>78</v>
      </c>
      <c r="F2550" t="s">
        <v>78</v>
      </c>
      <c r="G2550" t="s">
        <v>78</v>
      </c>
      <c r="H2550">
        <v>0.02</v>
      </c>
      <c r="I2550" s="1">
        <v>0</v>
      </c>
      <c r="J2550" s="1">
        <v>0</v>
      </c>
      <c r="K2550">
        <v>0</v>
      </c>
      <c r="L2550">
        <v>0.01</v>
      </c>
      <c r="M2550">
        <v>0.02</v>
      </c>
      <c r="N2550" s="1">
        <v>5000000</v>
      </c>
      <c r="O2550">
        <v>0.02</v>
      </c>
      <c r="P2550">
        <v>0.42</v>
      </c>
      <c r="Q2550">
        <v>0.01</v>
      </c>
    </row>
    <row r="2551" spans="1:17" x14ac:dyDescent="0.25">
      <c r="A2551">
        <v>731476</v>
      </c>
      <c r="B2551" t="s">
        <v>3863</v>
      </c>
      <c r="C2551" t="s">
        <v>78</v>
      </c>
      <c r="D2551" t="s">
        <v>78</v>
      </c>
      <c r="E2551" t="s">
        <v>78</v>
      </c>
      <c r="F2551" t="s">
        <v>78</v>
      </c>
      <c r="G2551" t="s">
        <v>78</v>
      </c>
      <c r="H2551">
        <v>0.14000000000000001</v>
      </c>
      <c r="I2551" s="1">
        <v>0</v>
      </c>
      <c r="J2551" s="1">
        <v>0</v>
      </c>
      <c r="K2551">
        <v>0</v>
      </c>
      <c r="L2551">
        <v>0.11</v>
      </c>
      <c r="M2551">
        <v>0.12</v>
      </c>
      <c r="N2551" s="1">
        <v>5000000</v>
      </c>
      <c r="O2551">
        <v>0.12</v>
      </c>
      <c r="P2551">
        <v>0.65</v>
      </c>
      <c r="Q2551">
        <v>0.01</v>
      </c>
    </row>
    <row r="2552" spans="1:17" x14ac:dyDescent="0.25">
      <c r="A2552">
        <v>731477</v>
      </c>
      <c r="B2552" t="s">
        <v>3864</v>
      </c>
      <c r="C2552">
        <v>4.24</v>
      </c>
      <c r="D2552">
        <v>0.49</v>
      </c>
      <c r="E2552">
        <v>4.17</v>
      </c>
      <c r="F2552">
        <v>4.24</v>
      </c>
      <c r="G2552">
        <v>4.17</v>
      </c>
      <c r="H2552">
        <v>4.2</v>
      </c>
      <c r="I2552" s="1">
        <v>40000</v>
      </c>
      <c r="J2552" s="1">
        <v>168200</v>
      </c>
      <c r="K2552">
        <v>2</v>
      </c>
      <c r="L2552">
        <v>4.07</v>
      </c>
      <c r="M2552">
        <v>4.17</v>
      </c>
      <c r="N2552" s="1">
        <v>5000000</v>
      </c>
      <c r="O2552">
        <v>4.24</v>
      </c>
      <c r="P2552">
        <v>6</v>
      </c>
      <c r="Q2552">
        <v>2.48</v>
      </c>
    </row>
    <row r="2553" spans="1:17" x14ac:dyDescent="0.25">
      <c r="A2553">
        <v>731478</v>
      </c>
      <c r="B2553" t="s">
        <v>3865</v>
      </c>
      <c r="C2553">
        <v>0.1</v>
      </c>
      <c r="D2553">
        <v>-0.04</v>
      </c>
      <c r="E2553">
        <v>0.1</v>
      </c>
      <c r="F2553">
        <v>0.1</v>
      </c>
      <c r="G2553">
        <v>0.1</v>
      </c>
      <c r="H2553">
        <v>0.1</v>
      </c>
      <c r="I2553" s="1">
        <v>3000</v>
      </c>
      <c r="J2553" s="1">
        <v>300</v>
      </c>
      <c r="K2553">
        <v>1</v>
      </c>
      <c r="L2553">
        <v>0.1</v>
      </c>
      <c r="M2553">
        <v>0.11</v>
      </c>
      <c r="N2553" s="1">
        <v>6000000</v>
      </c>
      <c r="O2553">
        <v>0.1</v>
      </c>
      <c r="P2553">
        <v>0.76</v>
      </c>
      <c r="Q2553">
        <v>0.01</v>
      </c>
    </row>
    <row r="2554" spans="1:17" x14ac:dyDescent="0.25">
      <c r="A2554">
        <v>731479</v>
      </c>
      <c r="B2554" t="s">
        <v>3866</v>
      </c>
      <c r="C2554" t="s">
        <v>78</v>
      </c>
      <c r="D2554" t="s">
        <v>78</v>
      </c>
      <c r="E2554" t="s">
        <v>78</v>
      </c>
      <c r="F2554" t="s">
        <v>78</v>
      </c>
      <c r="G2554" t="s">
        <v>78</v>
      </c>
      <c r="H2554">
        <v>0.96</v>
      </c>
      <c r="I2554" s="1">
        <v>0</v>
      </c>
      <c r="J2554" s="1">
        <v>0</v>
      </c>
      <c r="K2554">
        <v>0</v>
      </c>
      <c r="L2554">
        <v>0.98</v>
      </c>
      <c r="M2554">
        <v>0</v>
      </c>
      <c r="N2554" s="1">
        <v>500000</v>
      </c>
      <c r="O2554">
        <v>0.98</v>
      </c>
      <c r="P2554">
        <v>1.8</v>
      </c>
      <c r="Q2554">
        <v>0.16</v>
      </c>
    </row>
    <row r="2555" spans="1:17" x14ac:dyDescent="0.25">
      <c r="A2555">
        <v>731480</v>
      </c>
      <c r="B2555" t="s">
        <v>3867</v>
      </c>
      <c r="C2555" t="s">
        <v>78</v>
      </c>
      <c r="D2555" t="s">
        <v>78</v>
      </c>
      <c r="E2555" t="s">
        <v>78</v>
      </c>
      <c r="F2555" t="s">
        <v>78</v>
      </c>
      <c r="G2555" t="s">
        <v>78</v>
      </c>
      <c r="H2555">
        <v>2.4300000000000002</v>
      </c>
      <c r="I2555" s="1">
        <v>0</v>
      </c>
      <c r="J2555" s="1">
        <v>0</v>
      </c>
      <c r="K2555">
        <v>0</v>
      </c>
      <c r="L2555">
        <v>2.17</v>
      </c>
      <c r="M2555">
        <v>2.25</v>
      </c>
      <c r="N2555" s="1">
        <v>15000000</v>
      </c>
      <c r="O2555">
        <v>2.25</v>
      </c>
      <c r="P2555">
        <v>3.24</v>
      </c>
      <c r="Q2555">
        <v>1.26</v>
      </c>
    </row>
    <row r="2556" spans="1:17" x14ac:dyDescent="0.25">
      <c r="A2556">
        <v>731481</v>
      </c>
      <c r="B2556" t="s">
        <v>3868</v>
      </c>
      <c r="C2556">
        <v>1.75</v>
      </c>
      <c r="D2556">
        <v>0.13</v>
      </c>
      <c r="E2556">
        <v>1.85</v>
      </c>
      <c r="F2556">
        <v>1.85</v>
      </c>
      <c r="G2556">
        <v>1.75</v>
      </c>
      <c r="H2556">
        <v>1.83</v>
      </c>
      <c r="I2556" s="1">
        <v>60000</v>
      </c>
      <c r="J2556" s="1">
        <v>109600</v>
      </c>
      <c r="K2556">
        <v>4</v>
      </c>
      <c r="L2556">
        <v>1.73</v>
      </c>
      <c r="M2556">
        <v>1.77</v>
      </c>
      <c r="N2556" s="1">
        <v>10000000</v>
      </c>
      <c r="O2556">
        <v>1.75</v>
      </c>
      <c r="P2556">
        <v>2.95</v>
      </c>
      <c r="Q2556">
        <v>0.55000000000000004</v>
      </c>
    </row>
    <row r="2557" spans="1:17" x14ac:dyDescent="0.25">
      <c r="A2557">
        <v>731482</v>
      </c>
      <c r="B2557" t="s">
        <v>3869</v>
      </c>
      <c r="C2557">
        <v>0.3</v>
      </c>
      <c r="D2557">
        <v>-0.06</v>
      </c>
      <c r="E2557">
        <v>0.3</v>
      </c>
      <c r="F2557">
        <v>0.3</v>
      </c>
      <c r="G2557">
        <v>0.3</v>
      </c>
      <c r="H2557">
        <v>0.3</v>
      </c>
      <c r="I2557" s="1">
        <v>132000</v>
      </c>
      <c r="J2557" s="1">
        <v>39600</v>
      </c>
      <c r="K2557">
        <v>4</v>
      </c>
      <c r="L2557">
        <v>0.3</v>
      </c>
      <c r="M2557">
        <v>0.31</v>
      </c>
      <c r="N2557" s="1">
        <v>10000000</v>
      </c>
      <c r="O2557">
        <v>0.3</v>
      </c>
      <c r="P2557">
        <v>1.01</v>
      </c>
      <c r="Q2557">
        <v>0.01</v>
      </c>
    </row>
    <row r="2558" spans="1:17" x14ac:dyDescent="0.25">
      <c r="A2558">
        <v>731483</v>
      </c>
      <c r="B2558" t="s">
        <v>3870</v>
      </c>
      <c r="C2558" t="s">
        <v>78</v>
      </c>
      <c r="D2558" t="s">
        <v>78</v>
      </c>
      <c r="E2558" t="s">
        <v>78</v>
      </c>
      <c r="F2558" t="s">
        <v>78</v>
      </c>
      <c r="G2558" t="s">
        <v>78</v>
      </c>
      <c r="H2558">
        <v>0.24</v>
      </c>
      <c r="I2558" s="1">
        <v>0</v>
      </c>
      <c r="J2558" s="1">
        <v>0</v>
      </c>
      <c r="K2558">
        <v>0</v>
      </c>
      <c r="L2558">
        <v>0.2</v>
      </c>
      <c r="M2558">
        <v>0.21</v>
      </c>
      <c r="N2558" s="1">
        <v>10000000</v>
      </c>
      <c r="O2558">
        <v>0.2</v>
      </c>
      <c r="P2558">
        <v>0.69</v>
      </c>
      <c r="Q2558">
        <v>0.01</v>
      </c>
    </row>
    <row r="2559" spans="1:17" x14ac:dyDescent="0.25">
      <c r="A2559">
        <v>731484</v>
      </c>
      <c r="B2559" t="s">
        <v>3871</v>
      </c>
      <c r="C2559">
        <v>0.69</v>
      </c>
      <c r="D2559">
        <v>0</v>
      </c>
      <c r="E2559">
        <v>0.7</v>
      </c>
      <c r="F2559">
        <v>0.71</v>
      </c>
      <c r="G2559">
        <v>0.69</v>
      </c>
      <c r="H2559">
        <v>0.7</v>
      </c>
      <c r="I2559" s="1">
        <v>1002000</v>
      </c>
      <c r="J2559" s="1">
        <v>696980</v>
      </c>
      <c r="K2559">
        <v>8</v>
      </c>
      <c r="L2559">
        <v>0.67</v>
      </c>
      <c r="M2559">
        <v>0.68</v>
      </c>
      <c r="N2559" s="1">
        <v>10000000</v>
      </c>
      <c r="O2559">
        <v>0.69</v>
      </c>
      <c r="P2559">
        <v>1.21</v>
      </c>
      <c r="Q2559">
        <v>0.17</v>
      </c>
    </row>
    <row r="2560" spans="1:17" x14ac:dyDescent="0.25">
      <c r="A2560">
        <v>731485</v>
      </c>
      <c r="B2560" t="s">
        <v>3872</v>
      </c>
      <c r="C2560" t="s">
        <v>78</v>
      </c>
      <c r="D2560" t="s">
        <v>78</v>
      </c>
      <c r="E2560" t="s">
        <v>78</v>
      </c>
      <c r="F2560" t="s">
        <v>78</v>
      </c>
      <c r="G2560" t="s">
        <v>78</v>
      </c>
      <c r="H2560">
        <v>0.02</v>
      </c>
      <c r="I2560" s="1">
        <v>0</v>
      </c>
      <c r="J2560" s="1">
        <v>0</v>
      </c>
      <c r="K2560">
        <v>0</v>
      </c>
      <c r="L2560">
        <v>0.01</v>
      </c>
      <c r="M2560">
        <v>0.03</v>
      </c>
      <c r="N2560" s="1">
        <v>5000000</v>
      </c>
      <c r="O2560">
        <v>0.03</v>
      </c>
      <c r="P2560">
        <v>0.7</v>
      </c>
      <c r="Q2560">
        <v>0.01</v>
      </c>
    </row>
    <row r="2561" spans="1:17" x14ac:dyDescent="0.25">
      <c r="A2561">
        <v>731486</v>
      </c>
      <c r="B2561" t="s">
        <v>3873</v>
      </c>
      <c r="C2561">
        <v>1.03</v>
      </c>
      <c r="D2561">
        <v>7.0000000000000007E-2</v>
      </c>
      <c r="E2561">
        <v>1.02</v>
      </c>
      <c r="F2561">
        <v>1.08</v>
      </c>
      <c r="G2561">
        <v>1.02</v>
      </c>
      <c r="H2561">
        <v>1.02</v>
      </c>
      <c r="I2561" s="1">
        <v>301000</v>
      </c>
      <c r="J2561" s="1">
        <v>308080</v>
      </c>
      <c r="K2561">
        <v>5</v>
      </c>
      <c r="L2561">
        <v>0.95</v>
      </c>
      <c r="M2561">
        <v>0.97</v>
      </c>
      <c r="N2561" s="1">
        <v>10000000</v>
      </c>
      <c r="O2561">
        <v>1.03</v>
      </c>
      <c r="P2561">
        <v>2.1</v>
      </c>
      <c r="Q2561">
        <v>0.01</v>
      </c>
    </row>
    <row r="2562" spans="1:17" x14ac:dyDescent="0.25">
      <c r="A2562">
        <v>731487</v>
      </c>
      <c r="B2562" t="s">
        <v>3874</v>
      </c>
      <c r="C2562" t="s">
        <v>78</v>
      </c>
      <c r="D2562" t="s">
        <v>78</v>
      </c>
      <c r="E2562" t="s">
        <v>78</v>
      </c>
      <c r="F2562" t="s">
        <v>78</v>
      </c>
      <c r="G2562" t="s">
        <v>78</v>
      </c>
      <c r="H2562">
        <v>0.4</v>
      </c>
      <c r="I2562" s="1">
        <v>0</v>
      </c>
      <c r="J2562" s="1">
        <v>0</v>
      </c>
      <c r="K2562">
        <v>0</v>
      </c>
      <c r="L2562">
        <v>0.32</v>
      </c>
      <c r="M2562">
        <v>0.33</v>
      </c>
      <c r="N2562" s="1">
        <v>10000000</v>
      </c>
      <c r="O2562">
        <v>0.32</v>
      </c>
      <c r="P2562">
        <v>1.1000000000000001</v>
      </c>
      <c r="Q2562">
        <v>0.01</v>
      </c>
    </row>
    <row r="2563" spans="1:17" x14ac:dyDescent="0.25">
      <c r="A2563">
        <v>731488</v>
      </c>
      <c r="B2563" t="s">
        <v>3875</v>
      </c>
      <c r="C2563" t="s">
        <v>78</v>
      </c>
      <c r="D2563" t="s">
        <v>78</v>
      </c>
      <c r="E2563" t="s">
        <v>78</v>
      </c>
      <c r="F2563" t="s">
        <v>78</v>
      </c>
      <c r="G2563" t="s">
        <v>78</v>
      </c>
      <c r="H2563">
        <v>0.05</v>
      </c>
      <c r="I2563" s="1">
        <v>0</v>
      </c>
      <c r="J2563" s="1">
        <v>0</v>
      </c>
      <c r="K2563">
        <v>0</v>
      </c>
      <c r="L2563">
        <v>0</v>
      </c>
      <c r="M2563">
        <v>0.01</v>
      </c>
      <c r="N2563" s="1">
        <v>10000000</v>
      </c>
      <c r="O2563">
        <v>0.01</v>
      </c>
      <c r="P2563">
        <v>0.61</v>
      </c>
      <c r="Q2563">
        <v>0.01</v>
      </c>
    </row>
    <row r="2564" spans="1:17" x14ac:dyDescent="0.25">
      <c r="A2564">
        <v>731489</v>
      </c>
      <c r="B2564" t="s">
        <v>3876</v>
      </c>
      <c r="C2564" t="s">
        <v>78</v>
      </c>
      <c r="D2564" t="s">
        <v>78</v>
      </c>
      <c r="E2564" t="s">
        <v>78</v>
      </c>
      <c r="F2564" t="s">
        <v>78</v>
      </c>
      <c r="G2564" t="s">
        <v>78</v>
      </c>
      <c r="H2564">
        <v>0.28000000000000003</v>
      </c>
      <c r="I2564" s="1">
        <v>0</v>
      </c>
      <c r="J2564" s="1">
        <v>0</v>
      </c>
      <c r="K2564">
        <v>0</v>
      </c>
      <c r="L2564">
        <v>0.2</v>
      </c>
      <c r="M2564">
        <v>0.21</v>
      </c>
      <c r="N2564" s="1">
        <v>5000000</v>
      </c>
      <c r="O2564">
        <v>0.21</v>
      </c>
      <c r="P2564">
        <v>0.8</v>
      </c>
      <c r="Q2564">
        <v>0.01</v>
      </c>
    </row>
    <row r="2565" spans="1:17" x14ac:dyDescent="0.25">
      <c r="A2565">
        <v>731490</v>
      </c>
      <c r="B2565" t="s">
        <v>3877</v>
      </c>
      <c r="C2565" t="s">
        <v>78</v>
      </c>
      <c r="D2565" t="s">
        <v>78</v>
      </c>
      <c r="E2565" t="s">
        <v>78</v>
      </c>
      <c r="F2565" t="s">
        <v>78</v>
      </c>
      <c r="G2565" t="s">
        <v>78</v>
      </c>
      <c r="H2565">
        <v>0.22</v>
      </c>
      <c r="I2565" s="1">
        <v>0</v>
      </c>
      <c r="J2565" s="1">
        <v>0</v>
      </c>
      <c r="K2565">
        <v>0</v>
      </c>
      <c r="L2565">
        <v>0.03</v>
      </c>
      <c r="M2565">
        <v>0.06</v>
      </c>
      <c r="N2565" s="1">
        <v>5000000</v>
      </c>
      <c r="O2565">
        <v>0.05</v>
      </c>
      <c r="P2565">
        <v>0.38</v>
      </c>
      <c r="Q2565">
        <v>0.01</v>
      </c>
    </row>
    <row r="2566" spans="1:17" x14ac:dyDescent="0.25">
      <c r="A2566">
        <v>731491</v>
      </c>
      <c r="B2566" t="s">
        <v>3878</v>
      </c>
      <c r="C2566">
        <v>0.46</v>
      </c>
      <c r="D2566">
        <v>0.02</v>
      </c>
      <c r="E2566">
        <v>0.5</v>
      </c>
      <c r="F2566">
        <v>0.54</v>
      </c>
      <c r="G2566">
        <v>0.46</v>
      </c>
      <c r="H2566">
        <v>0.51</v>
      </c>
      <c r="I2566" s="1">
        <v>848000</v>
      </c>
      <c r="J2566" s="1">
        <v>432250</v>
      </c>
      <c r="K2566">
        <v>20</v>
      </c>
      <c r="L2566">
        <v>0.45</v>
      </c>
      <c r="M2566">
        <v>0.46</v>
      </c>
      <c r="N2566" s="1">
        <v>10000000</v>
      </c>
      <c r="O2566">
        <v>0.46</v>
      </c>
      <c r="P2566">
        <v>1.04</v>
      </c>
      <c r="Q2566">
        <v>0.01</v>
      </c>
    </row>
    <row r="2567" spans="1:17" x14ac:dyDescent="0.25">
      <c r="A2567">
        <v>731492</v>
      </c>
      <c r="B2567" t="s">
        <v>3879</v>
      </c>
      <c r="C2567">
        <v>1.54</v>
      </c>
      <c r="D2567">
        <v>-0.04</v>
      </c>
      <c r="E2567">
        <v>1.58</v>
      </c>
      <c r="F2567">
        <v>1.6</v>
      </c>
      <c r="G2567">
        <v>1.47</v>
      </c>
      <c r="H2567">
        <v>1.52</v>
      </c>
      <c r="I2567" s="1">
        <v>135000</v>
      </c>
      <c r="J2567" s="1">
        <v>204770</v>
      </c>
      <c r="K2567">
        <v>25</v>
      </c>
      <c r="L2567">
        <v>1.54</v>
      </c>
      <c r="M2567">
        <v>1.6</v>
      </c>
      <c r="N2567" s="1">
        <v>5030000</v>
      </c>
      <c r="O2567">
        <v>1.54</v>
      </c>
      <c r="P2567">
        <v>2.2400000000000002</v>
      </c>
      <c r="Q2567">
        <v>0.81</v>
      </c>
    </row>
    <row r="2568" spans="1:17" x14ac:dyDescent="0.25">
      <c r="A2568">
        <v>731493</v>
      </c>
      <c r="B2568" t="s">
        <v>3880</v>
      </c>
      <c r="C2568">
        <v>0.45</v>
      </c>
      <c r="D2568">
        <v>-0.01</v>
      </c>
      <c r="E2568">
        <v>0.47</v>
      </c>
      <c r="F2568">
        <v>0.51</v>
      </c>
      <c r="G2568">
        <v>0.45</v>
      </c>
      <c r="H2568">
        <v>0.48</v>
      </c>
      <c r="I2568" s="1">
        <v>529000</v>
      </c>
      <c r="J2568" s="1">
        <v>253220</v>
      </c>
      <c r="K2568">
        <v>20</v>
      </c>
      <c r="L2568">
        <v>0.45</v>
      </c>
      <c r="M2568">
        <v>0.46</v>
      </c>
      <c r="N2568" s="1">
        <v>10000000</v>
      </c>
      <c r="O2568">
        <v>0.45</v>
      </c>
      <c r="P2568">
        <v>1.1000000000000001</v>
      </c>
      <c r="Q2568">
        <v>0.01</v>
      </c>
    </row>
    <row r="2569" spans="1:17" x14ac:dyDescent="0.25">
      <c r="A2569">
        <v>731494</v>
      </c>
      <c r="B2569" t="s">
        <v>3881</v>
      </c>
      <c r="C2569">
        <v>0.2</v>
      </c>
      <c r="D2569">
        <v>-0.02</v>
      </c>
      <c r="E2569">
        <v>0.2</v>
      </c>
      <c r="F2569">
        <v>0.2</v>
      </c>
      <c r="G2569">
        <v>0.19</v>
      </c>
      <c r="H2569">
        <v>0.2</v>
      </c>
      <c r="I2569" s="1">
        <v>600000</v>
      </c>
      <c r="J2569" s="1">
        <v>117000</v>
      </c>
      <c r="K2569">
        <v>4</v>
      </c>
      <c r="L2569">
        <v>0.2</v>
      </c>
      <c r="M2569">
        <v>0.21</v>
      </c>
      <c r="N2569" s="1">
        <v>10000000</v>
      </c>
      <c r="O2569">
        <v>0.2</v>
      </c>
      <c r="P2569">
        <v>1.63</v>
      </c>
      <c r="Q2569">
        <v>0.01</v>
      </c>
    </row>
    <row r="2570" spans="1:17" x14ac:dyDescent="0.25">
      <c r="A2570">
        <v>731495</v>
      </c>
      <c r="B2570" t="s">
        <v>3882</v>
      </c>
      <c r="C2570" t="s">
        <v>78</v>
      </c>
      <c r="D2570" t="s">
        <v>78</v>
      </c>
      <c r="E2570" t="s">
        <v>78</v>
      </c>
      <c r="F2570" t="s">
        <v>78</v>
      </c>
      <c r="G2570" t="s">
        <v>78</v>
      </c>
      <c r="H2570">
        <v>0.34</v>
      </c>
      <c r="I2570" s="1">
        <v>0</v>
      </c>
      <c r="J2570" s="1">
        <v>0</v>
      </c>
      <c r="K2570">
        <v>0</v>
      </c>
      <c r="L2570">
        <v>0.28000000000000003</v>
      </c>
      <c r="M2570">
        <v>0.28999999999999998</v>
      </c>
      <c r="N2570" s="1">
        <v>5000000</v>
      </c>
      <c r="O2570">
        <v>0.28000000000000003</v>
      </c>
      <c r="P2570">
        <v>1.35</v>
      </c>
      <c r="Q2570">
        <v>0.01</v>
      </c>
    </row>
    <row r="2571" spans="1:17" x14ac:dyDescent="0.25">
      <c r="A2571">
        <v>731496</v>
      </c>
      <c r="B2571" t="s">
        <v>3883</v>
      </c>
      <c r="C2571" t="s">
        <v>78</v>
      </c>
      <c r="D2571" t="s">
        <v>78</v>
      </c>
      <c r="E2571" t="s">
        <v>78</v>
      </c>
      <c r="F2571" t="s">
        <v>78</v>
      </c>
      <c r="G2571" t="s">
        <v>78</v>
      </c>
      <c r="H2571">
        <v>4.08</v>
      </c>
      <c r="I2571" s="1">
        <v>0</v>
      </c>
      <c r="J2571" s="1">
        <v>0</v>
      </c>
      <c r="K2571">
        <v>0</v>
      </c>
      <c r="L2571">
        <v>4.33</v>
      </c>
      <c r="M2571">
        <v>0</v>
      </c>
      <c r="N2571" s="1">
        <v>5000000</v>
      </c>
      <c r="O2571">
        <v>5.3</v>
      </c>
      <c r="P2571">
        <v>6.75</v>
      </c>
      <c r="Q2571">
        <v>3.81</v>
      </c>
    </row>
    <row r="2572" spans="1:17" x14ac:dyDescent="0.25">
      <c r="A2572">
        <v>731497</v>
      </c>
      <c r="B2572" t="s">
        <v>3884</v>
      </c>
      <c r="C2572">
        <v>0.78</v>
      </c>
      <c r="D2572">
        <v>0.05</v>
      </c>
      <c r="E2572">
        <v>0.8</v>
      </c>
      <c r="F2572">
        <v>0.8</v>
      </c>
      <c r="G2572">
        <v>0.75</v>
      </c>
      <c r="H2572">
        <v>0.77</v>
      </c>
      <c r="I2572" s="1">
        <v>337000</v>
      </c>
      <c r="J2572" s="1">
        <v>260720</v>
      </c>
      <c r="K2572">
        <v>10</v>
      </c>
      <c r="L2572">
        <v>0.76</v>
      </c>
      <c r="M2572">
        <v>0.78</v>
      </c>
      <c r="N2572" s="1">
        <v>5000000</v>
      </c>
      <c r="O2572">
        <v>0.78</v>
      </c>
      <c r="P2572">
        <v>1.34</v>
      </c>
      <c r="Q2572">
        <v>0.22</v>
      </c>
    </row>
    <row r="2573" spans="1:17" x14ac:dyDescent="0.25">
      <c r="A2573">
        <v>731498</v>
      </c>
      <c r="B2573" t="s">
        <v>3885</v>
      </c>
      <c r="C2573">
        <v>1.4</v>
      </c>
      <c r="D2573">
        <v>0.15</v>
      </c>
      <c r="E2573">
        <v>1.34</v>
      </c>
      <c r="F2573">
        <v>1.4</v>
      </c>
      <c r="G2573">
        <v>1.34</v>
      </c>
      <c r="H2573">
        <v>1.34</v>
      </c>
      <c r="I2573" s="1">
        <v>103000</v>
      </c>
      <c r="J2573" s="1">
        <v>138260</v>
      </c>
      <c r="K2573">
        <v>4</v>
      </c>
      <c r="L2573">
        <v>1.23</v>
      </c>
      <c r="M2573">
        <v>1.26</v>
      </c>
      <c r="N2573" s="1">
        <v>5000000</v>
      </c>
      <c r="O2573">
        <v>1.4</v>
      </c>
      <c r="P2573">
        <v>2.12</v>
      </c>
      <c r="Q2573">
        <v>0.68</v>
      </c>
    </row>
    <row r="2574" spans="1:17" x14ac:dyDescent="0.25">
      <c r="A2574">
        <v>731499</v>
      </c>
      <c r="B2574" t="s">
        <v>3886</v>
      </c>
      <c r="C2574">
        <v>0.92</v>
      </c>
      <c r="D2574">
        <v>0.02</v>
      </c>
      <c r="E2574">
        <v>0.99</v>
      </c>
      <c r="F2574">
        <v>1.04</v>
      </c>
      <c r="G2574">
        <v>0.9</v>
      </c>
      <c r="H2574">
        <v>0.97</v>
      </c>
      <c r="I2574" s="1">
        <v>810000</v>
      </c>
      <c r="J2574" s="1">
        <v>788310</v>
      </c>
      <c r="K2574">
        <v>25</v>
      </c>
      <c r="L2574">
        <v>0.89</v>
      </c>
      <c r="M2574">
        <v>0.9</v>
      </c>
      <c r="N2574" s="1">
        <v>10000000</v>
      </c>
      <c r="O2574">
        <v>0.92</v>
      </c>
      <c r="P2574">
        <v>1.93</v>
      </c>
      <c r="Q2574">
        <v>0.01</v>
      </c>
    </row>
    <row r="2575" spans="1:17" x14ac:dyDescent="0.25">
      <c r="A2575">
        <v>731500</v>
      </c>
      <c r="B2575" t="s">
        <v>3887</v>
      </c>
      <c r="C2575">
        <v>1.0900000000000001</v>
      </c>
      <c r="D2575">
        <v>0.02</v>
      </c>
      <c r="E2575">
        <v>1</v>
      </c>
      <c r="F2575">
        <v>1.0900000000000001</v>
      </c>
      <c r="G2575">
        <v>0.94</v>
      </c>
      <c r="H2575">
        <v>0.98</v>
      </c>
      <c r="I2575" s="1">
        <v>415000</v>
      </c>
      <c r="J2575" s="1">
        <v>408750</v>
      </c>
      <c r="K2575">
        <v>5</v>
      </c>
      <c r="L2575">
        <v>0.98</v>
      </c>
      <c r="M2575">
        <v>1</v>
      </c>
      <c r="N2575" s="1">
        <v>5000000</v>
      </c>
      <c r="O2575">
        <v>1.0900000000000001</v>
      </c>
      <c r="P2575">
        <v>1.95</v>
      </c>
      <c r="Q2575">
        <v>0.23</v>
      </c>
    </row>
    <row r="2576" spans="1:17" x14ac:dyDescent="0.25">
      <c r="A2576">
        <v>731501</v>
      </c>
      <c r="B2576" t="s">
        <v>3888</v>
      </c>
      <c r="C2576">
        <v>1.19</v>
      </c>
      <c r="D2576">
        <v>-0.01</v>
      </c>
      <c r="E2576">
        <v>1.26</v>
      </c>
      <c r="F2576">
        <v>1.33</v>
      </c>
      <c r="G2576">
        <v>1.1599999999999999</v>
      </c>
      <c r="H2576">
        <v>1.23</v>
      </c>
      <c r="I2576" s="1">
        <v>582000</v>
      </c>
      <c r="J2576" s="1">
        <v>714000</v>
      </c>
      <c r="K2576">
        <v>23</v>
      </c>
      <c r="L2576">
        <v>1.18</v>
      </c>
      <c r="M2576">
        <v>1.2</v>
      </c>
      <c r="N2576" s="1">
        <v>5000000</v>
      </c>
      <c r="O2576">
        <v>1.19</v>
      </c>
      <c r="P2576">
        <v>2.3199999999999998</v>
      </c>
      <c r="Q2576">
        <v>0.06</v>
      </c>
    </row>
    <row r="2577" spans="1:17" x14ac:dyDescent="0.25">
      <c r="A2577">
        <v>731502</v>
      </c>
      <c r="B2577" t="s">
        <v>3889</v>
      </c>
      <c r="C2577">
        <v>2.15</v>
      </c>
      <c r="D2577">
        <v>0.08</v>
      </c>
      <c r="E2577">
        <v>2.15</v>
      </c>
      <c r="F2577">
        <v>2.15</v>
      </c>
      <c r="G2577">
        <v>2.15</v>
      </c>
      <c r="H2577">
        <v>2.15</v>
      </c>
      <c r="I2577" s="1">
        <v>30000</v>
      </c>
      <c r="J2577" s="1">
        <v>64500</v>
      </c>
      <c r="K2577">
        <v>1</v>
      </c>
      <c r="L2577">
        <v>2.0499999999999998</v>
      </c>
      <c r="M2577">
        <v>2.09</v>
      </c>
      <c r="N2577" s="1">
        <v>5000000</v>
      </c>
      <c r="O2577">
        <v>2.15</v>
      </c>
      <c r="P2577">
        <v>3.24</v>
      </c>
      <c r="Q2577">
        <v>1.06</v>
      </c>
    </row>
    <row r="2578" spans="1:17" x14ac:dyDescent="0.25">
      <c r="A2578">
        <v>731503</v>
      </c>
      <c r="B2578" t="s">
        <v>3890</v>
      </c>
      <c r="C2578" t="s">
        <v>78</v>
      </c>
      <c r="D2578" t="s">
        <v>78</v>
      </c>
      <c r="E2578" t="s">
        <v>78</v>
      </c>
      <c r="F2578" t="s">
        <v>78</v>
      </c>
      <c r="G2578" t="s">
        <v>78</v>
      </c>
      <c r="H2578">
        <v>0.23</v>
      </c>
      <c r="I2578" s="1">
        <v>0</v>
      </c>
      <c r="J2578" s="1">
        <v>0</v>
      </c>
      <c r="K2578">
        <v>0</v>
      </c>
      <c r="L2578">
        <v>0.22</v>
      </c>
      <c r="M2578">
        <v>0.23</v>
      </c>
      <c r="N2578" s="1">
        <v>10000000</v>
      </c>
      <c r="O2578">
        <v>0.23</v>
      </c>
      <c r="P2578">
        <v>0.54</v>
      </c>
      <c r="Q2578">
        <v>0.01</v>
      </c>
    </row>
    <row r="2579" spans="1:17" x14ac:dyDescent="0.25">
      <c r="A2579">
        <v>731504</v>
      </c>
      <c r="B2579" t="s">
        <v>3891</v>
      </c>
      <c r="C2579">
        <v>0.12</v>
      </c>
      <c r="D2579">
        <v>0</v>
      </c>
      <c r="E2579">
        <v>0.12</v>
      </c>
      <c r="F2579">
        <v>0.12</v>
      </c>
      <c r="G2579">
        <v>0.12</v>
      </c>
      <c r="H2579">
        <v>0.12</v>
      </c>
      <c r="I2579" s="1">
        <v>50000</v>
      </c>
      <c r="J2579" s="1">
        <v>6000</v>
      </c>
      <c r="K2579">
        <v>1</v>
      </c>
      <c r="L2579">
        <v>0.14000000000000001</v>
      </c>
      <c r="M2579">
        <v>0.15</v>
      </c>
      <c r="N2579" s="1">
        <v>10000000</v>
      </c>
      <c r="O2579">
        <v>0.12</v>
      </c>
      <c r="P2579">
        <v>1.26</v>
      </c>
      <c r="Q2579">
        <v>0.01</v>
      </c>
    </row>
    <row r="2580" spans="1:17" x14ac:dyDescent="0.25">
      <c r="A2580">
        <v>731505</v>
      </c>
      <c r="B2580" t="s">
        <v>3892</v>
      </c>
      <c r="C2580">
        <v>0.23</v>
      </c>
      <c r="D2580">
        <v>0.03</v>
      </c>
      <c r="E2580">
        <v>0.25</v>
      </c>
      <c r="F2580">
        <v>0.25</v>
      </c>
      <c r="G2580">
        <v>0.23</v>
      </c>
      <c r="H2580">
        <v>0.24</v>
      </c>
      <c r="I2580" s="1">
        <v>270000</v>
      </c>
      <c r="J2580" s="1">
        <v>66100</v>
      </c>
      <c r="K2580">
        <v>22</v>
      </c>
      <c r="L2580">
        <v>0.21</v>
      </c>
      <c r="M2580">
        <v>0.22</v>
      </c>
      <c r="N2580" s="1">
        <v>10000000</v>
      </c>
      <c r="O2580">
        <v>0.23</v>
      </c>
      <c r="P2580">
        <v>1.21</v>
      </c>
      <c r="Q2580">
        <v>0.01</v>
      </c>
    </row>
    <row r="2581" spans="1:17" x14ac:dyDescent="0.25">
      <c r="A2581">
        <v>731506</v>
      </c>
      <c r="B2581" t="s">
        <v>3893</v>
      </c>
      <c r="C2581">
        <v>0.23</v>
      </c>
      <c r="D2581">
        <v>-0.03</v>
      </c>
      <c r="E2581">
        <v>0.24</v>
      </c>
      <c r="F2581">
        <v>0.24</v>
      </c>
      <c r="G2581">
        <v>0.23</v>
      </c>
      <c r="H2581">
        <v>0.23</v>
      </c>
      <c r="I2581" s="1">
        <v>48000</v>
      </c>
      <c r="J2581" s="1">
        <v>11170</v>
      </c>
      <c r="K2581">
        <v>3</v>
      </c>
      <c r="L2581">
        <v>0.21</v>
      </c>
      <c r="M2581">
        <v>0.22</v>
      </c>
      <c r="N2581" s="1">
        <v>6900000</v>
      </c>
      <c r="O2581">
        <v>0.23</v>
      </c>
      <c r="P2581">
        <v>0.94</v>
      </c>
      <c r="Q2581">
        <v>0.01</v>
      </c>
    </row>
    <row r="2582" spans="1:17" x14ac:dyDescent="0.25">
      <c r="A2582">
        <v>731507</v>
      </c>
      <c r="B2582" t="s">
        <v>3894</v>
      </c>
      <c r="C2582">
        <v>0.39</v>
      </c>
      <c r="D2582">
        <v>-0.02</v>
      </c>
      <c r="E2582">
        <v>0.39</v>
      </c>
      <c r="F2582">
        <v>0.39</v>
      </c>
      <c r="G2582">
        <v>0.39</v>
      </c>
      <c r="H2582">
        <v>0.39</v>
      </c>
      <c r="I2582" s="1">
        <v>100000</v>
      </c>
      <c r="J2582" s="1">
        <v>39000</v>
      </c>
      <c r="K2582">
        <v>1</v>
      </c>
      <c r="L2582">
        <v>0.39</v>
      </c>
      <c r="M2582">
        <v>0.4</v>
      </c>
      <c r="N2582" s="1">
        <v>10000000</v>
      </c>
      <c r="O2582">
        <v>0.39</v>
      </c>
      <c r="P2582">
        <v>0.88</v>
      </c>
      <c r="Q2582">
        <v>0.01</v>
      </c>
    </row>
    <row r="2583" spans="1:17" x14ac:dyDescent="0.25">
      <c r="A2583">
        <v>731508</v>
      </c>
      <c r="B2583" t="s">
        <v>3895</v>
      </c>
      <c r="C2583" t="s">
        <v>78</v>
      </c>
      <c r="D2583" t="s">
        <v>78</v>
      </c>
      <c r="E2583" t="s">
        <v>78</v>
      </c>
      <c r="F2583" t="s">
        <v>78</v>
      </c>
      <c r="G2583" t="s">
        <v>78</v>
      </c>
      <c r="H2583">
        <v>0.28000000000000003</v>
      </c>
      <c r="I2583" s="1">
        <v>0</v>
      </c>
      <c r="J2583" s="1">
        <v>0</v>
      </c>
      <c r="K2583">
        <v>0</v>
      </c>
      <c r="L2583">
        <v>7.0000000000000007E-2</v>
      </c>
      <c r="M2583">
        <v>0.1</v>
      </c>
      <c r="N2583" s="1">
        <v>10000000</v>
      </c>
      <c r="O2583">
        <v>0.1</v>
      </c>
      <c r="P2583">
        <v>0.87</v>
      </c>
      <c r="Q2583">
        <v>0.01</v>
      </c>
    </row>
    <row r="2584" spans="1:17" x14ac:dyDescent="0.25">
      <c r="A2584">
        <v>731509</v>
      </c>
      <c r="B2584" t="s">
        <v>3896</v>
      </c>
      <c r="C2584" t="s">
        <v>78</v>
      </c>
      <c r="D2584" t="s">
        <v>78</v>
      </c>
      <c r="E2584" t="s">
        <v>78</v>
      </c>
      <c r="F2584" t="s">
        <v>78</v>
      </c>
      <c r="G2584" t="s">
        <v>78</v>
      </c>
      <c r="H2584">
        <v>0.46</v>
      </c>
      <c r="I2584" s="1">
        <v>0</v>
      </c>
      <c r="J2584" s="1">
        <v>0</v>
      </c>
      <c r="K2584">
        <v>0</v>
      </c>
      <c r="L2584">
        <v>0.39</v>
      </c>
      <c r="M2584">
        <v>0.4</v>
      </c>
      <c r="N2584" s="1">
        <v>10000000</v>
      </c>
      <c r="O2584">
        <v>0.4</v>
      </c>
      <c r="P2584">
        <v>0.8</v>
      </c>
      <c r="Q2584">
        <v>0.01</v>
      </c>
    </row>
    <row r="2585" spans="1:17" x14ac:dyDescent="0.25">
      <c r="A2585">
        <v>731510</v>
      </c>
      <c r="B2585" t="s">
        <v>3897</v>
      </c>
      <c r="C2585">
        <v>1.77</v>
      </c>
      <c r="D2585">
        <v>-0.06</v>
      </c>
      <c r="E2585">
        <v>1.82</v>
      </c>
      <c r="F2585">
        <v>1.82</v>
      </c>
      <c r="G2585">
        <v>1.77</v>
      </c>
      <c r="H2585">
        <v>1.8</v>
      </c>
      <c r="I2585" s="1">
        <v>5000</v>
      </c>
      <c r="J2585" s="1">
        <v>8980</v>
      </c>
      <c r="K2585">
        <v>5</v>
      </c>
      <c r="L2585">
        <v>1.78</v>
      </c>
      <c r="M2585">
        <v>1.83</v>
      </c>
      <c r="N2585" s="1">
        <v>5000000</v>
      </c>
      <c r="O2585">
        <v>1.77</v>
      </c>
      <c r="P2585">
        <v>3.07</v>
      </c>
      <c r="Q2585">
        <v>0.47</v>
      </c>
    </row>
    <row r="2586" spans="1:17" x14ac:dyDescent="0.25">
      <c r="A2586">
        <v>731511</v>
      </c>
      <c r="B2586" t="s">
        <v>3898</v>
      </c>
      <c r="C2586" t="s">
        <v>78</v>
      </c>
      <c r="D2586" t="s">
        <v>78</v>
      </c>
      <c r="E2586" t="s">
        <v>78</v>
      </c>
      <c r="F2586" t="s">
        <v>78</v>
      </c>
      <c r="G2586" t="s">
        <v>78</v>
      </c>
      <c r="H2586">
        <v>2.4</v>
      </c>
      <c r="I2586" s="1">
        <v>0</v>
      </c>
      <c r="J2586" s="1">
        <v>0</v>
      </c>
      <c r="K2586">
        <v>0</v>
      </c>
      <c r="L2586">
        <v>2.17</v>
      </c>
      <c r="M2586">
        <v>2.2400000000000002</v>
      </c>
      <c r="N2586" s="1">
        <v>5000000</v>
      </c>
      <c r="O2586">
        <v>2.1800000000000002</v>
      </c>
      <c r="P2586">
        <v>3.26</v>
      </c>
      <c r="Q2586">
        <v>1.1000000000000001</v>
      </c>
    </row>
    <row r="2587" spans="1:17" x14ac:dyDescent="0.25">
      <c r="A2587">
        <v>731512</v>
      </c>
      <c r="B2587" t="s">
        <v>3899</v>
      </c>
      <c r="C2587">
        <v>1.55</v>
      </c>
      <c r="D2587">
        <v>0.17</v>
      </c>
      <c r="E2587">
        <v>1.55</v>
      </c>
      <c r="F2587">
        <v>1.55</v>
      </c>
      <c r="G2587">
        <v>1.55</v>
      </c>
      <c r="H2587">
        <v>1.55</v>
      </c>
      <c r="I2587" s="1">
        <v>10000</v>
      </c>
      <c r="J2587" s="1">
        <v>15500</v>
      </c>
      <c r="K2587">
        <v>1</v>
      </c>
      <c r="L2587">
        <v>1.46</v>
      </c>
      <c r="M2587">
        <v>1.48</v>
      </c>
      <c r="N2587" s="1">
        <v>5000000</v>
      </c>
      <c r="O2587">
        <v>1.55</v>
      </c>
      <c r="P2587">
        <v>2.46</v>
      </c>
      <c r="Q2587">
        <v>0.64</v>
      </c>
    </row>
    <row r="2588" spans="1:17" x14ac:dyDescent="0.25">
      <c r="A2588">
        <v>731513</v>
      </c>
      <c r="B2588" t="s">
        <v>3900</v>
      </c>
      <c r="C2588">
        <v>2.2200000000000002</v>
      </c>
      <c r="D2588">
        <v>-0.08</v>
      </c>
      <c r="E2588">
        <v>2.3199999999999998</v>
      </c>
      <c r="F2588">
        <v>2.3199999999999998</v>
      </c>
      <c r="G2588">
        <v>2.19</v>
      </c>
      <c r="H2588">
        <v>2.2200000000000002</v>
      </c>
      <c r="I2588" s="1">
        <v>308000</v>
      </c>
      <c r="J2588" s="1">
        <v>684680</v>
      </c>
      <c r="K2588">
        <v>8</v>
      </c>
      <c r="L2588">
        <v>2.2200000000000002</v>
      </c>
      <c r="M2588">
        <v>2.2799999999999998</v>
      </c>
      <c r="N2588" s="1">
        <v>10000000</v>
      </c>
      <c r="O2588">
        <v>2.2200000000000002</v>
      </c>
      <c r="P2588">
        <v>3.21</v>
      </c>
      <c r="Q2588">
        <v>1.23</v>
      </c>
    </row>
    <row r="2589" spans="1:17" x14ac:dyDescent="0.25">
      <c r="A2589">
        <v>731514</v>
      </c>
      <c r="B2589" t="s">
        <v>3901</v>
      </c>
      <c r="C2589" t="s">
        <v>78</v>
      </c>
      <c r="D2589" t="s">
        <v>78</v>
      </c>
      <c r="E2589" t="s">
        <v>78</v>
      </c>
      <c r="F2589" t="s">
        <v>78</v>
      </c>
      <c r="G2589" t="s">
        <v>78</v>
      </c>
      <c r="H2589">
        <v>0.06</v>
      </c>
      <c r="I2589" s="1">
        <v>0</v>
      </c>
      <c r="J2589" s="1">
        <v>0</v>
      </c>
      <c r="K2589">
        <v>0</v>
      </c>
      <c r="L2589">
        <v>0.01</v>
      </c>
      <c r="M2589">
        <v>0.02</v>
      </c>
      <c r="N2589" s="1">
        <v>5000000</v>
      </c>
      <c r="O2589">
        <v>0.02</v>
      </c>
      <c r="P2589">
        <v>0.65</v>
      </c>
      <c r="Q2589">
        <v>0.01</v>
      </c>
    </row>
    <row r="2590" spans="1:17" x14ac:dyDescent="0.25">
      <c r="A2590">
        <v>731515</v>
      </c>
      <c r="B2590" t="s">
        <v>3902</v>
      </c>
      <c r="C2590">
        <v>0.05</v>
      </c>
      <c r="D2590">
        <v>0</v>
      </c>
      <c r="E2590">
        <v>0.05</v>
      </c>
      <c r="F2590">
        <v>0.05</v>
      </c>
      <c r="G2590">
        <v>0.05</v>
      </c>
      <c r="H2590">
        <v>0.05</v>
      </c>
      <c r="I2590" s="1">
        <v>30000</v>
      </c>
      <c r="J2590" s="1">
        <v>1500</v>
      </c>
      <c r="K2590">
        <v>2</v>
      </c>
      <c r="L2590">
        <v>0.05</v>
      </c>
      <c r="M2590">
        <v>0.06</v>
      </c>
      <c r="N2590" s="1">
        <v>10000000</v>
      </c>
      <c r="O2590">
        <v>0.05</v>
      </c>
      <c r="P2590">
        <v>0.63</v>
      </c>
      <c r="Q2590">
        <v>0.01</v>
      </c>
    </row>
    <row r="2591" spans="1:17" x14ac:dyDescent="0.25">
      <c r="A2591">
        <v>731516</v>
      </c>
      <c r="B2591" t="s">
        <v>3903</v>
      </c>
      <c r="C2591" t="s">
        <v>78</v>
      </c>
      <c r="D2591" t="s">
        <v>78</v>
      </c>
      <c r="E2591" t="s">
        <v>78</v>
      </c>
      <c r="F2591" t="s">
        <v>78</v>
      </c>
      <c r="G2591" t="s">
        <v>78</v>
      </c>
      <c r="H2591">
        <v>2.34</v>
      </c>
      <c r="I2591" s="1">
        <v>0</v>
      </c>
      <c r="J2591" s="1">
        <v>0</v>
      </c>
      <c r="K2591">
        <v>0</v>
      </c>
      <c r="L2591">
        <v>2.21</v>
      </c>
      <c r="M2591">
        <v>2.2200000000000002</v>
      </c>
      <c r="N2591" s="1">
        <v>5000000</v>
      </c>
      <c r="O2591">
        <v>2.21</v>
      </c>
      <c r="P2591">
        <v>3.3</v>
      </c>
      <c r="Q2591">
        <v>1.1200000000000001</v>
      </c>
    </row>
    <row r="2592" spans="1:17" x14ac:dyDescent="0.25">
      <c r="A2592">
        <v>731517</v>
      </c>
      <c r="B2592" t="s">
        <v>3904</v>
      </c>
      <c r="C2592">
        <v>0.25</v>
      </c>
      <c r="D2592">
        <v>7.0000000000000007E-2</v>
      </c>
      <c r="E2592">
        <v>0.19</v>
      </c>
      <c r="F2592">
        <v>0.25</v>
      </c>
      <c r="G2592">
        <v>0.19</v>
      </c>
      <c r="H2592">
        <v>0.22</v>
      </c>
      <c r="I2592" s="1">
        <v>204000</v>
      </c>
      <c r="J2592" s="1">
        <v>45000</v>
      </c>
      <c r="K2592">
        <v>5</v>
      </c>
      <c r="L2592">
        <v>0.24</v>
      </c>
      <c r="M2592">
        <v>0.25</v>
      </c>
      <c r="N2592" s="1">
        <v>10000000</v>
      </c>
      <c r="O2592">
        <v>0.25</v>
      </c>
      <c r="P2592">
        <v>0.8</v>
      </c>
      <c r="Q2592">
        <v>0.01</v>
      </c>
    </row>
    <row r="2593" spans="1:17" x14ac:dyDescent="0.25">
      <c r="A2593">
        <v>731518</v>
      </c>
      <c r="B2593" t="s">
        <v>3905</v>
      </c>
      <c r="C2593" t="s">
        <v>78</v>
      </c>
      <c r="D2593" t="s">
        <v>78</v>
      </c>
      <c r="E2593" t="s">
        <v>78</v>
      </c>
      <c r="F2593" t="s">
        <v>78</v>
      </c>
      <c r="G2593" t="s">
        <v>78</v>
      </c>
      <c r="H2593">
        <v>0.65</v>
      </c>
      <c r="I2593" s="1">
        <v>0</v>
      </c>
      <c r="J2593" s="1">
        <v>0</v>
      </c>
      <c r="K2593">
        <v>0</v>
      </c>
      <c r="L2593">
        <v>0.66</v>
      </c>
      <c r="M2593">
        <v>0.69</v>
      </c>
      <c r="N2593" s="1">
        <v>5000000</v>
      </c>
      <c r="O2593">
        <v>0.66</v>
      </c>
      <c r="P2593">
        <v>1.27</v>
      </c>
      <c r="Q2593">
        <v>0.05</v>
      </c>
    </row>
    <row r="2594" spans="1:17" x14ac:dyDescent="0.25">
      <c r="A2594">
        <v>731519</v>
      </c>
      <c r="B2594" t="s">
        <v>3906</v>
      </c>
      <c r="C2594">
        <v>1.68</v>
      </c>
      <c r="D2594">
        <v>0.2</v>
      </c>
      <c r="E2594">
        <v>1.51</v>
      </c>
      <c r="F2594">
        <v>1.68</v>
      </c>
      <c r="G2594">
        <v>1.3</v>
      </c>
      <c r="H2594">
        <v>1.49</v>
      </c>
      <c r="I2594" s="1">
        <v>92000</v>
      </c>
      <c r="J2594" s="1">
        <v>137160</v>
      </c>
      <c r="K2594">
        <v>6</v>
      </c>
      <c r="L2594">
        <v>1.54</v>
      </c>
      <c r="M2594">
        <v>1.57</v>
      </c>
      <c r="N2594" s="1">
        <v>5000000</v>
      </c>
      <c r="O2594">
        <v>1.68</v>
      </c>
      <c r="P2594">
        <v>3.13</v>
      </c>
      <c r="Q2594">
        <v>0.23</v>
      </c>
    </row>
    <row r="2595" spans="1:17" x14ac:dyDescent="0.25">
      <c r="A2595">
        <v>731520</v>
      </c>
      <c r="B2595" t="s">
        <v>3907</v>
      </c>
      <c r="C2595" t="s">
        <v>78</v>
      </c>
      <c r="D2595" t="s">
        <v>78</v>
      </c>
      <c r="E2595" t="s">
        <v>78</v>
      </c>
      <c r="F2595" t="s">
        <v>78</v>
      </c>
      <c r="G2595" t="s">
        <v>78</v>
      </c>
      <c r="H2595">
        <v>0.17</v>
      </c>
      <c r="I2595" s="1">
        <v>0</v>
      </c>
      <c r="J2595" s="1">
        <v>0</v>
      </c>
      <c r="K2595">
        <v>0</v>
      </c>
      <c r="L2595">
        <v>0.15</v>
      </c>
      <c r="M2595">
        <v>0.16</v>
      </c>
      <c r="N2595" s="1">
        <v>10000000</v>
      </c>
      <c r="O2595">
        <v>0.16</v>
      </c>
      <c r="P2595">
        <v>0.61</v>
      </c>
      <c r="Q2595">
        <v>0.01</v>
      </c>
    </row>
    <row r="2596" spans="1:17" x14ac:dyDescent="0.25">
      <c r="A2596">
        <v>731521</v>
      </c>
      <c r="B2596" t="s">
        <v>3908</v>
      </c>
      <c r="C2596">
        <v>0.75</v>
      </c>
      <c r="D2596">
        <v>0.03</v>
      </c>
      <c r="E2596">
        <v>0.78</v>
      </c>
      <c r="F2596">
        <v>0.78</v>
      </c>
      <c r="G2596">
        <v>0.74</v>
      </c>
      <c r="H2596">
        <v>0.76</v>
      </c>
      <c r="I2596" s="1">
        <v>457000</v>
      </c>
      <c r="J2596" s="1">
        <v>345690</v>
      </c>
      <c r="K2596">
        <v>15</v>
      </c>
      <c r="L2596">
        <v>0.74</v>
      </c>
      <c r="M2596">
        <v>0.79</v>
      </c>
      <c r="N2596" s="1">
        <v>5000000</v>
      </c>
      <c r="O2596">
        <v>0.75</v>
      </c>
      <c r="P2596">
        <v>1.95</v>
      </c>
      <c r="Q2596">
        <v>0.01</v>
      </c>
    </row>
    <row r="2597" spans="1:17" x14ac:dyDescent="0.25">
      <c r="A2597">
        <v>731522</v>
      </c>
      <c r="B2597" t="s">
        <v>3909</v>
      </c>
      <c r="C2597">
        <v>0.81</v>
      </c>
      <c r="D2597">
        <v>0.03</v>
      </c>
      <c r="E2597">
        <v>0.82</v>
      </c>
      <c r="F2597">
        <v>0.82</v>
      </c>
      <c r="G2597">
        <v>0.81</v>
      </c>
      <c r="H2597">
        <v>0.81</v>
      </c>
      <c r="I2597" s="1">
        <v>310000</v>
      </c>
      <c r="J2597" s="1">
        <v>251700</v>
      </c>
      <c r="K2597">
        <v>6</v>
      </c>
      <c r="L2597">
        <v>0.8</v>
      </c>
      <c r="M2597">
        <v>0.81</v>
      </c>
      <c r="N2597" s="1">
        <v>5000000</v>
      </c>
      <c r="O2597">
        <v>0.81</v>
      </c>
      <c r="P2597">
        <v>1.54</v>
      </c>
      <c r="Q2597">
        <v>0.08</v>
      </c>
    </row>
    <row r="2598" spans="1:17" x14ac:dyDescent="0.25">
      <c r="A2598">
        <v>731523</v>
      </c>
      <c r="B2598" t="s">
        <v>3910</v>
      </c>
      <c r="C2598">
        <v>1.43</v>
      </c>
      <c r="D2598">
        <v>0.2</v>
      </c>
      <c r="E2598">
        <v>1.18</v>
      </c>
      <c r="F2598">
        <v>1.43</v>
      </c>
      <c r="G2598">
        <v>1.17</v>
      </c>
      <c r="H2598">
        <v>1.32</v>
      </c>
      <c r="I2598" s="1">
        <v>213000</v>
      </c>
      <c r="J2598" s="1">
        <v>280580</v>
      </c>
      <c r="K2598">
        <v>23</v>
      </c>
      <c r="L2598">
        <v>1.4</v>
      </c>
      <c r="M2598">
        <v>1.42</v>
      </c>
      <c r="N2598" s="1">
        <v>5000000</v>
      </c>
      <c r="O2598">
        <v>1.43</v>
      </c>
      <c r="P2598">
        <v>2.46</v>
      </c>
      <c r="Q2598">
        <v>0.4</v>
      </c>
    </row>
    <row r="2599" spans="1:17" x14ac:dyDescent="0.25">
      <c r="A2599">
        <v>731524</v>
      </c>
      <c r="B2599" t="s">
        <v>3911</v>
      </c>
      <c r="C2599" t="s">
        <v>78</v>
      </c>
      <c r="D2599" t="s">
        <v>78</v>
      </c>
      <c r="E2599" t="s">
        <v>78</v>
      </c>
      <c r="F2599" t="s">
        <v>78</v>
      </c>
      <c r="G2599" t="s">
        <v>78</v>
      </c>
      <c r="H2599">
        <v>0.03</v>
      </c>
      <c r="I2599" s="1">
        <v>0</v>
      </c>
      <c r="J2599" s="1">
        <v>0</v>
      </c>
      <c r="K2599">
        <v>0</v>
      </c>
      <c r="L2599">
        <v>0.02</v>
      </c>
      <c r="M2599">
        <v>0.03</v>
      </c>
      <c r="N2599" s="1">
        <v>5000000</v>
      </c>
      <c r="O2599">
        <v>0.03</v>
      </c>
      <c r="P2599">
        <v>0.37</v>
      </c>
      <c r="Q2599">
        <v>0.01</v>
      </c>
    </row>
    <row r="2600" spans="1:17" x14ac:dyDescent="0.25">
      <c r="A2600">
        <v>731525</v>
      </c>
      <c r="B2600" t="s">
        <v>3912</v>
      </c>
      <c r="C2600">
        <v>1.1499999999999999</v>
      </c>
      <c r="D2600">
        <v>0.05</v>
      </c>
      <c r="E2600">
        <v>1.0900000000000001</v>
      </c>
      <c r="F2600">
        <v>1.22</v>
      </c>
      <c r="G2600">
        <v>1.0900000000000001</v>
      </c>
      <c r="H2600">
        <v>1.1599999999999999</v>
      </c>
      <c r="I2600" s="1">
        <v>70000</v>
      </c>
      <c r="J2600" s="1">
        <v>81400</v>
      </c>
      <c r="K2600">
        <v>7</v>
      </c>
      <c r="L2600">
        <v>1.1299999999999999</v>
      </c>
      <c r="M2600">
        <v>1.1399999999999999</v>
      </c>
      <c r="N2600" s="1">
        <v>10000000</v>
      </c>
      <c r="O2600">
        <v>1.1499999999999999</v>
      </c>
      <c r="P2600">
        <v>2.2000000000000002</v>
      </c>
      <c r="Q2600">
        <v>0.1</v>
      </c>
    </row>
    <row r="2601" spans="1:17" x14ac:dyDescent="0.25">
      <c r="A2601">
        <v>731526</v>
      </c>
      <c r="B2601" t="s">
        <v>3913</v>
      </c>
      <c r="C2601" t="s">
        <v>78</v>
      </c>
      <c r="D2601" t="s">
        <v>78</v>
      </c>
      <c r="E2601" t="s">
        <v>78</v>
      </c>
      <c r="F2601" t="s">
        <v>78</v>
      </c>
      <c r="G2601" t="s">
        <v>78</v>
      </c>
      <c r="H2601">
        <v>0.01</v>
      </c>
      <c r="I2601" s="1">
        <v>0</v>
      </c>
      <c r="J2601" s="1">
        <v>0</v>
      </c>
      <c r="K2601">
        <v>0</v>
      </c>
      <c r="L2601">
        <v>0</v>
      </c>
      <c r="M2601">
        <v>0.01</v>
      </c>
      <c r="N2601" s="1">
        <v>5000000</v>
      </c>
      <c r="O2601">
        <v>0.01</v>
      </c>
      <c r="P2601">
        <v>1.02</v>
      </c>
      <c r="Q2601">
        <v>0.01</v>
      </c>
    </row>
    <row r="2602" spans="1:17" x14ac:dyDescent="0.25">
      <c r="A2602">
        <v>731527</v>
      </c>
      <c r="B2602" t="s">
        <v>3914</v>
      </c>
      <c r="C2602" t="s">
        <v>78</v>
      </c>
      <c r="D2602" t="s">
        <v>78</v>
      </c>
      <c r="E2602" t="s">
        <v>78</v>
      </c>
      <c r="F2602" t="s">
        <v>78</v>
      </c>
      <c r="G2602" t="s">
        <v>78</v>
      </c>
      <c r="H2602">
        <v>1.73</v>
      </c>
      <c r="I2602" s="1">
        <v>0</v>
      </c>
      <c r="J2602" s="1">
        <v>0</v>
      </c>
      <c r="K2602">
        <v>0</v>
      </c>
      <c r="L2602">
        <v>1.57</v>
      </c>
      <c r="M2602">
        <v>1.61</v>
      </c>
      <c r="N2602" s="1">
        <v>10000000</v>
      </c>
      <c r="O2602">
        <v>1.57</v>
      </c>
      <c r="P2602">
        <v>2.57</v>
      </c>
      <c r="Q2602">
        <v>0.56999999999999995</v>
      </c>
    </row>
    <row r="2603" spans="1:17" x14ac:dyDescent="0.25">
      <c r="A2603">
        <v>731528</v>
      </c>
      <c r="B2603" t="s">
        <v>3915</v>
      </c>
      <c r="C2603" t="s">
        <v>78</v>
      </c>
      <c r="D2603" t="s">
        <v>78</v>
      </c>
      <c r="E2603" t="s">
        <v>78</v>
      </c>
      <c r="F2603" t="s">
        <v>78</v>
      </c>
      <c r="G2603" t="s">
        <v>78</v>
      </c>
      <c r="H2603">
        <v>4.53</v>
      </c>
      <c r="I2603" s="1">
        <v>0</v>
      </c>
      <c r="J2603" s="1">
        <v>0</v>
      </c>
      <c r="K2603">
        <v>0</v>
      </c>
      <c r="L2603">
        <v>7.65</v>
      </c>
      <c r="M2603">
        <v>0</v>
      </c>
      <c r="N2603" s="1">
        <v>5000000</v>
      </c>
      <c r="O2603">
        <v>7.65</v>
      </c>
      <c r="P2603">
        <v>9.6999999999999993</v>
      </c>
      <c r="Q2603">
        <v>5.6</v>
      </c>
    </row>
    <row r="2604" spans="1:17" x14ac:dyDescent="0.25">
      <c r="A2604">
        <v>731529</v>
      </c>
      <c r="B2604" t="s">
        <v>3916</v>
      </c>
      <c r="C2604">
        <v>1.36</v>
      </c>
      <c r="D2604">
        <v>-0.03</v>
      </c>
      <c r="E2604">
        <v>1.39</v>
      </c>
      <c r="F2604">
        <v>1.39</v>
      </c>
      <c r="G2604">
        <v>1.36</v>
      </c>
      <c r="H2604">
        <v>1.38</v>
      </c>
      <c r="I2604" s="1">
        <v>190000</v>
      </c>
      <c r="J2604" s="1">
        <v>262980</v>
      </c>
      <c r="K2604">
        <v>9</v>
      </c>
      <c r="L2604">
        <v>1.37</v>
      </c>
      <c r="M2604">
        <v>1.39</v>
      </c>
      <c r="N2604" s="1">
        <v>5000000</v>
      </c>
      <c r="O2604">
        <v>1.36</v>
      </c>
      <c r="P2604">
        <v>2.23</v>
      </c>
      <c r="Q2604">
        <v>0.49</v>
      </c>
    </row>
    <row r="2605" spans="1:17" x14ac:dyDescent="0.25">
      <c r="A2605">
        <v>731530</v>
      </c>
      <c r="B2605" t="s">
        <v>3917</v>
      </c>
      <c r="C2605" t="s">
        <v>78</v>
      </c>
      <c r="D2605" t="s">
        <v>78</v>
      </c>
      <c r="E2605" t="s">
        <v>78</v>
      </c>
      <c r="F2605" t="s">
        <v>78</v>
      </c>
      <c r="G2605" t="s">
        <v>78</v>
      </c>
      <c r="H2605">
        <v>0.06</v>
      </c>
      <c r="I2605" s="1">
        <v>0</v>
      </c>
      <c r="J2605" s="1">
        <v>0</v>
      </c>
      <c r="K2605">
        <v>0</v>
      </c>
      <c r="L2605">
        <v>0.13</v>
      </c>
      <c r="M2605">
        <v>0.14000000000000001</v>
      </c>
      <c r="N2605" s="1">
        <v>5000000</v>
      </c>
      <c r="O2605">
        <v>0.14000000000000001</v>
      </c>
      <c r="P2605">
        <v>0.56999999999999995</v>
      </c>
      <c r="Q2605">
        <v>0.01</v>
      </c>
    </row>
    <row r="2606" spans="1:17" x14ac:dyDescent="0.25">
      <c r="A2606">
        <v>731531</v>
      </c>
      <c r="B2606" t="s">
        <v>3918</v>
      </c>
      <c r="C2606" t="s">
        <v>78</v>
      </c>
      <c r="D2606" t="s">
        <v>78</v>
      </c>
      <c r="E2606" t="s">
        <v>78</v>
      </c>
      <c r="F2606" t="s">
        <v>78</v>
      </c>
      <c r="G2606" t="s">
        <v>78</v>
      </c>
      <c r="H2606">
        <v>0.27</v>
      </c>
      <c r="I2606" s="1">
        <v>0</v>
      </c>
      <c r="J2606" s="1">
        <v>0</v>
      </c>
      <c r="K2606">
        <v>0</v>
      </c>
      <c r="L2606">
        <v>0.09</v>
      </c>
      <c r="M2606">
        <v>0.1</v>
      </c>
      <c r="N2606" s="1">
        <v>10000000</v>
      </c>
      <c r="O2606">
        <v>0.1</v>
      </c>
      <c r="P2606">
        <v>0.79</v>
      </c>
      <c r="Q2606">
        <v>0.01</v>
      </c>
    </row>
    <row r="2607" spans="1:17" x14ac:dyDescent="0.25">
      <c r="A2607">
        <v>731532</v>
      </c>
      <c r="B2607" t="s">
        <v>3919</v>
      </c>
      <c r="C2607" t="s">
        <v>78</v>
      </c>
      <c r="D2607" t="s">
        <v>78</v>
      </c>
      <c r="E2607" t="s">
        <v>78</v>
      </c>
      <c r="F2607" t="s">
        <v>78</v>
      </c>
      <c r="G2607" t="s">
        <v>78</v>
      </c>
      <c r="H2607">
        <v>3.03</v>
      </c>
      <c r="I2607" s="1">
        <v>0</v>
      </c>
      <c r="J2607" s="1">
        <v>0</v>
      </c>
      <c r="K2607">
        <v>0</v>
      </c>
      <c r="L2607">
        <v>2.12</v>
      </c>
      <c r="M2607">
        <v>2.2000000000000002</v>
      </c>
      <c r="N2607" s="1">
        <v>10000000</v>
      </c>
      <c r="O2607">
        <v>2.12</v>
      </c>
      <c r="P2607">
        <v>3.21</v>
      </c>
      <c r="Q2607">
        <v>1.03</v>
      </c>
    </row>
    <row r="2608" spans="1:17" x14ac:dyDescent="0.25">
      <c r="A2608">
        <v>731533</v>
      </c>
      <c r="B2608" t="s">
        <v>3920</v>
      </c>
      <c r="C2608" t="s">
        <v>78</v>
      </c>
      <c r="D2608" t="s">
        <v>78</v>
      </c>
      <c r="E2608" t="s">
        <v>78</v>
      </c>
      <c r="F2608" t="s">
        <v>78</v>
      </c>
      <c r="G2608" t="s">
        <v>78</v>
      </c>
      <c r="H2608">
        <v>0.19</v>
      </c>
      <c r="I2608" s="1">
        <v>0</v>
      </c>
      <c r="J2608" s="1">
        <v>0</v>
      </c>
      <c r="K2608">
        <v>0</v>
      </c>
      <c r="L2608">
        <v>0.19</v>
      </c>
      <c r="M2608">
        <v>0.2</v>
      </c>
      <c r="N2608" s="1">
        <v>10000000</v>
      </c>
      <c r="O2608">
        <v>0.2</v>
      </c>
      <c r="P2608">
        <v>0.43</v>
      </c>
      <c r="Q2608">
        <v>0.01</v>
      </c>
    </row>
    <row r="2609" spans="1:17" x14ac:dyDescent="0.25">
      <c r="A2609">
        <v>731534</v>
      </c>
      <c r="B2609" t="s">
        <v>3921</v>
      </c>
      <c r="C2609">
        <v>0.8</v>
      </c>
      <c r="D2609">
        <v>0.03</v>
      </c>
      <c r="E2609">
        <v>0.79</v>
      </c>
      <c r="F2609">
        <v>0.8</v>
      </c>
      <c r="G2609">
        <v>0.79</v>
      </c>
      <c r="H2609">
        <v>0.79</v>
      </c>
      <c r="I2609" s="1">
        <v>196000</v>
      </c>
      <c r="J2609" s="1">
        <v>155800</v>
      </c>
      <c r="K2609">
        <v>4</v>
      </c>
      <c r="L2609">
        <v>0.74</v>
      </c>
      <c r="M2609">
        <v>0.76</v>
      </c>
      <c r="N2609" s="1">
        <v>5000000</v>
      </c>
      <c r="O2609">
        <v>0.8</v>
      </c>
      <c r="P2609">
        <v>1.87</v>
      </c>
      <c r="Q2609">
        <v>0.01</v>
      </c>
    </row>
    <row r="2610" spans="1:17" x14ac:dyDescent="0.25">
      <c r="A2610">
        <v>731535</v>
      </c>
      <c r="B2610" t="s">
        <v>3922</v>
      </c>
      <c r="C2610" t="s">
        <v>78</v>
      </c>
      <c r="D2610" t="s">
        <v>78</v>
      </c>
      <c r="E2610" t="s">
        <v>78</v>
      </c>
      <c r="F2610" t="s">
        <v>78</v>
      </c>
      <c r="G2610" t="s">
        <v>78</v>
      </c>
      <c r="H2610">
        <v>0.11</v>
      </c>
      <c r="I2610" s="1">
        <v>0</v>
      </c>
      <c r="J2610" s="1">
        <v>0</v>
      </c>
      <c r="K2610">
        <v>0</v>
      </c>
      <c r="L2610">
        <v>0.13</v>
      </c>
      <c r="M2610">
        <v>0.15</v>
      </c>
      <c r="N2610" s="1">
        <v>10000000</v>
      </c>
      <c r="O2610">
        <v>0.14000000000000001</v>
      </c>
      <c r="P2610">
        <v>0.56999999999999995</v>
      </c>
      <c r="Q2610">
        <v>0.01</v>
      </c>
    </row>
    <row r="2611" spans="1:17" x14ac:dyDescent="0.25">
      <c r="A2611">
        <v>731536</v>
      </c>
      <c r="B2611" t="s">
        <v>3923</v>
      </c>
      <c r="C2611">
        <v>0.18</v>
      </c>
      <c r="D2611">
        <v>0.05</v>
      </c>
      <c r="E2611">
        <v>0.16</v>
      </c>
      <c r="F2611">
        <v>0.2</v>
      </c>
      <c r="G2611">
        <v>0.15</v>
      </c>
      <c r="H2611">
        <v>0.17</v>
      </c>
      <c r="I2611" s="1">
        <v>284000</v>
      </c>
      <c r="J2611" s="1">
        <v>48560</v>
      </c>
      <c r="K2611">
        <v>9</v>
      </c>
      <c r="L2611">
        <v>0.18</v>
      </c>
      <c r="M2611">
        <v>0.19</v>
      </c>
      <c r="N2611" s="1">
        <v>10000000</v>
      </c>
      <c r="O2611">
        <v>0.18</v>
      </c>
      <c r="P2611">
        <v>0.73</v>
      </c>
      <c r="Q2611">
        <v>0.01</v>
      </c>
    </row>
    <row r="2612" spans="1:17" x14ac:dyDescent="0.25">
      <c r="A2612">
        <v>731537</v>
      </c>
      <c r="B2612" t="s">
        <v>3924</v>
      </c>
      <c r="C2612" t="s">
        <v>78</v>
      </c>
      <c r="D2612" t="s">
        <v>78</v>
      </c>
      <c r="E2612" t="s">
        <v>78</v>
      </c>
      <c r="F2612" t="s">
        <v>78</v>
      </c>
      <c r="G2612" t="s">
        <v>78</v>
      </c>
      <c r="H2612">
        <v>7.0000000000000007E-2</v>
      </c>
      <c r="I2612" s="1">
        <v>0</v>
      </c>
      <c r="J2612" s="1">
        <v>0</v>
      </c>
      <c r="K2612">
        <v>0</v>
      </c>
      <c r="L2612">
        <v>0.04</v>
      </c>
      <c r="M2612">
        <v>7.0000000000000007E-2</v>
      </c>
      <c r="N2612" s="1">
        <v>5000000</v>
      </c>
      <c r="O2612">
        <v>7.0000000000000007E-2</v>
      </c>
      <c r="P2612">
        <v>0.57999999999999996</v>
      </c>
      <c r="Q2612">
        <v>0.01</v>
      </c>
    </row>
    <row r="2613" spans="1:17" x14ac:dyDescent="0.25">
      <c r="A2613">
        <v>731538</v>
      </c>
      <c r="B2613" t="s">
        <v>3925</v>
      </c>
      <c r="C2613" t="s">
        <v>78</v>
      </c>
      <c r="D2613" t="s">
        <v>78</v>
      </c>
      <c r="E2613" t="s">
        <v>78</v>
      </c>
      <c r="F2613" t="s">
        <v>78</v>
      </c>
      <c r="G2613" t="s">
        <v>78</v>
      </c>
      <c r="H2613">
        <v>0.13</v>
      </c>
      <c r="I2613" s="1">
        <v>0</v>
      </c>
      <c r="J2613" s="1">
        <v>0</v>
      </c>
      <c r="K2613">
        <v>0</v>
      </c>
      <c r="L2613">
        <v>0.1</v>
      </c>
      <c r="M2613">
        <v>0.11</v>
      </c>
      <c r="N2613" s="1">
        <v>10000000</v>
      </c>
      <c r="O2613">
        <v>0.11</v>
      </c>
      <c r="P2613">
        <v>0.74</v>
      </c>
      <c r="Q2613">
        <v>0.01</v>
      </c>
    </row>
    <row r="2614" spans="1:17" x14ac:dyDescent="0.25">
      <c r="A2614">
        <v>731539</v>
      </c>
      <c r="B2614" t="s">
        <v>3926</v>
      </c>
      <c r="C2614" t="s">
        <v>78</v>
      </c>
      <c r="D2614" t="s">
        <v>78</v>
      </c>
      <c r="E2614" t="s">
        <v>78</v>
      </c>
      <c r="F2614" t="s">
        <v>78</v>
      </c>
      <c r="G2614" t="s">
        <v>78</v>
      </c>
      <c r="H2614">
        <v>0.01</v>
      </c>
      <c r="I2614" s="1">
        <v>0</v>
      </c>
      <c r="J2614" s="1">
        <v>0</v>
      </c>
      <c r="K2614">
        <v>0</v>
      </c>
      <c r="L2614">
        <v>0.01</v>
      </c>
      <c r="M2614">
        <v>0.02</v>
      </c>
      <c r="N2614" s="1">
        <v>10000000</v>
      </c>
      <c r="O2614">
        <v>0.01</v>
      </c>
      <c r="P2614">
        <v>0.59</v>
      </c>
      <c r="Q2614">
        <v>0.01</v>
      </c>
    </row>
    <row r="2615" spans="1:17" x14ac:dyDescent="0.25">
      <c r="A2615">
        <v>731540</v>
      </c>
      <c r="B2615" t="s">
        <v>3927</v>
      </c>
      <c r="C2615" t="s">
        <v>78</v>
      </c>
      <c r="D2615" t="s">
        <v>78</v>
      </c>
      <c r="E2615" t="s">
        <v>78</v>
      </c>
      <c r="F2615" t="s">
        <v>78</v>
      </c>
      <c r="G2615" t="s">
        <v>78</v>
      </c>
      <c r="H2615">
        <v>0.24</v>
      </c>
      <c r="I2615" s="1">
        <v>0</v>
      </c>
      <c r="J2615" s="1">
        <v>0</v>
      </c>
      <c r="K2615">
        <v>0</v>
      </c>
      <c r="L2615">
        <v>0.08</v>
      </c>
      <c r="M2615">
        <v>0.11</v>
      </c>
      <c r="N2615" s="1">
        <v>10000000</v>
      </c>
      <c r="O2615">
        <v>0.09</v>
      </c>
      <c r="P2615">
        <v>0.36</v>
      </c>
      <c r="Q2615">
        <v>0.01</v>
      </c>
    </row>
    <row r="2616" spans="1:17" x14ac:dyDescent="0.25">
      <c r="A2616">
        <v>731541</v>
      </c>
      <c r="B2616" t="s">
        <v>3928</v>
      </c>
      <c r="C2616" t="s">
        <v>78</v>
      </c>
      <c r="D2616" t="s">
        <v>78</v>
      </c>
      <c r="E2616" t="s">
        <v>78</v>
      </c>
      <c r="F2616" t="s">
        <v>78</v>
      </c>
      <c r="G2616" t="s">
        <v>78</v>
      </c>
      <c r="H2616">
        <v>4.59</v>
      </c>
      <c r="I2616" s="1">
        <v>0</v>
      </c>
      <c r="J2616" s="1">
        <v>0</v>
      </c>
      <c r="K2616">
        <v>0</v>
      </c>
      <c r="L2616">
        <v>4.12</v>
      </c>
      <c r="M2616">
        <v>4.22</v>
      </c>
      <c r="N2616" s="1">
        <v>5000000</v>
      </c>
      <c r="O2616">
        <v>4.22</v>
      </c>
      <c r="P2616">
        <v>5.8</v>
      </c>
      <c r="Q2616">
        <v>2.58</v>
      </c>
    </row>
    <row r="2617" spans="1:17" x14ac:dyDescent="0.25">
      <c r="A2617">
        <v>731542</v>
      </c>
      <c r="B2617" t="s">
        <v>3929</v>
      </c>
      <c r="C2617" t="s">
        <v>78</v>
      </c>
      <c r="D2617" t="s">
        <v>78</v>
      </c>
      <c r="E2617" t="s">
        <v>78</v>
      </c>
      <c r="F2617" t="s">
        <v>78</v>
      </c>
      <c r="G2617" t="s">
        <v>78</v>
      </c>
      <c r="H2617">
        <v>2.69</v>
      </c>
      <c r="I2617" s="1">
        <v>0</v>
      </c>
      <c r="J2617" s="1">
        <v>0</v>
      </c>
      <c r="K2617">
        <v>0</v>
      </c>
      <c r="L2617">
        <v>2.57</v>
      </c>
      <c r="M2617">
        <v>2.67</v>
      </c>
      <c r="N2617" s="1">
        <v>10000000</v>
      </c>
      <c r="O2617">
        <v>2.67</v>
      </c>
      <c r="P2617">
        <v>3.76</v>
      </c>
      <c r="Q2617">
        <v>1.58</v>
      </c>
    </row>
    <row r="2618" spans="1:17" x14ac:dyDescent="0.25">
      <c r="A2618">
        <v>731543</v>
      </c>
      <c r="B2618" t="s">
        <v>3930</v>
      </c>
      <c r="C2618" t="s">
        <v>78</v>
      </c>
      <c r="D2618" t="s">
        <v>78</v>
      </c>
      <c r="E2618" t="s">
        <v>78</v>
      </c>
      <c r="F2618" t="s">
        <v>78</v>
      </c>
      <c r="G2618" t="s">
        <v>78</v>
      </c>
      <c r="H2618">
        <v>3.02</v>
      </c>
      <c r="I2618" s="1">
        <v>0</v>
      </c>
      <c r="J2618" s="1">
        <v>0</v>
      </c>
      <c r="K2618">
        <v>0</v>
      </c>
      <c r="L2618">
        <v>2.66</v>
      </c>
      <c r="M2618">
        <v>2.72</v>
      </c>
      <c r="N2618" s="1">
        <v>5000000</v>
      </c>
      <c r="O2618">
        <v>2.72</v>
      </c>
      <c r="P2618">
        <v>5.2</v>
      </c>
      <c r="Q2618">
        <v>0.24</v>
      </c>
    </row>
    <row r="2619" spans="1:17" x14ac:dyDescent="0.25">
      <c r="A2619">
        <v>731544</v>
      </c>
      <c r="B2619" t="s">
        <v>3931</v>
      </c>
      <c r="C2619">
        <v>0.05</v>
      </c>
      <c r="D2619">
        <v>0</v>
      </c>
      <c r="E2619">
        <v>0.04</v>
      </c>
      <c r="F2619">
        <v>0.05</v>
      </c>
      <c r="G2619">
        <v>0.04</v>
      </c>
      <c r="H2619">
        <v>0.05</v>
      </c>
      <c r="I2619" s="1">
        <v>21000</v>
      </c>
      <c r="J2619" s="1">
        <v>1000</v>
      </c>
      <c r="K2619">
        <v>3</v>
      </c>
      <c r="L2619">
        <v>0.05</v>
      </c>
      <c r="M2619">
        <v>0.09</v>
      </c>
      <c r="N2619" s="1">
        <v>10000000</v>
      </c>
      <c r="O2619">
        <v>0.05</v>
      </c>
      <c r="P2619">
        <v>0.48</v>
      </c>
      <c r="Q2619">
        <v>0.01</v>
      </c>
    </row>
    <row r="2620" spans="1:17" x14ac:dyDescent="0.25">
      <c r="A2620">
        <v>731545</v>
      </c>
      <c r="B2620" t="s">
        <v>3932</v>
      </c>
      <c r="C2620">
        <v>2.2000000000000002</v>
      </c>
      <c r="D2620">
        <v>-0.17</v>
      </c>
      <c r="E2620">
        <v>2.2599999999999998</v>
      </c>
      <c r="F2620">
        <v>2.31</v>
      </c>
      <c r="G2620">
        <v>2.2000000000000002</v>
      </c>
      <c r="H2620">
        <v>2.2599999999999998</v>
      </c>
      <c r="I2620" s="1">
        <v>50000</v>
      </c>
      <c r="J2620" s="1">
        <v>113200</v>
      </c>
      <c r="K2620">
        <v>7</v>
      </c>
      <c r="L2620">
        <v>2.21</v>
      </c>
      <c r="M2620">
        <v>2.2599999999999998</v>
      </c>
      <c r="N2620" s="1">
        <v>5000000</v>
      </c>
      <c r="O2620">
        <v>2.2000000000000002</v>
      </c>
      <c r="P2620">
        <v>3.15</v>
      </c>
      <c r="Q2620">
        <v>1.25</v>
      </c>
    </row>
    <row r="2621" spans="1:17" x14ac:dyDescent="0.25">
      <c r="A2621">
        <v>731546</v>
      </c>
      <c r="B2621" t="s">
        <v>3933</v>
      </c>
      <c r="C2621">
        <v>1.57</v>
      </c>
      <c r="D2621">
        <v>-0.05</v>
      </c>
      <c r="E2621">
        <v>1.5</v>
      </c>
      <c r="F2621">
        <v>1.57</v>
      </c>
      <c r="G2621">
        <v>1.5</v>
      </c>
      <c r="H2621">
        <v>1.54</v>
      </c>
      <c r="I2621" s="1">
        <v>8000</v>
      </c>
      <c r="J2621" s="1">
        <v>12350</v>
      </c>
      <c r="K2621">
        <v>2</v>
      </c>
      <c r="L2621">
        <v>1.48</v>
      </c>
      <c r="M2621">
        <v>1.56</v>
      </c>
      <c r="N2621" s="1">
        <v>5000000</v>
      </c>
      <c r="O2621">
        <v>1.57</v>
      </c>
      <c r="P2621">
        <v>2.23</v>
      </c>
      <c r="Q2621">
        <v>0.91</v>
      </c>
    </row>
    <row r="2622" spans="1:17" x14ac:dyDescent="0.25">
      <c r="A2622">
        <v>731547</v>
      </c>
      <c r="B2622" t="s">
        <v>3934</v>
      </c>
      <c r="C2622" t="s">
        <v>78</v>
      </c>
      <c r="D2622" t="s">
        <v>78</v>
      </c>
      <c r="E2622" t="s">
        <v>78</v>
      </c>
      <c r="F2622" t="s">
        <v>78</v>
      </c>
      <c r="G2622" t="s">
        <v>78</v>
      </c>
      <c r="H2622">
        <v>0.05</v>
      </c>
      <c r="I2622" s="1">
        <v>0</v>
      </c>
      <c r="J2622" s="1">
        <v>0</v>
      </c>
      <c r="K2622">
        <v>0</v>
      </c>
      <c r="L2622">
        <v>0.05</v>
      </c>
      <c r="M2622">
        <v>0.09</v>
      </c>
      <c r="N2622" s="1">
        <v>5000000</v>
      </c>
      <c r="O2622">
        <v>0.05</v>
      </c>
      <c r="P2622">
        <v>0.77</v>
      </c>
      <c r="Q2622">
        <v>0.01</v>
      </c>
    </row>
    <row r="2623" spans="1:17" x14ac:dyDescent="0.25">
      <c r="A2623">
        <v>731548</v>
      </c>
      <c r="B2623" t="s">
        <v>3935</v>
      </c>
      <c r="C2623">
        <v>0.16</v>
      </c>
      <c r="D2623">
        <v>0.06</v>
      </c>
      <c r="E2623">
        <v>0.1</v>
      </c>
      <c r="F2623">
        <v>0.16</v>
      </c>
      <c r="G2623">
        <v>0.1</v>
      </c>
      <c r="H2623">
        <v>0.13</v>
      </c>
      <c r="I2623" s="1">
        <v>110000</v>
      </c>
      <c r="J2623" s="1">
        <v>14600</v>
      </c>
      <c r="K2623">
        <v>4</v>
      </c>
      <c r="L2623">
        <v>0.15</v>
      </c>
      <c r="M2623">
        <v>0.16</v>
      </c>
      <c r="N2623" s="1">
        <v>5000000</v>
      </c>
      <c r="O2623">
        <v>0.16</v>
      </c>
      <c r="P2623">
        <v>0.93</v>
      </c>
      <c r="Q2623">
        <v>0.01</v>
      </c>
    </row>
    <row r="2624" spans="1:17" x14ac:dyDescent="0.25">
      <c r="A2624">
        <v>731549</v>
      </c>
      <c r="B2624" t="s">
        <v>3936</v>
      </c>
      <c r="C2624" t="s">
        <v>78</v>
      </c>
      <c r="D2624" t="s">
        <v>78</v>
      </c>
      <c r="E2624" t="s">
        <v>78</v>
      </c>
      <c r="F2624" t="s">
        <v>78</v>
      </c>
      <c r="G2624" t="s">
        <v>78</v>
      </c>
      <c r="H2624">
        <v>0.14000000000000001</v>
      </c>
      <c r="I2624" s="1">
        <v>0</v>
      </c>
      <c r="J2624" s="1">
        <v>0</v>
      </c>
      <c r="K2624">
        <v>0</v>
      </c>
      <c r="L2624">
        <v>0.27</v>
      </c>
      <c r="M2624">
        <v>0.28000000000000003</v>
      </c>
      <c r="N2624" s="1">
        <v>5000000</v>
      </c>
      <c r="O2624">
        <v>0.28000000000000003</v>
      </c>
      <c r="P2624">
        <v>0.97</v>
      </c>
      <c r="Q2624">
        <v>0.01</v>
      </c>
    </row>
    <row r="2625" spans="1:17" x14ac:dyDescent="0.25">
      <c r="A2625">
        <v>731550</v>
      </c>
      <c r="B2625" t="s">
        <v>3937</v>
      </c>
      <c r="C2625">
        <v>0.22</v>
      </c>
      <c r="D2625">
        <v>-0.02</v>
      </c>
      <c r="E2625">
        <v>0.22</v>
      </c>
      <c r="F2625">
        <v>0.22</v>
      </c>
      <c r="G2625">
        <v>0.22</v>
      </c>
      <c r="H2625">
        <v>0.22</v>
      </c>
      <c r="I2625" s="1">
        <v>10000</v>
      </c>
      <c r="J2625" s="1">
        <v>2200</v>
      </c>
      <c r="K2625">
        <v>1</v>
      </c>
      <c r="L2625">
        <v>0.22</v>
      </c>
      <c r="M2625">
        <v>0.23</v>
      </c>
      <c r="N2625" s="1">
        <v>5000000</v>
      </c>
      <c r="O2625">
        <v>0.22</v>
      </c>
      <c r="P2625">
        <v>1.08</v>
      </c>
      <c r="Q2625">
        <v>0.01</v>
      </c>
    </row>
    <row r="2626" spans="1:17" x14ac:dyDescent="0.25">
      <c r="A2626">
        <v>731551</v>
      </c>
      <c r="B2626" t="s">
        <v>3938</v>
      </c>
      <c r="C2626" t="s">
        <v>78</v>
      </c>
      <c r="D2626" t="s">
        <v>78</v>
      </c>
      <c r="E2626" t="s">
        <v>78</v>
      </c>
      <c r="F2626" t="s">
        <v>78</v>
      </c>
      <c r="G2626" t="s">
        <v>78</v>
      </c>
      <c r="H2626">
        <v>0.05</v>
      </c>
      <c r="I2626" s="1">
        <v>0</v>
      </c>
      <c r="J2626" s="1">
        <v>0</v>
      </c>
      <c r="K2626">
        <v>0</v>
      </c>
      <c r="L2626">
        <v>0.12</v>
      </c>
      <c r="M2626">
        <v>0.13</v>
      </c>
      <c r="N2626" s="1">
        <v>5000000</v>
      </c>
      <c r="O2626">
        <v>0.13</v>
      </c>
      <c r="P2626">
        <v>1.34</v>
      </c>
      <c r="Q2626">
        <v>0.01</v>
      </c>
    </row>
    <row r="2627" spans="1:17" x14ac:dyDescent="0.25">
      <c r="A2627">
        <v>731552</v>
      </c>
      <c r="B2627" t="s">
        <v>3939</v>
      </c>
      <c r="C2627" t="s">
        <v>78</v>
      </c>
      <c r="D2627" t="s">
        <v>78</v>
      </c>
      <c r="E2627" t="s">
        <v>78</v>
      </c>
      <c r="F2627" t="s">
        <v>78</v>
      </c>
      <c r="G2627" t="s">
        <v>78</v>
      </c>
      <c r="H2627">
        <v>0.17</v>
      </c>
      <c r="I2627" s="1">
        <v>0</v>
      </c>
      <c r="J2627" s="1">
        <v>0</v>
      </c>
      <c r="K2627">
        <v>0</v>
      </c>
      <c r="L2627">
        <v>0.15</v>
      </c>
      <c r="M2627">
        <v>0.16</v>
      </c>
      <c r="N2627" s="1">
        <v>5000000</v>
      </c>
      <c r="O2627">
        <v>0.16</v>
      </c>
      <c r="P2627">
        <v>0.68</v>
      </c>
      <c r="Q2627">
        <v>0.01</v>
      </c>
    </row>
    <row r="2628" spans="1:17" x14ac:dyDescent="0.25">
      <c r="A2628">
        <v>731553</v>
      </c>
      <c r="B2628" t="s">
        <v>3940</v>
      </c>
      <c r="C2628" t="s">
        <v>78</v>
      </c>
      <c r="D2628" t="s">
        <v>78</v>
      </c>
      <c r="E2628" t="s">
        <v>78</v>
      </c>
      <c r="F2628" t="s">
        <v>78</v>
      </c>
      <c r="G2628" t="s">
        <v>78</v>
      </c>
      <c r="H2628">
        <v>0.19</v>
      </c>
      <c r="I2628" s="1">
        <v>0</v>
      </c>
      <c r="J2628" s="1">
        <v>0</v>
      </c>
      <c r="K2628">
        <v>0</v>
      </c>
      <c r="L2628">
        <v>0.09</v>
      </c>
      <c r="M2628">
        <v>0.11</v>
      </c>
      <c r="N2628" s="1">
        <v>5000000</v>
      </c>
      <c r="O2628">
        <v>0.1</v>
      </c>
      <c r="P2628">
        <v>0.48</v>
      </c>
      <c r="Q2628">
        <v>0.01</v>
      </c>
    </row>
    <row r="2629" spans="1:17" x14ac:dyDescent="0.25">
      <c r="A2629">
        <v>731554</v>
      </c>
      <c r="B2629" t="s">
        <v>3941</v>
      </c>
      <c r="C2629">
        <v>0.26</v>
      </c>
      <c r="D2629">
        <v>0.02</v>
      </c>
      <c r="E2629">
        <v>0.26</v>
      </c>
      <c r="F2629">
        <v>0.26</v>
      </c>
      <c r="G2629">
        <v>0.26</v>
      </c>
      <c r="H2629">
        <v>0.26</v>
      </c>
      <c r="I2629" s="1">
        <v>10000</v>
      </c>
      <c r="J2629" s="1">
        <v>2600</v>
      </c>
      <c r="K2629">
        <v>1</v>
      </c>
      <c r="L2629">
        <v>0.23</v>
      </c>
      <c r="M2629">
        <v>0.25</v>
      </c>
      <c r="N2629" s="1">
        <v>5000000</v>
      </c>
      <c r="O2629">
        <v>0.26</v>
      </c>
      <c r="P2629">
        <v>0.56000000000000005</v>
      </c>
      <c r="Q2629">
        <v>0.01</v>
      </c>
    </row>
    <row r="2630" spans="1:17" x14ac:dyDescent="0.25">
      <c r="A2630">
        <v>731555</v>
      </c>
      <c r="B2630" t="s">
        <v>3942</v>
      </c>
      <c r="C2630">
        <v>1.62</v>
      </c>
      <c r="D2630">
        <v>-0.05</v>
      </c>
      <c r="E2630">
        <v>1.67</v>
      </c>
      <c r="F2630">
        <v>1.67</v>
      </c>
      <c r="G2630">
        <v>1.59</v>
      </c>
      <c r="H2630">
        <v>1.61</v>
      </c>
      <c r="I2630" s="1">
        <v>510000</v>
      </c>
      <c r="J2630" s="1">
        <v>822200</v>
      </c>
      <c r="K2630">
        <v>51</v>
      </c>
      <c r="L2630">
        <v>1.53</v>
      </c>
      <c r="M2630">
        <v>1.55</v>
      </c>
      <c r="N2630" s="1">
        <v>10000000</v>
      </c>
      <c r="O2630">
        <v>1.62</v>
      </c>
      <c r="P2630">
        <v>2.14</v>
      </c>
      <c r="Q2630">
        <v>1.1000000000000001</v>
      </c>
    </row>
    <row r="2631" spans="1:17" x14ac:dyDescent="0.25">
      <c r="A2631">
        <v>731556</v>
      </c>
      <c r="B2631" t="s">
        <v>3943</v>
      </c>
      <c r="C2631" t="s">
        <v>78</v>
      </c>
      <c r="D2631" t="s">
        <v>78</v>
      </c>
      <c r="E2631" t="s">
        <v>78</v>
      </c>
      <c r="F2631" t="s">
        <v>78</v>
      </c>
      <c r="G2631" t="s">
        <v>78</v>
      </c>
      <c r="H2631">
        <v>0.38</v>
      </c>
      <c r="I2631" s="1">
        <v>0</v>
      </c>
      <c r="J2631" s="1">
        <v>0</v>
      </c>
      <c r="K2631">
        <v>0</v>
      </c>
      <c r="L2631">
        <v>0.28000000000000003</v>
      </c>
      <c r="M2631">
        <v>0.3</v>
      </c>
      <c r="N2631" s="1">
        <v>10000000</v>
      </c>
      <c r="O2631">
        <v>0.3</v>
      </c>
      <c r="P2631">
        <v>0.76</v>
      </c>
      <c r="Q2631">
        <v>0.01</v>
      </c>
    </row>
    <row r="2632" spans="1:17" x14ac:dyDescent="0.25">
      <c r="A2632">
        <v>731557</v>
      </c>
      <c r="B2632" t="s">
        <v>3944</v>
      </c>
      <c r="C2632" t="s">
        <v>78</v>
      </c>
      <c r="D2632" t="s">
        <v>78</v>
      </c>
      <c r="E2632" t="s">
        <v>78</v>
      </c>
      <c r="F2632" t="s">
        <v>78</v>
      </c>
      <c r="G2632" t="s">
        <v>78</v>
      </c>
      <c r="H2632">
        <v>0.06</v>
      </c>
      <c r="I2632" s="1">
        <v>0</v>
      </c>
      <c r="J2632" s="1">
        <v>0</v>
      </c>
      <c r="K2632">
        <v>0</v>
      </c>
      <c r="L2632">
        <v>0.02</v>
      </c>
      <c r="M2632">
        <v>0.03</v>
      </c>
      <c r="N2632" s="1">
        <v>10000000</v>
      </c>
      <c r="O2632">
        <v>0.03</v>
      </c>
      <c r="P2632">
        <v>1.48</v>
      </c>
      <c r="Q2632">
        <v>0.01</v>
      </c>
    </row>
    <row r="2633" spans="1:17" x14ac:dyDescent="0.25">
      <c r="A2633">
        <v>731558</v>
      </c>
      <c r="B2633" t="s">
        <v>3945</v>
      </c>
      <c r="C2633">
        <v>0.27</v>
      </c>
      <c r="D2633">
        <v>-0.01</v>
      </c>
      <c r="E2633">
        <v>0.28999999999999998</v>
      </c>
      <c r="F2633">
        <v>0.3</v>
      </c>
      <c r="G2633">
        <v>0.27</v>
      </c>
      <c r="H2633">
        <v>0.28999999999999998</v>
      </c>
      <c r="I2633" s="1">
        <v>163000</v>
      </c>
      <c r="J2633" s="1">
        <v>47850</v>
      </c>
      <c r="K2633">
        <v>9</v>
      </c>
      <c r="L2633">
        <v>0.27</v>
      </c>
      <c r="M2633">
        <v>0.28000000000000003</v>
      </c>
      <c r="N2633" s="1">
        <v>10000000</v>
      </c>
      <c r="O2633">
        <v>0.27</v>
      </c>
      <c r="P2633">
        <v>1.1100000000000001</v>
      </c>
      <c r="Q2633">
        <v>0.01</v>
      </c>
    </row>
    <row r="2634" spans="1:17" x14ac:dyDescent="0.25">
      <c r="A2634">
        <v>731559</v>
      </c>
      <c r="B2634" t="s">
        <v>3946</v>
      </c>
      <c r="C2634" t="s">
        <v>78</v>
      </c>
      <c r="D2634" t="s">
        <v>78</v>
      </c>
      <c r="E2634" t="s">
        <v>78</v>
      </c>
      <c r="F2634" t="s">
        <v>78</v>
      </c>
      <c r="G2634" t="s">
        <v>78</v>
      </c>
      <c r="H2634">
        <v>3.13</v>
      </c>
      <c r="I2634" s="1">
        <v>0</v>
      </c>
      <c r="J2634" s="1">
        <v>0</v>
      </c>
      <c r="K2634">
        <v>0</v>
      </c>
      <c r="L2634">
        <v>3.63</v>
      </c>
      <c r="M2634">
        <v>3.69</v>
      </c>
      <c r="N2634" s="1">
        <v>13000000</v>
      </c>
      <c r="O2634">
        <v>3.69</v>
      </c>
      <c r="P2634">
        <v>4.87</v>
      </c>
      <c r="Q2634">
        <v>2.5099999999999998</v>
      </c>
    </row>
    <row r="2635" spans="1:17" x14ac:dyDescent="0.25">
      <c r="A2635">
        <v>731560</v>
      </c>
      <c r="B2635" t="s">
        <v>3947</v>
      </c>
      <c r="C2635" t="s">
        <v>78</v>
      </c>
      <c r="D2635" t="s">
        <v>78</v>
      </c>
      <c r="E2635" t="s">
        <v>78</v>
      </c>
      <c r="F2635" t="s">
        <v>78</v>
      </c>
      <c r="G2635" t="s">
        <v>78</v>
      </c>
      <c r="H2635">
        <v>0.19</v>
      </c>
      <c r="I2635" s="1">
        <v>0</v>
      </c>
      <c r="J2635" s="1">
        <v>0</v>
      </c>
      <c r="K2635">
        <v>0</v>
      </c>
      <c r="L2635">
        <v>0.14000000000000001</v>
      </c>
      <c r="M2635">
        <v>0.16</v>
      </c>
      <c r="N2635" s="1">
        <v>10000000</v>
      </c>
      <c r="O2635">
        <v>0.16</v>
      </c>
      <c r="P2635">
        <v>0.72</v>
      </c>
      <c r="Q2635">
        <v>0.01</v>
      </c>
    </row>
    <row r="2636" spans="1:17" x14ac:dyDescent="0.25">
      <c r="A2636">
        <v>731561</v>
      </c>
      <c r="B2636" t="s">
        <v>3948</v>
      </c>
      <c r="C2636">
        <v>1.02</v>
      </c>
      <c r="D2636">
        <v>-0.05</v>
      </c>
      <c r="E2636">
        <v>1.05</v>
      </c>
      <c r="F2636">
        <v>1.05</v>
      </c>
      <c r="G2636">
        <v>1.02</v>
      </c>
      <c r="H2636">
        <v>1.04</v>
      </c>
      <c r="I2636" s="1">
        <v>3000</v>
      </c>
      <c r="J2636" s="1">
        <v>3120</v>
      </c>
      <c r="K2636">
        <v>3</v>
      </c>
      <c r="L2636">
        <v>1.04</v>
      </c>
      <c r="M2636">
        <v>1.06</v>
      </c>
      <c r="N2636" s="1">
        <v>5000000</v>
      </c>
      <c r="O2636">
        <v>1.02</v>
      </c>
      <c r="P2636">
        <v>1.89</v>
      </c>
      <c r="Q2636">
        <v>0.15</v>
      </c>
    </row>
    <row r="2637" spans="1:17" x14ac:dyDescent="0.25">
      <c r="A2637">
        <v>731562</v>
      </c>
      <c r="B2637" t="s">
        <v>3949</v>
      </c>
      <c r="C2637">
        <v>1.1200000000000001</v>
      </c>
      <c r="D2637">
        <v>0</v>
      </c>
      <c r="E2637">
        <v>1.1599999999999999</v>
      </c>
      <c r="F2637">
        <v>1.23</v>
      </c>
      <c r="G2637">
        <v>1.1100000000000001</v>
      </c>
      <c r="H2637">
        <v>1.1599999999999999</v>
      </c>
      <c r="I2637" s="1">
        <v>2777000</v>
      </c>
      <c r="J2637" s="1">
        <v>3220290</v>
      </c>
      <c r="K2637">
        <v>67</v>
      </c>
      <c r="L2637">
        <v>1.1000000000000001</v>
      </c>
      <c r="M2637">
        <v>1.1399999999999999</v>
      </c>
      <c r="N2637" s="1">
        <v>10000000</v>
      </c>
      <c r="O2637">
        <v>1.1200000000000001</v>
      </c>
      <c r="P2637">
        <v>1.84</v>
      </c>
      <c r="Q2637">
        <v>0.4</v>
      </c>
    </row>
    <row r="2638" spans="1:17" x14ac:dyDescent="0.25">
      <c r="A2638">
        <v>731563</v>
      </c>
      <c r="B2638" t="s">
        <v>3950</v>
      </c>
      <c r="C2638">
        <v>0.86</v>
      </c>
      <c r="D2638">
        <v>0.05</v>
      </c>
      <c r="E2638">
        <v>0.78</v>
      </c>
      <c r="F2638">
        <v>0.86</v>
      </c>
      <c r="G2638">
        <v>0.72</v>
      </c>
      <c r="H2638">
        <v>0.73</v>
      </c>
      <c r="I2638" s="1">
        <v>53000</v>
      </c>
      <c r="J2638" s="1">
        <v>38820</v>
      </c>
      <c r="K2638">
        <v>7</v>
      </c>
      <c r="L2638">
        <v>0.83</v>
      </c>
      <c r="M2638">
        <v>0.84</v>
      </c>
      <c r="N2638" s="1">
        <v>5000000</v>
      </c>
      <c r="O2638">
        <v>0.86</v>
      </c>
      <c r="P2638">
        <v>1.22</v>
      </c>
      <c r="Q2638">
        <v>0.5</v>
      </c>
    </row>
    <row r="2639" spans="1:17" x14ac:dyDescent="0.25">
      <c r="A2639">
        <v>731564</v>
      </c>
      <c r="B2639" t="s">
        <v>3951</v>
      </c>
      <c r="C2639" t="s">
        <v>78</v>
      </c>
      <c r="D2639" t="s">
        <v>78</v>
      </c>
      <c r="E2639" t="s">
        <v>78</v>
      </c>
      <c r="F2639" t="s">
        <v>78</v>
      </c>
      <c r="G2639" t="s">
        <v>78</v>
      </c>
      <c r="H2639">
        <v>0.1</v>
      </c>
      <c r="I2639" s="1">
        <v>0</v>
      </c>
      <c r="J2639" s="1">
        <v>0</v>
      </c>
      <c r="K2639">
        <v>0</v>
      </c>
      <c r="L2639">
        <v>0.02</v>
      </c>
      <c r="M2639">
        <v>0.1</v>
      </c>
      <c r="N2639" s="1">
        <v>5000000</v>
      </c>
      <c r="O2639">
        <v>0.1</v>
      </c>
      <c r="P2639">
        <v>0.79</v>
      </c>
      <c r="Q2639">
        <v>0.01</v>
      </c>
    </row>
    <row r="2640" spans="1:17" x14ac:dyDescent="0.25">
      <c r="A2640">
        <v>731565</v>
      </c>
      <c r="B2640" t="s">
        <v>3952</v>
      </c>
      <c r="C2640" t="s">
        <v>78</v>
      </c>
      <c r="D2640" t="s">
        <v>78</v>
      </c>
      <c r="E2640" t="s">
        <v>78</v>
      </c>
      <c r="F2640" t="s">
        <v>78</v>
      </c>
      <c r="G2640" t="s">
        <v>78</v>
      </c>
      <c r="H2640">
        <v>0.41</v>
      </c>
      <c r="I2640" s="1">
        <v>0</v>
      </c>
      <c r="J2640" s="1">
        <v>0</v>
      </c>
      <c r="K2640">
        <v>0</v>
      </c>
      <c r="L2640">
        <v>0.39</v>
      </c>
      <c r="M2640">
        <v>0.4</v>
      </c>
      <c r="N2640" s="1">
        <v>10000000</v>
      </c>
      <c r="O2640">
        <v>0.4</v>
      </c>
      <c r="P2640">
        <v>0.89</v>
      </c>
      <c r="Q2640">
        <v>0.01</v>
      </c>
    </row>
    <row r="2641" spans="1:17" x14ac:dyDescent="0.25">
      <c r="A2641">
        <v>731566</v>
      </c>
      <c r="B2641" t="s">
        <v>3953</v>
      </c>
      <c r="C2641">
        <v>0.44</v>
      </c>
      <c r="D2641">
        <v>-0.04</v>
      </c>
      <c r="E2641">
        <v>0.46</v>
      </c>
      <c r="F2641">
        <v>0.46</v>
      </c>
      <c r="G2641">
        <v>0.42</v>
      </c>
      <c r="H2641">
        <v>0.43</v>
      </c>
      <c r="I2641" s="1">
        <v>150000</v>
      </c>
      <c r="J2641" s="1">
        <v>65200</v>
      </c>
      <c r="K2641">
        <v>5</v>
      </c>
      <c r="L2641">
        <v>0.46</v>
      </c>
      <c r="M2641">
        <v>0.47</v>
      </c>
      <c r="N2641" s="1">
        <v>5000000</v>
      </c>
      <c r="O2641">
        <v>0.44</v>
      </c>
      <c r="P2641">
        <v>1.37</v>
      </c>
      <c r="Q2641">
        <v>0.01</v>
      </c>
    </row>
    <row r="2642" spans="1:17" x14ac:dyDescent="0.25">
      <c r="A2642">
        <v>731567</v>
      </c>
      <c r="B2642" t="s">
        <v>3954</v>
      </c>
      <c r="C2642">
        <v>0.95</v>
      </c>
      <c r="D2642">
        <v>-0.02</v>
      </c>
      <c r="E2642">
        <v>0.98</v>
      </c>
      <c r="F2642">
        <v>0.98</v>
      </c>
      <c r="G2642">
        <v>0.94</v>
      </c>
      <c r="H2642">
        <v>0.96</v>
      </c>
      <c r="I2642" s="1">
        <v>73000</v>
      </c>
      <c r="J2642" s="1">
        <v>69990</v>
      </c>
      <c r="K2642">
        <v>9</v>
      </c>
      <c r="L2642">
        <v>0.94</v>
      </c>
      <c r="M2642">
        <v>0.95</v>
      </c>
      <c r="N2642" s="1">
        <v>5000000</v>
      </c>
      <c r="O2642">
        <v>0.95</v>
      </c>
      <c r="P2642">
        <v>1.85</v>
      </c>
      <c r="Q2642">
        <v>0.05</v>
      </c>
    </row>
    <row r="2643" spans="1:17" x14ac:dyDescent="0.25">
      <c r="A2643">
        <v>731568</v>
      </c>
      <c r="B2643" t="s">
        <v>3955</v>
      </c>
      <c r="C2643">
        <v>0.67</v>
      </c>
      <c r="D2643">
        <v>0.01</v>
      </c>
      <c r="E2643">
        <v>0.67</v>
      </c>
      <c r="F2643">
        <v>0.67</v>
      </c>
      <c r="G2643">
        <v>0.67</v>
      </c>
      <c r="H2643">
        <v>0.67</v>
      </c>
      <c r="I2643" s="1">
        <v>62000</v>
      </c>
      <c r="J2643" s="1">
        <v>41540</v>
      </c>
      <c r="K2643">
        <v>2</v>
      </c>
      <c r="L2643">
        <v>0.67</v>
      </c>
      <c r="M2643">
        <v>0.69</v>
      </c>
      <c r="N2643" s="1">
        <v>5000000</v>
      </c>
      <c r="O2643">
        <v>0.67</v>
      </c>
      <c r="P2643">
        <v>1.37</v>
      </c>
      <c r="Q2643">
        <v>0.01</v>
      </c>
    </row>
    <row r="2644" spans="1:17" x14ac:dyDescent="0.25">
      <c r="A2644">
        <v>731569</v>
      </c>
      <c r="B2644" t="s">
        <v>3956</v>
      </c>
      <c r="C2644">
        <v>1.21</v>
      </c>
      <c r="D2644">
        <v>-0.32</v>
      </c>
      <c r="E2644">
        <v>1.21</v>
      </c>
      <c r="F2644">
        <v>1.29</v>
      </c>
      <c r="G2644">
        <v>1.21</v>
      </c>
      <c r="H2644">
        <v>1.25</v>
      </c>
      <c r="I2644" s="1">
        <v>280000</v>
      </c>
      <c r="J2644" s="1">
        <v>350250</v>
      </c>
      <c r="K2644">
        <v>17</v>
      </c>
      <c r="L2644">
        <v>1.3</v>
      </c>
      <c r="M2644">
        <v>1.36</v>
      </c>
      <c r="N2644" s="1">
        <v>10000000</v>
      </c>
      <c r="O2644">
        <v>1.21</v>
      </c>
      <c r="P2644">
        <v>1.84</v>
      </c>
      <c r="Q2644">
        <v>0.57999999999999996</v>
      </c>
    </row>
    <row r="2645" spans="1:17" x14ac:dyDescent="0.25">
      <c r="A2645">
        <v>731570</v>
      </c>
      <c r="B2645" t="s">
        <v>3957</v>
      </c>
      <c r="C2645" t="s">
        <v>78</v>
      </c>
      <c r="D2645" t="s">
        <v>78</v>
      </c>
      <c r="E2645" t="s">
        <v>78</v>
      </c>
      <c r="F2645" t="s">
        <v>78</v>
      </c>
      <c r="G2645" t="s">
        <v>78</v>
      </c>
      <c r="H2645">
        <v>0.28000000000000003</v>
      </c>
      <c r="I2645" s="1">
        <v>0</v>
      </c>
      <c r="J2645" s="1">
        <v>0</v>
      </c>
      <c r="K2645">
        <v>0</v>
      </c>
      <c r="L2645">
        <v>0.24</v>
      </c>
      <c r="M2645">
        <v>0.26</v>
      </c>
      <c r="N2645" s="1">
        <v>5000000</v>
      </c>
      <c r="O2645">
        <v>0.26</v>
      </c>
      <c r="P2645">
        <v>0.95</v>
      </c>
      <c r="Q2645">
        <v>0.01</v>
      </c>
    </row>
    <row r="2646" spans="1:17" x14ac:dyDescent="0.25">
      <c r="A2646">
        <v>731571</v>
      </c>
      <c r="B2646" t="s">
        <v>3958</v>
      </c>
      <c r="C2646" t="s">
        <v>78</v>
      </c>
      <c r="D2646" t="s">
        <v>78</v>
      </c>
      <c r="E2646" t="s">
        <v>78</v>
      </c>
      <c r="F2646" t="s">
        <v>78</v>
      </c>
      <c r="G2646" t="s">
        <v>78</v>
      </c>
      <c r="H2646">
        <v>0.28999999999999998</v>
      </c>
      <c r="I2646" s="1">
        <v>0</v>
      </c>
      <c r="J2646" s="1">
        <v>0</v>
      </c>
      <c r="K2646">
        <v>0</v>
      </c>
      <c r="L2646">
        <v>0.21</v>
      </c>
      <c r="M2646">
        <v>0.23</v>
      </c>
      <c r="N2646" s="1">
        <v>10000000</v>
      </c>
      <c r="O2646">
        <v>0.23</v>
      </c>
      <c r="P2646">
        <v>1.0900000000000001</v>
      </c>
      <c r="Q2646">
        <v>0.01</v>
      </c>
    </row>
    <row r="2647" spans="1:17" x14ac:dyDescent="0.25">
      <c r="A2647">
        <v>731572</v>
      </c>
      <c r="B2647" t="s">
        <v>3959</v>
      </c>
      <c r="C2647" t="s">
        <v>78</v>
      </c>
      <c r="D2647" t="s">
        <v>78</v>
      </c>
      <c r="E2647" t="s">
        <v>78</v>
      </c>
      <c r="F2647" t="s">
        <v>78</v>
      </c>
      <c r="G2647" t="s">
        <v>78</v>
      </c>
      <c r="H2647">
        <v>0.18</v>
      </c>
      <c r="I2647" s="1">
        <v>0</v>
      </c>
      <c r="J2647" s="1">
        <v>0</v>
      </c>
      <c r="K2647">
        <v>0</v>
      </c>
      <c r="L2647">
        <v>0.09</v>
      </c>
      <c r="M2647">
        <v>0.13</v>
      </c>
      <c r="N2647" s="1">
        <v>10000000</v>
      </c>
      <c r="O2647">
        <v>0.13</v>
      </c>
      <c r="P2647">
        <v>1.34</v>
      </c>
      <c r="Q2647">
        <v>0.01</v>
      </c>
    </row>
    <row r="2648" spans="1:17" x14ac:dyDescent="0.25">
      <c r="A2648">
        <v>731573</v>
      </c>
      <c r="B2648" t="s">
        <v>3960</v>
      </c>
      <c r="C2648">
        <v>0.61</v>
      </c>
      <c r="D2648">
        <v>0.01</v>
      </c>
      <c r="E2648">
        <v>0.61</v>
      </c>
      <c r="F2648">
        <v>0.61</v>
      </c>
      <c r="G2648">
        <v>0.61</v>
      </c>
      <c r="H2648">
        <v>0.61</v>
      </c>
      <c r="I2648" s="1">
        <v>20000</v>
      </c>
      <c r="J2648" s="1">
        <v>12200</v>
      </c>
      <c r="K2648">
        <v>1</v>
      </c>
      <c r="L2648">
        <v>0.62</v>
      </c>
      <c r="M2648">
        <v>0.63</v>
      </c>
      <c r="N2648" s="1">
        <v>5000000</v>
      </c>
      <c r="O2648">
        <v>0.61</v>
      </c>
      <c r="P2648">
        <v>1.41</v>
      </c>
      <c r="Q2648">
        <v>0.01</v>
      </c>
    </row>
    <row r="2649" spans="1:17" x14ac:dyDescent="0.25">
      <c r="A2649">
        <v>731574</v>
      </c>
      <c r="B2649" t="s">
        <v>3961</v>
      </c>
      <c r="C2649" t="s">
        <v>78</v>
      </c>
      <c r="D2649" t="s">
        <v>78</v>
      </c>
      <c r="E2649" t="s">
        <v>78</v>
      </c>
      <c r="F2649" t="s">
        <v>78</v>
      </c>
      <c r="G2649" t="s">
        <v>78</v>
      </c>
      <c r="H2649">
        <v>5.45</v>
      </c>
      <c r="I2649" s="1">
        <v>0</v>
      </c>
      <c r="J2649" s="1">
        <v>0</v>
      </c>
      <c r="K2649">
        <v>0</v>
      </c>
      <c r="L2649">
        <v>3.84</v>
      </c>
      <c r="M2649">
        <v>3.96</v>
      </c>
      <c r="N2649" s="1">
        <v>5000000</v>
      </c>
      <c r="O2649">
        <v>3.96</v>
      </c>
      <c r="P2649">
        <v>5.35</v>
      </c>
      <c r="Q2649">
        <v>2.56</v>
      </c>
    </row>
    <row r="2650" spans="1:17" x14ac:dyDescent="0.25">
      <c r="A2650">
        <v>731575</v>
      </c>
      <c r="B2650" t="s">
        <v>3962</v>
      </c>
      <c r="C2650">
        <v>0.56000000000000005</v>
      </c>
      <c r="D2650">
        <v>-0.03</v>
      </c>
      <c r="E2650">
        <v>0.56999999999999995</v>
      </c>
      <c r="F2650">
        <v>0.56999999999999995</v>
      </c>
      <c r="G2650">
        <v>0.56000000000000005</v>
      </c>
      <c r="H2650">
        <v>0.56999999999999995</v>
      </c>
      <c r="I2650" s="1">
        <v>120000</v>
      </c>
      <c r="J2650" s="1">
        <v>68200</v>
      </c>
      <c r="K2650">
        <v>3</v>
      </c>
      <c r="L2650">
        <v>0.56000000000000005</v>
      </c>
      <c r="M2650">
        <v>0.56999999999999995</v>
      </c>
      <c r="N2650" s="1">
        <v>5000000</v>
      </c>
      <c r="O2650">
        <v>0.56000000000000005</v>
      </c>
      <c r="P2650">
        <v>1.41</v>
      </c>
      <c r="Q2650">
        <v>0.01</v>
      </c>
    </row>
    <row r="2651" spans="1:17" x14ac:dyDescent="0.25">
      <c r="A2651">
        <v>731576</v>
      </c>
      <c r="B2651" t="s">
        <v>3963</v>
      </c>
      <c r="C2651" t="s">
        <v>78</v>
      </c>
      <c r="D2651" t="s">
        <v>78</v>
      </c>
      <c r="E2651" t="s">
        <v>78</v>
      </c>
      <c r="F2651" t="s">
        <v>78</v>
      </c>
      <c r="G2651" t="s">
        <v>78</v>
      </c>
      <c r="H2651">
        <v>3.35</v>
      </c>
      <c r="I2651" s="1">
        <v>0</v>
      </c>
      <c r="J2651" s="1">
        <v>0</v>
      </c>
      <c r="K2651">
        <v>0</v>
      </c>
      <c r="L2651">
        <v>2.61</v>
      </c>
      <c r="M2651">
        <v>2.66</v>
      </c>
      <c r="N2651" s="1">
        <v>5000000</v>
      </c>
      <c r="O2651">
        <v>2.66</v>
      </c>
      <c r="P2651">
        <v>3.9</v>
      </c>
      <c r="Q2651">
        <v>1.42</v>
      </c>
    </row>
    <row r="2652" spans="1:17" x14ac:dyDescent="0.25">
      <c r="A2652">
        <v>731577</v>
      </c>
      <c r="B2652" t="s">
        <v>3964</v>
      </c>
      <c r="C2652" t="s">
        <v>78</v>
      </c>
      <c r="D2652" t="s">
        <v>78</v>
      </c>
      <c r="E2652" t="s">
        <v>78</v>
      </c>
      <c r="F2652" t="s">
        <v>78</v>
      </c>
      <c r="G2652" t="s">
        <v>78</v>
      </c>
      <c r="H2652">
        <v>2.67</v>
      </c>
      <c r="I2652" s="1">
        <v>0</v>
      </c>
      <c r="J2652" s="1">
        <v>0</v>
      </c>
      <c r="K2652">
        <v>0</v>
      </c>
      <c r="L2652">
        <v>2.2200000000000002</v>
      </c>
      <c r="M2652">
        <v>2.2599999999999998</v>
      </c>
      <c r="N2652" s="1">
        <v>5000000</v>
      </c>
      <c r="O2652">
        <v>2.23</v>
      </c>
      <c r="P2652">
        <v>3.28</v>
      </c>
      <c r="Q2652">
        <v>1.18</v>
      </c>
    </row>
    <row r="2653" spans="1:17" x14ac:dyDescent="0.25">
      <c r="A2653">
        <v>731578</v>
      </c>
      <c r="B2653" t="s">
        <v>3965</v>
      </c>
      <c r="C2653">
        <v>0.72</v>
      </c>
      <c r="D2653">
        <v>0.15</v>
      </c>
      <c r="E2653">
        <v>0.61</v>
      </c>
      <c r="F2653">
        <v>0.73</v>
      </c>
      <c r="G2653">
        <v>0.61</v>
      </c>
      <c r="H2653">
        <v>0.73</v>
      </c>
      <c r="I2653" s="1">
        <v>650000</v>
      </c>
      <c r="J2653" s="1">
        <v>471890</v>
      </c>
      <c r="K2653">
        <v>3</v>
      </c>
      <c r="L2653">
        <v>0.68</v>
      </c>
      <c r="M2653">
        <v>0.72</v>
      </c>
      <c r="N2653" s="1">
        <v>10000000</v>
      </c>
      <c r="O2653">
        <v>0.72</v>
      </c>
      <c r="P2653">
        <v>2.12</v>
      </c>
      <c r="Q2653">
        <v>0.01</v>
      </c>
    </row>
    <row r="2654" spans="1:17" x14ac:dyDescent="0.25">
      <c r="A2654">
        <v>731579</v>
      </c>
      <c r="B2654" t="s">
        <v>3966</v>
      </c>
      <c r="C2654">
        <v>0.6</v>
      </c>
      <c r="D2654">
        <v>0.03</v>
      </c>
      <c r="E2654">
        <v>0.65</v>
      </c>
      <c r="F2654">
        <v>0.65</v>
      </c>
      <c r="G2654">
        <v>0.56999999999999995</v>
      </c>
      <c r="H2654">
        <v>0.61</v>
      </c>
      <c r="I2654" s="1">
        <v>434000</v>
      </c>
      <c r="J2654" s="1">
        <v>264350</v>
      </c>
      <c r="K2654">
        <v>22</v>
      </c>
      <c r="L2654">
        <v>0.62</v>
      </c>
      <c r="M2654">
        <v>0.63</v>
      </c>
      <c r="N2654" s="1">
        <v>10000000</v>
      </c>
      <c r="O2654">
        <v>0.6</v>
      </c>
      <c r="P2654">
        <v>1.32</v>
      </c>
      <c r="Q2654">
        <v>0.01</v>
      </c>
    </row>
    <row r="2655" spans="1:17" x14ac:dyDescent="0.25">
      <c r="A2655">
        <v>731580</v>
      </c>
      <c r="B2655" t="s">
        <v>3967</v>
      </c>
      <c r="C2655" t="s">
        <v>78</v>
      </c>
      <c r="D2655" t="s">
        <v>78</v>
      </c>
      <c r="E2655" t="s">
        <v>78</v>
      </c>
      <c r="F2655" t="s">
        <v>78</v>
      </c>
      <c r="G2655" t="s">
        <v>78</v>
      </c>
      <c r="H2655">
        <v>0.12</v>
      </c>
      <c r="I2655" s="1">
        <v>0</v>
      </c>
      <c r="J2655" s="1">
        <v>0</v>
      </c>
      <c r="K2655">
        <v>0</v>
      </c>
      <c r="L2655">
        <v>0.11</v>
      </c>
      <c r="M2655">
        <v>0.12</v>
      </c>
      <c r="N2655" s="1">
        <v>5000000</v>
      </c>
      <c r="O2655">
        <v>0.12</v>
      </c>
      <c r="P2655">
        <v>0.55000000000000004</v>
      </c>
      <c r="Q2655">
        <v>0.01</v>
      </c>
    </row>
    <row r="2656" spans="1:17" x14ac:dyDescent="0.25">
      <c r="A2656">
        <v>731581</v>
      </c>
      <c r="B2656" t="s">
        <v>3968</v>
      </c>
      <c r="C2656" t="s">
        <v>78</v>
      </c>
      <c r="D2656" t="s">
        <v>78</v>
      </c>
      <c r="E2656" t="s">
        <v>78</v>
      </c>
      <c r="F2656" t="s">
        <v>78</v>
      </c>
      <c r="G2656" t="s">
        <v>78</v>
      </c>
      <c r="H2656">
        <v>0.06</v>
      </c>
      <c r="I2656" s="1">
        <v>0</v>
      </c>
      <c r="J2656" s="1">
        <v>0</v>
      </c>
      <c r="K2656">
        <v>0</v>
      </c>
      <c r="L2656">
        <v>0.05</v>
      </c>
      <c r="M2656">
        <v>0.09</v>
      </c>
      <c r="N2656" s="1">
        <v>5000000</v>
      </c>
      <c r="O2656">
        <v>0.09</v>
      </c>
      <c r="P2656">
        <v>1.18</v>
      </c>
      <c r="Q2656">
        <v>0.01</v>
      </c>
    </row>
    <row r="2657" spans="1:17" x14ac:dyDescent="0.25">
      <c r="A2657">
        <v>731582</v>
      </c>
      <c r="B2657" t="s">
        <v>3969</v>
      </c>
      <c r="C2657">
        <v>0.15</v>
      </c>
      <c r="D2657">
        <v>-0.03</v>
      </c>
      <c r="E2657">
        <v>0.17</v>
      </c>
      <c r="F2657">
        <v>0.17</v>
      </c>
      <c r="G2657">
        <v>0.15</v>
      </c>
      <c r="H2657">
        <v>0.17</v>
      </c>
      <c r="I2657" s="1">
        <v>220000</v>
      </c>
      <c r="J2657" s="1">
        <v>37000</v>
      </c>
      <c r="K2657">
        <v>2</v>
      </c>
      <c r="L2657">
        <v>0.15</v>
      </c>
      <c r="M2657">
        <v>0.16</v>
      </c>
      <c r="N2657" s="1">
        <v>10000000</v>
      </c>
      <c r="O2657">
        <v>0.15</v>
      </c>
      <c r="P2657">
        <v>1.24</v>
      </c>
      <c r="Q2657">
        <v>0.01</v>
      </c>
    </row>
    <row r="2658" spans="1:17" x14ac:dyDescent="0.25">
      <c r="A2658">
        <v>731583</v>
      </c>
      <c r="B2658" t="s">
        <v>3970</v>
      </c>
      <c r="C2658" t="s">
        <v>78</v>
      </c>
      <c r="D2658" t="s">
        <v>78</v>
      </c>
      <c r="E2658" t="s">
        <v>78</v>
      </c>
      <c r="F2658" t="s">
        <v>78</v>
      </c>
      <c r="G2658" t="s">
        <v>78</v>
      </c>
      <c r="H2658">
        <v>2.44</v>
      </c>
      <c r="I2658" s="1">
        <v>0</v>
      </c>
      <c r="J2658" s="1">
        <v>0</v>
      </c>
      <c r="K2658">
        <v>0</v>
      </c>
      <c r="L2658">
        <v>1.75</v>
      </c>
      <c r="M2658">
        <v>1.81</v>
      </c>
      <c r="N2658" s="1">
        <v>5000000</v>
      </c>
      <c r="O2658">
        <v>1.79</v>
      </c>
      <c r="P2658">
        <v>2.8</v>
      </c>
      <c r="Q2658">
        <v>0.78</v>
      </c>
    </row>
    <row r="2659" spans="1:17" x14ac:dyDescent="0.25">
      <c r="A2659">
        <v>731584</v>
      </c>
      <c r="B2659" t="s">
        <v>3971</v>
      </c>
      <c r="C2659" t="s">
        <v>78</v>
      </c>
      <c r="D2659" t="s">
        <v>78</v>
      </c>
      <c r="E2659" t="s">
        <v>78</v>
      </c>
      <c r="F2659" t="s">
        <v>78</v>
      </c>
      <c r="G2659" t="s">
        <v>78</v>
      </c>
      <c r="H2659">
        <v>1.44</v>
      </c>
      <c r="I2659" s="1">
        <v>0</v>
      </c>
      <c r="J2659" s="1">
        <v>0</v>
      </c>
      <c r="K2659">
        <v>0</v>
      </c>
      <c r="L2659">
        <v>1.33</v>
      </c>
      <c r="M2659">
        <v>1.37</v>
      </c>
      <c r="N2659" s="1">
        <v>5000000</v>
      </c>
      <c r="O2659">
        <v>1.37</v>
      </c>
      <c r="P2659">
        <v>2.35</v>
      </c>
      <c r="Q2659">
        <v>0.39</v>
      </c>
    </row>
    <row r="2660" spans="1:17" x14ac:dyDescent="0.25">
      <c r="A2660">
        <v>731585</v>
      </c>
      <c r="B2660" t="s">
        <v>3972</v>
      </c>
      <c r="C2660" t="s">
        <v>78</v>
      </c>
      <c r="D2660" t="s">
        <v>78</v>
      </c>
      <c r="E2660" t="s">
        <v>78</v>
      </c>
      <c r="F2660" t="s">
        <v>78</v>
      </c>
      <c r="G2660" t="s">
        <v>78</v>
      </c>
      <c r="H2660">
        <v>0.34</v>
      </c>
      <c r="I2660" s="1">
        <v>0</v>
      </c>
      <c r="J2660" s="1">
        <v>0</v>
      </c>
      <c r="K2660">
        <v>0</v>
      </c>
      <c r="L2660">
        <v>7.0000000000000007E-2</v>
      </c>
      <c r="M2660">
        <v>0.1</v>
      </c>
      <c r="N2660" s="1">
        <v>10000000</v>
      </c>
      <c r="O2660">
        <v>0.1</v>
      </c>
      <c r="P2660">
        <v>0.76</v>
      </c>
      <c r="Q2660">
        <v>0.01</v>
      </c>
    </row>
    <row r="2661" spans="1:17" x14ac:dyDescent="0.25">
      <c r="A2661">
        <v>731586</v>
      </c>
      <c r="B2661" t="s">
        <v>3973</v>
      </c>
      <c r="C2661">
        <v>0.12</v>
      </c>
      <c r="D2661">
        <v>0.01</v>
      </c>
      <c r="E2661">
        <v>0.12</v>
      </c>
      <c r="F2661">
        <v>0.12</v>
      </c>
      <c r="G2661">
        <v>0.12</v>
      </c>
      <c r="H2661">
        <v>0.12</v>
      </c>
      <c r="I2661" s="1">
        <v>25000</v>
      </c>
      <c r="J2661" s="1">
        <v>3000</v>
      </c>
      <c r="K2661">
        <v>1</v>
      </c>
      <c r="L2661">
        <v>7.0000000000000007E-2</v>
      </c>
      <c r="M2661">
        <v>0.09</v>
      </c>
      <c r="N2661" s="1">
        <v>5000000</v>
      </c>
      <c r="O2661">
        <v>0.12</v>
      </c>
      <c r="P2661">
        <v>1.02</v>
      </c>
      <c r="Q2661">
        <v>0.01</v>
      </c>
    </row>
    <row r="2662" spans="1:17" x14ac:dyDescent="0.25">
      <c r="A2662">
        <v>731587</v>
      </c>
      <c r="B2662" t="s">
        <v>3974</v>
      </c>
      <c r="C2662">
        <v>2.23</v>
      </c>
      <c r="D2662">
        <v>0.06</v>
      </c>
      <c r="E2662">
        <v>2.16</v>
      </c>
      <c r="F2662">
        <v>2.23</v>
      </c>
      <c r="G2662">
        <v>2.16</v>
      </c>
      <c r="H2662">
        <v>2.21</v>
      </c>
      <c r="I2662" s="1">
        <v>30000</v>
      </c>
      <c r="J2662" s="1">
        <v>66200</v>
      </c>
      <c r="K2662">
        <v>2</v>
      </c>
      <c r="L2662">
        <v>2.09</v>
      </c>
      <c r="M2662">
        <v>2.11</v>
      </c>
      <c r="N2662" s="1">
        <v>5000000</v>
      </c>
      <c r="O2662">
        <v>2.23</v>
      </c>
      <c r="P2662">
        <v>3.05</v>
      </c>
      <c r="Q2662">
        <v>1.41</v>
      </c>
    </row>
    <row r="2663" spans="1:17" x14ac:dyDescent="0.25">
      <c r="A2663">
        <v>731588</v>
      </c>
      <c r="B2663" t="s">
        <v>3975</v>
      </c>
      <c r="C2663" t="s">
        <v>78</v>
      </c>
      <c r="D2663" t="s">
        <v>78</v>
      </c>
      <c r="E2663" t="s">
        <v>78</v>
      </c>
      <c r="F2663" t="s">
        <v>78</v>
      </c>
      <c r="G2663" t="s">
        <v>78</v>
      </c>
      <c r="H2663">
        <v>0.4</v>
      </c>
      <c r="I2663" s="1">
        <v>0</v>
      </c>
      <c r="J2663" s="1">
        <v>0</v>
      </c>
      <c r="K2663">
        <v>0</v>
      </c>
      <c r="L2663">
        <v>0.34</v>
      </c>
      <c r="M2663">
        <v>0.35</v>
      </c>
      <c r="N2663" s="1">
        <v>10000000</v>
      </c>
      <c r="O2663">
        <v>0.34</v>
      </c>
      <c r="P2663">
        <v>1.34</v>
      </c>
      <c r="Q2663">
        <v>0.01</v>
      </c>
    </row>
    <row r="2664" spans="1:17" x14ac:dyDescent="0.25">
      <c r="A2664">
        <v>731589</v>
      </c>
      <c r="B2664" t="s">
        <v>3976</v>
      </c>
      <c r="C2664">
        <v>1.31</v>
      </c>
      <c r="D2664">
        <v>-0.03</v>
      </c>
      <c r="E2664">
        <v>1.33</v>
      </c>
      <c r="F2664">
        <v>1.33</v>
      </c>
      <c r="G2664">
        <v>1.27</v>
      </c>
      <c r="H2664">
        <v>1.3</v>
      </c>
      <c r="I2664" s="1">
        <v>454000</v>
      </c>
      <c r="J2664" s="1">
        <v>588600</v>
      </c>
      <c r="K2664">
        <v>22</v>
      </c>
      <c r="L2664">
        <v>1.29</v>
      </c>
      <c r="M2664">
        <v>1.31</v>
      </c>
      <c r="N2664" s="1">
        <v>10000000</v>
      </c>
      <c r="O2664">
        <v>1.31</v>
      </c>
      <c r="P2664">
        <v>1.75</v>
      </c>
      <c r="Q2664">
        <v>0.87</v>
      </c>
    </row>
    <row r="2665" spans="1:17" x14ac:dyDescent="0.25">
      <c r="A2665">
        <v>731590</v>
      </c>
      <c r="B2665" t="s">
        <v>3977</v>
      </c>
      <c r="C2665">
        <v>1.62</v>
      </c>
      <c r="D2665">
        <v>0.26</v>
      </c>
      <c r="E2665">
        <v>1.31</v>
      </c>
      <c r="F2665">
        <v>1.62</v>
      </c>
      <c r="G2665">
        <v>1.31</v>
      </c>
      <c r="H2665">
        <v>1.45</v>
      </c>
      <c r="I2665" s="1">
        <v>90000</v>
      </c>
      <c r="J2665" s="1">
        <v>130600</v>
      </c>
      <c r="K2665">
        <v>8</v>
      </c>
      <c r="L2665">
        <v>1.49</v>
      </c>
      <c r="M2665">
        <v>1.54</v>
      </c>
      <c r="N2665" s="1">
        <v>10000000</v>
      </c>
      <c r="O2665">
        <v>1.62</v>
      </c>
      <c r="P2665">
        <v>2.74</v>
      </c>
      <c r="Q2665">
        <v>0.5</v>
      </c>
    </row>
    <row r="2666" spans="1:17" x14ac:dyDescent="0.25">
      <c r="A2666">
        <v>731591</v>
      </c>
      <c r="B2666" t="s">
        <v>3978</v>
      </c>
      <c r="C2666">
        <v>0.28999999999999998</v>
      </c>
      <c r="D2666">
        <v>0.04</v>
      </c>
      <c r="E2666">
        <v>0.28999999999999998</v>
      </c>
      <c r="F2666">
        <v>0.32</v>
      </c>
      <c r="G2666">
        <v>0.28999999999999998</v>
      </c>
      <c r="H2666">
        <v>0.31</v>
      </c>
      <c r="I2666" s="1">
        <v>239000</v>
      </c>
      <c r="J2666" s="1">
        <v>73110</v>
      </c>
      <c r="K2666">
        <v>4</v>
      </c>
      <c r="L2666">
        <v>0.27</v>
      </c>
      <c r="M2666">
        <v>0.28000000000000003</v>
      </c>
      <c r="N2666" s="1">
        <v>10000000</v>
      </c>
      <c r="O2666">
        <v>0.28999999999999998</v>
      </c>
      <c r="P2666">
        <v>1.05</v>
      </c>
      <c r="Q2666">
        <v>0.01</v>
      </c>
    </row>
    <row r="2667" spans="1:17" x14ac:dyDescent="0.25">
      <c r="A2667">
        <v>731592</v>
      </c>
      <c r="B2667" t="s">
        <v>3979</v>
      </c>
      <c r="C2667" t="s">
        <v>78</v>
      </c>
      <c r="D2667" t="s">
        <v>78</v>
      </c>
      <c r="E2667" t="s">
        <v>78</v>
      </c>
      <c r="F2667" t="s">
        <v>78</v>
      </c>
      <c r="G2667" t="s">
        <v>78</v>
      </c>
      <c r="H2667">
        <v>0.37</v>
      </c>
      <c r="I2667" s="1">
        <v>0</v>
      </c>
      <c r="J2667" s="1">
        <v>0</v>
      </c>
      <c r="K2667">
        <v>0</v>
      </c>
      <c r="L2667">
        <v>0.32</v>
      </c>
      <c r="M2667">
        <v>0.33</v>
      </c>
      <c r="N2667" s="1">
        <v>10000000</v>
      </c>
      <c r="O2667">
        <v>0.33</v>
      </c>
      <c r="P2667">
        <v>0.79</v>
      </c>
      <c r="Q2667">
        <v>0.01</v>
      </c>
    </row>
    <row r="2668" spans="1:17" x14ac:dyDescent="0.25">
      <c r="A2668">
        <v>731593</v>
      </c>
      <c r="B2668" t="s">
        <v>3980</v>
      </c>
      <c r="C2668" t="s">
        <v>78</v>
      </c>
      <c r="D2668" t="s">
        <v>78</v>
      </c>
      <c r="E2668" t="s">
        <v>78</v>
      </c>
      <c r="F2668" t="s">
        <v>78</v>
      </c>
      <c r="G2668" t="s">
        <v>78</v>
      </c>
      <c r="H2668">
        <v>0.05</v>
      </c>
      <c r="I2668" s="1">
        <v>0</v>
      </c>
      <c r="J2668" s="1">
        <v>0</v>
      </c>
      <c r="K2668">
        <v>0</v>
      </c>
      <c r="L2668">
        <v>0.04</v>
      </c>
      <c r="M2668">
        <v>0.05</v>
      </c>
      <c r="N2668" s="1">
        <v>5000000</v>
      </c>
      <c r="O2668">
        <v>0.05</v>
      </c>
      <c r="P2668">
        <v>0.98</v>
      </c>
      <c r="Q2668">
        <v>0.01</v>
      </c>
    </row>
    <row r="2669" spans="1:17" x14ac:dyDescent="0.25">
      <c r="A2669">
        <v>731594</v>
      </c>
      <c r="B2669" t="s">
        <v>3981</v>
      </c>
      <c r="C2669">
        <v>1.22</v>
      </c>
      <c r="D2669">
        <v>0.02</v>
      </c>
      <c r="E2669">
        <v>1.3</v>
      </c>
      <c r="F2669">
        <v>1.37</v>
      </c>
      <c r="G2669">
        <v>1.22</v>
      </c>
      <c r="H2669">
        <v>1.31</v>
      </c>
      <c r="I2669" s="1">
        <v>391000</v>
      </c>
      <c r="J2669" s="1">
        <v>511720</v>
      </c>
      <c r="K2669">
        <v>14</v>
      </c>
      <c r="L2669">
        <v>1.22</v>
      </c>
      <c r="M2669">
        <v>1.24</v>
      </c>
      <c r="N2669" s="1">
        <v>10000000</v>
      </c>
      <c r="O2669">
        <v>1.22</v>
      </c>
      <c r="P2669">
        <v>2.23</v>
      </c>
      <c r="Q2669">
        <v>0.21</v>
      </c>
    </row>
    <row r="2670" spans="1:17" x14ac:dyDescent="0.25">
      <c r="A2670">
        <v>731595</v>
      </c>
      <c r="B2670" t="s">
        <v>3982</v>
      </c>
      <c r="C2670" t="s">
        <v>78</v>
      </c>
      <c r="D2670" t="s">
        <v>78</v>
      </c>
      <c r="E2670" t="s">
        <v>78</v>
      </c>
      <c r="F2670" t="s">
        <v>78</v>
      </c>
      <c r="G2670" t="s">
        <v>78</v>
      </c>
      <c r="H2670">
        <v>2.17</v>
      </c>
      <c r="I2670" s="1">
        <v>0</v>
      </c>
      <c r="J2670" s="1">
        <v>0</v>
      </c>
      <c r="K2670">
        <v>0</v>
      </c>
      <c r="L2670">
        <v>1.85</v>
      </c>
      <c r="M2670">
        <v>1.88</v>
      </c>
      <c r="N2670" s="1">
        <v>5000000</v>
      </c>
      <c r="O2670">
        <v>1.86</v>
      </c>
      <c r="P2670">
        <v>2.96</v>
      </c>
      <c r="Q2670">
        <v>0.76</v>
      </c>
    </row>
    <row r="2671" spans="1:17" x14ac:dyDescent="0.25">
      <c r="A2671">
        <v>731596</v>
      </c>
      <c r="B2671" t="s">
        <v>3983</v>
      </c>
      <c r="C2671" t="s">
        <v>78</v>
      </c>
      <c r="D2671" t="s">
        <v>78</v>
      </c>
      <c r="E2671" t="s">
        <v>78</v>
      </c>
      <c r="F2671" t="s">
        <v>78</v>
      </c>
      <c r="G2671" t="s">
        <v>78</v>
      </c>
      <c r="H2671">
        <v>0.96</v>
      </c>
      <c r="I2671" s="1">
        <v>0</v>
      </c>
      <c r="J2671" s="1">
        <v>0</v>
      </c>
      <c r="K2671">
        <v>0</v>
      </c>
      <c r="L2671">
        <v>0.93</v>
      </c>
      <c r="M2671">
        <v>0.96</v>
      </c>
      <c r="N2671" s="1">
        <v>10000000</v>
      </c>
      <c r="O2671">
        <v>0.95</v>
      </c>
      <c r="P2671">
        <v>1.59</v>
      </c>
      <c r="Q2671">
        <v>0.31</v>
      </c>
    </row>
    <row r="2672" spans="1:17" x14ac:dyDescent="0.25">
      <c r="A2672">
        <v>731597</v>
      </c>
      <c r="B2672" t="s">
        <v>3984</v>
      </c>
      <c r="C2672" t="s">
        <v>78</v>
      </c>
      <c r="D2672" t="s">
        <v>78</v>
      </c>
      <c r="E2672" t="s">
        <v>78</v>
      </c>
      <c r="F2672" t="s">
        <v>78</v>
      </c>
      <c r="G2672" t="s">
        <v>78</v>
      </c>
      <c r="H2672">
        <v>1.02</v>
      </c>
      <c r="I2672" s="1">
        <v>0</v>
      </c>
      <c r="J2672" s="1">
        <v>0</v>
      </c>
      <c r="K2672">
        <v>0</v>
      </c>
      <c r="L2672">
        <v>0.74</v>
      </c>
      <c r="M2672">
        <v>0.79</v>
      </c>
      <c r="N2672" s="1">
        <v>10000000</v>
      </c>
      <c r="O2672">
        <v>0.79</v>
      </c>
      <c r="P2672">
        <v>2.08</v>
      </c>
      <c r="Q2672">
        <v>0.01</v>
      </c>
    </row>
    <row r="2673" spans="1:17" x14ac:dyDescent="0.25">
      <c r="A2673">
        <v>731598</v>
      </c>
      <c r="B2673" t="s">
        <v>3985</v>
      </c>
      <c r="C2673">
        <v>0.09</v>
      </c>
      <c r="D2673">
        <v>0</v>
      </c>
      <c r="E2673">
        <v>0.09</v>
      </c>
      <c r="F2673">
        <v>0.09</v>
      </c>
      <c r="G2673">
        <v>0.09</v>
      </c>
      <c r="H2673">
        <v>0.09</v>
      </c>
      <c r="I2673" s="1">
        <v>70000</v>
      </c>
      <c r="J2673" s="1">
        <v>6300</v>
      </c>
      <c r="K2673">
        <v>1</v>
      </c>
      <c r="L2673">
        <v>0.08</v>
      </c>
      <c r="M2673">
        <v>0.09</v>
      </c>
      <c r="N2673" s="1">
        <v>10000000</v>
      </c>
      <c r="O2673">
        <v>0.09</v>
      </c>
      <c r="P2673">
        <v>1.83</v>
      </c>
      <c r="Q2673">
        <v>0.01</v>
      </c>
    </row>
    <row r="2674" spans="1:17" x14ac:dyDescent="0.25">
      <c r="A2674">
        <v>731599</v>
      </c>
      <c r="B2674" t="s">
        <v>3986</v>
      </c>
      <c r="C2674" t="s">
        <v>78</v>
      </c>
      <c r="D2674" t="s">
        <v>78</v>
      </c>
      <c r="E2674" t="s">
        <v>78</v>
      </c>
      <c r="F2674" t="s">
        <v>78</v>
      </c>
      <c r="G2674" t="s">
        <v>78</v>
      </c>
      <c r="H2674">
        <v>0.25</v>
      </c>
      <c r="I2674" s="1">
        <v>0</v>
      </c>
      <c r="J2674" s="1">
        <v>0</v>
      </c>
      <c r="K2674">
        <v>0</v>
      </c>
      <c r="L2674">
        <v>0.35</v>
      </c>
      <c r="M2674">
        <v>0.36</v>
      </c>
      <c r="N2674" s="1">
        <v>10000000</v>
      </c>
      <c r="O2674">
        <v>0.35</v>
      </c>
      <c r="P2674">
        <v>4.1500000000000004</v>
      </c>
      <c r="Q2674">
        <v>0.01</v>
      </c>
    </row>
    <row r="2675" spans="1:17" x14ac:dyDescent="0.25">
      <c r="A2675">
        <v>731600</v>
      </c>
      <c r="B2675" t="s">
        <v>3987</v>
      </c>
      <c r="C2675" t="s">
        <v>78</v>
      </c>
      <c r="D2675" t="s">
        <v>78</v>
      </c>
      <c r="E2675" t="s">
        <v>78</v>
      </c>
      <c r="F2675" t="s">
        <v>78</v>
      </c>
      <c r="G2675" t="s">
        <v>78</v>
      </c>
      <c r="H2675">
        <v>0.33</v>
      </c>
      <c r="I2675" s="1">
        <v>0</v>
      </c>
      <c r="J2675" s="1">
        <v>0</v>
      </c>
      <c r="K2675">
        <v>0</v>
      </c>
      <c r="L2675">
        <v>0.28999999999999998</v>
      </c>
      <c r="M2675">
        <v>0.3</v>
      </c>
      <c r="N2675" s="1">
        <v>10000000</v>
      </c>
      <c r="O2675">
        <v>0.28999999999999998</v>
      </c>
      <c r="P2675">
        <v>0.75</v>
      </c>
      <c r="Q2675">
        <v>0.01</v>
      </c>
    </row>
    <row r="2676" spans="1:17" x14ac:dyDescent="0.25">
      <c r="A2676">
        <v>731601</v>
      </c>
      <c r="B2676" t="s">
        <v>3988</v>
      </c>
      <c r="C2676" t="s">
        <v>78</v>
      </c>
      <c r="D2676" t="s">
        <v>78</v>
      </c>
      <c r="E2676" t="s">
        <v>78</v>
      </c>
      <c r="F2676" t="s">
        <v>78</v>
      </c>
      <c r="G2676" t="s">
        <v>78</v>
      </c>
      <c r="H2676">
        <v>4.34</v>
      </c>
      <c r="I2676" s="1">
        <v>0</v>
      </c>
      <c r="J2676" s="1">
        <v>0</v>
      </c>
      <c r="K2676">
        <v>0</v>
      </c>
      <c r="L2676">
        <v>3.98</v>
      </c>
      <c r="M2676">
        <v>0</v>
      </c>
      <c r="N2676" s="1">
        <v>5000000</v>
      </c>
      <c r="O2676">
        <v>4.1399999999999997</v>
      </c>
      <c r="P2676">
        <v>5.55</v>
      </c>
      <c r="Q2676">
        <v>2.69</v>
      </c>
    </row>
    <row r="2677" spans="1:17" x14ac:dyDescent="0.25">
      <c r="A2677">
        <v>731602</v>
      </c>
      <c r="B2677" t="s">
        <v>3989</v>
      </c>
      <c r="C2677" t="s">
        <v>78</v>
      </c>
      <c r="D2677" t="s">
        <v>78</v>
      </c>
      <c r="E2677" t="s">
        <v>78</v>
      </c>
      <c r="F2677" t="s">
        <v>78</v>
      </c>
      <c r="G2677" t="s">
        <v>78</v>
      </c>
      <c r="H2677">
        <v>0.55000000000000004</v>
      </c>
      <c r="I2677" s="1">
        <v>0</v>
      </c>
      <c r="J2677" s="1">
        <v>0</v>
      </c>
      <c r="K2677">
        <v>0</v>
      </c>
      <c r="L2677">
        <v>0.51</v>
      </c>
      <c r="M2677">
        <v>0.52</v>
      </c>
      <c r="N2677" s="1">
        <v>5000000</v>
      </c>
      <c r="O2677">
        <v>0.52</v>
      </c>
      <c r="P2677">
        <v>1.29</v>
      </c>
      <c r="Q2677">
        <v>0.01</v>
      </c>
    </row>
    <row r="2678" spans="1:17" x14ac:dyDescent="0.25">
      <c r="A2678">
        <v>731603</v>
      </c>
      <c r="B2678" t="s">
        <v>3990</v>
      </c>
      <c r="C2678" t="s">
        <v>78</v>
      </c>
      <c r="D2678" t="s">
        <v>78</v>
      </c>
      <c r="E2678" t="s">
        <v>78</v>
      </c>
      <c r="F2678" t="s">
        <v>78</v>
      </c>
      <c r="G2678" t="s">
        <v>78</v>
      </c>
      <c r="H2678">
        <v>0.3</v>
      </c>
      <c r="I2678" s="1">
        <v>0</v>
      </c>
      <c r="J2678" s="1">
        <v>0</v>
      </c>
      <c r="K2678">
        <v>0</v>
      </c>
      <c r="L2678">
        <v>0.08</v>
      </c>
      <c r="M2678">
        <v>0.09</v>
      </c>
      <c r="N2678" s="1">
        <v>10000000</v>
      </c>
      <c r="O2678">
        <v>0.08</v>
      </c>
      <c r="P2678">
        <v>0.78</v>
      </c>
      <c r="Q2678">
        <v>0.01</v>
      </c>
    </row>
    <row r="2679" spans="1:17" x14ac:dyDescent="0.25">
      <c r="A2679">
        <v>731604</v>
      </c>
      <c r="B2679" t="s">
        <v>3991</v>
      </c>
      <c r="C2679">
        <v>0.41</v>
      </c>
      <c r="D2679">
        <v>0</v>
      </c>
      <c r="E2679">
        <v>0.41</v>
      </c>
      <c r="F2679">
        <v>0.45</v>
      </c>
      <c r="G2679">
        <v>0.4</v>
      </c>
      <c r="H2679">
        <v>0.42</v>
      </c>
      <c r="I2679" s="1">
        <v>1177000</v>
      </c>
      <c r="J2679" s="1">
        <v>499850</v>
      </c>
      <c r="K2679">
        <v>30</v>
      </c>
      <c r="L2679">
        <v>0.4</v>
      </c>
      <c r="M2679">
        <v>0.41</v>
      </c>
      <c r="N2679" s="1">
        <v>10000000</v>
      </c>
      <c r="O2679">
        <v>0.41</v>
      </c>
      <c r="P2679">
        <v>1.25</v>
      </c>
      <c r="Q2679">
        <v>0.01</v>
      </c>
    </row>
    <row r="2680" spans="1:17" x14ac:dyDescent="0.25">
      <c r="A2680">
        <v>731605</v>
      </c>
      <c r="B2680" t="s">
        <v>3992</v>
      </c>
      <c r="C2680" t="s">
        <v>78</v>
      </c>
      <c r="D2680" t="s">
        <v>78</v>
      </c>
      <c r="E2680" t="s">
        <v>78</v>
      </c>
      <c r="F2680" t="s">
        <v>78</v>
      </c>
      <c r="G2680" t="s">
        <v>78</v>
      </c>
      <c r="H2680">
        <v>0.2</v>
      </c>
      <c r="I2680" s="1">
        <v>0</v>
      </c>
      <c r="J2680" s="1">
        <v>0</v>
      </c>
      <c r="K2680">
        <v>0</v>
      </c>
      <c r="L2680">
        <v>0.18</v>
      </c>
      <c r="M2680">
        <v>0.19</v>
      </c>
      <c r="N2680" s="1">
        <v>10000000</v>
      </c>
      <c r="O2680">
        <v>0.18</v>
      </c>
      <c r="P2680">
        <v>0.8</v>
      </c>
      <c r="Q2680">
        <v>0.01</v>
      </c>
    </row>
    <row r="2681" spans="1:17" x14ac:dyDescent="0.25">
      <c r="A2681">
        <v>731606</v>
      </c>
      <c r="B2681" t="s">
        <v>3993</v>
      </c>
      <c r="C2681" t="s">
        <v>78</v>
      </c>
      <c r="D2681" t="s">
        <v>78</v>
      </c>
      <c r="E2681" t="s">
        <v>78</v>
      </c>
      <c r="F2681" t="s">
        <v>78</v>
      </c>
      <c r="G2681" t="s">
        <v>78</v>
      </c>
      <c r="H2681">
        <v>0.8</v>
      </c>
      <c r="I2681" s="1">
        <v>0</v>
      </c>
      <c r="J2681" s="1">
        <v>0</v>
      </c>
      <c r="K2681">
        <v>0</v>
      </c>
      <c r="L2681">
        <v>0.84</v>
      </c>
      <c r="M2681">
        <v>0.88</v>
      </c>
      <c r="N2681" s="1">
        <v>10000000</v>
      </c>
      <c r="O2681">
        <v>0.85</v>
      </c>
      <c r="P2681">
        <v>1.39</v>
      </c>
      <c r="Q2681">
        <v>0.31</v>
      </c>
    </row>
    <row r="2682" spans="1:17" x14ac:dyDescent="0.25">
      <c r="A2682">
        <v>731607</v>
      </c>
      <c r="B2682" t="s">
        <v>3994</v>
      </c>
      <c r="C2682">
        <v>0.62</v>
      </c>
      <c r="D2682">
        <v>0.03</v>
      </c>
      <c r="E2682">
        <v>0.63</v>
      </c>
      <c r="F2682">
        <v>0.63</v>
      </c>
      <c r="G2682">
        <v>0.62</v>
      </c>
      <c r="H2682">
        <v>0.62</v>
      </c>
      <c r="I2682" s="1">
        <v>100000</v>
      </c>
      <c r="J2682" s="1">
        <v>62400</v>
      </c>
      <c r="K2682">
        <v>3</v>
      </c>
      <c r="L2682">
        <v>0.6</v>
      </c>
      <c r="M2682">
        <v>0.61</v>
      </c>
      <c r="N2682" s="1">
        <v>5000000</v>
      </c>
      <c r="O2682">
        <v>0.62</v>
      </c>
      <c r="P2682">
        <v>1.19</v>
      </c>
      <c r="Q2682">
        <v>0.05</v>
      </c>
    </row>
    <row r="2683" spans="1:17" x14ac:dyDescent="0.25">
      <c r="A2683">
        <v>731608</v>
      </c>
      <c r="B2683" t="s">
        <v>3995</v>
      </c>
      <c r="C2683">
        <v>1.7</v>
      </c>
      <c r="D2683">
        <v>-0.09</v>
      </c>
      <c r="E2683">
        <v>1.73</v>
      </c>
      <c r="F2683">
        <v>1.73</v>
      </c>
      <c r="G2683">
        <v>1.7</v>
      </c>
      <c r="H2683">
        <v>1.72</v>
      </c>
      <c r="I2683" s="1">
        <v>30000</v>
      </c>
      <c r="J2683" s="1">
        <v>51600</v>
      </c>
      <c r="K2683">
        <v>3</v>
      </c>
      <c r="L2683">
        <v>1.58</v>
      </c>
      <c r="M2683">
        <v>1.63</v>
      </c>
      <c r="N2683" s="1">
        <v>10000000</v>
      </c>
      <c r="O2683">
        <v>1.7</v>
      </c>
      <c r="P2683">
        <v>2.38</v>
      </c>
      <c r="Q2683">
        <v>1.02</v>
      </c>
    </row>
    <row r="2684" spans="1:17" x14ac:dyDescent="0.25">
      <c r="A2684">
        <v>731609</v>
      </c>
      <c r="B2684" t="s">
        <v>3996</v>
      </c>
      <c r="C2684" t="s">
        <v>78</v>
      </c>
      <c r="D2684" t="s">
        <v>78</v>
      </c>
      <c r="E2684" t="s">
        <v>78</v>
      </c>
      <c r="F2684" t="s">
        <v>78</v>
      </c>
      <c r="G2684" t="s">
        <v>78</v>
      </c>
      <c r="H2684">
        <v>1.27</v>
      </c>
      <c r="I2684" s="1">
        <v>0</v>
      </c>
      <c r="J2684" s="1">
        <v>0</v>
      </c>
      <c r="K2684">
        <v>0</v>
      </c>
      <c r="L2684">
        <v>1.23</v>
      </c>
      <c r="M2684">
        <v>1.26</v>
      </c>
      <c r="N2684" s="1">
        <v>10000000</v>
      </c>
      <c r="O2684">
        <v>1.26</v>
      </c>
      <c r="P2684">
        <v>2.0699999999999998</v>
      </c>
      <c r="Q2684">
        <v>0.45</v>
      </c>
    </row>
    <row r="2685" spans="1:17" x14ac:dyDescent="0.25">
      <c r="A2685">
        <v>731610</v>
      </c>
      <c r="B2685" t="s">
        <v>3997</v>
      </c>
      <c r="C2685">
        <v>1.1200000000000001</v>
      </c>
      <c r="D2685">
        <v>-0.05</v>
      </c>
      <c r="E2685">
        <v>1.18</v>
      </c>
      <c r="F2685">
        <v>1.29</v>
      </c>
      <c r="G2685">
        <v>1.1200000000000001</v>
      </c>
      <c r="H2685">
        <v>1.21</v>
      </c>
      <c r="I2685" s="1">
        <v>594000</v>
      </c>
      <c r="J2685" s="1">
        <v>719550</v>
      </c>
      <c r="K2685">
        <v>22</v>
      </c>
      <c r="L2685">
        <v>1.1000000000000001</v>
      </c>
      <c r="M2685">
        <v>1.1200000000000001</v>
      </c>
      <c r="N2685" s="1">
        <v>10000000</v>
      </c>
      <c r="O2685">
        <v>1.1200000000000001</v>
      </c>
      <c r="P2685">
        <v>2.57</v>
      </c>
      <c r="Q2685">
        <v>0.01</v>
      </c>
    </row>
    <row r="2686" spans="1:17" x14ac:dyDescent="0.25">
      <c r="A2686">
        <v>731611</v>
      </c>
      <c r="B2686" t="s">
        <v>3998</v>
      </c>
      <c r="C2686">
        <v>1.1200000000000001</v>
      </c>
      <c r="D2686">
        <v>0.04</v>
      </c>
      <c r="E2686">
        <v>1.1399999999999999</v>
      </c>
      <c r="F2686">
        <v>1.1499999999999999</v>
      </c>
      <c r="G2686">
        <v>1.1200000000000001</v>
      </c>
      <c r="H2686">
        <v>1.1299999999999999</v>
      </c>
      <c r="I2686" s="1">
        <v>243000</v>
      </c>
      <c r="J2686" s="1">
        <v>274430</v>
      </c>
      <c r="K2686">
        <v>9</v>
      </c>
      <c r="L2686">
        <v>1.08</v>
      </c>
      <c r="M2686">
        <v>1.1000000000000001</v>
      </c>
      <c r="N2686" s="1">
        <v>5000000</v>
      </c>
      <c r="O2686">
        <v>1.1200000000000001</v>
      </c>
      <c r="P2686">
        <v>1.51</v>
      </c>
      <c r="Q2686">
        <v>0.73</v>
      </c>
    </row>
    <row r="2687" spans="1:17" x14ac:dyDescent="0.25">
      <c r="A2687">
        <v>731612</v>
      </c>
      <c r="B2687" t="s">
        <v>3999</v>
      </c>
      <c r="C2687" t="s">
        <v>78</v>
      </c>
      <c r="D2687" t="s">
        <v>78</v>
      </c>
      <c r="E2687" t="s">
        <v>78</v>
      </c>
      <c r="F2687" t="s">
        <v>78</v>
      </c>
      <c r="G2687" t="s">
        <v>78</v>
      </c>
      <c r="H2687">
        <v>4.5599999999999996</v>
      </c>
      <c r="I2687" s="1">
        <v>0</v>
      </c>
      <c r="J2687" s="1">
        <v>0</v>
      </c>
      <c r="K2687">
        <v>0</v>
      </c>
      <c r="L2687">
        <v>4.1900000000000004</v>
      </c>
      <c r="M2687">
        <v>4.25</v>
      </c>
      <c r="N2687" s="1">
        <v>5000000</v>
      </c>
      <c r="O2687">
        <v>4.25</v>
      </c>
      <c r="P2687">
        <v>5.65</v>
      </c>
      <c r="Q2687">
        <v>2.8</v>
      </c>
    </row>
    <row r="2688" spans="1:17" x14ac:dyDescent="0.25">
      <c r="A2688">
        <v>731613</v>
      </c>
      <c r="B2688" t="s">
        <v>4000</v>
      </c>
      <c r="C2688" t="s">
        <v>78</v>
      </c>
      <c r="D2688" t="s">
        <v>78</v>
      </c>
      <c r="E2688" t="s">
        <v>78</v>
      </c>
      <c r="F2688" t="s">
        <v>78</v>
      </c>
      <c r="G2688" t="s">
        <v>78</v>
      </c>
      <c r="H2688">
        <v>2.69</v>
      </c>
      <c r="I2688" s="1">
        <v>0</v>
      </c>
      <c r="J2688" s="1">
        <v>0</v>
      </c>
      <c r="K2688">
        <v>0</v>
      </c>
      <c r="L2688">
        <v>2.0499999999999998</v>
      </c>
      <c r="M2688">
        <v>2.14</v>
      </c>
      <c r="N2688" s="1">
        <v>10000000</v>
      </c>
      <c r="O2688">
        <v>2.09</v>
      </c>
      <c r="P2688">
        <v>2.84</v>
      </c>
      <c r="Q2688">
        <v>1.34</v>
      </c>
    </row>
    <row r="2689" spans="1:17" x14ac:dyDescent="0.25">
      <c r="A2689">
        <v>731614</v>
      </c>
      <c r="B2689" t="s">
        <v>4001</v>
      </c>
      <c r="C2689" t="s">
        <v>78</v>
      </c>
      <c r="D2689" t="s">
        <v>78</v>
      </c>
      <c r="E2689" t="s">
        <v>78</v>
      </c>
      <c r="F2689" t="s">
        <v>78</v>
      </c>
      <c r="G2689" t="s">
        <v>78</v>
      </c>
      <c r="H2689">
        <v>0.28999999999999998</v>
      </c>
      <c r="I2689" s="1">
        <v>0</v>
      </c>
      <c r="J2689" s="1">
        <v>0</v>
      </c>
      <c r="K2689">
        <v>0</v>
      </c>
      <c r="L2689">
        <v>0.28000000000000003</v>
      </c>
      <c r="M2689">
        <v>0.3</v>
      </c>
      <c r="N2689" s="1">
        <v>10000000</v>
      </c>
      <c r="O2689">
        <v>0.3</v>
      </c>
      <c r="P2689">
        <v>1.25</v>
      </c>
      <c r="Q2689">
        <v>0.01</v>
      </c>
    </row>
    <row r="2690" spans="1:17" x14ac:dyDescent="0.25">
      <c r="A2690">
        <v>731615</v>
      </c>
      <c r="B2690" t="s">
        <v>4002</v>
      </c>
      <c r="C2690">
        <v>0.82</v>
      </c>
      <c r="D2690">
        <v>0.01</v>
      </c>
      <c r="E2690">
        <v>0.85</v>
      </c>
      <c r="F2690">
        <v>0.92</v>
      </c>
      <c r="G2690">
        <v>0.81</v>
      </c>
      <c r="H2690">
        <v>0.86</v>
      </c>
      <c r="I2690" s="1">
        <v>823000</v>
      </c>
      <c r="J2690" s="1">
        <v>706050</v>
      </c>
      <c r="K2690">
        <v>14</v>
      </c>
      <c r="L2690">
        <v>0.81</v>
      </c>
      <c r="M2690">
        <v>0.82</v>
      </c>
      <c r="N2690" s="1">
        <v>10000000</v>
      </c>
      <c r="O2690">
        <v>0.82</v>
      </c>
      <c r="P2690">
        <v>1.47</v>
      </c>
      <c r="Q2690">
        <v>0.17</v>
      </c>
    </row>
    <row r="2691" spans="1:17" x14ac:dyDescent="0.25">
      <c r="A2691">
        <v>731616</v>
      </c>
      <c r="B2691" t="s">
        <v>4003</v>
      </c>
      <c r="C2691">
        <v>0.98</v>
      </c>
      <c r="D2691">
        <v>-0.01</v>
      </c>
      <c r="E2691">
        <v>1.05</v>
      </c>
      <c r="F2691">
        <v>1.08</v>
      </c>
      <c r="G2691">
        <v>0.97</v>
      </c>
      <c r="H2691">
        <v>1.01</v>
      </c>
      <c r="I2691" s="1">
        <v>113000</v>
      </c>
      <c r="J2691" s="1">
        <v>114510</v>
      </c>
      <c r="K2691">
        <v>11</v>
      </c>
      <c r="L2691">
        <v>0.92</v>
      </c>
      <c r="M2691">
        <v>0.93</v>
      </c>
      <c r="N2691" s="1">
        <v>10000000</v>
      </c>
      <c r="O2691">
        <v>0.98</v>
      </c>
      <c r="P2691">
        <v>1.85</v>
      </c>
      <c r="Q2691">
        <v>0.11</v>
      </c>
    </row>
    <row r="2692" spans="1:17" x14ac:dyDescent="0.25">
      <c r="A2692">
        <v>731617</v>
      </c>
      <c r="B2692" t="s">
        <v>4004</v>
      </c>
      <c r="C2692">
        <v>2.14</v>
      </c>
      <c r="D2692">
        <v>-0.4</v>
      </c>
      <c r="E2692">
        <v>2.14</v>
      </c>
      <c r="F2692">
        <v>2.14</v>
      </c>
      <c r="G2692">
        <v>2.02</v>
      </c>
      <c r="H2692">
        <v>2.11</v>
      </c>
      <c r="I2692" s="1">
        <v>21000</v>
      </c>
      <c r="J2692" s="1">
        <v>44280</v>
      </c>
      <c r="K2692">
        <v>4</v>
      </c>
      <c r="L2692">
        <v>2.2599999999999998</v>
      </c>
      <c r="M2692">
        <v>0</v>
      </c>
      <c r="N2692" s="1">
        <v>10000000</v>
      </c>
      <c r="O2692">
        <v>2.14</v>
      </c>
      <c r="P2692">
        <v>3.04</v>
      </c>
      <c r="Q2692">
        <v>1.24</v>
      </c>
    </row>
    <row r="2693" spans="1:17" x14ac:dyDescent="0.25">
      <c r="A2693">
        <v>731618</v>
      </c>
      <c r="B2693" t="s">
        <v>4005</v>
      </c>
      <c r="C2693">
        <v>3.66</v>
      </c>
      <c r="D2693">
        <v>-0.22</v>
      </c>
      <c r="E2693">
        <v>3.79</v>
      </c>
      <c r="F2693">
        <v>3.79</v>
      </c>
      <c r="G2693">
        <v>3.66</v>
      </c>
      <c r="H2693">
        <v>3.74</v>
      </c>
      <c r="I2693" s="1">
        <v>12000</v>
      </c>
      <c r="J2693" s="1">
        <v>44830</v>
      </c>
      <c r="K2693">
        <v>2</v>
      </c>
      <c r="L2693">
        <v>3.61</v>
      </c>
      <c r="M2693">
        <v>3.66</v>
      </c>
      <c r="N2693" s="1">
        <v>5000000</v>
      </c>
      <c r="O2693">
        <v>3.66</v>
      </c>
      <c r="P2693">
        <v>5.05</v>
      </c>
      <c r="Q2693">
        <v>2.21</v>
      </c>
    </row>
    <row r="2694" spans="1:17" x14ac:dyDescent="0.25">
      <c r="A2694">
        <v>731619</v>
      </c>
      <c r="B2694" t="s">
        <v>4006</v>
      </c>
      <c r="C2694" t="s">
        <v>78</v>
      </c>
      <c r="D2694" t="s">
        <v>78</v>
      </c>
      <c r="E2694" t="s">
        <v>78</v>
      </c>
      <c r="F2694" t="s">
        <v>78</v>
      </c>
      <c r="G2694" t="s">
        <v>78</v>
      </c>
      <c r="H2694">
        <v>1.44</v>
      </c>
      <c r="I2694" s="1">
        <v>0</v>
      </c>
      <c r="J2694" s="1">
        <v>0</v>
      </c>
      <c r="K2694">
        <v>0</v>
      </c>
      <c r="L2694">
        <v>1.31</v>
      </c>
      <c r="M2694">
        <v>1.41</v>
      </c>
      <c r="N2694" s="1">
        <v>10000000</v>
      </c>
      <c r="O2694">
        <v>1.41</v>
      </c>
      <c r="P2694">
        <v>2.09</v>
      </c>
      <c r="Q2694">
        <v>0.73</v>
      </c>
    </row>
    <row r="2695" spans="1:17" x14ac:dyDescent="0.25">
      <c r="A2695">
        <v>731620</v>
      </c>
      <c r="B2695" t="s">
        <v>4007</v>
      </c>
      <c r="C2695">
        <v>0.28999999999999998</v>
      </c>
      <c r="D2695">
        <v>-0.03</v>
      </c>
      <c r="E2695">
        <v>0.31</v>
      </c>
      <c r="F2695">
        <v>0.31</v>
      </c>
      <c r="G2695">
        <v>0.28999999999999998</v>
      </c>
      <c r="H2695">
        <v>0.31</v>
      </c>
      <c r="I2695" s="1">
        <v>9000</v>
      </c>
      <c r="J2695" s="1">
        <v>2750</v>
      </c>
      <c r="K2695">
        <v>2</v>
      </c>
      <c r="L2695">
        <v>0.28999999999999998</v>
      </c>
      <c r="M2695">
        <v>0.3</v>
      </c>
      <c r="N2695" s="1">
        <v>5000000</v>
      </c>
      <c r="O2695">
        <v>0.28999999999999998</v>
      </c>
      <c r="P2695">
        <v>1.29</v>
      </c>
      <c r="Q2695">
        <v>0.01</v>
      </c>
    </row>
    <row r="2696" spans="1:17" x14ac:dyDescent="0.25">
      <c r="A2696">
        <v>731621</v>
      </c>
      <c r="B2696" t="s">
        <v>4008</v>
      </c>
      <c r="C2696" t="s">
        <v>78</v>
      </c>
      <c r="D2696" t="s">
        <v>78</v>
      </c>
      <c r="E2696" t="s">
        <v>78</v>
      </c>
      <c r="F2696" t="s">
        <v>78</v>
      </c>
      <c r="G2696" t="s">
        <v>78</v>
      </c>
      <c r="H2696">
        <v>2.16</v>
      </c>
      <c r="I2696" s="1">
        <v>0</v>
      </c>
      <c r="J2696" s="1">
        <v>0</v>
      </c>
      <c r="K2696">
        <v>0</v>
      </c>
      <c r="L2696">
        <v>1.57</v>
      </c>
      <c r="M2696">
        <v>1.67</v>
      </c>
      <c r="N2696" s="1">
        <v>5100000</v>
      </c>
      <c r="O2696">
        <v>1.62</v>
      </c>
      <c r="P2696">
        <v>2.72</v>
      </c>
      <c r="Q2696">
        <v>0.52</v>
      </c>
    </row>
    <row r="2697" spans="1:17" x14ac:dyDescent="0.25">
      <c r="A2697">
        <v>731622</v>
      </c>
      <c r="B2697" t="s">
        <v>4009</v>
      </c>
      <c r="C2697">
        <v>0.27</v>
      </c>
      <c r="D2697">
        <v>0.02</v>
      </c>
      <c r="E2697">
        <v>0.28000000000000003</v>
      </c>
      <c r="F2697">
        <v>0.28000000000000003</v>
      </c>
      <c r="G2697">
        <v>0.27</v>
      </c>
      <c r="H2697">
        <v>0.27</v>
      </c>
      <c r="I2697" s="1">
        <v>108000</v>
      </c>
      <c r="J2697" s="1">
        <v>29260</v>
      </c>
      <c r="K2697">
        <v>2</v>
      </c>
      <c r="L2697">
        <v>0.26</v>
      </c>
      <c r="M2697">
        <v>0.27</v>
      </c>
      <c r="N2697" s="1">
        <v>5400000</v>
      </c>
      <c r="O2697">
        <v>0.27</v>
      </c>
      <c r="P2697">
        <v>1.03</v>
      </c>
      <c r="Q2697">
        <v>0.01</v>
      </c>
    </row>
    <row r="2698" spans="1:17" x14ac:dyDescent="0.25">
      <c r="A2698">
        <v>731623</v>
      </c>
      <c r="B2698" t="s">
        <v>4010</v>
      </c>
      <c r="C2698">
        <v>1.6</v>
      </c>
      <c r="D2698">
        <v>-0.12</v>
      </c>
      <c r="E2698">
        <v>1.72</v>
      </c>
      <c r="F2698">
        <v>1.74</v>
      </c>
      <c r="G2698">
        <v>1.56</v>
      </c>
      <c r="H2698">
        <v>1.66</v>
      </c>
      <c r="I2698" s="1">
        <v>601000</v>
      </c>
      <c r="J2698" s="1">
        <v>999470</v>
      </c>
      <c r="K2698">
        <v>8</v>
      </c>
      <c r="L2698">
        <v>1.54</v>
      </c>
      <c r="M2698">
        <v>1.55</v>
      </c>
      <c r="N2698" s="1">
        <v>5000000</v>
      </c>
      <c r="O2698">
        <v>1.6</v>
      </c>
      <c r="P2698">
        <v>4.08</v>
      </c>
      <c r="Q2698">
        <v>0.01</v>
      </c>
    </row>
    <row r="2699" spans="1:17" x14ac:dyDescent="0.25">
      <c r="A2699">
        <v>731624</v>
      </c>
      <c r="B2699" t="s">
        <v>4011</v>
      </c>
      <c r="C2699" t="s">
        <v>78</v>
      </c>
      <c r="D2699" t="s">
        <v>78</v>
      </c>
      <c r="E2699" t="s">
        <v>78</v>
      </c>
      <c r="F2699" t="s">
        <v>78</v>
      </c>
      <c r="G2699" t="s">
        <v>78</v>
      </c>
      <c r="H2699">
        <v>2.5099999999999998</v>
      </c>
      <c r="I2699" s="1">
        <v>0</v>
      </c>
      <c r="J2699" s="1">
        <v>0</v>
      </c>
      <c r="K2699">
        <v>0</v>
      </c>
      <c r="L2699">
        <v>2.09</v>
      </c>
      <c r="M2699">
        <v>2.16</v>
      </c>
      <c r="N2699" s="1">
        <v>5000000</v>
      </c>
      <c r="O2699">
        <v>2.16</v>
      </c>
      <c r="P2699">
        <v>3.89</v>
      </c>
      <c r="Q2699">
        <v>0.43</v>
      </c>
    </row>
    <row r="2700" spans="1:17" x14ac:dyDescent="0.25">
      <c r="A2700">
        <v>731625</v>
      </c>
      <c r="B2700" t="s">
        <v>4012</v>
      </c>
      <c r="C2700" t="s">
        <v>78</v>
      </c>
      <c r="D2700" t="s">
        <v>78</v>
      </c>
      <c r="E2700" t="s">
        <v>78</v>
      </c>
      <c r="F2700" t="s">
        <v>78</v>
      </c>
      <c r="G2700" t="s">
        <v>78</v>
      </c>
      <c r="H2700">
        <v>0.25</v>
      </c>
      <c r="I2700" s="1">
        <v>0</v>
      </c>
      <c r="J2700" s="1">
        <v>0</v>
      </c>
      <c r="K2700">
        <v>0</v>
      </c>
      <c r="L2700">
        <v>0.18</v>
      </c>
      <c r="M2700">
        <v>0.2</v>
      </c>
      <c r="N2700" s="1">
        <v>5000000</v>
      </c>
      <c r="O2700">
        <v>0.2</v>
      </c>
      <c r="P2700">
        <v>0.7</v>
      </c>
      <c r="Q2700">
        <v>0.01</v>
      </c>
    </row>
    <row r="2701" spans="1:17" x14ac:dyDescent="0.25">
      <c r="A2701">
        <v>731626</v>
      </c>
      <c r="B2701" t="s">
        <v>4013</v>
      </c>
      <c r="C2701">
        <v>0.17</v>
      </c>
      <c r="D2701">
        <v>0.02</v>
      </c>
      <c r="E2701">
        <v>0.16</v>
      </c>
      <c r="F2701">
        <v>0.19</v>
      </c>
      <c r="G2701">
        <v>0.16</v>
      </c>
      <c r="H2701">
        <v>0.16</v>
      </c>
      <c r="I2701" s="1">
        <v>495000</v>
      </c>
      <c r="J2701" s="1">
        <v>80750</v>
      </c>
      <c r="K2701">
        <v>4</v>
      </c>
      <c r="L2701">
        <v>0.16</v>
      </c>
      <c r="M2701">
        <v>0.17</v>
      </c>
      <c r="N2701" s="1">
        <v>10000000</v>
      </c>
      <c r="O2701">
        <v>0.17</v>
      </c>
      <c r="P2701">
        <v>0.56000000000000005</v>
      </c>
      <c r="Q2701">
        <v>0.01</v>
      </c>
    </row>
    <row r="2702" spans="1:17" x14ac:dyDescent="0.25">
      <c r="A2702">
        <v>731627</v>
      </c>
      <c r="B2702" t="s">
        <v>4014</v>
      </c>
      <c r="C2702" t="s">
        <v>78</v>
      </c>
      <c r="D2702" t="s">
        <v>78</v>
      </c>
      <c r="E2702" t="s">
        <v>78</v>
      </c>
      <c r="F2702" t="s">
        <v>78</v>
      </c>
      <c r="G2702" t="s">
        <v>78</v>
      </c>
      <c r="H2702">
        <v>0.08</v>
      </c>
      <c r="I2702" s="1">
        <v>0</v>
      </c>
      <c r="J2702" s="1">
        <v>0</v>
      </c>
      <c r="K2702">
        <v>0</v>
      </c>
      <c r="L2702">
        <v>7.0000000000000007E-2</v>
      </c>
      <c r="M2702">
        <v>0.09</v>
      </c>
      <c r="N2702" s="1">
        <v>5000000</v>
      </c>
      <c r="O2702">
        <v>0.08</v>
      </c>
      <c r="P2702">
        <v>0.5</v>
      </c>
      <c r="Q2702">
        <v>0.01</v>
      </c>
    </row>
    <row r="2703" spans="1:17" x14ac:dyDescent="0.25">
      <c r="A2703">
        <v>731628</v>
      </c>
      <c r="B2703" t="s">
        <v>4015</v>
      </c>
      <c r="C2703">
        <v>1.38</v>
      </c>
      <c r="D2703">
        <v>0.09</v>
      </c>
      <c r="E2703">
        <v>1.38</v>
      </c>
      <c r="F2703">
        <v>1.38</v>
      </c>
      <c r="G2703">
        <v>1.38</v>
      </c>
      <c r="H2703">
        <v>1.38</v>
      </c>
      <c r="I2703" s="1">
        <v>21000</v>
      </c>
      <c r="J2703" s="1">
        <v>28980</v>
      </c>
      <c r="K2703">
        <v>4</v>
      </c>
      <c r="L2703">
        <v>1.21</v>
      </c>
      <c r="M2703">
        <v>1.28</v>
      </c>
      <c r="N2703" s="1">
        <v>5022000</v>
      </c>
      <c r="O2703">
        <v>1.38</v>
      </c>
      <c r="P2703">
        <v>1.91</v>
      </c>
      <c r="Q2703">
        <v>0.85</v>
      </c>
    </row>
    <row r="2704" spans="1:17" x14ac:dyDescent="0.25">
      <c r="A2704">
        <v>731629</v>
      </c>
      <c r="B2704" t="s">
        <v>4016</v>
      </c>
      <c r="C2704" t="s">
        <v>78</v>
      </c>
      <c r="D2704" t="s">
        <v>78</v>
      </c>
      <c r="E2704" t="s">
        <v>78</v>
      </c>
      <c r="F2704" t="s">
        <v>78</v>
      </c>
      <c r="G2704" t="s">
        <v>78</v>
      </c>
      <c r="H2704">
        <v>0.12</v>
      </c>
      <c r="I2704" s="1">
        <v>0</v>
      </c>
      <c r="J2704" s="1">
        <v>0</v>
      </c>
      <c r="K2704">
        <v>0</v>
      </c>
      <c r="L2704">
        <v>0.1</v>
      </c>
      <c r="M2704">
        <v>0.11</v>
      </c>
      <c r="N2704" s="1">
        <v>5000000</v>
      </c>
      <c r="O2704">
        <v>0.1</v>
      </c>
      <c r="P2704">
        <v>0.74</v>
      </c>
      <c r="Q2704">
        <v>0.01</v>
      </c>
    </row>
    <row r="2705" spans="1:17" x14ac:dyDescent="0.25">
      <c r="A2705">
        <v>731630</v>
      </c>
      <c r="B2705" t="s">
        <v>4017</v>
      </c>
      <c r="C2705">
        <v>0.86</v>
      </c>
      <c r="D2705">
        <v>-0.06</v>
      </c>
      <c r="E2705">
        <v>0.91</v>
      </c>
      <c r="F2705">
        <v>0.91</v>
      </c>
      <c r="G2705">
        <v>0.86</v>
      </c>
      <c r="H2705">
        <v>0.89</v>
      </c>
      <c r="I2705" s="1">
        <v>30000</v>
      </c>
      <c r="J2705" s="1">
        <v>26800</v>
      </c>
      <c r="K2705">
        <v>2</v>
      </c>
      <c r="L2705">
        <v>0.89</v>
      </c>
      <c r="M2705">
        <v>0.9</v>
      </c>
      <c r="N2705" s="1">
        <v>5000000</v>
      </c>
      <c r="O2705">
        <v>0.86</v>
      </c>
      <c r="P2705">
        <v>1.61</v>
      </c>
      <c r="Q2705">
        <v>0.11</v>
      </c>
    </row>
    <row r="2706" spans="1:17" x14ac:dyDescent="0.25">
      <c r="A2706">
        <v>731631</v>
      </c>
      <c r="B2706" t="s">
        <v>4018</v>
      </c>
      <c r="C2706" t="s">
        <v>78</v>
      </c>
      <c r="D2706" t="s">
        <v>78</v>
      </c>
      <c r="E2706" t="s">
        <v>78</v>
      </c>
      <c r="F2706" t="s">
        <v>78</v>
      </c>
      <c r="G2706" t="s">
        <v>78</v>
      </c>
      <c r="H2706">
        <v>0.19</v>
      </c>
      <c r="I2706" s="1">
        <v>0</v>
      </c>
      <c r="J2706" s="1">
        <v>0</v>
      </c>
      <c r="K2706">
        <v>0</v>
      </c>
      <c r="L2706">
        <v>0.05</v>
      </c>
      <c r="M2706">
        <v>0.06</v>
      </c>
      <c r="N2706" s="1">
        <v>5000000</v>
      </c>
      <c r="O2706">
        <v>0.05</v>
      </c>
      <c r="P2706">
        <v>0.6</v>
      </c>
      <c r="Q2706">
        <v>0.01</v>
      </c>
    </row>
    <row r="2707" spans="1:17" x14ac:dyDescent="0.25">
      <c r="A2707">
        <v>731632</v>
      </c>
      <c r="B2707" t="s">
        <v>4019</v>
      </c>
      <c r="C2707" t="s">
        <v>78</v>
      </c>
      <c r="D2707" t="s">
        <v>78</v>
      </c>
      <c r="E2707" t="s">
        <v>78</v>
      </c>
      <c r="F2707" t="s">
        <v>78</v>
      </c>
      <c r="G2707" t="s">
        <v>78</v>
      </c>
      <c r="H2707">
        <v>0.26</v>
      </c>
      <c r="I2707" s="1">
        <v>0</v>
      </c>
      <c r="J2707" s="1">
        <v>0</v>
      </c>
      <c r="K2707">
        <v>0</v>
      </c>
      <c r="L2707">
        <v>0.23</v>
      </c>
      <c r="M2707">
        <v>0.24</v>
      </c>
      <c r="N2707" s="1">
        <v>10000000</v>
      </c>
      <c r="O2707">
        <v>0.23</v>
      </c>
      <c r="P2707">
        <v>1.1000000000000001</v>
      </c>
      <c r="Q2707">
        <v>0.01</v>
      </c>
    </row>
    <row r="2708" spans="1:17" x14ac:dyDescent="0.25">
      <c r="A2708">
        <v>731633</v>
      </c>
      <c r="B2708" t="s">
        <v>4020</v>
      </c>
      <c r="C2708">
        <v>1.02</v>
      </c>
      <c r="D2708">
        <v>0</v>
      </c>
      <c r="E2708">
        <v>1.05</v>
      </c>
      <c r="F2708">
        <v>1.07</v>
      </c>
      <c r="G2708">
        <v>1.02</v>
      </c>
      <c r="H2708">
        <v>1.04</v>
      </c>
      <c r="I2708" s="1">
        <v>141000</v>
      </c>
      <c r="J2708" s="1">
        <v>146610</v>
      </c>
      <c r="K2708">
        <v>3</v>
      </c>
      <c r="L2708">
        <v>1.01</v>
      </c>
      <c r="M2708">
        <v>1.04</v>
      </c>
      <c r="N2708" s="1">
        <v>10000000</v>
      </c>
      <c r="O2708">
        <v>1.02</v>
      </c>
      <c r="P2708">
        <v>1.67</v>
      </c>
      <c r="Q2708">
        <v>0.37</v>
      </c>
    </row>
    <row r="2709" spans="1:17" x14ac:dyDescent="0.25">
      <c r="A2709">
        <v>731634</v>
      </c>
      <c r="B2709" t="s">
        <v>4021</v>
      </c>
      <c r="C2709">
        <v>0.04</v>
      </c>
      <c r="D2709">
        <v>-0.01</v>
      </c>
      <c r="E2709">
        <v>0.05</v>
      </c>
      <c r="F2709">
        <v>0.05</v>
      </c>
      <c r="G2709">
        <v>0.04</v>
      </c>
      <c r="H2709">
        <v>0.05</v>
      </c>
      <c r="I2709" s="1">
        <v>16000</v>
      </c>
      <c r="J2709" s="1">
        <v>740</v>
      </c>
      <c r="K2709">
        <v>2</v>
      </c>
      <c r="L2709">
        <v>0.04</v>
      </c>
      <c r="M2709">
        <v>0.05</v>
      </c>
      <c r="N2709" s="1">
        <v>10000000</v>
      </c>
      <c r="O2709">
        <v>0.04</v>
      </c>
      <c r="P2709">
        <v>0.74</v>
      </c>
      <c r="Q2709">
        <v>0.01</v>
      </c>
    </row>
    <row r="2710" spans="1:17" x14ac:dyDescent="0.25">
      <c r="A2710">
        <v>731635</v>
      </c>
      <c r="B2710" t="s">
        <v>4022</v>
      </c>
      <c r="C2710" t="s">
        <v>78</v>
      </c>
      <c r="D2710" t="s">
        <v>78</v>
      </c>
      <c r="E2710" t="s">
        <v>78</v>
      </c>
      <c r="F2710" t="s">
        <v>78</v>
      </c>
      <c r="G2710" t="s">
        <v>78</v>
      </c>
      <c r="H2710">
        <v>2.27</v>
      </c>
      <c r="I2710" s="1">
        <v>0</v>
      </c>
      <c r="J2710" s="1">
        <v>0</v>
      </c>
      <c r="K2710">
        <v>0</v>
      </c>
      <c r="L2710">
        <v>2.11</v>
      </c>
      <c r="M2710">
        <v>2.16</v>
      </c>
      <c r="N2710" s="1">
        <v>5000000</v>
      </c>
      <c r="O2710">
        <v>2.16</v>
      </c>
      <c r="P2710">
        <v>3.15</v>
      </c>
      <c r="Q2710">
        <v>1.17</v>
      </c>
    </row>
    <row r="2711" spans="1:17" x14ac:dyDescent="0.25">
      <c r="A2711">
        <v>731636</v>
      </c>
      <c r="B2711" t="s">
        <v>4023</v>
      </c>
      <c r="C2711" t="s">
        <v>78</v>
      </c>
      <c r="D2711" t="s">
        <v>78</v>
      </c>
      <c r="E2711" t="s">
        <v>78</v>
      </c>
      <c r="F2711" t="s">
        <v>78</v>
      </c>
      <c r="G2711" t="s">
        <v>78</v>
      </c>
      <c r="H2711">
        <v>5.92</v>
      </c>
      <c r="I2711" s="1">
        <v>0</v>
      </c>
      <c r="J2711" s="1">
        <v>0</v>
      </c>
      <c r="K2711">
        <v>0</v>
      </c>
      <c r="L2711">
        <v>6.7</v>
      </c>
      <c r="M2711">
        <v>7.2</v>
      </c>
      <c r="N2711" s="1">
        <v>5000000</v>
      </c>
      <c r="O2711">
        <v>6.7</v>
      </c>
      <c r="P2711">
        <v>8.15</v>
      </c>
      <c r="Q2711">
        <v>5.25</v>
      </c>
    </row>
    <row r="2712" spans="1:17" x14ac:dyDescent="0.25">
      <c r="A2712">
        <v>731637</v>
      </c>
      <c r="B2712" t="s">
        <v>4024</v>
      </c>
      <c r="C2712" t="s">
        <v>78</v>
      </c>
      <c r="D2712" t="s">
        <v>78</v>
      </c>
      <c r="E2712" t="s">
        <v>78</v>
      </c>
      <c r="F2712" t="s">
        <v>78</v>
      </c>
      <c r="G2712" t="s">
        <v>78</v>
      </c>
      <c r="H2712">
        <v>0.12</v>
      </c>
      <c r="I2712" s="1">
        <v>0</v>
      </c>
      <c r="J2712" s="1">
        <v>0</v>
      </c>
      <c r="K2712">
        <v>0</v>
      </c>
      <c r="L2712">
        <v>0.06</v>
      </c>
      <c r="M2712">
        <v>7.0000000000000007E-2</v>
      </c>
      <c r="N2712" s="1">
        <v>5000000</v>
      </c>
      <c r="O2712">
        <v>7.0000000000000007E-2</v>
      </c>
      <c r="P2712">
        <v>1</v>
      </c>
      <c r="Q2712">
        <v>0.01</v>
      </c>
    </row>
    <row r="2713" spans="1:17" x14ac:dyDescent="0.25">
      <c r="A2713">
        <v>731638</v>
      </c>
      <c r="B2713" t="s">
        <v>4025</v>
      </c>
      <c r="C2713">
        <v>2.31</v>
      </c>
      <c r="D2713">
        <v>-0.1</v>
      </c>
      <c r="E2713">
        <v>2.4300000000000002</v>
      </c>
      <c r="F2713">
        <v>2.5099999999999998</v>
      </c>
      <c r="G2713">
        <v>2.31</v>
      </c>
      <c r="H2713">
        <v>2.44</v>
      </c>
      <c r="I2713" s="1">
        <v>200000</v>
      </c>
      <c r="J2713" s="1">
        <v>487940</v>
      </c>
      <c r="K2713">
        <v>25</v>
      </c>
      <c r="L2713">
        <v>2.29</v>
      </c>
      <c r="M2713">
        <v>2.2999999999999998</v>
      </c>
      <c r="N2713" s="1">
        <v>5000000</v>
      </c>
      <c r="O2713">
        <v>2.31</v>
      </c>
      <c r="P2713">
        <v>3.54</v>
      </c>
      <c r="Q2713">
        <v>1.08</v>
      </c>
    </row>
    <row r="2714" spans="1:17" x14ac:dyDescent="0.25">
      <c r="A2714">
        <v>731639</v>
      </c>
      <c r="B2714" t="s">
        <v>4026</v>
      </c>
      <c r="C2714">
        <v>0.18</v>
      </c>
      <c r="D2714">
        <v>0.02</v>
      </c>
      <c r="E2714">
        <v>0.18</v>
      </c>
      <c r="F2714">
        <v>0.18</v>
      </c>
      <c r="G2714">
        <v>0.18</v>
      </c>
      <c r="H2714">
        <v>0.18</v>
      </c>
      <c r="I2714" s="1">
        <v>23000</v>
      </c>
      <c r="J2714" s="1">
        <v>4140</v>
      </c>
      <c r="K2714">
        <v>1</v>
      </c>
      <c r="L2714">
        <v>0.15</v>
      </c>
      <c r="M2714">
        <v>0.17</v>
      </c>
      <c r="N2714" s="1">
        <v>5000000</v>
      </c>
      <c r="O2714">
        <v>0.18</v>
      </c>
      <c r="P2714">
        <v>0.77</v>
      </c>
      <c r="Q2714">
        <v>0.01</v>
      </c>
    </row>
    <row r="2715" spans="1:17" x14ac:dyDescent="0.25">
      <c r="A2715">
        <v>731640</v>
      </c>
      <c r="B2715" t="s">
        <v>4027</v>
      </c>
      <c r="C2715">
        <v>1.87</v>
      </c>
      <c r="D2715">
        <v>0.16</v>
      </c>
      <c r="E2715">
        <v>1.87</v>
      </c>
      <c r="F2715">
        <v>1.87</v>
      </c>
      <c r="G2715">
        <v>1.87</v>
      </c>
      <c r="H2715">
        <v>1.87</v>
      </c>
      <c r="I2715" s="1">
        <v>20000</v>
      </c>
      <c r="J2715" s="1">
        <v>37400</v>
      </c>
      <c r="K2715">
        <v>1</v>
      </c>
      <c r="L2715">
        <v>1.7</v>
      </c>
      <c r="M2715">
        <v>1.78</v>
      </c>
      <c r="N2715" s="1">
        <v>10000000</v>
      </c>
      <c r="O2715">
        <v>1.87</v>
      </c>
      <c r="P2715">
        <v>2.87</v>
      </c>
      <c r="Q2715">
        <v>0.86</v>
      </c>
    </row>
    <row r="2716" spans="1:17" x14ac:dyDescent="0.25">
      <c r="A2716">
        <v>731641</v>
      </c>
      <c r="B2716" t="s">
        <v>4028</v>
      </c>
      <c r="C2716">
        <v>1.25</v>
      </c>
      <c r="D2716">
        <v>-7.0000000000000007E-2</v>
      </c>
      <c r="E2716">
        <v>1.36</v>
      </c>
      <c r="F2716">
        <v>1.36</v>
      </c>
      <c r="G2716">
        <v>1.24</v>
      </c>
      <c r="H2716">
        <v>1.3</v>
      </c>
      <c r="I2716" s="1">
        <v>775000</v>
      </c>
      <c r="J2716" s="1">
        <v>1007850</v>
      </c>
      <c r="K2716">
        <v>15</v>
      </c>
      <c r="L2716">
        <v>1.23</v>
      </c>
      <c r="M2716">
        <v>1.24</v>
      </c>
      <c r="N2716" s="1">
        <v>5000000</v>
      </c>
      <c r="O2716">
        <v>1.25</v>
      </c>
      <c r="P2716">
        <v>2.2400000000000002</v>
      </c>
      <c r="Q2716">
        <v>0.26</v>
      </c>
    </row>
    <row r="2717" spans="1:17" x14ac:dyDescent="0.25">
      <c r="A2717">
        <v>731642</v>
      </c>
      <c r="B2717" t="s">
        <v>4029</v>
      </c>
      <c r="C2717">
        <v>0.72</v>
      </c>
      <c r="D2717">
        <v>-0.05</v>
      </c>
      <c r="E2717">
        <v>0.8</v>
      </c>
      <c r="F2717">
        <v>0.83</v>
      </c>
      <c r="G2717">
        <v>0.7</v>
      </c>
      <c r="H2717">
        <v>0.74</v>
      </c>
      <c r="I2717" s="1">
        <v>515000</v>
      </c>
      <c r="J2717" s="1">
        <v>383120</v>
      </c>
      <c r="K2717">
        <v>30</v>
      </c>
      <c r="L2717">
        <v>0.7</v>
      </c>
      <c r="M2717">
        <v>0.71</v>
      </c>
      <c r="N2717" s="1">
        <v>5000000</v>
      </c>
      <c r="O2717">
        <v>0.72</v>
      </c>
      <c r="P2717">
        <v>1.71</v>
      </c>
      <c r="Q2717">
        <v>0.01</v>
      </c>
    </row>
    <row r="2718" spans="1:17" x14ac:dyDescent="0.25">
      <c r="A2718">
        <v>731643</v>
      </c>
      <c r="B2718" t="s">
        <v>4030</v>
      </c>
      <c r="C2718" t="s">
        <v>78</v>
      </c>
      <c r="D2718" t="s">
        <v>78</v>
      </c>
      <c r="E2718" t="s">
        <v>78</v>
      </c>
      <c r="F2718" t="s">
        <v>78</v>
      </c>
      <c r="G2718" t="s">
        <v>78</v>
      </c>
      <c r="H2718">
        <v>6.09</v>
      </c>
      <c r="I2718" s="1">
        <v>0</v>
      </c>
      <c r="J2718" s="1">
        <v>0</v>
      </c>
      <c r="K2718">
        <v>0</v>
      </c>
      <c r="L2718">
        <v>7</v>
      </c>
      <c r="M2718">
        <v>7.2</v>
      </c>
      <c r="N2718" s="1">
        <v>5000000</v>
      </c>
      <c r="O2718">
        <v>7.2</v>
      </c>
      <c r="P2718">
        <v>9.15</v>
      </c>
      <c r="Q2718">
        <v>5.25</v>
      </c>
    </row>
    <row r="2719" spans="1:17" x14ac:dyDescent="0.25">
      <c r="A2719">
        <v>731644</v>
      </c>
      <c r="B2719" t="s">
        <v>4031</v>
      </c>
      <c r="C2719">
        <v>1.57</v>
      </c>
      <c r="D2719">
        <v>-0.26</v>
      </c>
      <c r="E2719">
        <v>1.75</v>
      </c>
      <c r="F2719">
        <v>1.75</v>
      </c>
      <c r="G2719">
        <v>1.57</v>
      </c>
      <c r="H2719">
        <v>1.7</v>
      </c>
      <c r="I2719" s="1">
        <v>23000</v>
      </c>
      <c r="J2719" s="1">
        <v>39030</v>
      </c>
      <c r="K2719">
        <v>4</v>
      </c>
      <c r="L2719">
        <v>1.57</v>
      </c>
      <c r="M2719">
        <v>1.6</v>
      </c>
      <c r="N2719" s="1">
        <v>11000000</v>
      </c>
      <c r="O2719">
        <v>1.57</v>
      </c>
      <c r="P2719">
        <v>3.21</v>
      </c>
      <c r="Q2719">
        <v>0.01</v>
      </c>
    </row>
    <row r="2720" spans="1:17" x14ac:dyDescent="0.25">
      <c r="A2720">
        <v>731645</v>
      </c>
      <c r="B2720" t="s">
        <v>4032</v>
      </c>
      <c r="C2720">
        <v>0.16</v>
      </c>
      <c r="D2720">
        <v>-0.08</v>
      </c>
      <c r="E2720">
        <v>0.3</v>
      </c>
      <c r="F2720">
        <v>0.3</v>
      </c>
      <c r="G2720">
        <v>0.16</v>
      </c>
      <c r="H2720">
        <v>0.2</v>
      </c>
      <c r="I2720" s="1">
        <v>490000</v>
      </c>
      <c r="J2720" s="1">
        <v>96800</v>
      </c>
      <c r="K2720">
        <v>15</v>
      </c>
      <c r="L2720">
        <v>0.15</v>
      </c>
      <c r="M2720">
        <v>0.16</v>
      </c>
      <c r="N2720" s="1">
        <v>5000000</v>
      </c>
      <c r="O2720">
        <v>0.16</v>
      </c>
      <c r="P2720">
        <v>0.91</v>
      </c>
      <c r="Q2720">
        <v>0.01</v>
      </c>
    </row>
    <row r="2721" spans="1:17" x14ac:dyDescent="0.25">
      <c r="A2721">
        <v>731646</v>
      </c>
      <c r="B2721" t="s">
        <v>4033</v>
      </c>
      <c r="C2721">
        <v>0.22</v>
      </c>
      <c r="D2721">
        <v>-0.03</v>
      </c>
      <c r="E2721">
        <v>0.25</v>
      </c>
      <c r="F2721">
        <v>0.25</v>
      </c>
      <c r="G2721">
        <v>0.22</v>
      </c>
      <c r="H2721">
        <v>0.24</v>
      </c>
      <c r="I2721" s="1">
        <v>127000</v>
      </c>
      <c r="J2721" s="1">
        <v>30640</v>
      </c>
      <c r="K2721">
        <v>9</v>
      </c>
      <c r="L2721">
        <v>0.21</v>
      </c>
      <c r="M2721">
        <v>0.22</v>
      </c>
      <c r="N2721" s="1">
        <v>10000000</v>
      </c>
      <c r="O2721">
        <v>0.22</v>
      </c>
      <c r="P2721">
        <v>1.27</v>
      </c>
      <c r="Q2721">
        <v>0.01</v>
      </c>
    </row>
    <row r="2722" spans="1:17" x14ac:dyDescent="0.25">
      <c r="A2722">
        <v>731647</v>
      </c>
      <c r="B2722" t="s">
        <v>4034</v>
      </c>
      <c r="C2722">
        <v>1.07</v>
      </c>
      <c r="D2722">
        <v>-0.09</v>
      </c>
      <c r="E2722">
        <v>1.19</v>
      </c>
      <c r="F2722">
        <v>1.19</v>
      </c>
      <c r="G2722">
        <v>1.07</v>
      </c>
      <c r="H2722">
        <v>1.1599999999999999</v>
      </c>
      <c r="I2722" s="1">
        <v>39000</v>
      </c>
      <c r="J2722" s="1">
        <v>45210</v>
      </c>
      <c r="K2722">
        <v>2</v>
      </c>
      <c r="L2722">
        <v>1.04</v>
      </c>
      <c r="M2722">
        <v>1.05</v>
      </c>
      <c r="N2722" s="1">
        <v>5000000</v>
      </c>
      <c r="O2722">
        <v>1.07</v>
      </c>
      <c r="P2722">
        <v>2.56</v>
      </c>
      <c r="Q2722">
        <v>0.01</v>
      </c>
    </row>
    <row r="2723" spans="1:17" x14ac:dyDescent="0.25">
      <c r="A2723">
        <v>731648</v>
      </c>
      <c r="B2723" t="s">
        <v>4035</v>
      </c>
      <c r="C2723">
        <v>0.24</v>
      </c>
      <c r="D2723">
        <v>-0.05</v>
      </c>
      <c r="E2723">
        <v>0.28000000000000003</v>
      </c>
      <c r="F2723">
        <v>0.28000000000000003</v>
      </c>
      <c r="G2723">
        <v>0.21</v>
      </c>
      <c r="H2723">
        <v>0.23</v>
      </c>
      <c r="I2723" s="1">
        <v>408000</v>
      </c>
      <c r="J2723" s="1">
        <v>93980</v>
      </c>
      <c r="K2723">
        <v>11</v>
      </c>
      <c r="L2723">
        <v>0.19</v>
      </c>
      <c r="M2723">
        <v>0.2</v>
      </c>
      <c r="N2723" s="1">
        <v>5000000</v>
      </c>
      <c r="O2723">
        <v>0.24</v>
      </c>
      <c r="P2723">
        <v>1.1000000000000001</v>
      </c>
      <c r="Q2723">
        <v>0.01</v>
      </c>
    </row>
    <row r="2724" spans="1:17" x14ac:dyDescent="0.25">
      <c r="A2724">
        <v>731649</v>
      </c>
      <c r="B2724" t="s">
        <v>4036</v>
      </c>
      <c r="C2724" t="s">
        <v>78</v>
      </c>
      <c r="D2724" t="s">
        <v>78</v>
      </c>
      <c r="E2724" t="s">
        <v>78</v>
      </c>
      <c r="F2724" t="s">
        <v>78</v>
      </c>
      <c r="G2724" t="s">
        <v>78</v>
      </c>
      <c r="H2724">
        <v>0.84</v>
      </c>
      <c r="I2724" s="1">
        <v>0</v>
      </c>
      <c r="J2724" s="1">
        <v>0</v>
      </c>
      <c r="K2724">
        <v>0</v>
      </c>
      <c r="L2724">
        <v>0.83</v>
      </c>
      <c r="M2724">
        <v>0.84</v>
      </c>
      <c r="N2724" s="1">
        <v>5000000</v>
      </c>
      <c r="O2724">
        <v>0.84</v>
      </c>
      <c r="P2724">
        <v>1.89</v>
      </c>
      <c r="Q2724">
        <v>0.01</v>
      </c>
    </row>
    <row r="2725" spans="1:17" x14ac:dyDescent="0.25">
      <c r="A2725">
        <v>731650</v>
      </c>
      <c r="B2725" t="s">
        <v>4037</v>
      </c>
      <c r="C2725">
        <v>0.51</v>
      </c>
      <c r="D2725">
        <v>0</v>
      </c>
      <c r="E2725">
        <v>0.54</v>
      </c>
      <c r="F2725">
        <v>0.54</v>
      </c>
      <c r="G2725">
        <v>0.51</v>
      </c>
      <c r="H2725">
        <v>0.54</v>
      </c>
      <c r="I2725" s="1">
        <v>647000</v>
      </c>
      <c r="J2725" s="1">
        <v>348350</v>
      </c>
      <c r="K2725">
        <v>8</v>
      </c>
      <c r="L2725">
        <v>0.5</v>
      </c>
      <c r="M2725">
        <v>0.51</v>
      </c>
      <c r="N2725" s="1">
        <v>10000000</v>
      </c>
      <c r="O2725">
        <v>0.51</v>
      </c>
      <c r="P2725">
        <v>1</v>
      </c>
      <c r="Q2725">
        <v>0.02</v>
      </c>
    </row>
    <row r="2726" spans="1:17" x14ac:dyDescent="0.25">
      <c r="A2726">
        <v>731651</v>
      </c>
      <c r="B2726" t="s">
        <v>4038</v>
      </c>
      <c r="C2726" t="s">
        <v>78</v>
      </c>
      <c r="D2726" t="s">
        <v>78</v>
      </c>
      <c r="E2726" t="s">
        <v>78</v>
      </c>
      <c r="F2726" t="s">
        <v>78</v>
      </c>
      <c r="G2726" t="s">
        <v>78</v>
      </c>
      <c r="H2726">
        <v>2.58</v>
      </c>
      <c r="I2726" s="1">
        <v>0</v>
      </c>
      <c r="J2726" s="1">
        <v>0</v>
      </c>
      <c r="K2726">
        <v>0</v>
      </c>
      <c r="L2726">
        <v>1.55</v>
      </c>
      <c r="M2726">
        <v>1.57</v>
      </c>
      <c r="N2726" s="1">
        <v>5000000</v>
      </c>
      <c r="O2726">
        <v>1.57</v>
      </c>
      <c r="P2726">
        <v>2.81</v>
      </c>
      <c r="Q2726">
        <v>0.33</v>
      </c>
    </row>
    <row r="2727" spans="1:17" x14ac:dyDescent="0.25">
      <c r="A2727">
        <v>731652</v>
      </c>
      <c r="B2727" t="s">
        <v>4039</v>
      </c>
      <c r="C2727" t="s">
        <v>78</v>
      </c>
      <c r="D2727" t="s">
        <v>78</v>
      </c>
      <c r="E2727" t="s">
        <v>78</v>
      </c>
      <c r="F2727" t="s">
        <v>78</v>
      </c>
      <c r="G2727" t="s">
        <v>78</v>
      </c>
      <c r="H2727">
        <v>2.34</v>
      </c>
      <c r="I2727" s="1">
        <v>0</v>
      </c>
      <c r="J2727" s="1">
        <v>0</v>
      </c>
      <c r="K2727">
        <v>0</v>
      </c>
      <c r="L2727">
        <v>2.4500000000000002</v>
      </c>
      <c r="M2727">
        <v>2.5499999999999998</v>
      </c>
      <c r="N2727" s="1">
        <v>5000000</v>
      </c>
      <c r="O2727">
        <v>2.5299999999999998</v>
      </c>
      <c r="P2727">
        <v>3.48</v>
      </c>
      <c r="Q2727">
        <v>1.56</v>
      </c>
    </row>
    <row r="2728" spans="1:17" x14ac:dyDescent="0.25">
      <c r="A2728">
        <v>731653</v>
      </c>
      <c r="B2728" t="s">
        <v>4040</v>
      </c>
      <c r="C2728">
        <v>1.38</v>
      </c>
      <c r="D2728">
        <v>-0.12</v>
      </c>
      <c r="E2728">
        <v>1.53</v>
      </c>
      <c r="F2728">
        <v>1.57</v>
      </c>
      <c r="G2728">
        <v>1.38</v>
      </c>
      <c r="H2728">
        <v>1.51</v>
      </c>
      <c r="I2728" s="1">
        <v>120000</v>
      </c>
      <c r="J2728" s="1">
        <v>180850</v>
      </c>
      <c r="K2728">
        <v>18</v>
      </c>
      <c r="L2728">
        <v>1.37</v>
      </c>
      <c r="M2728">
        <v>1.38</v>
      </c>
      <c r="N2728" s="1">
        <v>5000000</v>
      </c>
      <c r="O2728">
        <v>1.38</v>
      </c>
      <c r="P2728">
        <v>2.62</v>
      </c>
      <c r="Q2728">
        <v>0.14000000000000001</v>
      </c>
    </row>
    <row r="2729" spans="1:17" x14ac:dyDescent="0.25">
      <c r="A2729">
        <v>731654</v>
      </c>
      <c r="B2729" t="s">
        <v>4041</v>
      </c>
      <c r="C2729">
        <v>0.24</v>
      </c>
      <c r="D2729">
        <v>0.02</v>
      </c>
      <c r="E2729">
        <v>0.23</v>
      </c>
      <c r="F2729">
        <v>0.24</v>
      </c>
      <c r="G2729">
        <v>0.23</v>
      </c>
      <c r="H2729">
        <v>0.24</v>
      </c>
      <c r="I2729" s="1">
        <v>87000</v>
      </c>
      <c r="J2729" s="1">
        <v>20810</v>
      </c>
      <c r="K2729">
        <v>8</v>
      </c>
      <c r="L2729">
        <v>0.22</v>
      </c>
      <c r="M2729">
        <v>0.23</v>
      </c>
      <c r="N2729" s="1">
        <v>5000000</v>
      </c>
      <c r="O2729">
        <v>0.24</v>
      </c>
      <c r="P2729">
        <v>1.24</v>
      </c>
      <c r="Q2729">
        <v>0.01</v>
      </c>
    </row>
    <row r="2730" spans="1:17" x14ac:dyDescent="0.25">
      <c r="A2730">
        <v>731655</v>
      </c>
      <c r="B2730" t="s">
        <v>4042</v>
      </c>
      <c r="C2730">
        <v>0.35</v>
      </c>
      <c r="D2730">
        <v>0</v>
      </c>
      <c r="E2730">
        <v>0.35</v>
      </c>
      <c r="F2730">
        <v>0.36</v>
      </c>
      <c r="G2730">
        <v>0.34</v>
      </c>
      <c r="H2730">
        <v>0.35</v>
      </c>
      <c r="I2730" s="1">
        <v>2720000</v>
      </c>
      <c r="J2730" s="1">
        <v>951800</v>
      </c>
      <c r="K2730">
        <v>30</v>
      </c>
      <c r="L2730">
        <v>0.33</v>
      </c>
      <c r="M2730">
        <v>0.35</v>
      </c>
      <c r="N2730" s="1">
        <v>10000000</v>
      </c>
      <c r="O2730">
        <v>0.35</v>
      </c>
      <c r="P2730">
        <v>0.97</v>
      </c>
      <c r="Q2730">
        <v>0.01</v>
      </c>
    </row>
    <row r="2731" spans="1:17" x14ac:dyDescent="0.25">
      <c r="A2731">
        <v>731656</v>
      </c>
      <c r="B2731" t="s">
        <v>4043</v>
      </c>
      <c r="C2731" t="s">
        <v>78</v>
      </c>
      <c r="D2731" t="s">
        <v>78</v>
      </c>
      <c r="E2731" t="s">
        <v>78</v>
      </c>
      <c r="F2731" t="s">
        <v>78</v>
      </c>
      <c r="G2731" t="s">
        <v>78</v>
      </c>
      <c r="H2731">
        <v>0.06</v>
      </c>
      <c r="I2731" s="1">
        <v>0</v>
      </c>
      <c r="J2731" s="1">
        <v>0</v>
      </c>
      <c r="K2731">
        <v>0</v>
      </c>
      <c r="L2731">
        <v>0</v>
      </c>
      <c r="M2731">
        <v>0.02</v>
      </c>
      <c r="N2731" s="1">
        <v>10000000</v>
      </c>
      <c r="O2731">
        <v>0.02</v>
      </c>
      <c r="P2731">
        <v>1.18</v>
      </c>
      <c r="Q2731">
        <v>0.01</v>
      </c>
    </row>
    <row r="2732" spans="1:17" x14ac:dyDescent="0.25">
      <c r="A2732">
        <v>731657</v>
      </c>
      <c r="B2732" t="s">
        <v>4044</v>
      </c>
      <c r="C2732" t="s">
        <v>78</v>
      </c>
      <c r="D2732" t="s">
        <v>78</v>
      </c>
      <c r="E2732" t="s">
        <v>78</v>
      </c>
      <c r="F2732" t="s">
        <v>78</v>
      </c>
      <c r="G2732" t="s">
        <v>78</v>
      </c>
      <c r="H2732">
        <v>1.94</v>
      </c>
      <c r="I2732" s="1">
        <v>0</v>
      </c>
      <c r="J2732" s="1">
        <v>0</v>
      </c>
      <c r="K2732">
        <v>0</v>
      </c>
      <c r="L2732">
        <v>1.76</v>
      </c>
      <c r="M2732">
        <v>1.85</v>
      </c>
      <c r="N2732" s="1">
        <v>10000000</v>
      </c>
      <c r="O2732">
        <v>1.85</v>
      </c>
      <c r="P2732">
        <v>2.62</v>
      </c>
      <c r="Q2732">
        <v>1.08</v>
      </c>
    </row>
    <row r="2733" spans="1:17" x14ac:dyDescent="0.25">
      <c r="A2733">
        <v>731658</v>
      </c>
      <c r="B2733" t="s">
        <v>4045</v>
      </c>
      <c r="C2733">
        <v>3.19</v>
      </c>
      <c r="D2733">
        <v>-0.05</v>
      </c>
      <c r="E2733">
        <v>3.21</v>
      </c>
      <c r="F2733">
        <v>3.48</v>
      </c>
      <c r="G2733">
        <v>3.19</v>
      </c>
      <c r="H2733">
        <v>3.22</v>
      </c>
      <c r="I2733" s="1">
        <v>28000</v>
      </c>
      <c r="J2733" s="1">
        <v>90170</v>
      </c>
      <c r="K2733">
        <v>8</v>
      </c>
      <c r="L2733">
        <v>3.19</v>
      </c>
      <c r="M2733">
        <v>3.29</v>
      </c>
      <c r="N2733" s="1">
        <v>5000000</v>
      </c>
      <c r="O2733">
        <v>3.19</v>
      </c>
      <c r="P2733">
        <v>5.05</v>
      </c>
      <c r="Q2733">
        <v>1.25</v>
      </c>
    </row>
    <row r="2734" spans="1:17" x14ac:dyDescent="0.25">
      <c r="A2734">
        <v>731659</v>
      </c>
      <c r="B2734" t="s">
        <v>4046</v>
      </c>
      <c r="C2734">
        <v>0.14000000000000001</v>
      </c>
      <c r="D2734">
        <v>0.01</v>
      </c>
      <c r="E2734">
        <v>0.14000000000000001</v>
      </c>
      <c r="F2734">
        <v>0.14000000000000001</v>
      </c>
      <c r="G2734">
        <v>0.14000000000000001</v>
      </c>
      <c r="H2734">
        <v>0.14000000000000001</v>
      </c>
      <c r="I2734" s="1">
        <v>40000</v>
      </c>
      <c r="J2734" s="1">
        <v>5600</v>
      </c>
      <c r="K2734">
        <v>2</v>
      </c>
      <c r="L2734">
        <v>0.11</v>
      </c>
      <c r="M2734">
        <v>0.12</v>
      </c>
      <c r="N2734" s="1">
        <v>5000000</v>
      </c>
      <c r="O2734">
        <v>0.14000000000000001</v>
      </c>
      <c r="P2734">
        <v>1.1200000000000001</v>
      </c>
      <c r="Q2734">
        <v>0.01</v>
      </c>
    </row>
    <row r="2735" spans="1:17" x14ac:dyDescent="0.25">
      <c r="A2735">
        <v>731660</v>
      </c>
      <c r="B2735" t="s">
        <v>4047</v>
      </c>
      <c r="C2735">
        <v>0.92</v>
      </c>
      <c r="D2735">
        <v>-0.12</v>
      </c>
      <c r="E2735">
        <v>1.0900000000000001</v>
      </c>
      <c r="F2735">
        <v>1.1100000000000001</v>
      </c>
      <c r="G2735">
        <v>0.91</v>
      </c>
      <c r="H2735">
        <v>0.97</v>
      </c>
      <c r="I2735" s="1">
        <v>487000</v>
      </c>
      <c r="J2735" s="1">
        <v>474510</v>
      </c>
      <c r="K2735">
        <v>17</v>
      </c>
      <c r="L2735">
        <v>0.91</v>
      </c>
      <c r="M2735">
        <v>0.92</v>
      </c>
      <c r="N2735" s="1">
        <v>5000000</v>
      </c>
      <c r="O2735">
        <v>0.92</v>
      </c>
      <c r="P2735">
        <v>4.4000000000000004</v>
      </c>
      <c r="Q2735">
        <v>0.01</v>
      </c>
    </row>
    <row r="2736" spans="1:17" x14ac:dyDescent="0.25">
      <c r="A2736">
        <v>731661</v>
      </c>
      <c r="B2736" t="s">
        <v>4048</v>
      </c>
      <c r="C2736">
        <v>0.46</v>
      </c>
      <c r="D2736">
        <v>0.01</v>
      </c>
      <c r="E2736">
        <v>0.49</v>
      </c>
      <c r="F2736">
        <v>0.49</v>
      </c>
      <c r="G2736">
        <v>0.45</v>
      </c>
      <c r="H2736">
        <v>0.45</v>
      </c>
      <c r="I2736" s="1">
        <v>428000</v>
      </c>
      <c r="J2736" s="1">
        <v>193050</v>
      </c>
      <c r="K2736">
        <v>9</v>
      </c>
      <c r="L2736">
        <v>0.45</v>
      </c>
      <c r="M2736">
        <v>0.46</v>
      </c>
      <c r="N2736" s="1">
        <v>5000000</v>
      </c>
      <c r="O2736">
        <v>0.46</v>
      </c>
      <c r="P2736">
        <v>1.36</v>
      </c>
      <c r="Q2736">
        <v>0.01</v>
      </c>
    </row>
    <row r="2737" spans="1:17" x14ac:dyDescent="0.25">
      <c r="A2737">
        <v>731662</v>
      </c>
      <c r="B2737" t="s">
        <v>4049</v>
      </c>
      <c r="C2737">
        <v>0.6</v>
      </c>
      <c r="D2737">
        <v>-0.06</v>
      </c>
      <c r="E2737">
        <v>0.68</v>
      </c>
      <c r="F2737">
        <v>0.68</v>
      </c>
      <c r="G2737">
        <v>0.6</v>
      </c>
      <c r="H2737">
        <v>0.67</v>
      </c>
      <c r="I2737" s="1">
        <v>141000</v>
      </c>
      <c r="J2737" s="1">
        <v>94360</v>
      </c>
      <c r="K2737">
        <v>5</v>
      </c>
      <c r="L2737">
        <v>0.6</v>
      </c>
      <c r="M2737">
        <v>0.61</v>
      </c>
      <c r="N2737" s="1">
        <v>15000000</v>
      </c>
      <c r="O2737">
        <v>0.6</v>
      </c>
      <c r="P2737">
        <v>1.64</v>
      </c>
      <c r="Q2737">
        <v>0.01</v>
      </c>
    </row>
    <row r="2738" spans="1:17" x14ac:dyDescent="0.25">
      <c r="A2738">
        <v>731663</v>
      </c>
      <c r="B2738" t="s">
        <v>4050</v>
      </c>
      <c r="C2738">
        <v>0.72</v>
      </c>
      <c r="D2738">
        <v>0</v>
      </c>
      <c r="E2738">
        <v>0.74</v>
      </c>
      <c r="F2738">
        <v>0.76</v>
      </c>
      <c r="G2738">
        <v>0.72</v>
      </c>
      <c r="H2738">
        <v>0.74</v>
      </c>
      <c r="I2738" s="1">
        <v>26000</v>
      </c>
      <c r="J2738" s="1">
        <v>19350</v>
      </c>
      <c r="K2738">
        <v>4</v>
      </c>
      <c r="L2738">
        <v>0.7</v>
      </c>
      <c r="M2738">
        <v>0.72</v>
      </c>
      <c r="N2738" s="1">
        <v>10000000</v>
      </c>
      <c r="O2738">
        <v>0.72</v>
      </c>
      <c r="P2738">
        <v>1.33</v>
      </c>
      <c r="Q2738">
        <v>0.11</v>
      </c>
    </row>
    <row r="2739" spans="1:17" x14ac:dyDescent="0.25">
      <c r="A2739">
        <v>731664</v>
      </c>
      <c r="B2739" t="s">
        <v>4051</v>
      </c>
      <c r="C2739" t="s">
        <v>78</v>
      </c>
      <c r="D2739" t="s">
        <v>78</v>
      </c>
      <c r="E2739" t="s">
        <v>78</v>
      </c>
      <c r="F2739" t="s">
        <v>78</v>
      </c>
      <c r="G2739" t="s">
        <v>78</v>
      </c>
      <c r="H2739">
        <v>1.76</v>
      </c>
      <c r="I2739" s="1">
        <v>0</v>
      </c>
      <c r="J2739" s="1">
        <v>0</v>
      </c>
      <c r="K2739">
        <v>0</v>
      </c>
      <c r="L2739">
        <v>1.1399999999999999</v>
      </c>
      <c r="M2739">
        <v>1.2</v>
      </c>
      <c r="N2739" s="1">
        <v>5000000</v>
      </c>
      <c r="O2739">
        <v>1.2</v>
      </c>
      <c r="P2739">
        <v>2.69</v>
      </c>
      <c r="Q2739">
        <v>0.01</v>
      </c>
    </row>
    <row r="2740" spans="1:17" x14ac:dyDescent="0.25">
      <c r="A2740">
        <v>731665</v>
      </c>
      <c r="B2740" t="s">
        <v>4052</v>
      </c>
      <c r="C2740" t="s">
        <v>78</v>
      </c>
      <c r="D2740" t="s">
        <v>78</v>
      </c>
      <c r="E2740" t="s">
        <v>78</v>
      </c>
      <c r="F2740" t="s">
        <v>78</v>
      </c>
      <c r="G2740" t="s">
        <v>78</v>
      </c>
      <c r="H2740">
        <v>2.92</v>
      </c>
      <c r="I2740" s="1">
        <v>0</v>
      </c>
      <c r="J2740" s="1">
        <v>0</v>
      </c>
      <c r="K2740">
        <v>0</v>
      </c>
      <c r="L2740">
        <v>2.61</v>
      </c>
      <c r="M2740">
        <v>2.71</v>
      </c>
      <c r="N2740" s="1">
        <v>10000000</v>
      </c>
      <c r="O2740">
        <v>2.63</v>
      </c>
      <c r="P2740">
        <v>4.66</v>
      </c>
      <c r="Q2740">
        <v>0.6</v>
      </c>
    </row>
    <row r="2741" spans="1:17" x14ac:dyDescent="0.25">
      <c r="A2741">
        <v>731666</v>
      </c>
      <c r="B2741" t="s">
        <v>4053</v>
      </c>
      <c r="C2741">
        <v>0.99</v>
      </c>
      <c r="D2741">
        <v>-0.1</v>
      </c>
      <c r="E2741">
        <v>1.1100000000000001</v>
      </c>
      <c r="F2741">
        <v>1.1399999999999999</v>
      </c>
      <c r="G2741">
        <v>0.97</v>
      </c>
      <c r="H2741">
        <v>1.06</v>
      </c>
      <c r="I2741" s="1">
        <v>303000</v>
      </c>
      <c r="J2741" s="1">
        <v>322120</v>
      </c>
      <c r="K2741">
        <v>21</v>
      </c>
      <c r="L2741">
        <v>0.97</v>
      </c>
      <c r="M2741">
        <v>0.98</v>
      </c>
      <c r="N2741" s="1">
        <v>5000000</v>
      </c>
      <c r="O2741">
        <v>0.99</v>
      </c>
      <c r="P2741">
        <v>2.48</v>
      </c>
      <c r="Q2741">
        <v>0.01</v>
      </c>
    </row>
    <row r="2742" spans="1:17" x14ac:dyDescent="0.25">
      <c r="A2742">
        <v>731667</v>
      </c>
      <c r="B2742" t="s">
        <v>4054</v>
      </c>
      <c r="C2742">
        <v>0.8</v>
      </c>
      <c r="D2742">
        <v>0.08</v>
      </c>
      <c r="E2742">
        <v>0.78</v>
      </c>
      <c r="F2742">
        <v>0.87</v>
      </c>
      <c r="G2742">
        <v>0.74</v>
      </c>
      <c r="H2742">
        <v>0.77</v>
      </c>
      <c r="I2742" s="1">
        <v>1613000</v>
      </c>
      <c r="J2742" s="1">
        <v>1241730</v>
      </c>
      <c r="K2742">
        <v>54</v>
      </c>
      <c r="L2742">
        <v>0.8</v>
      </c>
      <c r="M2742">
        <v>0.81</v>
      </c>
      <c r="N2742" s="1">
        <v>5000000</v>
      </c>
      <c r="O2742">
        <v>0.8</v>
      </c>
      <c r="P2742">
        <v>2.04</v>
      </c>
      <c r="Q2742">
        <v>0.01</v>
      </c>
    </row>
    <row r="2743" spans="1:17" x14ac:dyDescent="0.25">
      <c r="A2743">
        <v>731668</v>
      </c>
      <c r="B2743" t="s">
        <v>4055</v>
      </c>
      <c r="C2743" t="s">
        <v>78</v>
      </c>
      <c r="D2743" t="s">
        <v>78</v>
      </c>
      <c r="E2743" t="s">
        <v>78</v>
      </c>
      <c r="F2743" t="s">
        <v>78</v>
      </c>
      <c r="G2743" t="s">
        <v>78</v>
      </c>
      <c r="H2743">
        <v>0.02</v>
      </c>
      <c r="I2743" s="1">
        <v>0</v>
      </c>
      <c r="J2743" s="1">
        <v>0</v>
      </c>
      <c r="K2743">
        <v>0</v>
      </c>
      <c r="L2743">
        <v>0.02</v>
      </c>
      <c r="M2743">
        <v>0.03</v>
      </c>
      <c r="N2743" s="1">
        <v>5000000</v>
      </c>
      <c r="O2743">
        <v>0.02</v>
      </c>
      <c r="P2743">
        <v>0.56999999999999995</v>
      </c>
      <c r="Q2743">
        <v>0.01</v>
      </c>
    </row>
    <row r="2744" spans="1:17" x14ac:dyDescent="0.25">
      <c r="A2744">
        <v>731670</v>
      </c>
      <c r="B2744" t="s">
        <v>4056</v>
      </c>
      <c r="C2744">
        <v>1.1499999999999999</v>
      </c>
      <c r="D2744">
        <v>0.13</v>
      </c>
      <c r="E2744">
        <v>1.04</v>
      </c>
      <c r="F2744">
        <v>1.28</v>
      </c>
      <c r="G2744">
        <v>1</v>
      </c>
      <c r="H2744">
        <v>1.1499999999999999</v>
      </c>
      <c r="I2744" s="1">
        <v>234000</v>
      </c>
      <c r="J2744" s="1">
        <v>268750</v>
      </c>
      <c r="K2744">
        <v>23</v>
      </c>
      <c r="L2744">
        <v>1.1599999999999999</v>
      </c>
      <c r="M2744">
        <v>1.19</v>
      </c>
      <c r="N2744" s="1">
        <v>5000000</v>
      </c>
      <c r="O2744">
        <v>1.1499999999999999</v>
      </c>
      <c r="P2744">
        <v>2.27</v>
      </c>
      <c r="Q2744">
        <v>0.03</v>
      </c>
    </row>
    <row r="2745" spans="1:17" x14ac:dyDescent="0.25">
      <c r="A2745">
        <v>731671</v>
      </c>
      <c r="B2745" t="s">
        <v>4057</v>
      </c>
      <c r="C2745">
        <v>1.23</v>
      </c>
      <c r="D2745">
        <v>-0.15</v>
      </c>
      <c r="E2745">
        <v>1.24</v>
      </c>
      <c r="F2745">
        <v>1.24</v>
      </c>
      <c r="G2745">
        <v>1.23</v>
      </c>
      <c r="H2745">
        <v>1.24</v>
      </c>
      <c r="I2745" s="1">
        <v>19000</v>
      </c>
      <c r="J2745" s="1">
        <v>23550</v>
      </c>
      <c r="K2745">
        <v>4</v>
      </c>
      <c r="L2745">
        <v>1.18</v>
      </c>
      <c r="M2745">
        <v>1.21</v>
      </c>
      <c r="N2745" s="1">
        <v>10000000</v>
      </c>
      <c r="O2745">
        <v>1.23</v>
      </c>
      <c r="P2745">
        <v>2.35</v>
      </c>
      <c r="Q2745">
        <v>0.11</v>
      </c>
    </row>
    <row r="2746" spans="1:17" x14ac:dyDescent="0.25">
      <c r="A2746">
        <v>731672</v>
      </c>
      <c r="B2746" t="s">
        <v>4058</v>
      </c>
      <c r="C2746">
        <v>0.41</v>
      </c>
      <c r="D2746">
        <v>0.01</v>
      </c>
      <c r="E2746">
        <v>0.41</v>
      </c>
      <c r="F2746">
        <v>0.44</v>
      </c>
      <c r="G2746">
        <v>0.4</v>
      </c>
      <c r="H2746">
        <v>0.41</v>
      </c>
      <c r="I2746" s="1">
        <v>731000</v>
      </c>
      <c r="J2746" s="1">
        <v>302310</v>
      </c>
      <c r="K2746">
        <v>16</v>
      </c>
      <c r="L2746">
        <v>0.4</v>
      </c>
      <c r="M2746">
        <v>0.41</v>
      </c>
      <c r="N2746" s="1">
        <v>10000000</v>
      </c>
      <c r="O2746">
        <v>0.41</v>
      </c>
      <c r="P2746">
        <v>1.1499999999999999</v>
      </c>
      <c r="Q2746">
        <v>0.01</v>
      </c>
    </row>
    <row r="2747" spans="1:17" x14ac:dyDescent="0.25">
      <c r="A2747">
        <v>731673</v>
      </c>
      <c r="B2747" t="s">
        <v>4059</v>
      </c>
      <c r="C2747" t="s">
        <v>78</v>
      </c>
      <c r="D2747" t="s">
        <v>78</v>
      </c>
      <c r="E2747" t="s">
        <v>78</v>
      </c>
      <c r="F2747" t="s">
        <v>78</v>
      </c>
      <c r="G2747" t="s">
        <v>78</v>
      </c>
      <c r="H2747">
        <v>1.1200000000000001</v>
      </c>
      <c r="I2747" s="1">
        <v>0</v>
      </c>
      <c r="J2747" s="1">
        <v>0</v>
      </c>
      <c r="K2747">
        <v>0</v>
      </c>
      <c r="L2747">
        <v>1.1000000000000001</v>
      </c>
      <c r="M2747">
        <v>1.1100000000000001</v>
      </c>
      <c r="N2747" s="1">
        <v>5000000</v>
      </c>
      <c r="O2747">
        <v>1.1100000000000001</v>
      </c>
      <c r="P2747">
        <v>1.98</v>
      </c>
      <c r="Q2747">
        <v>0.24</v>
      </c>
    </row>
    <row r="2748" spans="1:17" x14ac:dyDescent="0.25">
      <c r="A2748">
        <v>731674</v>
      </c>
      <c r="B2748" t="s">
        <v>4060</v>
      </c>
      <c r="C2748">
        <v>0.99</v>
      </c>
      <c r="D2748">
        <v>-0.02</v>
      </c>
      <c r="E2748">
        <v>1.02</v>
      </c>
      <c r="F2748">
        <v>1.04</v>
      </c>
      <c r="G2748">
        <v>0.99</v>
      </c>
      <c r="H2748">
        <v>1.02</v>
      </c>
      <c r="I2748" s="1">
        <v>465000</v>
      </c>
      <c r="J2748" s="1">
        <v>475540</v>
      </c>
      <c r="K2748">
        <v>10</v>
      </c>
      <c r="L2748">
        <v>0.99</v>
      </c>
      <c r="M2748">
        <v>1</v>
      </c>
      <c r="N2748" s="1">
        <v>10000000</v>
      </c>
      <c r="O2748">
        <v>0.99</v>
      </c>
      <c r="P2748">
        <v>1.86</v>
      </c>
      <c r="Q2748">
        <v>0.12</v>
      </c>
    </row>
    <row r="2749" spans="1:17" x14ac:dyDescent="0.25">
      <c r="A2749">
        <v>731675</v>
      </c>
      <c r="B2749" t="s">
        <v>4061</v>
      </c>
      <c r="C2749" t="s">
        <v>78</v>
      </c>
      <c r="D2749" t="s">
        <v>78</v>
      </c>
      <c r="E2749" t="s">
        <v>78</v>
      </c>
      <c r="F2749" t="s">
        <v>78</v>
      </c>
      <c r="G2749" t="s">
        <v>78</v>
      </c>
      <c r="H2749">
        <v>0.22</v>
      </c>
      <c r="I2749" s="1">
        <v>0</v>
      </c>
      <c r="J2749" s="1">
        <v>0</v>
      </c>
      <c r="K2749">
        <v>0</v>
      </c>
      <c r="L2749">
        <v>0.16</v>
      </c>
      <c r="M2749">
        <v>0.17</v>
      </c>
      <c r="N2749" s="1">
        <v>5000000</v>
      </c>
      <c r="O2749">
        <v>0.17</v>
      </c>
      <c r="P2749">
        <v>0.68</v>
      </c>
      <c r="Q2749">
        <v>0.01</v>
      </c>
    </row>
    <row r="2750" spans="1:17" x14ac:dyDescent="0.25">
      <c r="A2750">
        <v>731676</v>
      </c>
      <c r="B2750" t="s">
        <v>4062</v>
      </c>
      <c r="C2750">
        <v>0.51</v>
      </c>
      <c r="D2750">
        <v>-7.0000000000000007E-2</v>
      </c>
      <c r="E2750">
        <v>0.55000000000000004</v>
      </c>
      <c r="F2750">
        <v>0.55000000000000004</v>
      </c>
      <c r="G2750">
        <v>0.51</v>
      </c>
      <c r="H2750">
        <v>0.52</v>
      </c>
      <c r="I2750" s="1">
        <v>145000</v>
      </c>
      <c r="J2750" s="1">
        <v>75950</v>
      </c>
      <c r="K2750">
        <v>13</v>
      </c>
      <c r="L2750">
        <v>0.52</v>
      </c>
      <c r="M2750">
        <v>0.53</v>
      </c>
      <c r="N2750" s="1">
        <v>5000000</v>
      </c>
      <c r="O2750">
        <v>0.51</v>
      </c>
      <c r="P2750">
        <v>1.33</v>
      </c>
      <c r="Q2750">
        <v>0.01</v>
      </c>
    </row>
    <row r="2751" spans="1:17" x14ac:dyDescent="0.25">
      <c r="A2751">
        <v>731677</v>
      </c>
      <c r="B2751" t="s">
        <v>4063</v>
      </c>
      <c r="C2751" t="s">
        <v>78</v>
      </c>
      <c r="D2751" t="s">
        <v>78</v>
      </c>
      <c r="E2751" t="s">
        <v>78</v>
      </c>
      <c r="F2751" t="s">
        <v>78</v>
      </c>
      <c r="G2751" t="s">
        <v>78</v>
      </c>
      <c r="H2751">
        <v>0.14000000000000001</v>
      </c>
      <c r="I2751" s="1">
        <v>0</v>
      </c>
      <c r="J2751" s="1">
        <v>0</v>
      </c>
      <c r="K2751">
        <v>0</v>
      </c>
      <c r="L2751">
        <v>7.0000000000000007E-2</v>
      </c>
      <c r="M2751">
        <v>0.1</v>
      </c>
      <c r="N2751" s="1">
        <v>5000000</v>
      </c>
      <c r="O2751">
        <v>0.1</v>
      </c>
      <c r="P2751">
        <v>0.97</v>
      </c>
      <c r="Q2751">
        <v>0.01</v>
      </c>
    </row>
    <row r="2752" spans="1:17" x14ac:dyDescent="0.25">
      <c r="A2752">
        <v>731678</v>
      </c>
      <c r="B2752" t="s">
        <v>4064</v>
      </c>
      <c r="C2752" t="s">
        <v>78</v>
      </c>
      <c r="D2752" t="s">
        <v>78</v>
      </c>
      <c r="E2752" t="s">
        <v>78</v>
      </c>
      <c r="F2752" t="s">
        <v>78</v>
      </c>
      <c r="G2752" t="s">
        <v>78</v>
      </c>
      <c r="H2752">
        <v>0.14000000000000001</v>
      </c>
      <c r="I2752" s="1">
        <v>0</v>
      </c>
      <c r="J2752" s="1">
        <v>0</v>
      </c>
      <c r="K2752">
        <v>0</v>
      </c>
      <c r="L2752">
        <v>0.12</v>
      </c>
      <c r="M2752">
        <v>0.13</v>
      </c>
      <c r="N2752" s="1">
        <v>5000000</v>
      </c>
      <c r="O2752">
        <v>0.13</v>
      </c>
      <c r="P2752">
        <v>0.67</v>
      </c>
      <c r="Q2752">
        <v>0.01</v>
      </c>
    </row>
    <row r="2753" spans="1:17" x14ac:dyDescent="0.25">
      <c r="A2753">
        <v>731679</v>
      </c>
      <c r="B2753" t="s">
        <v>4065</v>
      </c>
      <c r="C2753" t="s">
        <v>78</v>
      </c>
      <c r="D2753" t="s">
        <v>78</v>
      </c>
      <c r="E2753" t="s">
        <v>78</v>
      </c>
      <c r="F2753" t="s">
        <v>78</v>
      </c>
      <c r="G2753" t="s">
        <v>78</v>
      </c>
      <c r="H2753">
        <v>3.75</v>
      </c>
      <c r="I2753" s="1">
        <v>0</v>
      </c>
      <c r="J2753" s="1">
        <v>0</v>
      </c>
      <c r="K2753">
        <v>0</v>
      </c>
      <c r="L2753">
        <v>3.72</v>
      </c>
      <c r="M2753">
        <v>3.82</v>
      </c>
      <c r="N2753" s="1">
        <v>5000000</v>
      </c>
      <c r="O2753">
        <v>3.75</v>
      </c>
      <c r="P2753">
        <v>5</v>
      </c>
      <c r="Q2753">
        <v>2.4700000000000002</v>
      </c>
    </row>
    <row r="2754" spans="1:17" x14ac:dyDescent="0.25">
      <c r="A2754">
        <v>731680</v>
      </c>
      <c r="B2754" t="s">
        <v>4066</v>
      </c>
      <c r="C2754">
        <v>0.46</v>
      </c>
      <c r="D2754">
        <v>-0.06</v>
      </c>
      <c r="E2754">
        <v>0.53</v>
      </c>
      <c r="F2754">
        <v>0.56999999999999995</v>
      </c>
      <c r="G2754">
        <v>0.46</v>
      </c>
      <c r="H2754">
        <v>0.54</v>
      </c>
      <c r="I2754" s="1">
        <v>318000</v>
      </c>
      <c r="J2754" s="1">
        <v>172160</v>
      </c>
      <c r="K2754">
        <v>13</v>
      </c>
      <c r="L2754">
        <v>0.44</v>
      </c>
      <c r="M2754">
        <v>0.46</v>
      </c>
      <c r="N2754" s="1">
        <v>10000000</v>
      </c>
      <c r="O2754">
        <v>0.46</v>
      </c>
      <c r="P2754">
        <v>0.99</v>
      </c>
      <c r="Q2754">
        <v>0.01</v>
      </c>
    </row>
    <row r="2755" spans="1:17" x14ac:dyDescent="0.25">
      <c r="A2755">
        <v>731681</v>
      </c>
      <c r="B2755" t="s">
        <v>4067</v>
      </c>
      <c r="C2755" t="s">
        <v>78</v>
      </c>
      <c r="D2755" t="s">
        <v>78</v>
      </c>
      <c r="E2755" t="s">
        <v>78</v>
      </c>
      <c r="F2755" t="s">
        <v>78</v>
      </c>
      <c r="G2755" t="s">
        <v>78</v>
      </c>
      <c r="H2755">
        <v>2.95</v>
      </c>
      <c r="I2755" s="1">
        <v>0</v>
      </c>
      <c r="J2755" s="1">
        <v>0</v>
      </c>
      <c r="K2755">
        <v>0</v>
      </c>
      <c r="L2755">
        <v>3.27</v>
      </c>
      <c r="M2755">
        <v>3.32</v>
      </c>
      <c r="N2755" s="1">
        <v>10000000</v>
      </c>
      <c r="O2755">
        <v>3.27</v>
      </c>
      <c r="P2755">
        <v>4.41</v>
      </c>
      <c r="Q2755">
        <v>2.13</v>
      </c>
    </row>
    <row r="2756" spans="1:17" x14ac:dyDescent="0.25">
      <c r="A2756">
        <v>731682</v>
      </c>
      <c r="B2756" t="s">
        <v>4068</v>
      </c>
      <c r="C2756" t="s">
        <v>78</v>
      </c>
      <c r="D2756" t="s">
        <v>78</v>
      </c>
      <c r="E2756" t="s">
        <v>78</v>
      </c>
      <c r="F2756" t="s">
        <v>78</v>
      </c>
      <c r="G2756" t="s">
        <v>78</v>
      </c>
      <c r="H2756">
        <v>3.14</v>
      </c>
      <c r="I2756" s="1">
        <v>0</v>
      </c>
      <c r="J2756" s="1">
        <v>0</v>
      </c>
      <c r="K2756">
        <v>0</v>
      </c>
      <c r="L2756">
        <v>5.15</v>
      </c>
      <c r="M2756">
        <v>0</v>
      </c>
      <c r="N2756" s="1">
        <v>5000000</v>
      </c>
      <c r="O2756">
        <v>5.3</v>
      </c>
      <c r="P2756">
        <v>6.85</v>
      </c>
      <c r="Q2756">
        <v>3.72</v>
      </c>
    </row>
    <row r="2757" spans="1:17" x14ac:dyDescent="0.25">
      <c r="A2757">
        <v>731683</v>
      </c>
      <c r="B2757" t="s">
        <v>4069</v>
      </c>
      <c r="C2757">
        <v>0.2</v>
      </c>
      <c r="D2757">
        <v>0.04</v>
      </c>
      <c r="E2757">
        <v>0.2</v>
      </c>
      <c r="F2757">
        <v>0.2</v>
      </c>
      <c r="G2757">
        <v>0.2</v>
      </c>
      <c r="H2757">
        <v>0.2</v>
      </c>
      <c r="I2757" s="1">
        <v>15000</v>
      </c>
      <c r="J2757" s="1">
        <v>3000</v>
      </c>
      <c r="K2757">
        <v>1</v>
      </c>
      <c r="L2757">
        <v>0.19</v>
      </c>
      <c r="M2757">
        <v>0.2</v>
      </c>
      <c r="N2757" s="1">
        <v>5005000</v>
      </c>
      <c r="O2757">
        <v>0.2</v>
      </c>
      <c r="P2757">
        <v>1.1000000000000001</v>
      </c>
      <c r="Q2757">
        <v>0.01</v>
      </c>
    </row>
    <row r="2758" spans="1:17" x14ac:dyDescent="0.25">
      <c r="A2758">
        <v>731684</v>
      </c>
      <c r="B2758" t="s">
        <v>4070</v>
      </c>
      <c r="C2758" t="s">
        <v>78</v>
      </c>
      <c r="D2758" t="s">
        <v>78</v>
      </c>
      <c r="E2758" t="s">
        <v>78</v>
      </c>
      <c r="F2758" t="s">
        <v>78</v>
      </c>
      <c r="G2758" t="s">
        <v>78</v>
      </c>
      <c r="H2758">
        <v>0.16</v>
      </c>
      <c r="I2758" s="1">
        <v>0</v>
      </c>
      <c r="J2758" s="1">
        <v>0</v>
      </c>
      <c r="K2758">
        <v>0</v>
      </c>
      <c r="L2758">
        <v>0.15</v>
      </c>
      <c r="M2758">
        <v>0.16</v>
      </c>
      <c r="N2758" s="1">
        <v>5054000</v>
      </c>
      <c r="O2758">
        <v>0.16</v>
      </c>
      <c r="P2758">
        <v>0.7</v>
      </c>
      <c r="Q2758">
        <v>0.01</v>
      </c>
    </row>
    <row r="2759" spans="1:17" x14ac:dyDescent="0.25">
      <c r="A2759">
        <v>731685</v>
      </c>
      <c r="B2759" t="s">
        <v>4071</v>
      </c>
      <c r="C2759" t="s">
        <v>78</v>
      </c>
      <c r="D2759" t="s">
        <v>78</v>
      </c>
      <c r="E2759" t="s">
        <v>78</v>
      </c>
      <c r="F2759" t="s">
        <v>78</v>
      </c>
      <c r="G2759" t="s">
        <v>78</v>
      </c>
      <c r="H2759">
        <v>0.05</v>
      </c>
      <c r="I2759" s="1">
        <v>0</v>
      </c>
      <c r="J2759" s="1">
        <v>0</v>
      </c>
      <c r="K2759">
        <v>0</v>
      </c>
      <c r="L2759">
        <v>0.02</v>
      </c>
      <c r="M2759">
        <v>0.04</v>
      </c>
      <c r="N2759" s="1">
        <v>5000000</v>
      </c>
      <c r="O2759">
        <v>0.04</v>
      </c>
      <c r="P2759">
        <v>0.48</v>
      </c>
      <c r="Q2759">
        <v>0.01</v>
      </c>
    </row>
    <row r="2760" spans="1:17" x14ac:dyDescent="0.25">
      <c r="A2760">
        <v>731686</v>
      </c>
      <c r="B2760" t="s">
        <v>4072</v>
      </c>
      <c r="C2760" t="s">
        <v>78</v>
      </c>
      <c r="D2760" t="s">
        <v>78</v>
      </c>
      <c r="E2760" t="s">
        <v>78</v>
      </c>
      <c r="F2760" t="s">
        <v>78</v>
      </c>
      <c r="G2760" t="s">
        <v>78</v>
      </c>
      <c r="H2760">
        <v>0.33</v>
      </c>
      <c r="I2760" s="1">
        <v>0</v>
      </c>
      <c r="J2760" s="1">
        <v>0</v>
      </c>
      <c r="K2760">
        <v>0</v>
      </c>
      <c r="L2760">
        <v>0.04</v>
      </c>
      <c r="M2760">
        <v>0.05</v>
      </c>
      <c r="N2760" s="1">
        <v>5000000</v>
      </c>
      <c r="O2760">
        <v>0.05</v>
      </c>
      <c r="P2760">
        <v>0.57999999999999996</v>
      </c>
      <c r="Q2760">
        <v>0.01</v>
      </c>
    </row>
    <row r="2761" spans="1:17" x14ac:dyDescent="0.25">
      <c r="A2761">
        <v>731687</v>
      </c>
      <c r="B2761" t="s">
        <v>4073</v>
      </c>
      <c r="C2761">
        <v>1.1000000000000001</v>
      </c>
      <c r="D2761">
        <v>-0.05</v>
      </c>
      <c r="E2761">
        <v>1.23</v>
      </c>
      <c r="F2761">
        <v>1.25</v>
      </c>
      <c r="G2761">
        <v>1.1000000000000001</v>
      </c>
      <c r="H2761">
        <v>1.18</v>
      </c>
      <c r="I2761" s="1">
        <v>757000</v>
      </c>
      <c r="J2761" s="1">
        <v>893250</v>
      </c>
      <c r="K2761">
        <v>49</v>
      </c>
      <c r="L2761">
        <v>1.1000000000000001</v>
      </c>
      <c r="M2761">
        <v>1.1200000000000001</v>
      </c>
      <c r="N2761" s="1">
        <v>10000000</v>
      </c>
      <c r="O2761">
        <v>1.1000000000000001</v>
      </c>
      <c r="P2761">
        <v>1.65</v>
      </c>
      <c r="Q2761">
        <v>0.55000000000000004</v>
      </c>
    </row>
    <row r="2762" spans="1:17" x14ac:dyDescent="0.25">
      <c r="A2762">
        <v>731688</v>
      </c>
      <c r="B2762" t="s">
        <v>4074</v>
      </c>
      <c r="C2762">
        <v>0.17</v>
      </c>
      <c r="D2762">
        <v>0</v>
      </c>
      <c r="E2762">
        <v>0.17</v>
      </c>
      <c r="F2762">
        <v>0.17</v>
      </c>
      <c r="G2762">
        <v>0.17</v>
      </c>
      <c r="H2762">
        <v>0.17</v>
      </c>
      <c r="I2762" s="1">
        <v>15000</v>
      </c>
      <c r="J2762" s="1">
        <v>2550</v>
      </c>
      <c r="K2762">
        <v>1</v>
      </c>
      <c r="L2762">
        <v>0.16</v>
      </c>
      <c r="M2762">
        <v>0.18</v>
      </c>
      <c r="N2762" s="1">
        <v>5000000</v>
      </c>
      <c r="O2762">
        <v>0.17</v>
      </c>
      <c r="P2762">
        <v>0.67</v>
      </c>
      <c r="Q2762">
        <v>0.01</v>
      </c>
    </row>
    <row r="2763" spans="1:17" x14ac:dyDescent="0.25">
      <c r="A2763">
        <v>731689</v>
      </c>
      <c r="B2763" t="s">
        <v>4075</v>
      </c>
      <c r="C2763">
        <v>6.05</v>
      </c>
      <c r="D2763">
        <v>0.85</v>
      </c>
      <c r="E2763">
        <v>6</v>
      </c>
      <c r="F2763">
        <v>6.05</v>
      </c>
      <c r="G2763">
        <v>6</v>
      </c>
      <c r="H2763">
        <v>6.02</v>
      </c>
      <c r="I2763" s="1">
        <v>20000</v>
      </c>
      <c r="J2763" s="1">
        <v>120500</v>
      </c>
      <c r="K2763">
        <v>2</v>
      </c>
      <c r="L2763">
        <v>5.5</v>
      </c>
      <c r="M2763">
        <v>5.65</v>
      </c>
      <c r="N2763" s="1">
        <v>5000000</v>
      </c>
      <c r="O2763">
        <v>6.05</v>
      </c>
      <c r="P2763">
        <v>8.8000000000000007</v>
      </c>
      <c r="Q2763">
        <v>3.29</v>
      </c>
    </row>
    <row r="2764" spans="1:17" x14ac:dyDescent="0.25">
      <c r="A2764">
        <v>731690</v>
      </c>
      <c r="B2764" t="s">
        <v>4076</v>
      </c>
      <c r="C2764" t="s">
        <v>78</v>
      </c>
      <c r="D2764" t="s">
        <v>78</v>
      </c>
      <c r="E2764" t="s">
        <v>78</v>
      </c>
      <c r="F2764" t="s">
        <v>78</v>
      </c>
      <c r="G2764" t="s">
        <v>78</v>
      </c>
      <c r="H2764">
        <v>3.24</v>
      </c>
      <c r="I2764" s="1">
        <v>0</v>
      </c>
      <c r="J2764" s="1">
        <v>0</v>
      </c>
      <c r="K2764">
        <v>0</v>
      </c>
      <c r="L2764">
        <v>3.01</v>
      </c>
      <c r="M2764">
        <v>3.11</v>
      </c>
      <c r="N2764" s="1">
        <v>10000000</v>
      </c>
      <c r="O2764">
        <v>3.02</v>
      </c>
      <c r="P2764">
        <v>4.76</v>
      </c>
      <c r="Q2764">
        <v>1.28</v>
      </c>
    </row>
    <row r="2765" spans="1:17" x14ac:dyDescent="0.25">
      <c r="A2765">
        <v>731691</v>
      </c>
      <c r="B2765" t="s">
        <v>4077</v>
      </c>
      <c r="C2765">
        <v>0.3</v>
      </c>
      <c r="D2765">
        <v>0</v>
      </c>
      <c r="E2765">
        <v>0.3</v>
      </c>
      <c r="F2765">
        <v>0.3</v>
      </c>
      <c r="G2765">
        <v>0.3</v>
      </c>
      <c r="H2765">
        <v>0.3</v>
      </c>
      <c r="I2765" s="1">
        <v>7000</v>
      </c>
      <c r="J2765" s="1">
        <v>2100</v>
      </c>
      <c r="K2765">
        <v>1</v>
      </c>
      <c r="L2765">
        <v>0.27</v>
      </c>
      <c r="M2765">
        <v>0.28000000000000003</v>
      </c>
      <c r="N2765" s="1">
        <v>10000000</v>
      </c>
      <c r="O2765">
        <v>0.3</v>
      </c>
      <c r="P2765">
        <v>0.75</v>
      </c>
      <c r="Q2765">
        <v>0.01</v>
      </c>
    </row>
    <row r="2766" spans="1:17" x14ac:dyDescent="0.25">
      <c r="A2766">
        <v>731692</v>
      </c>
      <c r="B2766" t="s">
        <v>4078</v>
      </c>
      <c r="C2766" t="s">
        <v>78</v>
      </c>
      <c r="D2766" t="s">
        <v>78</v>
      </c>
      <c r="E2766" t="s">
        <v>78</v>
      </c>
      <c r="F2766" t="s">
        <v>78</v>
      </c>
      <c r="G2766" t="s">
        <v>78</v>
      </c>
      <c r="H2766">
        <v>1.62</v>
      </c>
      <c r="I2766" s="1">
        <v>0</v>
      </c>
      <c r="J2766" s="1">
        <v>0</v>
      </c>
      <c r="K2766">
        <v>0</v>
      </c>
      <c r="L2766">
        <v>1.46</v>
      </c>
      <c r="M2766">
        <v>1.47</v>
      </c>
      <c r="N2766" s="1">
        <v>10000000</v>
      </c>
      <c r="O2766">
        <v>1.47</v>
      </c>
      <c r="P2766">
        <v>2.0699999999999998</v>
      </c>
      <c r="Q2766">
        <v>0.87</v>
      </c>
    </row>
    <row r="2767" spans="1:17" x14ac:dyDescent="0.25">
      <c r="A2767">
        <v>731693</v>
      </c>
      <c r="B2767" t="s">
        <v>4079</v>
      </c>
      <c r="C2767" t="s">
        <v>78</v>
      </c>
      <c r="D2767" t="s">
        <v>78</v>
      </c>
      <c r="E2767" t="s">
        <v>78</v>
      </c>
      <c r="F2767" t="s">
        <v>78</v>
      </c>
      <c r="G2767" t="s">
        <v>78</v>
      </c>
      <c r="H2767">
        <v>0.3</v>
      </c>
      <c r="I2767" s="1">
        <v>0</v>
      </c>
      <c r="J2767" s="1">
        <v>0</v>
      </c>
      <c r="K2767">
        <v>0</v>
      </c>
      <c r="L2767">
        <v>0.32</v>
      </c>
      <c r="M2767">
        <v>0.34</v>
      </c>
      <c r="N2767" s="1">
        <v>20000000</v>
      </c>
      <c r="O2767">
        <v>0.32</v>
      </c>
      <c r="P2767">
        <v>1.22</v>
      </c>
      <c r="Q2767">
        <v>0.01</v>
      </c>
    </row>
    <row r="2768" spans="1:17" x14ac:dyDescent="0.25">
      <c r="A2768">
        <v>731694</v>
      </c>
      <c r="B2768" t="s">
        <v>4080</v>
      </c>
      <c r="C2768" t="s">
        <v>78</v>
      </c>
      <c r="D2768" t="s">
        <v>78</v>
      </c>
      <c r="E2768" t="s">
        <v>78</v>
      </c>
      <c r="F2768" t="s">
        <v>78</v>
      </c>
      <c r="G2768" t="s">
        <v>78</v>
      </c>
      <c r="H2768">
        <v>6.35</v>
      </c>
      <c r="I2768" s="1">
        <v>0</v>
      </c>
      <c r="J2768" s="1">
        <v>0</v>
      </c>
      <c r="K2768">
        <v>0</v>
      </c>
      <c r="L2768">
        <v>7.75</v>
      </c>
      <c r="M2768">
        <v>8.25</v>
      </c>
      <c r="N2768" s="1">
        <v>10000000</v>
      </c>
      <c r="O2768">
        <v>7.75</v>
      </c>
      <c r="P2768">
        <v>9.4499999999999993</v>
      </c>
      <c r="Q2768">
        <v>6.05</v>
      </c>
    </row>
    <row r="2769" spans="1:17" x14ac:dyDescent="0.25">
      <c r="A2769">
        <v>731695</v>
      </c>
      <c r="B2769" t="s">
        <v>4081</v>
      </c>
      <c r="C2769">
        <v>0.94</v>
      </c>
      <c r="D2769">
        <v>0.08</v>
      </c>
      <c r="E2769">
        <v>0.95</v>
      </c>
      <c r="F2769">
        <v>0.96</v>
      </c>
      <c r="G2769">
        <v>0.9</v>
      </c>
      <c r="H2769">
        <v>0.93</v>
      </c>
      <c r="I2769" s="1">
        <v>823000</v>
      </c>
      <c r="J2769" s="1">
        <v>761450</v>
      </c>
      <c r="K2769">
        <v>25</v>
      </c>
      <c r="L2769">
        <v>0.89</v>
      </c>
      <c r="M2769">
        <v>0.92</v>
      </c>
      <c r="N2769" s="1">
        <v>5000000</v>
      </c>
      <c r="O2769">
        <v>0.94</v>
      </c>
      <c r="P2769">
        <v>1.65</v>
      </c>
      <c r="Q2769">
        <v>0.23</v>
      </c>
    </row>
    <row r="2770" spans="1:17" x14ac:dyDescent="0.25">
      <c r="A2770">
        <v>731696</v>
      </c>
      <c r="B2770" t="s">
        <v>4082</v>
      </c>
      <c r="C2770">
        <v>1.36</v>
      </c>
      <c r="D2770">
        <v>-0.1</v>
      </c>
      <c r="E2770">
        <v>1.4</v>
      </c>
      <c r="F2770">
        <v>1.4</v>
      </c>
      <c r="G2770">
        <v>1.36</v>
      </c>
      <c r="H2770">
        <v>1.38</v>
      </c>
      <c r="I2770" s="1">
        <v>20000</v>
      </c>
      <c r="J2770" s="1">
        <v>27600</v>
      </c>
      <c r="K2770">
        <v>2</v>
      </c>
      <c r="L2770">
        <v>1.35</v>
      </c>
      <c r="M2770">
        <v>1.36</v>
      </c>
      <c r="N2770" s="1">
        <v>10000000</v>
      </c>
      <c r="O2770">
        <v>1.36</v>
      </c>
      <c r="P2770">
        <v>2.41</v>
      </c>
      <c r="Q2770">
        <v>0.31</v>
      </c>
    </row>
    <row r="2771" spans="1:17" x14ac:dyDescent="0.25">
      <c r="A2771">
        <v>731697</v>
      </c>
      <c r="B2771" t="s">
        <v>4083</v>
      </c>
      <c r="C2771" t="s">
        <v>78</v>
      </c>
      <c r="D2771" t="s">
        <v>78</v>
      </c>
      <c r="E2771" t="s">
        <v>78</v>
      </c>
      <c r="F2771" t="s">
        <v>78</v>
      </c>
      <c r="G2771" t="s">
        <v>78</v>
      </c>
      <c r="H2771">
        <v>1.2</v>
      </c>
      <c r="I2771" s="1">
        <v>0</v>
      </c>
      <c r="J2771" s="1">
        <v>0</v>
      </c>
      <c r="K2771">
        <v>0</v>
      </c>
      <c r="L2771">
        <v>1.22</v>
      </c>
      <c r="M2771">
        <v>1.32</v>
      </c>
      <c r="N2771" s="1">
        <v>5000000</v>
      </c>
      <c r="O2771">
        <v>1.22</v>
      </c>
      <c r="P2771">
        <v>4.0199999999999996</v>
      </c>
      <c r="Q2771">
        <v>0.01</v>
      </c>
    </row>
    <row r="2772" spans="1:17" x14ac:dyDescent="0.25">
      <c r="A2772">
        <v>731698</v>
      </c>
      <c r="B2772" t="s">
        <v>4084</v>
      </c>
      <c r="C2772">
        <v>0.89</v>
      </c>
      <c r="D2772">
        <v>0.08</v>
      </c>
      <c r="E2772">
        <v>0.94</v>
      </c>
      <c r="F2772">
        <v>0.94</v>
      </c>
      <c r="G2772">
        <v>0.82</v>
      </c>
      <c r="H2772">
        <v>0.87</v>
      </c>
      <c r="I2772" s="1">
        <v>1324000</v>
      </c>
      <c r="J2772" s="1">
        <v>1152240</v>
      </c>
      <c r="K2772">
        <v>23</v>
      </c>
      <c r="L2772">
        <v>0.89</v>
      </c>
      <c r="M2772">
        <v>0.9</v>
      </c>
      <c r="N2772" s="1">
        <v>10000000</v>
      </c>
      <c r="O2772">
        <v>0.89</v>
      </c>
      <c r="P2772">
        <v>2.13</v>
      </c>
      <c r="Q2772">
        <v>0.01</v>
      </c>
    </row>
    <row r="2773" spans="1:17" x14ac:dyDescent="0.25">
      <c r="A2773">
        <v>731699</v>
      </c>
      <c r="B2773" t="s">
        <v>4085</v>
      </c>
      <c r="C2773" t="s">
        <v>78</v>
      </c>
      <c r="D2773" t="s">
        <v>78</v>
      </c>
      <c r="E2773" t="s">
        <v>78</v>
      </c>
      <c r="F2773" t="s">
        <v>78</v>
      </c>
      <c r="G2773" t="s">
        <v>78</v>
      </c>
      <c r="H2773">
        <v>5</v>
      </c>
      <c r="I2773" s="1">
        <v>0</v>
      </c>
      <c r="J2773" s="1">
        <v>0</v>
      </c>
      <c r="K2773">
        <v>0</v>
      </c>
      <c r="L2773">
        <v>2.97</v>
      </c>
      <c r="M2773">
        <v>0</v>
      </c>
      <c r="N2773" s="1">
        <v>5000000</v>
      </c>
      <c r="O2773">
        <v>5</v>
      </c>
      <c r="P2773">
        <v>7.6</v>
      </c>
      <c r="Q2773">
        <v>2.38</v>
      </c>
    </row>
    <row r="2774" spans="1:17" x14ac:dyDescent="0.25">
      <c r="A2774">
        <v>731700</v>
      </c>
      <c r="B2774" t="s">
        <v>4086</v>
      </c>
      <c r="C2774">
        <v>0.25</v>
      </c>
      <c r="D2774">
        <v>-0.01</v>
      </c>
      <c r="E2774">
        <v>0.28000000000000003</v>
      </c>
      <c r="F2774">
        <v>0.28000000000000003</v>
      </c>
      <c r="G2774">
        <v>0.25</v>
      </c>
      <c r="H2774">
        <v>0.27</v>
      </c>
      <c r="I2774" s="1">
        <v>45000</v>
      </c>
      <c r="J2774" s="1">
        <v>12100</v>
      </c>
      <c r="K2774">
        <v>3</v>
      </c>
      <c r="L2774">
        <v>0.22</v>
      </c>
      <c r="M2774">
        <v>0.23</v>
      </c>
      <c r="N2774" s="1">
        <v>5000000</v>
      </c>
      <c r="O2774">
        <v>0.25</v>
      </c>
      <c r="P2774">
        <v>1.23</v>
      </c>
      <c r="Q2774">
        <v>0.01</v>
      </c>
    </row>
    <row r="2775" spans="1:17" x14ac:dyDescent="0.25">
      <c r="A2775">
        <v>731701</v>
      </c>
      <c r="B2775" t="s">
        <v>4087</v>
      </c>
      <c r="C2775" t="s">
        <v>78</v>
      </c>
      <c r="D2775" t="s">
        <v>78</v>
      </c>
      <c r="E2775" t="s">
        <v>78</v>
      </c>
      <c r="F2775" t="s">
        <v>78</v>
      </c>
      <c r="G2775" t="s">
        <v>78</v>
      </c>
      <c r="H2775">
        <v>7.4</v>
      </c>
      <c r="I2775" s="1">
        <v>0</v>
      </c>
      <c r="J2775" s="1">
        <v>0</v>
      </c>
      <c r="K2775">
        <v>0</v>
      </c>
      <c r="L2775">
        <v>8.9499999999999993</v>
      </c>
      <c r="M2775">
        <v>9.15</v>
      </c>
      <c r="N2775" s="1">
        <v>8000000</v>
      </c>
      <c r="O2775">
        <v>9.15</v>
      </c>
      <c r="P2775">
        <v>11.1</v>
      </c>
      <c r="Q2775">
        <v>7.2</v>
      </c>
    </row>
    <row r="2776" spans="1:17" x14ac:dyDescent="0.25">
      <c r="A2776">
        <v>731702</v>
      </c>
      <c r="B2776" t="s">
        <v>4088</v>
      </c>
      <c r="C2776" t="s">
        <v>78</v>
      </c>
      <c r="D2776" t="s">
        <v>78</v>
      </c>
      <c r="E2776" t="s">
        <v>78</v>
      </c>
      <c r="F2776" t="s">
        <v>78</v>
      </c>
      <c r="G2776" t="s">
        <v>78</v>
      </c>
      <c r="H2776">
        <v>6.66</v>
      </c>
      <c r="I2776" s="1">
        <v>0</v>
      </c>
      <c r="J2776" s="1">
        <v>0</v>
      </c>
      <c r="K2776">
        <v>0</v>
      </c>
      <c r="L2776">
        <v>8.1</v>
      </c>
      <c r="M2776">
        <v>8.35</v>
      </c>
      <c r="N2776" s="1">
        <v>8000000</v>
      </c>
      <c r="O2776">
        <v>8.35</v>
      </c>
      <c r="P2776">
        <v>10.7</v>
      </c>
      <c r="Q2776">
        <v>6</v>
      </c>
    </row>
    <row r="2777" spans="1:17" x14ac:dyDescent="0.25">
      <c r="A2777">
        <v>731703</v>
      </c>
      <c r="B2777" t="s">
        <v>4089</v>
      </c>
      <c r="C2777" t="s">
        <v>78</v>
      </c>
      <c r="D2777" t="s">
        <v>78</v>
      </c>
      <c r="E2777" t="s">
        <v>78</v>
      </c>
      <c r="F2777" t="s">
        <v>78</v>
      </c>
      <c r="G2777" t="s">
        <v>78</v>
      </c>
      <c r="H2777">
        <v>14.5</v>
      </c>
      <c r="I2777" s="1">
        <v>0</v>
      </c>
      <c r="J2777" s="1">
        <v>0</v>
      </c>
      <c r="K2777">
        <v>0</v>
      </c>
      <c r="L2777">
        <v>15.7</v>
      </c>
      <c r="M2777">
        <v>16</v>
      </c>
      <c r="N2777" s="1">
        <v>7000000</v>
      </c>
      <c r="O2777">
        <v>16</v>
      </c>
      <c r="P2777">
        <v>21.9</v>
      </c>
      <c r="Q2777">
        <v>10.1</v>
      </c>
    </row>
    <row r="2778" spans="1:17" x14ac:dyDescent="0.25">
      <c r="A2778">
        <v>731704</v>
      </c>
      <c r="B2778" t="s">
        <v>4090</v>
      </c>
      <c r="C2778" t="s">
        <v>78</v>
      </c>
      <c r="D2778" t="s">
        <v>78</v>
      </c>
      <c r="E2778" t="s">
        <v>78</v>
      </c>
      <c r="F2778" t="s">
        <v>78</v>
      </c>
      <c r="G2778" t="s">
        <v>78</v>
      </c>
      <c r="H2778">
        <v>16.7</v>
      </c>
      <c r="I2778" s="1">
        <v>0</v>
      </c>
      <c r="J2778" s="1">
        <v>0</v>
      </c>
      <c r="K2778">
        <v>0</v>
      </c>
      <c r="L2778">
        <v>16.899999999999999</v>
      </c>
      <c r="M2778">
        <v>17.2</v>
      </c>
      <c r="N2778" s="1">
        <v>7000000</v>
      </c>
      <c r="O2778">
        <v>17.2</v>
      </c>
      <c r="P2778">
        <v>25.1</v>
      </c>
      <c r="Q2778">
        <v>9.3000000000000007</v>
      </c>
    </row>
    <row r="2779" spans="1:17" x14ac:dyDescent="0.25">
      <c r="A2779">
        <v>731705</v>
      </c>
      <c r="B2779" t="s">
        <v>4091</v>
      </c>
      <c r="C2779" t="s">
        <v>78</v>
      </c>
      <c r="D2779" t="s">
        <v>78</v>
      </c>
      <c r="E2779" t="s">
        <v>78</v>
      </c>
      <c r="F2779" t="s">
        <v>78</v>
      </c>
      <c r="G2779" t="s">
        <v>78</v>
      </c>
      <c r="H2779">
        <v>0.43</v>
      </c>
      <c r="I2779" s="1">
        <v>0</v>
      </c>
      <c r="J2779" s="1">
        <v>0</v>
      </c>
      <c r="K2779">
        <v>0</v>
      </c>
      <c r="L2779">
        <v>0.05</v>
      </c>
      <c r="M2779">
        <v>7.0000000000000007E-2</v>
      </c>
      <c r="N2779" s="1">
        <v>5000000</v>
      </c>
      <c r="O2779">
        <v>7.0000000000000007E-2</v>
      </c>
      <c r="P2779">
        <v>0.78</v>
      </c>
      <c r="Q2779">
        <v>0.01</v>
      </c>
    </row>
    <row r="2780" spans="1:17" x14ac:dyDescent="0.25">
      <c r="A2780">
        <v>731706</v>
      </c>
      <c r="B2780" t="s">
        <v>4092</v>
      </c>
      <c r="C2780">
        <v>1.27</v>
      </c>
      <c r="D2780">
        <v>0.03</v>
      </c>
      <c r="E2780">
        <v>1.29</v>
      </c>
      <c r="F2780">
        <v>1.29</v>
      </c>
      <c r="G2780">
        <v>1.23</v>
      </c>
      <c r="H2780">
        <v>1.26</v>
      </c>
      <c r="I2780" s="1">
        <v>85000</v>
      </c>
      <c r="J2780" s="1">
        <v>107270</v>
      </c>
      <c r="K2780">
        <v>8</v>
      </c>
      <c r="L2780">
        <v>1.23</v>
      </c>
      <c r="M2780">
        <v>1.24</v>
      </c>
      <c r="N2780" s="1">
        <v>10000000</v>
      </c>
      <c r="O2780">
        <v>1.27</v>
      </c>
      <c r="P2780">
        <v>2.67</v>
      </c>
      <c r="Q2780">
        <v>0.01</v>
      </c>
    </row>
    <row r="2781" spans="1:17" x14ac:dyDescent="0.25">
      <c r="A2781">
        <v>731707</v>
      </c>
      <c r="B2781" t="s">
        <v>4093</v>
      </c>
      <c r="C2781">
        <v>0.2</v>
      </c>
      <c r="D2781">
        <v>-0.01</v>
      </c>
      <c r="E2781">
        <v>0.22</v>
      </c>
      <c r="F2781">
        <v>0.23</v>
      </c>
      <c r="G2781">
        <v>0.2</v>
      </c>
      <c r="H2781">
        <v>0.22</v>
      </c>
      <c r="I2781" s="1">
        <v>170000</v>
      </c>
      <c r="J2781" s="1">
        <v>37240</v>
      </c>
      <c r="K2781">
        <v>7</v>
      </c>
      <c r="L2781">
        <v>0.2</v>
      </c>
      <c r="M2781">
        <v>0.21</v>
      </c>
      <c r="N2781" s="1">
        <v>5000000</v>
      </c>
      <c r="O2781">
        <v>0.2</v>
      </c>
      <c r="P2781">
        <v>0.78</v>
      </c>
      <c r="Q2781">
        <v>0.01</v>
      </c>
    </row>
    <row r="2782" spans="1:17" x14ac:dyDescent="0.25">
      <c r="A2782">
        <v>731708</v>
      </c>
      <c r="B2782" t="s">
        <v>4094</v>
      </c>
      <c r="C2782">
        <v>1.03</v>
      </c>
      <c r="D2782">
        <v>0.11</v>
      </c>
      <c r="E2782">
        <v>0.88</v>
      </c>
      <c r="F2782">
        <v>1.08</v>
      </c>
      <c r="G2782">
        <v>0.88</v>
      </c>
      <c r="H2782">
        <v>0.97</v>
      </c>
      <c r="I2782" s="1">
        <v>237000</v>
      </c>
      <c r="J2782" s="1">
        <v>230760</v>
      </c>
      <c r="K2782">
        <v>24</v>
      </c>
      <c r="L2782">
        <v>1</v>
      </c>
      <c r="M2782">
        <v>1.01</v>
      </c>
      <c r="N2782" s="1">
        <v>5000000</v>
      </c>
      <c r="O2782">
        <v>1.03</v>
      </c>
      <c r="P2782">
        <v>1.87</v>
      </c>
      <c r="Q2782">
        <v>0.19</v>
      </c>
    </row>
    <row r="2783" spans="1:17" x14ac:dyDescent="0.25">
      <c r="A2783">
        <v>731709</v>
      </c>
      <c r="B2783" t="s">
        <v>4095</v>
      </c>
      <c r="C2783">
        <v>0.03</v>
      </c>
      <c r="D2783">
        <v>-0.01</v>
      </c>
      <c r="E2783">
        <v>0.03</v>
      </c>
      <c r="F2783">
        <v>0.03</v>
      </c>
      <c r="G2783">
        <v>0.03</v>
      </c>
      <c r="H2783">
        <v>0.03</v>
      </c>
      <c r="I2783" s="1">
        <v>10000</v>
      </c>
      <c r="J2783" s="1">
        <v>300</v>
      </c>
      <c r="K2783">
        <v>1</v>
      </c>
      <c r="L2783">
        <v>0.03</v>
      </c>
      <c r="M2783">
        <v>0.1</v>
      </c>
      <c r="N2783" s="1">
        <v>5000000</v>
      </c>
      <c r="O2783">
        <v>0.03</v>
      </c>
      <c r="P2783">
        <v>1.1100000000000001</v>
      </c>
      <c r="Q2783">
        <v>0.01</v>
      </c>
    </row>
    <row r="2784" spans="1:17" x14ac:dyDescent="0.25">
      <c r="A2784">
        <v>731710</v>
      </c>
      <c r="B2784" t="s">
        <v>4096</v>
      </c>
      <c r="C2784">
        <v>0.08</v>
      </c>
      <c r="D2784">
        <v>0.03</v>
      </c>
      <c r="E2784">
        <v>0.06</v>
      </c>
      <c r="F2784">
        <v>0.08</v>
      </c>
      <c r="G2784">
        <v>0.06</v>
      </c>
      <c r="H2784">
        <v>7.0000000000000007E-2</v>
      </c>
      <c r="I2784" s="1">
        <v>2156000</v>
      </c>
      <c r="J2784" s="1">
        <v>156260</v>
      </c>
      <c r="K2784">
        <v>17</v>
      </c>
      <c r="L2784">
        <v>0.08</v>
      </c>
      <c r="M2784">
        <v>0.09</v>
      </c>
      <c r="N2784" s="1">
        <v>10000000</v>
      </c>
      <c r="O2784">
        <v>0.08</v>
      </c>
      <c r="P2784">
        <v>0.85</v>
      </c>
      <c r="Q2784">
        <v>0.01</v>
      </c>
    </row>
    <row r="2785" spans="1:17" x14ac:dyDescent="0.25">
      <c r="A2785">
        <v>731711</v>
      </c>
      <c r="B2785" t="s">
        <v>4097</v>
      </c>
      <c r="C2785" t="s">
        <v>78</v>
      </c>
      <c r="D2785" t="s">
        <v>78</v>
      </c>
      <c r="E2785" t="s">
        <v>78</v>
      </c>
      <c r="F2785" t="s">
        <v>78</v>
      </c>
      <c r="G2785" t="s">
        <v>78</v>
      </c>
      <c r="H2785">
        <v>3.76</v>
      </c>
      <c r="I2785" s="1">
        <v>0</v>
      </c>
      <c r="J2785" s="1">
        <v>0</v>
      </c>
      <c r="K2785">
        <v>0</v>
      </c>
      <c r="L2785">
        <v>5.05</v>
      </c>
      <c r="M2785">
        <v>0</v>
      </c>
      <c r="N2785" s="1">
        <v>5000000</v>
      </c>
      <c r="O2785">
        <v>5.35</v>
      </c>
      <c r="P2785">
        <v>6.85</v>
      </c>
      <c r="Q2785">
        <v>3.85</v>
      </c>
    </row>
    <row r="2786" spans="1:17" x14ac:dyDescent="0.25">
      <c r="A2786">
        <v>731712</v>
      </c>
      <c r="B2786" t="s">
        <v>4098</v>
      </c>
      <c r="C2786" t="s">
        <v>78</v>
      </c>
      <c r="D2786" t="s">
        <v>78</v>
      </c>
      <c r="E2786" t="s">
        <v>78</v>
      </c>
      <c r="F2786" t="s">
        <v>78</v>
      </c>
      <c r="G2786" t="s">
        <v>78</v>
      </c>
      <c r="H2786">
        <v>10.130000000000001</v>
      </c>
      <c r="I2786" s="1">
        <v>0</v>
      </c>
      <c r="J2786" s="1">
        <v>0</v>
      </c>
      <c r="K2786">
        <v>0</v>
      </c>
      <c r="L2786">
        <v>0</v>
      </c>
      <c r="M2786">
        <v>0</v>
      </c>
      <c r="N2786" s="1">
        <v>5000000</v>
      </c>
      <c r="O2786">
        <v>12.4</v>
      </c>
      <c r="P2786">
        <v>15.2</v>
      </c>
      <c r="Q2786">
        <v>9.6</v>
      </c>
    </row>
    <row r="2787" spans="1:17" x14ac:dyDescent="0.25">
      <c r="A2787">
        <v>731713</v>
      </c>
      <c r="B2787" t="s">
        <v>4099</v>
      </c>
      <c r="C2787">
        <v>1.76</v>
      </c>
      <c r="D2787">
        <v>0</v>
      </c>
      <c r="E2787">
        <v>1.85</v>
      </c>
      <c r="F2787">
        <v>1.94</v>
      </c>
      <c r="G2787">
        <v>1.76</v>
      </c>
      <c r="H2787">
        <v>1.79</v>
      </c>
      <c r="I2787" s="1">
        <v>150000</v>
      </c>
      <c r="J2787" s="1">
        <v>269130</v>
      </c>
      <c r="K2787">
        <v>7</v>
      </c>
      <c r="L2787">
        <v>1.66</v>
      </c>
      <c r="M2787">
        <v>1.74</v>
      </c>
      <c r="N2787" s="1">
        <v>10000000</v>
      </c>
      <c r="O2787">
        <v>1.76</v>
      </c>
      <c r="P2787">
        <v>3.56</v>
      </c>
      <c r="Q2787">
        <v>0.01</v>
      </c>
    </row>
    <row r="2788" spans="1:17" x14ac:dyDescent="0.25">
      <c r="A2788">
        <v>731714</v>
      </c>
      <c r="B2788" t="s">
        <v>4100</v>
      </c>
      <c r="C2788">
        <v>0.87</v>
      </c>
      <c r="D2788">
        <v>-0.09</v>
      </c>
      <c r="E2788">
        <v>0.85</v>
      </c>
      <c r="F2788">
        <v>0.94</v>
      </c>
      <c r="G2788">
        <v>0.82</v>
      </c>
      <c r="H2788">
        <v>0.86</v>
      </c>
      <c r="I2788" s="1">
        <v>449000</v>
      </c>
      <c r="J2788" s="1">
        <v>386070</v>
      </c>
      <c r="K2788">
        <v>9</v>
      </c>
      <c r="L2788">
        <v>0.87</v>
      </c>
      <c r="M2788">
        <v>0.91</v>
      </c>
      <c r="N2788" s="1">
        <v>10000000</v>
      </c>
      <c r="O2788">
        <v>0.87</v>
      </c>
      <c r="P2788">
        <v>3.19</v>
      </c>
      <c r="Q2788">
        <v>0.01</v>
      </c>
    </row>
    <row r="2789" spans="1:17" x14ac:dyDescent="0.25">
      <c r="A2789">
        <v>731715</v>
      </c>
      <c r="B2789" t="s">
        <v>4101</v>
      </c>
      <c r="C2789">
        <v>0.51</v>
      </c>
      <c r="D2789">
        <v>-0.02</v>
      </c>
      <c r="E2789">
        <v>0.5</v>
      </c>
      <c r="F2789">
        <v>0.51</v>
      </c>
      <c r="G2789">
        <v>0.46</v>
      </c>
      <c r="H2789">
        <v>0.49</v>
      </c>
      <c r="I2789" s="1">
        <v>1363000</v>
      </c>
      <c r="J2789" s="1">
        <v>671690</v>
      </c>
      <c r="K2789">
        <v>36</v>
      </c>
      <c r="L2789">
        <v>0.51</v>
      </c>
      <c r="M2789">
        <v>0.56000000000000005</v>
      </c>
      <c r="N2789" s="1">
        <v>5000000</v>
      </c>
      <c r="O2789">
        <v>0.51</v>
      </c>
      <c r="P2789">
        <v>1.36</v>
      </c>
      <c r="Q2789">
        <v>0.01</v>
      </c>
    </row>
    <row r="2790" spans="1:17" x14ac:dyDescent="0.25">
      <c r="A2790">
        <v>731716</v>
      </c>
      <c r="B2790" t="s">
        <v>4102</v>
      </c>
      <c r="C2790" t="s">
        <v>78</v>
      </c>
      <c r="D2790" t="s">
        <v>78</v>
      </c>
      <c r="E2790" t="s">
        <v>78</v>
      </c>
      <c r="F2790" t="s">
        <v>78</v>
      </c>
      <c r="G2790" t="s">
        <v>78</v>
      </c>
      <c r="H2790">
        <v>0.28000000000000003</v>
      </c>
      <c r="I2790" s="1">
        <v>0</v>
      </c>
      <c r="J2790" s="1">
        <v>0</v>
      </c>
      <c r="K2790">
        <v>0</v>
      </c>
      <c r="L2790">
        <v>0.26</v>
      </c>
      <c r="M2790">
        <v>0.27</v>
      </c>
      <c r="N2790" s="1">
        <v>10000000</v>
      </c>
      <c r="O2790">
        <v>0.27</v>
      </c>
      <c r="P2790">
        <v>0.75</v>
      </c>
      <c r="Q2790">
        <v>0.01</v>
      </c>
    </row>
    <row r="2791" spans="1:17" x14ac:dyDescent="0.25">
      <c r="A2791">
        <v>731717</v>
      </c>
      <c r="B2791" t="s">
        <v>4103</v>
      </c>
      <c r="C2791">
        <v>0.89</v>
      </c>
      <c r="D2791">
        <v>0.05</v>
      </c>
      <c r="E2791">
        <v>0.89</v>
      </c>
      <c r="F2791">
        <v>0.89</v>
      </c>
      <c r="G2791">
        <v>0.86</v>
      </c>
      <c r="H2791">
        <v>0.89</v>
      </c>
      <c r="I2791" s="1">
        <v>938000</v>
      </c>
      <c r="J2791" s="1">
        <v>830780</v>
      </c>
      <c r="K2791">
        <v>12</v>
      </c>
      <c r="L2791">
        <v>0.87</v>
      </c>
      <c r="M2791">
        <v>0.89</v>
      </c>
      <c r="N2791" s="1">
        <v>5000000</v>
      </c>
      <c r="O2791">
        <v>0.89</v>
      </c>
      <c r="P2791">
        <v>1.89</v>
      </c>
      <c r="Q2791">
        <v>0.01</v>
      </c>
    </row>
    <row r="2792" spans="1:17" x14ac:dyDescent="0.25">
      <c r="A2792">
        <v>731718</v>
      </c>
      <c r="B2792" t="s">
        <v>4104</v>
      </c>
      <c r="C2792">
        <v>0.26</v>
      </c>
      <c r="D2792">
        <v>-0.08</v>
      </c>
      <c r="E2792">
        <v>0.38</v>
      </c>
      <c r="F2792">
        <v>0.38</v>
      </c>
      <c r="G2792">
        <v>0.26</v>
      </c>
      <c r="H2792">
        <v>0.32</v>
      </c>
      <c r="I2792" s="1">
        <v>2045000</v>
      </c>
      <c r="J2792" s="1">
        <v>647430</v>
      </c>
      <c r="K2792">
        <v>49</v>
      </c>
      <c r="L2792">
        <v>0.26</v>
      </c>
      <c r="M2792">
        <v>0.28000000000000003</v>
      </c>
      <c r="N2792" s="1">
        <v>5000000</v>
      </c>
      <c r="O2792">
        <v>0.26</v>
      </c>
      <c r="P2792">
        <v>1.33</v>
      </c>
      <c r="Q2792">
        <v>0.01</v>
      </c>
    </row>
    <row r="2793" spans="1:17" x14ac:dyDescent="0.25">
      <c r="A2793">
        <v>731719</v>
      </c>
      <c r="B2793" t="s">
        <v>4105</v>
      </c>
      <c r="C2793">
        <v>0.81</v>
      </c>
      <c r="D2793">
        <v>0.04</v>
      </c>
      <c r="E2793">
        <v>0.9</v>
      </c>
      <c r="F2793">
        <v>0.9</v>
      </c>
      <c r="G2793">
        <v>0.79</v>
      </c>
      <c r="H2793">
        <v>0.83</v>
      </c>
      <c r="I2793" s="1">
        <v>422000</v>
      </c>
      <c r="J2793" s="1">
        <v>350010</v>
      </c>
      <c r="K2793">
        <v>6</v>
      </c>
      <c r="L2793">
        <v>0.85</v>
      </c>
      <c r="M2793">
        <v>0.86</v>
      </c>
      <c r="N2793" s="1">
        <v>10000000</v>
      </c>
      <c r="O2793">
        <v>0.81</v>
      </c>
      <c r="P2793">
        <v>2.0499999999999998</v>
      </c>
      <c r="Q2793">
        <v>0.01</v>
      </c>
    </row>
    <row r="2794" spans="1:17" x14ac:dyDescent="0.25">
      <c r="A2794">
        <v>731720</v>
      </c>
      <c r="B2794" t="s">
        <v>4106</v>
      </c>
      <c r="C2794">
        <v>0.17</v>
      </c>
      <c r="D2794">
        <v>0.01</v>
      </c>
      <c r="E2794">
        <v>0.18</v>
      </c>
      <c r="F2794">
        <v>0.18</v>
      </c>
      <c r="G2794">
        <v>0.16</v>
      </c>
      <c r="H2794">
        <v>0.18</v>
      </c>
      <c r="I2794" s="1">
        <v>96000</v>
      </c>
      <c r="J2794" s="1">
        <v>16820</v>
      </c>
      <c r="K2794">
        <v>6</v>
      </c>
      <c r="L2794">
        <v>0.16</v>
      </c>
      <c r="M2794">
        <v>0.17</v>
      </c>
      <c r="N2794" s="1">
        <v>12500000</v>
      </c>
      <c r="O2794">
        <v>0.17</v>
      </c>
      <c r="P2794">
        <v>0.74</v>
      </c>
      <c r="Q2794">
        <v>0.01</v>
      </c>
    </row>
    <row r="2795" spans="1:17" x14ac:dyDescent="0.25">
      <c r="A2795">
        <v>731721</v>
      </c>
      <c r="B2795" t="s">
        <v>4107</v>
      </c>
      <c r="C2795">
        <v>0.56000000000000005</v>
      </c>
      <c r="D2795">
        <v>-0.03</v>
      </c>
      <c r="E2795">
        <v>0.57999999999999996</v>
      </c>
      <c r="F2795">
        <v>0.57999999999999996</v>
      </c>
      <c r="G2795">
        <v>0.56000000000000005</v>
      </c>
      <c r="H2795">
        <v>0.57999999999999996</v>
      </c>
      <c r="I2795" s="1">
        <v>235000</v>
      </c>
      <c r="J2795" s="1">
        <v>135800</v>
      </c>
      <c r="K2795">
        <v>5</v>
      </c>
      <c r="L2795">
        <v>0.56999999999999995</v>
      </c>
      <c r="M2795">
        <v>0.62</v>
      </c>
      <c r="N2795" s="1">
        <v>10000000</v>
      </c>
      <c r="O2795">
        <v>0.56000000000000005</v>
      </c>
      <c r="P2795">
        <v>1.1200000000000001</v>
      </c>
      <c r="Q2795">
        <v>0.01</v>
      </c>
    </row>
    <row r="2796" spans="1:17" x14ac:dyDescent="0.25">
      <c r="A2796">
        <v>731722</v>
      </c>
      <c r="B2796" t="s">
        <v>4108</v>
      </c>
      <c r="C2796">
        <v>1.48</v>
      </c>
      <c r="D2796">
        <v>0.08</v>
      </c>
      <c r="E2796">
        <v>1.36</v>
      </c>
      <c r="F2796">
        <v>1.48</v>
      </c>
      <c r="G2796">
        <v>1.36</v>
      </c>
      <c r="H2796">
        <v>1.36</v>
      </c>
      <c r="I2796" s="1">
        <v>41000</v>
      </c>
      <c r="J2796" s="1">
        <v>55880</v>
      </c>
      <c r="K2796">
        <v>2</v>
      </c>
      <c r="L2796">
        <v>1.39</v>
      </c>
      <c r="M2796">
        <v>1.42</v>
      </c>
      <c r="N2796" s="1">
        <v>10000000</v>
      </c>
      <c r="O2796">
        <v>1.48</v>
      </c>
      <c r="P2796">
        <v>2.64</v>
      </c>
      <c r="Q2796">
        <v>0.32</v>
      </c>
    </row>
    <row r="2797" spans="1:17" x14ac:dyDescent="0.25">
      <c r="A2797">
        <v>731723</v>
      </c>
      <c r="B2797" t="s">
        <v>4109</v>
      </c>
      <c r="C2797" t="s">
        <v>78</v>
      </c>
      <c r="D2797" t="s">
        <v>78</v>
      </c>
      <c r="E2797" t="s">
        <v>78</v>
      </c>
      <c r="F2797" t="s">
        <v>78</v>
      </c>
      <c r="G2797" t="s">
        <v>78</v>
      </c>
      <c r="H2797">
        <v>0.04</v>
      </c>
      <c r="I2797" s="1">
        <v>0</v>
      </c>
      <c r="J2797" s="1">
        <v>0</v>
      </c>
      <c r="K2797">
        <v>0</v>
      </c>
      <c r="L2797">
        <v>0.02</v>
      </c>
      <c r="M2797">
        <v>7.0000000000000007E-2</v>
      </c>
      <c r="N2797" s="1">
        <v>10000000</v>
      </c>
      <c r="O2797">
        <v>0.04</v>
      </c>
      <c r="P2797">
        <v>0.67</v>
      </c>
      <c r="Q2797">
        <v>0.01</v>
      </c>
    </row>
    <row r="2798" spans="1:17" x14ac:dyDescent="0.25">
      <c r="A2798">
        <v>731724</v>
      </c>
      <c r="B2798" t="s">
        <v>4110</v>
      </c>
      <c r="C2798">
        <v>1.41</v>
      </c>
      <c r="D2798">
        <v>-0.09</v>
      </c>
      <c r="E2798">
        <v>1.41</v>
      </c>
      <c r="F2798">
        <v>1.41</v>
      </c>
      <c r="G2798">
        <v>1.41</v>
      </c>
      <c r="H2798">
        <v>1.41</v>
      </c>
      <c r="I2798" s="1">
        <v>99000</v>
      </c>
      <c r="J2798" s="1">
        <v>139590</v>
      </c>
      <c r="K2798">
        <v>2</v>
      </c>
      <c r="L2798">
        <v>1.4</v>
      </c>
      <c r="M2798">
        <v>1.41</v>
      </c>
      <c r="N2798" s="1">
        <v>5000000</v>
      </c>
      <c r="O2798">
        <v>1.41</v>
      </c>
      <c r="P2798">
        <v>2.4</v>
      </c>
      <c r="Q2798">
        <v>0.42</v>
      </c>
    </row>
    <row r="2799" spans="1:17" x14ac:dyDescent="0.25">
      <c r="A2799">
        <v>731725</v>
      </c>
      <c r="B2799" t="s">
        <v>4111</v>
      </c>
      <c r="C2799">
        <v>0.84</v>
      </c>
      <c r="D2799">
        <v>-7.0000000000000007E-2</v>
      </c>
      <c r="E2799">
        <v>0.93</v>
      </c>
      <c r="F2799">
        <v>0.93</v>
      </c>
      <c r="G2799">
        <v>0.84</v>
      </c>
      <c r="H2799">
        <v>0.9</v>
      </c>
      <c r="I2799" s="1">
        <v>30000</v>
      </c>
      <c r="J2799" s="1">
        <v>27000</v>
      </c>
      <c r="K2799">
        <v>3</v>
      </c>
      <c r="L2799">
        <v>0.82</v>
      </c>
      <c r="M2799">
        <v>0.83</v>
      </c>
      <c r="N2799" s="1">
        <v>5000000</v>
      </c>
      <c r="O2799">
        <v>0.84</v>
      </c>
      <c r="P2799">
        <v>2.33</v>
      </c>
      <c r="Q2799">
        <v>0.01</v>
      </c>
    </row>
    <row r="2800" spans="1:17" x14ac:dyDescent="0.25">
      <c r="A2800">
        <v>731726</v>
      </c>
      <c r="B2800" t="s">
        <v>4112</v>
      </c>
      <c r="C2800" t="s">
        <v>78</v>
      </c>
      <c r="D2800" t="s">
        <v>78</v>
      </c>
      <c r="E2800" t="s">
        <v>78</v>
      </c>
      <c r="F2800" t="s">
        <v>78</v>
      </c>
      <c r="G2800" t="s">
        <v>78</v>
      </c>
      <c r="H2800">
        <v>0.16</v>
      </c>
      <c r="I2800" s="1">
        <v>0</v>
      </c>
      <c r="J2800" s="1">
        <v>0</v>
      </c>
      <c r="K2800">
        <v>0</v>
      </c>
      <c r="L2800">
        <v>0.16</v>
      </c>
      <c r="M2800">
        <v>0.17</v>
      </c>
      <c r="N2800" s="1">
        <v>10000000</v>
      </c>
      <c r="O2800">
        <v>0.16</v>
      </c>
      <c r="P2800">
        <v>0.72</v>
      </c>
      <c r="Q2800">
        <v>0.01</v>
      </c>
    </row>
    <row r="2801" spans="1:17" x14ac:dyDescent="0.25">
      <c r="A2801">
        <v>731727</v>
      </c>
      <c r="B2801" t="s">
        <v>4113</v>
      </c>
      <c r="C2801">
        <v>1.49</v>
      </c>
      <c r="D2801">
        <v>-0.01</v>
      </c>
      <c r="E2801">
        <v>1.56</v>
      </c>
      <c r="F2801">
        <v>1.56</v>
      </c>
      <c r="G2801">
        <v>1.49</v>
      </c>
      <c r="H2801">
        <v>1.52</v>
      </c>
      <c r="I2801" s="1">
        <v>20000</v>
      </c>
      <c r="J2801" s="1">
        <v>30500</v>
      </c>
      <c r="K2801">
        <v>4</v>
      </c>
      <c r="L2801">
        <v>1.4</v>
      </c>
      <c r="M2801">
        <v>1.45</v>
      </c>
      <c r="N2801" s="1">
        <v>10000000</v>
      </c>
      <c r="O2801">
        <v>1.49</v>
      </c>
      <c r="P2801">
        <v>2.37</v>
      </c>
      <c r="Q2801">
        <v>0.61</v>
      </c>
    </row>
    <row r="2802" spans="1:17" x14ac:dyDescent="0.25">
      <c r="A2802">
        <v>731728</v>
      </c>
      <c r="B2802" t="s">
        <v>4114</v>
      </c>
      <c r="C2802" t="s">
        <v>78</v>
      </c>
      <c r="D2802" t="s">
        <v>78</v>
      </c>
      <c r="E2802" t="s">
        <v>78</v>
      </c>
      <c r="F2802" t="s">
        <v>78</v>
      </c>
      <c r="G2802" t="s">
        <v>78</v>
      </c>
      <c r="H2802">
        <v>5.1100000000000003</v>
      </c>
      <c r="I2802" s="1">
        <v>0</v>
      </c>
      <c r="J2802" s="1">
        <v>0</v>
      </c>
      <c r="K2802">
        <v>0</v>
      </c>
      <c r="L2802">
        <v>5.9</v>
      </c>
      <c r="M2802">
        <v>6.4</v>
      </c>
      <c r="N2802" s="1">
        <v>5000000</v>
      </c>
      <c r="O2802">
        <v>5.9</v>
      </c>
      <c r="P2802">
        <v>7.75</v>
      </c>
      <c r="Q2802">
        <v>4.01</v>
      </c>
    </row>
    <row r="2803" spans="1:17" x14ac:dyDescent="0.25">
      <c r="A2803">
        <v>731729</v>
      </c>
      <c r="B2803" t="s">
        <v>4115</v>
      </c>
      <c r="C2803">
        <v>0.48</v>
      </c>
      <c r="D2803">
        <v>-0.03</v>
      </c>
      <c r="E2803">
        <v>0.5</v>
      </c>
      <c r="F2803">
        <v>0.5</v>
      </c>
      <c r="G2803">
        <v>0.48</v>
      </c>
      <c r="H2803">
        <v>0.49</v>
      </c>
      <c r="I2803" s="1">
        <v>140000</v>
      </c>
      <c r="J2803" s="1">
        <v>68000</v>
      </c>
      <c r="K2803">
        <v>6</v>
      </c>
      <c r="L2803">
        <v>0.47</v>
      </c>
      <c r="M2803">
        <v>0.49</v>
      </c>
      <c r="N2803" s="1">
        <v>5000000</v>
      </c>
      <c r="O2803">
        <v>0.48</v>
      </c>
      <c r="P2803">
        <v>1.51</v>
      </c>
      <c r="Q2803">
        <v>0.01</v>
      </c>
    </row>
    <row r="2804" spans="1:17" x14ac:dyDescent="0.25">
      <c r="A2804">
        <v>731730</v>
      </c>
      <c r="B2804" t="s">
        <v>4116</v>
      </c>
      <c r="C2804" t="s">
        <v>78</v>
      </c>
      <c r="D2804" t="s">
        <v>78</v>
      </c>
      <c r="E2804" t="s">
        <v>78</v>
      </c>
      <c r="F2804" t="s">
        <v>78</v>
      </c>
      <c r="G2804" t="s">
        <v>78</v>
      </c>
      <c r="H2804">
        <v>0.11</v>
      </c>
      <c r="I2804" s="1">
        <v>0</v>
      </c>
      <c r="J2804" s="1">
        <v>0</v>
      </c>
      <c r="K2804">
        <v>0</v>
      </c>
      <c r="L2804">
        <v>0.11</v>
      </c>
      <c r="M2804">
        <v>0.12</v>
      </c>
      <c r="N2804" s="1">
        <v>10000000</v>
      </c>
      <c r="O2804">
        <v>0.11</v>
      </c>
      <c r="P2804">
        <v>0.67</v>
      </c>
      <c r="Q2804">
        <v>0.01</v>
      </c>
    </row>
    <row r="2805" spans="1:17" x14ac:dyDescent="0.25">
      <c r="A2805">
        <v>731731</v>
      </c>
      <c r="B2805" t="s">
        <v>4117</v>
      </c>
      <c r="C2805" t="s">
        <v>78</v>
      </c>
      <c r="D2805" t="s">
        <v>78</v>
      </c>
      <c r="E2805" t="s">
        <v>78</v>
      </c>
      <c r="F2805" t="s">
        <v>78</v>
      </c>
      <c r="G2805" t="s">
        <v>78</v>
      </c>
      <c r="H2805">
        <v>0.24</v>
      </c>
      <c r="I2805" s="1">
        <v>0</v>
      </c>
      <c r="J2805" s="1">
        <v>0</v>
      </c>
      <c r="K2805">
        <v>0</v>
      </c>
      <c r="L2805">
        <v>0.26</v>
      </c>
      <c r="M2805">
        <v>0.27</v>
      </c>
      <c r="N2805" s="1">
        <v>5000000</v>
      </c>
      <c r="O2805">
        <v>0.26</v>
      </c>
      <c r="P2805">
        <v>0.96</v>
      </c>
      <c r="Q2805">
        <v>0.01</v>
      </c>
    </row>
    <row r="2806" spans="1:17" x14ac:dyDescent="0.25">
      <c r="A2806">
        <v>731732</v>
      </c>
      <c r="B2806" t="s">
        <v>4118</v>
      </c>
      <c r="C2806" t="s">
        <v>78</v>
      </c>
      <c r="D2806" t="s">
        <v>78</v>
      </c>
      <c r="E2806" t="s">
        <v>78</v>
      </c>
      <c r="F2806" t="s">
        <v>78</v>
      </c>
      <c r="G2806" t="s">
        <v>78</v>
      </c>
      <c r="H2806">
        <v>0.24</v>
      </c>
      <c r="I2806" s="1">
        <v>0</v>
      </c>
      <c r="J2806" s="1">
        <v>0</v>
      </c>
      <c r="K2806">
        <v>0</v>
      </c>
      <c r="L2806">
        <v>0.21</v>
      </c>
      <c r="M2806">
        <v>0.22</v>
      </c>
      <c r="N2806" s="1">
        <v>5009000</v>
      </c>
      <c r="O2806">
        <v>0.22</v>
      </c>
      <c r="P2806">
        <v>0.71</v>
      </c>
      <c r="Q2806">
        <v>0.01</v>
      </c>
    </row>
    <row r="2807" spans="1:17" x14ac:dyDescent="0.25">
      <c r="A2807">
        <v>731733</v>
      </c>
      <c r="B2807" t="s">
        <v>4119</v>
      </c>
      <c r="C2807" t="s">
        <v>78</v>
      </c>
      <c r="D2807" t="s">
        <v>78</v>
      </c>
      <c r="E2807" t="s">
        <v>78</v>
      </c>
      <c r="F2807" t="s">
        <v>78</v>
      </c>
      <c r="G2807" t="s">
        <v>78</v>
      </c>
      <c r="H2807">
        <v>0.94</v>
      </c>
      <c r="I2807" s="1">
        <v>0</v>
      </c>
      <c r="J2807" s="1">
        <v>0</v>
      </c>
      <c r="K2807">
        <v>0</v>
      </c>
      <c r="L2807">
        <v>0.79</v>
      </c>
      <c r="M2807">
        <v>0.84</v>
      </c>
      <c r="N2807" s="1">
        <v>5000000</v>
      </c>
      <c r="O2807">
        <v>0.8</v>
      </c>
      <c r="P2807">
        <v>1.7</v>
      </c>
      <c r="Q2807">
        <v>0.01</v>
      </c>
    </row>
    <row r="2808" spans="1:17" x14ac:dyDescent="0.25">
      <c r="A2808">
        <v>731734</v>
      </c>
      <c r="B2808" t="s">
        <v>4120</v>
      </c>
      <c r="C2808">
        <v>0.92</v>
      </c>
      <c r="D2808">
        <v>-0.09</v>
      </c>
      <c r="E2808">
        <v>0.92</v>
      </c>
      <c r="F2808">
        <v>0.92</v>
      </c>
      <c r="G2808">
        <v>0.92</v>
      </c>
      <c r="H2808">
        <v>0.92</v>
      </c>
      <c r="I2808" s="1">
        <v>20000</v>
      </c>
      <c r="J2808" s="1">
        <v>18400</v>
      </c>
      <c r="K2808">
        <v>1</v>
      </c>
      <c r="L2808">
        <v>0.92</v>
      </c>
      <c r="M2808">
        <v>0.96</v>
      </c>
      <c r="N2808" s="1">
        <v>10000000</v>
      </c>
      <c r="O2808">
        <v>0.92</v>
      </c>
      <c r="P2808">
        <v>1.65</v>
      </c>
      <c r="Q2808">
        <v>0.19</v>
      </c>
    </row>
    <row r="2809" spans="1:17" x14ac:dyDescent="0.25">
      <c r="A2809">
        <v>731735</v>
      </c>
      <c r="B2809" t="s">
        <v>4121</v>
      </c>
      <c r="C2809">
        <v>0.13</v>
      </c>
      <c r="D2809">
        <v>0.03</v>
      </c>
      <c r="E2809">
        <v>0.13</v>
      </c>
      <c r="F2809">
        <v>0.13</v>
      </c>
      <c r="G2809">
        <v>0.13</v>
      </c>
      <c r="H2809">
        <v>0.13</v>
      </c>
      <c r="I2809" s="1">
        <v>17000</v>
      </c>
      <c r="J2809" s="1">
        <v>2210</v>
      </c>
      <c r="K2809">
        <v>1</v>
      </c>
      <c r="L2809">
        <v>0.11</v>
      </c>
      <c r="M2809">
        <v>0.12</v>
      </c>
      <c r="N2809" s="1">
        <v>10000000</v>
      </c>
      <c r="O2809">
        <v>0.13</v>
      </c>
      <c r="P2809">
        <v>0.86</v>
      </c>
      <c r="Q2809">
        <v>0.01</v>
      </c>
    </row>
    <row r="2810" spans="1:17" x14ac:dyDescent="0.25">
      <c r="A2810">
        <v>731736</v>
      </c>
      <c r="B2810" t="s">
        <v>4122</v>
      </c>
      <c r="C2810">
        <v>2.0299999999999998</v>
      </c>
      <c r="D2810">
        <v>0.04</v>
      </c>
      <c r="E2810">
        <v>1.92</v>
      </c>
      <c r="F2810">
        <v>2.0299999999999998</v>
      </c>
      <c r="G2810">
        <v>1.92</v>
      </c>
      <c r="H2810">
        <v>1.96</v>
      </c>
      <c r="I2810" s="1">
        <v>42000</v>
      </c>
      <c r="J2810" s="1">
        <v>82250</v>
      </c>
      <c r="K2810">
        <v>4</v>
      </c>
      <c r="L2810">
        <v>1.91</v>
      </c>
      <c r="M2810">
        <v>1.96</v>
      </c>
      <c r="N2810" s="1">
        <v>5000000</v>
      </c>
      <c r="O2810">
        <v>2.0299999999999998</v>
      </c>
      <c r="P2810">
        <v>3.3</v>
      </c>
      <c r="Q2810">
        <v>0.76</v>
      </c>
    </row>
    <row r="2811" spans="1:17" x14ac:dyDescent="0.25">
      <c r="A2811">
        <v>731737</v>
      </c>
      <c r="B2811" t="s">
        <v>4123</v>
      </c>
      <c r="C2811">
        <v>0.36</v>
      </c>
      <c r="D2811">
        <v>-0.03</v>
      </c>
      <c r="E2811">
        <v>0.36</v>
      </c>
      <c r="F2811">
        <v>0.36</v>
      </c>
      <c r="G2811">
        <v>0.36</v>
      </c>
      <c r="H2811">
        <v>0.36</v>
      </c>
      <c r="I2811" s="1">
        <v>30000</v>
      </c>
      <c r="J2811" s="1">
        <v>10800</v>
      </c>
      <c r="K2811">
        <v>2</v>
      </c>
      <c r="L2811">
        <v>0.36</v>
      </c>
      <c r="M2811">
        <v>0.37</v>
      </c>
      <c r="N2811" s="1">
        <v>5000000</v>
      </c>
      <c r="O2811">
        <v>0.36</v>
      </c>
      <c r="P2811">
        <v>1.36</v>
      </c>
      <c r="Q2811">
        <v>0.01</v>
      </c>
    </row>
    <row r="2812" spans="1:17" x14ac:dyDescent="0.25">
      <c r="A2812">
        <v>731738</v>
      </c>
      <c r="B2812" t="s">
        <v>4124</v>
      </c>
      <c r="C2812">
        <v>1.54</v>
      </c>
      <c r="D2812">
        <v>-0.1</v>
      </c>
      <c r="E2812">
        <v>1.54</v>
      </c>
      <c r="F2812">
        <v>1.55</v>
      </c>
      <c r="G2812">
        <v>1.54</v>
      </c>
      <c r="H2812">
        <v>1.54</v>
      </c>
      <c r="I2812" s="1">
        <v>40000</v>
      </c>
      <c r="J2812" s="1">
        <v>61700</v>
      </c>
      <c r="K2812">
        <v>3</v>
      </c>
      <c r="L2812">
        <v>1.46</v>
      </c>
      <c r="M2812">
        <v>1.5</v>
      </c>
      <c r="N2812" s="1">
        <v>5000000</v>
      </c>
      <c r="O2812">
        <v>1.54</v>
      </c>
      <c r="P2812">
        <v>2.5299999999999998</v>
      </c>
      <c r="Q2812">
        <v>0.55000000000000004</v>
      </c>
    </row>
    <row r="2813" spans="1:17" x14ac:dyDescent="0.25">
      <c r="A2813">
        <v>731739</v>
      </c>
      <c r="B2813" t="s">
        <v>4125</v>
      </c>
      <c r="C2813" t="s">
        <v>78</v>
      </c>
      <c r="D2813" t="s">
        <v>78</v>
      </c>
      <c r="E2813" t="s">
        <v>78</v>
      </c>
      <c r="F2813" t="s">
        <v>78</v>
      </c>
      <c r="G2813" t="s">
        <v>78</v>
      </c>
      <c r="H2813">
        <v>2.5299999999999998</v>
      </c>
      <c r="I2813" s="1">
        <v>0</v>
      </c>
      <c r="J2813" s="1">
        <v>0</v>
      </c>
      <c r="K2813">
        <v>0</v>
      </c>
      <c r="L2813">
        <v>2.4</v>
      </c>
      <c r="M2813">
        <v>0</v>
      </c>
      <c r="N2813" s="1">
        <v>10000000</v>
      </c>
      <c r="O2813">
        <v>2.57</v>
      </c>
      <c r="P2813">
        <v>3.3</v>
      </c>
      <c r="Q2813">
        <v>1.84</v>
      </c>
    </row>
    <row r="2814" spans="1:17" x14ac:dyDescent="0.25">
      <c r="A2814">
        <v>731740</v>
      </c>
      <c r="B2814" t="s">
        <v>4126</v>
      </c>
      <c r="C2814" t="s">
        <v>78</v>
      </c>
      <c r="D2814" t="s">
        <v>78</v>
      </c>
      <c r="E2814" t="s">
        <v>78</v>
      </c>
      <c r="F2814" t="s">
        <v>78</v>
      </c>
      <c r="G2814" t="s">
        <v>78</v>
      </c>
      <c r="H2814">
        <v>0.28000000000000003</v>
      </c>
      <c r="I2814" s="1">
        <v>0</v>
      </c>
      <c r="J2814" s="1">
        <v>0</v>
      </c>
      <c r="K2814">
        <v>0</v>
      </c>
      <c r="L2814">
        <v>0.12</v>
      </c>
      <c r="M2814">
        <v>0.13</v>
      </c>
      <c r="N2814" s="1">
        <v>5011000</v>
      </c>
      <c r="O2814">
        <v>0.13</v>
      </c>
      <c r="P2814">
        <v>0.7</v>
      </c>
      <c r="Q2814">
        <v>0.01</v>
      </c>
    </row>
    <row r="2815" spans="1:17" x14ac:dyDescent="0.25">
      <c r="A2815">
        <v>731741</v>
      </c>
      <c r="B2815" t="s">
        <v>4127</v>
      </c>
      <c r="C2815">
        <v>1.46</v>
      </c>
      <c r="D2815">
        <v>-0.01</v>
      </c>
      <c r="E2815">
        <v>1.47</v>
      </c>
      <c r="F2815">
        <v>1.47</v>
      </c>
      <c r="G2815">
        <v>1.46</v>
      </c>
      <c r="H2815">
        <v>1.46</v>
      </c>
      <c r="I2815" s="1">
        <v>20000</v>
      </c>
      <c r="J2815" s="1">
        <v>29300</v>
      </c>
      <c r="K2815">
        <v>3</v>
      </c>
      <c r="L2815">
        <v>1.36</v>
      </c>
      <c r="M2815">
        <v>1.4</v>
      </c>
      <c r="N2815" s="1">
        <v>10000000</v>
      </c>
      <c r="O2815">
        <v>1.46</v>
      </c>
      <c r="P2815">
        <v>2.0699999999999998</v>
      </c>
      <c r="Q2815">
        <v>0.85</v>
      </c>
    </row>
    <row r="2816" spans="1:17" x14ac:dyDescent="0.25">
      <c r="A2816">
        <v>731742</v>
      </c>
      <c r="B2816" t="s">
        <v>4128</v>
      </c>
      <c r="C2816" t="s">
        <v>78</v>
      </c>
      <c r="D2816" t="s">
        <v>78</v>
      </c>
      <c r="E2816" t="s">
        <v>78</v>
      </c>
      <c r="F2816" t="s">
        <v>78</v>
      </c>
      <c r="G2816" t="s">
        <v>78</v>
      </c>
      <c r="H2816">
        <v>0.13</v>
      </c>
      <c r="I2816" s="1">
        <v>0</v>
      </c>
      <c r="J2816" s="1">
        <v>0</v>
      </c>
      <c r="K2816">
        <v>0</v>
      </c>
      <c r="L2816">
        <v>0.12</v>
      </c>
      <c r="M2816">
        <v>0.13</v>
      </c>
      <c r="N2816" s="1">
        <v>5000000</v>
      </c>
      <c r="O2816">
        <v>0.13</v>
      </c>
      <c r="P2816">
        <v>0.73</v>
      </c>
      <c r="Q2816">
        <v>0.01</v>
      </c>
    </row>
    <row r="2817" spans="1:17" x14ac:dyDescent="0.25">
      <c r="A2817">
        <v>731743</v>
      </c>
      <c r="B2817" t="s">
        <v>4129</v>
      </c>
      <c r="C2817" t="s">
        <v>78</v>
      </c>
      <c r="D2817" t="s">
        <v>78</v>
      </c>
      <c r="E2817" t="s">
        <v>78</v>
      </c>
      <c r="F2817" t="s">
        <v>78</v>
      </c>
      <c r="G2817" t="s">
        <v>78</v>
      </c>
      <c r="H2817">
        <v>1.77</v>
      </c>
      <c r="I2817" s="1">
        <v>0</v>
      </c>
      <c r="J2817" s="1">
        <v>0</v>
      </c>
      <c r="K2817">
        <v>0</v>
      </c>
      <c r="L2817">
        <v>1.65</v>
      </c>
      <c r="M2817">
        <v>1.73</v>
      </c>
      <c r="N2817" s="1">
        <v>5000000</v>
      </c>
      <c r="O2817">
        <v>1.73</v>
      </c>
      <c r="P2817">
        <v>3.22</v>
      </c>
      <c r="Q2817">
        <v>0.24</v>
      </c>
    </row>
    <row r="2818" spans="1:17" x14ac:dyDescent="0.25">
      <c r="A2818">
        <v>731744</v>
      </c>
      <c r="B2818" t="s">
        <v>4130</v>
      </c>
      <c r="C2818">
        <v>1.05</v>
      </c>
      <c r="D2818">
        <v>-0.11</v>
      </c>
      <c r="E2818">
        <v>1.19</v>
      </c>
      <c r="F2818">
        <v>1.24</v>
      </c>
      <c r="G2818">
        <v>1.03</v>
      </c>
      <c r="H2818">
        <v>1.1399999999999999</v>
      </c>
      <c r="I2818" s="1">
        <v>725000</v>
      </c>
      <c r="J2818" s="1">
        <v>828160</v>
      </c>
      <c r="K2818">
        <v>35</v>
      </c>
      <c r="L2818">
        <v>1.04</v>
      </c>
      <c r="M2818">
        <v>1.05</v>
      </c>
      <c r="N2818" s="1">
        <v>5000000</v>
      </c>
      <c r="O2818">
        <v>1.05</v>
      </c>
      <c r="P2818">
        <v>3.03</v>
      </c>
      <c r="Q2818">
        <v>0.01</v>
      </c>
    </row>
    <row r="2819" spans="1:17" x14ac:dyDescent="0.25">
      <c r="A2819">
        <v>731745</v>
      </c>
      <c r="B2819" t="s">
        <v>4131</v>
      </c>
      <c r="C2819" t="s">
        <v>78</v>
      </c>
      <c r="D2819" t="s">
        <v>78</v>
      </c>
      <c r="E2819" t="s">
        <v>78</v>
      </c>
      <c r="F2819" t="s">
        <v>78</v>
      </c>
      <c r="G2819" t="s">
        <v>78</v>
      </c>
      <c r="H2819">
        <v>8.35</v>
      </c>
      <c r="I2819" s="1">
        <v>0</v>
      </c>
      <c r="J2819" s="1">
        <v>0</v>
      </c>
      <c r="K2819">
        <v>0</v>
      </c>
      <c r="L2819">
        <v>8.9499999999999993</v>
      </c>
      <c r="M2819">
        <v>9.4499999999999993</v>
      </c>
      <c r="N2819" s="1">
        <v>5000000</v>
      </c>
      <c r="O2819">
        <v>8.9499999999999993</v>
      </c>
      <c r="P2819">
        <v>12.4</v>
      </c>
      <c r="Q2819">
        <v>5.5</v>
      </c>
    </row>
    <row r="2820" spans="1:17" x14ac:dyDescent="0.25">
      <c r="A2820">
        <v>731746</v>
      </c>
      <c r="B2820" t="s">
        <v>4132</v>
      </c>
      <c r="C2820">
        <v>1.48</v>
      </c>
      <c r="D2820">
        <v>0.1</v>
      </c>
      <c r="E2820">
        <v>1.53</v>
      </c>
      <c r="F2820">
        <v>1.53</v>
      </c>
      <c r="G2820">
        <v>1.37</v>
      </c>
      <c r="H2820">
        <v>1.44</v>
      </c>
      <c r="I2820" s="1">
        <v>1112000</v>
      </c>
      <c r="J2820" s="1">
        <v>1606760</v>
      </c>
      <c r="K2820">
        <v>49</v>
      </c>
      <c r="L2820">
        <v>1.46</v>
      </c>
      <c r="M2820">
        <v>1.47</v>
      </c>
      <c r="N2820" s="1">
        <v>10000000</v>
      </c>
      <c r="O2820">
        <v>1.48</v>
      </c>
      <c r="P2820">
        <v>2.4</v>
      </c>
      <c r="Q2820">
        <v>0.56000000000000005</v>
      </c>
    </row>
    <row r="2821" spans="1:17" x14ac:dyDescent="0.25">
      <c r="A2821">
        <v>731747</v>
      </c>
      <c r="B2821" t="s">
        <v>4133</v>
      </c>
      <c r="C2821" t="s">
        <v>78</v>
      </c>
      <c r="D2821" t="s">
        <v>78</v>
      </c>
      <c r="E2821" t="s">
        <v>78</v>
      </c>
      <c r="F2821" t="s">
        <v>78</v>
      </c>
      <c r="G2821" t="s">
        <v>78</v>
      </c>
      <c r="H2821">
        <v>0.3</v>
      </c>
      <c r="I2821" s="1">
        <v>0</v>
      </c>
      <c r="J2821" s="1">
        <v>0</v>
      </c>
      <c r="K2821">
        <v>0</v>
      </c>
      <c r="L2821">
        <v>0.31</v>
      </c>
      <c r="M2821">
        <v>0.33</v>
      </c>
      <c r="N2821" s="1">
        <v>10000000</v>
      </c>
      <c r="O2821">
        <v>0.31</v>
      </c>
      <c r="P2821">
        <v>1.06</v>
      </c>
      <c r="Q2821">
        <v>0.01</v>
      </c>
    </row>
    <row r="2822" spans="1:17" x14ac:dyDescent="0.25">
      <c r="A2822">
        <v>731748</v>
      </c>
      <c r="B2822" t="s">
        <v>4134</v>
      </c>
      <c r="C2822" t="s">
        <v>78</v>
      </c>
      <c r="D2822" t="s">
        <v>78</v>
      </c>
      <c r="E2822" t="s">
        <v>78</v>
      </c>
      <c r="F2822" t="s">
        <v>78</v>
      </c>
      <c r="G2822" t="s">
        <v>78</v>
      </c>
      <c r="H2822">
        <v>0.25</v>
      </c>
      <c r="I2822" s="1">
        <v>0</v>
      </c>
      <c r="J2822" s="1">
        <v>0</v>
      </c>
      <c r="K2822">
        <v>0</v>
      </c>
      <c r="L2822">
        <v>0.02</v>
      </c>
      <c r="M2822">
        <v>0.25</v>
      </c>
      <c r="N2822" s="1">
        <v>5000000</v>
      </c>
      <c r="O2822">
        <v>0.25</v>
      </c>
      <c r="P2822">
        <v>1.1200000000000001</v>
      </c>
      <c r="Q2822">
        <v>0.01</v>
      </c>
    </row>
    <row r="2823" spans="1:17" x14ac:dyDescent="0.25">
      <c r="A2823">
        <v>731749</v>
      </c>
      <c r="B2823" t="s">
        <v>4135</v>
      </c>
      <c r="C2823" t="s">
        <v>78</v>
      </c>
      <c r="D2823" t="s">
        <v>78</v>
      </c>
      <c r="E2823" t="s">
        <v>78</v>
      </c>
      <c r="F2823" t="s">
        <v>78</v>
      </c>
      <c r="G2823" t="s">
        <v>78</v>
      </c>
      <c r="H2823">
        <v>0.1</v>
      </c>
      <c r="I2823" s="1">
        <v>0</v>
      </c>
      <c r="J2823" s="1">
        <v>0</v>
      </c>
      <c r="K2823">
        <v>0</v>
      </c>
      <c r="L2823">
        <v>0.01</v>
      </c>
      <c r="M2823">
        <v>0.1</v>
      </c>
      <c r="N2823" s="1">
        <v>5000000</v>
      </c>
      <c r="O2823">
        <v>0.1</v>
      </c>
      <c r="P2823">
        <v>1.26</v>
      </c>
      <c r="Q2823">
        <v>0.01</v>
      </c>
    </row>
    <row r="2824" spans="1:17" x14ac:dyDescent="0.25">
      <c r="A2824">
        <v>731750</v>
      </c>
      <c r="B2824" t="s">
        <v>4136</v>
      </c>
      <c r="C2824" t="s">
        <v>78</v>
      </c>
      <c r="D2824" t="s">
        <v>78</v>
      </c>
      <c r="E2824" t="s">
        <v>78</v>
      </c>
      <c r="F2824" t="s">
        <v>78</v>
      </c>
      <c r="G2824" t="s">
        <v>78</v>
      </c>
      <c r="H2824">
        <v>7.0000000000000007E-2</v>
      </c>
      <c r="I2824" s="1">
        <v>0</v>
      </c>
      <c r="J2824" s="1">
        <v>0</v>
      </c>
      <c r="K2824">
        <v>0</v>
      </c>
      <c r="L2824">
        <v>0</v>
      </c>
      <c r="M2824">
        <v>0.1</v>
      </c>
      <c r="N2824" s="1">
        <v>5000000</v>
      </c>
      <c r="O2824">
        <v>0.08</v>
      </c>
      <c r="P2824">
        <v>1.53</v>
      </c>
      <c r="Q2824">
        <v>0.01</v>
      </c>
    </row>
    <row r="2825" spans="1:17" x14ac:dyDescent="0.25">
      <c r="A2825">
        <v>731751</v>
      </c>
      <c r="B2825" t="s">
        <v>4137</v>
      </c>
      <c r="C2825">
        <v>0.65</v>
      </c>
      <c r="D2825">
        <v>0.05</v>
      </c>
      <c r="E2825">
        <v>0.69</v>
      </c>
      <c r="F2825">
        <v>0.76</v>
      </c>
      <c r="G2825">
        <v>0.65</v>
      </c>
      <c r="H2825">
        <v>0.7</v>
      </c>
      <c r="I2825" s="1">
        <v>685000</v>
      </c>
      <c r="J2825" s="1">
        <v>481400</v>
      </c>
      <c r="K2825">
        <v>36</v>
      </c>
      <c r="L2825">
        <v>0.63</v>
      </c>
      <c r="M2825">
        <v>0.64</v>
      </c>
      <c r="N2825" s="1">
        <v>5000000</v>
      </c>
      <c r="O2825">
        <v>0.65</v>
      </c>
      <c r="P2825">
        <v>1.41</v>
      </c>
      <c r="Q2825">
        <v>0.01</v>
      </c>
    </row>
    <row r="2826" spans="1:17" x14ac:dyDescent="0.25">
      <c r="A2826">
        <v>731752</v>
      </c>
      <c r="B2826" t="s">
        <v>4138</v>
      </c>
      <c r="C2826">
        <v>0.28999999999999998</v>
      </c>
      <c r="D2826">
        <v>7.0000000000000007E-2</v>
      </c>
      <c r="E2826">
        <v>0.28999999999999998</v>
      </c>
      <c r="F2826">
        <v>0.28999999999999998</v>
      </c>
      <c r="G2826">
        <v>0.28999999999999998</v>
      </c>
      <c r="H2826">
        <v>0.28999999999999998</v>
      </c>
      <c r="I2826" s="1">
        <v>10000</v>
      </c>
      <c r="J2826" s="1">
        <v>2900</v>
      </c>
      <c r="K2826">
        <v>1</v>
      </c>
      <c r="L2826">
        <v>0.24</v>
      </c>
      <c r="M2826">
        <v>0.25</v>
      </c>
      <c r="N2826" s="1">
        <v>5000000</v>
      </c>
      <c r="O2826">
        <v>0.28999999999999998</v>
      </c>
      <c r="P2826">
        <v>1.43</v>
      </c>
      <c r="Q2826">
        <v>0.01</v>
      </c>
    </row>
    <row r="2827" spans="1:17" x14ac:dyDescent="0.25">
      <c r="A2827">
        <v>731753</v>
      </c>
      <c r="B2827" t="s">
        <v>4139</v>
      </c>
      <c r="C2827" t="s">
        <v>78</v>
      </c>
      <c r="D2827" t="s">
        <v>78</v>
      </c>
      <c r="E2827" t="s">
        <v>78</v>
      </c>
      <c r="F2827" t="s">
        <v>78</v>
      </c>
      <c r="G2827" t="s">
        <v>78</v>
      </c>
      <c r="H2827">
        <v>1.73</v>
      </c>
      <c r="I2827" s="1">
        <v>0</v>
      </c>
      <c r="J2827" s="1">
        <v>0</v>
      </c>
      <c r="K2827">
        <v>0</v>
      </c>
      <c r="L2827">
        <v>1.69</v>
      </c>
      <c r="M2827">
        <v>1.79</v>
      </c>
      <c r="N2827" s="1">
        <v>5000000</v>
      </c>
      <c r="O2827">
        <v>1.73</v>
      </c>
      <c r="P2827">
        <v>2.48</v>
      </c>
      <c r="Q2827">
        <v>0.98</v>
      </c>
    </row>
    <row r="2828" spans="1:17" x14ac:dyDescent="0.25">
      <c r="A2828">
        <v>731754</v>
      </c>
      <c r="B2828" t="s">
        <v>4140</v>
      </c>
      <c r="C2828">
        <v>1.63</v>
      </c>
      <c r="D2828">
        <v>-0.1</v>
      </c>
      <c r="E2828">
        <v>1.61</v>
      </c>
      <c r="F2828">
        <v>1.63</v>
      </c>
      <c r="G2828">
        <v>1.59</v>
      </c>
      <c r="H2828">
        <v>1.61</v>
      </c>
      <c r="I2828" s="1">
        <v>17000</v>
      </c>
      <c r="J2828" s="1">
        <v>27410</v>
      </c>
      <c r="K2828">
        <v>4</v>
      </c>
      <c r="L2828">
        <v>1.62</v>
      </c>
      <c r="M2828">
        <v>1.66</v>
      </c>
      <c r="N2828" s="1">
        <v>5000000</v>
      </c>
      <c r="O2828">
        <v>1.63</v>
      </c>
      <c r="P2828">
        <v>2.38</v>
      </c>
      <c r="Q2828">
        <v>0.88</v>
      </c>
    </row>
    <row r="2829" spans="1:17" x14ac:dyDescent="0.25">
      <c r="A2829">
        <v>731755</v>
      </c>
      <c r="B2829" t="s">
        <v>4141</v>
      </c>
      <c r="C2829">
        <v>1.54</v>
      </c>
      <c r="D2829">
        <v>-0.14000000000000001</v>
      </c>
      <c r="E2829">
        <v>1.55</v>
      </c>
      <c r="F2829">
        <v>1.55</v>
      </c>
      <c r="G2829">
        <v>1.54</v>
      </c>
      <c r="H2829">
        <v>1.55</v>
      </c>
      <c r="I2829" s="1">
        <v>12000</v>
      </c>
      <c r="J2829" s="1">
        <v>18570</v>
      </c>
      <c r="K2829">
        <v>3</v>
      </c>
      <c r="L2829">
        <v>1.57</v>
      </c>
      <c r="M2829">
        <v>1.61</v>
      </c>
      <c r="N2829" s="1">
        <v>5000000</v>
      </c>
      <c r="O2829">
        <v>1.54</v>
      </c>
      <c r="P2829">
        <v>2.29</v>
      </c>
      <c r="Q2829">
        <v>0.79</v>
      </c>
    </row>
    <row r="2830" spans="1:17" x14ac:dyDescent="0.25">
      <c r="A2830">
        <v>731756</v>
      </c>
      <c r="B2830" t="s">
        <v>4142</v>
      </c>
      <c r="C2830">
        <v>1.08</v>
      </c>
      <c r="D2830">
        <v>0.06</v>
      </c>
      <c r="E2830">
        <v>1.06</v>
      </c>
      <c r="F2830">
        <v>1.08</v>
      </c>
      <c r="G2830">
        <v>1.06</v>
      </c>
      <c r="H2830">
        <v>1.07</v>
      </c>
      <c r="I2830" s="1">
        <v>84000</v>
      </c>
      <c r="J2830" s="1">
        <v>89880</v>
      </c>
      <c r="K2830">
        <v>7</v>
      </c>
      <c r="L2830">
        <v>0.93</v>
      </c>
      <c r="M2830">
        <v>0.94</v>
      </c>
      <c r="N2830" s="1">
        <v>5000000</v>
      </c>
      <c r="O2830">
        <v>1.08</v>
      </c>
      <c r="P2830">
        <v>2.3199999999999998</v>
      </c>
      <c r="Q2830">
        <v>0.01</v>
      </c>
    </row>
    <row r="2831" spans="1:17" x14ac:dyDescent="0.25">
      <c r="A2831">
        <v>731757</v>
      </c>
      <c r="B2831" t="s">
        <v>4143</v>
      </c>
      <c r="C2831">
        <v>0.17</v>
      </c>
      <c r="D2831">
        <v>-0.04</v>
      </c>
      <c r="E2831">
        <v>0.18</v>
      </c>
      <c r="F2831">
        <v>0.19</v>
      </c>
      <c r="G2831">
        <v>0.17</v>
      </c>
      <c r="H2831">
        <v>0.18</v>
      </c>
      <c r="I2831" s="1">
        <v>1228000</v>
      </c>
      <c r="J2831" s="1">
        <v>218740</v>
      </c>
      <c r="K2831">
        <v>14</v>
      </c>
      <c r="L2831">
        <v>0.16</v>
      </c>
      <c r="M2831">
        <v>0.17</v>
      </c>
      <c r="N2831" s="1">
        <v>5000000</v>
      </c>
      <c r="O2831">
        <v>0.17</v>
      </c>
      <c r="P2831">
        <v>0.85</v>
      </c>
      <c r="Q2831">
        <v>0.01</v>
      </c>
    </row>
    <row r="2832" spans="1:17" x14ac:dyDescent="0.25">
      <c r="A2832">
        <v>731758</v>
      </c>
      <c r="B2832" t="s">
        <v>4144</v>
      </c>
      <c r="C2832">
        <v>0.12</v>
      </c>
      <c r="D2832">
        <v>0.02</v>
      </c>
      <c r="E2832">
        <v>0.11</v>
      </c>
      <c r="F2832">
        <v>0.12</v>
      </c>
      <c r="G2832">
        <v>0.11</v>
      </c>
      <c r="H2832">
        <v>0.11</v>
      </c>
      <c r="I2832" s="1">
        <v>38000</v>
      </c>
      <c r="J2832" s="1">
        <v>4260</v>
      </c>
      <c r="K2832">
        <v>3</v>
      </c>
      <c r="L2832">
        <v>0.11</v>
      </c>
      <c r="M2832">
        <v>0.12</v>
      </c>
      <c r="N2832" s="1">
        <v>5000000</v>
      </c>
      <c r="O2832">
        <v>0.12</v>
      </c>
      <c r="P2832">
        <v>0.87</v>
      </c>
      <c r="Q2832">
        <v>0.01</v>
      </c>
    </row>
    <row r="2833" spans="1:17" x14ac:dyDescent="0.25">
      <c r="A2833">
        <v>731759</v>
      </c>
      <c r="B2833" t="s">
        <v>4145</v>
      </c>
      <c r="C2833" t="s">
        <v>78</v>
      </c>
      <c r="D2833" t="s">
        <v>78</v>
      </c>
      <c r="E2833" t="s">
        <v>78</v>
      </c>
      <c r="F2833" t="s">
        <v>78</v>
      </c>
      <c r="G2833" t="s">
        <v>78</v>
      </c>
      <c r="H2833">
        <v>0.19</v>
      </c>
      <c r="I2833" s="1">
        <v>0</v>
      </c>
      <c r="J2833" s="1">
        <v>0</v>
      </c>
      <c r="K2833">
        <v>0</v>
      </c>
      <c r="L2833">
        <v>0.17</v>
      </c>
      <c r="M2833">
        <v>0.18</v>
      </c>
      <c r="N2833" s="1">
        <v>5000000</v>
      </c>
      <c r="O2833">
        <v>0.18</v>
      </c>
      <c r="P2833">
        <v>0.67</v>
      </c>
      <c r="Q2833">
        <v>0.01</v>
      </c>
    </row>
    <row r="2834" spans="1:17" x14ac:dyDescent="0.25">
      <c r="A2834">
        <v>731760</v>
      </c>
      <c r="B2834" t="s">
        <v>4146</v>
      </c>
      <c r="C2834">
        <v>1.1599999999999999</v>
      </c>
      <c r="D2834">
        <v>-0.05</v>
      </c>
      <c r="E2834">
        <v>1.21</v>
      </c>
      <c r="F2834">
        <v>1.21</v>
      </c>
      <c r="G2834">
        <v>1.1599999999999999</v>
      </c>
      <c r="H2834">
        <v>1.2</v>
      </c>
      <c r="I2834" s="1">
        <v>35000</v>
      </c>
      <c r="J2834" s="1">
        <v>42160</v>
      </c>
      <c r="K2834">
        <v>5</v>
      </c>
      <c r="L2834">
        <v>1.18</v>
      </c>
      <c r="M2834">
        <v>1.19</v>
      </c>
      <c r="N2834" s="1">
        <v>5000000</v>
      </c>
      <c r="O2834">
        <v>1.1599999999999999</v>
      </c>
      <c r="P2834">
        <v>2.0299999999999998</v>
      </c>
      <c r="Q2834">
        <v>0.28999999999999998</v>
      </c>
    </row>
    <row r="2835" spans="1:17" x14ac:dyDescent="0.25">
      <c r="A2835">
        <v>731761</v>
      </c>
      <c r="B2835" t="s">
        <v>4147</v>
      </c>
      <c r="C2835">
        <v>2.16</v>
      </c>
      <c r="D2835">
        <v>-0.23</v>
      </c>
      <c r="E2835">
        <v>1.99</v>
      </c>
      <c r="F2835">
        <v>2.16</v>
      </c>
      <c r="G2835">
        <v>1.94</v>
      </c>
      <c r="H2835">
        <v>2.02</v>
      </c>
      <c r="I2835" s="1">
        <v>212000</v>
      </c>
      <c r="J2835" s="1">
        <v>428830</v>
      </c>
      <c r="K2835">
        <v>11</v>
      </c>
      <c r="L2835">
        <v>2.12</v>
      </c>
      <c r="M2835">
        <v>2.16</v>
      </c>
      <c r="N2835" s="1">
        <v>5000000</v>
      </c>
      <c r="O2835">
        <v>2.16</v>
      </c>
      <c r="P2835">
        <v>3.06</v>
      </c>
      <c r="Q2835">
        <v>1.26</v>
      </c>
    </row>
    <row r="2836" spans="1:17" x14ac:dyDescent="0.25">
      <c r="A2836">
        <v>731762</v>
      </c>
      <c r="B2836" t="s">
        <v>4148</v>
      </c>
      <c r="C2836">
        <v>0.88</v>
      </c>
      <c r="D2836">
        <v>-0.14000000000000001</v>
      </c>
      <c r="E2836">
        <v>0.88</v>
      </c>
      <c r="F2836">
        <v>0.88</v>
      </c>
      <c r="G2836">
        <v>0.88</v>
      </c>
      <c r="H2836">
        <v>0.88</v>
      </c>
      <c r="I2836" s="1">
        <v>100000</v>
      </c>
      <c r="J2836" s="1">
        <v>88000</v>
      </c>
      <c r="K2836">
        <v>2</v>
      </c>
      <c r="L2836">
        <v>0.91</v>
      </c>
      <c r="M2836">
        <v>0.95</v>
      </c>
      <c r="N2836" s="1">
        <v>5000000</v>
      </c>
      <c r="O2836">
        <v>0.88</v>
      </c>
      <c r="P2836">
        <v>2.88</v>
      </c>
      <c r="Q2836">
        <v>0.01</v>
      </c>
    </row>
    <row r="2837" spans="1:17" x14ac:dyDescent="0.25">
      <c r="A2837">
        <v>731763</v>
      </c>
      <c r="B2837" t="s">
        <v>4149</v>
      </c>
      <c r="C2837" t="s">
        <v>78</v>
      </c>
      <c r="D2837" t="s">
        <v>78</v>
      </c>
      <c r="E2837" t="s">
        <v>78</v>
      </c>
      <c r="F2837" t="s">
        <v>78</v>
      </c>
      <c r="G2837" t="s">
        <v>78</v>
      </c>
      <c r="H2837">
        <v>1.34</v>
      </c>
      <c r="I2837" s="1">
        <v>0</v>
      </c>
      <c r="J2837" s="1">
        <v>0</v>
      </c>
      <c r="K2837">
        <v>0</v>
      </c>
      <c r="L2837">
        <v>1.56</v>
      </c>
      <c r="M2837">
        <v>1.59</v>
      </c>
      <c r="N2837" s="1">
        <v>10000000</v>
      </c>
      <c r="O2837">
        <v>1.56</v>
      </c>
      <c r="P2837">
        <v>2.58</v>
      </c>
      <c r="Q2837">
        <v>0.54</v>
      </c>
    </row>
    <row r="2838" spans="1:17" x14ac:dyDescent="0.25">
      <c r="A2838">
        <v>731764</v>
      </c>
      <c r="B2838" t="s">
        <v>4150</v>
      </c>
      <c r="C2838">
        <v>0.66</v>
      </c>
      <c r="D2838">
        <v>7.0000000000000007E-2</v>
      </c>
      <c r="E2838">
        <v>0.59</v>
      </c>
      <c r="F2838">
        <v>0.68</v>
      </c>
      <c r="G2838">
        <v>0.56000000000000005</v>
      </c>
      <c r="H2838">
        <v>0.62</v>
      </c>
      <c r="I2838" s="1">
        <v>685000</v>
      </c>
      <c r="J2838" s="1">
        <v>426760</v>
      </c>
      <c r="K2838">
        <v>7</v>
      </c>
      <c r="L2838">
        <v>0.63</v>
      </c>
      <c r="M2838">
        <v>0.66</v>
      </c>
      <c r="N2838" s="1">
        <v>10000000</v>
      </c>
      <c r="O2838">
        <v>0.66</v>
      </c>
      <c r="P2838">
        <v>1.47</v>
      </c>
      <c r="Q2838">
        <v>0.01</v>
      </c>
    </row>
    <row r="2839" spans="1:17" x14ac:dyDescent="0.25">
      <c r="A2839">
        <v>731765</v>
      </c>
      <c r="B2839" t="s">
        <v>4151</v>
      </c>
      <c r="C2839" t="s">
        <v>78</v>
      </c>
      <c r="D2839" t="s">
        <v>78</v>
      </c>
      <c r="E2839" t="s">
        <v>78</v>
      </c>
      <c r="F2839" t="s">
        <v>78</v>
      </c>
      <c r="G2839" t="s">
        <v>78</v>
      </c>
      <c r="H2839">
        <v>0.23</v>
      </c>
      <c r="I2839" s="1">
        <v>0</v>
      </c>
      <c r="J2839" s="1">
        <v>0</v>
      </c>
      <c r="K2839">
        <v>0</v>
      </c>
      <c r="L2839">
        <v>0.14000000000000001</v>
      </c>
      <c r="M2839">
        <v>0.15</v>
      </c>
      <c r="N2839" s="1">
        <v>5020000</v>
      </c>
      <c r="O2839">
        <v>0.15</v>
      </c>
      <c r="P2839">
        <v>0.89</v>
      </c>
      <c r="Q2839">
        <v>0.01</v>
      </c>
    </row>
    <row r="2840" spans="1:17" x14ac:dyDescent="0.25">
      <c r="A2840">
        <v>731766</v>
      </c>
      <c r="B2840" t="s">
        <v>4152</v>
      </c>
      <c r="C2840">
        <v>0.37</v>
      </c>
      <c r="D2840">
        <v>-0.04</v>
      </c>
      <c r="E2840">
        <v>0.39</v>
      </c>
      <c r="F2840">
        <v>0.4</v>
      </c>
      <c r="G2840">
        <v>0.37</v>
      </c>
      <c r="H2840">
        <v>0.39</v>
      </c>
      <c r="I2840" s="1">
        <v>482000</v>
      </c>
      <c r="J2840" s="1">
        <v>186200</v>
      </c>
      <c r="K2840">
        <v>10</v>
      </c>
      <c r="L2840">
        <v>0.37</v>
      </c>
      <c r="M2840">
        <v>0.38</v>
      </c>
      <c r="N2840" s="1">
        <v>10000000</v>
      </c>
      <c r="O2840">
        <v>0.37</v>
      </c>
      <c r="P2840">
        <v>0.85</v>
      </c>
      <c r="Q2840">
        <v>0.01</v>
      </c>
    </row>
    <row r="2841" spans="1:17" x14ac:dyDescent="0.25">
      <c r="A2841">
        <v>731767</v>
      </c>
      <c r="B2841" t="s">
        <v>4153</v>
      </c>
      <c r="C2841">
        <v>0.74</v>
      </c>
      <c r="D2841">
        <v>-0.12</v>
      </c>
      <c r="E2841">
        <v>0.91</v>
      </c>
      <c r="F2841">
        <v>0.94</v>
      </c>
      <c r="G2841">
        <v>0.74</v>
      </c>
      <c r="H2841">
        <v>0.87</v>
      </c>
      <c r="I2841" s="1">
        <v>149000</v>
      </c>
      <c r="J2841" s="1">
        <v>129150</v>
      </c>
      <c r="K2841">
        <v>14</v>
      </c>
      <c r="L2841">
        <v>0.73</v>
      </c>
      <c r="M2841">
        <v>0.74</v>
      </c>
      <c r="N2841" s="1">
        <v>5000000</v>
      </c>
      <c r="O2841">
        <v>0.74</v>
      </c>
      <c r="P2841">
        <v>1.56</v>
      </c>
      <c r="Q2841">
        <v>0.01</v>
      </c>
    </row>
    <row r="2842" spans="1:17" x14ac:dyDescent="0.25">
      <c r="A2842">
        <v>731768</v>
      </c>
      <c r="B2842" t="s">
        <v>4154</v>
      </c>
      <c r="C2842">
        <v>1.67</v>
      </c>
      <c r="D2842">
        <v>-0.34</v>
      </c>
      <c r="E2842">
        <v>1.52</v>
      </c>
      <c r="F2842">
        <v>1.67</v>
      </c>
      <c r="G2842">
        <v>1.52</v>
      </c>
      <c r="H2842">
        <v>1.54</v>
      </c>
      <c r="I2842" s="1">
        <v>18000</v>
      </c>
      <c r="J2842" s="1">
        <v>27660</v>
      </c>
      <c r="K2842">
        <v>3</v>
      </c>
      <c r="L2842">
        <v>1.61</v>
      </c>
      <c r="M2842">
        <v>1.67</v>
      </c>
      <c r="N2842" s="1">
        <v>10000000</v>
      </c>
      <c r="O2842">
        <v>1.67</v>
      </c>
      <c r="P2842">
        <v>2.39</v>
      </c>
      <c r="Q2842">
        <v>0.95</v>
      </c>
    </row>
    <row r="2843" spans="1:17" x14ac:dyDescent="0.25">
      <c r="A2843">
        <v>731769</v>
      </c>
      <c r="B2843" t="s">
        <v>4155</v>
      </c>
      <c r="C2843">
        <v>0.08</v>
      </c>
      <c r="D2843">
        <v>0.02</v>
      </c>
      <c r="E2843">
        <v>0.08</v>
      </c>
      <c r="F2843">
        <v>0.08</v>
      </c>
      <c r="G2843">
        <v>0.08</v>
      </c>
      <c r="H2843">
        <v>0.08</v>
      </c>
      <c r="I2843" s="1">
        <v>10000</v>
      </c>
      <c r="J2843" s="1">
        <v>800</v>
      </c>
      <c r="K2843">
        <v>1</v>
      </c>
      <c r="L2843">
        <v>0.09</v>
      </c>
      <c r="M2843">
        <v>0.12</v>
      </c>
      <c r="N2843" s="1">
        <v>10000000</v>
      </c>
      <c r="O2843">
        <v>0.08</v>
      </c>
      <c r="P2843">
        <v>0.85</v>
      </c>
      <c r="Q2843">
        <v>0.01</v>
      </c>
    </row>
    <row r="2844" spans="1:17" x14ac:dyDescent="0.25">
      <c r="A2844">
        <v>731770</v>
      </c>
      <c r="B2844" t="s">
        <v>4156</v>
      </c>
      <c r="C2844" t="s">
        <v>78</v>
      </c>
      <c r="D2844" t="s">
        <v>78</v>
      </c>
      <c r="E2844" t="s">
        <v>78</v>
      </c>
      <c r="F2844" t="s">
        <v>78</v>
      </c>
      <c r="G2844" t="s">
        <v>78</v>
      </c>
      <c r="H2844">
        <v>0.05</v>
      </c>
      <c r="I2844" s="1">
        <v>0</v>
      </c>
      <c r="J2844" s="1">
        <v>0</v>
      </c>
      <c r="K2844">
        <v>0</v>
      </c>
      <c r="L2844">
        <v>0.05</v>
      </c>
      <c r="M2844">
        <v>0.08</v>
      </c>
      <c r="N2844" s="1">
        <v>5000000</v>
      </c>
      <c r="O2844">
        <v>0.05</v>
      </c>
      <c r="P2844">
        <v>0.62</v>
      </c>
      <c r="Q2844">
        <v>0.01</v>
      </c>
    </row>
    <row r="2845" spans="1:17" x14ac:dyDescent="0.25">
      <c r="A2845">
        <v>731771</v>
      </c>
      <c r="B2845" t="s">
        <v>4157</v>
      </c>
      <c r="C2845" t="s">
        <v>78</v>
      </c>
      <c r="D2845" t="s">
        <v>78</v>
      </c>
      <c r="E2845" t="s">
        <v>78</v>
      </c>
      <c r="F2845" t="s">
        <v>78</v>
      </c>
      <c r="G2845" t="s">
        <v>78</v>
      </c>
      <c r="H2845">
        <v>0.1</v>
      </c>
      <c r="I2845" s="1">
        <v>0</v>
      </c>
      <c r="J2845" s="1">
        <v>0</v>
      </c>
      <c r="K2845">
        <v>0</v>
      </c>
      <c r="L2845">
        <v>0.09</v>
      </c>
      <c r="M2845">
        <v>0.1</v>
      </c>
      <c r="N2845" s="1">
        <v>10000000</v>
      </c>
      <c r="O2845">
        <v>0.1</v>
      </c>
      <c r="P2845">
        <v>0.56000000000000005</v>
      </c>
      <c r="Q2845">
        <v>0.01</v>
      </c>
    </row>
    <row r="2846" spans="1:17" x14ac:dyDescent="0.25">
      <c r="A2846">
        <v>731772</v>
      </c>
      <c r="B2846" t="s">
        <v>4158</v>
      </c>
      <c r="C2846">
        <v>0.16</v>
      </c>
      <c r="D2846">
        <v>-0.01</v>
      </c>
      <c r="E2846">
        <v>0.12</v>
      </c>
      <c r="F2846">
        <v>0.16</v>
      </c>
      <c r="G2846">
        <v>0.12</v>
      </c>
      <c r="H2846">
        <v>0.14000000000000001</v>
      </c>
      <c r="I2846" s="1">
        <v>18000</v>
      </c>
      <c r="J2846" s="1">
        <v>2560</v>
      </c>
      <c r="K2846">
        <v>3</v>
      </c>
      <c r="L2846">
        <v>0.12</v>
      </c>
      <c r="M2846">
        <v>0.16</v>
      </c>
      <c r="N2846" s="1">
        <v>10000000</v>
      </c>
      <c r="O2846">
        <v>0.16</v>
      </c>
      <c r="P2846">
        <v>0.56000000000000005</v>
      </c>
      <c r="Q2846">
        <v>0.01</v>
      </c>
    </row>
    <row r="2847" spans="1:17" x14ac:dyDescent="0.25">
      <c r="A2847">
        <v>731773</v>
      </c>
      <c r="B2847" t="s">
        <v>4159</v>
      </c>
      <c r="C2847" t="s">
        <v>78</v>
      </c>
      <c r="D2847" t="s">
        <v>78</v>
      </c>
      <c r="E2847" t="s">
        <v>78</v>
      </c>
      <c r="F2847" t="s">
        <v>78</v>
      </c>
      <c r="G2847" t="s">
        <v>78</v>
      </c>
      <c r="H2847">
        <v>0.15</v>
      </c>
      <c r="I2847" s="1">
        <v>0</v>
      </c>
      <c r="J2847" s="1">
        <v>0</v>
      </c>
      <c r="K2847">
        <v>0</v>
      </c>
      <c r="L2847">
        <v>0.17</v>
      </c>
      <c r="M2847">
        <v>0.18</v>
      </c>
      <c r="N2847" s="1">
        <v>10000000</v>
      </c>
      <c r="O2847">
        <v>0.17</v>
      </c>
      <c r="P2847">
        <v>0.75</v>
      </c>
      <c r="Q2847">
        <v>0.01</v>
      </c>
    </row>
    <row r="2848" spans="1:17" x14ac:dyDescent="0.25">
      <c r="A2848">
        <v>731774</v>
      </c>
      <c r="B2848" t="s">
        <v>4160</v>
      </c>
      <c r="C2848" t="s">
        <v>78</v>
      </c>
      <c r="D2848" t="s">
        <v>78</v>
      </c>
      <c r="E2848" t="s">
        <v>78</v>
      </c>
      <c r="F2848" t="s">
        <v>78</v>
      </c>
      <c r="G2848" t="s">
        <v>78</v>
      </c>
      <c r="H2848">
        <v>0.19</v>
      </c>
      <c r="I2848" s="1">
        <v>0</v>
      </c>
      <c r="J2848" s="1">
        <v>0</v>
      </c>
      <c r="K2848">
        <v>0</v>
      </c>
      <c r="L2848">
        <v>0.14000000000000001</v>
      </c>
      <c r="M2848">
        <v>0.18</v>
      </c>
      <c r="N2848" s="1">
        <v>10000000</v>
      </c>
      <c r="O2848">
        <v>0.15</v>
      </c>
      <c r="P2848">
        <v>0.94</v>
      </c>
      <c r="Q2848">
        <v>0.01</v>
      </c>
    </row>
    <row r="2849" spans="1:17" x14ac:dyDescent="0.25">
      <c r="A2849">
        <v>731775</v>
      </c>
      <c r="B2849" t="s">
        <v>4161</v>
      </c>
      <c r="C2849">
        <v>0.08</v>
      </c>
      <c r="D2849">
        <v>0</v>
      </c>
      <c r="E2849">
        <v>0.08</v>
      </c>
      <c r="F2849">
        <v>0.08</v>
      </c>
      <c r="G2849">
        <v>0.08</v>
      </c>
      <c r="H2849">
        <v>0.08</v>
      </c>
      <c r="I2849" s="1">
        <v>3000</v>
      </c>
      <c r="J2849" s="1">
        <v>240</v>
      </c>
      <c r="K2849">
        <v>1</v>
      </c>
      <c r="L2849">
        <v>7.0000000000000007E-2</v>
      </c>
      <c r="M2849">
        <v>0.08</v>
      </c>
      <c r="N2849" s="1">
        <v>10000000</v>
      </c>
      <c r="O2849">
        <v>0.08</v>
      </c>
      <c r="P2849">
        <v>0.57999999999999996</v>
      </c>
      <c r="Q2849">
        <v>0.01</v>
      </c>
    </row>
    <row r="2850" spans="1:17" x14ac:dyDescent="0.25">
      <c r="A2850">
        <v>731776</v>
      </c>
      <c r="B2850" t="s">
        <v>4162</v>
      </c>
      <c r="C2850">
        <v>1.27</v>
      </c>
      <c r="D2850">
        <v>0.04</v>
      </c>
      <c r="E2850">
        <v>1.36</v>
      </c>
      <c r="F2850">
        <v>1.38</v>
      </c>
      <c r="G2850">
        <v>1.22</v>
      </c>
      <c r="H2850">
        <v>1.3</v>
      </c>
      <c r="I2850" s="1">
        <v>497000</v>
      </c>
      <c r="J2850" s="1">
        <v>644900</v>
      </c>
      <c r="K2850">
        <v>50</v>
      </c>
      <c r="L2850">
        <v>1.34</v>
      </c>
      <c r="M2850">
        <v>1.36</v>
      </c>
      <c r="N2850" s="1">
        <v>5000000</v>
      </c>
      <c r="O2850">
        <v>1.27</v>
      </c>
      <c r="P2850">
        <v>2.1</v>
      </c>
      <c r="Q2850">
        <v>0.44</v>
      </c>
    </row>
    <row r="2851" spans="1:17" x14ac:dyDescent="0.25">
      <c r="A2851">
        <v>731777</v>
      </c>
      <c r="B2851" t="s">
        <v>4163</v>
      </c>
      <c r="C2851" t="s">
        <v>78</v>
      </c>
      <c r="D2851" t="s">
        <v>78</v>
      </c>
      <c r="E2851" t="s">
        <v>78</v>
      </c>
      <c r="F2851" t="s">
        <v>78</v>
      </c>
      <c r="G2851" t="s">
        <v>78</v>
      </c>
      <c r="H2851">
        <v>0.2</v>
      </c>
      <c r="I2851" s="1">
        <v>0</v>
      </c>
      <c r="J2851" s="1">
        <v>0</v>
      </c>
      <c r="K2851">
        <v>0</v>
      </c>
      <c r="L2851">
        <v>0.18</v>
      </c>
      <c r="M2851">
        <v>0.19</v>
      </c>
      <c r="N2851" s="1">
        <v>10000000</v>
      </c>
      <c r="O2851">
        <v>0.19</v>
      </c>
      <c r="P2851">
        <v>0.93</v>
      </c>
      <c r="Q2851">
        <v>0.01</v>
      </c>
    </row>
    <row r="2852" spans="1:17" x14ac:dyDescent="0.25">
      <c r="A2852">
        <v>731778</v>
      </c>
      <c r="B2852" t="s">
        <v>4164</v>
      </c>
      <c r="C2852">
        <v>1.56</v>
      </c>
      <c r="D2852">
        <v>-0.1</v>
      </c>
      <c r="E2852">
        <v>1.51</v>
      </c>
      <c r="F2852">
        <v>1.64</v>
      </c>
      <c r="G2852">
        <v>1.48</v>
      </c>
      <c r="H2852">
        <v>1.54</v>
      </c>
      <c r="I2852" s="1">
        <v>647000</v>
      </c>
      <c r="J2852" s="1">
        <v>997810</v>
      </c>
      <c r="K2852">
        <v>32</v>
      </c>
      <c r="L2852">
        <v>1.51</v>
      </c>
      <c r="M2852">
        <v>1.53</v>
      </c>
      <c r="N2852" s="1">
        <v>10000000</v>
      </c>
      <c r="O2852">
        <v>1.56</v>
      </c>
      <c r="P2852">
        <v>3.01</v>
      </c>
      <c r="Q2852">
        <v>0.11</v>
      </c>
    </row>
    <row r="2853" spans="1:17" x14ac:dyDescent="0.25">
      <c r="A2853">
        <v>731779</v>
      </c>
      <c r="B2853" t="s">
        <v>4165</v>
      </c>
      <c r="C2853">
        <v>0.32</v>
      </c>
      <c r="D2853">
        <v>0</v>
      </c>
      <c r="E2853">
        <v>0.34</v>
      </c>
      <c r="F2853">
        <v>0.34</v>
      </c>
      <c r="G2853">
        <v>0.32</v>
      </c>
      <c r="H2853">
        <v>0.32</v>
      </c>
      <c r="I2853" s="1">
        <v>50000</v>
      </c>
      <c r="J2853" s="1">
        <v>16200</v>
      </c>
      <c r="K2853">
        <v>2</v>
      </c>
      <c r="L2853">
        <v>0.33</v>
      </c>
      <c r="M2853">
        <v>0.34</v>
      </c>
      <c r="N2853" s="1">
        <v>5000000</v>
      </c>
      <c r="O2853">
        <v>0.32</v>
      </c>
      <c r="P2853">
        <v>1.03</v>
      </c>
      <c r="Q2853">
        <v>0.01</v>
      </c>
    </row>
    <row r="2854" spans="1:17" x14ac:dyDescent="0.25">
      <c r="A2854">
        <v>731780</v>
      </c>
      <c r="B2854" t="s">
        <v>4166</v>
      </c>
      <c r="C2854" t="s">
        <v>78</v>
      </c>
      <c r="D2854" t="s">
        <v>78</v>
      </c>
      <c r="E2854" t="s">
        <v>78</v>
      </c>
      <c r="F2854" t="s">
        <v>78</v>
      </c>
      <c r="G2854" t="s">
        <v>78</v>
      </c>
      <c r="H2854">
        <v>0.13</v>
      </c>
      <c r="I2854" s="1">
        <v>0</v>
      </c>
      <c r="J2854" s="1">
        <v>0</v>
      </c>
      <c r="K2854">
        <v>0</v>
      </c>
      <c r="L2854">
        <v>0.06</v>
      </c>
      <c r="M2854">
        <v>7.0000000000000007E-2</v>
      </c>
      <c r="N2854" s="1">
        <v>10000000</v>
      </c>
      <c r="O2854">
        <v>7.0000000000000007E-2</v>
      </c>
      <c r="P2854">
        <v>0.88</v>
      </c>
      <c r="Q2854">
        <v>0.01</v>
      </c>
    </row>
    <row r="2855" spans="1:17" x14ac:dyDescent="0.25">
      <c r="A2855">
        <v>731781</v>
      </c>
      <c r="B2855" t="s">
        <v>4167</v>
      </c>
      <c r="C2855" t="s">
        <v>78</v>
      </c>
      <c r="D2855" t="s">
        <v>78</v>
      </c>
      <c r="E2855" t="s">
        <v>78</v>
      </c>
      <c r="F2855" t="s">
        <v>78</v>
      </c>
      <c r="G2855" t="s">
        <v>78</v>
      </c>
      <c r="H2855">
        <v>0.06</v>
      </c>
      <c r="I2855" s="1">
        <v>0</v>
      </c>
      <c r="J2855" s="1">
        <v>0</v>
      </c>
      <c r="K2855">
        <v>0</v>
      </c>
      <c r="L2855">
        <v>0.01</v>
      </c>
      <c r="M2855">
        <v>0.02</v>
      </c>
      <c r="N2855" s="1">
        <v>10000000</v>
      </c>
      <c r="O2855">
        <v>0.02</v>
      </c>
      <c r="P2855">
        <v>0.6</v>
      </c>
      <c r="Q2855">
        <v>0.01</v>
      </c>
    </row>
    <row r="2856" spans="1:17" x14ac:dyDescent="0.25">
      <c r="A2856">
        <v>731782</v>
      </c>
      <c r="B2856" t="s">
        <v>4168</v>
      </c>
      <c r="C2856" t="s">
        <v>78</v>
      </c>
      <c r="D2856" t="s">
        <v>78</v>
      </c>
      <c r="E2856" t="s">
        <v>78</v>
      </c>
      <c r="F2856" t="s">
        <v>78</v>
      </c>
      <c r="G2856" t="s">
        <v>78</v>
      </c>
      <c r="H2856">
        <v>0.17</v>
      </c>
      <c r="I2856" s="1">
        <v>0</v>
      </c>
      <c r="J2856" s="1">
        <v>0</v>
      </c>
      <c r="K2856">
        <v>0</v>
      </c>
      <c r="L2856">
        <v>0.11</v>
      </c>
      <c r="M2856">
        <v>0.14000000000000001</v>
      </c>
      <c r="N2856" s="1">
        <v>10000000</v>
      </c>
      <c r="O2856">
        <v>0.13</v>
      </c>
      <c r="P2856">
        <v>0.79</v>
      </c>
      <c r="Q2856">
        <v>0.01</v>
      </c>
    </row>
    <row r="2857" spans="1:17" x14ac:dyDescent="0.25">
      <c r="A2857">
        <v>731783</v>
      </c>
      <c r="B2857" t="s">
        <v>4169</v>
      </c>
      <c r="C2857" t="s">
        <v>78</v>
      </c>
      <c r="D2857" t="s">
        <v>78</v>
      </c>
      <c r="E2857" t="s">
        <v>78</v>
      </c>
      <c r="F2857" t="s">
        <v>78</v>
      </c>
      <c r="G2857" t="s">
        <v>78</v>
      </c>
      <c r="H2857">
        <v>2.4900000000000002</v>
      </c>
      <c r="I2857" s="1">
        <v>0</v>
      </c>
      <c r="J2857" s="1">
        <v>0</v>
      </c>
      <c r="K2857">
        <v>0</v>
      </c>
      <c r="L2857">
        <v>2.2000000000000002</v>
      </c>
      <c r="M2857">
        <v>2.2999999999999998</v>
      </c>
      <c r="N2857" s="1">
        <v>10000000</v>
      </c>
      <c r="O2857">
        <v>2.2000000000000002</v>
      </c>
      <c r="P2857">
        <v>3.65</v>
      </c>
      <c r="Q2857">
        <v>0.73</v>
      </c>
    </row>
    <row r="2858" spans="1:17" x14ac:dyDescent="0.25">
      <c r="A2858">
        <v>731784</v>
      </c>
      <c r="B2858" t="s">
        <v>4170</v>
      </c>
      <c r="C2858" t="s">
        <v>78</v>
      </c>
      <c r="D2858" t="s">
        <v>78</v>
      </c>
      <c r="E2858" t="s">
        <v>78</v>
      </c>
      <c r="F2858" t="s">
        <v>78</v>
      </c>
      <c r="G2858" t="s">
        <v>78</v>
      </c>
      <c r="H2858">
        <v>0.42</v>
      </c>
      <c r="I2858" s="1">
        <v>0</v>
      </c>
      <c r="J2858" s="1">
        <v>0</v>
      </c>
      <c r="K2858">
        <v>0</v>
      </c>
      <c r="L2858">
        <v>0.44</v>
      </c>
      <c r="M2858">
        <v>0.45</v>
      </c>
      <c r="N2858" s="1">
        <v>5000000</v>
      </c>
      <c r="O2858">
        <v>0.44</v>
      </c>
      <c r="P2858">
        <v>1.1399999999999999</v>
      </c>
      <c r="Q2858">
        <v>0.01</v>
      </c>
    </row>
    <row r="2859" spans="1:17" x14ac:dyDescent="0.25">
      <c r="A2859">
        <v>731785</v>
      </c>
      <c r="B2859" t="s">
        <v>4171</v>
      </c>
      <c r="C2859">
        <v>0.3</v>
      </c>
      <c r="D2859">
        <v>0.03</v>
      </c>
      <c r="E2859">
        <v>0.3</v>
      </c>
      <c r="F2859">
        <v>0.3</v>
      </c>
      <c r="G2859">
        <v>0.3</v>
      </c>
      <c r="H2859">
        <v>0.3</v>
      </c>
      <c r="I2859" s="1">
        <v>10000</v>
      </c>
      <c r="J2859" s="1">
        <v>3000</v>
      </c>
      <c r="K2859">
        <v>1</v>
      </c>
      <c r="L2859">
        <v>0.28000000000000003</v>
      </c>
      <c r="M2859">
        <v>0.3</v>
      </c>
      <c r="N2859" s="1">
        <v>5000000</v>
      </c>
      <c r="O2859">
        <v>0.3</v>
      </c>
      <c r="P2859">
        <v>1.08</v>
      </c>
      <c r="Q2859">
        <v>0.01</v>
      </c>
    </row>
    <row r="2860" spans="1:17" x14ac:dyDescent="0.25">
      <c r="A2860">
        <v>731786</v>
      </c>
      <c r="B2860" t="s">
        <v>4172</v>
      </c>
      <c r="C2860">
        <v>0.15</v>
      </c>
      <c r="D2860">
        <v>0</v>
      </c>
      <c r="E2860">
        <v>0.15</v>
      </c>
      <c r="F2860">
        <v>0.15</v>
      </c>
      <c r="G2860">
        <v>0.15</v>
      </c>
      <c r="H2860">
        <v>0.15</v>
      </c>
      <c r="I2860" s="1">
        <v>400000</v>
      </c>
      <c r="J2860" s="1">
        <v>60000</v>
      </c>
      <c r="K2860">
        <v>1</v>
      </c>
      <c r="L2860">
        <v>0.15</v>
      </c>
      <c r="M2860">
        <v>0.16</v>
      </c>
      <c r="N2860" s="1">
        <v>5000000</v>
      </c>
      <c r="O2860">
        <v>0.15</v>
      </c>
      <c r="P2860">
        <v>0.63</v>
      </c>
      <c r="Q2860">
        <v>0.01</v>
      </c>
    </row>
    <row r="2861" spans="1:17" x14ac:dyDescent="0.25">
      <c r="A2861">
        <v>731787</v>
      </c>
      <c r="B2861" t="s">
        <v>4173</v>
      </c>
      <c r="C2861" t="s">
        <v>78</v>
      </c>
      <c r="D2861" t="s">
        <v>78</v>
      </c>
      <c r="E2861" t="s">
        <v>78</v>
      </c>
      <c r="F2861" t="s">
        <v>78</v>
      </c>
      <c r="G2861" t="s">
        <v>78</v>
      </c>
      <c r="H2861">
        <v>0.65</v>
      </c>
      <c r="I2861" s="1">
        <v>0</v>
      </c>
      <c r="J2861" s="1">
        <v>0</v>
      </c>
      <c r="K2861">
        <v>0</v>
      </c>
      <c r="L2861">
        <v>0.57999999999999996</v>
      </c>
      <c r="M2861">
        <v>0.59</v>
      </c>
      <c r="N2861" s="1">
        <v>5000000</v>
      </c>
      <c r="O2861">
        <v>0.59</v>
      </c>
      <c r="P2861">
        <v>1.28</v>
      </c>
      <c r="Q2861">
        <v>0.01</v>
      </c>
    </row>
    <row r="2862" spans="1:17" x14ac:dyDescent="0.25">
      <c r="A2862">
        <v>731788</v>
      </c>
      <c r="B2862" t="s">
        <v>4174</v>
      </c>
      <c r="C2862">
        <v>1.57</v>
      </c>
      <c r="D2862">
        <v>-7.0000000000000007E-2</v>
      </c>
      <c r="E2862">
        <v>1.54</v>
      </c>
      <c r="F2862">
        <v>1.63</v>
      </c>
      <c r="G2862">
        <v>1.5</v>
      </c>
      <c r="H2862">
        <v>1.56</v>
      </c>
      <c r="I2862" s="1">
        <v>266000</v>
      </c>
      <c r="J2862" s="1">
        <v>415750</v>
      </c>
      <c r="K2862">
        <v>22</v>
      </c>
      <c r="L2862">
        <v>1.57</v>
      </c>
      <c r="M2862">
        <v>1.59</v>
      </c>
      <c r="N2862" s="1">
        <v>5000000</v>
      </c>
      <c r="O2862">
        <v>1.57</v>
      </c>
      <c r="P2862">
        <v>2.3199999999999998</v>
      </c>
      <c r="Q2862">
        <v>0.82</v>
      </c>
    </row>
    <row r="2863" spans="1:17" x14ac:dyDescent="0.25">
      <c r="A2863">
        <v>731789</v>
      </c>
      <c r="B2863" t="s">
        <v>4175</v>
      </c>
      <c r="C2863">
        <v>0.79</v>
      </c>
      <c r="D2863">
        <v>0.05</v>
      </c>
      <c r="E2863">
        <v>0.78</v>
      </c>
      <c r="F2863">
        <v>0.89</v>
      </c>
      <c r="G2863">
        <v>0.77</v>
      </c>
      <c r="H2863">
        <v>0.84</v>
      </c>
      <c r="I2863" s="1">
        <v>297000</v>
      </c>
      <c r="J2863" s="1">
        <v>250380</v>
      </c>
      <c r="K2863">
        <v>35</v>
      </c>
      <c r="L2863">
        <v>0.82</v>
      </c>
      <c r="M2863">
        <v>0.83</v>
      </c>
      <c r="N2863" s="1">
        <v>5000000</v>
      </c>
      <c r="O2863">
        <v>0.79</v>
      </c>
      <c r="P2863">
        <v>1.62</v>
      </c>
      <c r="Q2863">
        <v>0.01</v>
      </c>
    </row>
    <row r="2864" spans="1:17" x14ac:dyDescent="0.25">
      <c r="A2864">
        <v>731790</v>
      </c>
      <c r="B2864" t="s">
        <v>4176</v>
      </c>
      <c r="C2864">
        <v>4.63</v>
      </c>
      <c r="D2864">
        <v>0.28000000000000003</v>
      </c>
      <c r="E2864">
        <v>4.63</v>
      </c>
      <c r="F2864">
        <v>4.63</v>
      </c>
      <c r="G2864">
        <v>4.63</v>
      </c>
      <c r="H2864">
        <v>4.63</v>
      </c>
      <c r="I2864" s="1">
        <v>1000</v>
      </c>
      <c r="J2864" s="1">
        <v>4630</v>
      </c>
      <c r="K2864">
        <v>1</v>
      </c>
      <c r="L2864">
        <v>4.54</v>
      </c>
      <c r="M2864">
        <v>0</v>
      </c>
      <c r="N2864" s="1">
        <v>5000000</v>
      </c>
      <c r="O2864">
        <v>4.63</v>
      </c>
      <c r="P2864">
        <v>5.9</v>
      </c>
      <c r="Q2864">
        <v>3.36</v>
      </c>
    </row>
    <row r="2865" spans="1:17" x14ac:dyDescent="0.25">
      <c r="A2865">
        <v>731791</v>
      </c>
      <c r="B2865" t="s">
        <v>4177</v>
      </c>
      <c r="C2865">
        <v>0.14000000000000001</v>
      </c>
      <c r="D2865">
        <v>-0.01</v>
      </c>
      <c r="E2865">
        <v>0.16</v>
      </c>
      <c r="F2865">
        <v>0.16</v>
      </c>
      <c r="G2865">
        <v>0.14000000000000001</v>
      </c>
      <c r="H2865">
        <v>0.15</v>
      </c>
      <c r="I2865" s="1">
        <v>365000</v>
      </c>
      <c r="J2865" s="1">
        <v>54100</v>
      </c>
      <c r="K2865">
        <v>5</v>
      </c>
      <c r="L2865">
        <v>0.14000000000000001</v>
      </c>
      <c r="M2865">
        <v>0.15</v>
      </c>
      <c r="N2865" s="1">
        <v>5000000</v>
      </c>
      <c r="O2865">
        <v>0.14000000000000001</v>
      </c>
      <c r="P2865">
        <v>0.69</v>
      </c>
      <c r="Q2865">
        <v>0.01</v>
      </c>
    </row>
    <row r="2866" spans="1:17" x14ac:dyDescent="0.25">
      <c r="A2866">
        <v>731792</v>
      </c>
      <c r="B2866" t="s">
        <v>4178</v>
      </c>
      <c r="C2866" t="s">
        <v>78</v>
      </c>
      <c r="D2866" t="s">
        <v>78</v>
      </c>
      <c r="E2866" t="s">
        <v>78</v>
      </c>
      <c r="F2866" t="s">
        <v>78</v>
      </c>
      <c r="G2866" t="s">
        <v>78</v>
      </c>
      <c r="H2866">
        <v>0.1</v>
      </c>
      <c r="I2866" s="1">
        <v>0</v>
      </c>
      <c r="J2866" s="1">
        <v>0</v>
      </c>
      <c r="K2866">
        <v>0</v>
      </c>
      <c r="L2866">
        <v>0.1</v>
      </c>
      <c r="M2866">
        <v>0.11</v>
      </c>
      <c r="N2866" s="1">
        <v>10000000</v>
      </c>
      <c r="O2866">
        <v>0.1</v>
      </c>
      <c r="P2866">
        <v>0.76</v>
      </c>
      <c r="Q2866">
        <v>0.01</v>
      </c>
    </row>
    <row r="2867" spans="1:17" x14ac:dyDescent="0.25">
      <c r="A2867">
        <v>731793</v>
      </c>
      <c r="B2867" t="s">
        <v>4179</v>
      </c>
      <c r="C2867">
        <v>3.4</v>
      </c>
      <c r="D2867">
        <v>0.13</v>
      </c>
      <c r="E2867">
        <v>3.42</v>
      </c>
      <c r="F2867">
        <v>3.42</v>
      </c>
      <c r="G2867">
        <v>3.4</v>
      </c>
      <c r="H2867">
        <v>3.4</v>
      </c>
      <c r="I2867" s="1">
        <v>10000</v>
      </c>
      <c r="J2867" s="1">
        <v>34020</v>
      </c>
      <c r="K2867">
        <v>2</v>
      </c>
      <c r="L2867">
        <v>3.39</v>
      </c>
      <c r="M2867">
        <v>3.47</v>
      </c>
      <c r="N2867" s="1">
        <v>5000000</v>
      </c>
      <c r="O2867">
        <v>3.4</v>
      </c>
      <c r="P2867">
        <v>4.6500000000000004</v>
      </c>
      <c r="Q2867">
        <v>2.15</v>
      </c>
    </row>
    <row r="2868" spans="1:17" x14ac:dyDescent="0.25">
      <c r="A2868">
        <v>731794</v>
      </c>
      <c r="B2868" t="s">
        <v>4180</v>
      </c>
      <c r="C2868">
        <v>0.53</v>
      </c>
      <c r="D2868">
        <v>0</v>
      </c>
      <c r="E2868">
        <v>0.55000000000000004</v>
      </c>
      <c r="F2868">
        <v>0.59</v>
      </c>
      <c r="G2868">
        <v>0.53</v>
      </c>
      <c r="H2868">
        <v>0.56000000000000005</v>
      </c>
      <c r="I2868" s="1">
        <v>622000</v>
      </c>
      <c r="J2868" s="1">
        <v>347420</v>
      </c>
      <c r="K2868">
        <v>16</v>
      </c>
      <c r="L2868">
        <v>0.53</v>
      </c>
      <c r="M2868">
        <v>0.54</v>
      </c>
      <c r="N2868" s="1">
        <v>5000000</v>
      </c>
      <c r="O2868">
        <v>0.53</v>
      </c>
      <c r="P2868">
        <v>0.96</v>
      </c>
      <c r="Q2868">
        <v>0.1</v>
      </c>
    </row>
    <row r="2869" spans="1:17" x14ac:dyDescent="0.25">
      <c r="A2869">
        <v>731795</v>
      </c>
      <c r="B2869" t="s">
        <v>4181</v>
      </c>
      <c r="C2869">
        <v>1.1200000000000001</v>
      </c>
      <c r="D2869">
        <v>-0.03</v>
      </c>
      <c r="E2869">
        <v>1.1200000000000001</v>
      </c>
      <c r="F2869">
        <v>1.1200000000000001</v>
      </c>
      <c r="G2869">
        <v>1.1200000000000001</v>
      </c>
      <c r="H2869">
        <v>1.1200000000000001</v>
      </c>
      <c r="I2869" s="1">
        <v>10000</v>
      </c>
      <c r="J2869" s="1">
        <v>11200</v>
      </c>
      <c r="K2869">
        <v>2</v>
      </c>
      <c r="L2869">
        <v>1.1000000000000001</v>
      </c>
      <c r="M2869">
        <v>1.1399999999999999</v>
      </c>
      <c r="N2869" s="1">
        <v>10000000</v>
      </c>
      <c r="O2869">
        <v>1.1200000000000001</v>
      </c>
      <c r="P2869">
        <v>1.74</v>
      </c>
      <c r="Q2869">
        <v>0.5</v>
      </c>
    </row>
    <row r="2870" spans="1:17" x14ac:dyDescent="0.25">
      <c r="A2870">
        <v>731796</v>
      </c>
      <c r="B2870" t="s">
        <v>4182</v>
      </c>
      <c r="C2870">
        <v>1.83</v>
      </c>
      <c r="D2870">
        <v>-0.23</v>
      </c>
      <c r="E2870">
        <v>1.83</v>
      </c>
      <c r="F2870">
        <v>1.83</v>
      </c>
      <c r="G2870">
        <v>1.83</v>
      </c>
      <c r="H2870">
        <v>1.83</v>
      </c>
      <c r="I2870" s="1">
        <v>10000</v>
      </c>
      <c r="J2870" s="1">
        <v>18300</v>
      </c>
      <c r="K2870">
        <v>1</v>
      </c>
      <c r="L2870">
        <v>1.8</v>
      </c>
      <c r="M2870">
        <v>1.88</v>
      </c>
      <c r="N2870" s="1">
        <v>10000000</v>
      </c>
      <c r="O2870">
        <v>1.83</v>
      </c>
      <c r="P2870">
        <v>4.6100000000000003</v>
      </c>
      <c r="Q2870">
        <v>0.01</v>
      </c>
    </row>
    <row r="2871" spans="1:17" x14ac:dyDescent="0.25">
      <c r="A2871">
        <v>731797</v>
      </c>
      <c r="B2871" t="s">
        <v>4183</v>
      </c>
      <c r="C2871" t="s">
        <v>78</v>
      </c>
      <c r="D2871" t="s">
        <v>78</v>
      </c>
      <c r="E2871" t="s">
        <v>78</v>
      </c>
      <c r="F2871" t="s">
        <v>78</v>
      </c>
      <c r="G2871" t="s">
        <v>78</v>
      </c>
      <c r="H2871">
        <v>0.02</v>
      </c>
      <c r="I2871" s="1">
        <v>0</v>
      </c>
      <c r="J2871" s="1">
        <v>0</v>
      </c>
      <c r="K2871">
        <v>0</v>
      </c>
      <c r="L2871">
        <v>0.01</v>
      </c>
      <c r="M2871">
        <v>0.11</v>
      </c>
      <c r="N2871" s="1">
        <v>5000000</v>
      </c>
      <c r="O2871">
        <v>0.02</v>
      </c>
      <c r="P2871">
        <v>0.54</v>
      </c>
      <c r="Q2871">
        <v>0.01</v>
      </c>
    </row>
    <row r="2872" spans="1:17" x14ac:dyDescent="0.25">
      <c r="A2872">
        <v>731798</v>
      </c>
      <c r="B2872" t="s">
        <v>4184</v>
      </c>
      <c r="C2872">
        <v>1.31</v>
      </c>
      <c r="D2872">
        <v>0.19</v>
      </c>
      <c r="E2872">
        <v>1.1499999999999999</v>
      </c>
      <c r="F2872">
        <v>1.36</v>
      </c>
      <c r="G2872">
        <v>1.1499999999999999</v>
      </c>
      <c r="H2872">
        <v>1.24</v>
      </c>
      <c r="I2872" s="1">
        <v>186000</v>
      </c>
      <c r="J2872" s="1">
        <v>231160</v>
      </c>
      <c r="K2872">
        <v>22</v>
      </c>
      <c r="L2872">
        <v>1.23</v>
      </c>
      <c r="M2872">
        <v>1.25</v>
      </c>
      <c r="N2872" s="1">
        <v>5000000</v>
      </c>
      <c r="O2872">
        <v>1.31</v>
      </c>
      <c r="P2872">
        <v>2.71</v>
      </c>
      <c r="Q2872">
        <v>0.01</v>
      </c>
    </row>
    <row r="2873" spans="1:17" x14ac:dyDescent="0.25">
      <c r="A2873">
        <v>731799</v>
      </c>
      <c r="B2873" t="s">
        <v>4185</v>
      </c>
      <c r="C2873">
        <v>0.45</v>
      </c>
      <c r="D2873">
        <v>-0.05</v>
      </c>
      <c r="E2873">
        <v>0.48</v>
      </c>
      <c r="F2873">
        <v>0.49</v>
      </c>
      <c r="G2873">
        <v>0.44</v>
      </c>
      <c r="H2873">
        <v>0.46</v>
      </c>
      <c r="I2873" s="1">
        <v>333000</v>
      </c>
      <c r="J2873" s="1">
        <v>153980</v>
      </c>
      <c r="K2873">
        <v>10</v>
      </c>
      <c r="L2873">
        <v>0.44</v>
      </c>
      <c r="M2873">
        <v>0.45</v>
      </c>
      <c r="N2873" s="1">
        <v>10000000</v>
      </c>
      <c r="O2873">
        <v>0.45</v>
      </c>
      <c r="P2873">
        <v>0.97</v>
      </c>
      <c r="Q2873">
        <v>0.01</v>
      </c>
    </row>
    <row r="2874" spans="1:17" x14ac:dyDescent="0.25">
      <c r="A2874">
        <v>731800</v>
      </c>
      <c r="B2874" t="s">
        <v>4186</v>
      </c>
      <c r="C2874" t="s">
        <v>78</v>
      </c>
      <c r="D2874" t="s">
        <v>78</v>
      </c>
      <c r="E2874" t="s">
        <v>78</v>
      </c>
      <c r="F2874" t="s">
        <v>78</v>
      </c>
      <c r="G2874" t="s">
        <v>78</v>
      </c>
      <c r="H2874">
        <v>1.96</v>
      </c>
      <c r="I2874" s="1">
        <v>0</v>
      </c>
      <c r="J2874" s="1">
        <v>0</v>
      </c>
      <c r="K2874">
        <v>0</v>
      </c>
      <c r="L2874">
        <v>1.84</v>
      </c>
      <c r="M2874">
        <v>0</v>
      </c>
      <c r="N2874" s="1">
        <v>5000000</v>
      </c>
      <c r="O2874">
        <v>1.88</v>
      </c>
      <c r="P2874">
        <v>2.4500000000000002</v>
      </c>
      <c r="Q2874">
        <v>1.31</v>
      </c>
    </row>
    <row r="2875" spans="1:17" x14ac:dyDescent="0.25">
      <c r="A2875">
        <v>731801</v>
      </c>
      <c r="B2875" t="s">
        <v>4187</v>
      </c>
      <c r="C2875" t="s">
        <v>78</v>
      </c>
      <c r="D2875" t="s">
        <v>78</v>
      </c>
      <c r="E2875" t="s">
        <v>78</v>
      </c>
      <c r="F2875" t="s">
        <v>78</v>
      </c>
      <c r="G2875" t="s">
        <v>78</v>
      </c>
      <c r="H2875">
        <v>2.94</v>
      </c>
      <c r="I2875" s="1">
        <v>0</v>
      </c>
      <c r="J2875" s="1">
        <v>0</v>
      </c>
      <c r="K2875">
        <v>0</v>
      </c>
      <c r="L2875">
        <v>3.41</v>
      </c>
      <c r="M2875">
        <v>3.42</v>
      </c>
      <c r="N2875" s="1">
        <v>10000000</v>
      </c>
      <c r="O2875">
        <v>3.41</v>
      </c>
      <c r="P2875">
        <v>4.5199999999999996</v>
      </c>
      <c r="Q2875">
        <v>2.2999999999999998</v>
      </c>
    </row>
    <row r="2876" spans="1:17" x14ac:dyDescent="0.25">
      <c r="A2876">
        <v>731802</v>
      </c>
      <c r="B2876" t="s">
        <v>4188</v>
      </c>
      <c r="C2876" t="s">
        <v>78</v>
      </c>
      <c r="D2876" t="s">
        <v>78</v>
      </c>
      <c r="E2876" t="s">
        <v>78</v>
      </c>
      <c r="F2876" t="s">
        <v>78</v>
      </c>
      <c r="G2876" t="s">
        <v>78</v>
      </c>
      <c r="H2876">
        <v>1.41</v>
      </c>
      <c r="I2876" s="1">
        <v>0</v>
      </c>
      <c r="J2876" s="1">
        <v>0</v>
      </c>
      <c r="K2876">
        <v>0</v>
      </c>
      <c r="L2876">
        <v>1.87</v>
      </c>
      <c r="M2876">
        <v>1.88</v>
      </c>
      <c r="N2876" s="1">
        <v>5000000</v>
      </c>
      <c r="O2876">
        <v>1.87</v>
      </c>
      <c r="P2876">
        <v>2.92</v>
      </c>
      <c r="Q2876">
        <v>0.82</v>
      </c>
    </row>
    <row r="2877" spans="1:17" x14ac:dyDescent="0.25">
      <c r="A2877">
        <v>731803</v>
      </c>
      <c r="B2877" t="s">
        <v>4189</v>
      </c>
      <c r="C2877">
        <v>1.24</v>
      </c>
      <c r="D2877">
        <v>0.04</v>
      </c>
      <c r="E2877">
        <v>1.24</v>
      </c>
      <c r="F2877">
        <v>1.24</v>
      </c>
      <c r="G2877">
        <v>1.24</v>
      </c>
      <c r="H2877">
        <v>1.24</v>
      </c>
      <c r="I2877" s="1">
        <v>10000</v>
      </c>
      <c r="J2877" s="1">
        <v>12400</v>
      </c>
      <c r="K2877">
        <v>1</v>
      </c>
      <c r="L2877">
        <v>1.34</v>
      </c>
      <c r="M2877">
        <v>1.35</v>
      </c>
      <c r="N2877" s="1">
        <v>5000000</v>
      </c>
      <c r="O2877">
        <v>1.24</v>
      </c>
      <c r="P2877">
        <v>2.11</v>
      </c>
      <c r="Q2877">
        <v>0.37</v>
      </c>
    </row>
    <row r="2878" spans="1:17" x14ac:dyDescent="0.25">
      <c r="A2878">
        <v>731804</v>
      </c>
      <c r="B2878" t="s">
        <v>4190</v>
      </c>
      <c r="C2878">
        <v>0.01</v>
      </c>
      <c r="D2878">
        <v>0</v>
      </c>
      <c r="E2878">
        <v>0.01</v>
      </c>
      <c r="F2878">
        <v>0.01</v>
      </c>
      <c r="G2878">
        <v>0.01</v>
      </c>
      <c r="H2878">
        <v>0.01</v>
      </c>
      <c r="I2878" s="1">
        <v>10000</v>
      </c>
      <c r="J2878" s="1">
        <v>100</v>
      </c>
      <c r="K2878">
        <v>1</v>
      </c>
      <c r="L2878">
        <v>0.01</v>
      </c>
      <c r="M2878">
        <v>0.02</v>
      </c>
      <c r="N2878" s="1">
        <v>10000000</v>
      </c>
      <c r="O2878">
        <v>0.01</v>
      </c>
      <c r="P2878">
        <v>0.76</v>
      </c>
      <c r="Q2878">
        <v>0.01</v>
      </c>
    </row>
    <row r="2879" spans="1:17" x14ac:dyDescent="0.25">
      <c r="A2879">
        <v>731805</v>
      </c>
      <c r="B2879" t="s">
        <v>4191</v>
      </c>
      <c r="C2879" t="s">
        <v>78</v>
      </c>
      <c r="D2879" t="s">
        <v>78</v>
      </c>
      <c r="E2879" t="s">
        <v>78</v>
      </c>
      <c r="F2879" t="s">
        <v>78</v>
      </c>
      <c r="G2879" t="s">
        <v>78</v>
      </c>
      <c r="H2879">
        <v>2.56</v>
      </c>
      <c r="I2879" s="1">
        <v>0</v>
      </c>
      <c r="J2879" s="1">
        <v>0</v>
      </c>
      <c r="K2879">
        <v>0</v>
      </c>
      <c r="L2879">
        <v>3.26</v>
      </c>
      <c r="M2879">
        <v>3.27</v>
      </c>
      <c r="N2879" s="1">
        <v>5000000</v>
      </c>
      <c r="O2879">
        <v>3.27</v>
      </c>
      <c r="P2879">
        <v>4.33</v>
      </c>
      <c r="Q2879">
        <v>2.21</v>
      </c>
    </row>
    <row r="2880" spans="1:17" x14ac:dyDescent="0.25">
      <c r="A2880">
        <v>731806</v>
      </c>
      <c r="B2880" t="s">
        <v>4192</v>
      </c>
      <c r="C2880">
        <v>0.35</v>
      </c>
      <c r="D2880">
        <v>0.01</v>
      </c>
      <c r="E2880">
        <v>0.35</v>
      </c>
      <c r="F2880">
        <v>0.35</v>
      </c>
      <c r="G2880">
        <v>0.35</v>
      </c>
      <c r="H2880">
        <v>0.35</v>
      </c>
      <c r="I2880" s="1">
        <v>110000</v>
      </c>
      <c r="J2880" s="1">
        <v>38500</v>
      </c>
      <c r="K2880">
        <v>2</v>
      </c>
      <c r="L2880">
        <v>0.34</v>
      </c>
      <c r="M2880">
        <v>0.36</v>
      </c>
      <c r="N2880" s="1">
        <v>5000000</v>
      </c>
      <c r="O2880">
        <v>0.35</v>
      </c>
      <c r="P2880">
        <v>1.39</v>
      </c>
      <c r="Q2880">
        <v>0.01</v>
      </c>
    </row>
    <row r="2881" spans="1:17" x14ac:dyDescent="0.25">
      <c r="A2881">
        <v>731807</v>
      </c>
      <c r="B2881" t="s">
        <v>4193</v>
      </c>
      <c r="C2881">
        <v>1.43</v>
      </c>
      <c r="D2881">
        <v>0.01</v>
      </c>
      <c r="E2881">
        <v>1.42</v>
      </c>
      <c r="F2881">
        <v>1.43</v>
      </c>
      <c r="G2881">
        <v>1.4</v>
      </c>
      <c r="H2881">
        <v>1.41</v>
      </c>
      <c r="I2881" s="1">
        <v>136000</v>
      </c>
      <c r="J2881" s="1">
        <v>192430</v>
      </c>
      <c r="K2881">
        <v>3</v>
      </c>
      <c r="L2881">
        <v>1.41</v>
      </c>
      <c r="M2881">
        <v>1.44</v>
      </c>
      <c r="N2881" s="1">
        <v>10000000</v>
      </c>
      <c r="O2881">
        <v>1.43</v>
      </c>
      <c r="P2881">
        <v>2.35</v>
      </c>
      <c r="Q2881">
        <v>0.51</v>
      </c>
    </row>
    <row r="2882" spans="1:17" x14ac:dyDescent="0.25">
      <c r="A2882">
        <v>731808</v>
      </c>
      <c r="B2882" t="s">
        <v>4194</v>
      </c>
      <c r="C2882" t="s">
        <v>78</v>
      </c>
      <c r="D2882" t="s">
        <v>78</v>
      </c>
      <c r="E2882" t="s">
        <v>78</v>
      </c>
      <c r="F2882" t="s">
        <v>78</v>
      </c>
      <c r="G2882" t="s">
        <v>78</v>
      </c>
      <c r="H2882">
        <v>0.1</v>
      </c>
      <c r="I2882" s="1">
        <v>0</v>
      </c>
      <c r="J2882" s="1">
        <v>0</v>
      </c>
      <c r="K2882">
        <v>0</v>
      </c>
      <c r="L2882">
        <v>0.11</v>
      </c>
      <c r="M2882">
        <v>0.12</v>
      </c>
      <c r="N2882" s="1">
        <v>5000000</v>
      </c>
      <c r="O2882">
        <v>0.11</v>
      </c>
      <c r="P2882">
        <v>0.66</v>
      </c>
      <c r="Q2882">
        <v>0.01</v>
      </c>
    </row>
    <row r="2883" spans="1:17" x14ac:dyDescent="0.25">
      <c r="A2883">
        <v>731809</v>
      </c>
      <c r="B2883" t="s">
        <v>4195</v>
      </c>
      <c r="C2883">
        <v>0.32</v>
      </c>
      <c r="D2883">
        <v>0.02</v>
      </c>
      <c r="E2883">
        <v>0.32</v>
      </c>
      <c r="F2883">
        <v>0.32</v>
      </c>
      <c r="G2883">
        <v>0.32</v>
      </c>
      <c r="H2883">
        <v>0.32</v>
      </c>
      <c r="I2883" s="1">
        <v>14000</v>
      </c>
      <c r="J2883" s="1">
        <v>4480</v>
      </c>
      <c r="K2883">
        <v>1</v>
      </c>
      <c r="L2883">
        <v>0.26</v>
      </c>
      <c r="M2883">
        <v>0.27</v>
      </c>
      <c r="N2883" s="1">
        <v>5000000</v>
      </c>
      <c r="O2883">
        <v>0.32</v>
      </c>
      <c r="P2883">
        <v>1.1100000000000001</v>
      </c>
      <c r="Q2883">
        <v>0.01</v>
      </c>
    </row>
    <row r="2884" spans="1:17" x14ac:dyDescent="0.25">
      <c r="A2884">
        <v>731810</v>
      </c>
      <c r="B2884" t="s">
        <v>4196</v>
      </c>
      <c r="C2884">
        <v>1.59</v>
      </c>
      <c r="D2884">
        <v>-0.03</v>
      </c>
      <c r="E2884">
        <v>1.6</v>
      </c>
      <c r="F2884">
        <v>1.64</v>
      </c>
      <c r="G2884">
        <v>1.54</v>
      </c>
      <c r="H2884">
        <v>1.58</v>
      </c>
      <c r="I2884" s="1">
        <v>799000</v>
      </c>
      <c r="J2884" s="1">
        <v>1264670</v>
      </c>
      <c r="K2884">
        <v>27</v>
      </c>
      <c r="L2884">
        <v>1.59</v>
      </c>
      <c r="M2884">
        <v>1.61</v>
      </c>
      <c r="N2884" s="1">
        <v>5000000</v>
      </c>
      <c r="O2884">
        <v>1.59</v>
      </c>
      <c r="P2884">
        <v>2.34</v>
      </c>
      <c r="Q2884">
        <v>0.84</v>
      </c>
    </row>
    <row r="2885" spans="1:17" x14ac:dyDescent="0.25">
      <c r="A2885">
        <v>731811</v>
      </c>
      <c r="B2885" t="s">
        <v>4197</v>
      </c>
      <c r="C2885" t="s">
        <v>78</v>
      </c>
      <c r="D2885" t="s">
        <v>78</v>
      </c>
      <c r="E2885" t="s">
        <v>78</v>
      </c>
      <c r="F2885" t="s">
        <v>78</v>
      </c>
      <c r="G2885" t="s">
        <v>78</v>
      </c>
      <c r="H2885">
        <v>0.3</v>
      </c>
      <c r="I2885" s="1">
        <v>0</v>
      </c>
      <c r="J2885" s="1">
        <v>0</v>
      </c>
      <c r="K2885">
        <v>0</v>
      </c>
      <c r="L2885">
        <v>0.3</v>
      </c>
      <c r="M2885">
        <v>0.31</v>
      </c>
      <c r="N2885" s="1">
        <v>5000000</v>
      </c>
      <c r="O2885">
        <v>0.3</v>
      </c>
      <c r="P2885">
        <v>0.85</v>
      </c>
      <c r="Q2885">
        <v>0.01</v>
      </c>
    </row>
    <row r="2886" spans="1:17" x14ac:dyDescent="0.25">
      <c r="A2886">
        <v>731812</v>
      </c>
      <c r="B2886" t="s">
        <v>4198</v>
      </c>
      <c r="C2886" t="s">
        <v>78</v>
      </c>
      <c r="D2886" t="s">
        <v>78</v>
      </c>
      <c r="E2886" t="s">
        <v>78</v>
      </c>
      <c r="F2886" t="s">
        <v>78</v>
      </c>
      <c r="G2886" t="s">
        <v>78</v>
      </c>
      <c r="H2886">
        <v>0.17</v>
      </c>
      <c r="I2886" s="1">
        <v>0</v>
      </c>
      <c r="J2886" s="1">
        <v>0</v>
      </c>
      <c r="K2886">
        <v>0</v>
      </c>
      <c r="L2886">
        <v>0.15</v>
      </c>
      <c r="M2886">
        <v>0.16</v>
      </c>
      <c r="N2886" s="1">
        <v>5000000</v>
      </c>
      <c r="O2886">
        <v>0.15</v>
      </c>
      <c r="P2886">
        <v>1.03</v>
      </c>
      <c r="Q2886">
        <v>0.01</v>
      </c>
    </row>
    <row r="2887" spans="1:17" x14ac:dyDescent="0.25">
      <c r="A2887">
        <v>731813</v>
      </c>
      <c r="B2887" t="s">
        <v>4199</v>
      </c>
      <c r="C2887" t="s">
        <v>78</v>
      </c>
      <c r="D2887" t="s">
        <v>78</v>
      </c>
      <c r="E2887" t="s">
        <v>78</v>
      </c>
      <c r="F2887" t="s">
        <v>78</v>
      </c>
      <c r="G2887" t="s">
        <v>78</v>
      </c>
      <c r="H2887">
        <v>0.03</v>
      </c>
      <c r="I2887" s="1">
        <v>0</v>
      </c>
      <c r="J2887" s="1">
        <v>0</v>
      </c>
      <c r="K2887">
        <v>0</v>
      </c>
      <c r="L2887">
        <v>0.01</v>
      </c>
      <c r="M2887">
        <v>0.02</v>
      </c>
      <c r="N2887" s="1">
        <v>10000000</v>
      </c>
      <c r="O2887">
        <v>0.02</v>
      </c>
      <c r="P2887">
        <v>0.37</v>
      </c>
      <c r="Q2887">
        <v>0.01</v>
      </c>
    </row>
    <row r="2888" spans="1:17" x14ac:dyDescent="0.25">
      <c r="A2888">
        <v>731814</v>
      </c>
      <c r="B2888" t="s">
        <v>4200</v>
      </c>
      <c r="C2888" t="s">
        <v>78</v>
      </c>
      <c r="D2888" t="s">
        <v>78</v>
      </c>
      <c r="E2888" t="s">
        <v>78</v>
      </c>
      <c r="F2888" t="s">
        <v>78</v>
      </c>
      <c r="G2888" t="s">
        <v>78</v>
      </c>
      <c r="H2888">
        <v>0.06</v>
      </c>
      <c r="I2888" s="1">
        <v>0</v>
      </c>
      <c r="J2888" s="1">
        <v>0</v>
      </c>
      <c r="K2888">
        <v>0</v>
      </c>
      <c r="L2888">
        <v>0.02</v>
      </c>
      <c r="M2888">
        <v>0.12</v>
      </c>
      <c r="N2888" s="1">
        <v>10000000</v>
      </c>
      <c r="O2888">
        <v>0.08</v>
      </c>
      <c r="P2888">
        <v>0.95</v>
      </c>
      <c r="Q2888">
        <v>0.01</v>
      </c>
    </row>
    <row r="2889" spans="1:17" x14ac:dyDescent="0.25">
      <c r="A2889">
        <v>731815</v>
      </c>
      <c r="B2889" t="s">
        <v>4201</v>
      </c>
      <c r="C2889" t="s">
        <v>78</v>
      </c>
      <c r="D2889" t="s">
        <v>78</v>
      </c>
      <c r="E2889" t="s">
        <v>78</v>
      </c>
      <c r="F2889" t="s">
        <v>78</v>
      </c>
      <c r="G2889" t="s">
        <v>78</v>
      </c>
      <c r="H2889">
        <v>0.1</v>
      </c>
      <c r="I2889" s="1">
        <v>0</v>
      </c>
      <c r="J2889" s="1">
        <v>0</v>
      </c>
      <c r="K2889">
        <v>0</v>
      </c>
      <c r="L2889">
        <v>7.0000000000000007E-2</v>
      </c>
      <c r="M2889">
        <v>0.08</v>
      </c>
      <c r="N2889" s="1">
        <v>5000000</v>
      </c>
      <c r="O2889">
        <v>7.0000000000000007E-2</v>
      </c>
      <c r="P2889">
        <v>0.81</v>
      </c>
      <c r="Q2889">
        <v>0.01</v>
      </c>
    </row>
    <row r="2890" spans="1:17" x14ac:dyDescent="0.25">
      <c r="A2890">
        <v>731816</v>
      </c>
      <c r="B2890" t="s">
        <v>4202</v>
      </c>
      <c r="C2890" t="s">
        <v>78</v>
      </c>
      <c r="D2890" t="s">
        <v>78</v>
      </c>
      <c r="E2890" t="s">
        <v>78</v>
      </c>
      <c r="F2890" t="s">
        <v>78</v>
      </c>
      <c r="G2890" t="s">
        <v>78</v>
      </c>
      <c r="H2890">
        <v>0.22</v>
      </c>
      <c r="I2890" s="1">
        <v>0</v>
      </c>
      <c r="J2890" s="1">
        <v>0</v>
      </c>
      <c r="K2890">
        <v>0</v>
      </c>
      <c r="L2890">
        <v>0.09</v>
      </c>
      <c r="M2890">
        <v>0.1</v>
      </c>
      <c r="N2890" s="1">
        <v>5000000</v>
      </c>
      <c r="O2890">
        <v>0.1</v>
      </c>
      <c r="P2890">
        <v>0.6</v>
      </c>
      <c r="Q2890">
        <v>0.01</v>
      </c>
    </row>
    <row r="2891" spans="1:17" x14ac:dyDescent="0.25">
      <c r="A2891">
        <v>731817</v>
      </c>
      <c r="B2891" t="s">
        <v>4203</v>
      </c>
      <c r="C2891" t="s">
        <v>78</v>
      </c>
      <c r="D2891" t="s">
        <v>78</v>
      </c>
      <c r="E2891" t="s">
        <v>78</v>
      </c>
      <c r="F2891" t="s">
        <v>78</v>
      </c>
      <c r="G2891" t="s">
        <v>78</v>
      </c>
      <c r="H2891">
        <v>0.25</v>
      </c>
      <c r="I2891" s="1">
        <v>0</v>
      </c>
      <c r="J2891" s="1">
        <v>0</v>
      </c>
      <c r="K2891">
        <v>0</v>
      </c>
      <c r="L2891">
        <v>0.2</v>
      </c>
      <c r="M2891">
        <v>0.21</v>
      </c>
      <c r="N2891" s="1">
        <v>5000000</v>
      </c>
      <c r="O2891">
        <v>0.2</v>
      </c>
      <c r="P2891">
        <v>0.79</v>
      </c>
      <c r="Q2891">
        <v>0.01</v>
      </c>
    </row>
    <row r="2892" spans="1:17" x14ac:dyDescent="0.25">
      <c r="A2892">
        <v>731818</v>
      </c>
      <c r="B2892" t="s">
        <v>4204</v>
      </c>
      <c r="C2892">
        <v>0.48</v>
      </c>
      <c r="D2892">
        <v>-0.08</v>
      </c>
      <c r="E2892">
        <v>0.59</v>
      </c>
      <c r="F2892">
        <v>0.6</v>
      </c>
      <c r="G2892">
        <v>0.48</v>
      </c>
      <c r="H2892">
        <v>0.56999999999999995</v>
      </c>
      <c r="I2892" s="1">
        <v>822000</v>
      </c>
      <c r="J2892" s="1">
        <v>464750</v>
      </c>
      <c r="K2892">
        <v>20</v>
      </c>
      <c r="L2892">
        <v>0.45</v>
      </c>
      <c r="M2892">
        <v>0.46</v>
      </c>
      <c r="N2892" s="1">
        <v>10000000</v>
      </c>
      <c r="O2892">
        <v>0.48</v>
      </c>
      <c r="P2892">
        <v>1.91</v>
      </c>
      <c r="Q2892">
        <v>0.01</v>
      </c>
    </row>
    <row r="2893" spans="1:17" x14ac:dyDescent="0.25">
      <c r="A2893">
        <v>731819</v>
      </c>
      <c r="B2893" t="s">
        <v>4205</v>
      </c>
      <c r="C2893">
        <v>0.28000000000000003</v>
      </c>
      <c r="D2893">
        <v>-0.04</v>
      </c>
      <c r="E2893">
        <v>0.28999999999999998</v>
      </c>
      <c r="F2893">
        <v>0.28999999999999998</v>
      </c>
      <c r="G2893">
        <v>0.28000000000000003</v>
      </c>
      <c r="H2893">
        <v>0.28000000000000003</v>
      </c>
      <c r="I2893" s="1">
        <v>60000</v>
      </c>
      <c r="J2893" s="1">
        <v>17100</v>
      </c>
      <c r="K2893">
        <v>3</v>
      </c>
      <c r="L2893">
        <v>0.28000000000000003</v>
      </c>
      <c r="M2893">
        <v>0.28999999999999998</v>
      </c>
      <c r="N2893" s="1">
        <v>5000000</v>
      </c>
      <c r="O2893">
        <v>0.28000000000000003</v>
      </c>
      <c r="P2893">
        <v>1.28</v>
      </c>
      <c r="Q2893">
        <v>0.01</v>
      </c>
    </row>
    <row r="2894" spans="1:17" x14ac:dyDescent="0.25">
      <c r="A2894">
        <v>731820</v>
      </c>
      <c r="B2894" t="s">
        <v>4206</v>
      </c>
      <c r="C2894" t="s">
        <v>78</v>
      </c>
      <c r="D2894" t="s">
        <v>78</v>
      </c>
      <c r="E2894" t="s">
        <v>78</v>
      </c>
      <c r="F2894" t="s">
        <v>78</v>
      </c>
      <c r="G2894" t="s">
        <v>78</v>
      </c>
      <c r="H2894">
        <v>0.05</v>
      </c>
      <c r="I2894" s="1">
        <v>0</v>
      </c>
      <c r="J2894" s="1">
        <v>0</v>
      </c>
      <c r="K2894">
        <v>0</v>
      </c>
      <c r="L2894">
        <v>0.02</v>
      </c>
      <c r="M2894">
        <v>0.05</v>
      </c>
      <c r="N2894" s="1">
        <v>5000000</v>
      </c>
      <c r="O2894">
        <v>0.05</v>
      </c>
      <c r="P2894">
        <v>0.9</v>
      </c>
      <c r="Q2894">
        <v>0.01</v>
      </c>
    </row>
    <row r="2895" spans="1:17" x14ac:dyDescent="0.25">
      <c r="A2895">
        <v>731821</v>
      </c>
      <c r="B2895" t="s">
        <v>4207</v>
      </c>
      <c r="C2895" t="s">
        <v>78</v>
      </c>
      <c r="D2895" t="s">
        <v>78</v>
      </c>
      <c r="E2895" t="s">
        <v>78</v>
      </c>
      <c r="F2895" t="s">
        <v>78</v>
      </c>
      <c r="G2895" t="s">
        <v>78</v>
      </c>
      <c r="H2895">
        <v>0.6</v>
      </c>
      <c r="I2895" s="1">
        <v>0</v>
      </c>
      <c r="J2895" s="1">
        <v>0</v>
      </c>
      <c r="K2895">
        <v>0</v>
      </c>
      <c r="L2895">
        <v>0.09</v>
      </c>
      <c r="M2895">
        <v>0.1</v>
      </c>
      <c r="N2895" s="1">
        <v>10000000</v>
      </c>
      <c r="O2895">
        <v>0.1</v>
      </c>
      <c r="P2895">
        <v>0.61</v>
      </c>
      <c r="Q2895">
        <v>0.01</v>
      </c>
    </row>
    <row r="2896" spans="1:17" x14ac:dyDescent="0.25">
      <c r="A2896">
        <v>731822</v>
      </c>
      <c r="B2896" t="s">
        <v>4208</v>
      </c>
      <c r="C2896" t="s">
        <v>78</v>
      </c>
      <c r="D2896" t="s">
        <v>78</v>
      </c>
      <c r="E2896" t="s">
        <v>78</v>
      </c>
      <c r="F2896" t="s">
        <v>78</v>
      </c>
      <c r="G2896" t="s">
        <v>78</v>
      </c>
      <c r="H2896">
        <v>0.42</v>
      </c>
      <c r="I2896" s="1">
        <v>0</v>
      </c>
      <c r="J2896" s="1">
        <v>0</v>
      </c>
      <c r="K2896">
        <v>0</v>
      </c>
      <c r="L2896">
        <v>0.04</v>
      </c>
      <c r="M2896">
        <v>0.1</v>
      </c>
      <c r="N2896" s="1">
        <v>10000000</v>
      </c>
      <c r="O2896">
        <v>0.1</v>
      </c>
      <c r="P2896">
        <v>0.6</v>
      </c>
      <c r="Q2896">
        <v>0.01</v>
      </c>
    </row>
    <row r="2897" spans="1:17" x14ac:dyDescent="0.25">
      <c r="A2897">
        <v>731823</v>
      </c>
      <c r="B2897" t="s">
        <v>4209</v>
      </c>
      <c r="C2897">
        <v>3.03</v>
      </c>
      <c r="D2897">
        <v>-0.21</v>
      </c>
      <c r="E2897">
        <v>3.29</v>
      </c>
      <c r="F2897">
        <v>3.29</v>
      </c>
      <c r="G2897">
        <v>3.03</v>
      </c>
      <c r="H2897">
        <v>3.16</v>
      </c>
      <c r="I2897" s="1">
        <v>2000</v>
      </c>
      <c r="J2897" s="1">
        <v>6320</v>
      </c>
      <c r="K2897">
        <v>2</v>
      </c>
      <c r="L2897">
        <v>3.08</v>
      </c>
      <c r="M2897">
        <v>3.1</v>
      </c>
      <c r="N2897" s="1">
        <v>10000000</v>
      </c>
      <c r="O2897">
        <v>3.03</v>
      </c>
      <c r="P2897">
        <v>4.67</v>
      </c>
      <c r="Q2897">
        <v>1.39</v>
      </c>
    </row>
    <row r="2898" spans="1:17" x14ac:dyDescent="0.25">
      <c r="A2898">
        <v>731824</v>
      </c>
      <c r="B2898" t="s">
        <v>4210</v>
      </c>
      <c r="C2898">
        <v>0.56000000000000005</v>
      </c>
      <c r="D2898">
        <v>0.03</v>
      </c>
      <c r="E2898">
        <v>0.65</v>
      </c>
      <c r="F2898">
        <v>0.65</v>
      </c>
      <c r="G2898">
        <v>0.56000000000000005</v>
      </c>
      <c r="H2898">
        <v>0.64</v>
      </c>
      <c r="I2898" s="1">
        <v>60000</v>
      </c>
      <c r="J2898" s="1">
        <v>38100</v>
      </c>
      <c r="K2898">
        <v>2</v>
      </c>
      <c r="L2898">
        <v>0.59</v>
      </c>
      <c r="M2898">
        <v>0.6</v>
      </c>
      <c r="N2898" s="1">
        <v>5000000</v>
      </c>
      <c r="O2898">
        <v>0.56000000000000005</v>
      </c>
      <c r="P2898">
        <v>1.97</v>
      </c>
      <c r="Q2898">
        <v>0.01</v>
      </c>
    </row>
    <row r="2899" spans="1:17" x14ac:dyDescent="0.25">
      <c r="A2899">
        <v>731825</v>
      </c>
      <c r="B2899" t="s">
        <v>4211</v>
      </c>
      <c r="C2899" t="s">
        <v>78</v>
      </c>
      <c r="D2899" t="s">
        <v>78</v>
      </c>
      <c r="E2899" t="s">
        <v>78</v>
      </c>
      <c r="F2899" t="s">
        <v>78</v>
      </c>
      <c r="G2899" t="s">
        <v>78</v>
      </c>
      <c r="H2899">
        <v>0.14000000000000001</v>
      </c>
      <c r="I2899" s="1">
        <v>0</v>
      </c>
      <c r="J2899" s="1">
        <v>0</v>
      </c>
      <c r="K2899">
        <v>0</v>
      </c>
      <c r="L2899">
        <v>0.01</v>
      </c>
      <c r="M2899">
        <v>0.1</v>
      </c>
      <c r="N2899" s="1">
        <v>5000000</v>
      </c>
      <c r="O2899">
        <v>0.04</v>
      </c>
      <c r="P2899">
        <v>0.64</v>
      </c>
      <c r="Q2899">
        <v>0.01</v>
      </c>
    </row>
    <row r="2900" spans="1:17" x14ac:dyDescent="0.25">
      <c r="A2900">
        <v>731826</v>
      </c>
      <c r="B2900" t="s">
        <v>4212</v>
      </c>
      <c r="C2900" t="s">
        <v>78</v>
      </c>
      <c r="D2900" t="s">
        <v>78</v>
      </c>
      <c r="E2900" t="s">
        <v>78</v>
      </c>
      <c r="F2900" t="s">
        <v>78</v>
      </c>
      <c r="G2900" t="s">
        <v>78</v>
      </c>
      <c r="H2900">
        <v>4.66</v>
      </c>
      <c r="I2900" s="1">
        <v>0</v>
      </c>
      <c r="J2900" s="1">
        <v>0</v>
      </c>
      <c r="K2900">
        <v>0</v>
      </c>
      <c r="L2900">
        <v>4.95</v>
      </c>
      <c r="M2900">
        <v>5.25</v>
      </c>
      <c r="N2900" s="1">
        <v>5000000</v>
      </c>
      <c r="O2900">
        <v>4.95</v>
      </c>
      <c r="P2900">
        <v>6.4</v>
      </c>
      <c r="Q2900">
        <v>3.47</v>
      </c>
    </row>
    <row r="2901" spans="1:17" x14ac:dyDescent="0.25">
      <c r="A2901">
        <v>731827</v>
      </c>
      <c r="B2901" t="s">
        <v>4213</v>
      </c>
      <c r="C2901">
        <v>2.99</v>
      </c>
      <c r="D2901">
        <v>0.15</v>
      </c>
      <c r="E2901">
        <v>2.98</v>
      </c>
      <c r="F2901">
        <v>3.07</v>
      </c>
      <c r="G2901">
        <v>2.97</v>
      </c>
      <c r="H2901">
        <v>3</v>
      </c>
      <c r="I2901" s="1">
        <v>146000</v>
      </c>
      <c r="J2901" s="1">
        <v>438620</v>
      </c>
      <c r="K2901">
        <v>15</v>
      </c>
      <c r="L2901">
        <v>2.96</v>
      </c>
      <c r="M2901">
        <v>2.97</v>
      </c>
      <c r="N2901" s="1">
        <v>10000000</v>
      </c>
      <c r="O2901">
        <v>2.99</v>
      </c>
      <c r="P2901">
        <v>3.79</v>
      </c>
      <c r="Q2901">
        <v>2.19</v>
      </c>
    </row>
    <row r="2902" spans="1:17" x14ac:dyDescent="0.25">
      <c r="A2902">
        <v>731828</v>
      </c>
      <c r="B2902" t="s">
        <v>4214</v>
      </c>
      <c r="C2902">
        <v>1.38</v>
      </c>
      <c r="D2902">
        <v>-0.11</v>
      </c>
      <c r="E2902">
        <v>1.45</v>
      </c>
      <c r="F2902">
        <v>1.45</v>
      </c>
      <c r="G2902">
        <v>1.38</v>
      </c>
      <c r="H2902">
        <v>1.43</v>
      </c>
      <c r="I2902" s="1">
        <v>67000</v>
      </c>
      <c r="J2902" s="1">
        <v>96040</v>
      </c>
      <c r="K2902">
        <v>4</v>
      </c>
      <c r="L2902">
        <v>1.38</v>
      </c>
      <c r="M2902">
        <v>1.39</v>
      </c>
      <c r="N2902" s="1">
        <v>5000000</v>
      </c>
      <c r="O2902">
        <v>1.38</v>
      </c>
      <c r="P2902">
        <v>2.87</v>
      </c>
      <c r="Q2902">
        <v>0.01</v>
      </c>
    </row>
    <row r="2903" spans="1:17" x14ac:dyDescent="0.25">
      <c r="A2903">
        <v>731829</v>
      </c>
      <c r="B2903" t="s">
        <v>4215</v>
      </c>
      <c r="C2903">
        <v>4.3600000000000003</v>
      </c>
      <c r="D2903">
        <v>0.08</v>
      </c>
      <c r="E2903">
        <v>4.9000000000000004</v>
      </c>
      <c r="F2903">
        <v>4.9000000000000004</v>
      </c>
      <c r="G2903">
        <v>4.3</v>
      </c>
      <c r="H2903">
        <v>4.38</v>
      </c>
      <c r="I2903" s="1">
        <v>33000</v>
      </c>
      <c r="J2903" s="1">
        <v>144500</v>
      </c>
      <c r="K2903">
        <v>6</v>
      </c>
      <c r="L2903">
        <v>4.2300000000000004</v>
      </c>
      <c r="M2903">
        <v>4.33</v>
      </c>
      <c r="N2903" s="1">
        <v>5000000</v>
      </c>
      <c r="O2903">
        <v>4.3600000000000003</v>
      </c>
      <c r="P2903">
        <v>5.7</v>
      </c>
      <c r="Q2903">
        <v>2.98</v>
      </c>
    </row>
    <row r="2904" spans="1:17" x14ac:dyDescent="0.25">
      <c r="A2904">
        <v>731830</v>
      </c>
      <c r="B2904" t="s">
        <v>4216</v>
      </c>
      <c r="C2904" t="s">
        <v>78</v>
      </c>
      <c r="D2904" t="s">
        <v>78</v>
      </c>
      <c r="E2904" t="s">
        <v>78</v>
      </c>
      <c r="F2904" t="s">
        <v>78</v>
      </c>
      <c r="G2904" t="s">
        <v>78</v>
      </c>
      <c r="H2904">
        <v>3.99</v>
      </c>
      <c r="I2904" s="1">
        <v>0</v>
      </c>
      <c r="J2904" s="1">
        <v>0</v>
      </c>
      <c r="K2904">
        <v>0</v>
      </c>
      <c r="L2904">
        <v>0</v>
      </c>
      <c r="M2904">
        <v>0</v>
      </c>
      <c r="N2904" s="1">
        <v>5000000</v>
      </c>
      <c r="O2904">
        <v>10.9</v>
      </c>
      <c r="P2904">
        <v>13.2</v>
      </c>
      <c r="Q2904">
        <v>8.5500000000000007</v>
      </c>
    </row>
    <row r="2905" spans="1:17" x14ac:dyDescent="0.25">
      <c r="A2905">
        <v>731831</v>
      </c>
      <c r="B2905" t="s">
        <v>4217</v>
      </c>
      <c r="C2905">
        <v>0.3</v>
      </c>
      <c r="D2905">
        <v>-0.03</v>
      </c>
      <c r="E2905">
        <v>0.3</v>
      </c>
      <c r="F2905">
        <v>0.3</v>
      </c>
      <c r="G2905">
        <v>0.3</v>
      </c>
      <c r="H2905">
        <v>0.3</v>
      </c>
      <c r="I2905" s="1">
        <v>10000</v>
      </c>
      <c r="J2905" s="1">
        <v>3000</v>
      </c>
      <c r="K2905">
        <v>1</v>
      </c>
      <c r="L2905">
        <v>0.28999999999999998</v>
      </c>
      <c r="M2905">
        <v>0.3</v>
      </c>
      <c r="N2905" s="1">
        <v>10000000</v>
      </c>
      <c r="O2905">
        <v>0.3</v>
      </c>
      <c r="P2905">
        <v>0.92</v>
      </c>
      <c r="Q2905">
        <v>0.01</v>
      </c>
    </row>
    <row r="2906" spans="1:17" x14ac:dyDescent="0.25">
      <c r="A2906">
        <v>731832</v>
      </c>
      <c r="B2906" t="s">
        <v>4218</v>
      </c>
      <c r="C2906">
        <v>0.2</v>
      </c>
      <c r="D2906">
        <v>0</v>
      </c>
      <c r="E2906">
        <v>0.2</v>
      </c>
      <c r="F2906">
        <v>0.2</v>
      </c>
      <c r="G2906">
        <v>0.2</v>
      </c>
      <c r="H2906">
        <v>0.2</v>
      </c>
      <c r="I2906" s="1">
        <v>20000</v>
      </c>
      <c r="J2906" s="1">
        <v>4000</v>
      </c>
      <c r="K2906">
        <v>1</v>
      </c>
      <c r="L2906">
        <v>0.19</v>
      </c>
      <c r="M2906">
        <v>0.2</v>
      </c>
      <c r="N2906" s="1">
        <v>5000000</v>
      </c>
      <c r="O2906">
        <v>0.2</v>
      </c>
      <c r="P2906">
        <v>0.8</v>
      </c>
      <c r="Q2906">
        <v>0.01</v>
      </c>
    </row>
    <row r="2907" spans="1:17" x14ac:dyDescent="0.25">
      <c r="A2907">
        <v>731833</v>
      </c>
      <c r="B2907" t="s">
        <v>4219</v>
      </c>
      <c r="C2907" t="s">
        <v>78</v>
      </c>
      <c r="D2907" t="s">
        <v>78</v>
      </c>
      <c r="E2907" t="s">
        <v>78</v>
      </c>
      <c r="F2907" t="s">
        <v>78</v>
      </c>
      <c r="G2907" t="s">
        <v>78</v>
      </c>
      <c r="H2907">
        <v>0.34</v>
      </c>
      <c r="I2907" s="1">
        <v>0</v>
      </c>
      <c r="J2907" s="1">
        <v>0</v>
      </c>
      <c r="K2907">
        <v>0</v>
      </c>
      <c r="L2907">
        <v>0.35</v>
      </c>
      <c r="M2907">
        <v>0.36</v>
      </c>
      <c r="N2907" s="1">
        <v>5000000</v>
      </c>
      <c r="O2907">
        <v>0.35</v>
      </c>
      <c r="P2907">
        <v>1.02</v>
      </c>
      <c r="Q2907">
        <v>0.01</v>
      </c>
    </row>
    <row r="2908" spans="1:17" x14ac:dyDescent="0.25">
      <c r="A2908">
        <v>731834</v>
      </c>
      <c r="B2908" t="s">
        <v>4220</v>
      </c>
      <c r="C2908" t="s">
        <v>78</v>
      </c>
      <c r="D2908" t="s">
        <v>78</v>
      </c>
      <c r="E2908" t="s">
        <v>78</v>
      </c>
      <c r="F2908" t="s">
        <v>78</v>
      </c>
      <c r="G2908" t="s">
        <v>78</v>
      </c>
      <c r="H2908">
        <v>0.5</v>
      </c>
      <c r="I2908" s="1">
        <v>0</v>
      </c>
      <c r="J2908" s="1">
        <v>0</v>
      </c>
      <c r="K2908">
        <v>0</v>
      </c>
      <c r="L2908">
        <v>0.34</v>
      </c>
      <c r="M2908">
        <v>0.35</v>
      </c>
      <c r="N2908" s="1">
        <v>10000000</v>
      </c>
      <c r="O2908">
        <v>0.35</v>
      </c>
      <c r="P2908">
        <v>1.25</v>
      </c>
      <c r="Q2908">
        <v>0.01</v>
      </c>
    </row>
    <row r="2909" spans="1:17" x14ac:dyDescent="0.25">
      <c r="A2909">
        <v>731835</v>
      </c>
      <c r="B2909" t="s">
        <v>4221</v>
      </c>
      <c r="C2909" t="s">
        <v>78</v>
      </c>
      <c r="D2909" t="s">
        <v>78</v>
      </c>
      <c r="E2909" t="s">
        <v>78</v>
      </c>
      <c r="F2909" t="s">
        <v>78</v>
      </c>
      <c r="G2909" t="s">
        <v>78</v>
      </c>
      <c r="H2909">
        <v>0.28000000000000003</v>
      </c>
      <c r="I2909" s="1">
        <v>0</v>
      </c>
      <c r="J2909" s="1">
        <v>0</v>
      </c>
      <c r="K2909">
        <v>0</v>
      </c>
      <c r="L2909">
        <v>0.3</v>
      </c>
      <c r="M2909">
        <v>0.31</v>
      </c>
      <c r="N2909" s="1">
        <v>5000000</v>
      </c>
      <c r="O2909">
        <v>0.3</v>
      </c>
      <c r="P2909">
        <v>0.98</v>
      </c>
      <c r="Q2909">
        <v>0.01</v>
      </c>
    </row>
    <row r="2910" spans="1:17" x14ac:dyDescent="0.25">
      <c r="A2910">
        <v>731836</v>
      </c>
      <c r="B2910" t="s">
        <v>4222</v>
      </c>
      <c r="C2910">
        <v>0.11</v>
      </c>
      <c r="D2910">
        <v>0.01</v>
      </c>
      <c r="E2910">
        <v>0.13</v>
      </c>
      <c r="F2910">
        <v>0.13</v>
      </c>
      <c r="G2910">
        <v>0.11</v>
      </c>
      <c r="H2910">
        <v>0.12</v>
      </c>
      <c r="I2910" s="1">
        <v>40000</v>
      </c>
      <c r="J2910" s="1">
        <v>4700</v>
      </c>
      <c r="K2910">
        <v>3</v>
      </c>
      <c r="L2910">
        <v>0.1</v>
      </c>
      <c r="M2910">
        <v>0.11</v>
      </c>
      <c r="N2910" s="1">
        <v>10000000</v>
      </c>
      <c r="O2910">
        <v>0.11</v>
      </c>
      <c r="P2910">
        <v>0.55000000000000004</v>
      </c>
      <c r="Q2910">
        <v>0.01</v>
      </c>
    </row>
    <row r="2911" spans="1:17" x14ac:dyDescent="0.25">
      <c r="A2911">
        <v>731837</v>
      </c>
      <c r="B2911" t="s">
        <v>4223</v>
      </c>
      <c r="C2911" t="s">
        <v>78</v>
      </c>
      <c r="D2911" t="s">
        <v>78</v>
      </c>
      <c r="E2911" t="s">
        <v>78</v>
      </c>
      <c r="F2911" t="s">
        <v>78</v>
      </c>
      <c r="G2911" t="s">
        <v>78</v>
      </c>
      <c r="H2911">
        <v>1.44</v>
      </c>
      <c r="I2911" s="1">
        <v>0</v>
      </c>
      <c r="J2911" s="1">
        <v>0</v>
      </c>
      <c r="K2911">
        <v>0</v>
      </c>
      <c r="L2911">
        <v>1.39</v>
      </c>
      <c r="M2911">
        <v>1.4</v>
      </c>
      <c r="N2911" s="1">
        <v>10000000</v>
      </c>
      <c r="O2911">
        <v>1.4</v>
      </c>
      <c r="P2911">
        <v>2.38</v>
      </c>
      <c r="Q2911">
        <v>0.42</v>
      </c>
    </row>
    <row r="2912" spans="1:17" x14ac:dyDescent="0.25">
      <c r="A2912">
        <v>731838</v>
      </c>
      <c r="B2912" t="s">
        <v>4224</v>
      </c>
      <c r="C2912">
        <v>0.6</v>
      </c>
      <c r="D2912">
        <v>-0.03</v>
      </c>
      <c r="E2912">
        <v>0.61</v>
      </c>
      <c r="F2912">
        <v>0.62</v>
      </c>
      <c r="G2912">
        <v>0.6</v>
      </c>
      <c r="H2912">
        <v>0.61</v>
      </c>
      <c r="I2912" s="1">
        <v>110000</v>
      </c>
      <c r="J2912" s="1">
        <v>67200</v>
      </c>
      <c r="K2912">
        <v>5</v>
      </c>
      <c r="L2912">
        <v>0.62</v>
      </c>
      <c r="M2912">
        <v>0.63</v>
      </c>
      <c r="N2912" s="1">
        <v>5000000</v>
      </c>
      <c r="O2912">
        <v>0.6</v>
      </c>
      <c r="P2912">
        <v>1.34</v>
      </c>
      <c r="Q2912">
        <v>0.01</v>
      </c>
    </row>
    <row r="2913" spans="1:17" x14ac:dyDescent="0.25">
      <c r="A2913">
        <v>731839</v>
      </c>
      <c r="B2913" t="s">
        <v>4225</v>
      </c>
      <c r="C2913">
        <v>0.82</v>
      </c>
      <c r="D2913">
        <v>0.02</v>
      </c>
      <c r="E2913">
        <v>0.83</v>
      </c>
      <c r="F2913">
        <v>0.83</v>
      </c>
      <c r="G2913">
        <v>0.8</v>
      </c>
      <c r="H2913">
        <v>0.82</v>
      </c>
      <c r="I2913" s="1">
        <v>373000</v>
      </c>
      <c r="J2913" s="1">
        <v>305890</v>
      </c>
      <c r="K2913">
        <v>9</v>
      </c>
      <c r="L2913">
        <v>0.81</v>
      </c>
      <c r="M2913">
        <v>0.82</v>
      </c>
      <c r="N2913" s="1">
        <v>5000000</v>
      </c>
      <c r="O2913">
        <v>0.82</v>
      </c>
      <c r="P2913">
        <v>1.69</v>
      </c>
      <c r="Q2913">
        <v>0.01</v>
      </c>
    </row>
    <row r="2914" spans="1:17" x14ac:dyDescent="0.25">
      <c r="A2914">
        <v>731840</v>
      </c>
      <c r="B2914" t="s">
        <v>4226</v>
      </c>
      <c r="C2914">
        <v>4.22</v>
      </c>
      <c r="D2914">
        <v>0.16</v>
      </c>
      <c r="E2914">
        <v>4.22</v>
      </c>
      <c r="F2914">
        <v>4.22</v>
      </c>
      <c r="G2914">
        <v>4.22</v>
      </c>
      <c r="H2914">
        <v>4.22</v>
      </c>
      <c r="I2914" s="1">
        <v>10000</v>
      </c>
      <c r="J2914" s="1">
        <v>42200</v>
      </c>
      <c r="K2914">
        <v>2</v>
      </c>
      <c r="L2914">
        <v>3.86</v>
      </c>
      <c r="M2914">
        <v>3.92</v>
      </c>
      <c r="N2914" s="1">
        <v>5000000</v>
      </c>
      <c r="O2914">
        <v>4.22</v>
      </c>
      <c r="P2914">
        <v>5.8</v>
      </c>
      <c r="Q2914">
        <v>2.64</v>
      </c>
    </row>
    <row r="2915" spans="1:17" x14ac:dyDescent="0.25">
      <c r="A2915">
        <v>731841</v>
      </c>
      <c r="B2915" t="s">
        <v>4227</v>
      </c>
      <c r="C2915">
        <v>3.34</v>
      </c>
      <c r="D2915">
        <v>0.24</v>
      </c>
      <c r="E2915">
        <v>3.34</v>
      </c>
      <c r="F2915">
        <v>3.34</v>
      </c>
      <c r="G2915">
        <v>3.34</v>
      </c>
      <c r="H2915">
        <v>3.34</v>
      </c>
      <c r="I2915" s="1">
        <v>20000</v>
      </c>
      <c r="J2915" s="1">
        <v>66800</v>
      </c>
      <c r="K2915">
        <v>2</v>
      </c>
      <c r="L2915">
        <v>3.31</v>
      </c>
      <c r="M2915">
        <v>3.41</v>
      </c>
      <c r="N2915" s="1">
        <v>5000000</v>
      </c>
      <c r="O2915">
        <v>3.34</v>
      </c>
      <c r="P2915">
        <v>4.6100000000000003</v>
      </c>
      <c r="Q2915">
        <v>2.0699999999999998</v>
      </c>
    </row>
    <row r="2916" spans="1:17" x14ac:dyDescent="0.25">
      <c r="A2916">
        <v>731842</v>
      </c>
      <c r="B2916" t="s">
        <v>4228</v>
      </c>
      <c r="C2916" t="s">
        <v>78</v>
      </c>
      <c r="D2916" t="s">
        <v>78</v>
      </c>
      <c r="E2916" t="s">
        <v>78</v>
      </c>
      <c r="F2916" t="s">
        <v>78</v>
      </c>
      <c r="G2916" t="s">
        <v>78</v>
      </c>
      <c r="H2916">
        <v>3.4</v>
      </c>
      <c r="I2916" s="1">
        <v>0</v>
      </c>
      <c r="J2916" s="1">
        <v>0</v>
      </c>
      <c r="K2916">
        <v>0</v>
      </c>
      <c r="L2916">
        <v>3.23</v>
      </c>
      <c r="M2916">
        <v>3.33</v>
      </c>
      <c r="N2916" s="1">
        <v>5500000</v>
      </c>
      <c r="O2916">
        <v>3.3</v>
      </c>
      <c r="P2916">
        <v>4.68</v>
      </c>
      <c r="Q2916">
        <v>1.92</v>
      </c>
    </row>
    <row r="2917" spans="1:17" x14ac:dyDescent="0.25">
      <c r="A2917">
        <v>731843</v>
      </c>
      <c r="B2917" t="s">
        <v>4229</v>
      </c>
      <c r="C2917" t="s">
        <v>78</v>
      </c>
      <c r="D2917" t="s">
        <v>78</v>
      </c>
      <c r="E2917" t="s">
        <v>78</v>
      </c>
      <c r="F2917" t="s">
        <v>78</v>
      </c>
      <c r="G2917" t="s">
        <v>78</v>
      </c>
      <c r="H2917">
        <v>1.75</v>
      </c>
      <c r="I2917" s="1">
        <v>0</v>
      </c>
      <c r="J2917" s="1">
        <v>0</v>
      </c>
      <c r="K2917">
        <v>0</v>
      </c>
      <c r="L2917">
        <v>1.89</v>
      </c>
      <c r="M2917">
        <v>1.93</v>
      </c>
      <c r="N2917" s="1">
        <v>10000000</v>
      </c>
      <c r="O2917">
        <v>1.93</v>
      </c>
      <c r="P2917">
        <v>2.75</v>
      </c>
      <c r="Q2917">
        <v>1.1100000000000001</v>
      </c>
    </row>
    <row r="2918" spans="1:17" x14ac:dyDescent="0.25">
      <c r="A2918">
        <v>731844</v>
      </c>
      <c r="B2918" t="s">
        <v>4230</v>
      </c>
      <c r="C2918" t="s">
        <v>78</v>
      </c>
      <c r="D2918" t="s">
        <v>78</v>
      </c>
      <c r="E2918" t="s">
        <v>78</v>
      </c>
      <c r="F2918" t="s">
        <v>78</v>
      </c>
      <c r="G2918" t="s">
        <v>78</v>
      </c>
      <c r="H2918">
        <v>0.05</v>
      </c>
      <c r="I2918" s="1">
        <v>0</v>
      </c>
      <c r="J2918" s="1">
        <v>0</v>
      </c>
      <c r="K2918">
        <v>0</v>
      </c>
      <c r="L2918">
        <v>0.05</v>
      </c>
      <c r="M2918">
        <v>0.06</v>
      </c>
      <c r="N2918" s="1">
        <v>10000000</v>
      </c>
      <c r="O2918">
        <v>0.05</v>
      </c>
      <c r="P2918">
        <v>0.33</v>
      </c>
      <c r="Q2918">
        <v>0.01</v>
      </c>
    </row>
    <row r="2919" spans="1:17" x14ac:dyDescent="0.25">
      <c r="A2919">
        <v>731845</v>
      </c>
      <c r="B2919" t="s">
        <v>4231</v>
      </c>
      <c r="C2919" t="s">
        <v>78</v>
      </c>
      <c r="D2919" t="s">
        <v>78</v>
      </c>
      <c r="E2919" t="s">
        <v>78</v>
      </c>
      <c r="F2919" t="s">
        <v>78</v>
      </c>
      <c r="G2919" t="s">
        <v>78</v>
      </c>
      <c r="H2919">
        <v>0.08</v>
      </c>
      <c r="I2919" s="1">
        <v>0</v>
      </c>
      <c r="J2919" s="1">
        <v>0</v>
      </c>
      <c r="K2919">
        <v>0</v>
      </c>
      <c r="L2919">
        <v>0.05</v>
      </c>
      <c r="M2919">
        <v>0.06</v>
      </c>
      <c r="N2919" s="1">
        <v>5000000</v>
      </c>
      <c r="O2919">
        <v>0.06</v>
      </c>
      <c r="P2919">
        <v>1.26</v>
      </c>
      <c r="Q2919">
        <v>0.01</v>
      </c>
    </row>
    <row r="2920" spans="1:17" x14ac:dyDescent="0.25">
      <c r="A2920">
        <v>731846</v>
      </c>
      <c r="B2920" t="s">
        <v>4232</v>
      </c>
      <c r="C2920" t="s">
        <v>78</v>
      </c>
      <c r="D2920" t="s">
        <v>78</v>
      </c>
      <c r="E2920" t="s">
        <v>78</v>
      </c>
      <c r="F2920" t="s">
        <v>78</v>
      </c>
      <c r="G2920" t="s">
        <v>78</v>
      </c>
      <c r="H2920">
        <v>0.08</v>
      </c>
      <c r="I2920" s="1">
        <v>0</v>
      </c>
      <c r="J2920" s="1">
        <v>0</v>
      </c>
      <c r="K2920">
        <v>0</v>
      </c>
      <c r="L2920">
        <v>0.04</v>
      </c>
      <c r="M2920">
        <v>0.05</v>
      </c>
      <c r="N2920" s="1">
        <v>5000000</v>
      </c>
      <c r="O2920">
        <v>0.05</v>
      </c>
      <c r="P2920">
        <v>0.66</v>
      </c>
      <c r="Q2920">
        <v>0.01</v>
      </c>
    </row>
    <row r="2921" spans="1:17" x14ac:dyDescent="0.25">
      <c r="A2921">
        <v>731847</v>
      </c>
      <c r="B2921" t="s">
        <v>4233</v>
      </c>
      <c r="C2921">
        <v>0.71</v>
      </c>
      <c r="D2921">
        <v>0.01</v>
      </c>
      <c r="E2921">
        <v>0.71</v>
      </c>
      <c r="F2921">
        <v>0.71</v>
      </c>
      <c r="G2921">
        <v>0.71</v>
      </c>
      <c r="H2921">
        <v>0.71</v>
      </c>
      <c r="I2921" s="1">
        <v>50000</v>
      </c>
      <c r="J2921" s="1">
        <v>35500</v>
      </c>
      <c r="K2921">
        <v>1</v>
      </c>
      <c r="L2921">
        <v>0.69</v>
      </c>
      <c r="M2921">
        <v>0.7</v>
      </c>
      <c r="N2921" s="1">
        <v>10000000</v>
      </c>
      <c r="O2921">
        <v>0.71</v>
      </c>
      <c r="P2921">
        <v>1.31</v>
      </c>
      <c r="Q2921">
        <v>0.11</v>
      </c>
    </row>
    <row r="2922" spans="1:17" x14ac:dyDescent="0.25">
      <c r="A2922">
        <v>731848</v>
      </c>
      <c r="B2922" t="s">
        <v>4234</v>
      </c>
      <c r="C2922" t="s">
        <v>78</v>
      </c>
      <c r="D2922" t="s">
        <v>78</v>
      </c>
      <c r="E2922" t="s">
        <v>78</v>
      </c>
      <c r="F2922" t="s">
        <v>78</v>
      </c>
      <c r="G2922" t="s">
        <v>78</v>
      </c>
      <c r="H2922">
        <v>0.31</v>
      </c>
      <c r="I2922" s="1">
        <v>0</v>
      </c>
      <c r="J2922" s="1">
        <v>0</v>
      </c>
      <c r="K2922">
        <v>0</v>
      </c>
      <c r="L2922">
        <v>0.25</v>
      </c>
      <c r="M2922">
        <v>0.26</v>
      </c>
      <c r="N2922" s="1">
        <v>10000000</v>
      </c>
      <c r="O2922">
        <v>0.26</v>
      </c>
      <c r="P2922">
        <v>0.61</v>
      </c>
      <c r="Q2922">
        <v>0.01</v>
      </c>
    </row>
    <row r="2923" spans="1:17" x14ac:dyDescent="0.25">
      <c r="A2923">
        <v>731849</v>
      </c>
      <c r="B2923" t="s">
        <v>4235</v>
      </c>
      <c r="C2923" t="s">
        <v>78</v>
      </c>
      <c r="D2923" t="s">
        <v>78</v>
      </c>
      <c r="E2923" t="s">
        <v>78</v>
      </c>
      <c r="F2923" t="s">
        <v>78</v>
      </c>
      <c r="G2923" t="s">
        <v>78</v>
      </c>
      <c r="H2923">
        <v>1.23</v>
      </c>
      <c r="I2923" s="1">
        <v>0</v>
      </c>
      <c r="J2923" s="1">
        <v>0</v>
      </c>
      <c r="K2923">
        <v>0</v>
      </c>
      <c r="L2923">
        <v>1.22</v>
      </c>
      <c r="M2923">
        <v>1.27</v>
      </c>
      <c r="N2923" s="1">
        <v>10000000</v>
      </c>
      <c r="O2923">
        <v>1.25</v>
      </c>
      <c r="P2923">
        <v>1.74</v>
      </c>
      <c r="Q2923">
        <v>0.76</v>
      </c>
    </row>
    <row r="2924" spans="1:17" x14ac:dyDescent="0.25">
      <c r="A2924">
        <v>731850</v>
      </c>
      <c r="B2924" t="s">
        <v>4236</v>
      </c>
      <c r="C2924">
        <v>1.19</v>
      </c>
      <c r="D2924">
        <v>0.03</v>
      </c>
      <c r="E2924">
        <v>1.19</v>
      </c>
      <c r="F2924">
        <v>1.19</v>
      </c>
      <c r="G2924">
        <v>1.19</v>
      </c>
      <c r="H2924">
        <v>1.19</v>
      </c>
      <c r="I2924" s="1">
        <v>1000</v>
      </c>
      <c r="J2924" s="1">
        <v>1190</v>
      </c>
      <c r="K2924">
        <v>1</v>
      </c>
      <c r="L2924">
        <v>1.1399999999999999</v>
      </c>
      <c r="M2924">
        <v>1.17</v>
      </c>
      <c r="N2924" s="1">
        <v>10000000</v>
      </c>
      <c r="O2924">
        <v>1.19</v>
      </c>
      <c r="P2924">
        <v>2.2000000000000002</v>
      </c>
      <c r="Q2924">
        <v>0.18</v>
      </c>
    </row>
    <row r="2925" spans="1:17" x14ac:dyDescent="0.25">
      <c r="A2925">
        <v>731851</v>
      </c>
      <c r="B2925" t="s">
        <v>4237</v>
      </c>
      <c r="C2925" t="s">
        <v>78</v>
      </c>
      <c r="D2925" t="s">
        <v>78</v>
      </c>
      <c r="E2925" t="s">
        <v>78</v>
      </c>
      <c r="F2925" t="s">
        <v>78</v>
      </c>
      <c r="G2925" t="s">
        <v>78</v>
      </c>
      <c r="H2925">
        <v>3.75</v>
      </c>
      <c r="I2925" s="1">
        <v>0</v>
      </c>
      <c r="J2925" s="1">
        <v>0</v>
      </c>
      <c r="K2925">
        <v>0</v>
      </c>
      <c r="L2925">
        <v>3.79</v>
      </c>
      <c r="M2925">
        <v>3.89</v>
      </c>
      <c r="N2925" s="1">
        <v>10000000</v>
      </c>
      <c r="O2925">
        <v>3.8</v>
      </c>
      <c r="P2925">
        <v>5.4</v>
      </c>
      <c r="Q2925">
        <v>2.1800000000000002</v>
      </c>
    </row>
    <row r="2926" spans="1:17" x14ac:dyDescent="0.25">
      <c r="A2926">
        <v>731852</v>
      </c>
      <c r="B2926" t="s">
        <v>4238</v>
      </c>
      <c r="C2926">
        <v>0.56000000000000005</v>
      </c>
      <c r="D2926">
        <v>-0.06</v>
      </c>
      <c r="E2926">
        <v>0.61</v>
      </c>
      <c r="F2926">
        <v>0.61</v>
      </c>
      <c r="G2926">
        <v>0.56000000000000005</v>
      </c>
      <c r="H2926">
        <v>0.6</v>
      </c>
      <c r="I2926" s="1">
        <v>555000</v>
      </c>
      <c r="J2926" s="1">
        <v>332310</v>
      </c>
      <c r="K2926">
        <v>13</v>
      </c>
      <c r="L2926">
        <v>0.56000000000000005</v>
      </c>
      <c r="M2926">
        <v>0.57999999999999996</v>
      </c>
      <c r="N2926" s="1">
        <v>10000000</v>
      </c>
      <c r="O2926">
        <v>0.56000000000000005</v>
      </c>
      <c r="P2926">
        <v>1.37</v>
      </c>
      <c r="Q2926">
        <v>0.01</v>
      </c>
    </row>
    <row r="2927" spans="1:17" x14ac:dyDescent="0.25">
      <c r="A2927">
        <v>731853</v>
      </c>
      <c r="B2927" t="s">
        <v>4239</v>
      </c>
      <c r="C2927" t="s">
        <v>78</v>
      </c>
      <c r="D2927" t="s">
        <v>78</v>
      </c>
      <c r="E2927" t="s">
        <v>78</v>
      </c>
      <c r="F2927" t="s">
        <v>78</v>
      </c>
      <c r="G2927" t="s">
        <v>78</v>
      </c>
      <c r="H2927">
        <v>0.32</v>
      </c>
      <c r="I2927" s="1">
        <v>0</v>
      </c>
      <c r="J2927" s="1">
        <v>0</v>
      </c>
      <c r="K2927">
        <v>0</v>
      </c>
      <c r="L2927">
        <v>0.08</v>
      </c>
      <c r="M2927">
        <v>0.09</v>
      </c>
      <c r="N2927" s="1">
        <v>10000000</v>
      </c>
      <c r="O2927">
        <v>0.09</v>
      </c>
      <c r="P2927">
        <v>1.33</v>
      </c>
      <c r="Q2927">
        <v>0.01</v>
      </c>
    </row>
    <row r="2928" spans="1:17" x14ac:dyDescent="0.25">
      <c r="A2928">
        <v>731854</v>
      </c>
      <c r="B2928" t="s">
        <v>4240</v>
      </c>
      <c r="C2928">
        <v>2.7</v>
      </c>
      <c r="D2928">
        <v>0.31</v>
      </c>
      <c r="E2928">
        <v>2.7</v>
      </c>
      <c r="F2928">
        <v>2.7</v>
      </c>
      <c r="G2928">
        <v>2.7</v>
      </c>
      <c r="H2928">
        <v>2.7</v>
      </c>
      <c r="I2928" s="1">
        <v>3000</v>
      </c>
      <c r="J2928" s="1">
        <v>8100</v>
      </c>
      <c r="K2928">
        <v>1</v>
      </c>
      <c r="L2928">
        <v>2.57</v>
      </c>
      <c r="M2928">
        <v>2.65</v>
      </c>
      <c r="N2928" s="1">
        <v>5000000</v>
      </c>
      <c r="O2928">
        <v>2.7</v>
      </c>
      <c r="P2928">
        <v>4.16</v>
      </c>
      <c r="Q2928">
        <v>1.24</v>
      </c>
    </row>
    <row r="2929" spans="1:17" x14ac:dyDescent="0.25">
      <c r="A2929">
        <v>731855</v>
      </c>
      <c r="B2929" t="s">
        <v>4241</v>
      </c>
      <c r="C2929">
        <v>0.42</v>
      </c>
      <c r="D2929">
        <v>0</v>
      </c>
      <c r="E2929">
        <v>0.4</v>
      </c>
      <c r="F2929">
        <v>0.42</v>
      </c>
      <c r="G2929">
        <v>0.4</v>
      </c>
      <c r="H2929">
        <v>0.41</v>
      </c>
      <c r="I2929" s="1">
        <v>300000</v>
      </c>
      <c r="J2929" s="1">
        <v>123000</v>
      </c>
      <c r="K2929">
        <v>3</v>
      </c>
      <c r="L2929">
        <v>0.41</v>
      </c>
      <c r="M2929">
        <v>0.42</v>
      </c>
      <c r="N2929" s="1">
        <v>5000000</v>
      </c>
      <c r="O2929">
        <v>0.42</v>
      </c>
      <c r="P2929">
        <v>1.02</v>
      </c>
      <c r="Q2929">
        <v>0.01</v>
      </c>
    </row>
    <row r="2930" spans="1:17" x14ac:dyDescent="0.25">
      <c r="A2930">
        <v>731856</v>
      </c>
      <c r="B2930" t="s">
        <v>4242</v>
      </c>
      <c r="C2930">
        <v>0.64</v>
      </c>
      <c r="D2930">
        <v>0.02</v>
      </c>
      <c r="E2930">
        <v>0.65</v>
      </c>
      <c r="F2930">
        <v>0.66</v>
      </c>
      <c r="G2930">
        <v>0.63</v>
      </c>
      <c r="H2930">
        <v>0.64</v>
      </c>
      <c r="I2930" s="1">
        <v>1174000</v>
      </c>
      <c r="J2930" s="1">
        <v>756650</v>
      </c>
      <c r="K2930">
        <v>28</v>
      </c>
      <c r="L2930">
        <v>0.63</v>
      </c>
      <c r="M2930">
        <v>0.64</v>
      </c>
      <c r="N2930" s="1">
        <v>5000000</v>
      </c>
      <c r="O2930">
        <v>0.64</v>
      </c>
      <c r="P2930">
        <v>1.27</v>
      </c>
      <c r="Q2930">
        <v>0.01</v>
      </c>
    </row>
    <row r="2931" spans="1:17" x14ac:dyDescent="0.25">
      <c r="A2931">
        <v>731857</v>
      </c>
      <c r="B2931" t="s">
        <v>4243</v>
      </c>
      <c r="C2931" t="s">
        <v>78</v>
      </c>
      <c r="D2931" t="s">
        <v>78</v>
      </c>
      <c r="E2931" t="s">
        <v>78</v>
      </c>
      <c r="F2931" t="s">
        <v>78</v>
      </c>
      <c r="G2931" t="s">
        <v>78</v>
      </c>
      <c r="H2931">
        <v>0.48</v>
      </c>
      <c r="I2931" s="1">
        <v>0</v>
      </c>
      <c r="J2931" s="1">
        <v>0</v>
      </c>
      <c r="K2931">
        <v>0</v>
      </c>
      <c r="L2931">
        <v>0.13</v>
      </c>
      <c r="M2931">
        <v>0.14000000000000001</v>
      </c>
      <c r="N2931" s="1">
        <v>10000000</v>
      </c>
      <c r="O2931">
        <v>0.13</v>
      </c>
      <c r="P2931">
        <v>1.05</v>
      </c>
      <c r="Q2931">
        <v>0.01</v>
      </c>
    </row>
    <row r="2932" spans="1:17" x14ac:dyDescent="0.25">
      <c r="A2932">
        <v>731858</v>
      </c>
      <c r="B2932" t="s">
        <v>4244</v>
      </c>
      <c r="C2932" t="s">
        <v>78</v>
      </c>
      <c r="D2932" t="s">
        <v>78</v>
      </c>
      <c r="E2932" t="s">
        <v>78</v>
      </c>
      <c r="F2932" t="s">
        <v>78</v>
      </c>
      <c r="G2932" t="s">
        <v>78</v>
      </c>
      <c r="H2932">
        <v>0.15</v>
      </c>
      <c r="I2932" s="1">
        <v>0</v>
      </c>
      <c r="J2932" s="1">
        <v>0</v>
      </c>
      <c r="K2932">
        <v>0</v>
      </c>
      <c r="L2932">
        <v>0.16</v>
      </c>
      <c r="M2932">
        <v>0.18</v>
      </c>
      <c r="N2932" s="1">
        <v>10000000</v>
      </c>
      <c r="O2932">
        <v>0.16</v>
      </c>
      <c r="P2932">
        <v>0.64</v>
      </c>
      <c r="Q2932">
        <v>0.01</v>
      </c>
    </row>
    <row r="2933" spans="1:17" x14ac:dyDescent="0.25">
      <c r="A2933">
        <v>731859</v>
      </c>
      <c r="B2933" t="s">
        <v>4245</v>
      </c>
      <c r="C2933" t="s">
        <v>78</v>
      </c>
      <c r="D2933" t="s">
        <v>78</v>
      </c>
      <c r="E2933" t="s">
        <v>78</v>
      </c>
      <c r="F2933" t="s">
        <v>78</v>
      </c>
      <c r="G2933" t="s">
        <v>78</v>
      </c>
      <c r="H2933">
        <v>0.12</v>
      </c>
      <c r="I2933" s="1">
        <v>0</v>
      </c>
      <c r="J2933" s="1">
        <v>0</v>
      </c>
      <c r="K2933">
        <v>0</v>
      </c>
      <c r="L2933">
        <v>0.03</v>
      </c>
      <c r="M2933">
        <v>0.04</v>
      </c>
      <c r="N2933" s="1">
        <v>5000000</v>
      </c>
      <c r="O2933">
        <v>0.04</v>
      </c>
      <c r="P2933">
        <v>0.99</v>
      </c>
      <c r="Q2933">
        <v>0.01</v>
      </c>
    </row>
    <row r="2934" spans="1:17" x14ac:dyDescent="0.25">
      <c r="A2934">
        <v>731860</v>
      </c>
      <c r="B2934" t="s">
        <v>4246</v>
      </c>
      <c r="C2934" t="s">
        <v>78</v>
      </c>
      <c r="D2934" t="s">
        <v>78</v>
      </c>
      <c r="E2934" t="s">
        <v>78</v>
      </c>
      <c r="F2934" t="s">
        <v>78</v>
      </c>
      <c r="G2934" t="s">
        <v>78</v>
      </c>
      <c r="H2934">
        <v>4.9800000000000004</v>
      </c>
      <c r="I2934" s="1">
        <v>0</v>
      </c>
      <c r="J2934" s="1">
        <v>0</v>
      </c>
      <c r="K2934">
        <v>0</v>
      </c>
      <c r="L2934">
        <v>5.9</v>
      </c>
      <c r="M2934">
        <v>6.4</v>
      </c>
      <c r="N2934" s="1">
        <v>5000000</v>
      </c>
      <c r="O2934">
        <v>6.25</v>
      </c>
      <c r="P2934">
        <v>8.15</v>
      </c>
      <c r="Q2934">
        <v>4.32</v>
      </c>
    </row>
    <row r="2935" spans="1:17" x14ac:dyDescent="0.25">
      <c r="A2935">
        <v>731861</v>
      </c>
      <c r="B2935" t="s">
        <v>4247</v>
      </c>
      <c r="C2935" t="s">
        <v>78</v>
      </c>
      <c r="D2935" t="s">
        <v>78</v>
      </c>
      <c r="E2935" t="s">
        <v>78</v>
      </c>
      <c r="F2935" t="s">
        <v>78</v>
      </c>
      <c r="G2935" t="s">
        <v>78</v>
      </c>
      <c r="H2935">
        <v>0.1</v>
      </c>
      <c r="I2935" s="1">
        <v>0</v>
      </c>
      <c r="J2935" s="1">
        <v>0</v>
      </c>
      <c r="K2935">
        <v>0</v>
      </c>
      <c r="L2935">
        <v>0.09</v>
      </c>
      <c r="M2935">
        <v>0.1</v>
      </c>
      <c r="N2935" s="1">
        <v>10000000</v>
      </c>
      <c r="O2935">
        <v>0.09</v>
      </c>
      <c r="P2935">
        <v>0.92</v>
      </c>
      <c r="Q2935">
        <v>0.01</v>
      </c>
    </row>
    <row r="2936" spans="1:17" x14ac:dyDescent="0.25">
      <c r="A2936">
        <v>731862</v>
      </c>
      <c r="B2936" t="s">
        <v>4248</v>
      </c>
      <c r="C2936">
        <v>0.02</v>
      </c>
      <c r="D2936">
        <v>-0.05</v>
      </c>
      <c r="E2936">
        <v>0.02</v>
      </c>
      <c r="F2936">
        <v>0.02</v>
      </c>
      <c r="G2936">
        <v>0.02</v>
      </c>
      <c r="H2936">
        <v>0.02</v>
      </c>
      <c r="I2936" s="1">
        <v>1000</v>
      </c>
      <c r="J2936" s="1">
        <v>20</v>
      </c>
      <c r="K2936">
        <v>1</v>
      </c>
      <c r="L2936">
        <v>0.02</v>
      </c>
      <c r="M2936">
        <v>0.1</v>
      </c>
      <c r="N2936" s="1">
        <v>10000000</v>
      </c>
      <c r="O2936">
        <v>0.02</v>
      </c>
      <c r="P2936">
        <v>0.79</v>
      </c>
      <c r="Q2936">
        <v>0.01</v>
      </c>
    </row>
    <row r="2937" spans="1:17" x14ac:dyDescent="0.25">
      <c r="A2937">
        <v>731863</v>
      </c>
      <c r="B2937" t="s">
        <v>4249</v>
      </c>
      <c r="C2937">
        <v>1.36</v>
      </c>
      <c r="D2937">
        <v>-0.06</v>
      </c>
      <c r="E2937">
        <v>1.38</v>
      </c>
      <c r="F2937">
        <v>1.38</v>
      </c>
      <c r="G2937">
        <v>1.33</v>
      </c>
      <c r="H2937">
        <v>1.36</v>
      </c>
      <c r="I2937" s="1">
        <v>57000</v>
      </c>
      <c r="J2937" s="1">
        <v>77430</v>
      </c>
      <c r="K2937">
        <v>9</v>
      </c>
      <c r="L2937">
        <v>1.36</v>
      </c>
      <c r="M2937">
        <v>1.37</v>
      </c>
      <c r="N2937" s="1">
        <v>5000000</v>
      </c>
      <c r="O2937">
        <v>1.36</v>
      </c>
      <c r="P2937">
        <v>2.2599999999999998</v>
      </c>
      <c r="Q2937">
        <v>0.46</v>
      </c>
    </row>
    <row r="2938" spans="1:17" x14ac:dyDescent="0.25">
      <c r="A2938">
        <v>731864</v>
      </c>
      <c r="B2938" t="s">
        <v>4250</v>
      </c>
      <c r="C2938">
        <v>0.62</v>
      </c>
      <c r="D2938">
        <v>0.04</v>
      </c>
      <c r="E2938">
        <v>0.61</v>
      </c>
      <c r="F2938">
        <v>0.62</v>
      </c>
      <c r="G2938">
        <v>0.59</v>
      </c>
      <c r="H2938">
        <v>0.61</v>
      </c>
      <c r="I2938" s="1">
        <v>316000</v>
      </c>
      <c r="J2938" s="1">
        <v>193350</v>
      </c>
      <c r="K2938">
        <v>7</v>
      </c>
      <c r="L2938">
        <v>0.61</v>
      </c>
      <c r="M2938">
        <v>0.62</v>
      </c>
      <c r="N2938" s="1">
        <v>5000000</v>
      </c>
      <c r="O2938">
        <v>0.62</v>
      </c>
      <c r="P2938">
        <v>1.1499999999999999</v>
      </c>
      <c r="Q2938">
        <v>0.08</v>
      </c>
    </row>
    <row r="2939" spans="1:17" x14ac:dyDescent="0.25">
      <c r="A2939">
        <v>731865</v>
      </c>
      <c r="B2939" t="s">
        <v>4251</v>
      </c>
      <c r="C2939" t="s">
        <v>78</v>
      </c>
      <c r="D2939" t="s">
        <v>78</v>
      </c>
      <c r="E2939" t="s">
        <v>78</v>
      </c>
      <c r="F2939" t="s">
        <v>78</v>
      </c>
      <c r="G2939" t="s">
        <v>78</v>
      </c>
      <c r="H2939">
        <v>0.18</v>
      </c>
      <c r="I2939" s="1">
        <v>0</v>
      </c>
      <c r="J2939" s="1">
        <v>0</v>
      </c>
      <c r="K2939">
        <v>0</v>
      </c>
      <c r="L2939">
        <v>0.13</v>
      </c>
      <c r="M2939">
        <v>0.14000000000000001</v>
      </c>
      <c r="N2939" s="1">
        <v>5000000</v>
      </c>
      <c r="O2939">
        <v>0.14000000000000001</v>
      </c>
      <c r="P2939">
        <v>0.54</v>
      </c>
      <c r="Q2939">
        <v>0.01</v>
      </c>
    </row>
    <row r="2940" spans="1:17" x14ac:dyDescent="0.25">
      <c r="A2940">
        <v>731866</v>
      </c>
      <c r="B2940" t="s">
        <v>4252</v>
      </c>
      <c r="C2940" t="s">
        <v>78</v>
      </c>
      <c r="D2940" t="s">
        <v>78</v>
      </c>
      <c r="E2940" t="s">
        <v>78</v>
      </c>
      <c r="F2940" t="s">
        <v>78</v>
      </c>
      <c r="G2940" t="s">
        <v>78</v>
      </c>
      <c r="H2940">
        <v>0.15</v>
      </c>
      <c r="I2940" s="1">
        <v>0</v>
      </c>
      <c r="J2940" s="1">
        <v>0</v>
      </c>
      <c r="K2940">
        <v>0</v>
      </c>
      <c r="L2940">
        <v>0.06</v>
      </c>
      <c r="M2940">
        <v>0.1</v>
      </c>
      <c r="N2940" s="1">
        <v>5000000</v>
      </c>
      <c r="O2940">
        <v>0.1</v>
      </c>
      <c r="P2940">
        <v>0.55000000000000004</v>
      </c>
      <c r="Q2940">
        <v>0.01</v>
      </c>
    </row>
    <row r="2941" spans="1:17" x14ac:dyDescent="0.25">
      <c r="A2941">
        <v>731867</v>
      </c>
      <c r="B2941" t="s">
        <v>4253</v>
      </c>
      <c r="C2941">
        <v>0.67</v>
      </c>
      <c r="D2941">
        <v>0.06</v>
      </c>
      <c r="E2941">
        <v>0.64</v>
      </c>
      <c r="F2941">
        <v>0.67</v>
      </c>
      <c r="G2941">
        <v>0.63</v>
      </c>
      <c r="H2941">
        <v>0.65</v>
      </c>
      <c r="I2941" s="1">
        <v>300000</v>
      </c>
      <c r="J2941" s="1">
        <v>194500</v>
      </c>
      <c r="K2941">
        <v>4</v>
      </c>
      <c r="L2941">
        <v>0.65</v>
      </c>
      <c r="M2941">
        <v>0.66</v>
      </c>
      <c r="N2941" s="1">
        <v>5000000</v>
      </c>
      <c r="O2941">
        <v>0.67</v>
      </c>
      <c r="P2941">
        <v>1.47</v>
      </c>
      <c r="Q2941">
        <v>0.01</v>
      </c>
    </row>
    <row r="2942" spans="1:17" x14ac:dyDescent="0.25">
      <c r="A2942">
        <v>731868</v>
      </c>
      <c r="B2942" t="s">
        <v>4254</v>
      </c>
      <c r="C2942" t="s">
        <v>78</v>
      </c>
      <c r="D2942" t="s">
        <v>78</v>
      </c>
      <c r="E2942" t="s">
        <v>78</v>
      </c>
      <c r="F2942" t="s">
        <v>78</v>
      </c>
      <c r="G2942" t="s">
        <v>78</v>
      </c>
      <c r="H2942">
        <v>0.13</v>
      </c>
      <c r="I2942" s="1">
        <v>0</v>
      </c>
      <c r="J2942" s="1">
        <v>0</v>
      </c>
      <c r="K2942">
        <v>0</v>
      </c>
      <c r="L2942">
        <v>0.1</v>
      </c>
      <c r="M2942">
        <v>0.11</v>
      </c>
      <c r="N2942" s="1">
        <v>10000000</v>
      </c>
      <c r="O2942">
        <v>0.1</v>
      </c>
      <c r="P2942">
        <v>0.5</v>
      </c>
      <c r="Q2942">
        <v>0.01</v>
      </c>
    </row>
    <row r="2943" spans="1:17" x14ac:dyDescent="0.25">
      <c r="A2943">
        <v>731869</v>
      </c>
      <c r="B2943" t="s">
        <v>4255</v>
      </c>
      <c r="C2943">
        <v>0.48</v>
      </c>
      <c r="D2943">
        <v>0</v>
      </c>
      <c r="E2943">
        <v>0.5</v>
      </c>
      <c r="F2943">
        <v>0.5</v>
      </c>
      <c r="G2943">
        <v>0.48</v>
      </c>
      <c r="H2943">
        <v>0.49</v>
      </c>
      <c r="I2943" s="1">
        <v>624000</v>
      </c>
      <c r="J2943" s="1">
        <v>308740</v>
      </c>
      <c r="K2943">
        <v>20</v>
      </c>
      <c r="L2943">
        <v>0.49</v>
      </c>
      <c r="M2943">
        <v>0.5</v>
      </c>
      <c r="N2943" s="1">
        <v>10000000</v>
      </c>
      <c r="O2943">
        <v>0.48</v>
      </c>
      <c r="P2943">
        <v>1.08</v>
      </c>
      <c r="Q2943">
        <v>0.01</v>
      </c>
    </row>
    <row r="2944" spans="1:17" x14ac:dyDescent="0.25">
      <c r="A2944">
        <v>731870</v>
      </c>
      <c r="B2944" t="s">
        <v>4256</v>
      </c>
      <c r="C2944">
        <v>1.18</v>
      </c>
      <c r="D2944">
        <v>0.01</v>
      </c>
      <c r="E2944">
        <v>1.25</v>
      </c>
      <c r="F2944">
        <v>1.25</v>
      </c>
      <c r="G2944">
        <v>1.18</v>
      </c>
      <c r="H2944">
        <v>1.21</v>
      </c>
      <c r="I2944" s="1">
        <v>434000</v>
      </c>
      <c r="J2944" s="1">
        <v>524410</v>
      </c>
      <c r="K2944">
        <v>10</v>
      </c>
      <c r="L2944">
        <v>1.06</v>
      </c>
      <c r="M2944">
        <v>1.07</v>
      </c>
      <c r="N2944" s="1">
        <v>5500000</v>
      </c>
      <c r="O2944">
        <v>1.18</v>
      </c>
      <c r="P2944">
        <v>2</v>
      </c>
      <c r="Q2944">
        <v>0.36</v>
      </c>
    </row>
    <row r="2945" spans="1:17" x14ac:dyDescent="0.25">
      <c r="A2945">
        <v>731871</v>
      </c>
      <c r="B2945" t="s">
        <v>4257</v>
      </c>
      <c r="C2945">
        <v>1.72</v>
      </c>
      <c r="D2945">
        <v>0.03</v>
      </c>
      <c r="E2945">
        <v>1.72</v>
      </c>
      <c r="F2945">
        <v>1.72</v>
      </c>
      <c r="G2945">
        <v>1.72</v>
      </c>
      <c r="H2945">
        <v>1.72</v>
      </c>
      <c r="I2945" s="1">
        <v>57000</v>
      </c>
      <c r="J2945" s="1">
        <v>98040</v>
      </c>
      <c r="K2945">
        <v>2</v>
      </c>
      <c r="L2945">
        <v>1.72</v>
      </c>
      <c r="M2945">
        <v>1.75</v>
      </c>
      <c r="N2945" s="1">
        <v>5000000</v>
      </c>
      <c r="O2945">
        <v>1.72</v>
      </c>
      <c r="P2945">
        <v>2.74</v>
      </c>
      <c r="Q2945">
        <v>0.7</v>
      </c>
    </row>
    <row r="2946" spans="1:17" x14ac:dyDescent="0.25">
      <c r="A2946">
        <v>731872</v>
      </c>
      <c r="B2946" t="s">
        <v>4258</v>
      </c>
      <c r="C2946" t="s">
        <v>78</v>
      </c>
      <c r="D2946" t="s">
        <v>78</v>
      </c>
      <c r="E2946" t="s">
        <v>78</v>
      </c>
      <c r="F2946" t="s">
        <v>78</v>
      </c>
      <c r="G2946" t="s">
        <v>78</v>
      </c>
      <c r="H2946">
        <v>0.39</v>
      </c>
      <c r="I2946" s="1">
        <v>0</v>
      </c>
      <c r="J2946" s="1">
        <v>0</v>
      </c>
      <c r="K2946">
        <v>0</v>
      </c>
      <c r="L2946">
        <v>0.32</v>
      </c>
      <c r="M2946">
        <v>0.33</v>
      </c>
      <c r="N2946" s="1">
        <v>5000000</v>
      </c>
      <c r="O2946">
        <v>0.33</v>
      </c>
      <c r="P2946">
        <v>1.26</v>
      </c>
      <c r="Q2946">
        <v>0.01</v>
      </c>
    </row>
    <row r="2947" spans="1:17" x14ac:dyDescent="0.25">
      <c r="A2947">
        <v>731873</v>
      </c>
      <c r="B2947" t="s">
        <v>4259</v>
      </c>
      <c r="C2947" t="s">
        <v>78</v>
      </c>
      <c r="D2947" t="s">
        <v>78</v>
      </c>
      <c r="E2947" t="s">
        <v>78</v>
      </c>
      <c r="F2947" t="s">
        <v>78</v>
      </c>
      <c r="G2947" t="s">
        <v>78</v>
      </c>
      <c r="H2947">
        <v>0.38</v>
      </c>
      <c r="I2947" s="1">
        <v>0</v>
      </c>
      <c r="J2947" s="1">
        <v>0</v>
      </c>
      <c r="K2947">
        <v>0</v>
      </c>
      <c r="L2947">
        <v>0.32</v>
      </c>
      <c r="M2947">
        <v>0.33</v>
      </c>
      <c r="N2947" s="1">
        <v>5000000</v>
      </c>
      <c r="O2947">
        <v>0.33</v>
      </c>
      <c r="P2947">
        <v>1.33</v>
      </c>
      <c r="Q2947">
        <v>0.01</v>
      </c>
    </row>
    <row r="2948" spans="1:17" x14ac:dyDescent="0.25">
      <c r="A2948">
        <v>731874</v>
      </c>
      <c r="B2948" t="s">
        <v>4260</v>
      </c>
      <c r="C2948">
        <v>4.09</v>
      </c>
      <c r="D2948">
        <v>0.26</v>
      </c>
      <c r="E2948">
        <v>4.09</v>
      </c>
      <c r="F2948">
        <v>4.09</v>
      </c>
      <c r="G2948">
        <v>4.09</v>
      </c>
      <c r="H2948">
        <v>4.09</v>
      </c>
      <c r="I2948" s="1">
        <v>10000</v>
      </c>
      <c r="J2948" s="1">
        <v>40900</v>
      </c>
      <c r="K2948">
        <v>2</v>
      </c>
      <c r="L2948">
        <v>3.94</v>
      </c>
      <c r="M2948">
        <v>4.04</v>
      </c>
      <c r="N2948" s="1">
        <v>5000000</v>
      </c>
      <c r="O2948">
        <v>4.09</v>
      </c>
      <c r="P2948">
        <v>5.35</v>
      </c>
      <c r="Q2948">
        <v>2.82</v>
      </c>
    </row>
    <row r="2949" spans="1:17" x14ac:dyDescent="0.25">
      <c r="A2949">
        <v>731875</v>
      </c>
      <c r="B2949" t="s">
        <v>4261</v>
      </c>
      <c r="C2949">
        <v>0.48</v>
      </c>
      <c r="D2949">
        <v>0.01</v>
      </c>
      <c r="E2949">
        <v>0.48</v>
      </c>
      <c r="F2949">
        <v>0.48</v>
      </c>
      <c r="G2949">
        <v>0.47</v>
      </c>
      <c r="H2949">
        <v>0.48</v>
      </c>
      <c r="I2949" s="1">
        <v>601000</v>
      </c>
      <c r="J2949" s="1">
        <v>288470</v>
      </c>
      <c r="K2949">
        <v>8</v>
      </c>
      <c r="L2949">
        <v>0.48</v>
      </c>
      <c r="M2949">
        <v>0.49</v>
      </c>
      <c r="N2949" s="1">
        <v>10000000</v>
      </c>
      <c r="O2949">
        <v>0.48</v>
      </c>
      <c r="P2949">
        <v>0.86</v>
      </c>
      <c r="Q2949">
        <v>0.1</v>
      </c>
    </row>
    <row r="2950" spans="1:17" x14ac:dyDescent="0.25">
      <c r="A2950">
        <v>731876</v>
      </c>
      <c r="B2950" t="s">
        <v>4262</v>
      </c>
      <c r="C2950">
        <v>0.57999999999999996</v>
      </c>
      <c r="D2950">
        <v>-0.02</v>
      </c>
      <c r="E2950">
        <v>0.57999999999999996</v>
      </c>
      <c r="F2950">
        <v>0.59</v>
      </c>
      <c r="G2950">
        <v>0.57999999999999996</v>
      </c>
      <c r="H2950">
        <v>0.57999999999999996</v>
      </c>
      <c r="I2950" s="1">
        <v>64000</v>
      </c>
      <c r="J2950" s="1">
        <v>37160</v>
      </c>
      <c r="K2950">
        <v>3</v>
      </c>
      <c r="L2950">
        <v>0.56999999999999995</v>
      </c>
      <c r="M2950">
        <v>0.57999999999999996</v>
      </c>
      <c r="N2950" s="1">
        <v>10000000</v>
      </c>
      <c r="O2950">
        <v>0.57999999999999996</v>
      </c>
      <c r="P2950">
        <v>1.04</v>
      </c>
      <c r="Q2950">
        <v>0.12</v>
      </c>
    </row>
    <row r="2951" spans="1:17" x14ac:dyDescent="0.25">
      <c r="A2951">
        <v>731877</v>
      </c>
      <c r="B2951" t="s">
        <v>4263</v>
      </c>
      <c r="C2951">
        <v>1.8</v>
      </c>
      <c r="D2951">
        <v>0</v>
      </c>
      <c r="E2951">
        <v>1.8</v>
      </c>
      <c r="F2951">
        <v>1.8</v>
      </c>
      <c r="G2951">
        <v>1.8</v>
      </c>
      <c r="H2951">
        <v>1.8</v>
      </c>
      <c r="I2951" s="1">
        <v>3000</v>
      </c>
      <c r="J2951" s="1">
        <v>5400</v>
      </c>
      <c r="K2951">
        <v>1</v>
      </c>
      <c r="L2951">
        <v>1.84</v>
      </c>
      <c r="M2951">
        <v>1.88</v>
      </c>
      <c r="N2951" s="1">
        <v>5000000</v>
      </c>
      <c r="O2951">
        <v>1.8</v>
      </c>
      <c r="P2951">
        <v>2.5499999999999998</v>
      </c>
      <c r="Q2951">
        <v>1.05</v>
      </c>
    </row>
    <row r="2952" spans="1:17" x14ac:dyDescent="0.25">
      <c r="A2952">
        <v>731878</v>
      </c>
      <c r="B2952" t="s">
        <v>4264</v>
      </c>
      <c r="C2952">
        <v>0.18</v>
      </c>
      <c r="D2952">
        <v>0.02</v>
      </c>
      <c r="E2952">
        <v>0.18</v>
      </c>
      <c r="F2952">
        <v>0.18</v>
      </c>
      <c r="G2952">
        <v>0.18</v>
      </c>
      <c r="H2952">
        <v>0.18</v>
      </c>
      <c r="I2952" s="1">
        <v>20000</v>
      </c>
      <c r="J2952" s="1">
        <v>3600</v>
      </c>
      <c r="K2952">
        <v>1</v>
      </c>
      <c r="L2952">
        <v>0.17</v>
      </c>
      <c r="M2952">
        <v>0.18</v>
      </c>
      <c r="N2952" s="1">
        <v>5000000</v>
      </c>
      <c r="O2952">
        <v>0.18</v>
      </c>
      <c r="P2952">
        <v>0.73</v>
      </c>
      <c r="Q2952">
        <v>0.01</v>
      </c>
    </row>
    <row r="2953" spans="1:17" x14ac:dyDescent="0.25">
      <c r="A2953">
        <v>731879</v>
      </c>
      <c r="B2953" t="s">
        <v>4265</v>
      </c>
      <c r="C2953">
        <v>0.5</v>
      </c>
      <c r="D2953">
        <v>-0.02</v>
      </c>
      <c r="E2953">
        <v>0.51</v>
      </c>
      <c r="F2953">
        <v>0.51</v>
      </c>
      <c r="G2953">
        <v>0.49</v>
      </c>
      <c r="H2953">
        <v>0.51</v>
      </c>
      <c r="I2953" s="1">
        <v>209000</v>
      </c>
      <c r="J2953" s="1">
        <v>106490</v>
      </c>
      <c r="K2953">
        <v>7</v>
      </c>
      <c r="L2953">
        <v>0.5</v>
      </c>
      <c r="M2953">
        <v>0.51</v>
      </c>
      <c r="N2953" s="1">
        <v>5000000</v>
      </c>
      <c r="O2953">
        <v>0.5</v>
      </c>
      <c r="P2953">
        <v>1.19</v>
      </c>
      <c r="Q2953">
        <v>0.01</v>
      </c>
    </row>
    <row r="2954" spans="1:17" x14ac:dyDescent="0.25">
      <c r="A2954">
        <v>731880</v>
      </c>
      <c r="B2954" t="s">
        <v>4266</v>
      </c>
      <c r="C2954" t="s">
        <v>78</v>
      </c>
      <c r="D2954" t="s">
        <v>78</v>
      </c>
      <c r="E2954" t="s">
        <v>78</v>
      </c>
      <c r="F2954" t="s">
        <v>78</v>
      </c>
      <c r="G2954" t="s">
        <v>78</v>
      </c>
      <c r="H2954">
        <v>0.19</v>
      </c>
      <c r="I2954" s="1">
        <v>0</v>
      </c>
      <c r="J2954" s="1">
        <v>0</v>
      </c>
      <c r="K2954">
        <v>0</v>
      </c>
      <c r="L2954">
        <v>0.13</v>
      </c>
      <c r="M2954">
        <v>0.14000000000000001</v>
      </c>
      <c r="N2954" s="1">
        <v>10000000</v>
      </c>
      <c r="O2954">
        <v>0.13</v>
      </c>
      <c r="P2954">
        <v>0.89</v>
      </c>
      <c r="Q2954">
        <v>0.01</v>
      </c>
    </row>
    <row r="2955" spans="1:17" x14ac:dyDescent="0.25">
      <c r="A2955">
        <v>731881</v>
      </c>
      <c r="B2955" t="s">
        <v>4267</v>
      </c>
      <c r="C2955">
        <v>0.49</v>
      </c>
      <c r="D2955">
        <v>-0.05</v>
      </c>
      <c r="E2955">
        <v>0.54</v>
      </c>
      <c r="F2955">
        <v>0.54</v>
      </c>
      <c r="G2955">
        <v>0.48</v>
      </c>
      <c r="H2955">
        <v>0.51</v>
      </c>
      <c r="I2955" s="1">
        <v>303000</v>
      </c>
      <c r="J2955" s="1">
        <v>154700</v>
      </c>
      <c r="K2955">
        <v>16</v>
      </c>
      <c r="L2955">
        <v>0.5</v>
      </c>
      <c r="M2955">
        <v>0.51</v>
      </c>
      <c r="N2955" s="1">
        <v>10000000</v>
      </c>
      <c r="O2955">
        <v>0.49</v>
      </c>
      <c r="P2955">
        <v>1.1399999999999999</v>
      </c>
      <c r="Q2955">
        <v>0.01</v>
      </c>
    </row>
    <row r="2956" spans="1:17" x14ac:dyDescent="0.25">
      <c r="A2956">
        <v>731882</v>
      </c>
      <c r="B2956" t="s">
        <v>4268</v>
      </c>
      <c r="C2956">
        <v>0.3</v>
      </c>
      <c r="D2956">
        <v>-0.14000000000000001</v>
      </c>
      <c r="E2956">
        <v>0.4</v>
      </c>
      <c r="F2956">
        <v>0.4</v>
      </c>
      <c r="G2956">
        <v>0.3</v>
      </c>
      <c r="H2956">
        <v>0.32</v>
      </c>
      <c r="I2956" s="1">
        <v>273000</v>
      </c>
      <c r="J2956" s="1">
        <v>86300</v>
      </c>
      <c r="K2956">
        <v>23</v>
      </c>
      <c r="L2956">
        <v>0.27</v>
      </c>
      <c r="M2956">
        <v>0.28000000000000003</v>
      </c>
      <c r="N2956" s="1">
        <v>5000000</v>
      </c>
      <c r="O2956">
        <v>0.3</v>
      </c>
      <c r="P2956">
        <v>1.1299999999999999</v>
      </c>
      <c r="Q2956">
        <v>0.01</v>
      </c>
    </row>
    <row r="2957" spans="1:17" x14ac:dyDescent="0.25">
      <c r="A2957">
        <v>731883</v>
      </c>
      <c r="B2957" t="s">
        <v>4269</v>
      </c>
      <c r="C2957" t="s">
        <v>78</v>
      </c>
      <c r="D2957" t="s">
        <v>78</v>
      </c>
      <c r="E2957" t="s">
        <v>78</v>
      </c>
      <c r="F2957" t="s">
        <v>78</v>
      </c>
      <c r="G2957" t="s">
        <v>78</v>
      </c>
      <c r="H2957">
        <v>0.11</v>
      </c>
      <c r="I2957" s="1">
        <v>0</v>
      </c>
      <c r="J2957" s="1">
        <v>0</v>
      </c>
      <c r="K2957">
        <v>0</v>
      </c>
      <c r="L2957">
        <v>0.11</v>
      </c>
      <c r="M2957">
        <v>0.12</v>
      </c>
      <c r="N2957" s="1">
        <v>10000000</v>
      </c>
      <c r="O2957">
        <v>0.11</v>
      </c>
      <c r="P2957">
        <v>0.63</v>
      </c>
      <c r="Q2957">
        <v>0.01</v>
      </c>
    </row>
    <row r="2958" spans="1:17" x14ac:dyDescent="0.25">
      <c r="A2958">
        <v>731884</v>
      </c>
      <c r="B2958" t="s">
        <v>4270</v>
      </c>
      <c r="C2958" t="s">
        <v>78</v>
      </c>
      <c r="D2958" t="s">
        <v>78</v>
      </c>
      <c r="E2958" t="s">
        <v>78</v>
      </c>
      <c r="F2958" t="s">
        <v>78</v>
      </c>
      <c r="G2958" t="s">
        <v>78</v>
      </c>
      <c r="H2958">
        <v>0.26</v>
      </c>
      <c r="I2958" s="1">
        <v>0</v>
      </c>
      <c r="J2958" s="1">
        <v>0</v>
      </c>
      <c r="K2958">
        <v>0</v>
      </c>
      <c r="L2958">
        <v>0.15</v>
      </c>
      <c r="M2958">
        <v>0.17</v>
      </c>
      <c r="N2958" s="1">
        <v>5000000</v>
      </c>
      <c r="O2958">
        <v>0.16</v>
      </c>
      <c r="P2958">
        <v>0.67</v>
      </c>
      <c r="Q2958">
        <v>0.01</v>
      </c>
    </row>
    <row r="2959" spans="1:17" x14ac:dyDescent="0.25">
      <c r="A2959">
        <v>731885</v>
      </c>
      <c r="B2959" t="s">
        <v>4271</v>
      </c>
      <c r="C2959">
        <v>0.25</v>
      </c>
      <c r="D2959">
        <v>0</v>
      </c>
      <c r="E2959">
        <v>0.26</v>
      </c>
      <c r="F2959">
        <v>0.26</v>
      </c>
      <c r="G2959">
        <v>0.25</v>
      </c>
      <c r="H2959">
        <v>0.26</v>
      </c>
      <c r="I2959" s="1">
        <v>70000</v>
      </c>
      <c r="J2959" s="1">
        <v>18000</v>
      </c>
      <c r="K2959">
        <v>2</v>
      </c>
      <c r="L2959">
        <v>0.24</v>
      </c>
      <c r="M2959">
        <v>0.26</v>
      </c>
      <c r="N2959" s="1">
        <v>5000000</v>
      </c>
      <c r="O2959">
        <v>0.25</v>
      </c>
      <c r="P2959">
        <v>0.72</v>
      </c>
      <c r="Q2959">
        <v>0.01</v>
      </c>
    </row>
    <row r="2960" spans="1:17" x14ac:dyDescent="0.25">
      <c r="A2960">
        <v>731886</v>
      </c>
      <c r="B2960" t="s">
        <v>4272</v>
      </c>
      <c r="C2960">
        <v>0.36</v>
      </c>
      <c r="D2960">
        <v>-0.02</v>
      </c>
      <c r="E2960">
        <v>0.36</v>
      </c>
      <c r="F2960">
        <v>0.36</v>
      </c>
      <c r="G2960">
        <v>0.36</v>
      </c>
      <c r="H2960">
        <v>0.36</v>
      </c>
      <c r="I2960" s="1">
        <v>40000</v>
      </c>
      <c r="J2960" s="1">
        <v>14400</v>
      </c>
      <c r="K2960">
        <v>1</v>
      </c>
      <c r="L2960">
        <v>0.34</v>
      </c>
      <c r="M2960">
        <v>0.39</v>
      </c>
      <c r="N2960" s="1">
        <v>5000000</v>
      </c>
      <c r="O2960">
        <v>0.36</v>
      </c>
      <c r="P2960">
        <v>1.08</v>
      </c>
      <c r="Q2960">
        <v>0.01</v>
      </c>
    </row>
    <row r="2961" spans="1:17" x14ac:dyDescent="0.25">
      <c r="A2961">
        <v>731887</v>
      </c>
      <c r="B2961" t="s">
        <v>4273</v>
      </c>
      <c r="C2961" t="s">
        <v>78</v>
      </c>
      <c r="D2961" t="s">
        <v>78</v>
      </c>
      <c r="E2961" t="s">
        <v>78</v>
      </c>
      <c r="F2961" t="s">
        <v>78</v>
      </c>
      <c r="G2961" t="s">
        <v>78</v>
      </c>
      <c r="H2961">
        <v>0.1</v>
      </c>
      <c r="I2961" s="1">
        <v>0</v>
      </c>
      <c r="J2961" s="1">
        <v>0</v>
      </c>
      <c r="K2961">
        <v>0</v>
      </c>
      <c r="L2961">
        <v>0.09</v>
      </c>
      <c r="M2961">
        <v>0.1</v>
      </c>
      <c r="N2961" s="1">
        <v>10000000</v>
      </c>
      <c r="O2961">
        <v>0.1</v>
      </c>
      <c r="P2961">
        <v>1.34</v>
      </c>
      <c r="Q2961">
        <v>0.01</v>
      </c>
    </row>
    <row r="2962" spans="1:17" x14ac:dyDescent="0.25">
      <c r="A2962">
        <v>731888</v>
      </c>
      <c r="B2962" t="s">
        <v>4274</v>
      </c>
      <c r="C2962">
        <v>1.77</v>
      </c>
      <c r="D2962">
        <v>-0.01</v>
      </c>
      <c r="E2962">
        <v>1.94</v>
      </c>
      <c r="F2962">
        <v>1.94</v>
      </c>
      <c r="G2962">
        <v>1.76</v>
      </c>
      <c r="H2962">
        <v>1.93</v>
      </c>
      <c r="I2962" s="1">
        <v>308000</v>
      </c>
      <c r="J2962" s="1">
        <v>593810</v>
      </c>
      <c r="K2962">
        <v>25</v>
      </c>
      <c r="L2962">
        <v>1.74</v>
      </c>
      <c r="M2962">
        <v>1.75</v>
      </c>
      <c r="N2962" s="1">
        <v>10000000</v>
      </c>
      <c r="O2962">
        <v>1.77</v>
      </c>
      <c r="P2962">
        <v>3.22</v>
      </c>
      <c r="Q2962">
        <v>0.3</v>
      </c>
    </row>
    <row r="2963" spans="1:17" x14ac:dyDescent="0.25">
      <c r="A2963">
        <v>731889</v>
      </c>
      <c r="B2963" t="s">
        <v>4275</v>
      </c>
      <c r="C2963">
        <v>0.23</v>
      </c>
      <c r="D2963">
        <v>-0.02</v>
      </c>
      <c r="E2963">
        <v>0.23</v>
      </c>
      <c r="F2963">
        <v>0.23</v>
      </c>
      <c r="G2963">
        <v>0.23</v>
      </c>
      <c r="H2963">
        <v>0.23</v>
      </c>
      <c r="I2963" s="1">
        <v>3000</v>
      </c>
      <c r="J2963" s="1">
        <v>690</v>
      </c>
      <c r="K2963">
        <v>2</v>
      </c>
      <c r="L2963">
        <v>0.22</v>
      </c>
      <c r="M2963">
        <v>0.23</v>
      </c>
      <c r="N2963" s="1">
        <v>10000000</v>
      </c>
      <c r="O2963">
        <v>0.23</v>
      </c>
      <c r="P2963">
        <v>0.52</v>
      </c>
      <c r="Q2963">
        <v>0.01</v>
      </c>
    </row>
    <row r="2964" spans="1:17" x14ac:dyDescent="0.25">
      <c r="A2964">
        <v>731890</v>
      </c>
      <c r="B2964" t="s">
        <v>4276</v>
      </c>
      <c r="C2964">
        <v>0.87</v>
      </c>
      <c r="D2964">
        <v>-0.12</v>
      </c>
      <c r="E2964">
        <v>1.01</v>
      </c>
      <c r="F2964">
        <v>1.01</v>
      </c>
      <c r="G2964">
        <v>0.87</v>
      </c>
      <c r="H2964">
        <v>0.92</v>
      </c>
      <c r="I2964" s="1">
        <v>729000</v>
      </c>
      <c r="J2964" s="1">
        <v>674240</v>
      </c>
      <c r="K2964">
        <v>30</v>
      </c>
      <c r="L2964">
        <v>0.87</v>
      </c>
      <c r="M2964">
        <v>0.88</v>
      </c>
      <c r="N2964" s="1">
        <v>10000000</v>
      </c>
      <c r="O2964">
        <v>0.87</v>
      </c>
      <c r="P2964">
        <v>1.33</v>
      </c>
      <c r="Q2964">
        <v>0.41</v>
      </c>
    </row>
    <row r="2965" spans="1:17" x14ac:dyDescent="0.25">
      <c r="A2965">
        <v>731891</v>
      </c>
      <c r="B2965" t="s">
        <v>4277</v>
      </c>
      <c r="C2965">
        <v>0.1</v>
      </c>
      <c r="D2965">
        <v>-0.04</v>
      </c>
      <c r="E2965">
        <v>0.11</v>
      </c>
      <c r="F2965">
        <v>0.11</v>
      </c>
      <c r="G2965">
        <v>0.1</v>
      </c>
      <c r="H2965">
        <v>0.11</v>
      </c>
      <c r="I2965" s="1">
        <v>76000</v>
      </c>
      <c r="J2965" s="1">
        <v>8100</v>
      </c>
      <c r="K2965">
        <v>4</v>
      </c>
      <c r="L2965">
        <v>0.1</v>
      </c>
      <c r="M2965">
        <v>0.11</v>
      </c>
      <c r="N2965" s="1">
        <v>10000000</v>
      </c>
      <c r="O2965">
        <v>0.1</v>
      </c>
      <c r="P2965">
        <v>0.7</v>
      </c>
      <c r="Q2965">
        <v>0.01</v>
      </c>
    </row>
    <row r="2966" spans="1:17" x14ac:dyDescent="0.25">
      <c r="A2966">
        <v>731892</v>
      </c>
      <c r="B2966" t="s">
        <v>4278</v>
      </c>
      <c r="C2966">
        <v>4.2300000000000004</v>
      </c>
      <c r="D2966">
        <v>0.12</v>
      </c>
      <c r="E2966">
        <v>4.2300000000000004</v>
      </c>
      <c r="F2966">
        <v>4.2300000000000004</v>
      </c>
      <c r="G2966">
        <v>4.22</v>
      </c>
      <c r="H2966">
        <v>4.22</v>
      </c>
      <c r="I2966" s="1">
        <v>40000</v>
      </c>
      <c r="J2966" s="1">
        <v>169000</v>
      </c>
      <c r="K2966">
        <v>4</v>
      </c>
      <c r="L2966">
        <v>4.03</v>
      </c>
      <c r="M2966">
        <v>4.3</v>
      </c>
      <c r="N2966" s="1">
        <v>5000000</v>
      </c>
      <c r="O2966">
        <v>4.2300000000000004</v>
      </c>
      <c r="P2966">
        <v>5.65</v>
      </c>
      <c r="Q2966">
        <v>2.78</v>
      </c>
    </row>
    <row r="2967" spans="1:17" x14ac:dyDescent="0.25">
      <c r="A2967">
        <v>731893</v>
      </c>
      <c r="B2967" t="s">
        <v>4279</v>
      </c>
      <c r="C2967">
        <v>0.65</v>
      </c>
      <c r="D2967">
        <v>-7.0000000000000007E-2</v>
      </c>
      <c r="E2967">
        <v>0.68</v>
      </c>
      <c r="F2967">
        <v>0.69</v>
      </c>
      <c r="G2967">
        <v>0.63</v>
      </c>
      <c r="H2967">
        <v>0.67</v>
      </c>
      <c r="I2967" s="1">
        <v>1388000</v>
      </c>
      <c r="J2967" s="1">
        <v>923450</v>
      </c>
      <c r="K2967">
        <v>16</v>
      </c>
      <c r="L2967">
        <v>0.63</v>
      </c>
      <c r="M2967">
        <v>0.64</v>
      </c>
      <c r="N2967" s="1">
        <v>10000000</v>
      </c>
      <c r="O2967">
        <v>0.65</v>
      </c>
      <c r="P2967">
        <v>1.56</v>
      </c>
      <c r="Q2967">
        <v>0.01</v>
      </c>
    </row>
    <row r="2968" spans="1:17" x14ac:dyDescent="0.25">
      <c r="A2968">
        <v>731894</v>
      </c>
      <c r="B2968" t="s">
        <v>4280</v>
      </c>
      <c r="C2968">
        <v>2.02</v>
      </c>
      <c r="D2968">
        <v>0.22</v>
      </c>
      <c r="E2968">
        <v>1.88</v>
      </c>
      <c r="F2968">
        <v>2.02</v>
      </c>
      <c r="G2968">
        <v>1.81</v>
      </c>
      <c r="H2968">
        <v>1.9</v>
      </c>
      <c r="I2968" s="1">
        <v>469000</v>
      </c>
      <c r="J2968" s="1">
        <v>890190</v>
      </c>
      <c r="K2968">
        <v>12</v>
      </c>
      <c r="L2968">
        <v>2.0299999999999998</v>
      </c>
      <c r="M2968">
        <v>2.09</v>
      </c>
      <c r="N2968" s="1">
        <v>10000000</v>
      </c>
      <c r="O2968">
        <v>2.02</v>
      </c>
      <c r="P2968">
        <v>4.37</v>
      </c>
      <c r="Q2968">
        <v>0.01</v>
      </c>
    </row>
    <row r="2969" spans="1:17" x14ac:dyDescent="0.25">
      <c r="A2969">
        <v>731895</v>
      </c>
      <c r="B2969" t="s">
        <v>4281</v>
      </c>
      <c r="C2969" t="s">
        <v>78</v>
      </c>
      <c r="D2969" t="s">
        <v>78</v>
      </c>
      <c r="E2969" t="s">
        <v>78</v>
      </c>
      <c r="F2969" t="s">
        <v>78</v>
      </c>
      <c r="G2969" t="s">
        <v>78</v>
      </c>
      <c r="H2969">
        <v>2.2999999999999998</v>
      </c>
      <c r="I2969" s="1">
        <v>0</v>
      </c>
      <c r="J2969" s="1">
        <v>0</v>
      </c>
      <c r="K2969">
        <v>0</v>
      </c>
      <c r="L2969">
        <v>2.29</v>
      </c>
      <c r="M2969">
        <v>2.34</v>
      </c>
      <c r="N2969" s="1">
        <v>10000000</v>
      </c>
      <c r="O2969">
        <v>2.34</v>
      </c>
      <c r="P2969">
        <v>3.6</v>
      </c>
      <c r="Q2969">
        <v>1.08</v>
      </c>
    </row>
    <row r="2970" spans="1:17" x14ac:dyDescent="0.25">
      <c r="A2970">
        <v>731896</v>
      </c>
      <c r="B2970" t="s">
        <v>4282</v>
      </c>
      <c r="C2970" t="s">
        <v>78</v>
      </c>
      <c r="D2970" t="s">
        <v>78</v>
      </c>
      <c r="E2970" t="s">
        <v>78</v>
      </c>
      <c r="F2970" t="s">
        <v>78</v>
      </c>
      <c r="G2970" t="s">
        <v>78</v>
      </c>
      <c r="H2970">
        <v>0.63</v>
      </c>
      <c r="I2970" s="1">
        <v>0</v>
      </c>
      <c r="J2970" s="1">
        <v>0</v>
      </c>
      <c r="K2970">
        <v>0</v>
      </c>
      <c r="L2970">
        <v>0.73</v>
      </c>
      <c r="M2970">
        <v>0.76</v>
      </c>
      <c r="N2970" s="1">
        <v>10000000</v>
      </c>
      <c r="O2970">
        <v>0.73</v>
      </c>
      <c r="P2970">
        <v>1.31</v>
      </c>
      <c r="Q2970">
        <v>0.15</v>
      </c>
    </row>
    <row r="2971" spans="1:17" x14ac:dyDescent="0.25">
      <c r="A2971">
        <v>731897</v>
      </c>
      <c r="B2971" t="s">
        <v>4283</v>
      </c>
      <c r="C2971">
        <v>0.46</v>
      </c>
      <c r="D2971">
        <v>-0.08</v>
      </c>
      <c r="E2971">
        <v>0.55000000000000004</v>
      </c>
      <c r="F2971">
        <v>0.56000000000000005</v>
      </c>
      <c r="G2971">
        <v>0.45</v>
      </c>
      <c r="H2971">
        <v>0.53</v>
      </c>
      <c r="I2971" s="1">
        <v>1265000</v>
      </c>
      <c r="J2971" s="1">
        <v>673690</v>
      </c>
      <c r="K2971">
        <v>29</v>
      </c>
      <c r="L2971">
        <v>0.45</v>
      </c>
      <c r="M2971">
        <v>0.46</v>
      </c>
      <c r="N2971" s="1">
        <v>10000000</v>
      </c>
      <c r="O2971">
        <v>0.46</v>
      </c>
      <c r="P2971">
        <v>1.03</v>
      </c>
      <c r="Q2971">
        <v>0.01</v>
      </c>
    </row>
    <row r="2972" spans="1:17" x14ac:dyDescent="0.25">
      <c r="A2972">
        <v>731898</v>
      </c>
      <c r="B2972" t="s">
        <v>4284</v>
      </c>
      <c r="C2972">
        <v>0.02</v>
      </c>
      <c r="D2972">
        <v>-0.01</v>
      </c>
      <c r="E2972">
        <v>0.02</v>
      </c>
      <c r="F2972">
        <v>0.02</v>
      </c>
      <c r="G2972">
        <v>0.02</v>
      </c>
      <c r="H2972">
        <v>0.02</v>
      </c>
      <c r="I2972" s="1">
        <v>10000</v>
      </c>
      <c r="J2972" s="1">
        <v>200</v>
      </c>
      <c r="K2972">
        <v>1</v>
      </c>
      <c r="L2972">
        <v>0.01</v>
      </c>
      <c r="M2972">
        <v>0.02</v>
      </c>
      <c r="N2972" s="1">
        <v>10000000</v>
      </c>
      <c r="O2972">
        <v>0.02</v>
      </c>
      <c r="P2972">
        <v>0.95</v>
      </c>
      <c r="Q2972">
        <v>0.01</v>
      </c>
    </row>
    <row r="2973" spans="1:17" x14ac:dyDescent="0.25">
      <c r="A2973">
        <v>731899</v>
      </c>
      <c r="B2973" t="s">
        <v>4285</v>
      </c>
      <c r="C2973" t="s">
        <v>78</v>
      </c>
      <c r="D2973" t="s">
        <v>78</v>
      </c>
      <c r="E2973" t="s">
        <v>78</v>
      </c>
      <c r="F2973" t="s">
        <v>78</v>
      </c>
      <c r="G2973" t="s">
        <v>78</v>
      </c>
      <c r="H2973">
        <v>0.22</v>
      </c>
      <c r="I2973" s="1">
        <v>0</v>
      </c>
      <c r="J2973" s="1">
        <v>0</v>
      </c>
      <c r="K2973">
        <v>0</v>
      </c>
      <c r="L2973">
        <v>0.19</v>
      </c>
      <c r="M2973">
        <v>0.2</v>
      </c>
      <c r="N2973" s="1">
        <v>5000000</v>
      </c>
      <c r="O2973">
        <v>0.2</v>
      </c>
      <c r="P2973">
        <v>0.9</v>
      </c>
      <c r="Q2973">
        <v>0.01</v>
      </c>
    </row>
    <row r="2974" spans="1:17" x14ac:dyDescent="0.25">
      <c r="A2974">
        <v>731900</v>
      </c>
      <c r="B2974" t="s">
        <v>4286</v>
      </c>
      <c r="C2974">
        <v>0.3</v>
      </c>
      <c r="D2974">
        <v>-0.02</v>
      </c>
      <c r="E2974">
        <v>0.3</v>
      </c>
      <c r="F2974">
        <v>0.3</v>
      </c>
      <c r="G2974">
        <v>0.3</v>
      </c>
      <c r="H2974">
        <v>0.3</v>
      </c>
      <c r="I2974" s="1">
        <v>400000</v>
      </c>
      <c r="J2974" s="1">
        <v>120000</v>
      </c>
      <c r="K2974">
        <v>1</v>
      </c>
      <c r="L2974">
        <v>0.3</v>
      </c>
      <c r="M2974">
        <v>0.31</v>
      </c>
      <c r="N2974" s="1">
        <v>5000000</v>
      </c>
      <c r="O2974">
        <v>0.3</v>
      </c>
      <c r="P2974">
        <v>1.1200000000000001</v>
      </c>
      <c r="Q2974">
        <v>0.01</v>
      </c>
    </row>
    <row r="2975" spans="1:17" x14ac:dyDescent="0.25">
      <c r="A2975">
        <v>731901</v>
      </c>
      <c r="B2975" t="s">
        <v>4287</v>
      </c>
      <c r="C2975">
        <v>0.55000000000000004</v>
      </c>
      <c r="D2975">
        <v>0</v>
      </c>
      <c r="E2975">
        <v>0.56999999999999995</v>
      </c>
      <c r="F2975">
        <v>0.56999999999999995</v>
      </c>
      <c r="G2975">
        <v>0.55000000000000004</v>
      </c>
      <c r="H2975">
        <v>0.56000000000000005</v>
      </c>
      <c r="I2975" s="1">
        <v>8000</v>
      </c>
      <c r="J2975" s="1">
        <v>4520</v>
      </c>
      <c r="K2975">
        <v>3</v>
      </c>
      <c r="L2975">
        <v>0.54</v>
      </c>
      <c r="M2975">
        <v>0.55000000000000004</v>
      </c>
      <c r="N2975" s="1">
        <v>5000000</v>
      </c>
      <c r="O2975">
        <v>0.55000000000000004</v>
      </c>
      <c r="P2975">
        <v>1.0900000000000001</v>
      </c>
      <c r="Q2975">
        <v>0.01</v>
      </c>
    </row>
    <row r="2976" spans="1:17" x14ac:dyDescent="0.25">
      <c r="A2976">
        <v>731902</v>
      </c>
      <c r="B2976" t="s">
        <v>4288</v>
      </c>
      <c r="C2976" t="s">
        <v>78</v>
      </c>
      <c r="D2976" t="s">
        <v>78</v>
      </c>
      <c r="E2976" t="s">
        <v>78</v>
      </c>
      <c r="F2976" t="s">
        <v>78</v>
      </c>
      <c r="G2976" t="s">
        <v>78</v>
      </c>
      <c r="H2976">
        <v>0.19</v>
      </c>
      <c r="I2976" s="1">
        <v>0</v>
      </c>
      <c r="J2976" s="1">
        <v>0</v>
      </c>
      <c r="K2976">
        <v>0</v>
      </c>
      <c r="L2976">
        <v>0.19</v>
      </c>
      <c r="M2976">
        <v>0.2</v>
      </c>
      <c r="N2976" s="1">
        <v>10000000</v>
      </c>
      <c r="O2976">
        <v>0.19</v>
      </c>
      <c r="P2976">
        <v>0.64</v>
      </c>
      <c r="Q2976">
        <v>0.01</v>
      </c>
    </row>
    <row r="2977" spans="1:17" x14ac:dyDescent="0.25">
      <c r="A2977">
        <v>731903</v>
      </c>
      <c r="B2977" t="s">
        <v>4289</v>
      </c>
      <c r="C2977">
        <v>1.95</v>
      </c>
      <c r="D2977">
        <v>-0.15</v>
      </c>
      <c r="E2977">
        <v>1.73</v>
      </c>
      <c r="F2977">
        <v>1.95</v>
      </c>
      <c r="G2977">
        <v>1.73</v>
      </c>
      <c r="H2977">
        <v>1.83</v>
      </c>
      <c r="I2977" s="1">
        <v>914000</v>
      </c>
      <c r="J2977" s="1">
        <v>1673760</v>
      </c>
      <c r="K2977">
        <v>37</v>
      </c>
      <c r="L2977">
        <v>1.95</v>
      </c>
      <c r="M2977">
        <v>2.0099999999999998</v>
      </c>
      <c r="N2977" s="1">
        <v>10000000</v>
      </c>
      <c r="O2977">
        <v>1.95</v>
      </c>
      <c r="P2977">
        <v>2.76</v>
      </c>
      <c r="Q2977">
        <v>1.1399999999999999</v>
      </c>
    </row>
    <row r="2978" spans="1:17" x14ac:dyDescent="0.25">
      <c r="A2978">
        <v>731904</v>
      </c>
      <c r="B2978" t="s">
        <v>4290</v>
      </c>
      <c r="C2978">
        <v>5.2</v>
      </c>
      <c r="D2978">
        <v>-0.2</v>
      </c>
      <c r="E2978">
        <v>5.6</v>
      </c>
      <c r="F2978">
        <v>5.7</v>
      </c>
      <c r="G2978">
        <v>5.05</v>
      </c>
      <c r="H2978">
        <v>5.38</v>
      </c>
      <c r="I2978" s="1">
        <v>61000</v>
      </c>
      <c r="J2978" s="1">
        <v>328100</v>
      </c>
      <c r="K2978">
        <v>20</v>
      </c>
      <c r="L2978">
        <v>5</v>
      </c>
      <c r="M2978">
        <v>5.05</v>
      </c>
      <c r="N2978" s="1">
        <v>5000000</v>
      </c>
      <c r="O2978">
        <v>5.2</v>
      </c>
      <c r="P2978">
        <v>9.15</v>
      </c>
      <c r="Q2978">
        <v>1.25</v>
      </c>
    </row>
    <row r="2979" spans="1:17" x14ac:dyDescent="0.25">
      <c r="A2979">
        <v>731905</v>
      </c>
      <c r="B2979" t="s">
        <v>4291</v>
      </c>
      <c r="C2979" t="s">
        <v>78</v>
      </c>
      <c r="D2979" t="s">
        <v>78</v>
      </c>
      <c r="E2979" t="s">
        <v>78</v>
      </c>
      <c r="F2979" t="s">
        <v>78</v>
      </c>
      <c r="G2979" t="s">
        <v>78</v>
      </c>
      <c r="H2979">
        <v>0.49</v>
      </c>
      <c r="I2979" s="1">
        <v>0</v>
      </c>
      <c r="J2979" s="1">
        <v>0</v>
      </c>
      <c r="K2979">
        <v>0</v>
      </c>
      <c r="L2979">
        <v>0.48</v>
      </c>
      <c r="M2979">
        <v>0.5</v>
      </c>
      <c r="N2979" s="1">
        <v>5000000</v>
      </c>
      <c r="O2979">
        <v>0.49</v>
      </c>
      <c r="P2979">
        <v>1.26</v>
      </c>
      <c r="Q2979">
        <v>0.01</v>
      </c>
    </row>
    <row r="2980" spans="1:17" x14ac:dyDescent="0.25">
      <c r="A2980">
        <v>731906</v>
      </c>
      <c r="B2980" t="s">
        <v>4292</v>
      </c>
      <c r="C2980">
        <v>7.0000000000000007E-2</v>
      </c>
      <c r="D2980">
        <v>0.04</v>
      </c>
      <c r="E2980">
        <v>7.0000000000000007E-2</v>
      </c>
      <c r="F2980">
        <v>7.0000000000000007E-2</v>
      </c>
      <c r="G2980">
        <v>7.0000000000000007E-2</v>
      </c>
      <c r="H2980">
        <v>7.0000000000000007E-2</v>
      </c>
      <c r="I2980" s="1">
        <v>1000</v>
      </c>
      <c r="J2980" s="1">
        <v>70</v>
      </c>
      <c r="K2980">
        <v>1</v>
      </c>
      <c r="L2980">
        <v>0.02</v>
      </c>
      <c r="M2980">
        <v>0.03</v>
      </c>
      <c r="N2980" s="1">
        <v>10000000</v>
      </c>
      <c r="O2980">
        <v>7.0000000000000007E-2</v>
      </c>
      <c r="P2980">
        <v>0.69</v>
      </c>
      <c r="Q2980">
        <v>0.01</v>
      </c>
    </row>
    <row r="2981" spans="1:17" x14ac:dyDescent="0.25">
      <c r="A2981">
        <v>731907</v>
      </c>
      <c r="B2981" t="s">
        <v>4293</v>
      </c>
      <c r="C2981">
        <v>1.1499999999999999</v>
      </c>
      <c r="D2981">
        <v>-0.06</v>
      </c>
      <c r="E2981">
        <v>1.21</v>
      </c>
      <c r="F2981">
        <v>1.31</v>
      </c>
      <c r="G2981">
        <v>1.1499999999999999</v>
      </c>
      <c r="H2981">
        <v>1.27</v>
      </c>
      <c r="I2981" s="1">
        <v>500000</v>
      </c>
      <c r="J2981" s="1">
        <v>633020</v>
      </c>
      <c r="K2981">
        <v>18</v>
      </c>
      <c r="L2981">
        <v>1.1499999999999999</v>
      </c>
      <c r="M2981">
        <v>1.18</v>
      </c>
      <c r="N2981" s="1">
        <v>5660000</v>
      </c>
      <c r="O2981">
        <v>1.1499999999999999</v>
      </c>
      <c r="P2981">
        <v>2</v>
      </c>
      <c r="Q2981">
        <v>0.3</v>
      </c>
    </row>
    <row r="2982" spans="1:17" x14ac:dyDescent="0.25">
      <c r="A2982">
        <v>731908</v>
      </c>
      <c r="B2982" t="s">
        <v>4294</v>
      </c>
      <c r="C2982">
        <v>1.1000000000000001</v>
      </c>
      <c r="D2982">
        <v>-0.01</v>
      </c>
      <c r="E2982">
        <v>1.1000000000000001</v>
      </c>
      <c r="F2982">
        <v>1.1000000000000001</v>
      </c>
      <c r="G2982">
        <v>1.01</v>
      </c>
      <c r="H2982">
        <v>1.05</v>
      </c>
      <c r="I2982" s="1">
        <v>1810000</v>
      </c>
      <c r="J2982" s="1">
        <v>1898010</v>
      </c>
      <c r="K2982">
        <v>51</v>
      </c>
      <c r="L2982">
        <v>1.08</v>
      </c>
      <c r="M2982">
        <v>1.1000000000000001</v>
      </c>
      <c r="N2982" s="1">
        <v>5000000</v>
      </c>
      <c r="O2982">
        <v>1.1000000000000001</v>
      </c>
      <c r="P2982">
        <v>1.95</v>
      </c>
      <c r="Q2982">
        <v>0.25</v>
      </c>
    </row>
    <row r="2983" spans="1:17" x14ac:dyDescent="0.25">
      <c r="A2983">
        <v>731909</v>
      </c>
      <c r="B2983" t="s">
        <v>4295</v>
      </c>
      <c r="C2983">
        <v>0.46</v>
      </c>
      <c r="D2983">
        <v>0.06</v>
      </c>
      <c r="E2983">
        <v>0.45</v>
      </c>
      <c r="F2983">
        <v>0.46</v>
      </c>
      <c r="G2983">
        <v>0.44</v>
      </c>
      <c r="H2983">
        <v>0.46</v>
      </c>
      <c r="I2983" s="1">
        <v>566000</v>
      </c>
      <c r="J2983" s="1">
        <v>257670</v>
      </c>
      <c r="K2983">
        <v>10</v>
      </c>
      <c r="L2983">
        <v>0.45</v>
      </c>
      <c r="M2983">
        <v>0.46</v>
      </c>
      <c r="N2983" s="1">
        <v>5000000</v>
      </c>
      <c r="O2983">
        <v>0.46</v>
      </c>
      <c r="P2983">
        <v>1.21</v>
      </c>
      <c r="Q2983">
        <v>0.01</v>
      </c>
    </row>
    <row r="2984" spans="1:17" x14ac:dyDescent="0.25">
      <c r="A2984">
        <v>731910</v>
      </c>
      <c r="B2984" t="s">
        <v>4296</v>
      </c>
      <c r="C2984">
        <v>0.21</v>
      </c>
      <c r="D2984">
        <v>0.03</v>
      </c>
      <c r="E2984">
        <v>0.18</v>
      </c>
      <c r="F2984">
        <v>0.21</v>
      </c>
      <c r="G2984">
        <v>0.18</v>
      </c>
      <c r="H2984">
        <v>0.19</v>
      </c>
      <c r="I2984" s="1">
        <v>150000</v>
      </c>
      <c r="J2984" s="1">
        <v>28800</v>
      </c>
      <c r="K2984">
        <v>3</v>
      </c>
      <c r="L2984">
        <v>0.21</v>
      </c>
      <c r="M2984">
        <v>0.24</v>
      </c>
      <c r="N2984" s="1">
        <v>10000000</v>
      </c>
      <c r="O2984">
        <v>0.21</v>
      </c>
      <c r="P2984">
        <v>0.65</v>
      </c>
      <c r="Q2984">
        <v>0.01</v>
      </c>
    </row>
    <row r="2985" spans="1:17" x14ac:dyDescent="0.25">
      <c r="A2985">
        <v>731911</v>
      </c>
      <c r="B2985" t="s">
        <v>4297</v>
      </c>
      <c r="C2985">
        <v>0.34</v>
      </c>
      <c r="D2985">
        <v>0.02</v>
      </c>
      <c r="E2985">
        <v>0.32</v>
      </c>
      <c r="F2985">
        <v>0.34</v>
      </c>
      <c r="G2985">
        <v>0.32</v>
      </c>
      <c r="H2985">
        <v>0.34</v>
      </c>
      <c r="I2985" s="1">
        <v>108000</v>
      </c>
      <c r="J2985" s="1">
        <v>36520</v>
      </c>
      <c r="K2985">
        <v>2</v>
      </c>
      <c r="L2985">
        <v>0.33</v>
      </c>
      <c r="M2985">
        <v>0.34</v>
      </c>
      <c r="N2985" s="1">
        <v>10000000</v>
      </c>
      <c r="O2985">
        <v>0.34</v>
      </c>
      <c r="P2985">
        <v>0.98</v>
      </c>
      <c r="Q2985">
        <v>0.01</v>
      </c>
    </row>
    <row r="2986" spans="1:17" x14ac:dyDescent="0.25">
      <c r="A2986">
        <v>731912</v>
      </c>
      <c r="B2986" t="s">
        <v>4298</v>
      </c>
      <c r="C2986">
        <v>1</v>
      </c>
      <c r="D2986">
        <v>-0.08</v>
      </c>
      <c r="E2986">
        <v>1.07</v>
      </c>
      <c r="F2986">
        <v>1.1200000000000001</v>
      </c>
      <c r="G2986">
        <v>0.97</v>
      </c>
      <c r="H2986">
        <v>1.03</v>
      </c>
      <c r="I2986" s="1">
        <v>254000</v>
      </c>
      <c r="J2986" s="1">
        <v>262010</v>
      </c>
      <c r="K2986">
        <v>10</v>
      </c>
      <c r="L2986">
        <v>0.99</v>
      </c>
      <c r="M2986">
        <v>1.01</v>
      </c>
      <c r="N2986" s="1">
        <v>10000000</v>
      </c>
      <c r="O2986">
        <v>1</v>
      </c>
      <c r="P2986">
        <v>1.64</v>
      </c>
      <c r="Q2986">
        <v>0.36</v>
      </c>
    </row>
    <row r="2987" spans="1:17" x14ac:dyDescent="0.25">
      <c r="A2987">
        <v>731913</v>
      </c>
      <c r="B2987" t="s">
        <v>4299</v>
      </c>
      <c r="C2987" t="s">
        <v>78</v>
      </c>
      <c r="D2987" t="s">
        <v>78</v>
      </c>
      <c r="E2987" t="s">
        <v>78</v>
      </c>
      <c r="F2987" t="s">
        <v>78</v>
      </c>
      <c r="G2987" t="s">
        <v>78</v>
      </c>
      <c r="H2987">
        <v>0.14000000000000001</v>
      </c>
      <c r="I2987" s="1">
        <v>0</v>
      </c>
      <c r="J2987" s="1">
        <v>0</v>
      </c>
      <c r="K2987">
        <v>0</v>
      </c>
      <c r="L2987">
        <v>0.03</v>
      </c>
      <c r="M2987">
        <v>0.04</v>
      </c>
      <c r="N2987" s="1">
        <v>5000000</v>
      </c>
      <c r="O2987">
        <v>0.04</v>
      </c>
      <c r="P2987">
        <v>0.49</v>
      </c>
      <c r="Q2987">
        <v>0.01</v>
      </c>
    </row>
    <row r="2988" spans="1:17" x14ac:dyDescent="0.25">
      <c r="A2988">
        <v>731914</v>
      </c>
      <c r="B2988" t="s">
        <v>4300</v>
      </c>
      <c r="C2988" t="s">
        <v>78</v>
      </c>
      <c r="D2988" t="s">
        <v>78</v>
      </c>
      <c r="E2988" t="s">
        <v>78</v>
      </c>
      <c r="F2988" t="s">
        <v>78</v>
      </c>
      <c r="G2988" t="s">
        <v>78</v>
      </c>
      <c r="H2988">
        <v>2.44</v>
      </c>
      <c r="I2988" s="1">
        <v>0</v>
      </c>
      <c r="J2988" s="1">
        <v>0</v>
      </c>
      <c r="K2988">
        <v>0</v>
      </c>
      <c r="L2988">
        <v>2.85</v>
      </c>
      <c r="M2988">
        <v>2.89</v>
      </c>
      <c r="N2988" s="1">
        <v>5000000</v>
      </c>
      <c r="O2988">
        <v>2.89</v>
      </c>
      <c r="P2988">
        <v>4.07</v>
      </c>
      <c r="Q2988">
        <v>1.71</v>
      </c>
    </row>
    <row r="2989" spans="1:17" x14ac:dyDescent="0.25">
      <c r="A2989">
        <v>731915</v>
      </c>
      <c r="B2989" t="s">
        <v>4301</v>
      </c>
      <c r="C2989" t="s">
        <v>78</v>
      </c>
      <c r="D2989" t="s">
        <v>78</v>
      </c>
      <c r="E2989" t="s">
        <v>78</v>
      </c>
      <c r="F2989" t="s">
        <v>78</v>
      </c>
      <c r="G2989" t="s">
        <v>78</v>
      </c>
      <c r="H2989">
        <v>0.1</v>
      </c>
      <c r="I2989" s="1">
        <v>0</v>
      </c>
      <c r="J2989" s="1">
        <v>0</v>
      </c>
      <c r="K2989">
        <v>0</v>
      </c>
      <c r="L2989">
        <v>0.09</v>
      </c>
      <c r="M2989">
        <v>0.1</v>
      </c>
      <c r="N2989" s="1">
        <v>10000000</v>
      </c>
      <c r="O2989">
        <v>0.1</v>
      </c>
      <c r="P2989">
        <v>1.1000000000000001</v>
      </c>
      <c r="Q2989">
        <v>0.01</v>
      </c>
    </row>
    <row r="2990" spans="1:17" x14ac:dyDescent="0.25">
      <c r="A2990">
        <v>731916</v>
      </c>
      <c r="B2990" t="s">
        <v>4302</v>
      </c>
      <c r="C2990">
        <v>1.03</v>
      </c>
      <c r="D2990">
        <v>-0.19</v>
      </c>
      <c r="E2990">
        <v>1.1299999999999999</v>
      </c>
      <c r="F2990">
        <v>1.1299999999999999</v>
      </c>
      <c r="G2990">
        <v>1.03</v>
      </c>
      <c r="H2990">
        <v>1.06</v>
      </c>
      <c r="I2990" s="1">
        <v>448000</v>
      </c>
      <c r="J2990" s="1">
        <v>475800</v>
      </c>
      <c r="K2990">
        <v>10</v>
      </c>
      <c r="L2990">
        <v>1.02</v>
      </c>
      <c r="M2990">
        <v>1.03</v>
      </c>
      <c r="N2990" s="1">
        <v>5000000</v>
      </c>
      <c r="O2990">
        <v>1.03</v>
      </c>
      <c r="P2990">
        <v>4.3899999999999997</v>
      </c>
      <c r="Q2990">
        <v>0.01</v>
      </c>
    </row>
    <row r="2991" spans="1:17" x14ac:dyDescent="0.25">
      <c r="A2991">
        <v>731917</v>
      </c>
      <c r="B2991" t="s">
        <v>4303</v>
      </c>
      <c r="C2991" t="s">
        <v>78</v>
      </c>
      <c r="D2991" t="s">
        <v>78</v>
      </c>
      <c r="E2991" t="s">
        <v>78</v>
      </c>
      <c r="F2991" t="s">
        <v>78</v>
      </c>
      <c r="G2991" t="s">
        <v>78</v>
      </c>
      <c r="H2991">
        <v>0.37</v>
      </c>
      <c r="I2991" s="1">
        <v>0</v>
      </c>
      <c r="J2991" s="1">
        <v>0</v>
      </c>
      <c r="K2991">
        <v>0</v>
      </c>
      <c r="L2991">
        <v>0.35</v>
      </c>
      <c r="M2991">
        <v>0.36</v>
      </c>
      <c r="N2991" s="1">
        <v>10000000</v>
      </c>
      <c r="O2991">
        <v>0.36</v>
      </c>
      <c r="P2991">
        <v>0.7</v>
      </c>
      <c r="Q2991">
        <v>0.02</v>
      </c>
    </row>
    <row r="2992" spans="1:17" x14ac:dyDescent="0.25">
      <c r="A2992">
        <v>731918</v>
      </c>
      <c r="B2992" t="s">
        <v>4304</v>
      </c>
      <c r="C2992">
        <v>1.06</v>
      </c>
      <c r="D2992">
        <v>0</v>
      </c>
      <c r="E2992">
        <v>1.06</v>
      </c>
      <c r="F2992">
        <v>1.06</v>
      </c>
      <c r="G2992">
        <v>1.06</v>
      </c>
      <c r="H2992">
        <v>1.06</v>
      </c>
      <c r="I2992" s="1">
        <v>20000</v>
      </c>
      <c r="J2992" s="1">
        <v>21200</v>
      </c>
      <c r="K2992">
        <v>1</v>
      </c>
      <c r="L2992">
        <v>1.01</v>
      </c>
      <c r="M2992">
        <v>1.05</v>
      </c>
      <c r="N2992" s="1">
        <v>10000000</v>
      </c>
      <c r="O2992">
        <v>1.06</v>
      </c>
      <c r="P2992">
        <v>1.68</v>
      </c>
      <c r="Q2992">
        <v>0.44</v>
      </c>
    </row>
    <row r="2993" spans="1:17" x14ac:dyDescent="0.25">
      <c r="A2993">
        <v>731919</v>
      </c>
      <c r="B2993" t="s">
        <v>4305</v>
      </c>
      <c r="C2993">
        <v>0.93</v>
      </c>
      <c r="D2993">
        <v>-0.08</v>
      </c>
      <c r="E2993">
        <v>0.93</v>
      </c>
      <c r="F2993">
        <v>0.93</v>
      </c>
      <c r="G2993">
        <v>0.93</v>
      </c>
      <c r="H2993">
        <v>0.93</v>
      </c>
      <c r="I2993" s="1">
        <v>35000</v>
      </c>
      <c r="J2993" s="1">
        <v>32550</v>
      </c>
      <c r="K2993">
        <v>2</v>
      </c>
      <c r="L2993">
        <v>0.93</v>
      </c>
      <c r="M2993">
        <v>0</v>
      </c>
      <c r="N2993" s="1">
        <v>5000000</v>
      </c>
      <c r="O2993">
        <v>0.93</v>
      </c>
      <c r="P2993">
        <v>1.89</v>
      </c>
      <c r="Q2993">
        <v>0.01</v>
      </c>
    </row>
    <row r="2994" spans="1:17" x14ac:dyDescent="0.25">
      <c r="A2994">
        <v>731920</v>
      </c>
      <c r="B2994" t="s">
        <v>4306</v>
      </c>
      <c r="C2994" t="s">
        <v>78</v>
      </c>
      <c r="D2994" t="s">
        <v>78</v>
      </c>
      <c r="E2994" t="s">
        <v>78</v>
      </c>
      <c r="F2994" t="s">
        <v>78</v>
      </c>
      <c r="G2994" t="s">
        <v>78</v>
      </c>
      <c r="H2994">
        <v>7.05</v>
      </c>
      <c r="I2994" s="1">
        <v>0</v>
      </c>
      <c r="J2994" s="1">
        <v>0</v>
      </c>
      <c r="K2994">
        <v>0</v>
      </c>
      <c r="L2994">
        <v>5.65</v>
      </c>
      <c r="M2994">
        <v>6.15</v>
      </c>
      <c r="N2994" s="1">
        <v>5000000</v>
      </c>
      <c r="O2994">
        <v>5.95</v>
      </c>
      <c r="P2994">
        <v>7.35</v>
      </c>
      <c r="Q2994">
        <v>4.55</v>
      </c>
    </row>
    <row r="2995" spans="1:17" x14ac:dyDescent="0.25">
      <c r="A2995">
        <v>731921</v>
      </c>
      <c r="B2995" t="s">
        <v>4307</v>
      </c>
      <c r="C2995" t="s">
        <v>78</v>
      </c>
      <c r="D2995" t="s">
        <v>78</v>
      </c>
      <c r="E2995" t="s">
        <v>78</v>
      </c>
      <c r="F2995" t="s">
        <v>78</v>
      </c>
      <c r="G2995" t="s">
        <v>78</v>
      </c>
      <c r="H2995">
        <v>0.28000000000000003</v>
      </c>
      <c r="I2995" s="1">
        <v>0</v>
      </c>
      <c r="J2995" s="1">
        <v>0</v>
      </c>
      <c r="K2995">
        <v>0</v>
      </c>
      <c r="L2995">
        <v>0.25</v>
      </c>
      <c r="M2995">
        <v>0.26</v>
      </c>
      <c r="N2995" s="1">
        <v>10000000</v>
      </c>
      <c r="O2995">
        <v>0.26</v>
      </c>
      <c r="P2995">
        <v>0.7</v>
      </c>
      <c r="Q2995">
        <v>0.01</v>
      </c>
    </row>
    <row r="2996" spans="1:17" x14ac:dyDescent="0.25">
      <c r="A2996">
        <v>731922</v>
      </c>
      <c r="B2996" t="s">
        <v>4308</v>
      </c>
      <c r="C2996">
        <v>0.78</v>
      </c>
      <c r="D2996">
        <v>0</v>
      </c>
      <c r="E2996">
        <v>0.8</v>
      </c>
      <c r="F2996">
        <v>0.81</v>
      </c>
      <c r="G2996">
        <v>0.78</v>
      </c>
      <c r="H2996">
        <v>0.8</v>
      </c>
      <c r="I2996" s="1">
        <v>122000</v>
      </c>
      <c r="J2996" s="1">
        <v>97630</v>
      </c>
      <c r="K2996">
        <v>5</v>
      </c>
      <c r="L2996">
        <v>0.76</v>
      </c>
      <c r="M2996">
        <v>0.77</v>
      </c>
      <c r="N2996" s="1">
        <v>10000000</v>
      </c>
      <c r="O2996">
        <v>0.78</v>
      </c>
      <c r="P2996">
        <v>1.68</v>
      </c>
      <c r="Q2996">
        <v>0.01</v>
      </c>
    </row>
    <row r="2997" spans="1:17" x14ac:dyDescent="0.25">
      <c r="A2997">
        <v>731923</v>
      </c>
      <c r="B2997" t="s">
        <v>4309</v>
      </c>
      <c r="C2997">
        <v>1.1499999999999999</v>
      </c>
      <c r="D2997">
        <v>-0.05</v>
      </c>
      <c r="E2997">
        <v>1.1599999999999999</v>
      </c>
      <c r="F2997">
        <v>1.1599999999999999</v>
      </c>
      <c r="G2997">
        <v>1.07</v>
      </c>
      <c r="H2997">
        <v>1.1200000000000001</v>
      </c>
      <c r="I2997" s="1">
        <v>1188000</v>
      </c>
      <c r="J2997" s="1">
        <v>1327450</v>
      </c>
      <c r="K2997">
        <v>35</v>
      </c>
      <c r="L2997">
        <v>1.1200000000000001</v>
      </c>
      <c r="M2997">
        <v>1.2</v>
      </c>
      <c r="N2997" s="1">
        <v>5000000</v>
      </c>
      <c r="O2997">
        <v>1.1499999999999999</v>
      </c>
      <c r="P2997">
        <v>2.42</v>
      </c>
      <c r="Q2997">
        <v>0.01</v>
      </c>
    </row>
    <row r="2998" spans="1:17" x14ac:dyDescent="0.25">
      <c r="A2998">
        <v>731924</v>
      </c>
      <c r="B2998" t="s">
        <v>4310</v>
      </c>
      <c r="C2998">
        <v>1.02</v>
      </c>
      <c r="D2998">
        <v>0</v>
      </c>
      <c r="E2998">
        <v>1.02</v>
      </c>
      <c r="F2998">
        <v>1.06</v>
      </c>
      <c r="G2998">
        <v>0.98</v>
      </c>
      <c r="H2998">
        <v>1.02</v>
      </c>
      <c r="I2998" s="1">
        <v>699000</v>
      </c>
      <c r="J2998" s="1">
        <v>710610</v>
      </c>
      <c r="K2998">
        <v>26</v>
      </c>
      <c r="L2998">
        <v>1.01</v>
      </c>
      <c r="M2998">
        <v>1.02</v>
      </c>
      <c r="N2998" s="1">
        <v>5000000</v>
      </c>
      <c r="O2998">
        <v>1.02</v>
      </c>
      <c r="P2998">
        <v>2.04</v>
      </c>
      <c r="Q2998">
        <v>0.01</v>
      </c>
    </row>
    <row r="2999" spans="1:17" x14ac:dyDescent="0.25">
      <c r="A2999">
        <v>731925</v>
      </c>
      <c r="B2999" t="s">
        <v>4311</v>
      </c>
      <c r="C2999" t="s">
        <v>78</v>
      </c>
      <c r="D2999" t="s">
        <v>78</v>
      </c>
      <c r="E2999" t="s">
        <v>78</v>
      </c>
      <c r="F2999" t="s">
        <v>78</v>
      </c>
      <c r="G2999" t="s">
        <v>78</v>
      </c>
      <c r="H2999">
        <v>0.47</v>
      </c>
      <c r="I2999" s="1">
        <v>0</v>
      </c>
      <c r="J2999" s="1">
        <v>0</v>
      </c>
      <c r="K2999">
        <v>0</v>
      </c>
      <c r="L2999">
        <v>0.46</v>
      </c>
      <c r="M2999">
        <v>0.47</v>
      </c>
      <c r="N2999" s="1">
        <v>10000000</v>
      </c>
      <c r="O2999">
        <v>0.47</v>
      </c>
      <c r="P2999">
        <v>1.1200000000000001</v>
      </c>
      <c r="Q2999">
        <v>0.01</v>
      </c>
    </row>
    <row r="3000" spans="1:17" x14ac:dyDescent="0.25">
      <c r="A3000">
        <v>731926</v>
      </c>
      <c r="B3000" t="s">
        <v>4312</v>
      </c>
      <c r="C3000" t="s">
        <v>78</v>
      </c>
      <c r="D3000" t="s">
        <v>78</v>
      </c>
      <c r="E3000" t="s">
        <v>78</v>
      </c>
      <c r="F3000" t="s">
        <v>78</v>
      </c>
      <c r="G3000" t="s">
        <v>78</v>
      </c>
      <c r="H3000">
        <v>0.12</v>
      </c>
      <c r="I3000" s="1">
        <v>0</v>
      </c>
      <c r="J3000" s="1">
        <v>0</v>
      </c>
      <c r="K3000">
        <v>0</v>
      </c>
      <c r="L3000">
        <v>0.09</v>
      </c>
      <c r="M3000">
        <v>0.12</v>
      </c>
      <c r="N3000" s="1">
        <v>5000000</v>
      </c>
      <c r="O3000">
        <v>0.12</v>
      </c>
      <c r="P3000">
        <v>0.68</v>
      </c>
      <c r="Q3000">
        <v>0.01</v>
      </c>
    </row>
    <row r="3001" spans="1:17" x14ac:dyDescent="0.25">
      <c r="A3001">
        <v>731927</v>
      </c>
      <c r="B3001" t="s">
        <v>4313</v>
      </c>
      <c r="C3001">
        <v>0.38</v>
      </c>
      <c r="D3001">
        <v>0.03</v>
      </c>
      <c r="E3001">
        <v>0.4</v>
      </c>
      <c r="F3001">
        <v>0.4</v>
      </c>
      <c r="G3001">
        <v>0.38</v>
      </c>
      <c r="H3001">
        <v>0.39</v>
      </c>
      <c r="I3001" s="1">
        <v>189000</v>
      </c>
      <c r="J3001" s="1">
        <v>72820</v>
      </c>
      <c r="K3001">
        <v>5</v>
      </c>
      <c r="L3001">
        <v>0.38</v>
      </c>
      <c r="M3001">
        <v>0.39</v>
      </c>
      <c r="N3001" s="1">
        <v>5000000</v>
      </c>
      <c r="O3001">
        <v>0.38</v>
      </c>
      <c r="P3001">
        <v>1.28</v>
      </c>
      <c r="Q3001">
        <v>0.01</v>
      </c>
    </row>
    <row r="3002" spans="1:17" x14ac:dyDescent="0.25">
      <c r="A3002">
        <v>731928</v>
      </c>
      <c r="B3002" t="s">
        <v>4314</v>
      </c>
      <c r="C3002">
        <v>1.38</v>
      </c>
      <c r="D3002">
        <v>0.01</v>
      </c>
      <c r="E3002">
        <v>1.42</v>
      </c>
      <c r="F3002">
        <v>1.43</v>
      </c>
      <c r="G3002">
        <v>1.38</v>
      </c>
      <c r="H3002">
        <v>1.42</v>
      </c>
      <c r="I3002" s="1">
        <v>104000</v>
      </c>
      <c r="J3002" s="1">
        <v>147290</v>
      </c>
      <c r="K3002">
        <v>10</v>
      </c>
      <c r="L3002">
        <v>1.36</v>
      </c>
      <c r="M3002">
        <v>1.37</v>
      </c>
      <c r="N3002" s="1">
        <v>5000000</v>
      </c>
      <c r="O3002">
        <v>1.38</v>
      </c>
      <c r="P3002">
        <v>2.85</v>
      </c>
      <c r="Q3002">
        <v>0.01</v>
      </c>
    </row>
    <row r="3003" spans="1:17" x14ac:dyDescent="0.25">
      <c r="A3003">
        <v>731929</v>
      </c>
      <c r="B3003" t="s">
        <v>4315</v>
      </c>
      <c r="C3003">
        <v>0.84</v>
      </c>
      <c r="D3003">
        <v>0</v>
      </c>
      <c r="E3003">
        <v>0.95</v>
      </c>
      <c r="F3003">
        <v>0.95</v>
      </c>
      <c r="G3003">
        <v>0.84</v>
      </c>
      <c r="H3003">
        <v>0.89</v>
      </c>
      <c r="I3003" s="1">
        <v>590000</v>
      </c>
      <c r="J3003" s="1">
        <v>527340</v>
      </c>
      <c r="K3003">
        <v>29</v>
      </c>
      <c r="L3003">
        <v>0.83</v>
      </c>
      <c r="M3003">
        <v>0.84</v>
      </c>
      <c r="N3003" s="1">
        <v>10000000</v>
      </c>
      <c r="O3003">
        <v>0.84</v>
      </c>
      <c r="P3003">
        <v>2.1</v>
      </c>
      <c r="Q3003">
        <v>0.01</v>
      </c>
    </row>
    <row r="3004" spans="1:17" x14ac:dyDescent="0.25">
      <c r="A3004">
        <v>731930</v>
      </c>
      <c r="B3004" t="s">
        <v>4316</v>
      </c>
      <c r="C3004" t="s">
        <v>78</v>
      </c>
      <c r="D3004" t="s">
        <v>78</v>
      </c>
      <c r="E3004" t="s">
        <v>78</v>
      </c>
      <c r="F3004" t="s">
        <v>78</v>
      </c>
      <c r="G3004" t="s">
        <v>78</v>
      </c>
      <c r="H3004">
        <v>0.05</v>
      </c>
      <c r="I3004" s="1">
        <v>0</v>
      </c>
      <c r="J3004" s="1">
        <v>0</v>
      </c>
      <c r="K3004">
        <v>0</v>
      </c>
      <c r="L3004">
        <v>0.02</v>
      </c>
      <c r="M3004">
        <v>0.05</v>
      </c>
      <c r="N3004" s="1">
        <v>5000000</v>
      </c>
      <c r="O3004">
        <v>0.05</v>
      </c>
      <c r="P3004">
        <v>0.28999999999999998</v>
      </c>
      <c r="Q3004">
        <v>0.01</v>
      </c>
    </row>
    <row r="3005" spans="1:17" x14ac:dyDescent="0.25">
      <c r="A3005">
        <v>731931</v>
      </c>
      <c r="B3005" t="s">
        <v>4317</v>
      </c>
      <c r="C3005">
        <v>0.36</v>
      </c>
      <c r="D3005">
        <v>0</v>
      </c>
      <c r="E3005">
        <v>0.35</v>
      </c>
      <c r="F3005">
        <v>0.36</v>
      </c>
      <c r="G3005">
        <v>0.34</v>
      </c>
      <c r="H3005">
        <v>0.35</v>
      </c>
      <c r="I3005" s="1">
        <v>242000</v>
      </c>
      <c r="J3005" s="1">
        <v>83690</v>
      </c>
      <c r="K3005">
        <v>4</v>
      </c>
      <c r="L3005">
        <v>0.35</v>
      </c>
      <c r="M3005">
        <v>0.36</v>
      </c>
      <c r="N3005" s="1">
        <v>10000000</v>
      </c>
      <c r="O3005">
        <v>0.36</v>
      </c>
      <c r="P3005">
        <v>1.25</v>
      </c>
      <c r="Q3005">
        <v>0.01</v>
      </c>
    </row>
    <row r="3006" spans="1:17" x14ac:dyDescent="0.25">
      <c r="A3006">
        <v>731932</v>
      </c>
      <c r="B3006" t="s">
        <v>4318</v>
      </c>
      <c r="C3006">
        <v>0.49</v>
      </c>
      <c r="D3006">
        <v>-0.03</v>
      </c>
      <c r="E3006">
        <v>0.51</v>
      </c>
      <c r="F3006">
        <v>0.52</v>
      </c>
      <c r="G3006">
        <v>0.49</v>
      </c>
      <c r="H3006">
        <v>0.51</v>
      </c>
      <c r="I3006" s="1">
        <v>72000</v>
      </c>
      <c r="J3006" s="1">
        <v>36630</v>
      </c>
      <c r="K3006">
        <v>3</v>
      </c>
      <c r="L3006">
        <v>0.48</v>
      </c>
      <c r="M3006">
        <v>0.49</v>
      </c>
      <c r="N3006" s="1">
        <v>10000000</v>
      </c>
      <c r="O3006">
        <v>0.49</v>
      </c>
      <c r="P3006">
        <v>1.47</v>
      </c>
      <c r="Q3006">
        <v>0.01</v>
      </c>
    </row>
    <row r="3007" spans="1:17" x14ac:dyDescent="0.25">
      <c r="A3007">
        <v>731933</v>
      </c>
      <c r="B3007" t="s">
        <v>4319</v>
      </c>
      <c r="C3007">
        <v>0.56999999999999995</v>
      </c>
      <c r="D3007">
        <v>0.02</v>
      </c>
      <c r="E3007">
        <v>0.59</v>
      </c>
      <c r="F3007">
        <v>0.59</v>
      </c>
      <c r="G3007">
        <v>0.56999999999999995</v>
      </c>
      <c r="H3007">
        <v>0.57999999999999996</v>
      </c>
      <c r="I3007" s="1">
        <v>130000</v>
      </c>
      <c r="J3007" s="1">
        <v>75700</v>
      </c>
      <c r="K3007">
        <v>6</v>
      </c>
      <c r="L3007">
        <v>0.56000000000000005</v>
      </c>
      <c r="M3007">
        <v>0.56999999999999995</v>
      </c>
      <c r="N3007" s="1">
        <v>5121000</v>
      </c>
      <c r="O3007">
        <v>0.56999999999999995</v>
      </c>
      <c r="P3007">
        <v>1.39</v>
      </c>
      <c r="Q3007">
        <v>0.01</v>
      </c>
    </row>
    <row r="3008" spans="1:17" x14ac:dyDescent="0.25">
      <c r="A3008">
        <v>731934</v>
      </c>
      <c r="B3008" t="s">
        <v>4320</v>
      </c>
      <c r="C3008">
        <v>2.7</v>
      </c>
      <c r="D3008">
        <v>-0.11</v>
      </c>
      <c r="E3008">
        <v>2.83</v>
      </c>
      <c r="F3008">
        <v>2.83</v>
      </c>
      <c r="G3008">
        <v>2.68</v>
      </c>
      <c r="H3008">
        <v>2.74</v>
      </c>
      <c r="I3008" s="1">
        <v>17000</v>
      </c>
      <c r="J3008" s="1">
        <v>46560</v>
      </c>
      <c r="K3008">
        <v>5</v>
      </c>
      <c r="L3008">
        <v>2.72</v>
      </c>
      <c r="M3008">
        <v>2.82</v>
      </c>
      <c r="N3008" s="1">
        <v>5000000</v>
      </c>
      <c r="O3008">
        <v>2.7</v>
      </c>
      <c r="P3008">
        <v>3.72</v>
      </c>
      <c r="Q3008">
        <v>1.68</v>
      </c>
    </row>
    <row r="3009" spans="1:17" x14ac:dyDescent="0.25">
      <c r="A3009">
        <v>731935</v>
      </c>
      <c r="B3009" t="s">
        <v>4321</v>
      </c>
      <c r="C3009" t="s">
        <v>78</v>
      </c>
      <c r="D3009" t="s">
        <v>78</v>
      </c>
      <c r="E3009" t="s">
        <v>78</v>
      </c>
      <c r="F3009" t="s">
        <v>78</v>
      </c>
      <c r="G3009" t="s">
        <v>78</v>
      </c>
      <c r="H3009">
        <v>0.28000000000000003</v>
      </c>
      <c r="I3009" s="1">
        <v>0</v>
      </c>
      <c r="J3009" s="1">
        <v>0</v>
      </c>
      <c r="K3009">
        <v>0</v>
      </c>
      <c r="L3009">
        <v>0.16</v>
      </c>
      <c r="M3009">
        <v>0.17</v>
      </c>
      <c r="N3009" s="1">
        <v>5000000</v>
      </c>
      <c r="O3009">
        <v>0.17</v>
      </c>
      <c r="P3009">
        <v>0.85</v>
      </c>
      <c r="Q3009">
        <v>0.01</v>
      </c>
    </row>
    <row r="3010" spans="1:17" x14ac:dyDescent="0.25">
      <c r="A3010">
        <v>731936</v>
      </c>
      <c r="B3010" t="s">
        <v>4322</v>
      </c>
      <c r="C3010">
        <v>1.07</v>
      </c>
      <c r="D3010">
        <v>-0.08</v>
      </c>
      <c r="E3010">
        <v>1.07</v>
      </c>
      <c r="F3010">
        <v>1.07</v>
      </c>
      <c r="G3010">
        <v>1.07</v>
      </c>
      <c r="H3010">
        <v>1.07</v>
      </c>
      <c r="I3010" s="1">
        <v>10000</v>
      </c>
      <c r="J3010" s="1">
        <v>10700</v>
      </c>
      <c r="K3010">
        <v>1</v>
      </c>
      <c r="L3010">
        <v>1</v>
      </c>
      <c r="M3010">
        <v>1.01</v>
      </c>
      <c r="N3010" s="1">
        <v>5000000</v>
      </c>
      <c r="O3010">
        <v>1.07</v>
      </c>
      <c r="P3010">
        <v>2.0299999999999998</v>
      </c>
      <c r="Q3010">
        <v>0.11</v>
      </c>
    </row>
    <row r="3011" spans="1:17" x14ac:dyDescent="0.25">
      <c r="A3011">
        <v>731937</v>
      </c>
      <c r="B3011" t="s">
        <v>4323</v>
      </c>
      <c r="C3011">
        <v>0.52</v>
      </c>
      <c r="D3011">
        <v>-0.08</v>
      </c>
      <c r="E3011">
        <v>0.55000000000000004</v>
      </c>
      <c r="F3011">
        <v>0.55000000000000004</v>
      </c>
      <c r="G3011">
        <v>0.5</v>
      </c>
      <c r="H3011">
        <v>0.52</v>
      </c>
      <c r="I3011" s="1">
        <v>2439000</v>
      </c>
      <c r="J3011" s="1">
        <v>1260960</v>
      </c>
      <c r="K3011">
        <v>35</v>
      </c>
      <c r="L3011">
        <v>0.49</v>
      </c>
      <c r="M3011">
        <v>0.51</v>
      </c>
      <c r="N3011" s="1">
        <v>10000000</v>
      </c>
      <c r="O3011">
        <v>0.52</v>
      </c>
      <c r="P3011">
        <v>1.48</v>
      </c>
      <c r="Q3011">
        <v>0.01</v>
      </c>
    </row>
    <row r="3012" spans="1:17" x14ac:dyDescent="0.25">
      <c r="A3012">
        <v>731938</v>
      </c>
      <c r="B3012" t="s">
        <v>4324</v>
      </c>
      <c r="C3012">
        <v>0.52</v>
      </c>
      <c r="D3012">
        <v>0.02</v>
      </c>
      <c r="E3012">
        <v>0.56000000000000005</v>
      </c>
      <c r="F3012">
        <v>0.56000000000000005</v>
      </c>
      <c r="G3012">
        <v>0.49</v>
      </c>
      <c r="H3012">
        <v>0.51</v>
      </c>
      <c r="I3012" s="1">
        <v>340000</v>
      </c>
      <c r="J3012" s="1">
        <v>174400</v>
      </c>
      <c r="K3012">
        <v>4</v>
      </c>
      <c r="L3012">
        <v>0.53</v>
      </c>
      <c r="M3012">
        <v>0.54</v>
      </c>
      <c r="N3012" s="1">
        <v>10000000</v>
      </c>
      <c r="O3012">
        <v>0.52</v>
      </c>
      <c r="P3012">
        <v>3.17</v>
      </c>
      <c r="Q3012">
        <v>0.01</v>
      </c>
    </row>
    <row r="3013" spans="1:17" x14ac:dyDescent="0.25">
      <c r="A3013">
        <v>731939</v>
      </c>
      <c r="B3013" t="s">
        <v>4325</v>
      </c>
      <c r="C3013" t="s">
        <v>78</v>
      </c>
      <c r="D3013" t="s">
        <v>78</v>
      </c>
      <c r="E3013" t="s">
        <v>78</v>
      </c>
      <c r="F3013" t="s">
        <v>78</v>
      </c>
      <c r="G3013" t="s">
        <v>78</v>
      </c>
      <c r="H3013">
        <v>0.03</v>
      </c>
      <c r="I3013" s="1">
        <v>0</v>
      </c>
      <c r="J3013" s="1">
        <v>0</v>
      </c>
      <c r="K3013">
        <v>0</v>
      </c>
      <c r="L3013">
        <v>0.01</v>
      </c>
      <c r="M3013">
        <v>0.02</v>
      </c>
      <c r="N3013" s="1">
        <v>10000000</v>
      </c>
      <c r="O3013">
        <v>0.02</v>
      </c>
      <c r="P3013">
        <v>1.05</v>
      </c>
      <c r="Q3013">
        <v>0.01</v>
      </c>
    </row>
    <row r="3014" spans="1:17" x14ac:dyDescent="0.25">
      <c r="A3014">
        <v>731940</v>
      </c>
      <c r="B3014" t="s">
        <v>4326</v>
      </c>
      <c r="C3014" t="s">
        <v>78</v>
      </c>
      <c r="D3014" t="s">
        <v>78</v>
      </c>
      <c r="E3014" t="s">
        <v>78</v>
      </c>
      <c r="F3014" t="s">
        <v>78</v>
      </c>
      <c r="G3014" t="s">
        <v>78</v>
      </c>
      <c r="H3014">
        <v>0.28000000000000003</v>
      </c>
      <c r="I3014" s="1">
        <v>0</v>
      </c>
      <c r="J3014" s="1">
        <v>0</v>
      </c>
      <c r="K3014">
        <v>0</v>
      </c>
      <c r="L3014">
        <v>0.16</v>
      </c>
      <c r="M3014">
        <v>0.17</v>
      </c>
      <c r="N3014" s="1">
        <v>10000000</v>
      </c>
      <c r="O3014">
        <v>0.16</v>
      </c>
      <c r="P3014">
        <v>0.87</v>
      </c>
      <c r="Q3014">
        <v>0.01</v>
      </c>
    </row>
    <row r="3015" spans="1:17" x14ac:dyDescent="0.25">
      <c r="A3015">
        <v>731941</v>
      </c>
      <c r="B3015" t="s">
        <v>4327</v>
      </c>
      <c r="C3015">
        <v>0.1</v>
      </c>
      <c r="D3015">
        <v>-0.01</v>
      </c>
      <c r="E3015">
        <v>0.09</v>
      </c>
      <c r="F3015">
        <v>0.1</v>
      </c>
      <c r="G3015">
        <v>0.09</v>
      </c>
      <c r="H3015">
        <v>0.09</v>
      </c>
      <c r="I3015" s="1">
        <v>80000</v>
      </c>
      <c r="J3015" s="1">
        <v>7300</v>
      </c>
      <c r="K3015">
        <v>3</v>
      </c>
      <c r="L3015">
        <v>0.09</v>
      </c>
      <c r="M3015">
        <v>0.1</v>
      </c>
      <c r="N3015" s="1">
        <v>10000000</v>
      </c>
      <c r="O3015">
        <v>0.1</v>
      </c>
      <c r="P3015">
        <v>0.72</v>
      </c>
      <c r="Q3015">
        <v>0.01</v>
      </c>
    </row>
    <row r="3016" spans="1:17" x14ac:dyDescent="0.25">
      <c r="A3016">
        <v>731942</v>
      </c>
      <c r="B3016" t="s">
        <v>4328</v>
      </c>
      <c r="C3016" t="s">
        <v>78</v>
      </c>
      <c r="D3016" t="s">
        <v>78</v>
      </c>
      <c r="E3016" t="s">
        <v>78</v>
      </c>
      <c r="F3016" t="s">
        <v>78</v>
      </c>
      <c r="G3016" t="s">
        <v>78</v>
      </c>
      <c r="H3016">
        <v>0.31</v>
      </c>
      <c r="I3016" s="1">
        <v>0</v>
      </c>
      <c r="J3016" s="1">
        <v>0</v>
      </c>
      <c r="K3016">
        <v>0</v>
      </c>
      <c r="L3016">
        <v>0.09</v>
      </c>
      <c r="M3016">
        <v>0.1</v>
      </c>
      <c r="N3016" s="1">
        <v>10000000</v>
      </c>
      <c r="O3016">
        <v>0.09</v>
      </c>
      <c r="P3016">
        <v>0.61</v>
      </c>
      <c r="Q3016">
        <v>0.01</v>
      </c>
    </row>
    <row r="3017" spans="1:17" x14ac:dyDescent="0.25">
      <c r="A3017">
        <v>731943</v>
      </c>
      <c r="B3017" t="s">
        <v>4329</v>
      </c>
      <c r="C3017">
        <v>1.77</v>
      </c>
      <c r="D3017">
        <v>0.11</v>
      </c>
      <c r="E3017">
        <v>1.74</v>
      </c>
      <c r="F3017">
        <v>1.77</v>
      </c>
      <c r="G3017">
        <v>1.74</v>
      </c>
      <c r="H3017">
        <v>1.74</v>
      </c>
      <c r="I3017" s="1">
        <v>110000</v>
      </c>
      <c r="J3017" s="1">
        <v>191700</v>
      </c>
      <c r="K3017">
        <v>2</v>
      </c>
      <c r="L3017">
        <v>1.73</v>
      </c>
      <c r="M3017">
        <v>1.8</v>
      </c>
      <c r="N3017" s="1">
        <v>10000000</v>
      </c>
      <c r="O3017">
        <v>1.77</v>
      </c>
      <c r="P3017">
        <v>2.54</v>
      </c>
      <c r="Q3017">
        <v>1</v>
      </c>
    </row>
    <row r="3018" spans="1:17" x14ac:dyDescent="0.25">
      <c r="A3018">
        <v>731944</v>
      </c>
      <c r="B3018" t="s">
        <v>4330</v>
      </c>
      <c r="C3018">
        <v>1.1100000000000001</v>
      </c>
      <c r="D3018">
        <v>0.01</v>
      </c>
      <c r="E3018">
        <v>1.1100000000000001</v>
      </c>
      <c r="F3018">
        <v>1.1100000000000001</v>
      </c>
      <c r="G3018">
        <v>1.0900000000000001</v>
      </c>
      <c r="H3018">
        <v>1.1100000000000001</v>
      </c>
      <c r="I3018" s="1">
        <v>162000</v>
      </c>
      <c r="J3018" s="1">
        <v>179580</v>
      </c>
      <c r="K3018">
        <v>4</v>
      </c>
      <c r="L3018">
        <v>1.1100000000000001</v>
      </c>
      <c r="M3018">
        <v>1.1299999999999999</v>
      </c>
      <c r="N3018" s="1">
        <v>5000000</v>
      </c>
      <c r="O3018">
        <v>1.1100000000000001</v>
      </c>
      <c r="P3018">
        <v>1.86</v>
      </c>
      <c r="Q3018">
        <v>0.36</v>
      </c>
    </row>
    <row r="3019" spans="1:17" x14ac:dyDescent="0.25">
      <c r="A3019">
        <v>731945</v>
      </c>
      <c r="B3019" t="s">
        <v>4331</v>
      </c>
      <c r="C3019" t="s">
        <v>78</v>
      </c>
      <c r="D3019" t="s">
        <v>78</v>
      </c>
      <c r="E3019" t="s">
        <v>78</v>
      </c>
      <c r="F3019" t="s">
        <v>78</v>
      </c>
      <c r="G3019" t="s">
        <v>78</v>
      </c>
      <c r="H3019">
        <v>8.4499999999999993</v>
      </c>
      <c r="I3019" s="1">
        <v>0</v>
      </c>
      <c r="J3019" s="1">
        <v>0</v>
      </c>
      <c r="K3019">
        <v>0</v>
      </c>
      <c r="L3019">
        <v>0</v>
      </c>
      <c r="M3019">
        <v>0</v>
      </c>
      <c r="N3019" s="1">
        <v>5000000</v>
      </c>
      <c r="O3019">
        <v>9.75</v>
      </c>
      <c r="P3019">
        <v>12.1</v>
      </c>
      <c r="Q3019">
        <v>7.4</v>
      </c>
    </row>
    <row r="3020" spans="1:17" x14ac:dyDescent="0.25">
      <c r="A3020">
        <v>731946</v>
      </c>
      <c r="B3020" t="s">
        <v>4332</v>
      </c>
      <c r="C3020">
        <v>0.04</v>
      </c>
      <c r="D3020">
        <v>-0.01</v>
      </c>
      <c r="E3020">
        <v>0.04</v>
      </c>
      <c r="F3020">
        <v>0.04</v>
      </c>
      <c r="G3020">
        <v>0.04</v>
      </c>
      <c r="H3020">
        <v>0.04</v>
      </c>
      <c r="I3020" s="1">
        <v>5000</v>
      </c>
      <c r="J3020" s="1">
        <v>200</v>
      </c>
      <c r="K3020">
        <v>1</v>
      </c>
      <c r="L3020">
        <v>0.04</v>
      </c>
      <c r="M3020">
        <v>0.05</v>
      </c>
      <c r="N3020" s="1">
        <v>10000000</v>
      </c>
      <c r="O3020">
        <v>0.04</v>
      </c>
      <c r="P3020">
        <v>0.54</v>
      </c>
      <c r="Q3020">
        <v>0.01</v>
      </c>
    </row>
    <row r="3021" spans="1:17" x14ac:dyDescent="0.25">
      <c r="A3021">
        <v>731947</v>
      </c>
      <c r="B3021" t="s">
        <v>4333</v>
      </c>
      <c r="C3021">
        <v>1.06</v>
      </c>
      <c r="D3021">
        <v>0.01</v>
      </c>
      <c r="E3021">
        <v>1.1200000000000001</v>
      </c>
      <c r="F3021">
        <v>1.18</v>
      </c>
      <c r="G3021">
        <v>1.05</v>
      </c>
      <c r="H3021">
        <v>1.1200000000000001</v>
      </c>
      <c r="I3021" s="1">
        <v>1527000</v>
      </c>
      <c r="J3021" s="1">
        <v>1712140</v>
      </c>
      <c r="K3021">
        <v>51</v>
      </c>
      <c r="L3021">
        <v>1.06</v>
      </c>
      <c r="M3021">
        <v>1.07</v>
      </c>
      <c r="N3021" s="1">
        <v>10000000</v>
      </c>
      <c r="O3021">
        <v>1.06</v>
      </c>
      <c r="P3021">
        <v>1.93</v>
      </c>
      <c r="Q3021">
        <v>0.19</v>
      </c>
    </row>
    <row r="3022" spans="1:17" x14ac:dyDescent="0.25">
      <c r="A3022">
        <v>731948</v>
      </c>
      <c r="B3022" t="s">
        <v>4334</v>
      </c>
      <c r="C3022">
        <v>0.36</v>
      </c>
      <c r="D3022">
        <v>0.02</v>
      </c>
      <c r="E3022">
        <v>0.36</v>
      </c>
      <c r="F3022">
        <v>0.36</v>
      </c>
      <c r="G3022">
        <v>0.36</v>
      </c>
      <c r="H3022">
        <v>0.36</v>
      </c>
      <c r="I3022" s="1">
        <v>110000</v>
      </c>
      <c r="J3022" s="1">
        <v>39600</v>
      </c>
      <c r="K3022">
        <v>2</v>
      </c>
      <c r="L3022">
        <v>0.36</v>
      </c>
      <c r="M3022">
        <v>0.37</v>
      </c>
      <c r="N3022" s="1">
        <v>10000000</v>
      </c>
      <c r="O3022">
        <v>0.36</v>
      </c>
      <c r="P3022">
        <v>1.1100000000000001</v>
      </c>
      <c r="Q3022">
        <v>0.01</v>
      </c>
    </row>
    <row r="3023" spans="1:17" x14ac:dyDescent="0.25">
      <c r="A3023">
        <v>731949</v>
      </c>
      <c r="B3023" t="s">
        <v>4335</v>
      </c>
      <c r="C3023">
        <v>0.72</v>
      </c>
      <c r="D3023">
        <v>0</v>
      </c>
      <c r="E3023">
        <v>0.74</v>
      </c>
      <c r="F3023">
        <v>0.79</v>
      </c>
      <c r="G3023">
        <v>0.71</v>
      </c>
      <c r="H3023">
        <v>0.74</v>
      </c>
      <c r="I3023" s="1">
        <v>661000</v>
      </c>
      <c r="J3023" s="1">
        <v>489890</v>
      </c>
      <c r="K3023">
        <v>23</v>
      </c>
      <c r="L3023">
        <v>0.71</v>
      </c>
      <c r="M3023">
        <v>0.72</v>
      </c>
      <c r="N3023" s="1">
        <v>10000000</v>
      </c>
      <c r="O3023">
        <v>0.72</v>
      </c>
      <c r="P3023">
        <v>1.3</v>
      </c>
      <c r="Q3023">
        <v>0.14000000000000001</v>
      </c>
    </row>
    <row r="3024" spans="1:17" x14ac:dyDescent="0.25">
      <c r="A3024">
        <v>731950</v>
      </c>
      <c r="B3024" t="s">
        <v>4336</v>
      </c>
      <c r="C3024">
        <v>0.51</v>
      </c>
      <c r="D3024">
        <v>-0.01</v>
      </c>
      <c r="E3024">
        <v>0.51</v>
      </c>
      <c r="F3024">
        <v>0.52</v>
      </c>
      <c r="G3024">
        <v>0.51</v>
      </c>
      <c r="H3024">
        <v>0.52</v>
      </c>
      <c r="I3024" s="1">
        <v>330000</v>
      </c>
      <c r="J3024" s="1">
        <v>170500</v>
      </c>
      <c r="K3024">
        <v>3</v>
      </c>
      <c r="L3024">
        <v>0.5</v>
      </c>
      <c r="M3024">
        <v>0.51</v>
      </c>
      <c r="N3024" s="1">
        <v>5000000</v>
      </c>
      <c r="O3024">
        <v>0.51</v>
      </c>
      <c r="P3024">
        <v>0.96</v>
      </c>
      <c r="Q3024">
        <v>0.06</v>
      </c>
    </row>
    <row r="3025" spans="1:17" x14ac:dyDescent="0.25">
      <c r="A3025">
        <v>731951</v>
      </c>
      <c r="B3025" t="s">
        <v>4337</v>
      </c>
      <c r="C3025" t="s">
        <v>78</v>
      </c>
      <c r="D3025" t="s">
        <v>78</v>
      </c>
      <c r="E3025" t="s">
        <v>78</v>
      </c>
      <c r="F3025" t="s">
        <v>78</v>
      </c>
      <c r="G3025" t="s">
        <v>78</v>
      </c>
      <c r="H3025">
        <v>3.12</v>
      </c>
      <c r="I3025" s="1">
        <v>0</v>
      </c>
      <c r="J3025" s="1">
        <v>0</v>
      </c>
      <c r="K3025">
        <v>0</v>
      </c>
      <c r="L3025">
        <v>4.0999999999999996</v>
      </c>
      <c r="M3025">
        <v>4.2</v>
      </c>
      <c r="N3025" s="1">
        <v>10000000</v>
      </c>
      <c r="O3025">
        <v>4.2</v>
      </c>
      <c r="P3025">
        <v>5.6</v>
      </c>
      <c r="Q3025">
        <v>2.8</v>
      </c>
    </row>
    <row r="3026" spans="1:17" x14ac:dyDescent="0.25">
      <c r="A3026">
        <v>731952</v>
      </c>
      <c r="B3026" t="s">
        <v>4338</v>
      </c>
      <c r="C3026">
        <v>0.67</v>
      </c>
      <c r="D3026">
        <v>-0.11</v>
      </c>
      <c r="E3026">
        <v>0.8</v>
      </c>
      <c r="F3026">
        <v>0.8</v>
      </c>
      <c r="G3026">
        <v>0.67</v>
      </c>
      <c r="H3026">
        <v>0.69</v>
      </c>
      <c r="I3026" s="1">
        <v>111000</v>
      </c>
      <c r="J3026" s="1">
        <v>76500</v>
      </c>
      <c r="K3026">
        <v>3</v>
      </c>
      <c r="L3026">
        <v>0.67</v>
      </c>
      <c r="M3026">
        <v>0.73</v>
      </c>
      <c r="N3026" s="1">
        <v>5000000</v>
      </c>
      <c r="O3026">
        <v>0.67</v>
      </c>
      <c r="P3026">
        <v>2.0099999999999998</v>
      </c>
      <c r="Q3026">
        <v>0.01</v>
      </c>
    </row>
    <row r="3027" spans="1:17" x14ac:dyDescent="0.25">
      <c r="A3027">
        <v>731953</v>
      </c>
      <c r="B3027" t="s">
        <v>4339</v>
      </c>
      <c r="C3027">
        <v>0.69</v>
      </c>
      <c r="D3027">
        <v>-0.13</v>
      </c>
      <c r="E3027">
        <v>0.7</v>
      </c>
      <c r="F3027">
        <v>0.7</v>
      </c>
      <c r="G3027">
        <v>0.69</v>
      </c>
      <c r="H3027">
        <v>0.69</v>
      </c>
      <c r="I3027" s="1">
        <v>74000</v>
      </c>
      <c r="J3027" s="1">
        <v>51110</v>
      </c>
      <c r="K3027">
        <v>10</v>
      </c>
      <c r="L3027">
        <v>0.68</v>
      </c>
      <c r="M3027">
        <v>0.69</v>
      </c>
      <c r="N3027" s="1">
        <v>5000000</v>
      </c>
      <c r="O3027">
        <v>0.69</v>
      </c>
      <c r="P3027">
        <v>1.89</v>
      </c>
      <c r="Q3027">
        <v>0.01</v>
      </c>
    </row>
    <row r="3028" spans="1:17" x14ac:dyDescent="0.25">
      <c r="A3028">
        <v>731954</v>
      </c>
      <c r="B3028" t="s">
        <v>4340</v>
      </c>
      <c r="C3028">
        <v>0.06</v>
      </c>
      <c r="D3028">
        <v>-0.01</v>
      </c>
      <c r="E3028">
        <v>0.06</v>
      </c>
      <c r="F3028">
        <v>0.06</v>
      </c>
      <c r="G3028">
        <v>0.06</v>
      </c>
      <c r="H3028">
        <v>0.06</v>
      </c>
      <c r="I3028" s="1">
        <v>300000</v>
      </c>
      <c r="J3028" s="1">
        <v>18000</v>
      </c>
      <c r="K3028">
        <v>1</v>
      </c>
      <c r="L3028">
        <v>0.06</v>
      </c>
      <c r="M3028">
        <v>7.0000000000000007E-2</v>
      </c>
      <c r="N3028" s="1">
        <v>5500000</v>
      </c>
      <c r="O3028">
        <v>0.06</v>
      </c>
      <c r="P3028">
        <v>1.72</v>
      </c>
      <c r="Q3028">
        <v>0.01</v>
      </c>
    </row>
    <row r="3029" spans="1:17" x14ac:dyDescent="0.25">
      <c r="A3029">
        <v>731955</v>
      </c>
      <c r="B3029" t="s">
        <v>4341</v>
      </c>
      <c r="C3029" t="s">
        <v>78</v>
      </c>
      <c r="D3029" t="s">
        <v>78</v>
      </c>
      <c r="E3029" t="s">
        <v>78</v>
      </c>
      <c r="F3029" t="s">
        <v>78</v>
      </c>
      <c r="G3029" t="s">
        <v>78</v>
      </c>
      <c r="H3029">
        <v>2.42</v>
      </c>
      <c r="I3029" s="1">
        <v>0</v>
      </c>
      <c r="J3029" s="1">
        <v>0</v>
      </c>
      <c r="K3029">
        <v>0</v>
      </c>
      <c r="L3029">
        <v>2.31</v>
      </c>
      <c r="M3029">
        <v>2.37</v>
      </c>
      <c r="N3029" s="1">
        <v>10000000</v>
      </c>
      <c r="O3029">
        <v>2.37</v>
      </c>
      <c r="P3029">
        <v>3.63</v>
      </c>
      <c r="Q3029">
        <v>1.1100000000000001</v>
      </c>
    </row>
    <row r="3030" spans="1:17" x14ac:dyDescent="0.25">
      <c r="A3030">
        <v>731956</v>
      </c>
      <c r="B3030" t="s">
        <v>4342</v>
      </c>
      <c r="C3030">
        <v>0.53</v>
      </c>
      <c r="D3030">
        <v>0.02</v>
      </c>
      <c r="E3030">
        <v>0.52</v>
      </c>
      <c r="F3030">
        <v>0.55000000000000004</v>
      </c>
      <c r="G3030">
        <v>0.51</v>
      </c>
      <c r="H3030">
        <v>0.53</v>
      </c>
      <c r="I3030" s="1">
        <v>295000</v>
      </c>
      <c r="J3030" s="1">
        <v>155650</v>
      </c>
      <c r="K3030">
        <v>6</v>
      </c>
      <c r="L3030">
        <v>0.52</v>
      </c>
      <c r="M3030">
        <v>0.53</v>
      </c>
      <c r="N3030" s="1">
        <v>5000000</v>
      </c>
      <c r="O3030">
        <v>0.53</v>
      </c>
      <c r="P3030">
        <v>1.43</v>
      </c>
      <c r="Q3030">
        <v>0.01</v>
      </c>
    </row>
    <row r="3031" spans="1:17" x14ac:dyDescent="0.25">
      <c r="A3031">
        <v>731957</v>
      </c>
      <c r="B3031" t="s">
        <v>4343</v>
      </c>
      <c r="C3031" t="s">
        <v>78</v>
      </c>
      <c r="D3031" t="s">
        <v>78</v>
      </c>
      <c r="E3031" t="s">
        <v>78</v>
      </c>
      <c r="F3031" t="s">
        <v>78</v>
      </c>
      <c r="G3031" t="s">
        <v>78</v>
      </c>
      <c r="H3031">
        <v>0.39</v>
      </c>
      <c r="I3031" s="1">
        <v>0</v>
      </c>
      <c r="J3031" s="1">
        <v>0</v>
      </c>
      <c r="K3031">
        <v>0</v>
      </c>
      <c r="L3031">
        <v>0.37</v>
      </c>
      <c r="M3031">
        <v>0.38</v>
      </c>
      <c r="N3031" s="1">
        <v>5000000</v>
      </c>
      <c r="O3031">
        <v>0.38</v>
      </c>
      <c r="P3031">
        <v>1.06</v>
      </c>
      <c r="Q3031">
        <v>0.01</v>
      </c>
    </row>
    <row r="3032" spans="1:17" x14ac:dyDescent="0.25">
      <c r="A3032">
        <v>731958</v>
      </c>
      <c r="B3032" t="s">
        <v>4344</v>
      </c>
      <c r="C3032">
        <v>0.42</v>
      </c>
      <c r="D3032">
        <v>0.02</v>
      </c>
      <c r="E3032">
        <v>0.43</v>
      </c>
      <c r="F3032">
        <v>0.43</v>
      </c>
      <c r="G3032">
        <v>0.42</v>
      </c>
      <c r="H3032">
        <v>0.42</v>
      </c>
      <c r="I3032" s="1">
        <v>27000</v>
      </c>
      <c r="J3032" s="1">
        <v>11440</v>
      </c>
      <c r="K3032">
        <v>2</v>
      </c>
      <c r="L3032">
        <v>0.44</v>
      </c>
      <c r="M3032">
        <v>0.45</v>
      </c>
      <c r="N3032" s="1">
        <v>10000000</v>
      </c>
      <c r="O3032">
        <v>0.42</v>
      </c>
      <c r="P3032">
        <v>1.08</v>
      </c>
      <c r="Q3032">
        <v>0.01</v>
      </c>
    </row>
    <row r="3033" spans="1:17" x14ac:dyDescent="0.25">
      <c r="A3033">
        <v>731959</v>
      </c>
      <c r="B3033" t="s">
        <v>4345</v>
      </c>
      <c r="C3033">
        <v>1.32</v>
      </c>
      <c r="D3033">
        <v>0.11</v>
      </c>
      <c r="E3033">
        <v>1.3</v>
      </c>
      <c r="F3033">
        <v>1.34</v>
      </c>
      <c r="G3033">
        <v>1.25</v>
      </c>
      <c r="H3033">
        <v>1.31</v>
      </c>
      <c r="I3033" s="1">
        <v>478000</v>
      </c>
      <c r="J3033" s="1">
        <v>627640</v>
      </c>
      <c r="K3033">
        <v>15</v>
      </c>
      <c r="L3033">
        <v>1.25</v>
      </c>
      <c r="M3033">
        <v>1.26</v>
      </c>
      <c r="N3033" s="1">
        <v>10000000</v>
      </c>
      <c r="O3033">
        <v>1.32</v>
      </c>
      <c r="P3033">
        <v>2.11</v>
      </c>
      <c r="Q3033">
        <v>0.53</v>
      </c>
    </row>
    <row r="3034" spans="1:17" x14ac:dyDescent="0.25">
      <c r="A3034">
        <v>731960</v>
      </c>
      <c r="B3034" t="s">
        <v>4346</v>
      </c>
      <c r="C3034" t="s">
        <v>78</v>
      </c>
      <c r="D3034" t="s">
        <v>78</v>
      </c>
      <c r="E3034" t="s">
        <v>78</v>
      </c>
      <c r="F3034" t="s">
        <v>78</v>
      </c>
      <c r="G3034" t="s">
        <v>78</v>
      </c>
      <c r="H3034">
        <v>0.18</v>
      </c>
      <c r="I3034" s="1">
        <v>0</v>
      </c>
      <c r="J3034" s="1">
        <v>0</v>
      </c>
      <c r="K3034">
        <v>0</v>
      </c>
      <c r="L3034">
        <v>0.12</v>
      </c>
      <c r="M3034">
        <v>0.13</v>
      </c>
      <c r="N3034" s="1">
        <v>10000000</v>
      </c>
      <c r="O3034">
        <v>0.13</v>
      </c>
      <c r="P3034">
        <v>0.64</v>
      </c>
      <c r="Q3034">
        <v>0.01</v>
      </c>
    </row>
    <row r="3035" spans="1:17" x14ac:dyDescent="0.25">
      <c r="A3035">
        <v>731961</v>
      </c>
      <c r="B3035" t="s">
        <v>4347</v>
      </c>
      <c r="C3035" t="s">
        <v>78</v>
      </c>
      <c r="D3035" t="s">
        <v>78</v>
      </c>
      <c r="E3035" t="s">
        <v>78</v>
      </c>
      <c r="F3035" t="s">
        <v>78</v>
      </c>
      <c r="G3035" t="s">
        <v>78</v>
      </c>
      <c r="H3035">
        <v>0.17</v>
      </c>
      <c r="I3035" s="1">
        <v>0</v>
      </c>
      <c r="J3035" s="1">
        <v>0</v>
      </c>
      <c r="K3035">
        <v>0</v>
      </c>
      <c r="L3035">
        <v>0.17</v>
      </c>
      <c r="M3035">
        <v>0.18</v>
      </c>
      <c r="N3035" s="1">
        <v>5000000</v>
      </c>
      <c r="O3035">
        <v>0.18</v>
      </c>
      <c r="P3035">
        <v>0.7</v>
      </c>
      <c r="Q3035">
        <v>0.01</v>
      </c>
    </row>
    <row r="3036" spans="1:17" x14ac:dyDescent="0.25">
      <c r="A3036">
        <v>731962</v>
      </c>
      <c r="B3036" t="s">
        <v>4348</v>
      </c>
      <c r="C3036" t="s">
        <v>78</v>
      </c>
      <c r="D3036" t="s">
        <v>78</v>
      </c>
      <c r="E3036" t="s">
        <v>78</v>
      </c>
      <c r="F3036" t="s">
        <v>78</v>
      </c>
      <c r="G3036" t="s">
        <v>78</v>
      </c>
      <c r="H3036">
        <v>0.13</v>
      </c>
      <c r="I3036" s="1">
        <v>0</v>
      </c>
      <c r="J3036" s="1">
        <v>0</v>
      </c>
      <c r="K3036">
        <v>0</v>
      </c>
      <c r="L3036">
        <v>0.11</v>
      </c>
      <c r="M3036">
        <v>0.12</v>
      </c>
      <c r="N3036" s="1">
        <v>5000000</v>
      </c>
      <c r="O3036">
        <v>0.12</v>
      </c>
      <c r="P3036">
        <v>1.28</v>
      </c>
      <c r="Q3036">
        <v>0.01</v>
      </c>
    </row>
    <row r="3037" spans="1:17" x14ac:dyDescent="0.25">
      <c r="A3037">
        <v>731963</v>
      </c>
      <c r="B3037" t="s">
        <v>4349</v>
      </c>
      <c r="C3037">
        <v>0.5</v>
      </c>
      <c r="D3037">
        <v>0.02</v>
      </c>
      <c r="E3037">
        <v>0.5</v>
      </c>
      <c r="F3037">
        <v>0.5</v>
      </c>
      <c r="G3037">
        <v>0.5</v>
      </c>
      <c r="H3037">
        <v>0.5</v>
      </c>
      <c r="I3037" s="1">
        <v>10000</v>
      </c>
      <c r="J3037" s="1">
        <v>5000</v>
      </c>
      <c r="K3037">
        <v>1</v>
      </c>
      <c r="L3037">
        <v>0.48</v>
      </c>
      <c r="M3037">
        <v>0.49</v>
      </c>
      <c r="N3037" s="1">
        <v>10000000</v>
      </c>
      <c r="O3037">
        <v>0.5</v>
      </c>
      <c r="P3037">
        <v>0.9</v>
      </c>
      <c r="Q3037">
        <v>0.1</v>
      </c>
    </row>
    <row r="3038" spans="1:17" x14ac:dyDescent="0.25">
      <c r="A3038">
        <v>731964</v>
      </c>
      <c r="B3038" t="s">
        <v>4350</v>
      </c>
      <c r="C3038" t="s">
        <v>78</v>
      </c>
      <c r="D3038" t="s">
        <v>78</v>
      </c>
      <c r="E3038" t="s">
        <v>78</v>
      </c>
      <c r="F3038" t="s">
        <v>78</v>
      </c>
      <c r="G3038" t="s">
        <v>78</v>
      </c>
      <c r="H3038">
        <v>2.99</v>
      </c>
      <c r="I3038" s="1">
        <v>0</v>
      </c>
      <c r="J3038" s="1">
        <v>0</v>
      </c>
      <c r="K3038">
        <v>0</v>
      </c>
      <c r="L3038">
        <v>3.32</v>
      </c>
      <c r="M3038">
        <v>3.4</v>
      </c>
      <c r="N3038" s="1">
        <v>5000000</v>
      </c>
      <c r="O3038">
        <v>3.4</v>
      </c>
      <c r="P3038">
        <v>4.8</v>
      </c>
      <c r="Q3038">
        <v>2</v>
      </c>
    </row>
    <row r="3039" spans="1:17" x14ac:dyDescent="0.25">
      <c r="A3039">
        <v>731965</v>
      </c>
      <c r="B3039" t="s">
        <v>4351</v>
      </c>
      <c r="C3039" t="s">
        <v>78</v>
      </c>
      <c r="D3039" t="s">
        <v>78</v>
      </c>
      <c r="E3039" t="s">
        <v>78</v>
      </c>
      <c r="F3039" t="s">
        <v>78</v>
      </c>
      <c r="G3039" t="s">
        <v>78</v>
      </c>
      <c r="H3039">
        <v>1.5</v>
      </c>
      <c r="I3039" s="1">
        <v>0</v>
      </c>
      <c r="J3039" s="1">
        <v>0</v>
      </c>
      <c r="K3039">
        <v>0</v>
      </c>
      <c r="L3039">
        <v>1.34</v>
      </c>
      <c r="M3039">
        <v>1.41</v>
      </c>
      <c r="N3039" s="1">
        <v>10000000</v>
      </c>
      <c r="O3039">
        <v>1.36</v>
      </c>
      <c r="P3039">
        <v>2.4</v>
      </c>
      <c r="Q3039">
        <v>0.32</v>
      </c>
    </row>
    <row r="3040" spans="1:17" x14ac:dyDescent="0.25">
      <c r="A3040">
        <v>731966</v>
      </c>
      <c r="B3040" t="s">
        <v>4352</v>
      </c>
      <c r="C3040" t="s">
        <v>78</v>
      </c>
      <c r="D3040" t="s">
        <v>78</v>
      </c>
      <c r="E3040" t="s">
        <v>78</v>
      </c>
      <c r="F3040" t="s">
        <v>78</v>
      </c>
      <c r="G3040" t="s">
        <v>78</v>
      </c>
      <c r="H3040">
        <v>0.45</v>
      </c>
      <c r="I3040" s="1">
        <v>0</v>
      </c>
      <c r="J3040" s="1">
        <v>0</v>
      </c>
      <c r="K3040">
        <v>0</v>
      </c>
      <c r="L3040">
        <v>0.42</v>
      </c>
      <c r="M3040">
        <v>0.43</v>
      </c>
      <c r="N3040" s="1">
        <v>10000000</v>
      </c>
      <c r="O3040">
        <v>0.42</v>
      </c>
      <c r="P3040">
        <v>0.76</v>
      </c>
      <c r="Q3040">
        <v>0.08</v>
      </c>
    </row>
    <row r="3041" spans="1:17" x14ac:dyDescent="0.25">
      <c r="A3041">
        <v>731967</v>
      </c>
      <c r="B3041" t="s">
        <v>4353</v>
      </c>
      <c r="C3041">
        <v>4.05</v>
      </c>
      <c r="D3041">
        <v>-0.37</v>
      </c>
      <c r="E3041">
        <v>4.3099999999999996</v>
      </c>
      <c r="F3041">
        <v>4.3099999999999996</v>
      </c>
      <c r="G3041">
        <v>4.05</v>
      </c>
      <c r="H3041">
        <v>4.3</v>
      </c>
      <c r="I3041" s="1">
        <v>51000</v>
      </c>
      <c r="J3041" s="1">
        <v>219550</v>
      </c>
      <c r="K3041">
        <v>2</v>
      </c>
      <c r="L3041">
        <v>4.0199999999999996</v>
      </c>
      <c r="M3041">
        <v>4.0999999999999996</v>
      </c>
      <c r="N3041" s="1">
        <v>5000000</v>
      </c>
      <c r="O3041">
        <v>4.05</v>
      </c>
      <c r="P3041">
        <v>5.7</v>
      </c>
      <c r="Q3041">
        <v>2.37</v>
      </c>
    </row>
    <row r="3042" spans="1:17" x14ac:dyDescent="0.25">
      <c r="A3042">
        <v>731968</v>
      </c>
      <c r="B3042" t="s">
        <v>4354</v>
      </c>
      <c r="C3042" t="s">
        <v>78</v>
      </c>
      <c r="D3042" t="s">
        <v>78</v>
      </c>
      <c r="E3042" t="s">
        <v>78</v>
      </c>
      <c r="F3042" t="s">
        <v>78</v>
      </c>
      <c r="G3042" t="s">
        <v>78</v>
      </c>
      <c r="H3042">
        <v>0.44</v>
      </c>
      <c r="I3042" s="1">
        <v>0</v>
      </c>
      <c r="J3042" s="1">
        <v>0</v>
      </c>
      <c r="K3042">
        <v>0</v>
      </c>
      <c r="L3042">
        <v>0.46</v>
      </c>
      <c r="M3042">
        <v>0.48</v>
      </c>
      <c r="N3042" s="1">
        <v>5000000</v>
      </c>
      <c r="O3042">
        <v>0.47</v>
      </c>
      <c r="P3042">
        <v>1.07</v>
      </c>
      <c r="Q3042">
        <v>0.01</v>
      </c>
    </row>
    <row r="3043" spans="1:17" x14ac:dyDescent="0.25">
      <c r="A3043">
        <v>731969</v>
      </c>
      <c r="B3043" t="s">
        <v>4355</v>
      </c>
      <c r="C3043" t="s">
        <v>78</v>
      </c>
      <c r="D3043" t="s">
        <v>78</v>
      </c>
      <c r="E3043" t="s">
        <v>78</v>
      </c>
      <c r="F3043" t="s">
        <v>78</v>
      </c>
      <c r="G3043" t="s">
        <v>78</v>
      </c>
      <c r="H3043">
        <v>1.85</v>
      </c>
      <c r="I3043" s="1">
        <v>0</v>
      </c>
      <c r="J3043" s="1">
        <v>0</v>
      </c>
      <c r="K3043">
        <v>0</v>
      </c>
      <c r="L3043">
        <v>3.98</v>
      </c>
      <c r="M3043">
        <v>0</v>
      </c>
      <c r="N3043" s="1">
        <v>5000000</v>
      </c>
      <c r="O3043">
        <v>4.25</v>
      </c>
      <c r="P3043">
        <v>5.35</v>
      </c>
      <c r="Q3043">
        <v>3.09</v>
      </c>
    </row>
    <row r="3044" spans="1:17" x14ac:dyDescent="0.25">
      <c r="A3044">
        <v>731970</v>
      </c>
      <c r="B3044" t="s">
        <v>4356</v>
      </c>
      <c r="C3044" t="s">
        <v>78</v>
      </c>
      <c r="D3044" t="s">
        <v>78</v>
      </c>
      <c r="E3044" t="s">
        <v>78</v>
      </c>
      <c r="F3044" t="s">
        <v>78</v>
      </c>
      <c r="G3044" t="s">
        <v>78</v>
      </c>
      <c r="H3044">
        <v>2.72</v>
      </c>
      <c r="I3044" s="1">
        <v>0</v>
      </c>
      <c r="J3044" s="1">
        <v>0</v>
      </c>
      <c r="K3044">
        <v>0</v>
      </c>
      <c r="L3044">
        <v>2.79</v>
      </c>
      <c r="M3044">
        <v>0</v>
      </c>
      <c r="N3044" s="1">
        <v>5000000</v>
      </c>
      <c r="O3044">
        <v>3.01</v>
      </c>
      <c r="P3044">
        <v>4.13</v>
      </c>
      <c r="Q3044">
        <v>1.89</v>
      </c>
    </row>
    <row r="3045" spans="1:17" x14ac:dyDescent="0.25">
      <c r="A3045">
        <v>731971</v>
      </c>
      <c r="B3045" t="s">
        <v>4357</v>
      </c>
      <c r="C3045">
        <v>7.0000000000000007E-2</v>
      </c>
      <c r="D3045">
        <v>0.01</v>
      </c>
      <c r="E3045">
        <v>7.0000000000000007E-2</v>
      </c>
      <c r="F3045">
        <v>0.08</v>
      </c>
      <c r="G3045">
        <v>7.0000000000000007E-2</v>
      </c>
      <c r="H3045">
        <v>7.0000000000000007E-2</v>
      </c>
      <c r="I3045" s="1">
        <v>168000</v>
      </c>
      <c r="J3045" s="1">
        <v>12110</v>
      </c>
      <c r="K3045">
        <v>8</v>
      </c>
      <c r="L3045">
        <v>0.06</v>
      </c>
      <c r="M3045">
        <v>7.0000000000000007E-2</v>
      </c>
      <c r="N3045" s="1">
        <v>5000000</v>
      </c>
      <c r="O3045">
        <v>7.0000000000000007E-2</v>
      </c>
      <c r="P3045">
        <v>0.67</v>
      </c>
      <c r="Q3045">
        <v>0.01</v>
      </c>
    </row>
    <row r="3046" spans="1:17" x14ac:dyDescent="0.25">
      <c r="A3046">
        <v>731972</v>
      </c>
      <c r="B3046" t="s">
        <v>4358</v>
      </c>
      <c r="C3046">
        <v>0.8</v>
      </c>
      <c r="D3046">
        <v>0.01</v>
      </c>
      <c r="E3046">
        <v>0.8</v>
      </c>
      <c r="F3046">
        <v>0.84</v>
      </c>
      <c r="G3046">
        <v>0.8</v>
      </c>
      <c r="H3046">
        <v>0.81</v>
      </c>
      <c r="I3046" s="1">
        <v>110000</v>
      </c>
      <c r="J3046" s="1">
        <v>88900</v>
      </c>
      <c r="K3046">
        <v>4</v>
      </c>
      <c r="L3046">
        <v>0.78</v>
      </c>
      <c r="M3046">
        <v>0.79</v>
      </c>
      <c r="N3046" s="1">
        <v>5000000</v>
      </c>
      <c r="O3046">
        <v>0.8</v>
      </c>
      <c r="P3046">
        <v>1.8</v>
      </c>
      <c r="Q3046">
        <v>0.01</v>
      </c>
    </row>
    <row r="3047" spans="1:17" x14ac:dyDescent="0.25">
      <c r="A3047">
        <v>731973</v>
      </c>
      <c r="B3047" t="s">
        <v>4359</v>
      </c>
      <c r="C3047">
        <v>0.24</v>
      </c>
      <c r="D3047">
        <v>-0.04</v>
      </c>
      <c r="E3047">
        <v>0.26</v>
      </c>
      <c r="F3047">
        <v>0.26</v>
      </c>
      <c r="G3047">
        <v>0.24</v>
      </c>
      <c r="H3047">
        <v>0.26</v>
      </c>
      <c r="I3047" s="1">
        <v>40000</v>
      </c>
      <c r="J3047" s="1">
        <v>10200</v>
      </c>
      <c r="K3047">
        <v>4</v>
      </c>
      <c r="L3047">
        <v>0.24</v>
      </c>
      <c r="M3047">
        <v>0.25</v>
      </c>
      <c r="N3047" s="1">
        <v>10000000</v>
      </c>
      <c r="O3047">
        <v>0.24</v>
      </c>
      <c r="P3047">
        <v>1.36</v>
      </c>
      <c r="Q3047">
        <v>0.01</v>
      </c>
    </row>
    <row r="3048" spans="1:17" x14ac:dyDescent="0.25">
      <c r="A3048">
        <v>731974</v>
      </c>
      <c r="B3048" t="s">
        <v>4360</v>
      </c>
      <c r="C3048" t="s">
        <v>78</v>
      </c>
      <c r="D3048" t="s">
        <v>78</v>
      </c>
      <c r="E3048" t="s">
        <v>78</v>
      </c>
      <c r="F3048" t="s">
        <v>78</v>
      </c>
      <c r="G3048" t="s">
        <v>78</v>
      </c>
      <c r="H3048">
        <v>1.79</v>
      </c>
      <c r="I3048" s="1">
        <v>0</v>
      </c>
      <c r="J3048" s="1">
        <v>0</v>
      </c>
      <c r="K3048">
        <v>0</v>
      </c>
      <c r="L3048">
        <v>2.09</v>
      </c>
      <c r="M3048">
        <v>2.12</v>
      </c>
      <c r="N3048" s="1">
        <v>5000000</v>
      </c>
      <c r="O3048">
        <v>2.12</v>
      </c>
      <c r="P3048">
        <v>3.1</v>
      </c>
      <c r="Q3048">
        <v>1.1399999999999999</v>
      </c>
    </row>
    <row r="3049" spans="1:17" x14ac:dyDescent="0.25">
      <c r="A3049">
        <v>731975</v>
      </c>
      <c r="B3049" t="s">
        <v>4361</v>
      </c>
      <c r="C3049" t="s">
        <v>78</v>
      </c>
      <c r="D3049" t="s">
        <v>78</v>
      </c>
      <c r="E3049" t="s">
        <v>78</v>
      </c>
      <c r="F3049" t="s">
        <v>78</v>
      </c>
      <c r="G3049" t="s">
        <v>78</v>
      </c>
      <c r="H3049">
        <v>2.19</v>
      </c>
      <c r="I3049" s="1">
        <v>0</v>
      </c>
      <c r="J3049" s="1">
        <v>0</v>
      </c>
      <c r="K3049">
        <v>0</v>
      </c>
      <c r="L3049">
        <v>2.19</v>
      </c>
      <c r="M3049">
        <v>2.23</v>
      </c>
      <c r="N3049" s="1">
        <v>5000000</v>
      </c>
      <c r="O3049">
        <v>2.23</v>
      </c>
      <c r="P3049">
        <v>3.41</v>
      </c>
      <c r="Q3049">
        <v>1.05</v>
      </c>
    </row>
    <row r="3050" spans="1:17" x14ac:dyDescent="0.25">
      <c r="A3050">
        <v>731976</v>
      </c>
      <c r="B3050" t="s">
        <v>4362</v>
      </c>
      <c r="C3050" t="s">
        <v>78</v>
      </c>
      <c r="D3050" t="s">
        <v>78</v>
      </c>
      <c r="E3050" t="s">
        <v>78</v>
      </c>
      <c r="F3050" t="s">
        <v>78</v>
      </c>
      <c r="G3050" t="s">
        <v>78</v>
      </c>
      <c r="H3050">
        <v>0.22</v>
      </c>
      <c r="I3050" s="1">
        <v>0</v>
      </c>
      <c r="J3050" s="1">
        <v>0</v>
      </c>
      <c r="K3050">
        <v>0</v>
      </c>
      <c r="L3050">
        <v>0.21</v>
      </c>
      <c r="M3050">
        <v>0.22</v>
      </c>
      <c r="N3050" s="1">
        <v>5000000</v>
      </c>
      <c r="O3050">
        <v>0.22</v>
      </c>
      <c r="P3050">
        <v>0.71</v>
      </c>
      <c r="Q3050">
        <v>0.01</v>
      </c>
    </row>
    <row r="3051" spans="1:17" x14ac:dyDescent="0.25">
      <c r="A3051">
        <v>731977</v>
      </c>
      <c r="B3051" t="s">
        <v>4363</v>
      </c>
      <c r="C3051">
        <v>0.81</v>
      </c>
      <c r="D3051">
        <v>-0.12</v>
      </c>
      <c r="E3051">
        <v>0.81</v>
      </c>
      <c r="F3051">
        <v>0.81</v>
      </c>
      <c r="G3051">
        <v>0.81</v>
      </c>
      <c r="H3051">
        <v>0.81</v>
      </c>
      <c r="I3051" s="1">
        <v>34000</v>
      </c>
      <c r="J3051" s="1">
        <v>27540</v>
      </c>
      <c r="K3051">
        <v>2</v>
      </c>
      <c r="L3051">
        <v>0.81</v>
      </c>
      <c r="M3051">
        <v>0.84</v>
      </c>
      <c r="N3051" s="1">
        <v>5000000</v>
      </c>
      <c r="O3051">
        <v>0.81</v>
      </c>
      <c r="P3051">
        <v>2.66</v>
      </c>
      <c r="Q3051">
        <v>0.01</v>
      </c>
    </row>
    <row r="3052" spans="1:17" x14ac:dyDescent="0.25">
      <c r="A3052">
        <v>731978</v>
      </c>
      <c r="B3052" t="s">
        <v>4364</v>
      </c>
      <c r="C3052" t="s">
        <v>78</v>
      </c>
      <c r="D3052" t="s">
        <v>78</v>
      </c>
      <c r="E3052" t="s">
        <v>78</v>
      </c>
      <c r="F3052" t="s">
        <v>78</v>
      </c>
      <c r="G3052" t="s">
        <v>78</v>
      </c>
      <c r="H3052">
        <v>0.13</v>
      </c>
      <c r="I3052" s="1">
        <v>0</v>
      </c>
      <c r="J3052" s="1">
        <v>0</v>
      </c>
      <c r="K3052">
        <v>0</v>
      </c>
      <c r="L3052">
        <v>0.13</v>
      </c>
      <c r="M3052">
        <v>0.14000000000000001</v>
      </c>
      <c r="N3052" s="1">
        <v>5000000</v>
      </c>
      <c r="O3052">
        <v>0.14000000000000001</v>
      </c>
      <c r="P3052">
        <v>0.56000000000000005</v>
      </c>
      <c r="Q3052">
        <v>0.01</v>
      </c>
    </row>
    <row r="3053" spans="1:17" x14ac:dyDescent="0.25">
      <c r="A3053">
        <v>731979</v>
      </c>
      <c r="B3053" t="s">
        <v>4365</v>
      </c>
      <c r="C3053">
        <v>3.06</v>
      </c>
      <c r="D3053">
        <v>0.17</v>
      </c>
      <c r="E3053">
        <v>3.06</v>
      </c>
      <c r="F3053">
        <v>3.06</v>
      </c>
      <c r="G3053">
        <v>3.06</v>
      </c>
      <c r="H3053">
        <v>3.06</v>
      </c>
      <c r="I3053" s="1">
        <v>10000</v>
      </c>
      <c r="J3053" s="1">
        <v>30600</v>
      </c>
      <c r="K3053">
        <v>1</v>
      </c>
      <c r="L3053">
        <v>3.67</v>
      </c>
      <c r="M3053">
        <v>3.77</v>
      </c>
      <c r="N3053" s="1">
        <v>5000000</v>
      </c>
      <c r="O3053">
        <v>3.06</v>
      </c>
      <c r="P3053">
        <v>4.8600000000000003</v>
      </c>
      <c r="Q3053">
        <v>1.26</v>
      </c>
    </row>
    <row r="3054" spans="1:17" x14ac:dyDescent="0.25">
      <c r="A3054">
        <v>731980</v>
      </c>
      <c r="B3054" t="s">
        <v>4366</v>
      </c>
      <c r="C3054">
        <v>2.97</v>
      </c>
      <c r="D3054">
        <v>0.33</v>
      </c>
      <c r="E3054">
        <v>2.97</v>
      </c>
      <c r="F3054">
        <v>2.97</v>
      </c>
      <c r="G3054">
        <v>2.97</v>
      </c>
      <c r="H3054">
        <v>2.97</v>
      </c>
      <c r="I3054" s="1">
        <v>10000</v>
      </c>
      <c r="J3054" s="1">
        <v>29700</v>
      </c>
      <c r="K3054">
        <v>1</v>
      </c>
      <c r="L3054">
        <v>2.69</v>
      </c>
      <c r="M3054">
        <v>2.79</v>
      </c>
      <c r="N3054" s="1">
        <v>5270000</v>
      </c>
      <c r="O3054">
        <v>2.97</v>
      </c>
      <c r="P3054">
        <v>4.91</v>
      </c>
      <c r="Q3054">
        <v>1.01</v>
      </c>
    </row>
    <row r="3055" spans="1:17" x14ac:dyDescent="0.25">
      <c r="A3055">
        <v>731981</v>
      </c>
      <c r="B3055" t="s">
        <v>4367</v>
      </c>
      <c r="C3055">
        <v>2.06</v>
      </c>
      <c r="D3055">
        <v>0.32</v>
      </c>
      <c r="E3055">
        <v>1.64</v>
      </c>
      <c r="F3055">
        <v>2.06</v>
      </c>
      <c r="G3055">
        <v>1.64</v>
      </c>
      <c r="H3055">
        <v>1.82</v>
      </c>
      <c r="I3055" s="1">
        <v>602000</v>
      </c>
      <c r="J3055" s="1">
        <v>1093150</v>
      </c>
      <c r="K3055">
        <v>15</v>
      </c>
      <c r="L3055">
        <v>1.99</v>
      </c>
      <c r="M3055">
        <v>2.0099999999999998</v>
      </c>
      <c r="N3055" s="1">
        <v>5000000</v>
      </c>
      <c r="O3055">
        <v>2.06</v>
      </c>
      <c r="P3055">
        <v>3.73</v>
      </c>
      <c r="Q3055">
        <v>0.39</v>
      </c>
    </row>
    <row r="3056" spans="1:17" x14ac:dyDescent="0.25">
      <c r="A3056">
        <v>731982</v>
      </c>
      <c r="B3056" t="s">
        <v>4368</v>
      </c>
      <c r="C3056">
        <v>0.99</v>
      </c>
      <c r="D3056">
        <v>0.02</v>
      </c>
      <c r="E3056">
        <v>1.0900000000000001</v>
      </c>
      <c r="F3056">
        <v>1.0900000000000001</v>
      </c>
      <c r="G3056">
        <v>0.99</v>
      </c>
      <c r="H3056">
        <v>1.04</v>
      </c>
      <c r="I3056" s="1">
        <v>117000</v>
      </c>
      <c r="J3056" s="1">
        <v>121280</v>
      </c>
      <c r="K3056">
        <v>4</v>
      </c>
      <c r="L3056">
        <v>0.96</v>
      </c>
      <c r="M3056">
        <v>0.98</v>
      </c>
      <c r="N3056" s="1">
        <v>10000000</v>
      </c>
      <c r="O3056">
        <v>0.99</v>
      </c>
      <c r="P3056">
        <v>2.58</v>
      </c>
      <c r="Q3056">
        <v>0.01</v>
      </c>
    </row>
    <row r="3057" spans="1:17" x14ac:dyDescent="0.25">
      <c r="A3057">
        <v>731983</v>
      </c>
      <c r="B3057" t="s">
        <v>4369</v>
      </c>
      <c r="C3057" t="s">
        <v>78</v>
      </c>
      <c r="D3057" t="s">
        <v>78</v>
      </c>
      <c r="E3057" t="s">
        <v>78</v>
      </c>
      <c r="F3057" t="s">
        <v>78</v>
      </c>
      <c r="G3057" t="s">
        <v>78</v>
      </c>
      <c r="H3057">
        <v>2.16</v>
      </c>
      <c r="I3057" s="1">
        <v>0</v>
      </c>
      <c r="J3057" s="1">
        <v>0</v>
      </c>
      <c r="K3057">
        <v>0</v>
      </c>
      <c r="L3057">
        <v>2.1800000000000002</v>
      </c>
      <c r="M3057">
        <v>2.2799999999999998</v>
      </c>
      <c r="N3057" s="1">
        <v>10000000</v>
      </c>
      <c r="O3057">
        <v>2.25</v>
      </c>
      <c r="P3057">
        <v>2.98</v>
      </c>
      <c r="Q3057">
        <v>1.52</v>
      </c>
    </row>
    <row r="3058" spans="1:17" x14ac:dyDescent="0.25">
      <c r="A3058">
        <v>731984</v>
      </c>
      <c r="B3058" t="s">
        <v>4370</v>
      </c>
      <c r="C3058">
        <v>0.84</v>
      </c>
      <c r="D3058">
        <v>-0.01</v>
      </c>
      <c r="E3058">
        <v>0.88</v>
      </c>
      <c r="F3058">
        <v>0.89</v>
      </c>
      <c r="G3058">
        <v>0.82</v>
      </c>
      <c r="H3058">
        <v>0.85</v>
      </c>
      <c r="I3058" s="1">
        <v>84000</v>
      </c>
      <c r="J3058" s="1">
        <v>71410</v>
      </c>
      <c r="K3058">
        <v>5</v>
      </c>
      <c r="L3058">
        <v>0.82</v>
      </c>
      <c r="M3058">
        <v>0.84</v>
      </c>
      <c r="N3058" s="1">
        <v>10000000</v>
      </c>
      <c r="O3058">
        <v>0.84</v>
      </c>
      <c r="P3058">
        <v>1.54</v>
      </c>
      <c r="Q3058">
        <v>0.14000000000000001</v>
      </c>
    </row>
    <row r="3059" spans="1:17" x14ac:dyDescent="0.25">
      <c r="A3059">
        <v>731985</v>
      </c>
      <c r="B3059" t="s">
        <v>4371</v>
      </c>
      <c r="C3059">
        <v>0.56000000000000005</v>
      </c>
      <c r="D3059">
        <v>0.02</v>
      </c>
      <c r="E3059">
        <v>0.56000000000000005</v>
      </c>
      <c r="F3059">
        <v>0.56000000000000005</v>
      </c>
      <c r="G3059">
        <v>0.56000000000000005</v>
      </c>
      <c r="H3059">
        <v>0.56000000000000005</v>
      </c>
      <c r="I3059" s="1">
        <v>10000</v>
      </c>
      <c r="J3059" s="1">
        <v>5600</v>
      </c>
      <c r="K3059">
        <v>1</v>
      </c>
      <c r="L3059">
        <v>0.55000000000000004</v>
      </c>
      <c r="M3059">
        <v>0.56999999999999995</v>
      </c>
      <c r="N3059" s="1">
        <v>5000000</v>
      </c>
      <c r="O3059">
        <v>0.56000000000000005</v>
      </c>
      <c r="P3059">
        <v>1.31</v>
      </c>
      <c r="Q3059">
        <v>0.01</v>
      </c>
    </row>
    <row r="3060" spans="1:17" x14ac:dyDescent="0.25">
      <c r="A3060">
        <v>731986</v>
      </c>
      <c r="B3060" t="s">
        <v>4372</v>
      </c>
      <c r="C3060">
        <v>0.83</v>
      </c>
      <c r="D3060">
        <v>0.06</v>
      </c>
      <c r="E3060">
        <v>0.83</v>
      </c>
      <c r="F3060">
        <v>0.83</v>
      </c>
      <c r="G3060">
        <v>0.83</v>
      </c>
      <c r="H3060">
        <v>0.83</v>
      </c>
      <c r="I3060" s="1">
        <v>1000</v>
      </c>
      <c r="J3060" s="1">
        <v>830</v>
      </c>
      <c r="K3060">
        <v>1</v>
      </c>
      <c r="L3060">
        <v>0.79</v>
      </c>
      <c r="M3060">
        <v>0.8</v>
      </c>
      <c r="N3060" s="1">
        <v>10000000</v>
      </c>
      <c r="O3060">
        <v>0.83</v>
      </c>
      <c r="P3060">
        <v>2.4</v>
      </c>
      <c r="Q3060">
        <v>0.01</v>
      </c>
    </row>
    <row r="3061" spans="1:17" x14ac:dyDescent="0.25">
      <c r="A3061">
        <v>731987</v>
      </c>
      <c r="B3061" t="s">
        <v>4373</v>
      </c>
      <c r="C3061">
        <v>0.8</v>
      </c>
      <c r="D3061">
        <v>-0.02</v>
      </c>
      <c r="E3061">
        <v>0.82</v>
      </c>
      <c r="F3061">
        <v>0.83</v>
      </c>
      <c r="G3061">
        <v>0.79</v>
      </c>
      <c r="H3061">
        <v>0.82</v>
      </c>
      <c r="I3061" s="1">
        <v>827000</v>
      </c>
      <c r="J3061" s="1">
        <v>675000</v>
      </c>
      <c r="K3061">
        <v>24</v>
      </c>
      <c r="L3061">
        <v>0.79</v>
      </c>
      <c r="M3061">
        <v>0.8</v>
      </c>
      <c r="N3061" s="1">
        <v>10000000</v>
      </c>
      <c r="O3061">
        <v>0.8</v>
      </c>
      <c r="P3061">
        <v>1.47</v>
      </c>
      <c r="Q3061">
        <v>0.13</v>
      </c>
    </row>
    <row r="3062" spans="1:17" x14ac:dyDescent="0.25">
      <c r="A3062">
        <v>731988</v>
      </c>
      <c r="B3062" t="s">
        <v>4374</v>
      </c>
      <c r="C3062" t="s">
        <v>78</v>
      </c>
      <c r="D3062" t="s">
        <v>78</v>
      </c>
      <c r="E3062" t="s">
        <v>78</v>
      </c>
      <c r="F3062" t="s">
        <v>78</v>
      </c>
      <c r="G3062" t="s">
        <v>78</v>
      </c>
      <c r="H3062">
        <v>0.19</v>
      </c>
      <c r="I3062" s="1">
        <v>0</v>
      </c>
      <c r="J3062" s="1">
        <v>0</v>
      </c>
      <c r="K3062">
        <v>0</v>
      </c>
      <c r="L3062">
        <v>0.1</v>
      </c>
      <c r="M3062">
        <v>0.12</v>
      </c>
      <c r="N3062" s="1">
        <v>5000000</v>
      </c>
      <c r="O3062">
        <v>0.12</v>
      </c>
      <c r="P3062">
        <v>0.63</v>
      </c>
      <c r="Q3062">
        <v>0.01</v>
      </c>
    </row>
    <row r="3063" spans="1:17" x14ac:dyDescent="0.25">
      <c r="A3063">
        <v>731989</v>
      </c>
      <c r="B3063" t="s">
        <v>4375</v>
      </c>
      <c r="C3063" t="s">
        <v>78</v>
      </c>
      <c r="D3063" t="s">
        <v>78</v>
      </c>
      <c r="E3063" t="s">
        <v>78</v>
      </c>
      <c r="F3063" t="s">
        <v>78</v>
      </c>
      <c r="G3063" t="s">
        <v>78</v>
      </c>
      <c r="H3063">
        <v>0.38</v>
      </c>
      <c r="I3063" s="1">
        <v>0</v>
      </c>
      <c r="J3063" s="1">
        <v>0</v>
      </c>
      <c r="K3063">
        <v>0</v>
      </c>
      <c r="L3063">
        <v>0.32</v>
      </c>
      <c r="M3063">
        <v>0.33</v>
      </c>
      <c r="N3063" s="1">
        <v>10000000</v>
      </c>
      <c r="O3063">
        <v>0.33</v>
      </c>
      <c r="P3063">
        <v>1.07</v>
      </c>
      <c r="Q3063">
        <v>0.01</v>
      </c>
    </row>
    <row r="3064" spans="1:17" x14ac:dyDescent="0.25">
      <c r="A3064">
        <v>731990</v>
      </c>
      <c r="B3064" t="s">
        <v>4376</v>
      </c>
      <c r="C3064">
        <v>1.1399999999999999</v>
      </c>
      <c r="D3064">
        <v>-0.1</v>
      </c>
      <c r="E3064">
        <v>1.2</v>
      </c>
      <c r="F3064">
        <v>1.2</v>
      </c>
      <c r="G3064">
        <v>1.1399999999999999</v>
      </c>
      <c r="H3064">
        <v>1.1499999999999999</v>
      </c>
      <c r="I3064" s="1">
        <v>50000</v>
      </c>
      <c r="J3064" s="1">
        <v>57450</v>
      </c>
      <c r="K3064">
        <v>5</v>
      </c>
      <c r="L3064">
        <v>1.1399999999999999</v>
      </c>
      <c r="M3064">
        <v>1.24</v>
      </c>
      <c r="N3064" s="1">
        <v>5000000</v>
      </c>
      <c r="O3064">
        <v>1.1399999999999999</v>
      </c>
      <c r="P3064">
        <v>2.4</v>
      </c>
      <c r="Q3064">
        <v>0.01</v>
      </c>
    </row>
    <row r="3065" spans="1:17" x14ac:dyDescent="0.25">
      <c r="A3065">
        <v>731991</v>
      </c>
      <c r="B3065" t="s">
        <v>4377</v>
      </c>
      <c r="C3065">
        <v>1.95</v>
      </c>
      <c r="D3065">
        <v>-0.05</v>
      </c>
      <c r="E3065">
        <v>2.13</v>
      </c>
      <c r="F3065">
        <v>2.13</v>
      </c>
      <c r="G3065">
        <v>1.95</v>
      </c>
      <c r="H3065">
        <v>2.06</v>
      </c>
      <c r="I3065" s="1">
        <v>51000</v>
      </c>
      <c r="J3065" s="1">
        <v>105230</v>
      </c>
      <c r="K3065">
        <v>5</v>
      </c>
      <c r="L3065">
        <v>1.96</v>
      </c>
      <c r="M3065">
        <v>1.97</v>
      </c>
      <c r="N3065" s="1">
        <v>5000000</v>
      </c>
      <c r="O3065">
        <v>1.95</v>
      </c>
      <c r="P3065">
        <v>2.93</v>
      </c>
      <c r="Q3065">
        <v>0.97</v>
      </c>
    </row>
    <row r="3066" spans="1:17" x14ac:dyDescent="0.25">
      <c r="A3066">
        <v>731992</v>
      </c>
      <c r="B3066" t="s">
        <v>4378</v>
      </c>
      <c r="C3066">
        <v>0.12</v>
      </c>
      <c r="D3066">
        <v>0</v>
      </c>
      <c r="E3066">
        <v>0.12</v>
      </c>
      <c r="F3066">
        <v>0.12</v>
      </c>
      <c r="G3066">
        <v>0.12</v>
      </c>
      <c r="H3066">
        <v>0.12</v>
      </c>
      <c r="I3066" s="1">
        <v>25000</v>
      </c>
      <c r="J3066" s="1">
        <v>3000</v>
      </c>
      <c r="K3066">
        <v>1</v>
      </c>
      <c r="L3066">
        <v>0.12</v>
      </c>
      <c r="M3066">
        <v>0.13</v>
      </c>
      <c r="N3066" s="1">
        <v>10000000</v>
      </c>
      <c r="O3066">
        <v>0.12</v>
      </c>
      <c r="P3066">
        <v>0.95</v>
      </c>
      <c r="Q3066">
        <v>0.01</v>
      </c>
    </row>
    <row r="3067" spans="1:17" x14ac:dyDescent="0.25">
      <c r="A3067">
        <v>731993</v>
      </c>
      <c r="B3067" t="s">
        <v>4379</v>
      </c>
      <c r="C3067" t="s">
        <v>78</v>
      </c>
      <c r="D3067" t="s">
        <v>78</v>
      </c>
      <c r="E3067" t="s">
        <v>78</v>
      </c>
      <c r="F3067" t="s">
        <v>78</v>
      </c>
      <c r="G3067" t="s">
        <v>78</v>
      </c>
      <c r="H3067">
        <v>0.24</v>
      </c>
      <c r="I3067" s="1">
        <v>0</v>
      </c>
      <c r="J3067" s="1">
        <v>0</v>
      </c>
      <c r="K3067">
        <v>0</v>
      </c>
      <c r="L3067">
        <v>0.21</v>
      </c>
      <c r="M3067">
        <v>0.22</v>
      </c>
      <c r="N3067" s="1">
        <v>10000000</v>
      </c>
      <c r="O3067">
        <v>0.22</v>
      </c>
      <c r="P3067">
        <v>0.6</v>
      </c>
      <c r="Q3067">
        <v>0.01</v>
      </c>
    </row>
    <row r="3068" spans="1:17" x14ac:dyDescent="0.25">
      <c r="A3068">
        <v>731994</v>
      </c>
      <c r="B3068" t="s">
        <v>4380</v>
      </c>
      <c r="C3068">
        <v>0.88</v>
      </c>
      <c r="D3068">
        <v>0.02</v>
      </c>
      <c r="E3068">
        <v>0.94</v>
      </c>
      <c r="F3068">
        <v>0.94</v>
      </c>
      <c r="G3068">
        <v>0.88</v>
      </c>
      <c r="H3068">
        <v>0.91</v>
      </c>
      <c r="I3068" s="1">
        <v>4000</v>
      </c>
      <c r="J3068" s="1">
        <v>3640</v>
      </c>
      <c r="K3068">
        <v>2</v>
      </c>
      <c r="L3068">
        <v>0.81</v>
      </c>
      <c r="M3068">
        <v>0.87</v>
      </c>
      <c r="N3068" s="1">
        <v>10000000</v>
      </c>
      <c r="O3068">
        <v>0.88</v>
      </c>
      <c r="P3068">
        <v>1.31</v>
      </c>
      <c r="Q3068">
        <v>0.45</v>
      </c>
    </row>
    <row r="3069" spans="1:17" x14ac:dyDescent="0.25">
      <c r="A3069">
        <v>731995</v>
      </c>
      <c r="B3069" t="s">
        <v>4381</v>
      </c>
      <c r="C3069">
        <v>0.25</v>
      </c>
      <c r="D3069">
        <v>-0.01</v>
      </c>
      <c r="E3069">
        <v>0.25</v>
      </c>
      <c r="F3069">
        <v>0.25</v>
      </c>
      <c r="G3069">
        <v>0.25</v>
      </c>
      <c r="H3069">
        <v>0.25</v>
      </c>
      <c r="I3069" s="1">
        <v>15000</v>
      </c>
      <c r="J3069" s="1">
        <v>3750</v>
      </c>
      <c r="K3069">
        <v>1</v>
      </c>
      <c r="L3069">
        <v>0.22</v>
      </c>
      <c r="M3069">
        <v>0.23</v>
      </c>
      <c r="N3069" s="1">
        <v>10000000</v>
      </c>
      <c r="O3069">
        <v>0.25</v>
      </c>
      <c r="P3069">
        <v>0.85</v>
      </c>
      <c r="Q3069">
        <v>0.01</v>
      </c>
    </row>
    <row r="3070" spans="1:17" x14ac:dyDescent="0.25">
      <c r="A3070">
        <v>731996</v>
      </c>
      <c r="B3070" t="s">
        <v>4382</v>
      </c>
      <c r="C3070">
        <v>0.27</v>
      </c>
      <c r="D3070">
        <v>0</v>
      </c>
      <c r="E3070">
        <v>0.27</v>
      </c>
      <c r="F3070">
        <v>0.27</v>
      </c>
      <c r="G3070">
        <v>0.27</v>
      </c>
      <c r="H3070">
        <v>0.27</v>
      </c>
      <c r="I3070" s="1">
        <v>205000</v>
      </c>
      <c r="J3070" s="1">
        <v>55350</v>
      </c>
      <c r="K3070">
        <v>3</v>
      </c>
      <c r="L3070">
        <v>0.28999999999999998</v>
      </c>
      <c r="M3070">
        <v>0.3</v>
      </c>
      <c r="N3070" s="1">
        <v>5000000</v>
      </c>
      <c r="O3070">
        <v>0.27</v>
      </c>
      <c r="P3070">
        <v>1.26</v>
      </c>
      <c r="Q3070">
        <v>0.01</v>
      </c>
    </row>
    <row r="3071" spans="1:17" x14ac:dyDescent="0.25">
      <c r="A3071">
        <v>731997</v>
      </c>
      <c r="B3071" t="s">
        <v>4383</v>
      </c>
      <c r="C3071">
        <v>0.48</v>
      </c>
      <c r="D3071">
        <v>0.04</v>
      </c>
      <c r="E3071">
        <v>0.46</v>
      </c>
      <c r="F3071">
        <v>0.48</v>
      </c>
      <c r="G3071">
        <v>0.45</v>
      </c>
      <c r="H3071">
        <v>0.47</v>
      </c>
      <c r="I3071" s="1">
        <v>250000</v>
      </c>
      <c r="J3071" s="1">
        <v>117600</v>
      </c>
      <c r="K3071">
        <v>5</v>
      </c>
      <c r="L3071">
        <v>0.49</v>
      </c>
      <c r="M3071">
        <v>0.5</v>
      </c>
      <c r="N3071" s="1">
        <v>5013000</v>
      </c>
      <c r="O3071">
        <v>0.48</v>
      </c>
      <c r="P3071">
        <v>1.26</v>
      </c>
      <c r="Q3071">
        <v>0.01</v>
      </c>
    </row>
    <row r="3072" spans="1:17" x14ac:dyDescent="0.25">
      <c r="A3072">
        <v>731998</v>
      </c>
      <c r="B3072" t="s">
        <v>4384</v>
      </c>
      <c r="C3072">
        <v>0.53</v>
      </c>
      <c r="D3072">
        <v>-0.06</v>
      </c>
      <c r="E3072">
        <v>0.61</v>
      </c>
      <c r="F3072">
        <v>0.63</v>
      </c>
      <c r="G3072">
        <v>0.53</v>
      </c>
      <c r="H3072">
        <v>0.6</v>
      </c>
      <c r="I3072" s="1">
        <v>526000</v>
      </c>
      <c r="J3072" s="1">
        <v>316050</v>
      </c>
      <c r="K3072">
        <v>12</v>
      </c>
      <c r="L3072">
        <v>0.49</v>
      </c>
      <c r="M3072">
        <v>0.5</v>
      </c>
      <c r="N3072" s="1">
        <v>5000000</v>
      </c>
      <c r="O3072">
        <v>0.53</v>
      </c>
      <c r="P3072">
        <v>1.43</v>
      </c>
      <c r="Q3072">
        <v>0.01</v>
      </c>
    </row>
    <row r="3073" spans="1:17" x14ac:dyDescent="0.25">
      <c r="A3073">
        <v>731999</v>
      </c>
      <c r="B3073" t="s">
        <v>4385</v>
      </c>
      <c r="C3073">
        <v>1.46</v>
      </c>
      <c r="D3073">
        <v>-0.04</v>
      </c>
      <c r="E3073">
        <v>1.56</v>
      </c>
      <c r="F3073">
        <v>1.57</v>
      </c>
      <c r="G3073">
        <v>1.45</v>
      </c>
      <c r="H3073">
        <v>1.51</v>
      </c>
      <c r="I3073" s="1">
        <v>70000</v>
      </c>
      <c r="J3073" s="1">
        <v>105980</v>
      </c>
      <c r="K3073">
        <v>6</v>
      </c>
      <c r="L3073">
        <v>1.42</v>
      </c>
      <c r="M3073">
        <v>1.44</v>
      </c>
      <c r="N3073" s="1">
        <v>5000000</v>
      </c>
      <c r="O3073">
        <v>1.46</v>
      </c>
      <c r="P3073">
        <v>2.92</v>
      </c>
      <c r="Q3073">
        <v>0.01</v>
      </c>
    </row>
    <row r="3074" spans="1:17" x14ac:dyDescent="0.25">
      <c r="A3074">
        <v>732000</v>
      </c>
      <c r="B3074" t="s">
        <v>4386</v>
      </c>
      <c r="C3074" t="s">
        <v>78</v>
      </c>
      <c r="D3074" t="s">
        <v>78</v>
      </c>
      <c r="E3074" t="s">
        <v>78</v>
      </c>
      <c r="F3074" t="s">
        <v>78</v>
      </c>
      <c r="G3074" t="s">
        <v>78</v>
      </c>
      <c r="H3074">
        <v>2.65</v>
      </c>
      <c r="I3074" s="1">
        <v>0</v>
      </c>
      <c r="J3074" s="1">
        <v>0</v>
      </c>
      <c r="K3074">
        <v>0</v>
      </c>
      <c r="L3074">
        <v>2.6</v>
      </c>
      <c r="M3074">
        <v>2.68</v>
      </c>
      <c r="N3074" s="1">
        <v>5000000</v>
      </c>
      <c r="O3074">
        <v>2.65</v>
      </c>
      <c r="P3074">
        <v>4.55</v>
      </c>
      <c r="Q3074">
        <v>0.75</v>
      </c>
    </row>
    <row r="3075" spans="1:17" x14ac:dyDescent="0.25">
      <c r="A3075">
        <v>732001</v>
      </c>
      <c r="B3075" t="s">
        <v>4387</v>
      </c>
      <c r="C3075">
        <v>3.9</v>
      </c>
      <c r="D3075">
        <v>0.14000000000000001</v>
      </c>
      <c r="E3075">
        <v>3.9</v>
      </c>
      <c r="F3075">
        <v>3.9</v>
      </c>
      <c r="G3075">
        <v>3.9</v>
      </c>
      <c r="H3075">
        <v>3.9</v>
      </c>
      <c r="I3075" s="1">
        <v>10000</v>
      </c>
      <c r="J3075" s="1">
        <v>39000</v>
      </c>
      <c r="K3075">
        <v>1</v>
      </c>
      <c r="L3075">
        <v>3.94</v>
      </c>
      <c r="M3075">
        <v>4.03</v>
      </c>
      <c r="N3075" s="1">
        <v>10000000</v>
      </c>
      <c r="O3075">
        <v>3.9</v>
      </c>
      <c r="P3075">
        <v>5.6</v>
      </c>
      <c r="Q3075">
        <v>2.19</v>
      </c>
    </row>
    <row r="3076" spans="1:17" x14ac:dyDescent="0.25">
      <c r="A3076">
        <v>732002</v>
      </c>
      <c r="B3076" t="s">
        <v>4388</v>
      </c>
      <c r="C3076">
        <v>0.46</v>
      </c>
      <c r="D3076">
        <v>-0.04</v>
      </c>
      <c r="E3076">
        <v>0.53</v>
      </c>
      <c r="F3076">
        <v>0.55000000000000004</v>
      </c>
      <c r="G3076">
        <v>0.45</v>
      </c>
      <c r="H3076">
        <v>0.51</v>
      </c>
      <c r="I3076" s="1">
        <v>130000</v>
      </c>
      <c r="J3076" s="1">
        <v>65850</v>
      </c>
      <c r="K3076">
        <v>21</v>
      </c>
      <c r="L3076">
        <v>0.43</v>
      </c>
      <c r="M3076">
        <v>0.44</v>
      </c>
      <c r="N3076" s="1">
        <v>10000000</v>
      </c>
      <c r="O3076">
        <v>0.46</v>
      </c>
      <c r="P3076">
        <v>0.95</v>
      </c>
      <c r="Q3076">
        <v>0.01</v>
      </c>
    </row>
    <row r="3077" spans="1:17" x14ac:dyDescent="0.25">
      <c r="A3077">
        <v>732003</v>
      </c>
      <c r="B3077" t="s">
        <v>4389</v>
      </c>
      <c r="C3077">
        <v>1.6</v>
      </c>
      <c r="D3077">
        <v>0</v>
      </c>
      <c r="E3077">
        <v>1.68</v>
      </c>
      <c r="F3077">
        <v>1.68</v>
      </c>
      <c r="G3077">
        <v>1.6</v>
      </c>
      <c r="H3077">
        <v>1.66</v>
      </c>
      <c r="I3077" s="1">
        <v>426000</v>
      </c>
      <c r="J3077" s="1">
        <v>708880</v>
      </c>
      <c r="K3077">
        <v>6</v>
      </c>
      <c r="L3077">
        <v>1.54</v>
      </c>
      <c r="M3077">
        <v>1.57</v>
      </c>
      <c r="N3077" s="1">
        <v>13000000</v>
      </c>
      <c r="O3077">
        <v>1.6</v>
      </c>
      <c r="P3077">
        <v>2.58</v>
      </c>
      <c r="Q3077">
        <v>0.62</v>
      </c>
    </row>
    <row r="3078" spans="1:17" x14ac:dyDescent="0.25">
      <c r="A3078">
        <v>732004</v>
      </c>
      <c r="B3078" t="s">
        <v>4390</v>
      </c>
      <c r="C3078">
        <v>1.57</v>
      </c>
      <c r="D3078">
        <v>0</v>
      </c>
      <c r="E3078">
        <v>1.65</v>
      </c>
      <c r="F3078">
        <v>1.65</v>
      </c>
      <c r="G3078">
        <v>1.55</v>
      </c>
      <c r="H3078">
        <v>1.61</v>
      </c>
      <c r="I3078" s="1">
        <v>109000</v>
      </c>
      <c r="J3078" s="1">
        <v>175890</v>
      </c>
      <c r="K3078">
        <v>11</v>
      </c>
      <c r="L3078">
        <v>1.51</v>
      </c>
      <c r="M3078">
        <v>1.53</v>
      </c>
      <c r="N3078" s="1">
        <v>13000000</v>
      </c>
      <c r="O3078">
        <v>1.57</v>
      </c>
      <c r="P3078">
        <v>2.36</v>
      </c>
      <c r="Q3078">
        <v>0.78</v>
      </c>
    </row>
    <row r="3079" spans="1:17" x14ac:dyDescent="0.25">
      <c r="A3079">
        <v>732005</v>
      </c>
      <c r="B3079" t="s">
        <v>4391</v>
      </c>
      <c r="C3079">
        <v>0.99</v>
      </c>
      <c r="D3079">
        <v>-7.0000000000000007E-2</v>
      </c>
      <c r="E3079">
        <v>0.98</v>
      </c>
      <c r="F3079">
        <v>1</v>
      </c>
      <c r="G3079">
        <v>0.98</v>
      </c>
      <c r="H3079">
        <v>0.98</v>
      </c>
      <c r="I3079" s="1">
        <v>426000</v>
      </c>
      <c r="J3079" s="1">
        <v>419020</v>
      </c>
      <c r="K3079">
        <v>5</v>
      </c>
      <c r="L3079">
        <v>0.97</v>
      </c>
      <c r="M3079">
        <v>0.99</v>
      </c>
      <c r="N3079" s="1">
        <v>10000000</v>
      </c>
      <c r="O3079">
        <v>0.99</v>
      </c>
      <c r="P3079">
        <v>1.74</v>
      </c>
      <c r="Q3079">
        <v>0.24</v>
      </c>
    </row>
    <row r="3080" spans="1:17" x14ac:dyDescent="0.25">
      <c r="A3080">
        <v>732006</v>
      </c>
      <c r="B3080" t="s">
        <v>4392</v>
      </c>
      <c r="C3080" t="s">
        <v>78</v>
      </c>
      <c r="D3080" t="s">
        <v>78</v>
      </c>
      <c r="E3080" t="s">
        <v>78</v>
      </c>
      <c r="F3080" t="s">
        <v>78</v>
      </c>
      <c r="G3080" t="s">
        <v>78</v>
      </c>
      <c r="H3080">
        <v>3.01</v>
      </c>
      <c r="I3080" s="1">
        <v>0</v>
      </c>
      <c r="J3080" s="1">
        <v>0</v>
      </c>
      <c r="K3080">
        <v>0</v>
      </c>
      <c r="L3080">
        <v>3.12</v>
      </c>
      <c r="M3080">
        <v>0</v>
      </c>
      <c r="N3080" s="1">
        <v>10000000</v>
      </c>
      <c r="O3080">
        <v>3.12</v>
      </c>
      <c r="P3080">
        <v>4.26</v>
      </c>
      <c r="Q3080">
        <v>1.98</v>
      </c>
    </row>
    <row r="3081" spans="1:17" x14ac:dyDescent="0.25">
      <c r="A3081">
        <v>732007</v>
      </c>
      <c r="B3081" t="s">
        <v>4393</v>
      </c>
      <c r="C3081">
        <v>1.03</v>
      </c>
      <c r="D3081">
        <v>0.03</v>
      </c>
      <c r="E3081">
        <v>1</v>
      </c>
      <c r="F3081">
        <v>1.1299999999999999</v>
      </c>
      <c r="G3081">
        <v>0.95</v>
      </c>
      <c r="H3081">
        <v>1.05</v>
      </c>
      <c r="I3081" s="1">
        <v>252000</v>
      </c>
      <c r="J3081" s="1">
        <v>264210</v>
      </c>
      <c r="K3081">
        <v>23</v>
      </c>
      <c r="L3081">
        <v>0.98</v>
      </c>
      <c r="M3081">
        <v>1</v>
      </c>
      <c r="N3081" s="1">
        <v>10000000</v>
      </c>
      <c r="O3081">
        <v>1.03</v>
      </c>
      <c r="P3081">
        <v>2.19</v>
      </c>
      <c r="Q3081">
        <v>0.01</v>
      </c>
    </row>
    <row r="3082" spans="1:17" x14ac:dyDescent="0.25">
      <c r="A3082">
        <v>732008</v>
      </c>
      <c r="B3082" t="s">
        <v>4394</v>
      </c>
      <c r="C3082" t="s">
        <v>78</v>
      </c>
      <c r="D3082" t="s">
        <v>78</v>
      </c>
      <c r="E3082" t="s">
        <v>78</v>
      </c>
      <c r="F3082" t="s">
        <v>78</v>
      </c>
      <c r="G3082" t="s">
        <v>78</v>
      </c>
      <c r="H3082">
        <v>2.04</v>
      </c>
      <c r="I3082" s="1">
        <v>0</v>
      </c>
      <c r="J3082" s="1">
        <v>0</v>
      </c>
      <c r="K3082">
        <v>0</v>
      </c>
      <c r="L3082">
        <v>1.91</v>
      </c>
      <c r="M3082">
        <v>1.95</v>
      </c>
      <c r="N3082" s="1">
        <v>10000000</v>
      </c>
      <c r="O3082">
        <v>1.95</v>
      </c>
      <c r="P3082">
        <v>2.7</v>
      </c>
      <c r="Q3082">
        <v>1.2</v>
      </c>
    </row>
    <row r="3083" spans="1:17" x14ac:dyDescent="0.25">
      <c r="A3083">
        <v>732009</v>
      </c>
      <c r="B3083" t="s">
        <v>4395</v>
      </c>
      <c r="C3083" t="s">
        <v>78</v>
      </c>
      <c r="D3083" t="s">
        <v>78</v>
      </c>
      <c r="E3083" t="s">
        <v>78</v>
      </c>
      <c r="F3083" t="s">
        <v>78</v>
      </c>
      <c r="G3083" t="s">
        <v>78</v>
      </c>
      <c r="H3083">
        <v>0.12</v>
      </c>
      <c r="I3083" s="1">
        <v>0</v>
      </c>
      <c r="J3083" s="1">
        <v>0</v>
      </c>
      <c r="K3083">
        <v>0</v>
      </c>
      <c r="L3083">
        <v>0.12</v>
      </c>
      <c r="M3083">
        <v>0.13</v>
      </c>
      <c r="N3083" s="1">
        <v>5000000</v>
      </c>
      <c r="O3083">
        <v>0.12</v>
      </c>
      <c r="P3083">
        <v>1.0900000000000001</v>
      </c>
      <c r="Q3083">
        <v>0.01</v>
      </c>
    </row>
    <row r="3084" spans="1:17" x14ac:dyDescent="0.25">
      <c r="A3084">
        <v>732010</v>
      </c>
      <c r="B3084" t="s">
        <v>4396</v>
      </c>
      <c r="C3084">
        <v>1.01</v>
      </c>
      <c r="D3084">
        <v>-0.12</v>
      </c>
      <c r="E3084">
        <v>1.2</v>
      </c>
      <c r="F3084">
        <v>1.22</v>
      </c>
      <c r="G3084">
        <v>0.99</v>
      </c>
      <c r="H3084">
        <v>1.1399999999999999</v>
      </c>
      <c r="I3084" s="1">
        <v>636000</v>
      </c>
      <c r="J3084" s="1">
        <v>725620</v>
      </c>
      <c r="K3084">
        <v>23</v>
      </c>
      <c r="L3084">
        <v>1.01</v>
      </c>
      <c r="M3084">
        <v>1.02</v>
      </c>
      <c r="N3084" s="1">
        <v>10000000</v>
      </c>
      <c r="O3084">
        <v>1.01</v>
      </c>
      <c r="P3084">
        <v>1.97</v>
      </c>
      <c r="Q3084">
        <v>0.05</v>
      </c>
    </row>
    <row r="3085" spans="1:17" x14ac:dyDescent="0.25">
      <c r="A3085">
        <v>732011</v>
      </c>
      <c r="B3085" t="s">
        <v>4397</v>
      </c>
      <c r="C3085">
        <v>7.0000000000000007E-2</v>
      </c>
      <c r="D3085">
        <v>-0.01</v>
      </c>
      <c r="E3085">
        <v>7.0000000000000007E-2</v>
      </c>
      <c r="F3085">
        <v>7.0000000000000007E-2</v>
      </c>
      <c r="G3085">
        <v>7.0000000000000007E-2</v>
      </c>
      <c r="H3085">
        <v>7.0000000000000007E-2</v>
      </c>
      <c r="I3085" s="1">
        <v>510000</v>
      </c>
      <c r="J3085" s="1">
        <v>35700</v>
      </c>
      <c r="K3085">
        <v>4</v>
      </c>
      <c r="L3085">
        <v>0.06</v>
      </c>
      <c r="M3085">
        <v>7.0000000000000007E-2</v>
      </c>
      <c r="N3085" s="1">
        <v>10000000</v>
      </c>
      <c r="O3085">
        <v>7.0000000000000007E-2</v>
      </c>
      <c r="P3085">
        <v>0.5</v>
      </c>
      <c r="Q3085">
        <v>0.01</v>
      </c>
    </row>
    <row r="3086" spans="1:17" x14ac:dyDescent="0.25">
      <c r="A3086">
        <v>732012</v>
      </c>
      <c r="B3086" t="s">
        <v>4398</v>
      </c>
      <c r="C3086">
        <v>0.38</v>
      </c>
      <c r="D3086">
        <v>-7.0000000000000007E-2</v>
      </c>
      <c r="E3086">
        <v>0.43</v>
      </c>
      <c r="F3086">
        <v>0.43</v>
      </c>
      <c r="G3086">
        <v>0.38</v>
      </c>
      <c r="H3086">
        <v>0.43</v>
      </c>
      <c r="I3086" s="1">
        <v>167000</v>
      </c>
      <c r="J3086" s="1">
        <v>71360</v>
      </c>
      <c r="K3086">
        <v>8</v>
      </c>
      <c r="L3086">
        <v>0.38</v>
      </c>
      <c r="M3086">
        <v>0.41</v>
      </c>
      <c r="N3086" s="1">
        <v>10000000</v>
      </c>
      <c r="O3086">
        <v>0.38</v>
      </c>
      <c r="P3086">
        <v>1.18</v>
      </c>
      <c r="Q3086">
        <v>0.01</v>
      </c>
    </row>
    <row r="3087" spans="1:17" x14ac:dyDescent="0.25">
      <c r="A3087">
        <v>732013</v>
      </c>
      <c r="B3087" t="s">
        <v>4399</v>
      </c>
      <c r="C3087">
        <v>1.5</v>
      </c>
      <c r="D3087">
        <v>0.13</v>
      </c>
      <c r="E3087">
        <v>1.42</v>
      </c>
      <c r="F3087">
        <v>1.5</v>
      </c>
      <c r="G3087">
        <v>1.41</v>
      </c>
      <c r="H3087">
        <v>1.46</v>
      </c>
      <c r="I3087" s="1">
        <v>183000</v>
      </c>
      <c r="J3087" s="1">
        <v>266530</v>
      </c>
      <c r="K3087">
        <v>10</v>
      </c>
      <c r="L3087">
        <v>1.46</v>
      </c>
      <c r="M3087">
        <v>1.5</v>
      </c>
      <c r="N3087" s="1">
        <v>5000000</v>
      </c>
      <c r="O3087">
        <v>1.5</v>
      </c>
      <c r="P3087">
        <v>2.65</v>
      </c>
      <c r="Q3087">
        <v>0.35</v>
      </c>
    </row>
    <row r="3088" spans="1:17" x14ac:dyDescent="0.25">
      <c r="A3088">
        <v>732014</v>
      </c>
      <c r="B3088" t="s">
        <v>4400</v>
      </c>
      <c r="C3088">
        <v>5.15</v>
      </c>
      <c r="D3088">
        <v>0</v>
      </c>
      <c r="E3088">
        <v>5.15</v>
      </c>
      <c r="F3088">
        <v>5.15</v>
      </c>
      <c r="G3088">
        <v>5.15</v>
      </c>
      <c r="H3088">
        <v>5.15</v>
      </c>
      <c r="I3088" s="1">
        <v>1000</v>
      </c>
      <c r="J3088" s="1">
        <v>5150</v>
      </c>
      <c r="K3088">
        <v>1</v>
      </c>
      <c r="L3088">
        <v>4.99</v>
      </c>
      <c r="M3088">
        <v>5.45</v>
      </c>
      <c r="N3088" s="1">
        <v>5000000</v>
      </c>
      <c r="O3088">
        <v>5.15</v>
      </c>
      <c r="P3088">
        <v>7.5</v>
      </c>
      <c r="Q3088">
        <v>2.78</v>
      </c>
    </row>
    <row r="3089" spans="1:17" x14ac:dyDescent="0.25">
      <c r="A3089">
        <v>732015</v>
      </c>
      <c r="B3089" t="s">
        <v>4401</v>
      </c>
      <c r="C3089">
        <v>5</v>
      </c>
      <c r="D3089">
        <v>-0.15</v>
      </c>
      <c r="E3089">
        <v>5.55</v>
      </c>
      <c r="F3089">
        <v>5.55</v>
      </c>
      <c r="G3089">
        <v>5</v>
      </c>
      <c r="H3089">
        <v>5.5</v>
      </c>
      <c r="I3089" s="1">
        <v>77000</v>
      </c>
      <c r="J3089" s="1">
        <v>423250</v>
      </c>
      <c r="K3089">
        <v>6</v>
      </c>
      <c r="L3089">
        <v>5.05</v>
      </c>
      <c r="M3089">
        <v>5.2</v>
      </c>
      <c r="N3089" s="1">
        <v>5000000</v>
      </c>
      <c r="O3089">
        <v>5</v>
      </c>
      <c r="P3089">
        <v>8.15</v>
      </c>
      <c r="Q3089">
        <v>1.84</v>
      </c>
    </row>
    <row r="3090" spans="1:17" x14ac:dyDescent="0.25">
      <c r="A3090">
        <v>732016</v>
      </c>
      <c r="B3090" t="s">
        <v>4402</v>
      </c>
      <c r="C3090">
        <v>0.18</v>
      </c>
      <c r="D3090">
        <v>-0.02</v>
      </c>
      <c r="E3090">
        <v>0.19</v>
      </c>
      <c r="F3090">
        <v>0.19</v>
      </c>
      <c r="G3090">
        <v>0.18</v>
      </c>
      <c r="H3090">
        <v>0.19</v>
      </c>
      <c r="I3090" s="1">
        <v>742000</v>
      </c>
      <c r="J3090" s="1">
        <v>138850</v>
      </c>
      <c r="K3090">
        <v>4</v>
      </c>
      <c r="L3090">
        <v>0.17</v>
      </c>
      <c r="M3090">
        <v>0.21</v>
      </c>
      <c r="N3090" s="1">
        <v>5000000</v>
      </c>
      <c r="O3090">
        <v>0.18</v>
      </c>
      <c r="P3090">
        <v>1.53</v>
      </c>
      <c r="Q3090">
        <v>0.01</v>
      </c>
    </row>
    <row r="3091" spans="1:17" x14ac:dyDescent="0.25">
      <c r="A3091">
        <v>732017</v>
      </c>
      <c r="B3091" t="s">
        <v>4403</v>
      </c>
      <c r="C3091">
        <v>1.05</v>
      </c>
      <c r="D3091">
        <v>0.02</v>
      </c>
      <c r="E3091">
        <v>1.04</v>
      </c>
      <c r="F3091">
        <v>1.05</v>
      </c>
      <c r="G3091">
        <v>1.04</v>
      </c>
      <c r="H3091">
        <v>1.05</v>
      </c>
      <c r="I3091" s="1">
        <v>50000</v>
      </c>
      <c r="J3091" s="1">
        <v>52300</v>
      </c>
      <c r="K3091">
        <v>5</v>
      </c>
      <c r="L3091">
        <v>1.04</v>
      </c>
      <c r="M3091">
        <v>1.05</v>
      </c>
      <c r="N3091" s="1">
        <v>5043000</v>
      </c>
      <c r="O3091">
        <v>1.05</v>
      </c>
      <c r="P3091">
        <v>1.52</v>
      </c>
      <c r="Q3091">
        <v>0.57999999999999996</v>
      </c>
    </row>
    <row r="3092" spans="1:17" x14ac:dyDescent="0.25">
      <c r="A3092">
        <v>732018</v>
      </c>
      <c r="B3092" t="s">
        <v>4404</v>
      </c>
      <c r="C3092" t="s">
        <v>78</v>
      </c>
      <c r="D3092" t="s">
        <v>78</v>
      </c>
      <c r="E3092" t="s">
        <v>78</v>
      </c>
      <c r="F3092" t="s">
        <v>78</v>
      </c>
      <c r="G3092" t="s">
        <v>78</v>
      </c>
      <c r="H3092">
        <v>0.3</v>
      </c>
      <c r="I3092" s="1">
        <v>0</v>
      </c>
      <c r="J3092" s="1">
        <v>0</v>
      </c>
      <c r="K3092">
        <v>0</v>
      </c>
      <c r="L3092">
        <v>0.05</v>
      </c>
      <c r="M3092">
        <v>7.0000000000000007E-2</v>
      </c>
      <c r="N3092" s="1">
        <v>5038000</v>
      </c>
      <c r="O3092">
        <v>7.0000000000000007E-2</v>
      </c>
      <c r="P3092">
        <v>1.33</v>
      </c>
      <c r="Q3092">
        <v>0.01</v>
      </c>
    </row>
    <row r="3093" spans="1:17" x14ac:dyDescent="0.25">
      <c r="A3093">
        <v>732019</v>
      </c>
      <c r="B3093" t="s">
        <v>4405</v>
      </c>
      <c r="C3093" t="s">
        <v>78</v>
      </c>
      <c r="D3093" t="s">
        <v>78</v>
      </c>
      <c r="E3093" t="s">
        <v>78</v>
      </c>
      <c r="F3093" t="s">
        <v>78</v>
      </c>
      <c r="G3093" t="s">
        <v>78</v>
      </c>
      <c r="H3093">
        <v>0.31</v>
      </c>
      <c r="I3093" s="1">
        <v>0</v>
      </c>
      <c r="J3093" s="1">
        <v>0</v>
      </c>
      <c r="K3093">
        <v>0</v>
      </c>
      <c r="L3093">
        <v>0.28000000000000003</v>
      </c>
      <c r="M3093">
        <v>0.28999999999999998</v>
      </c>
      <c r="N3093" s="1">
        <v>10000000</v>
      </c>
      <c r="O3093">
        <v>0.28000000000000003</v>
      </c>
      <c r="P3093">
        <v>1.05</v>
      </c>
      <c r="Q3093">
        <v>0.01</v>
      </c>
    </row>
    <row r="3094" spans="1:17" x14ac:dyDescent="0.25">
      <c r="A3094">
        <v>732020</v>
      </c>
      <c r="B3094" t="s">
        <v>4406</v>
      </c>
      <c r="C3094">
        <v>0.78</v>
      </c>
      <c r="D3094">
        <v>-7.0000000000000007E-2</v>
      </c>
      <c r="E3094">
        <v>0.82</v>
      </c>
      <c r="F3094">
        <v>0.82</v>
      </c>
      <c r="G3094">
        <v>0.78</v>
      </c>
      <c r="H3094">
        <v>0.82</v>
      </c>
      <c r="I3094" s="1">
        <v>103000</v>
      </c>
      <c r="J3094" s="1">
        <v>84340</v>
      </c>
      <c r="K3094">
        <v>2</v>
      </c>
      <c r="L3094">
        <v>0.77</v>
      </c>
      <c r="M3094">
        <v>0.78</v>
      </c>
      <c r="N3094" s="1">
        <v>10000000</v>
      </c>
      <c r="O3094">
        <v>0.78</v>
      </c>
      <c r="P3094">
        <v>1.62</v>
      </c>
      <c r="Q3094">
        <v>0.01</v>
      </c>
    </row>
    <row r="3095" spans="1:17" x14ac:dyDescent="0.25">
      <c r="A3095">
        <v>732021</v>
      </c>
      <c r="B3095" t="s">
        <v>4407</v>
      </c>
      <c r="C3095">
        <v>0.59</v>
      </c>
      <c r="D3095">
        <v>-0.01</v>
      </c>
      <c r="E3095">
        <v>0.6</v>
      </c>
      <c r="F3095">
        <v>0.6</v>
      </c>
      <c r="G3095">
        <v>0.57999999999999996</v>
      </c>
      <c r="H3095">
        <v>0.59</v>
      </c>
      <c r="I3095" s="1">
        <v>1010000</v>
      </c>
      <c r="J3095" s="1">
        <v>597300</v>
      </c>
      <c r="K3095">
        <v>8</v>
      </c>
      <c r="L3095">
        <v>0.59</v>
      </c>
      <c r="M3095">
        <v>0.6</v>
      </c>
      <c r="N3095" s="1">
        <v>5000000</v>
      </c>
      <c r="O3095">
        <v>0.59</v>
      </c>
      <c r="P3095">
        <v>1.49</v>
      </c>
      <c r="Q3095">
        <v>0.01</v>
      </c>
    </row>
    <row r="3096" spans="1:17" x14ac:dyDescent="0.25">
      <c r="A3096">
        <v>732022</v>
      </c>
      <c r="B3096" t="s">
        <v>4408</v>
      </c>
      <c r="C3096">
        <v>0.21</v>
      </c>
      <c r="D3096">
        <v>0.01</v>
      </c>
      <c r="E3096">
        <v>0.21</v>
      </c>
      <c r="F3096">
        <v>0.21</v>
      </c>
      <c r="G3096">
        <v>0.21</v>
      </c>
      <c r="H3096">
        <v>0.21</v>
      </c>
      <c r="I3096" s="1">
        <v>10000</v>
      </c>
      <c r="J3096" s="1">
        <v>2100</v>
      </c>
      <c r="K3096">
        <v>1</v>
      </c>
      <c r="L3096">
        <v>0.21</v>
      </c>
      <c r="M3096">
        <v>0.22</v>
      </c>
      <c r="N3096" s="1">
        <v>10000000</v>
      </c>
      <c r="O3096">
        <v>0.21</v>
      </c>
      <c r="P3096">
        <v>0.56000000000000005</v>
      </c>
      <c r="Q3096">
        <v>0.01</v>
      </c>
    </row>
    <row r="3097" spans="1:17" x14ac:dyDescent="0.25">
      <c r="A3097">
        <v>732023</v>
      </c>
      <c r="B3097" t="s">
        <v>4409</v>
      </c>
      <c r="C3097">
        <v>2.66</v>
      </c>
      <c r="D3097">
        <v>0.01</v>
      </c>
      <c r="E3097">
        <v>2.73</v>
      </c>
      <c r="F3097">
        <v>2.73</v>
      </c>
      <c r="G3097">
        <v>2.66</v>
      </c>
      <c r="H3097">
        <v>2.66</v>
      </c>
      <c r="I3097" s="1">
        <v>315000</v>
      </c>
      <c r="J3097" s="1">
        <v>838780</v>
      </c>
      <c r="K3097">
        <v>4</v>
      </c>
      <c r="L3097">
        <v>2.5</v>
      </c>
      <c r="M3097">
        <v>2.54</v>
      </c>
      <c r="N3097" s="1">
        <v>5000000</v>
      </c>
      <c r="O3097">
        <v>2.66</v>
      </c>
      <c r="P3097">
        <v>3.84</v>
      </c>
      <c r="Q3097">
        <v>1.48</v>
      </c>
    </row>
    <row r="3098" spans="1:17" x14ac:dyDescent="0.25">
      <c r="A3098">
        <v>732024</v>
      </c>
      <c r="B3098" t="s">
        <v>4410</v>
      </c>
      <c r="C3098" t="s">
        <v>78</v>
      </c>
      <c r="D3098" t="s">
        <v>78</v>
      </c>
      <c r="E3098" t="s">
        <v>78</v>
      </c>
      <c r="F3098" t="s">
        <v>78</v>
      </c>
      <c r="G3098" t="s">
        <v>78</v>
      </c>
      <c r="H3098">
        <v>2.79</v>
      </c>
      <c r="I3098" s="1">
        <v>0</v>
      </c>
      <c r="J3098" s="1">
        <v>0</v>
      </c>
      <c r="K3098">
        <v>0</v>
      </c>
      <c r="L3098">
        <v>2.77</v>
      </c>
      <c r="M3098">
        <v>2.82</v>
      </c>
      <c r="N3098" s="1">
        <v>5000000</v>
      </c>
      <c r="O3098">
        <v>2.77</v>
      </c>
      <c r="P3098">
        <v>3.87</v>
      </c>
      <c r="Q3098">
        <v>1.67</v>
      </c>
    </row>
    <row r="3099" spans="1:17" x14ac:dyDescent="0.25">
      <c r="A3099">
        <v>732025</v>
      </c>
      <c r="B3099" t="s">
        <v>4411</v>
      </c>
      <c r="C3099">
        <v>1.34</v>
      </c>
      <c r="D3099">
        <v>0.02</v>
      </c>
      <c r="E3099">
        <v>1.46</v>
      </c>
      <c r="F3099">
        <v>1.46</v>
      </c>
      <c r="G3099">
        <v>1.32</v>
      </c>
      <c r="H3099">
        <v>1.39</v>
      </c>
      <c r="I3099" s="1">
        <v>400000</v>
      </c>
      <c r="J3099" s="1">
        <v>555900</v>
      </c>
      <c r="K3099">
        <v>30</v>
      </c>
      <c r="L3099">
        <v>1.32</v>
      </c>
      <c r="M3099">
        <v>1.34</v>
      </c>
      <c r="N3099" s="1">
        <v>5000000</v>
      </c>
      <c r="O3099">
        <v>1.34</v>
      </c>
      <c r="P3099">
        <v>2.31</v>
      </c>
      <c r="Q3099">
        <v>0.36</v>
      </c>
    </row>
    <row r="3100" spans="1:17" x14ac:dyDescent="0.25">
      <c r="A3100">
        <v>732026</v>
      </c>
      <c r="B3100" t="s">
        <v>4412</v>
      </c>
      <c r="C3100">
        <v>0.48</v>
      </c>
      <c r="D3100">
        <v>0.01</v>
      </c>
      <c r="E3100">
        <v>0.48</v>
      </c>
      <c r="F3100">
        <v>0.48</v>
      </c>
      <c r="G3100">
        <v>0.48</v>
      </c>
      <c r="H3100">
        <v>0.48</v>
      </c>
      <c r="I3100" s="1">
        <v>65000</v>
      </c>
      <c r="J3100" s="1">
        <v>31200</v>
      </c>
      <c r="K3100">
        <v>7</v>
      </c>
      <c r="L3100">
        <v>0.47</v>
      </c>
      <c r="M3100">
        <v>0.48</v>
      </c>
      <c r="N3100" s="1">
        <v>10000000</v>
      </c>
      <c r="O3100">
        <v>0.48</v>
      </c>
      <c r="P3100">
        <v>0.89</v>
      </c>
      <c r="Q3100">
        <v>7.0000000000000007E-2</v>
      </c>
    </row>
    <row r="3101" spans="1:17" x14ac:dyDescent="0.25">
      <c r="A3101">
        <v>732027</v>
      </c>
      <c r="B3101" t="s">
        <v>4413</v>
      </c>
      <c r="C3101" t="s">
        <v>78</v>
      </c>
      <c r="D3101" t="s">
        <v>78</v>
      </c>
      <c r="E3101" t="s">
        <v>78</v>
      </c>
      <c r="F3101" t="s">
        <v>78</v>
      </c>
      <c r="G3101" t="s">
        <v>78</v>
      </c>
      <c r="H3101">
        <v>0.46</v>
      </c>
      <c r="I3101" s="1">
        <v>0</v>
      </c>
      <c r="J3101" s="1">
        <v>0</v>
      </c>
      <c r="K3101">
        <v>0</v>
      </c>
      <c r="L3101">
        <v>0.21</v>
      </c>
      <c r="M3101">
        <v>0.22</v>
      </c>
      <c r="N3101" s="1">
        <v>5000000</v>
      </c>
      <c r="O3101">
        <v>0.21</v>
      </c>
      <c r="P3101">
        <v>0.88</v>
      </c>
      <c r="Q3101">
        <v>0.01</v>
      </c>
    </row>
    <row r="3102" spans="1:17" x14ac:dyDescent="0.25">
      <c r="A3102">
        <v>732028</v>
      </c>
      <c r="B3102" t="s">
        <v>4414</v>
      </c>
      <c r="C3102" t="s">
        <v>78</v>
      </c>
      <c r="D3102" t="s">
        <v>78</v>
      </c>
      <c r="E3102" t="s">
        <v>78</v>
      </c>
      <c r="F3102" t="s">
        <v>78</v>
      </c>
      <c r="G3102" t="s">
        <v>78</v>
      </c>
      <c r="H3102">
        <v>5.0999999999999996</v>
      </c>
      <c r="I3102" s="1">
        <v>0</v>
      </c>
      <c r="J3102" s="1">
        <v>0</v>
      </c>
      <c r="K3102">
        <v>0</v>
      </c>
      <c r="L3102">
        <v>4.04</v>
      </c>
      <c r="M3102">
        <v>4.13</v>
      </c>
      <c r="N3102" s="1">
        <v>8000000</v>
      </c>
      <c r="O3102">
        <v>4.13</v>
      </c>
      <c r="P3102">
        <v>6.1</v>
      </c>
      <c r="Q3102">
        <v>2.16</v>
      </c>
    </row>
    <row r="3103" spans="1:17" x14ac:dyDescent="0.25">
      <c r="A3103">
        <v>732029</v>
      </c>
      <c r="B3103" t="s">
        <v>4415</v>
      </c>
      <c r="C3103">
        <v>4.51</v>
      </c>
      <c r="D3103">
        <v>-0.13</v>
      </c>
      <c r="E3103">
        <v>4.87</v>
      </c>
      <c r="F3103">
        <v>4.9400000000000004</v>
      </c>
      <c r="G3103">
        <v>4.3099999999999996</v>
      </c>
      <c r="H3103">
        <v>4.7699999999999996</v>
      </c>
      <c r="I3103" s="1">
        <v>384000</v>
      </c>
      <c r="J3103" s="1">
        <v>1830550</v>
      </c>
      <c r="K3103">
        <v>15</v>
      </c>
      <c r="L3103">
        <v>4.3099999999999996</v>
      </c>
      <c r="M3103">
        <v>4.32</v>
      </c>
      <c r="N3103" s="1">
        <v>6000000</v>
      </c>
      <c r="O3103">
        <v>4.51</v>
      </c>
      <c r="P3103">
        <v>10.4</v>
      </c>
      <c r="Q3103">
        <v>0.01</v>
      </c>
    </row>
    <row r="3104" spans="1:17" x14ac:dyDescent="0.25">
      <c r="A3104">
        <v>732030</v>
      </c>
      <c r="B3104" t="s">
        <v>4416</v>
      </c>
      <c r="C3104">
        <v>3.71</v>
      </c>
      <c r="D3104">
        <v>-0.21</v>
      </c>
      <c r="E3104">
        <v>4.01</v>
      </c>
      <c r="F3104">
        <v>4.0599999999999996</v>
      </c>
      <c r="G3104">
        <v>3.71</v>
      </c>
      <c r="H3104">
        <v>3.94</v>
      </c>
      <c r="I3104" s="1">
        <v>6000</v>
      </c>
      <c r="J3104" s="1">
        <v>23610</v>
      </c>
      <c r="K3104">
        <v>4</v>
      </c>
      <c r="L3104">
        <v>3.69</v>
      </c>
      <c r="M3104">
        <v>3.72</v>
      </c>
      <c r="N3104" s="1">
        <v>8000000</v>
      </c>
      <c r="O3104">
        <v>3.71</v>
      </c>
      <c r="P3104">
        <v>5.65</v>
      </c>
      <c r="Q3104">
        <v>1.74</v>
      </c>
    </row>
    <row r="3105" spans="1:17" x14ac:dyDescent="0.25">
      <c r="A3105">
        <v>732031</v>
      </c>
      <c r="B3105" t="s">
        <v>4417</v>
      </c>
      <c r="C3105" t="s">
        <v>78</v>
      </c>
      <c r="D3105" t="s">
        <v>78</v>
      </c>
      <c r="E3105" t="s">
        <v>78</v>
      </c>
      <c r="F3105" t="s">
        <v>78</v>
      </c>
      <c r="G3105" t="s">
        <v>78</v>
      </c>
      <c r="H3105">
        <v>7.2</v>
      </c>
      <c r="I3105" s="1">
        <v>0</v>
      </c>
      <c r="J3105" s="1">
        <v>0</v>
      </c>
      <c r="K3105">
        <v>0</v>
      </c>
      <c r="L3105">
        <v>7.7</v>
      </c>
      <c r="M3105">
        <v>8.1999999999999993</v>
      </c>
      <c r="N3105" s="1">
        <v>10000000</v>
      </c>
      <c r="O3105">
        <v>7.7</v>
      </c>
      <c r="P3105">
        <v>11.1</v>
      </c>
      <c r="Q3105">
        <v>4.25</v>
      </c>
    </row>
    <row r="3106" spans="1:17" x14ac:dyDescent="0.25">
      <c r="A3106">
        <v>732032</v>
      </c>
      <c r="B3106" t="s">
        <v>4418</v>
      </c>
      <c r="C3106" t="s">
        <v>78</v>
      </c>
      <c r="D3106" t="s">
        <v>78</v>
      </c>
      <c r="E3106" t="s">
        <v>78</v>
      </c>
      <c r="F3106" t="s">
        <v>78</v>
      </c>
      <c r="G3106" t="s">
        <v>78</v>
      </c>
      <c r="H3106">
        <v>7.0000000000000007E-2</v>
      </c>
      <c r="I3106" s="1">
        <v>0</v>
      </c>
      <c r="J3106" s="1">
        <v>0</v>
      </c>
      <c r="K3106">
        <v>0</v>
      </c>
      <c r="L3106">
        <v>0.06</v>
      </c>
      <c r="M3106">
        <v>7.0000000000000007E-2</v>
      </c>
      <c r="N3106" s="1">
        <v>10000000</v>
      </c>
      <c r="O3106">
        <v>7.0000000000000007E-2</v>
      </c>
      <c r="P3106">
        <v>0.43</v>
      </c>
      <c r="Q3106">
        <v>0.01</v>
      </c>
    </row>
    <row r="3107" spans="1:17" x14ac:dyDescent="0.25">
      <c r="A3107">
        <v>732033</v>
      </c>
      <c r="B3107" t="s">
        <v>4419</v>
      </c>
      <c r="C3107">
        <v>2.82</v>
      </c>
      <c r="D3107">
        <v>0.28000000000000003</v>
      </c>
      <c r="E3107">
        <v>2.82</v>
      </c>
      <c r="F3107">
        <v>2.82</v>
      </c>
      <c r="G3107">
        <v>2.82</v>
      </c>
      <c r="H3107">
        <v>2.82</v>
      </c>
      <c r="I3107" s="1">
        <v>2000</v>
      </c>
      <c r="J3107" s="1">
        <v>5640</v>
      </c>
      <c r="K3107">
        <v>1</v>
      </c>
      <c r="L3107">
        <v>2.5099999999999998</v>
      </c>
      <c r="M3107">
        <v>2.6</v>
      </c>
      <c r="N3107" s="1">
        <v>15000000</v>
      </c>
      <c r="O3107">
        <v>2.82</v>
      </c>
      <c r="P3107">
        <v>4.3600000000000003</v>
      </c>
      <c r="Q3107">
        <v>1.28</v>
      </c>
    </row>
    <row r="3108" spans="1:17" x14ac:dyDescent="0.25">
      <c r="A3108">
        <v>732034</v>
      </c>
      <c r="B3108" t="s">
        <v>4420</v>
      </c>
      <c r="C3108" t="s">
        <v>78</v>
      </c>
      <c r="D3108" t="s">
        <v>78</v>
      </c>
      <c r="E3108" t="s">
        <v>78</v>
      </c>
      <c r="F3108" t="s">
        <v>78</v>
      </c>
      <c r="G3108" t="s">
        <v>78</v>
      </c>
      <c r="H3108">
        <v>1.83</v>
      </c>
      <c r="I3108" s="1">
        <v>0</v>
      </c>
      <c r="J3108" s="1">
        <v>0</v>
      </c>
      <c r="K3108">
        <v>0</v>
      </c>
      <c r="L3108">
        <v>2.0099999999999998</v>
      </c>
      <c r="M3108">
        <v>2.09</v>
      </c>
      <c r="N3108" s="1">
        <v>15000000</v>
      </c>
      <c r="O3108">
        <v>2.09</v>
      </c>
      <c r="P3108">
        <v>3.07</v>
      </c>
      <c r="Q3108">
        <v>1.1100000000000001</v>
      </c>
    </row>
    <row r="3109" spans="1:17" x14ac:dyDescent="0.25">
      <c r="A3109">
        <v>732035</v>
      </c>
      <c r="B3109" t="s">
        <v>4421</v>
      </c>
      <c r="C3109">
        <v>1.2</v>
      </c>
      <c r="D3109">
        <v>-0.09</v>
      </c>
      <c r="E3109">
        <v>1.32</v>
      </c>
      <c r="F3109">
        <v>1.35</v>
      </c>
      <c r="G3109">
        <v>1.2</v>
      </c>
      <c r="H3109">
        <v>1.26</v>
      </c>
      <c r="I3109" s="1">
        <v>2108000</v>
      </c>
      <c r="J3109" s="1">
        <v>2647500</v>
      </c>
      <c r="K3109">
        <v>90</v>
      </c>
      <c r="L3109">
        <v>1.19</v>
      </c>
      <c r="M3109">
        <v>1.2</v>
      </c>
      <c r="N3109" s="1">
        <v>5000000</v>
      </c>
      <c r="O3109">
        <v>1.2</v>
      </c>
      <c r="P3109">
        <v>2.2200000000000002</v>
      </c>
      <c r="Q3109">
        <v>0.18</v>
      </c>
    </row>
    <row r="3110" spans="1:17" x14ac:dyDescent="0.25">
      <c r="A3110">
        <v>732036</v>
      </c>
      <c r="B3110" t="s">
        <v>4422</v>
      </c>
      <c r="C3110" t="s">
        <v>78</v>
      </c>
      <c r="D3110" t="s">
        <v>78</v>
      </c>
      <c r="E3110" t="s">
        <v>78</v>
      </c>
      <c r="F3110" t="s">
        <v>78</v>
      </c>
      <c r="G3110" t="s">
        <v>78</v>
      </c>
      <c r="H3110">
        <v>2.16</v>
      </c>
      <c r="I3110" s="1">
        <v>0</v>
      </c>
      <c r="J3110" s="1">
        <v>0</v>
      </c>
      <c r="K3110">
        <v>0</v>
      </c>
      <c r="L3110">
        <v>2.56</v>
      </c>
      <c r="M3110">
        <v>2.61</v>
      </c>
      <c r="N3110" s="1">
        <v>5000000</v>
      </c>
      <c r="O3110">
        <v>2.56</v>
      </c>
      <c r="P3110">
        <v>4.5599999999999996</v>
      </c>
      <c r="Q3110">
        <v>0.56000000000000005</v>
      </c>
    </row>
    <row r="3111" spans="1:17" x14ac:dyDescent="0.25">
      <c r="A3111">
        <v>732037</v>
      </c>
      <c r="B3111" t="s">
        <v>4423</v>
      </c>
      <c r="C3111">
        <v>2.0099999999999998</v>
      </c>
      <c r="D3111">
        <v>0.06</v>
      </c>
      <c r="E3111">
        <v>2.04</v>
      </c>
      <c r="F3111">
        <v>2.11</v>
      </c>
      <c r="G3111">
        <v>1.95</v>
      </c>
      <c r="H3111">
        <v>2.0499999999999998</v>
      </c>
      <c r="I3111" s="1">
        <v>119000</v>
      </c>
      <c r="J3111" s="1">
        <v>243780</v>
      </c>
      <c r="K3111">
        <v>16</v>
      </c>
      <c r="L3111">
        <v>1.99</v>
      </c>
      <c r="M3111">
        <v>2.0099999999999998</v>
      </c>
      <c r="N3111" s="1">
        <v>5000000</v>
      </c>
      <c r="O3111">
        <v>2.0099999999999998</v>
      </c>
      <c r="P3111">
        <v>3.11</v>
      </c>
      <c r="Q3111">
        <v>0.91</v>
      </c>
    </row>
    <row r="3112" spans="1:17" x14ac:dyDescent="0.25">
      <c r="A3112">
        <v>732038</v>
      </c>
      <c r="B3112" t="s">
        <v>4424</v>
      </c>
      <c r="C3112">
        <v>1.03</v>
      </c>
      <c r="D3112">
        <v>-0.08</v>
      </c>
      <c r="E3112">
        <v>1.03</v>
      </c>
      <c r="F3112">
        <v>1.04</v>
      </c>
      <c r="G3112">
        <v>1.01</v>
      </c>
      <c r="H3112">
        <v>1.02</v>
      </c>
      <c r="I3112" s="1">
        <v>65000</v>
      </c>
      <c r="J3112" s="1">
        <v>66600</v>
      </c>
      <c r="K3112">
        <v>5</v>
      </c>
      <c r="L3112">
        <v>1.03</v>
      </c>
      <c r="M3112">
        <v>1.04</v>
      </c>
      <c r="N3112" s="1">
        <v>5016000</v>
      </c>
      <c r="O3112">
        <v>1.03</v>
      </c>
      <c r="P3112">
        <v>2.59</v>
      </c>
      <c r="Q3112">
        <v>0.01</v>
      </c>
    </row>
    <row r="3113" spans="1:17" x14ac:dyDescent="0.25">
      <c r="A3113">
        <v>732039</v>
      </c>
      <c r="B3113" t="s">
        <v>4425</v>
      </c>
      <c r="C3113">
        <v>0.46</v>
      </c>
      <c r="D3113">
        <v>0.02</v>
      </c>
      <c r="E3113">
        <v>0.48</v>
      </c>
      <c r="F3113">
        <v>0.48</v>
      </c>
      <c r="G3113">
        <v>0.46</v>
      </c>
      <c r="H3113">
        <v>0.48</v>
      </c>
      <c r="I3113" s="1">
        <v>146000</v>
      </c>
      <c r="J3113" s="1">
        <v>69510</v>
      </c>
      <c r="K3113">
        <v>5</v>
      </c>
      <c r="L3113">
        <v>0.45</v>
      </c>
      <c r="M3113">
        <v>0.46</v>
      </c>
      <c r="N3113" s="1">
        <v>10000000</v>
      </c>
      <c r="O3113">
        <v>0.46</v>
      </c>
      <c r="P3113">
        <v>1.48</v>
      </c>
      <c r="Q3113">
        <v>0.01</v>
      </c>
    </row>
    <row r="3114" spans="1:17" x14ac:dyDescent="0.25">
      <c r="A3114">
        <v>732040</v>
      </c>
      <c r="B3114" t="s">
        <v>4426</v>
      </c>
      <c r="C3114" t="s">
        <v>78</v>
      </c>
      <c r="D3114" t="s">
        <v>78</v>
      </c>
      <c r="E3114" t="s">
        <v>78</v>
      </c>
      <c r="F3114" t="s">
        <v>78</v>
      </c>
      <c r="G3114" t="s">
        <v>78</v>
      </c>
      <c r="H3114">
        <v>0.5</v>
      </c>
      <c r="I3114" s="1">
        <v>0</v>
      </c>
      <c r="J3114" s="1">
        <v>0</v>
      </c>
      <c r="K3114">
        <v>0</v>
      </c>
      <c r="L3114">
        <v>0.49</v>
      </c>
      <c r="M3114">
        <v>0.5</v>
      </c>
      <c r="N3114" s="1">
        <v>10000000</v>
      </c>
      <c r="O3114">
        <v>0.5</v>
      </c>
      <c r="P3114">
        <v>1</v>
      </c>
      <c r="Q3114">
        <v>0.01</v>
      </c>
    </row>
    <row r="3115" spans="1:17" x14ac:dyDescent="0.25">
      <c r="A3115">
        <v>732041</v>
      </c>
      <c r="B3115" t="s">
        <v>4427</v>
      </c>
      <c r="C3115">
        <v>2.0499999999999998</v>
      </c>
      <c r="D3115">
        <v>0.11</v>
      </c>
      <c r="E3115">
        <v>2.15</v>
      </c>
      <c r="F3115">
        <v>2.15</v>
      </c>
      <c r="G3115">
        <v>2.0499999999999998</v>
      </c>
      <c r="H3115">
        <v>2.1</v>
      </c>
      <c r="I3115" s="1">
        <v>17000</v>
      </c>
      <c r="J3115" s="1">
        <v>35670</v>
      </c>
      <c r="K3115">
        <v>5</v>
      </c>
      <c r="L3115">
        <v>2.0299999999999998</v>
      </c>
      <c r="M3115">
        <v>2.08</v>
      </c>
      <c r="N3115" s="1">
        <v>10000000</v>
      </c>
      <c r="O3115">
        <v>2.0499999999999998</v>
      </c>
      <c r="P3115">
        <v>2.9</v>
      </c>
      <c r="Q3115">
        <v>1.2</v>
      </c>
    </row>
    <row r="3116" spans="1:17" x14ac:dyDescent="0.25">
      <c r="A3116">
        <v>732042</v>
      </c>
      <c r="B3116" t="s">
        <v>4428</v>
      </c>
      <c r="C3116" t="s">
        <v>78</v>
      </c>
      <c r="D3116" t="s">
        <v>78</v>
      </c>
      <c r="E3116" t="s">
        <v>78</v>
      </c>
      <c r="F3116" t="s">
        <v>78</v>
      </c>
      <c r="G3116" t="s">
        <v>78</v>
      </c>
      <c r="H3116">
        <v>0.35</v>
      </c>
      <c r="I3116" s="1">
        <v>0</v>
      </c>
      <c r="J3116" s="1">
        <v>0</v>
      </c>
      <c r="K3116">
        <v>0</v>
      </c>
      <c r="L3116">
        <v>0.11</v>
      </c>
      <c r="M3116">
        <v>0.12</v>
      </c>
      <c r="N3116" s="1">
        <v>5000000</v>
      </c>
      <c r="O3116">
        <v>0.12</v>
      </c>
      <c r="P3116">
        <v>0.77</v>
      </c>
      <c r="Q3116">
        <v>0.01</v>
      </c>
    </row>
    <row r="3117" spans="1:17" x14ac:dyDescent="0.25">
      <c r="A3117">
        <v>732043</v>
      </c>
      <c r="B3117" t="s">
        <v>4429</v>
      </c>
      <c r="C3117">
        <v>0.33</v>
      </c>
      <c r="D3117">
        <v>0.03</v>
      </c>
      <c r="E3117">
        <v>0.37</v>
      </c>
      <c r="F3117">
        <v>0.38</v>
      </c>
      <c r="G3117">
        <v>0.33</v>
      </c>
      <c r="H3117">
        <v>0.36</v>
      </c>
      <c r="I3117" s="1">
        <v>303000</v>
      </c>
      <c r="J3117" s="1">
        <v>109490</v>
      </c>
      <c r="K3117">
        <v>8</v>
      </c>
      <c r="L3117">
        <v>0.32</v>
      </c>
      <c r="M3117">
        <v>0.33</v>
      </c>
      <c r="N3117" s="1">
        <v>10000000</v>
      </c>
      <c r="O3117">
        <v>0.33</v>
      </c>
      <c r="P3117">
        <v>1.0900000000000001</v>
      </c>
      <c r="Q3117">
        <v>0.01</v>
      </c>
    </row>
    <row r="3118" spans="1:17" x14ac:dyDescent="0.25">
      <c r="A3118">
        <v>732044</v>
      </c>
      <c r="B3118" t="s">
        <v>4430</v>
      </c>
      <c r="C3118" t="s">
        <v>78</v>
      </c>
      <c r="D3118" t="s">
        <v>78</v>
      </c>
      <c r="E3118" t="s">
        <v>78</v>
      </c>
      <c r="F3118" t="s">
        <v>78</v>
      </c>
      <c r="G3118" t="s">
        <v>78</v>
      </c>
      <c r="H3118">
        <v>2.75</v>
      </c>
      <c r="I3118" s="1">
        <v>0</v>
      </c>
      <c r="J3118" s="1">
        <v>0</v>
      </c>
      <c r="K3118">
        <v>0</v>
      </c>
      <c r="L3118">
        <v>0</v>
      </c>
      <c r="M3118">
        <v>0</v>
      </c>
      <c r="N3118" s="1">
        <v>10000000</v>
      </c>
      <c r="O3118">
        <v>3.41</v>
      </c>
      <c r="P3118">
        <v>4.05</v>
      </c>
      <c r="Q3118">
        <v>2.77</v>
      </c>
    </row>
    <row r="3119" spans="1:17" x14ac:dyDescent="0.25">
      <c r="A3119">
        <v>732045</v>
      </c>
      <c r="B3119" t="s">
        <v>4431</v>
      </c>
      <c r="C3119">
        <v>0.34</v>
      </c>
      <c r="D3119">
        <v>-0.04</v>
      </c>
      <c r="E3119">
        <v>0.34</v>
      </c>
      <c r="F3119">
        <v>0.34</v>
      </c>
      <c r="G3119">
        <v>0.34</v>
      </c>
      <c r="H3119">
        <v>0.34</v>
      </c>
      <c r="I3119" s="1">
        <v>304000</v>
      </c>
      <c r="J3119" s="1">
        <v>103360</v>
      </c>
      <c r="K3119">
        <v>12</v>
      </c>
      <c r="L3119">
        <v>0.34</v>
      </c>
      <c r="M3119">
        <v>0.35</v>
      </c>
      <c r="N3119" s="1">
        <v>10000000</v>
      </c>
      <c r="O3119">
        <v>0.34</v>
      </c>
      <c r="P3119">
        <v>1.33</v>
      </c>
      <c r="Q3119">
        <v>0.01</v>
      </c>
    </row>
    <row r="3120" spans="1:17" x14ac:dyDescent="0.25">
      <c r="A3120">
        <v>732046</v>
      </c>
      <c r="B3120" t="s">
        <v>4432</v>
      </c>
      <c r="C3120" t="s">
        <v>78</v>
      </c>
      <c r="D3120" t="s">
        <v>78</v>
      </c>
      <c r="E3120" t="s">
        <v>78</v>
      </c>
      <c r="F3120" t="s">
        <v>78</v>
      </c>
      <c r="G3120" t="s">
        <v>78</v>
      </c>
      <c r="H3120">
        <v>0.19</v>
      </c>
      <c r="I3120" s="1">
        <v>0</v>
      </c>
      <c r="J3120" s="1">
        <v>0</v>
      </c>
      <c r="K3120">
        <v>0</v>
      </c>
      <c r="L3120">
        <v>0.16</v>
      </c>
      <c r="M3120">
        <v>0.17</v>
      </c>
      <c r="N3120" s="1">
        <v>10000000</v>
      </c>
      <c r="O3120">
        <v>0.17</v>
      </c>
      <c r="P3120">
        <v>0.91</v>
      </c>
      <c r="Q3120">
        <v>0.01</v>
      </c>
    </row>
    <row r="3121" spans="1:17" x14ac:dyDescent="0.25">
      <c r="A3121">
        <v>732047</v>
      </c>
      <c r="B3121" t="s">
        <v>4433</v>
      </c>
      <c r="C3121">
        <v>0.16</v>
      </c>
      <c r="D3121">
        <v>0</v>
      </c>
      <c r="E3121">
        <v>0.16</v>
      </c>
      <c r="F3121">
        <v>0.16</v>
      </c>
      <c r="G3121">
        <v>0.16</v>
      </c>
      <c r="H3121">
        <v>0.16</v>
      </c>
      <c r="I3121" s="1">
        <v>100000</v>
      </c>
      <c r="J3121" s="1">
        <v>16000</v>
      </c>
      <c r="K3121">
        <v>1</v>
      </c>
      <c r="L3121">
        <v>0.15</v>
      </c>
      <c r="M3121">
        <v>0.16</v>
      </c>
      <c r="N3121" s="1">
        <v>10000000</v>
      </c>
      <c r="O3121">
        <v>0.16</v>
      </c>
      <c r="P3121">
        <v>0.52</v>
      </c>
      <c r="Q3121">
        <v>0.01</v>
      </c>
    </row>
    <row r="3122" spans="1:17" x14ac:dyDescent="0.25">
      <c r="A3122">
        <v>732048</v>
      </c>
      <c r="B3122" t="s">
        <v>4434</v>
      </c>
      <c r="C3122">
        <v>0.34</v>
      </c>
      <c r="D3122">
        <v>-0.02</v>
      </c>
      <c r="E3122">
        <v>0.34</v>
      </c>
      <c r="F3122">
        <v>0.34</v>
      </c>
      <c r="G3122">
        <v>0.34</v>
      </c>
      <c r="H3122">
        <v>0.34</v>
      </c>
      <c r="I3122" s="1">
        <v>25000</v>
      </c>
      <c r="J3122" s="1">
        <v>8500</v>
      </c>
      <c r="K3122">
        <v>1</v>
      </c>
      <c r="L3122">
        <v>0.34</v>
      </c>
      <c r="M3122">
        <v>0.36</v>
      </c>
      <c r="N3122" s="1">
        <v>5000000</v>
      </c>
      <c r="O3122">
        <v>0.34</v>
      </c>
      <c r="P3122">
        <v>1.1200000000000001</v>
      </c>
      <c r="Q3122">
        <v>0.01</v>
      </c>
    </row>
    <row r="3123" spans="1:17" x14ac:dyDescent="0.25">
      <c r="A3123">
        <v>732049</v>
      </c>
      <c r="B3123" t="s">
        <v>4435</v>
      </c>
      <c r="C3123">
        <v>1.66</v>
      </c>
      <c r="D3123">
        <v>7.0000000000000007E-2</v>
      </c>
      <c r="E3123">
        <v>1.62</v>
      </c>
      <c r="F3123">
        <v>1.7</v>
      </c>
      <c r="G3123">
        <v>1.52</v>
      </c>
      <c r="H3123">
        <v>1.58</v>
      </c>
      <c r="I3123" s="1">
        <v>438000</v>
      </c>
      <c r="J3123" s="1">
        <v>692170</v>
      </c>
      <c r="K3123">
        <v>32</v>
      </c>
      <c r="L3123">
        <v>1.59</v>
      </c>
      <c r="M3123">
        <v>1.62</v>
      </c>
      <c r="N3123" s="1">
        <v>10000000</v>
      </c>
      <c r="O3123">
        <v>1.66</v>
      </c>
      <c r="P3123">
        <v>3.4</v>
      </c>
      <c r="Q3123">
        <v>0.01</v>
      </c>
    </row>
    <row r="3124" spans="1:17" x14ac:dyDescent="0.25">
      <c r="A3124">
        <v>732050</v>
      </c>
      <c r="B3124" t="s">
        <v>4436</v>
      </c>
      <c r="C3124" t="s">
        <v>78</v>
      </c>
      <c r="D3124" t="s">
        <v>78</v>
      </c>
      <c r="E3124" t="s">
        <v>78</v>
      </c>
      <c r="F3124" t="s">
        <v>78</v>
      </c>
      <c r="G3124" t="s">
        <v>78</v>
      </c>
      <c r="H3124">
        <v>0.33</v>
      </c>
      <c r="I3124" s="1">
        <v>0</v>
      </c>
      <c r="J3124" s="1">
        <v>0</v>
      </c>
      <c r="K3124">
        <v>0</v>
      </c>
      <c r="L3124">
        <v>0.19</v>
      </c>
      <c r="M3124">
        <v>0.2</v>
      </c>
      <c r="N3124" s="1">
        <v>10000000</v>
      </c>
      <c r="O3124">
        <v>0.2</v>
      </c>
      <c r="P3124">
        <v>0.95</v>
      </c>
      <c r="Q3124">
        <v>0.01</v>
      </c>
    </row>
    <row r="3125" spans="1:17" x14ac:dyDescent="0.25">
      <c r="A3125">
        <v>732051</v>
      </c>
      <c r="B3125" t="s">
        <v>4437</v>
      </c>
      <c r="C3125">
        <v>0.44</v>
      </c>
      <c r="D3125">
        <v>-0.01</v>
      </c>
      <c r="E3125">
        <v>0.44</v>
      </c>
      <c r="F3125">
        <v>0.45</v>
      </c>
      <c r="G3125">
        <v>0.44</v>
      </c>
      <c r="H3125">
        <v>0.44</v>
      </c>
      <c r="I3125" s="1">
        <v>225000</v>
      </c>
      <c r="J3125" s="1">
        <v>99950</v>
      </c>
      <c r="K3125">
        <v>5</v>
      </c>
      <c r="L3125">
        <v>0.42</v>
      </c>
      <c r="M3125">
        <v>0.43</v>
      </c>
      <c r="N3125" s="1">
        <v>5000000</v>
      </c>
      <c r="O3125">
        <v>0.44</v>
      </c>
      <c r="P3125">
        <v>1.1100000000000001</v>
      </c>
      <c r="Q3125">
        <v>0.01</v>
      </c>
    </row>
    <row r="3126" spans="1:17" x14ac:dyDescent="0.25">
      <c r="A3126">
        <v>732052</v>
      </c>
      <c r="B3126" t="s">
        <v>4438</v>
      </c>
      <c r="C3126" t="s">
        <v>78</v>
      </c>
      <c r="D3126" t="s">
        <v>78</v>
      </c>
      <c r="E3126" t="s">
        <v>78</v>
      </c>
      <c r="F3126" t="s">
        <v>78</v>
      </c>
      <c r="G3126" t="s">
        <v>78</v>
      </c>
      <c r="H3126">
        <v>0.68</v>
      </c>
      <c r="I3126" s="1">
        <v>0</v>
      </c>
      <c r="J3126" s="1">
        <v>0</v>
      </c>
      <c r="K3126">
        <v>0</v>
      </c>
      <c r="L3126">
        <v>0.42</v>
      </c>
      <c r="M3126">
        <v>0.43</v>
      </c>
      <c r="N3126" s="1">
        <v>5000000</v>
      </c>
      <c r="O3126">
        <v>0.43</v>
      </c>
      <c r="P3126">
        <v>0.94</v>
      </c>
      <c r="Q3126">
        <v>0.01</v>
      </c>
    </row>
    <row r="3127" spans="1:17" x14ac:dyDescent="0.25">
      <c r="A3127">
        <v>732053</v>
      </c>
      <c r="B3127" t="s">
        <v>4439</v>
      </c>
      <c r="C3127" t="s">
        <v>78</v>
      </c>
      <c r="D3127" t="s">
        <v>78</v>
      </c>
      <c r="E3127" t="s">
        <v>78</v>
      </c>
      <c r="F3127" t="s">
        <v>78</v>
      </c>
      <c r="G3127" t="s">
        <v>78</v>
      </c>
      <c r="H3127">
        <v>0.57999999999999996</v>
      </c>
      <c r="I3127" s="1">
        <v>0</v>
      </c>
      <c r="J3127" s="1">
        <v>0</v>
      </c>
      <c r="K3127">
        <v>0</v>
      </c>
      <c r="L3127">
        <v>0.35</v>
      </c>
      <c r="M3127">
        <v>0.36</v>
      </c>
      <c r="N3127" s="1">
        <v>5000000</v>
      </c>
      <c r="O3127">
        <v>0.36</v>
      </c>
      <c r="P3127">
        <v>0.87</v>
      </c>
      <c r="Q3127">
        <v>0.01</v>
      </c>
    </row>
    <row r="3128" spans="1:17" x14ac:dyDescent="0.25">
      <c r="A3128">
        <v>732054</v>
      </c>
      <c r="B3128" t="s">
        <v>4440</v>
      </c>
      <c r="C3128">
        <v>0.82</v>
      </c>
      <c r="D3128">
        <v>0.03</v>
      </c>
      <c r="E3128">
        <v>0.82</v>
      </c>
      <c r="F3128">
        <v>0.86</v>
      </c>
      <c r="G3128">
        <v>0.82</v>
      </c>
      <c r="H3128">
        <v>0.83</v>
      </c>
      <c r="I3128" s="1">
        <v>971000</v>
      </c>
      <c r="J3128" s="1">
        <v>803050</v>
      </c>
      <c r="K3128">
        <v>13</v>
      </c>
      <c r="L3128">
        <v>0.81</v>
      </c>
      <c r="M3128">
        <v>0.82</v>
      </c>
      <c r="N3128" s="1">
        <v>5000000</v>
      </c>
      <c r="O3128">
        <v>0.82</v>
      </c>
      <c r="P3128">
        <v>1.51</v>
      </c>
      <c r="Q3128">
        <v>0.13</v>
      </c>
    </row>
    <row r="3129" spans="1:17" x14ac:dyDescent="0.25">
      <c r="A3129">
        <v>732055</v>
      </c>
      <c r="B3129" t="s">
        <v>4441</v>
      </c>
      <c r="C3129" t="s">
        <v>78</v>
      </c>
      <c r="D3129" t="s">
        <v>78</v>
      </c>
      <c r="E3129" t="s">
        <v>78</v>
      </c>
      <c r="F3129" t="s">
        <v>78</v>
      </c>
      <c r="G3129" t="s">
        <v>78</v>
      </c>
      <c r="H3129">
        <v>1.18</v>
      </c>
      <c r="I3129" s="1">
        <v>0</v>
      </c>
      <c r="J3129" s="1">
        <v>0</v>
      </c>
      <c r="K3129">
        <v>0</v>
      </c>
      <c r="L3129">
        <v>1.1499999999999999</v>
      </c>
      <c r="M3129">
        <v>1.17</v>
      </c>
      <c r="N3129" s="1">
        <v>10000000</v>
      </c>
      <c r="O3129">
        <v>1.17</v>
      </c>
      <c r="P3129">
        <v>2.1</v>
      </c>
      <c r="Q3129">
        <v>0.24</v>
      </c>
    </row>
    <row r="3130" spans="1:17" x14ac:dyDescent="0.25">
      <c r="A3130">
        <v>732056</v>
      </c>
      <c r="B3130" t="s">
        <v>4442</v>
      </c>
      <c r="C3130">
        <v>0.59</v>
      </c>
      <c r="D3130">
        <v>0.02</v>
      </c>
      <c r="E3130">
        <v>0.56000000000000005</v>
      </c>
      <c r="F3130">
        <v>0.59</v>
      </c>
      <c r="G3130">
        <v>0.56000000000000005</v>
      </c>
      <c r="H3130">
        <v>0.56000000000000005</v>
      </c>
      <c r="I3130" s="1">
        <v>106000</v>
      </c>
      <c r="J3130" s="1">
        <v>59540</v>
      </c>
      <c r="K3130">
        <v>2</v>
      </c>
      <c r="L3130">
        <v>0.55000000000000004</v>
      </c>
      <c r="M3130">
        <v>0.56999999999999995</v>
      </c>
      <c r="N3130" s="1">
        <v>10000000</v>
      </c>
      <c r="O3130">
        <v>0.59</v>
      </c>
      <c r="P3130">
        <v>1.01</v>
      </c>
      <c r="Q3130">
        <v>0.17</v>
      </c>
    </row>
    <row r="3131" spans="1:17" x14ac:dyDescent="0.25">
      <c r="A3131">
        <v>732057</v>
      </c>
      <c r="B3131" t="s">
        <v>4443</v>
      </c>
      <c r="C3131">
        <v>0.35</v>
      </c>
      <c r="D3131">
        <v>0.03</v>
      </c>
      <c r="E3131">
        <v>0.35</v>
      </c>
      <c r="F3131">
        <v>0.36</v>
      </c>
      <c r="G3131">
        <v>0.35</v>
      </c>
      <c r="H3131">
        <v>0.35</v>
      </c>
      <c r="I3131" s="1">
        <v>160000</v>
      </c>
      <c r="J3131" s="1">
        <v>56250</v>
      </c>
      <c r="K3131">
        <v>6</v>
      </c>
      <c r="L3131">
        <v>0.34</v>
      </c>
      <c r="M3131">
        <v>0.35</v>
      </c>
      <c r="N3131" s="1">
        <v>5000000</v>
      </c>
      <c r="O3131">
        <v>0.35</v>
      </c>
      <c r="P3131">
        <v>1.06</v>
      </c>
      <c r="Q3131">
        <v>0.01</v>
      </c>
    </row>
    <row r="3132" spans="1:17" x14ac:dyDescent="0.25">
      <c r="A3132">
        <v>732058</v>
      </c>
      <c r="B3132" t="s">
        <v>4444</v>
      </c>
      <c r="C3132">
        <v>0.41</v>
      </c>
      <c r="D3132">
        <v>-0.06</v>
      </c>
      <c r="E3132">
        <v>0.49</v>
      </c>
      <c r="F3132">
        <v>0.49</v>
      </c>
      <c r="G3132">
        <v>0.41</v>
      </c>
      <c r="H3132">
        <v>0.42</v>
      </c>
      <c r="I3132" s="1">
        <v>85000</v>
      </c>
      <c r="J3132" s="1">
        <v>36050</v>
      </c>
      <c r="K3132">
        <v>2</v>
      </c>
      <c r="L3132">
        <v>0.39</v>
      </c>
      <c r="M3132">
        <v>0.4</v>
      </c>
      <c r="N3132" s="1">
        <v>10000000</v>
      </c>
      <c r="O3132">
        <v>0.41</v>
      </c>
      <c r="P3132">
        <v>1.04</v>
      </c>
      <c r="Q3132">
        <v>0.01</v>
      </c>
    </row>
    <row r="3133" spans="1:17" x14ac:dyDescent="0.25">
      <c r="A3133">
        <v>732059</v>
      </c>
      <c r="B3133" t="s">
        <v>4445</v>
      </c>
      <c r="C3133">
        <v>0.56000000000000005</v>
      </c>
      <c r="D3133">
        <v>-7.0000000000000007E-2</v>
      </c>
      <c r="E3133">
        <v>0.56000000000000005</v>
      </c>
      <c r="F3133">
        <v>0.56000000000000005</v>
      </c>
      <c r="G3133">
        <v>0.56000000000000005</v>
      </c>
      <c r="H3133">
        <v>0.56000000000000005</v>
      </c>
      <c r="I3133" s="1">
        <v>10000</v>
      </c>
      <c r="J3133" s="1">
        <v>5600</v>
      </c>
      <c r="K3133">
        <v>1</v>
      </c>
      <c r="L3133">
        <v>0.54</v>
      </c>
      <c r="M3133">
        <v>0.55000000000000004</v>
      </c>
      <c r="N3133" s="1">
        <v>10000000</v>
      </c>
      <c r="O3133">
        <v>0.56000000000000005</v>
      </c>
      <c r="P3133">
        <v>1.23</v>
      </c>
      <c r="Q3133">
        <v>0.01</v>
      </c>
    </row>
    <row r="3134" spans="1:17" x14ac:dyDescent="0.25">
      <c r="A3134">
        <v>732060</v>
      </c>
      <c r="B3134" t="s">
        <v>4446</v>
      </c>
      <c r="C3134">
        <v>0.37</v>
      </c>
      <c r="D3134">
        <v>-0.02</v>
      </c>
      <c r="E3134">
        <v>0.38</v>
      </c>
      <c r="F3134">
        <v>0.38</v>
      </c>
      <c r="G3134">
        <v>0.37</v>
      </c>
      <c r="H3134">
        <v>0.38</v>
      </c>
      <c r="I3134" s="1">
        <v>129000</v>
      </c>
      <c r="J3134" s="1">
        <v>48980</v>
      </c>
      <c r="K3134">
        <v>11</v>
      </c>
      <c r="L3134">
        <v>0.36</v>
      </c>
      <c r="M3134">
        <v>0.37</v>
      </c>
      <c r="N3134" s="1">
        <v>10000000</v>
      </c>
      <c r="O3134">
        <v>0.37</v>
      </c>
      <c r="P3134">
        <v>1.49</v>
      </c>
      <c r="Q3134">
        <v>0.01</v>
      </c>
    </row>
    <row r="3135" spans="1:17" x14ac:dyDescent="0.25">
      <c r="A3135">
        <v>732061</v>
      </c>
      <c r="B3135" t="s">
        <v>4447</v>
      </c>
      <c r="C3135">
        <v>0.49</v>
      </c>
      <c r="D3135">
        <v>0</v>
      </c>
      <c r="E3135">
        <v>0.49</v>
      </c>
      <c r="F3135">
        <v>0.49</v>
      </c>
      <c r="G3135">
        <v>0.49</v>
      </c>
      <c r="H3135">
        <v>0.49</v>
      </c>
      <c r="I3135" s="1">
        <v>214000</v>
      </c>
      <c r="J3135" s="1">
        <v>104860</v>
      </c>
      <c r="K3135">
        <v>2</v>
      </c>
      <c r="L3135">
        <v>0.48</v>
      </c>
      <c r="M3135">
        <v>0.49</v>
      </c>
      <c r="N3135" s="1">
        <v>10000000</v>
      </c>
      <c r="O3135">
        <v>0.49</v>
      </c>
      <c r="P3135">
        <v>1.01</v>
      </c>
      <c r="Q3135">
        <v>0.01</v>
      </c>
    </row>
    <row r="3136" spans="1:17" x14ac:dyDescent="0.25">
      <c r="A3136">
        <v>732062</v>
      </c>
      <c r="B3136" t="s">
        <v>4448</v>
      </c>
      <c r="C3136" t="s">
        <v>78</v>
      </c>
      <c r="D3136" t="s">
        <v>78</v>
      </c>
      <c r="E3136" t="s">
        <v>78</v>
      </c>
      <c r="F3136" t="s">
        <v>78</v>
      </c>
      <c r="G3136" t="s">
        <v>78</v>
      </c>
      <c r="H3136">
        <v>0.11</v>
      </c>
      <c r="I3136" s="1">
        <v>0</v>
      </c>
      <c r="J3136" s="1">
        <v>0</v>
      </c>
      <c r="K3136">
        <v>0</v>
      </c>
      <c r="L3136">
        <v>0.1</v>
      </c>
      <c r="M3136">
        <v>0.11</v>
      </c>
      <c r="N3136" s="1">
        <v>10000000</v>
      </c>
      <c r="O3136">
        <v>0.11</v>
      </c>
      <c r="P3136">
        <v>0.81</v>
      </c>
      <c r="Q3136">
        <v>0.01</v>
      </c>
    </row>
    <row r="3137" spans="1:17" x14ac:dyDescent="0.25">
      <c r="A3137">
        <v>732063</v>
      </c>
      <c r="B3137" t="s">
        <v>4449</v>
      </c>
      <c r="C3137">
        <v>2.33</v>
      </c>
      <c r="D3137">
        <v>0.15</v>
      </c>
      <c r="E3137">
        <v>2.34</v>
      </c>
      <c r="F3137">
        <v>2.34</v>
      </c>
      <c r="G3137">
        <v>2.3199999999999998</v>
      </c>
      <c r="H3137">
        <v>2.33</v>
      </c>
      <c r="I3137" s="1">
        <v>31000</v>
      </c>
      <c r="J3137" s="1">
        <v>72330</v>
      </c>
      <c r="K3137">
        <v>3</v>
      </c>
      <c r="L3137">
        <v>2.16</v>
      </c>
      <c r="M3137">
        <v>2.21</v>
      </c>
      <c r="N3137" s="1">
        <v>10000000</v>
      </c>
      <c r="O3137">
        <v>2.33</v>
      </c>
      <c r="P3137">
        <v>3.51</v>
      </c>
      <c r="Q3137">
        <v>1.1499999999999999</v>
      </c>
    </row>
    <row r="3138" spans="1:17" x14ac:dyDescent="0.25">
      <c r="A3138">
        <v>732064</v>
      </c>
      <c r="B3138" t="s">
        <v>4450</v>
      </c>
      <c r="C3138">
        <v>0.98</v>
      </c>
      <c r="D3138">
        <v>-0.05</v>
      </c>
      <c r="E3138">
        <v>0.98</v>
      </c>
      <c r="F3138">
        <v>0.98</v>
      </c>
      <c r="G3138">
        <v>0.98</v>
      </c>
      <c r="H3138">
        <v>0.98</v>
      </c>
      <c r="I3138" s="1">
        <v>50000</v>
      </c>
      <c r="J3138" s="1">
        <v>49000</v>
      </c>
      <c r="K3138">
        <v>2</v>
      </c>
      <c r="L3138">
        <v>0.99</v>
      </c>
      <c r="M3138">
        <v>1.03</v>
      </c>
      <c r="N3138" s="1">
        <v>10000000</v>
      </c>
      <c r="O3138">
        <v>0.98</v>
      </c>
      <c r="P3138">
        <v>1.86</v>
      </c>
      <c r="Q3138">
        <v>0.1</v>
      </c>
    </row>
    <row r="3139" spans="1:17" x14ac:dyDescent="0.25">
      <c r="A3139">
        <v>732065</v>
      </c>
      <c r="B3139" t="s">
        <v>4451</v>
      </c>
      <c r="C3139" t="s">
        <v>78</v>
      </c>
      <c r="D3139" t="s">
        <v>78</v>
      </c>
      <c r="E3139" t="s">
        <v>78</v>
      </c>
      <c r="F3139" t="s">
        <v>78</v>
      </c>
      <c r="G3139" t="s">
        <v>78</v>
      </c>
      <c r="H3139">
        <v>0.9</v>
      </c>
      <c r="I3139" s="1">
        <v>0</v>
      </c>
      <c r="J3139" s="1">
        <v>0</v>
      </c>
      <c r="K3139">
        <v>0</v>
      </c>
      <c r="L3139">
        <v>0.88</v>
      </c>
      <c r="M3139">
        <v>0.92</v>
      </c>
      <c r="N3139" s="1">
        <v>10000000</v>
      </c>
      <c r="O3139">
        <v>0.89</v>
      </c>
      <c r="P3139">
        <v>2.0499999999999998</v>
      </c>
      <c r="Q3139">
        <v>0.01</v>
      </c>
    </row>
    <row r="3140" spans="1:17" x14ac:dyDescent="0.25">
      <c r="A3140">
        <v>732066</v>
      </c>
      <c r="B3140" t="s">
        <v>4452</v>
      </c>
      <c r="C3140">
        <v>0.91</v>
      </c>
      <c r="D3140">
        <v>0.02</v>
      </c>
      <c r="E3140">
        <v>1.05</v>
      </c>
      <c r="F3140">
        <v>1.05</v>
      </c>
      <c r="G3140">
        <v>0.91</v>
      </c>
      <c r="H3140">
        <v>0.98</v>
      </c>
      <c r="I3140" s="1">
        <v>84000</v>
      </c>
      <c r="J3140" s="1">
        <v>82600</v>
      </c>
      <c r="K3140">
        <v>2</v>
      </c>
      <c r="L3140">
        <v>0.97</v>
      </c>
      <c r="M3140">
        <v>0.98</v>
      </c>
      <c r="N3140" s="1">
        <v>10000000</v>
      </c>
      <c r="O3140">
        <v>0.91</v>
      </c>
      <c r="P3140">
        <v>1.98</v>
      </c>
      <c r="Q3140">
        <v>0.01</v>
      </c>
    </row>
    <row r="3141" spans="1:17" x14ac:dyDescent="0.25">
      <c r="A3141">
        <v>732067</v>
      </c>
      <c r="B3141" t="s">
        <v>4453</v>
      </c>
      <c r="C3141" t="s">
        <v>78</v>
      </c>
      <c r="D3141" t="s">
        <v>78</v>
      </c>
      <c r="E3141" t="s">
        <v>78</v>
      </c>
      <c r="F3141" t="s">
        <v>78</v>
      </c>
      <c r="G3141" t="s">
        <v>78</v>
      </c>
      <c r="H3141">
        <v>3.83</v>
      </c>
      <c r="I3141" s="1">
        <v>0</v>
      </c>
      <c r="J3141" s="1">
        <v>0</v>
      </c>
      <c r="K3141">
        <v>0</v>
      </c>
      <c r="L3141">
        <v>4.3099999999999996</v>
      </c>
      <c r="M3141">
        <v>0</v>
      </c>
      <c r="N3141" s="1">
        <v>5000000</v>
      </c>
      <c r="O3141">
        <v>4.6100000000000003</v>
      </c>
      <c r="P3141">
        <v>5.95</v>
      </c>
      <c r="Q3141">
        <v>3.23</v>
      </c>
    </row>
    <row r="3142" spans="1:17" x14ac:dyDescent="0.25">
      <c r="A3142">
        <v>732068</v>
      </c>
      <c r="B3142" t="s">
        <v>4454</v>
      </c>
      <c r="C3142" t="s">
        <v>78</v>
      </c>
      <c r="D3142" t="s">
        <v>78</v>
      </c>
      <c r="E3142" t="s">
        <v>78</v>
      </c>
      <c r="F3142" t="s">
        <v>78</v>
      </c>
      <c r="G3142" t="s">
        <v>78</v>
      </c>
      <c r="H3142">
        <v>0.14000000000000001</v>
      </c>
      <c r="I3142" s="1">
        <v>0</v>
      </c>
      <c r="J3142" s="1">
        <v>0</v>
      </c>
      <c r="K3142">
        <v>0</v>
      </c>
      <c r="L3142">
        <v>0.14000000000000001</v>
      </c>
      <c r="M3142">
        <v>0.15</v>
      </c>
      <c r="N3142" s="1">
        <v>10000000</v>
      </c>
      <c r="O3142">
        <v>0.15</v>
      </c>
      <c r="P3142">
        <v>0.72</v>
      </c>
      <c r="Q3142">
        <v>0.01</v>
      </c>
    </row>
    <row r="3143" spans="1:17" x14ac:dyDescent="0.25">
      <c r="A3143">
        <v>732069</v>
      </c>
      <c r="B3143" t="s">
        <v>4455</v>
      </c>
      <c r="C3143">
        <v>0.41</v>
      </c>
      <c r="D3143">
        <v>0.06</v>
      </c>
      <c r="E3143">
        <v>0.37</v>
      </c>
      <c r="F3143">
        <v>0.41</v>
      </c>
      <c r="G3143">
        <v>0.37</v>
      </c>
      <c r="H3143">
        <v>0.38</v>
      </c>
      <c r="I3143" s="1">
        <v>161000</v>
      </c>
      <c r="J3143" s="1">
        <v>60610</v>
      </c>
      <c r="K3143">
        <v>5</v>
      </c>
      <c r="L3143">
        <v>0.4</v>
      </c>
      <c r="M3143">
        <v>0.41</v>
      </c>
      <c r="N3143" s="1">
        <v>10000000</v>
      </c>
      <c r="O3143">
        <v>0.41</v>
      </c>
      <c r="P3143">
        <v>0.94</v>
      </c>
      <c r="Q3143">
        <v>0.01</v>
      </c>
    </row>
    <row r="3144" spans="1:17" x14ac:dyDescent="0.25">
      <c r="A3144">
        <v>732070</v>
      </c>
      <c r="B3144" t="s">
        <v>4456</v>
      </c>
      <c r="C3144">
        <v>0.8</v>
      </c>
      <c r="D3144">
        <v>0.04</v>
      </c>
      <c r="E3144">
        <v>0.78</v>
      </c>
      <c r="F3144">
        <v>0.84</v>
      </c>
      <c r="G3144">
        <v>0.78</v>
      </c>
      <c r="H3144">
        <v>0.81</v>
      </c>
      <c r="I3144" s="1">
        <v>504000</v>
      </c>
      <c r="J3144" s="1">
        <v>408380</v>
      </c>
      <c r="K3144">
        <v>9</v>
      </c>
      <c r="L3144">
        <v>0.78</v>
      </c>
      <c r="M3144">
        <v>0.79</v>
      </c>
      <c r="N3144" s="1">
        <v>5000000</v>
      </c>
      <c r="O3144">
        <v>0.8</v>
      </c>
      <c r="P3144">
        <v>1.31</v>
      </c>
      <c r="Q3144">
        <v>0.28999999999999998</v>
      </c>
    </row>
    <row r="3145" spans="1:17" x14ac:dyDescent="0.25">
      <c r="A3145">
        <v>732071</v>
      </c>
      <c r="B3145" t="s">
        <v>4457</v>
      </c>
      <c r="C3145">
        <v>0.7</v>
      </c>
      <c r="D3145">
        <v>0.01</v>
      </c>
      <c r="E3145">
        <v>0.7</v>
      </c>
      <c r="F3145">
        <v>0.77</v>
      </c>
      <c r="G3145">
        <v>0.69</v>
      </c>
      <c r="H3145">
        <v>0.72</v>
      </c>
      <c r="I3145" s="1">
        <v>401000</v>
      </c>
      <c r="J3145" s="1">
        <v>287850</v>
      </c>
      <c r="K3145">
        <v>12</v>
      </c>
      <c r="L3145">
        <v>0.7</v>
      </c>
      <c r="M3145">
        <v>0.71</v>
      </c>
      <c r="N3145" s="1">
        <v>5000000</v>
      </c>
      <c r="O3145">
        <v>0.7</v>
      </c>
      <c r="P3145">
        <v>1.4</v>
      </c>
      <c r="Q3145">
        <v>0.01</v>
      </c>
    </row>
    <row r="3146" spans="1:17" x14ac:dyDescent="0.25">
      <c r="A3146">
        <v>732072</v>
      </c>
      <c r="B3146" t="s">
        <v>4458</v>
      </c>
      <c r="C3146" t="s">
        <v>78</v>
      </c>
      <c r="D3146" t="s">
        <v>78</v>
      </c>
      <c r="E3146" t="s">
        <v>78</v>
      </c>
      <c r="F3146" t="s">
        <v>78</v>
      </c>
      <c r="G3146" t="s">
        <v>78</v>
      </c>
      <c r="H3146">
        <v>0.44</v>
      </c>
      <c r="I3146" s="1">
        <v>0</v>
      </c>
      <c r="J3146" s="1">
        <v>0</v>
      </c>
      <c r="K3146">
        <v>0</v>
      </c>
      <c r="L3146">
        <v>0.42</v>
      </c>
      <c r="M3146">
        <v>0.43</v>
      </c>
      <c r="N3146" s="1">
        <v>10000000</v>
      </c>
      <c r="O3146">
        <v>0.43</v>
      </c>
      <c r="P3146">
        <v>1.3</v>
      </c>
      <c r="Q3146">
        <v>0.01</v>
      </c>
    </row>
    <row r="3147" spans="1:17" x14ac:dyDescent="0.25">
      <c r="A3147">
        <v>732073</v>
      </c>
      <c r="B3147" t="s">
        <v>4459</v>
      </c>
      <c r="C3147">
        <v>1.99</v>
      </c>
      <c r="D3147">
        <v>0.15</v>
      </c>
      <c r="E3147">
        <v>1.82</v>
      </c>
      <c r="F3147">
        <v>2.06</v>
      </c>
      <c r="G3147">
        <v>1.78</v>
      </c>
      <c r="H3147">
        <v>1.85</v>
      </c>
      <c r="I3147" s="1">
        <v>98000</v>
      </c>
      <c r="J3147" s="1">
        <v>181340</v>
      </c>
      <c r="K3147">
        <v>10</v>
      </c>
      <c r="L3147">
        <v>1.92</v>
      </c>
      <c r="M3147">
        <v>1.93</v>
      </c>
      <c r="N3147" s="1">
        <v>5000000</v>
      </c>
      <c r="O3147">
        <v>1.99</v>
      </c>
      <c r="P3147">
        <v>3.31</v>
      </c>
      <c r="Q3147">
        <v>0.67</v>
      </c>
    </row>
    <row r="3148" spans="1:17" x14ac:dyDescent="0.25">
      <c r="A3148">
        <v>732074</v>
      </c>
      <c r="B3148" t="s">
        <v>4460</v>
      </c>
      <c r="C3148" t="s">
        <v>78</v>
      </c>
      <c r="D3148" t="s">
        <v>78</v>
      </c>
      <c r="E3148" t="s">
        <v>78</v>
      </c>
      <c r="F3148" t="s">
        <v>78</v>
      </c>
      <c r="G3148" t="s">
        <v>78</v>
      </c>
      <c r="H3148">
        <v>0.23</v>
      </c>
      <c r="I3148" s="1">
        <v>0</v>
      </c>
      <c r="J3148" s="1">
        <v>0</v>
      </c>
      <c r="K3148">
        <v>0</v>
      </c>
      <c r="L3148">
        <v>7.0000000000000007E-2</v>
      </c>
      <c r="M3148">
        <v>0.08</v>
      </c>
      <c r="N3148" s="1">
        <v>5000000</v>
      </c>
      <c r="O3148">
        <v>0.08</v>
      </c>
      <c r="P3148">
        <v>0.64</v>
      </c>
      <c r="Q3148">
        <v>0.01</v>
      </c>
    </row>
    <row r="3149" spans="1:17" x14ac:dyDescent="0.25">
      <c r="A3149">
        <v>732075</v>
      </c>
      <c r="B3149" t="s">
        <v>4461</v>
      </c>
      <c r="C3149">
        <v>0.47</v>
      </c>
      <c r="D3149">
        <v>-0.03</v>
      </c>
      <c r="E3149">
        <v>0.47</v>
      </c>
      <c r="F3149">
        <v>0.47</v>
      </c>
      <c r="G3149">
        <v>0.46</v>
      </c>
      <c r="H3149">
        <v>0.46</v>
      </c>
      <c r="I3149" s="1">
        <v>70000</v>
      </c>
      <c r="J3149" s="1">
        <v>32500</v>
      </c>
      <c r="K3149">
        <v>6</v>
      </c>
      <c r="L3149">
        <v>0.47</v>
      </c>
      <c r="M3149">
        <v>0.48</v>
      </c>
      <c r="N3149" s="1">
        <v>5000000</v>
      </c>
      <c r="O3149">
        <v>0.47</v>
      </c>
      <c r="P3149">
        <v>1.17</v>
      </c>
      <c r="Q3149">
        <v>0.01</v>
      </c>
    </row>
    <row r="3150" spans="1:17" x14ac:dyDescent="0.25">
      <c r="A3150">
        <v>732076</v>
      </c>
      <c r="B3150" t="s">
        <v>4462</v>
      </c>
      <c r="C3150" t="s">
        <v>78</v>
      </c>
      <c r="D3150" t="s">
        <v>78</v>
      </c>
      <c r="E3150" t="s">
        <v>78</v>
      </c>
      <c r="F3150" t="s">
        <v>78</v>
      </c>
      <c r="G3150" t="s">
        <v>78</v>
      </c>
      <c r="H3150">
        <v>9.4499999999999993</v>
      </c>
      <c r="I3150" s="1">
        <v>0</v>
      </c>
      <c r="J3150" s="1">
        <v>0</v>
      </c>
      <c r="K3150">
        <v>0</v>
      </c>
      <c r="L3150">
        <v>11.3</v>
      </c>
      <c r="M3150">
        <v>11.4</v>
      </c>
      <c r="N3150" s="1">
        <v>5000000</v>
      </c>
      <c r="O3150">
        <v>11.4</v>
      </c>
      <c r="P3150">
        <v>15.6</v>
      </c>
      <c r="Q3150">
        <v>7.2</v>
      </c>
    </row>
    <row r="3151" spans="1:17" x14ac:dyDescent="0.25">
      <c r="A3151">
        <v>732077</v>
      </c>
      <c r="B3151" t="s">
        <v>4463</v>
      </c>
      <c r="C3151">
        <v>1.18</v>
      </c>
      <c r="D3151">
        <v>0.1</v>
      </c>
      <c r="E3151">
        <v>1.08</v>
      </c>
      <c r="F3151">
        <v>1.18</v>
      </c>
      <c r="G3151">
        <v>1.05</v>
      </c>
      <c r="H3151">
        <v>1.1299999999999999</v>
      </c>
      <c r="I3151" s="1">
        <v>168000</v>
      </c>
      <c r="J3151" s="1">
        <v>189310</v>
      </c>
      <c r="K3151">
        <v>15</v>
      </c>
      <c r="L3151">
        <v>1.17</v>
      </c>
      <c r="M3151">
        <v>1.18</v>
      </c>
      <c r="N3151" s="1">
        <v>10000000</v>
      </c>
      <c r="O3151">
        <v>1.18</v>
      </c>
      <c r="P3151">
        <v>2.81</v>
      </c>
      <c r="Q3151">
        <v>0.01</v>
      </c>
    </row>
    <row r="3152" spans="1:17" x14ac:dyDescent="0.25">
      <c r="A3152">
        <v>732078</v>
      </c>
      <c r="B3152" t="s">
        <v>4464</v>
      </c>
      <c r="C3152">
        <v>0.16</v>
      </c>
      <c r="D3152">
        <v>0.01</v>
      </c>
      <c r="E3152">
        <v>0.18</v>
      </c>
      <c r="F3152">
        <v>0.2</v>
      </c>
      <c r="G3152">
        <v>0.16</v>
      </c>
      <c r="H3152">
        <v>0.18</v>
      </c>
      <c r="I3152" s="1">
        <v>1214000</v>
      </c>
      <c r="J3152" s="1">
        <v>221690</v>
      </c>
      <c r="K3152">
        <v>14</v>
      </c>
      <c r="L3152">
        <v>0.15</v>
      </c>
      <c r="M3152">
        <v>0.16</v>
      </c>
      <c r="N3152" s="1">
        <v>10000000</v>
      </c>
      <c r="O3152">
        <v>0.16</v>
      </c>
      <c r="P3152">
        <v>1.87</v>
      </c>
      <c r="Q3152">
        <v>0.01</v>
      </c>
    </row>
    <row r="3153" spans="1:17" x14ac:dyDescent="0.25">
      <c r="A3153">
        <v>732079</v>
      </c>
      <c r="B3153" t="s">
        <v>4465</v>
      </c>
      <c r="C3153" t="s">
        <v>78</v>
      </c>
      <c r="D3153" t="s">
        <v>78</v>
      </c>
      <c r="E3153" t="s">
        <v>78</v>
      </c>
      <c r="F3153" t="s">
        <v>78</v>
      </c>
      <c r="G3153" t="s">
        <v>78</v>
      </c>
      <c r="H3153">
        <v>0.44</v>
      </c>
      <c r="I3153" s="1">
        <v>0</v>
      </c>
      <c r="J3153" s="1">
        <v>0</v>
      </c>
      <c r="K3153">
        <v>0</v>
      </c>
      <c r="L3153">
        <v>0.37</v>
      </c>
      <c r="M3153">
        <v>0.38</v>
      </c>
      <c r="N3153" s="1">
        <v>10000000</v>
      </c>
      <c r="O3153">
        <v>0.38</v>
      </c>
      <c r="P3153">
        <v>0.56000000000000005</v>
      </c>
      <c r="Q3153">
        <v>0.2</v>
      </c>
    </row>
    <row r="3154" spans="1:17" x14ac:dyDescent="0.25">
      <c r="A3154">
        <v>732080</v>
      </c>
      <c r="B3154" t="s">
        <v>4466</v>
      </c>
      <c r="C3154">
        <v>1.99</v>
      </c>
      <c r="D3154">
        <v>-0.04</v>
      </c>
      <c r="E3154">
        <v>1.98</v>
      </c>
      <c r="F3154">
        <v>2.09</v>
      </c>
      <c r="G3154">
        <v>1.9</v>
      </c>
      <c r="H3154">
        <v>1.95</v>
      </c>
      <c r="I3154" s="1">
        <v>912000</v>
      </c>
      <c r="J3154" s="1">
        <v>1782930</v>
      </c>
      <c r="K3154">
        <v>23</v>
      </c>
      <c r="L3154">
        <v>2</v>
      </c>
      <c r="M3154">
        <v>2.02</v>
      </c>
      <c r="N3154" s="1">
        <v>5000000</v>
      </c>
      <c r="O3154">
        <v>1.99</v>
      </c>
      <c r="P3154">
        <v>3.26</v>
      </c>
      <c r="Q3154">
        <v>0.72</v>
      </c>
    </row>
    <row r="3155" spans="1:17" x14ac:dyDescent="0.25">
      <c r="A3155">
        <v>732081</v>
      </c>
      <c r="B3155" t="s">
        <v>4467</v>
      </c>
      <c r="C3155">
        <v>0.21</v>
      </c>
      <c r="D3155">
        <v>-0.02</v>
      </c>
      <c r="E3155">
        <v>0.21</v>
      </c>
      <c r="F3155">
        <v>0.21</v>
      </c>
      <c r="G3155">
        <v>0.21</v>
      </c>
      <c r="H3155">
        <v>0.21</v>
      </c>
      <c r="I3155" s="1">
        <v>8000</v>
      </c>
      <c r="J3155" s="1">
        <v>1680</v>
      </c>
      <c r="K3155">
        <v>1</v>
      </c>
      <c r="L3155">
        <v>0.2</v>
      </c>
      <c r="M3155">
        <v>0.22</v>
      </c>
      <c r="N3155" s="1">
        <v>10000000</v>
      </c>
      <c r="O3155">
        <v>0.21</v>
      </c>
      <c r="P3155">
        <v>0.46</v>
      </c>
      <c r="Q3155">
        <v>0.01</v>
      </c>
    </row>
    <row r="3156" spans="1:17" x14ac:dyDescent="0.25">
      <c r="A3156">
        <v>732082</v>
      </c>
      <c r="B3156" t="s">
        <v>4468</v>
      </c>
      <c r="C3156">
        <v>1.37</v>
      </c>
      <c r="D3156">
        <v>-0.11</v>
      </c>
      <c r="E3156">
        <v>1.44</v>
      </c>
      <c r="F3156">
        <v>1.44</v>
      </c>
      <c r="G3156">
        <v>1.37</v>
      </c>
      <c r="H3156">
        <v>1.43</v>
      </c>
      <c r="I3156" s="1">
        <v>84000</v>
      </c>
      <c r="J3156" s="1">
        <v>120510</v>
      </c>
      <c r="K3156">
        <v>3</v>
      </c>
      <c r="L3156">
        <v>1.33</v>
      </c>
      <c r="M3156">
        <v>1.34</v>
      </c>
      <c r="N3156" s="1">
        <v>5000000</v>
      </c>
      <c r="O3156">
        <v>1.37</v>
      </c>
      <c r="P3156">
        <v>2.57</v>
      </c>
      <c r="Q3156">
        <v>0.17</v>
      </c>
    </row>
    <row r="3157" spans="1:17" x14ac:dyDescent="0.25">
      <c r="A3157">
        <v>732083</v>
      </c>
      <c r="B3157" t="s">
        <v>4469</v>
      </c>
      <c r="C3157">
        <v>1.28</v>
      </c>
      <c r="D3157">
        <v>-0.08</v>
      </c>
      <c r="E3157">
        <v>1.28</v>
      </c>
      <c r="F3157">
        <v>1.28</v>
      </c>
      <c r="G3157">
        <v>1.28</v>
      </c>
      <c r="H3157">
        <v>1.28</v>
      </c>
      <c r="I3157" s="1">
        <v>2000</v>
      </c>
      <c r="J3157" s="1">
        <v>2560</v>
      </c>
      <c r="K3157">
        <v>1</v>
      </c>
      <c r="L3157">
        <v>1.3</v>
      </c>
      <c r="M3157">
        <v>1.32</v>
      </c>
      <c r="N3157" s="1">
        <v>10000000</v>
      </c>
      <c r="O3157">
        <v>1.28</v>
      </c>
      <c r="P3157">
        <v>2.16</v>
      </c>
      <c r="Q3157">
        <v>0.4</v>
      </c>
    </row>
    <row r="3158" spans="1:17" x14ac:dyDescent="0.25">
      <c r="A3158">
        <v>732084</v>
      </c>
      <c r="B3158" t="s">
        <v>4470</v>
      </c>
      <c r="C3158">
        <v>0.59</v>
      </c>
      <c r="D3158">
        <v>-7.0000000000000007E-2</v>
      </c>
      <c r="E3158">
        <v>0.67</v>
      </c>
      <c r="F3158">
        <v>0.68</v>
      </c>
      <c r="G3158">
        <v>0.59</v>
      </c>
      <c r="H3158">
        <v>0.66</v>
      </c>
      <c r="I3158" s="1">
        <v>562000</v>
      </c>
      <c r="J3158" s="1">
        <v>373140</v>
      </c>
      <c r="K3158">
        <v>11</v>
      </c>
      <c r="L3158">
        <v>0.56000000000000005</v>
      </c>
      <c r="M3158">
        <v>0.56999999999999995</v>
      </c>
      <c r="N3158" s="1">
        <v>10000000</v>
      </c>
      <c r="O3158">
        <v>0.59</v>
      </c>
      <c r="P3158">
        <v>1.36</v>
      </c>
      <c r="Q3158">
        <v>0.01</v>
      </c>
    </row>
    <row r="3159" spans="1:17" x14ac:dyDescent="0.25">
      <c r="A3159">
        <v>732085</v>
      </c>
      <c r="B3159" t="s">
        <v>4471</v>
      </c>
      <c r="C3159">
        <v>0.04</v>
      </c>
      <c r="D3159">
        <v>0</v>
      </c>
      <c r="E3159">
        <v>0.04</v>
      </c>
      <c r="F3159">
        <v>0.04</v>
      </c>
      <c r="G3159">
        <v>0.04</v>
      </c>
      <c r="H3159">
        <v>0.04</v>
      </c>
      <c r="I3159" s="1">
        <v>400000</v>
      </c>
      <c r="J3159" s="1">
        <v>16000</v>
      </c>
      <c r="K3159">
        <v>4</v>
      </c>
      <c r="L3159">
        <v>0.03</v>
      </c>
      <c r="M3159">
        <v>0.04</v>
      </c>
      <c r="N3159" s="1">
        <v>5000000</v>
      </c>
      <c r="O3159">
        <v>0.04</v>
      </c>
      <c r="P3159">
        <v>1.3</v>
      </c>
      <c r="Q3159">
        <v>0.01</v>
      </c>
    </row>
    <row r="3160" spans="1:17" x14ac:dyDescent="0.25">
      <c r="A3160">
        <v>732086</v>
      </c>
      <c r="B3160" t="s">
        <v>4472</v>
      </c>
      <c r="C3160">
        <v>1.17</v>
      </c>
      <c r="D3160">
        <v>0.12</v>
      </c>
      <c r="E3160">
        <v>1.1299999999999999</v>
      </c>
      <c r="F3160">
        <v>1.17</v>
      </c>
      <c r="G3160">
        <v>1.1299999999999999</v>
      </c>
      <c r="H3160">
        <v>1.1499999999999999</v>
      </c>
      <c r="I3160" s="1">
        <v>20000</v>
      </c>
      <c r="J3160" s="1">
        <v>23000</v>
      </c>
      <c r="K3160">
        <v>2</v>
      </c>
      <c r="L3160">
        <v>1.17</v>
      </c>
      <c r="M3160">
        <v>1.2</v>
      </c>
      <c r="N3160" s="1">
        <v>5000000</v>
      </c>
      <c r="O3160">
        <v>1.17</v>
      </c>
      <c r="P3160">
        <v>2.89</v>
      </c>
      <c r="Q3160">
        <v>0.01</v>
      </c>
    </row>
    <row r="3161" spans="1:17" x14ac:dyDescent="0.25">
      <c r="A3161">
        <v>732087</v>
      </c>
      <c r="B3161" t="s">
        <v>4473</v>
      </c>
      <c r="C3161">
        <v>0.67</v>
      </c>
      <c r="D3161">
        <v>0.04</v>
      </c>
      <c r="E3161">
        <v>0.65</v>
      </c>
      <c r="F3161">
        <v>0.69</v>
      </c>
      <c r="G3161">
        <v>0.65</v>
      </c>
      <c r="H3161">
        <v>0.65</v>
      </c>
      <c r="I3161" s="1">
        <v>202000</v>
      </c>
      <c r="J3161" s="1">
        <v>131360</v>
      </c>
      <c r="K3161">
        <v>4</v>
      </c>
      <c r="L3161">
        <v>0.62</v>
      </c>
      <c r="M3161">
        <v>0.66</v>
      </c>
      <c r="N3161" s="1">
        <v>5000000</v>
      </c>
      <c r="O3161">
        <v>0.67</v>
      </c>
      <c r="P3161">
        <v>1.38</v>
      </c>
      <c r="Q3161">
        <v>0.01</v>
      </c>
    </row>
    <row r="3162" spans="1:17" x14ac:dyDescent="0.25">
      <c r="A3162">
        <v>732088</v>
      </c>
      <c r="B3162" t="s">
        <v>4474</v>
      </c>
      <c r="C3162">
        <v>0.61</v>
      </c>
      <c r="D3162">
        <v>0.01</v>
      </c>
      <c r="E3162">
        <v>0.6</v>
      </c>
      <c r="F3162">
        <v>0.62</v>
      </c>
      <c r="G3162">
        <v>0.6</v>
      </c>
      <c r="H3162">
        <v>0.61</v>
      </c>
      <c r="I3162" s="1">
        <v>576000</v>
      </c>
      <c r="J3162" s="1">
        <v>351060</v>
      </c>
      <c r="K3162">
        <v>14</v>
      </c>
      <c r="L3162">
        <v>0.59</v>
      </c>
      <c r="M3162">
        <v>0.6</v>
      </c>
      <c r="N3162" s="1">
        <v>10000000</v>
      </c>
      <c r="O3162">
        <v>0.61</v>
      </c>
      <c r="P3162">
        <v>1.54</v>
      </c>
      <c r="Q3162">
        <v>0.01</v>
      </c>
    </row>
    <row r="3163" spans="1:17" x14ac:dyDescent="0.25">
      <c r="A3163">
        <v>732089</v>
      </c>
      <c r="B3163" t="s">
        <v>4475</v>
      </c>
      <c r="C3163" t="s">
        <v>78</v>
      </c>
      <c r="D3163" t="s">
        <v>78</v>
      </c>
      <c r="E3163" t="s">
        <v>78</v>
      </c>
      <c r="F3163" t="s">
        <v>78</v>
      </c>
      <c r="G3163" t="s">
        <v>78</v>
      </c>
      <c r="H3163">
        <v>0.31</v>
      </c>
      <c r="I3163" s="1">
        <v>0</v>
      </c>
      <c r="J3163" s="1">
        <v>0</v>
      </c>
      <c r="K3163">
        <v>0</v>
      </c>
      <c r="L3163">
        <v>0.3</v>
      </c>
      <c r="M3163">
        <v>0.31</v>
      </c>
      <c r="N3163" s="1">
        <v>10000000</v>
      </c>
      <c r="O3163">
        <v>0.31</v>
      </c>
      <c r="P3163">
        <v>1.08</v>
      </c>
      <c r="Q3163">
        <v>0.01</v>
      </c>
    </row>
    <row r="3164" spans="1:17" x14ac:dyDescent="0.25">
      <c r="A3164">
        <v>732090</v>
      </c>
      <c r="B3164" t="s">
        <v>4476</v>
      </c>
      <c r="C3164" t="s">
        <v>78</v>
      </c>
      <c r="D3164" t="s">
        <v>78</v>
      </c>
      <c r="E3164" t="s">
        <v>78</v>
      </c>
      <c r="F3164" t="s">
        <v>78</v>
      </c>
      <c r="G3164" t="s">
        <v>78</v>
      </c>
      <c r="H3164">
        <v>0.4</v>
      </c>
      <c r="I3164" s="1">
        <v>0</v>
      </c>
      <c r="J3164" s="1">
        <v>0</v>
      </c>
      <c r="K3164">
        <v>0</v>
      </c>
      <c r="L3164">
        <v>0.37</v>
      </c>
      <c r="M3164">
        <v>0.38</v>
      </c>
      <c r="N3164" s="1">
        <v>10000000</v>
      </c>
      <c r="O3164">
        <v>0.38</v>
      </c>
      <c r="P3164">
        <v>0.89</v>
      </c>
      <c r="Q3164">
        <v>0.01</v>
      </c>
    </row>
    <row r="3165" spans="1:17" x14ac:dyDescent="0.25">
      <c r="A3165">
        <v>732091</v>
      </c>
      <c r="B3165" t="s">
        <v>4477</v>
      </c>
      <c r="C3165" t="s">
        <v>78</v>
      </c>
      <c r="D3165" t="s">
        <v>78</v>
      </c>
      <c r="E3165" t="s">
        <v>78</v>
      </c>
      <c r="F3165" t="s">
        <v>78</v>
      </c>
      <c r="G3165" t="s">
        <v>78</v>
      </c>
      <c r="H3165">
        <v>0.73</v>
      </c>
      <c r="I3165" s="1">
        <v>0</v>
      </c>
      <c r="J3165" s="1">
        <v>0</v>
      </c>
      <c r="K3165">
        <v>0</v>
      </c>
      <c r="L3165">
        <v>0.75</v>
      </c>
      <c r="M3165">
        <v>0.76</v>
      </c>
      <c r="N3165" s="1">
        <v>10000000</v>
      </c>
      <c r="O3165">
        <v>0.75</v>
      </c>
      <c r="P3165">
        <v>1.38</v>
      </c>
      <c r="Q3165">
        <v>0.12</v>
      </c>
    </row>
    <row r="3166" spans="1:17" x14ac:dyDescent="0.25">
      <c r="A3166">
        <v>732092</v>
      </c>
      <c r="B3166" t="s">
        <v>4478</v>
      </c>
      <c r="C3166" t="s">
        <v>78</v>
      </c>
      <c r="D3166" t="s">
        <v>78</v>
      </c>
      <c r="E3166" t="s">
        <v>78</v>
      </c>
      <c r="F3166" t="s">
        <v>78</v>
      </c>
      <c r="G3166" t="s">
        <v>78</v>
      </c>
      <c r="H3166">
        <v>1.06</v>
      </c>
      <c r="I3166" s="1">
        <v>0</v>
      </c>
      <c r="J3166" s="1">
        <v>0</v>
      </c>
      <c r="K3166">
        <v>0</v>
      </c>
      <c r="L3166">
        <v>1.02</v>
      </c>
      <c r="M3166">
        <v>1.03</v>
      </c>
      <c r="N3166" s="1">
        <v>10000000</v>
      </c>
      <c r="O3166">
        <v>1.03</v>
      </c>
      <c r="P3166">
        <v>1.99</v>
      </c>
      <c r="Q3166">
        <v>7.0000000000000007E-2</v>
      </c>
    </row>
    <row r="3167" spans="1:17" x14ac:dyDescent="0.25">
      <c r="A3167">
        <v>732093</v>
      </c>
      <c r="B3167" t="s">
        <v>4479</v>
      </c>
      <c r="C3167">
        <v>0.68</v>
      </c>
      <c r="D3167">
        <v>0.02</v>
      </c>
      <c r="E3167">
        <v>0.69</v>
      </c>
      <c r="F3167">
        <v>0.73</v>
      </c>
      <c r="G3167">
        <v>0.68</v>
      </c>
      <c r="H3167">
        <v>0.71</v>
      </c>
      <c r="I3167" s="1">
        <v>718000</v>
      </c>
      <c r="J3167" s="1">
        <v>508640</v>
      </c>
      <c r="K3167">
        <v>17</v>
      </c>
      <c r="L3167">
        <v>0.68</v>
      </c>
      <c r="M3167">
        <v>0.69</v>
      </c>
      <c r="N3167" s="1">
        <v>10000000</v>
      </c>
      <c r="O3167">
        <v>0.68</v>
      </c>
      <c r="P3167">
        <v>1.06</v>
      </c>
      <c r="Q3167">
        <v>0.3</v>
      </c>
    </row>
    <row r="3168" spans="1:17" x14ac:dyDescent="0.25">
      <c r="A3168">
        <v>732094</v>
      </c>
      <c r="B3168" t="s">
        <v>4480</v>
      </c>
      <c r="C3168">
        <v>1.89</v>
      </c>
      <c r="D3168">
        <v>0.33</v>
      </c>
      <c r="E3168">
        <v>1.65</v>
      </c>
      <c r="F3168">
        <v>1.89</v>
      </c>
      <c r="G3168">
        <v>1.51</v>
      </c>
      <c r="H3168">
        <v>1.62</v>
      </c>
      <c r="I3168" s="1">
        <v>172000</v>
      </c>
      <c r="J3168" s="1">
        <v>278700</v>
      </c>
      <c r="K3168">
        <v>19</v>
      </c>
      <c r="L3168">
        <v>1.76</v>
      </c>
      <c r="M3168">
        <v>1.77</v>
      </c>
      <c r="N3168" s="1">
        <v>10000000</v>
      </c>
      <c r="O3168">
        <v>1.89</v>
      </c>
      <c r="P3168">
        <v>3.97</v>
      </c>
      <c r="Q3168">
        <v>0.01</v>
      </c>
    </row>
    <row r="3169" spans="1:17" x14ac:dyDescent="0.25">
      <c r="A3169">
        <v>732095</v>
      </c>
      <c r="B3169" t="s">
        <v>4481</v>
      </c>
      <c r="C3169">
        <v>0.22</v>
      </c>
      <c r="D3169">
        <v>0.04</v>
      </c>
      <c r="E3169">
        <v>0.23</v>
      </c>
      <c r="F3169">
        <v>0.27</v>
      </c>
      <c r="G3169">
        <v>0.22</v>
      </c>
      <c r="H3169">
        <v>0.24</v>
      </c>
      <c r="I3169" s="1">
        <v>543000</v>
      </c>
      <c r="J3169" s="1">
        <v>131530</v>
      </c>
      <c r="K3169">
        <v>12</v>
      </c>
      <c r="L3169">
        <v>0.22</v>
      </c>
      <c r="M3169">
        <v>0.23</v>
      </c>
      <c r="N3169" s="1">
        <v>5000000</v>
      </c>
      <c r="O3169">
        <v>0.22</v>
      </c>
      <c r="P3169">
        <v>0.82</v>
      </c>
      <c r="Q3169">
        <v>0.01</v>
      </c>
    </row>
    <row r="3170" spans="1:17" x14ac:dyDescent="0.25">
      <c r="A3170">
        <v>732096</v>
      </c>
      <c r="B3170" t="s">
        <v>4482</v>
      </c>
      <c r="C3170" t="s">
        <v>78</v>
      </c>
      <c r="D3170" t="s">
        <v>78</v>
      </c>
      <c r="E3170" t="s">
        <v>78</v>
      </c>
      <c r="F3170" t="s">
        <v>78</v>
      </c>
      <c r="G3170" t="s">
        <v>78</v>
      </c>
      <c r="H3170">
        <v>1.82</v>
      </c>
      <c r="I3170" s="1">
        <v>0</v>
      </c>
      <c r="J3170" s="1">
        <v>0</v>
      </c>
      <c r="K3170">
        <v>0</v>
      </c>
      <c r="L3170">
        <v>1.72</v>
      </c>
      <c r="M3170">
        <v>1.76</v>
      </c>
      <c r="N3170" s="1">
        <v>10000000</v>
      </c>
      <c r="O3170">
        <v>1.76</v>
      </c>
      <c r="P3170">
        <v>2.5499999999999998</v>
      </c>
      <c r="Q3170">
        <v>0.97</v>
      </c>
    </row>
    <row r="3171" spans="1:17" x14ac:dyDescent="0.25">
      <c r="A3171">
        <v>732097</v>
      </c>
      <c r="B3171" t="s">
        <v>4483</v>
      </c>
      <c r="C3171">
        <v>2.16</v>
      </c>
      <c r="D3171">
        <v>0</v>
      </c>
      <c r="E3171">
        <v>2.1800000000000002</v>
      </c>
      <c r="F3171">
        <v>2.1800000000000002</v>
      </c>
      <c r="G3171">
        <v>2.16</v>
      </c>
      <c r="H3171">
        <v>2.16</v>
      </c>
      <c r="I3171" s="1">
        <v>55000</v>
      </c>
      <c r="J3171" s="1">
        <v>119000</v>
      </c>
      <c r="K3171">
        <v>4</v>
      </c>
      <c r="L3171">
        <v>2.12</v>
      </c>
      <c r="M3171">
        <v>2.15</v>
      </c>
      <c r="N3171" s="1">
        <v>5000000</v>
      </c>
      <c r="O3171">
        <v>2.16</v>
      </c>
      <c r="P3171">
        <v>2.95</v>
      </c>
      <c r="Q3171">
        <v>1.37</v>
      </c>
    </row>
    <row r="3172" spans="1:17" x14ac:dyDescent="0.25">
      <c r="A3172">
        <v>732098</v>
      </c>
      <c r="B3172" t="s">
        <v>4484</v>
      </c>
      <c r="C3172" t="s">
        <v>78</v>
      </c>
      <c r="D3172" t="s">
        <v>78</v>
      </c>
      <c r="E3172" t="s">
        <v>78</v>
      </c>
      <c r="F3172" t="s">
        <v>78</v>
      </c>
      <c r="G3172" t="s">
        <v>78</v>
      </c>
      <c r="H3172">
        <v>0.39</v>
      </c>
      <c r="I3172" s="1">
        <v>0</v>
      </c>
      <c r="J3172" s="1">
        <v>0</v>
      </c>
      <c r="K3172">
        <v>0</v>
      </c>
      <c r="L3172">
        <v>0.38</v>
      </c>
      <c r="M3172">
        <v>0.39</v>
      </c>
      <c r="N3172" s="1">
        <v>5000000</v>
      </c>
      <c r="O3172">
        <v>0.39</v>
      </c>
      <c r="P3172">
        <v>0.8</v>
      </c>
      <c r="Q3172">
        <v>0.01</v>
      </c>
    </row>
    <row r="3173" spans="1:17" x14ac:dyDescent="0.25">
      <c r="A3173">
        <v>732099</v>
      </c>
      <c r="B3173" t="s">
        <v>4485</v>
      </c>
      <c r="C3173" t="s">
        <v>78</v>
      </c>
      <c r="D3173" t="s">
        <v>78</v>
      </c>
      <c r="E3173" t="s">
        <v>78</v>
      </c>
      <c r="F3173" t="s">
        <v>78</v>
      </c>
      <c r="G3173" t="s">
        <v>78</v>
      </c>
      <c r="H3173">
        <v>0.12</v>
      </c>
      <c r="I3173" s="1">
        <v>0</v>
      </c>
      <c r="J3173" s="1">
        <v>0</v>
      </c>
      <c r="K3173">
        <v>0</v>
      </c>
      <c r="L3173">
        <v>0.11</v>
      </c>
      <c r="M3173">
        <v>0.14000000000000001</v>
      </c>
      <c r="N3173" s="1">
        <v>5000000</v>
      </c>
      <c r="O3173">
        <v>0.11</v>
      </c>
      <c r="P3173">
        <v>0.52</v>
      </c>
      <c r="Q3173">
        <v>0.01</v>
      </c>
    </row>
    <row r="3174" spans="1:17" x14ac:dyDescent="0.25">
      <c r="A3174">
        <v>732100</v>
      </c>
      <c r="B3174" t="s">
        <v>4486</v>
      </c>
      <c r="C3174">
        <v>0.28999999999999998</v>
      </c>
      <c r="D3174">
        <v>-0.01</v>
      </c>
      <c r="E3174">
        <v>0.32</v>
      </c>
      <c r="F3174">
        <v>0.33</v>
      </c>
      <c r="G3174">
        <v>0.28999999999999998</v>
      </c>
      <c r="H3174">
        <v>0.31</v>
      </c>
      <c r="I3174" s="1">
        <v>978000</v>
      </c>
      <c r="J3174" s="1">
        <v>305660</v>
      </c>
      <c r="K3174">
        <v>13</v>
      </c>
      <c r="L3174">
        <v>0.28000000000000003</v>
      </c>
      <c r="M3174">
        <v>0.28999999999999998</v>
      </c>
      <c r="N3174" s="1">
        <v>5000000</v>
      </c>
      <c r="O3174">
        <v>0.28999999999999998</v>
      </c>
      <c r="P3174">
        <v>1.02</v>
      </c>
      <c r="Q3174">
        <v>0.01</v>
      </c>
    </row>
    <row r="3175" spans="1:17" x14ac:dyDescent="0.25">
      <c r="A3175">
        <v>732101</v>
      </c>
      <c r="B3175" t="s">
        <v>4487</v>
      </c>
      <c r="C3175">
        <v>4.88</v>
      </c>
      <c r="D3175">
        <v>0.05</v>
      </c>
      <c r="E3175">
        <v>4.6900000000000004</v>
      </c>
      <c r="F3175">
        <v>4.88</v>
      </c>
      <c r="G3175">
        <v>4.5</v>
      </c>
      <c r="H3175">
        <v>4.6100000000000003</v>
      </c>
      <c r="I3175" s="1">
        <v>106000</v>
      </c>
      <c r="J3175" s="1">
        <v>488500</v>
      </c>
      <c r="K3175">
        <v>15</v>
      </c>
      <c r="L3175">
        <v>0</v>
      </c>
      <c r="M3175">
        <v>0</v>
      </c>
      <c r="N3175" s="1">
        <v>5000000</v>
      </c>
      <c r="O3175">
        <v>4.88</v>
      </c>
      <c r="P3175">
        <v>5.95</v>
      </c>
      <c r="Q3175">
        <v>3.81</v>
      </c>
    </row>
    <row r="3176" spans="1:17" x14ac:dyDescent="0.25">
      <c r="A3176">
        <v>732102</v>
      </c>
      <c r="B3176" t="s">
        <v>4488</v>
      </c>
      <c r="C3176">
        <v>1.87</v>
      </c>
      <c r="D3176">
        <v>-0.23</v>
      </c>
      <c r="E3176">
        <v>1.9</v>
      </c>
      <c r="F3176">
        <v>1.9</v>
      </c>
      <c r="G3176">
        <v>1.69</v>
      </c>
      <c r="H3176">
        <v>1.77</v>
      </c>
      <c r="I3176" s="1">
        <v>25000</v>
      </c>
      <c r="J3176" s="1">
        <v>44300</v>
      </c>
      <c r="K3176">
        <v>11</v>
      </c>
      <c r="L3176">
        <v>1.79</v>
      </c>
      <c r="M3176">
        <v>1.85</v>
      </c>
      <c r="N3176" s="1">
        <v>10000000</v>
      </c>
      <c r="O3176">
        <v>1.87</v>
      </c>
      <c r="P3176">
        <v>2.72</v>
      </c>
      <c r="Q3176">
        <v>1.02</v>
      </c>
    </row>
    <row r="3177" spans="1:17" x14ac:dyDescent="0.25">
      <c r="A3177">
        <v>732103</v>
      </c>
      <c r="B3177" t="s">
        <v>4489</v>
      </c>
      <c r="C3177">
        <v>0.19</v>
      </c>
      <c r="D3177">
        <v>-0.01</v>
      </c>
      <c r="E3177">
        <v>0.19</v>
      </c>
      <c r="F3177">
        <v>0.19</v>
      </c>
      <c r="G3177">
        <v>0.19</v>
      </c>
      <c r="H3177">
        <v>0.19</v>
      </c>
      <c r="I3177" s="1">
        <v>6000</v>
      </c>
      <c r="J3177" s="1">
        <v>1140</v>
      </c>
      <c r="K3177">
        <v>1</v>
      </c>
      <c r="L3177">
        <v>0.18</v>
      </c>
      <c r="M3177">
        <v>0.19</v>
      </c>
      <c r="N3177" s="1">
        <v>5000000</v>
      </c>
      <c r="O3177">
        <v>0.19</v>
      </c>
      <c r="P3177">
        <v>1.1000000000000001</v>
      </c>
      <c r="Q3177">
        <v>0.01</v>
      </c>
    </row>
    <row r="3178" spans="1:17" x14ac:dyDescent="0.25">
      <c r="A3178">
        <v>732104</v>
      </c>
      <c r="B3178" t="s">
        <v>4490</v>
      </c>
      <c r="C3178" t="s">
        <v>78</v>
      </c>
      <c r="D3178" t="s">
        <v>78</v>
      </c>
      <c r="E3178" t="s">
        <v>78</v>
      </c>
      <c r="F3178" t="s">
        <v>78</v>
      </c>
      <c r="G3178" t="s">
        <v>78</v>
      </c>
      <c r="H3178">
        <v>0.2</v>
      </c>
      <c r="I3178" s="1">
        <v>0</v>
      </c>
      <c r="J3178" s="1">
        <v>0</v>
      </c>
      <c r="K3178">
        <v>0</v>
      </c>
      <c r="L3178">
        <v>0.19</v>
      </c>
      <c r="M3178">
        <v>0.2</v>
      </c>
      <c r="N3178" s="1">
        <v>5000000</v>
      </c>
      <c r="O3178">
        <v>0.2</v>
      </c>
      <c r="P3178">
        <v>0.76</v>
      </c>
      <c r="Q3178">
        <v>0.01</v>
      </c>
    </row>
    <row r="3179" spans="1:17" x14ac:dyDescent="0.25">
      <c r="A3179">
        <v>732105</v>
      </c>
      <c r="B3179" t="s">
        <v>4491</v>
      </c>
      <c r="C3179" t="s">
        <v>78</v>
      </c>
      <c r="D3179" t="s">
        <v>78</v>
      </c>
      <c r="E3179" t="s">
        <v>78</v>
      </c>
      <c r="F3179" t="s">
        <v>78</v>
      </c>
      <c r="G3179" t="s">
        <v>78</v>
      </c>
      <c r="H3179">
        <v>0.31</v>
      </c>
      <c r="I3179" s="1">
        <v>0</v>
      </c>
      <c r="J3179" s="1">
        <v>0</v>
      </c>
      <c r="K3179">
        <v>0</v>
      </c>
      <c r="L3179">
        <v>0.28999999999999998</v>
      </c>
      <c r="M3179">
        <v>0.31</v>
      </c>
      <c r="N3179" s="1">
        <v>5000000</v>
      </c>
      <c r="O3179">
        <v>0.31</v>
      </c>
      <c r="P3179">
        <v>0.99</v>
      </c>
      <c r="Q3179">
        <v>0.01</v>
      </c>
    </row>
    <row r="3180" spans="1:17" x14ac:dyDescent="0.25">
      <c r="A3180">
        <v>732106</v>
      </c>
      <c r="B3180" t="s">
        <v>4492</v>
      </c>
      <c r="C3180">
        <v>0.46</v>
      </c>
      <c r="D3180">
        <v>0</v>
      </c>
      <c r="E3180">
        <v>0.46</v>
      </c>
      <c r="F3180">
        <v>0.46</v>
      </c>
      <c r="G3180">
        <v>0.46</v>
      </c>
      <c r="H3180">
        <v>0.46</v>
      </c>
      <c r="I3180" s="1">
        <v>53000</v>
      </c>
      <c r="J3180" s="1">
        <v>24380</v>
      </c>
      <c r="K3180">
        <v>3</v>
      </c>
      <c r="L3180">
        <v>0.42</v>
      </c>
      <c r="M3180">
        <v>0.43</v>
      </c>
      <c r="N3180" s="1">
        <v>10000000</v>
      </c>
      <c r="O3180">
        <v>0.46</v>
      </c>
      <c r="P3180">
        <v>1.06</v>
      </c>
      <c r="Q3180">
        <v>0.01</v>
      </c>
    </row>
    <row r="3181" spans="1:17" x14ac:dyDescent="0.25">
      <c r="A3181">
        <v>732107</v>
      </c>
      <c r="B3181" t="s">
        <v>4493</v>
      </c>
      <c r="C3181">
        <v>0.57999999999999996</v>
      </c>
      <c r="D3181">
        <v>0.1</v>
      </c>
      <c r="E3181">
        <v>0.47</v>
      </c>
      <c r="F3181">
        <v>0.6</v>
      </c>
      <c r="G3181">
        <v>0.47</v>
      </c>
      <c r="H3181">
        <v>0.51</v>
      </c>
      <c r="I3181" s="1">
        <v>1524000</v>
      </c>
      <c r="J3181" s="1">
        <v>779750</v>
      </c>
      <c r="K3181">
        <v>33</v>
      </c>
      <c r="L3181">
        <v>0.57999999999999996</v>
      </c>
      <c r="M3181">
        <v>0.59</v>
      </c>
      <c r="N3181" s="1">
        <v>5000000</v>
      </c>
      <c r="O3181">
        <v>0.57999999999999996</v>
      </c>
      <c r="P3181">
        <v>1.24</v>
      </c>
      <c r="Q3181">
        <v>0.01</v>
      </c>
    </row>
    <row r="3182" spans="1:17" x14ac:dyDescent="0.25">
      <c r="A3182">
        <v>732108</v>
      </c>
      <c r="B3182" t="s">
        <v>4494</v>
      </c>
      <c r="C3182" t="s">
        <v>78</v>
      </c>
      <c r="D3182" t="s">
        <v>78</v>
      </c>
      <c r="E3182" t="s">
        <v>78</v>
      </c>
      <c r="F3182" t="s">
        <v>78</v>
      </c>
      <c r="G3182" t="s">
        <v>78</v>
      </c>
      <c r="H3182">
        <v>3.01</v>
      </c>
      <c r="I3182" s="1">
        <v>0</v>
      </c>
      <c r="J3182" s="1">
        <v>0</v>
      </c>
      <c r="K3182">
        <v>0</v>
      </c>
      <c r="L3182">
        <v>5</v>
      </c>
      <c r="M3182">
        <v>5.5</v>
      </c>
      <c r="N3182" s="1">
        <v>10000000</v>
      </c>
      <c r="O3182">
        <v>5.3</v>
      </c>
      <c r="P3182">
        <v>6.95</v>
      </c>
      <c r="Q3182">
        <v>3.62</v>
      </c>
    </row>
    <row r="3183" spans="1:17" x14ac:dyDescent="0.25">
      <c r="A3183">
        <v>732109</v>
      </c>
      <c r="B3183" t="s">
        <v>4495</v>
      </c>
      <c r="C3183" t="s">
        <v>78</v>
      </c>
      <c r="D3183" t="s">
        <v>78</v>
      </c>
      <c r="E3183" t="s">
        <v>78</v>
      </c>
      <c r="F3183" t="s">
        <v>78</v>
      </c>
      <c r="G3183" t="s">
        <v>78</v>
      </c>
      <c r="H3183">
        <v>0.21</v>
      </c>
      <c r="I3183" s="1">
        <v>0</v>
      </c>
      <c r="J3183" s="1">
        <v>0</v>
      </c>
      <c r="K3183">
        <v>0</v>
      </c>
      <c r="L3183">
        <v>0.23</v>
      </c>
      <c r="M3183">
        <v>0.24</v>
      </c>
      <c r="N3183" s="1">
        <v>5000000</v>
      </c>
      <c r="O3183">
        <v>0.23</v>
      </c>
      <c r="P3183">
        <v>0.9</v>
      </c>
      <c r="Q3183">
        <v>0.01</v>
      </c>
    </row>
    <row r="3184" spans="1:17" x14ac:dyDescent="0.25">
      <c r="A3184">
        <v>732110</v>
      </c>
      <c r="B3184" t="s">
        <v>4496</v>
      </c>
      <c r="C3184">
        <v>1.42</v>
      </c>
      <c r="D3184">
        <v>0.01</v>
      </c>
      <c r="E3184">
        <v>1.49</v>
      </c>
      <c r="F3184">
        <v>1.5</v>
      </c>
      <c r="G3184">
        <v>1.41</v>
      </c>
      <c r="H3184">
        <v>1.41</v>
      </c>
      <c r="I3184" s="1">
        <v>447000</v>
      </c>
      <c r="J3184" s="1">
        <v>631050</v>
      </c>
      <c r="K3184">
        <v>16</v>
      </c>
      <c r="L3184">
        <v>1.41</v>
      </c>
      <c r="M3184">
        <v>1.42</v>
      </c>
      <c r="N3184" s="1">
        <v>5000000</v>
      </c>
      <c r="O3184">
        <v>1.42</v>
      </c>
      <c r="P3184">
        <v>2.5099999999999998</v>
      </c>
      <c r="Q3184">
        <v>0.33</v>
      </c>
    </row>
    <row r="3185" spans="1:17" x14ac:dyDescent="0.25">
      <c r="A3185">
        <v>732111</v>
      </c>
      <c r="B3185" t="s">
        <v>4497</v>
      </c>
      <c r="C3185" t="s">
        <v>78</v>
      </c>
      <c r="D3185" t="s">
        <v>78</v>
      </c>
      <c r="E3185" t="s">
        <v>78</v>
      </c>
      <c r="F3185" t="s">
        <v>78</v>
      </c>
      <c r="G3185" t="s">
        <v>78</v>
      </c>
      <c r="H3185">
        <v>0.24</v>
      </c>
      <c r="I3185" s="1">
        <v>0</v>
      </c>
      <c r="J3185" s="1">
        <v>0</v>
      </c>
      <c r="K3185">
        <v>0</v>
      </c>
      <c r="L3185">
        <v>0.23</v>
      </c>
      <c r="M3185">
        <v>0.24</v>
      </c>
      <c r="N3185" s="1">
        <v>5000000</v>
      </c>
      <c r="O3185">
        <v>0.23</v>
      </c>
      <c r="P3185">
        <v>0.89</v>
      </c>
      <c r="Q3185">
        <v>0.01</v>
      </c>
    </row>
    <row r="3186" spans="1:17" x14ac:dyDescent="0.25">
      <c r="A3186">
        <v>732112</v>
      </c>
      <c r="B3186" t="s">
        <v>4498</v>
      </c>
      <c r="C3186" t="s">
        <v>78</v>
      </c>
      <c r="D3186" t="s">
        <v>78</v>
      </c>
      <c r="E3186" t="s">
        <v>78</v>
      </c>
      <c r="F3186" t="s">
        <v>78</v>
      </c>
      <c r="G3186" t="s">
        <v>78</v>
      </c>
      <c r="H3186">
        <v>0.4</v>
      </c>
      <c r="I3186" s="1">
        <v>0</v>
      </c>
      <c r="J3186" s="1">
        <v>0</v>
      </c>
      <c r="K3186">
        <v>0</v>
      </c>
      <c r="L3186">
        <v>0.13</v>
      </c>
      <c r="M3186">
        <v>0.14000000000000001</v>
      </c>
      <c r="N3186" s="1">
        <v>10000000</v>
      </c>
      <c r="O3186">
        <v>0.13</v>
      </c>
      <c r="P3186">
        <v>0.65</v>
      </c>
      <c r="Q3186">
        <v>0.01</v>
      </c>
    </row>
    <row r="3187" spans="1:17" x14ac:dyDescent="0.25">
      <c r="A3187">
        <v>732113</v>
      </c>
      <c r="B3187" t="s">
        <v>4499</v>
      </c>
      <c r="C3187">
        <v>2.14</v>
      </c>
      <c r="D3187">
        <v>-0.12</v>
      </c>
      <c r="E3187">
        <v>2.2799999999999998</v>
      </c>
      <c r="F3187">
        <v>2.3199999999999998</v>
      </c>
      <c r="G3187">
        <v>2.14</v>
      </c>
      <c r="H3187">
        <v>2.25</v>
      </c>
      <c r="I3187" s="1">
        <v>945000</v>
      </c>
      <c r="J3187" s="1">
        <v>2129260</v>
      </c>
      <c r="K3187">
        <v>14</v>
      </c>
      <c r="L3187">
        <v>2.12</v>
      </c>
      <c r="M3187">
        <v>2.13</v>
      </c>
      <c r="N3187" s="1">
        <v>5000000</v>
      </c>
      <c r="O3187">
        <v>2.14</v>
      </c>
      <c r="P3187">
        <v>4.54</v>
      </c>
      <c r="Q3187">
        <v>0.01</v>
      </c>
    </row>
    <row r="3188" spans="1:17" x14ac:dyDescent="0.25">
      <c r="A3188">
        <v>732114</v>
      </c>
      <c r="B3188" t="s">
        <v>4500</v>
      </c>
      <c r="C3188">
        <v>0.19</v>
      </c>
      <c r="D3188">
        <v>-0.05</v>
      </c>
      <c r="E3188">
        <v>0.19</v>
      </c>
      <c r="F3188">
        <v>0.19</v>
      </c>
      <c r="G3188">
        <v>0.19</v>
      </c>
      <c r="H3188">
        <v>0.19</v>
      </c>
      <c r="I3188" s="1">
        <v>50000</v>
      </c>
      <c r="J3188" s="1">
        <v>9500</v>
      </c>
      <c r="K3188">
        <v>1</v>
      </c>
      <c r="L3188">
        <v>0.18</v>
      </c>
      <c r="M3188">
        <v>0.19</v>
      </c>
      <c r="N3188" s="1">
        <v>10000000</v>
      </c>
      <c r="O3188">
        <v>0.19</v>
      </c>
      <c r="P3188">
        <v>1.2</v>
      </c>
      <c r="Q3188">
        <v>0.01</v>
      </c>
    </row>
    <row r="3189" spans="1:17" x14ac:dyDescent="0.25">
      <c r="A3189">
        <v>732115</v>
      </c>
      <c r="B3189" t="s">
        <v>4501</v>
      </c>
      <c r="C3189">
        <v>1.8</v>
      </c>
      <c r="D3189">
        <v>0.16</v>
      </c>
      <c r="E3189">
        <v>1.8</v>
      </c>
      <c r="F3189">
        <v>1.8</v>
      </c>
      <c r="G3189">
        <v>1.8</v>
      </c>
      <c r="H3189">
        <v>1.8</v>
      </c>
      <c r="I3189" s="1">
        <v>10000</v>
      </c>
      <c r="J3189" s="1">
        <v>18000</v>
      </c>
      <c r="K3189">
        <v>1</v>
      </c>
      <c r="L3189">
        <v>1.67</v>
      </c>
      <c r="M3189">
        <v>1.74</v>
      </c>
      <c r="N3189" s="1">
        <v>10000000</v>
      </c>
      <c r="O3189">
        <v>1.8</v>
      </c>
      <c r="P3189">
        <v>2.5299999999999998</v>
      </c>
      <c r="Q3189">
        <v>1.07</v>
      </c>
    </row>
    <row r="3190" spans="1:17" x14ac:dyDescent="0.25">
      <c r="A3190">
        <v>732116</v>
      </c>
      <c r="B3190" t="s">
        <v>4502</v>
      </c>
      <c r="C3190">
        <v>1.29</v>
      </c>
      <c r="D3190">
        <v>0.02</v>
      </c>
      <c r="E3190">
        <v>1.28</v>
      </c>
      <c r="F3190">
        <v>1.29</v>
      </c>
      <c r="G3190">
        <v>1.28</v>
      </c>
      <c r="H3190">
        <v>1.29</v>
      </c>
      <c r="I3190" s="1">
        <v>251000</v>
      </c>
      <c r="J3190" s="1">
        <v>323280</v>
      </c>
      <c r="K3190">
        <v>6</v>
      </c>
      <c r="L3190">
        <v>1.23</v>
      </c>
      <c r="M3190">
        <v>1.24</v>
      </c>
      <c r="N3190" s="1">
        <v>5000000</v>
      </c>
      <c r="O3190">
        <v>1.29</v>
      </c>
      <c r="P3190">
        <v>2.86</v>
      </c>
      <c r="Q3190">
        <v>0.01</v>
      </c>
    </row>
    <row r="3191" spans="1:17" x14ac:dyDescent="0.25">
      <c r="A3191">
        <v>732117</v>
      </c>
      <c r="B3191" t="s">
        <v>4503</v>
      </c>
      <c r="C3191">
        <v>0.38</v>
      </c>
      <c r="D3191">
        <v>0</v>
      </c>
      <c r="E3191">
        <v>0.38</v>
      </c>
      <c r="F3191">
        <v>0.39</v>
      </c>
      <c r="G3191">
        <v>0.38</v>
      </c>
      <c r="H3191">
        <v>0.38</v>
      </c>
      <c r="I3191" s="1">
        <v>387000</v>
      </c>
      <c r="J3191" s="1">
        <v>148170</v>
      </c>
      <c r="K3191">
        <v>19</v>
      </c>
      <c r="L3191">
        <v>0.37</v>
      </c>
      <c r="M3191">
        <v>0.38</v>
      </c>
      <c r="N3191" s="1">
        <v>10000000</v>
      </c>
      <c r="O3191">
        <v>0.38</v>
      </c>
      <c r="P3191">
        <v>0.93</v>
      </c>
      <c r="Q3191">
        <v>0.01</v>
      </c>
    </row>
    <row r="3192" spans="1:17" x14ac:dyDescent="0.25">
      <c r="A3192">
        <v>732118</v>
      </c>
      <c r="B3192" t="s">
        <v>4504</v>
      </c>
      <c r="C3192">
        <v>1.76</v>
      </c>
      <c r="D3192">
        <v>0.19</v>
      </c>
      <c r="E3192">
        <v>1.54</v>
      </c>
      <c r="F3192">
        <v>1.81</v>
      </c>
      <c r="G3192">
        <v>1.48</v>
      </c>
      <c r="H3192">
        <v>1.6</v>
      </c>
      <c r="I3192" s="1">
        <v>1130000</v>
      </c>
      <c r="J3192" s="1">
        <v>1804930</v>
      </c>
      <c r="K3192">
        <v>89</v>
      </c>
      <c r="L3192">
        <v>1.75</v>
      </c>
      <c r="M3192">
        <v>1.76</v>
      </c>
      <c r="N3192" s="1">
        <v>10000000</v>
      </c>
      <c r="O3192">
        <v>1.76</v>
      </c>
      <c r="P3192">
        <v>2.76</v>
      </c>
      <c r="Q3192">
        <v>0.76</v>
      </c>
    </row>
    <row r="3193" spans="1:17" x14ac:dyDescent="0.25">
      <c r="A3193">
        <v>732119</v>
      </c>
      <c r="B3193" t="s">
        <v>4505</v>
      </c>
      <c r="C3193">
        <v>0.96</v>
      </c>
      <c r="D3193">
        <v>0.05</v>
      </c>
      <c r="E3193">
        <v>0.92</v>
      </c>
      <c r="F3193">
        <v>1.04</v>
      </c>
      <c r="G3193">
        <v>0.92</v>
      </c>
      <c r="H3193">
        <v>0.99</v>
      </c>
      <c r="I3193" s="1">
        <v>502000</v>
      </c>
      <c r="J3193" s="1">
        <v>496780</v>
      </c>
      <c r="K3193">
        <v>19</v>
      </c>
      <c r="L3193">
        <v>0.96</v>
      </c>
      <c r="M3193">
        <v>0.97</v>
      </c>
      <c r="N3193" s="1">
        <v>6300000</v>
      </c>
      <c r="O3193">
        <v>0.96</v>
      </c>
      <c r="P3193">
        <v>1.92</v>
      </c>
      <c r="Q3193">
        <v>0.01</v>
      </c>
    </row>
    <row r="3194" spans="1:17" x14ac:dyDescent="0.25">
      <c r="A3194">
        <v>732120</v>
      </c>
      <c r="B3194" t="s">
        <v>4506</v>
      </c>
      <c r="C3194">
        <v>0.46</v>
      </c>
      <c r="D3194">
        <v>0.01</v>
      </c>
      <c r="E3194">
        <v>0.48</v>
      </c>
      <c r="F3194">
        <v>0.48</v>
      </c>
      <c r="G3194">
        <v>0.46</v>
      </c>
      <c r="H3194">
        <v>0.48</v>
      </c>
      <c r="I3194" s="1">
        <v>151000</v>
      </c>
      <c r="J3194" s="1">
        <v>71780</v>
      </c>
      <c r="K3194">
        <v>2</v>
      </c>
      <c r="L3194">
        <v>0.44</v>
      </c>
      <c r="M3194">
        <v>0.46</v>
      </c>
      <c r="N3194" s="1">
        <v>5769000</v>
      </c>
      <c r="O3194">
        <v>0.46</v>
      </c>
      <c r="P3194">
        <v>1.24</v>
      </c>
      <c r="Q3194">
        <v>0.01</v>
      </c>
    </row>
    <row r="3195" spans="1:17" x14ac:dyDescent="0.25">
      <c r="A3195">
        <v>732121</v>
      </c>
      <c r="B3195" t="s">
        <v>4507</v>
      </c>
      <c r="C3195" t="s">
        <v>78</v>
      </c>
      <c r="D3195" t="s">
        <v>78</v>
      </c>
      <c r="E3195" t="s">
        <v>78</v>
      </c>
      <c r="F3195" t="s">
        <v>78</v>
      </c>
      <c r="G3195" t="s">
        <v>78</v>
      </c>
      <c r="H3195">
        <v>0.28999999999999998</v>
      </c>
      <c r="I3195" s="1">
        <v>0</v>
      </c>
      <c r="J3195" s="1">
        <v>0</v>
      </c>
      <c r="K3195">
        <v>0</v>
      </c>
      <c r="L3195">
        <v>0.11</v>
      </c>
      <c r="M3195">
        <v>0.12</v>
      </c>
      <c r="N3195" s="1">
        <v>10000000</v>
      </c>
      <c r="O3195">
        <v>0.12</v>
      </c>
      <c r="P3195">
        <v>1.02</v>
      </c>
      <c r="Q3195">
        <v>0.01</v>
      </c>
    </row>
    <row r="3196" spans="1:17" x14ac:dyDescent="0.25">
      <c r="A3196">
        <v>732122</v>
      </c>
      <c r="B3196" t="s">
        <v>4508</v>
      </c>
      <c r="C3196">
        <v>1.1000000000000001</v>
      </c>
      <c r="D3196">
        <v>-0.01</v>
      </c>
      <c r="E3196">
        <v>1.1100000000000001</v>
      </c>
      <c r="F3196">
        <v>1.1499999999999999</v>
      </c>
      <c r="G3196">
        <v>1.1000000000000001</v>
      </c>
      <c r="H3196">
        <v>1.1200000000000001</v>
      </c>
      <c r="I3196" s="1">
        <v>40000</v>
      </c>
      <c r="J3196" s="1">
        <v>44700</v>
      </c>
      <c r="K3196">
        <v>4</v>
      </c>
      <c r="L3196">
        <v>1.1000000000000001</v>
      </c>
      <c r="M3196">
        <v>1.1100000000000001</v>
      </c>
      <c r="N3196" s="1">
        <v>10000000</v>
      </c>
      <c r="O3196">
        <v>1.1000000000000001</v>
      </c>
      <c r="P3196">
        <v>1.63</v>
      </c>
      <c r="Q3196">
        <v>0.56999999999999995</v>
      </c>
    </row>
    <row r="3197" spans="1:17" x14ac:dyDescent="0.25">
      <c r="A3197">
        <v>732123</v>
      </c>
      <c r="B3197" t="s">
        <v>4509</v>
      </c>
      <c r="C3197" t="s">
        <v>78</v>
      </c>
      <c r="D3197" t="s">
        <v>78</v>
      </c>
      <c r="E3197" t="s">
        <v>78</v>
      </c>
      <c r="F3197" t="s">
        <v>78</v>
      </c>
      <c r="G3197" t="s">
        <v>78</v>
      </c>
      <c r="H3197">
        <v>0.59</v>
      </c>
      <c r="I3197" s="1">
        <v>0</v>
      </c>
      <c r="J3197" s="1">
        <v>0</v>
      </c>
      <c r="K3197">
        <v>0</v>
      </c>
      <c r="L3197">
        <v>0.55000000000000004</v>
      </c>
      <c r="M3197">
        <v>0.56000000000000005</v>
      </c>
      <c r="N3197" s="1">
        <v>10000000</v>
      </c>
      <c r="O3197">
        <v>0.56000000000000005</v>
      </c>
      <c r="P3197">
        <v>1.34</v>
      </c>
      <c r="Q3197">
        <v>0.01</v>
      </c>
    </row>
    <row r="3198" spans="1:17" x14ac:dyDescent="0.25">
      <c r="A3198">
        <v>732124</v>
      </c>
      <c r="B3198" t="s">
        <v>4510</v>
      </c>
      <c r="C3198" t="s">
        <v>78</v>
      </c>
      <c r="D3198" t="s">
        <v>78</v>
      </c>
      <c r="E3198" t="s">
        <v>78</v>
      </c>
      <c r="F3198" t="s">
        <v>78</v>
      </c>
      <c r="G3198" t="s">
        <v>78</v>
      </c>
      <c r="H3198">
        <v>0.39</v>
      </c>
      <c r="I3198" s="1">
        <v>0</v>
      </c>
      <c r="J3198" s="1">
        <v>0</v>
      </c>
      <c r="K3198">
        <v>0</v>
      </c>
      <c r="L3198">
        <v>0.28000000000000003</v>
      </c>
      <c r="M3198">
        <v>0.28999999999999998</v>
      </c>
      <c r="N3198" s="1">
        <v>10000000</v>
      </c>
      <c r="O3198">
        <v>0.28999999999999998</v>
      </c>
      <c r="P3198">
        <v>1.1000000000000001</v>
      </c>
      <c r="Q3198">
        <v>0.01</v>
      </c>
    </row>
    <row r="3199" spans="1:17" x14ac:dyDescent="0.25">
      <c r="A3199">
        <v>732125</v>
      </c>
      <c r="B3199" t="s">
        <v>4511</v>
      </c>
      <c r="C3199">
        <v>2.35</v>
      </c>
      <c r="D3199">
        <v>-0.19</v>
      </c>
      <c r="E3199">
        <v>2.62</v>
      </c>
      <c r="F3199">
        <v>2.64</v>
      </c>
      <c r="G3199">
        <v>2.35</v>
      </c>
      <c r="H3199">
        <v>2.58</v>
      </c>
      <c r="I3199" s="1">
        <v>391000</v>
      </c>
      <c r="J3199" s="1">
        <v>1009700</v>
      </c>
      <c r="K3199">
        <v>27</v>
      </c>
      <c r="L3199">
        <v>2.34</v>
      </c>
      <c r="M3199">
        <v>2.35</v>
      </c>
      <c r="N3199" s="1">
        <v>5000000</v>
      </c>
      <c r="O3199">
        <v>2.35</v>
      </c>
      <c r="P3199">
        <v>3.53</v>
      </c>
      <c r="Q3199">
        <v>1.17</v>
      </c>
    </row>
    <row r="3200" spans="1:17" x14ac:dyDescent="0.25">
      <c r="A3200">
        <v>732126</v>
      </c>
      <c r="B3200" t="s">
        <v>4512</v>
      </c>
      <c r="C3200">
        <v>0.35</v>
      </c>
      <c r="D3200">
        <v>0.02</v>
      </c>
      <c r="E3200">
        <v>0.35</v>
      </c>
      <c r="F3200">
        <v>0.35</v>
      </c>
      <c r="G3200">
        <v>0.35</v>
      </c>
      <c r="H3200">
        <v>0.35</v>
      </c>
      <c r="I3200" s="1">
        <v>1000</v>
      </c>
      <c r="J3200" s="1">
        <v>350</v>
      </c>
      <c r="K3200">
        <v>1</v>
      </c>
      <c r="L3200">
        <v>0.31</v>
      </c>
      <c r="M3200">
        <v>0.32</v>
      </c>
      <c r="N3200" s="1">
        <v>5000000</v>
      </c>
      <c r="O3200">
        <v>0.35</v>
      </c>
      <c r="P3200">
        <v>0.9</v>
      </c>
      <c r="Q3200">
        <v>0.01</v>
      </c>
    </row>
    <row r="3201" spans="1:17" x14ac:dyDescent="0.25">
      <c r="A3201">
        <v>732127</v>
      </c>
      <c r="B3201" t="s">
        <v>4513</v>
      </c>
      <c r="C3201" t="s">
        <v>78</v>
      </c>
      <c r="D3201" t="s">
        <v>78</v>
      </c>
      <c r="E3201" t="s">
        <v>78</v>
      </c>
      <c r="F3201" t="s">
        <v>78</v>
      </c>
      <c r="G3201" t="s">
        <v>78</v>
      </c>
      <c r="H3201">
        <v>2.5099999999999998</v>
      </c>
      <c r="I3201" s="1">
        <v>0</v>
      </c>
      <c r="J3201" s="1">
        <v>0</v>
      </c>
      <c r="K3201">
        <v>0</v>
      </c>
      <c r="L3201">
        <v>2.69</v>
      </c>
      <c r="M3201">
        <v>2.79</v>
      </c>
      <c r="N3201" s="1">
        <v>5000000</v>
      </c>
      <c r="O3201">
        <v>2.69</v>
      </c>
      <c r="P3201">
        <v>4.07</v>
      </c>
      <c r="Q3201">
        <v>1.31</v>
      </c>
    </row>
    <row r="3202" spans="1:17" x14ac:dyDescent="0.25">
      <c r="A3202">
        <v>732128</v>
      </c>
      <c r="B3202" t="s">
        <v>4514</v>
      </c>
      <c r="C3202">
        <v>0.56999999999999995</v>
      </c>
      <c r="D3202">
        <v>-0.06</v>
      </c>
      <c r="E3202">
        <v>0.65</v>
      </c>
      <c r="F3202">
        <v>0.65</v>
      </c>
      <c r="G3202">
        <v>0.56999999999999995</v>
      </c>
      <c r="H3202">
        <v>0.63</v>
      </c>
      <c r="I3202" s="1">
        <v>366000</v>
      </c>
      <c r="J3202" s="1">
        <v>231220</v>
      </c>
      <c r="K3202">
        <v>13</v>
      </c>
      <c r="L3202">
        <v>0.56999999999999995</v>
      </c>
      <c r="M3202">
        <v>0.57999999999999996</v>
      </c>
      <c r="N3202" s="1">
        <v>10000000</v>
      </c>
      <c r="O3202">
        <v>0.56999999999999995</v>
      </c>
      <c r="P3202">
        <v>0.95</v>
      </c>
      <c r="Q3202">
        <v>0.19</v>
      </c>
    </row>
    <row r="3203" spans="1:17" x14ac:dyDescent="0.25">
      <c r="A3203">
        <v>732129</v>
      </c>
      <c r="B3203" t="s">
        <v>4515</v>
      </c>
      <c r="C3203">
        <v>0.3</v>
      </c>
      <c r="D3203">
        <v>0.08</v>
      </c>
      <c r="E3203">
        <v>0.25</v>
      </c>
      <c r="F3203">
        <v>0.3</v>
      </c>
      <c r="G3203">
        <v>0.25</v>
      </c>
      <c r="H3203">
        <v>0.27</v>
      </c>
      <c r="I3203" s="1">
        <v>532000</v>
      </c>
      <c r="J3203" s="1">
        <v>144050</v>
      </c>
      <c r="K3203">
        <v>6</v>
      </c>
      <c r="L3203">
        <v>0.28999999999999998</v>
      </c>
      <c r="M3203">
        <v>0.3</v>
      </c>
      <c r="N3203" s="1">
        <v>10000000</v>
      </c>
      <c r="O3203">
        <v>0.3</v>
      </c>
      <c r="P3203">
        <v>1.18</v>
      </c>
      <c r="Q3203">
        <v>0.01</v>
      </c>
    </row>
    <row r="3204" spans="1:17" x14ac:dyDescent="0.25">
      <c r="A3204">
        <v>732130</v>
      </c>
      <c r="B3204" t="s">
        <v>4516</v>
      </c>
      <c r="C3204">
        <v>1.53</v>
      </c>
      <c r="D3204">
        <v>-0.04</v>
      </c>
      <c r="E3204">
        <v>1.64</v>
      </c>
      <c r="F3204">
        <v>1.66</v>
      </c>
      <c r="G3204">
        <v>1.5</v>
      </c>
      <c r="H3204">
        <v>1.56</v>
      </c>
      <c r="I3204" s="1">
        <v>703000</v>
      </c>
      <c r="J3204" s="1">
        <v>1098010</v>
      </c>
      <c r="K3204">
        <v>19</v>
      </c>
      <c r="L3204">
        <v>1.49</v>
      </c>
      <c r="M3204">
        <v>1.51</v>
      </c>
      <c r="N3204" s="1">
        <v>10000000</v>
      </c>
      <c r="O3204">
        <v>1.53</v>
      </c>
      <c r="P3204">
        <v>2.3199999999999998</v>
      </c>
      <c r="Q3204">
        <v>0.74</v>
      </c>
    </row>
    <row r="3205" spans="1:17" x14ac:dyDescent="0.25">
      <c r="A3205">
        <v>732131</v>
      </c>
      <c r="B3205" t="s">
        <v>4517</v>
      </c>
      <c r="C3205">
        <v>0.41</v>
      </c>
      <c r="D3205">
        <v>0.03</v>
      </c>
      <c r="E3205">
        <v>0.46</v>
      </c>
      <c r="F3205">
        <v>0.48</v>
      </c>
      <c r="G3205">
        <v>0.41</v>
      </c>
      <c r="H3205">
        <v>0.46</v>
      </c>
      <c r="I3205" s="1">
        <v>316000</v>
      </c>
      <c r="J3205" s="1">
        <v>144780</v>
      </c>
      <c r="K3205">
        <v>12</v>
      </c>
      <c r="L3205">
        <v>0.38</v>
      </c>
      <c r="M3205">
        <v>0.39</v>
      </c>
      <c r="N3205" s="1">
        <v>10000000</v>
      </c>
      <c r="O3205">
        <v>0.41</v>
      </c>
      <c r="P3205">
        <v>1.36</v>
      </c>
      <c r="Q3205">
        <v>0.01</v>
      </c>
    </row>
    <row r="3206" spans="1:17" x14ac:dyDescent="0.25">
      <c r="A3206">
        <v>732132</v>
      </c>
      <c r="B3206" t="s">
        <v>4518</v>
      </c>
      <c r="C3206" t="s">
        <v>78</v>
      </c>
      <c r="D3206" t="s">
        <v>78</v>
      </c>
      <c r="E3206" t="s">
        <v>78</v>
      </c>
      <c r="F3206" t="s">
        <v>78</v>
      </c>
      <c r="G3206" t="s">
        <v>78</v>
      </c>
      <c r="H3206">
        <v>0.28999999999999998</v>
      </c>
      <c r="I3206" s="1">
        <v>0</v>
      </c>
      <c r="J3206" s="1">
        <v>0</v>
      </c>
      <c r="K3206">
        <v>0</v>
      </c>
      <c r="L3206">
        <v>0.3</v>
      </c>
      <c r="M3206">
        <v>0.31</v>
      </c>
      <c r="N3206" s="1">
        <v>10000000</v>
      </c>
      <c r="O3206">
        <v>0.3</v>
      </c>
      <c r="P3206">
        <v>0.65</v>
      </c>
      <c r="Q3206">
        <v>0.01</v>
      </c>
    </row>
    <row r="3207" spans="1:17" x14ac:dyDescent="0.25">
      <c r="A3207">
        <v>732133</v>
      </c>
      <c r="B3207" t="s">
        <v>4519</v>
      </c>
      <c r="C3207">
        <v>0.88</v>
      </c>
      <c r="D3207">
        <v>0.17</v>
      </c>
      <c r="E3207">
        <v>0.71</v>
      </c>
      <c r="F3207">
        <v>0.9</v>
      </c>
      <c r="G3207">
        <v>0.71</v>
      </c>
      <c r="H3207">
        <v>0.79</v>
      </c>
      <c r="I3207" s="1">
        <v>2521000</v>
      </c>
      <c r="J3207" s="1">
        <v>1991210</v>
      </c>
      <c r="K3207">
        <v>47</v>
      </c>
      <c r="L3207">
        <v>0.87</v>
      </c>
      <c r="M3207">
        <v>0.88</v>
      </c>
      <c r="N3207" s="1">
        <v>10000000</v>
      </c>
      <c r="O3207">
        <v>0.88</v>
      </c>
      <c r="P3207">
        <v>1.54</v>
      </c>
      <c r="Q3207">
        <v>0.22</v>
      </c>
    </row>
    <row r="3208" spans="1:17" x14ac:dyDescent="0.25">
      <c r="A3208">
        <v>732134</v>
      </c>
      <c r="B3208" t="s">
        <v>4520</v>
      </c>
      <c r="C3208" t="s">
        <v>78</v>
      </c>
      <c r="D3208" t="s">
        <v>78</v>
      </c>
      <c r="E3208" t="s">
        <v>78</v>
      </c>
      <c r="F3208" t="s">
        <v>78</v>
      </c>
      <c r="G3208" t="s">
        <v>78</v>
      </c>
      <c r="H3208">
        <v>0.63</v>
      </c>
      <c r="I3208" s="1">
        <v>0</v>
      </c>
      <c r="J3208" s="1">
        <v>0</v>
      </c>
      <c r="K3208">
        <v>0</v>
      </c>
      <c r="L3208">
        <v>0.79</v>
      </c>
      <c r="M3208">
        <v>0.86</v>
      </c>
      <c r="N3208" s="1">
        <v>10000000</v>
      </c>
      <c r="O3208">
        <v>0.79</v>
      </c>
      <c r="P3208">
        <v>2.19</v>
      </c>
      <c r="Q3208">
        <v>0.01</v>
      </c>
    </row>
    <row r="3209" spans="1:17" x14ac:dyDescent="0.25">
      <c r="A3209">
        <v>732135</v>
      </c>
      <c r="B3209" t="s">
        <v>4521</v>
      </c>
      <c r="C3209">
        <v>1.1499999999999999</v>
      </c>
      <c r="D3209">
        <v>-0.04</v>
      </c>
      <c r="E3209">
        <v>1.1599999999999999</v>
      </c>
      <c r="F3209">
        <v>1.1599999999999999</v>
      </c>
      <c r="G3209">
        <v>1.1200000000000001</v>
      </c>
      <c r="H3209">
        <v>1.1399999999999999</v>
      </c>
      <c r="I3209" s="1">
        <v>422000</v>
      </c>
      <c r="J3209" s="1">
        <v>482140</v>
      </c>
      <c r="K3209">
        <v>8</v>
      </c>
      <c r="L3209">
        <v>1.1200000000000001</v>
      </c>
      <c r="M3209">
        <v>1.1299999999999999</v>
      </c>
      <c r="N3209" s="1">
        <v>10000000</v>
      </c>
      <c r="O3209">
        <v>1.1499999999999999</v>
      </c>
      <c r="P3209">
        <v>1.84</v>
      </c>
      <c r="Q3209">
        <v>0.46</v>
      </c>
    </row>
    <row r="3210" spans="1:17" x14ac:dyDescent="0.25">
      <c r="A3210">
        <v>732136</v>
      </c>
      <c r="B3210" t="s">
        <v>4522</v>
      </c>
      <c r="C3210" t="s">
        <v>78</v>
      </c>
      <c r="D3210" t="s">
        <v>78</v>
      </c>
      <c r="E3210" t="s">
        <v>78</v>
      </c>
      <c r="F3210" t="s">
        <v>78</v>
      </c>
      <c r="G3210" t="s">
        <v>78</v>
      </c>
      <c r="H3210">
        <v>0.34</v>
      </c>
      <c r="I3210" s="1">
        <v>0</v>
      </c>
      <c r="J3210" s="1">
        <v>0</v>
      </c>
      <c r="K3210">
        <v>0</v>
      </c>
      <c r="L3210">
        <v>0.28000000000000003</v>
      </c>
      <c r="M3210">
        <v>0.28999999999999998</v>
      </c>
      <c r="N3210" s="1">
        <v>5000000</v>
      </c>
      <c r="O3210">
        <v>0.28000000000000003</v>
      </c>
      <c r="P3210">
        <v>0.59</v>
      </c>
      <c r="Q3210">
        <v>0.01</v>
      </c>
    </row>
    <row r="3211" spans="1:17" x14ac:dyDescent="0.25">
      <c r="A3211">
        <v>732137</v>
      </c>
      <c r="B3211" t="s">
        <v>4523</v>
      </c>
      <c r="C3211">
        <v>0.87</v>
      </c>
      <c r="D3211">
        <v>-0.01</v>
      </c>
      <c r="E3211">
        <v>0.9</v>
      </c>
      <c r="F3211">
        <v>0.9</v>
      </c>
      <c r="G3211">
        <v>0.86</v>
      </c>
      <c r="H3211">
        <v>0.88</v>
      </c>
      <c r="I3211" s="1">
        <v>131000</v>
      </c>
      <c r="J3211" s="1">
        <v>115570</v>
      </c>
      <c r="K3211">
        <v>10</v>
      </c>
      <c r="L3211">
        <v>0.86</v>
      </c>
      <c r="M3211">
        <v>0.87</v>
      </c>
      <c r="N3211" s="1">
        <v>10000000</v>
      </c>
      <c r="O3211">
        <v>0.87</v>
      </c>
      <c r="P3211">
        <v>1.88</v>
      </c>
      <c r="Q3211">
        <v>0.01</v>
      </c>
    </row>
    <row r="3212" spans="1:17" x14ac:dyDescent="0.25">
      <c r="A3212">
        <v>732138</v>
      </c>
      <c r="B3212" t="s">
        <v>4524</v>
      </c>
      <c r="C3212" t="s">
        <v>78</v>
      </c>
      <c r="D3212" t="s">
        <v>78</v>
      </c>
      <c r="E3212" t="s">
        <v>78</v>
      </c>
      <c r="F3212" t="s">
        <v>78</v>
      </c>
      <c r="G3212" t="s">
        <v>78</v>
      </c>
      <c r="H3212">
        <v>0.37</v>
      </c>
      <c r="I3212" s="1">
        <v>0</v>
      </c>
      <c r="J3212" s="1">
        <v>0</v>
      </c>
      <c r="K3212">
        <v>0</v>
      </c>
      <c r="L3212">
        <v>0.35</v>
      </c>
      <c r="M3212">
        <v>0.36</v>
      </c>
      <c r="N3212" s="1">
        <v>5000000</v>
      </c>
      <c r="O3212">
        <v>0.36</v>
      </c>
      <c r="P3212">
        <v>0.81</v>
      </c>
      <c r="Q3212">
        <v>0.01</v>
      </c>
    </row>
    <row r="3213" spans="1:17" x14ac:dyDescent="0.25">
      <c r="A3213">
        <v>732139</v>
      </c>
      <c r="B3213" t="s">
        <v>4525</v>
      </c>
      <c r="C3213" t="s">
        <v>78</v>
      </c>
      <c r="D3213" t="s">
        <v>78</v>
      </c>
      <c r="E3213" t="s">
        <v>78</v>
      </c>
      <c r="F3213" t="s">
        <v>78</v>
      </c>
      <c r="G3213" t="s">
        <v>78</v>
      </c>
      <c r="H3213">
        <v>0.15</v>
      </c>
      <c r="I3213" s="1">
        <v>0</v>
      </c>
      <c r="J3213" s="1">
        <v>0</v>
      </c>
      <c r="K3213">
        <v>0</v>
      </c>
      <c r="L3213">
        <v>0.12</v>
      </c>
      <c r="M3213">
        <v>0.13</v>
      </c>
      <c r="N3213" s="1">
        <v>5000000</v>
      </c>
      <c r="O3213">
        <v>0.13</v>
      </c>
      <c r="P3213">
        <v>0.56999999999999995</v>
      </c>
      <c r="Q3213">
        <v>0.01</v>
      </c>
    </row>
    <row r="3214" spans="1:17" x14ac:dyDescent="0.25">
      <c r="A3214">
        <v>732140</v>
      </c>
      <c r="B3214" t="s">
        <v>4526</v>
      </c>
      <c r="C3214" t="s">
        <v>78</v>
      </c>
      <c r="D3214" t="s">
        <v>78</v>
      </c>
      <c r="E3214" t="s">
        <v>78</v>
      </c>
      <c r="F3214" t="s">
        <v>78</v>
      </c>
      <c r="G3214" t="s">
        <v>78</v>
      </c>
      <c r="H3214">
        <v>0.09</v>
      </c>
      <c r="I3214" s="1">
        <v>0</v>
      </c>
      <c r="J3214" s="1">
        <v>0</v>
      </c>
      <c r="K3214">
        <v>0</v>
      </c>
      <c r="L3214">
        <v>7.0000000000000007E-2</v>
      </c>
      <c r="M3214">
        <v>0.1</v>
      </c>
      <c r="N3214" s="1">
        <v>5000000</v>
      </c>
      <c r="O3214">
        <v>0.1</v>
      </c>
      <c r="P3214">
        <v>0.64</v>
      </c>
      <c r="Q3214">
        <v>0.01</v>
      </c>
    </row>
    <row r="3215" spans="1:17" x14ac:dyDescent="0.25">
      <c r="A3215">
        <v>732141</v>
      </c>
      <c r="B3215" t="s">
        <v>4527</v>
      </c>
      <c r="C3215">
        <v>0.45</v>
      </c>
      <c r="D3215">
        <v>0.01</v>
      </c>
      <c r="E3215">
        <v>0.45</v>
      </c>
      <c r="F3215">
        <v>0.45</v>
      </c>
      <c r="G3215">
        <v>0.45</v>
      </c>
      <c r="H3215">
        <v>0.45</v>
      </c>
      <c r="I3215" s="1">
        <v>100000</v>
      </c>
      <c r="J3215" s="1">
        <v>45000</v>
      </c>
      <c r="K3215">
        <v>1</v>
      </c>
      <c r="L3215">
        <v>0.48</v>
      </c>
      <c r="M3215">
        <v>0.49</v>
      </c>
      <c r="N3215" s="1">
        <v>5019000</v>
      </c>
      <c r="O3215">
        <v>0.45</v>
      </c>
      <c r="P3215">
        <v>1.54</v>
      </c>
      <c r="Q3215">
        <v>0.01</v>
      </c>
    </row>
    <row r="3216" spans="1:17" x14ac:dyDescent="0.25">
      <c r="A3216">
        <v>732142</v>
      </c>
      <c r="B3216" t="s">
        <v>4528</v>
      </c>
      <c r="C3216">
        <v>0.96</v>
      </c>
      <c r="D3216">
        <v>0.01</v>
      </c>
      <c r="E3216">
        <v>0.98</v>
      </c>
      <c r="F3216">
        <v>1.02</v>
      </c>
      <c r="G3216">
        <v>0.96</v>
      </c>
      <c r="H3216">
        <v>0.99</v>
      </c>
      <c r="I3216" s="1">
        <v>151000</v>
      </c>
      <c r="J3216" s="1">
        <v>148830</v>
      </c>
      <c r="K3216">
        <v>11</v>
      </c>
      <c r="L3216">
        <v>0.95</v>
      </c>
      <c r="M3216">
        <v>0.96</v>
      </c>
      <c r="N3216" s="1">
        <v>5129000</v>
      </c>
      <c r="O3216">
        <v>0.96</v>
      </c>
      <c r="P3216">
        <v>1.4</v>
      </c>
      <c r="Q3216">
        <v>0.52</v>
      </c>
    </row>
    <row r="3217" spans="1:17" x14ac:dyDescent="0.25">
      <c r="A3217">
        <v>732143</v>
      </c>
      <c r="B3217" t="s">
        <v>4529</v>
      </c>
      <c r="C3217">
        <v>5.15</v>
      </c>
      <c r="D3217">
        <v>0.2</v>
      </c>
      <c r="E3217">
        <v>5.15</v>
      </c>
      <c r="F3217">
        <v>5.15</v>
      </c>
      <c r="G3217">
        <v>5.15</v>
      </c>
      <c r="H3217">
        <v>5.15</v>
      </c>
      <c r="I3217" s="1">
        <v>10000</v>
      </c>
      <c r="J3217" s="1">
        <v>51500</v>
      </c>
      <c r="K3217">
        <v>1</v>
      </c>
      <c r="L3217">
        <v>4.9800000000000004</v>
      </c>
      <c r="M3217">
        <v>5.0999999999999996</v>
      </c>
      <c r="N3217" s="1">
        <v>5082000</v>
      </c>
      <c r="O3217">
        <v>5.15</v>
      </c>
      <c r="P3217">
        <v>6.5</v>
      </c>
      <c r="Q3217">
        <v>3.76</v>
      </c>
    </row>
    <row r="3218" spans="1:17" x14ac:dyDescent="0.25">
      <c r="A3218">
        <v>732144</v>
      </c>
      <c r="B3218" t="s">
        <v>4530</v>
      </c>
      <c r="C3218">
        <v>0.4</v>
      </c>
      <c r="D3218">
        <v>0.02</v>
      </c>
      <c r="E3218">
        <v>0.38</v>
      </c>
      <c r="F3218">
        <v>0.4</v>
      </c>
      <c r="G3218">
        <v>0.38</v>
      </c>
      <c r="H3218">
        <v>0.39</v>
      </c>
      <c r="I3218" s="1">
        <v>201000</v>
      </c>
      <c r="J3218" s="1">
        <v>78380</v>
      </c>
      <c r="K3218">
        <v>5</v>
      </c>
      <c r="L3218">
        <v>0.4</v>
      </c>
      <c r="M3218">
        <v>0.41</v>
      </c>
      <c r="N3218" s="1">
        <v>10000000</v>
      </c>
      <c r="O3218">
        <v>0.4</v>
      </c>
      <c r="P3218">
        <v>1.04</v>
      </c>
      <c r="Q3218">
        <v>0.01</v>
      </c>
    </row>
    <row r="3219" spans="1:17" x14ac:dyDescent="0.25">
      <c r="A3219">
        <v>732145</v>
      </c>
      <c r="B3219" t="s">
        <v>4531</v>
      </c>
      <c r="C3219">
        <v>1.1299999999999999</v>
      </c>
      <c r="D3219">
        <v>-0.04</v>
      </c>
      <c r="E3219">
        <v>1.21</v>
      </c>
      <c r="F3219">
        <v>1.24</v>
      </c>
      <c r="G3219">
        <v>1.1200000000000001</v>
      </c>
      <c r="H3219">
        <v>1.22</v>
      </c>
      <c r="I3219" s="1">
        <v>870000</v>
      </c>
      <c r="J3219" s="1">
        <v>1058110</v>
      </c>
      <c r="K3219">
        <v>20</v>
      </c>
      <c r="L3219">
        <v>1.1200000000000001</v>
      </c>
      <c r="M3219">
        <v>1.1399999999999999</v>
      </c>
      <c r="N3219" s="1">
        <v>15000000</v>
      </c>
      <c r="O3219">
        <v>1.1299999999999999</v>
      </c>
      <c r="P3219">
        <v>1.84</v>
      </c>
      <c r="Q3219">
        <v>0.42</v>
      </c>
    </row>
    <row r="3220" spans="1:17" x14ac:dyDescent="0.25">
      <c r="A3220">
        <v>732146</v>
      </c>
      <c r="B3220" t="s">
        <v>4532</v>
      </c>
      <c r="C3220">
        <v>1.04</v>
      </c>
      <c r="D3220">
        <v>-0.09</v>
      </c>
      <c r="E3220">
        <v>1.1100000000000001</v>
      </c>
      <c r="F3220">
        <v>1.1100000000000001</v>
      </c>
      <c r="G3220">
        <v>1.04</v>
      </c>
      <c r="H3220">
        <v>1.06</v>
      </c>
      <c r="I3220" s="1">
        <v>839000</v>
      </c>
      <c r="J3220" s="1">
        <v>889240</v>
      </c>
      <c r="K3220">
        <v>23</v>
      </c>
      <c r="L3220">
        <v>1.1100000000000001</v>
      </c>
      <c r="M3220">
        <v>1.1399999999999999</v>
      </c>
      <c r="N3220" s="1">
        <v>5000000</v>
      </c>
      <c r="O3220">
        <v>1.04</v>
      </c>
      <c r="P3220">
        <v>1.89</v>
      </c>
      <c r="Q3220">
        <v>0.19</v>
      </c>
    </row>
    <row r="3221" spans="1:17" x14ac:dyDescent="0.25">
      <c r="A3221">
        <v>732147</v>
      </c>
      <c r="B3221" t="s">
        <v>4533</v>
      </c>
      <c r="C3221">
        <v>3.36</v>
      </c>
      <c r="D3221">
        <v>0.11</v>
      </c>
      <c r="E3221">
        <v>3.34</v>
      </c>
      <c r="F3221">
        <v>3.36</v>
      </c>
      <c r="G3221">
        <v>3.34</v>
      </c>
      <c r="H3221">
        <v>3.36</v>
      </c>
      <c r="I3221" s="1">
        <v>11000</v>
      </c>
      <c r="J3221" s="1">
        <v>36940</v>
      </c>
      <c r="K3221">
        <v>2</v>
      </c>
      <c r="L3221">
        <v>3.32</v>
      </c>
      <c r="M3221">
        <v>3.38</v>
      </c>
      <c r="N3221" s="1">
        <v>10000000</v>
      </c>
      <c r="O3221">
        <v>3.36</v>
      </c>
      <c r="P3221">
        <v>4.78</v>
      </c>
      <c r="Q3221">
        <v>1.94</v>
      </c>
    </row>
    <row r="3222" spans="1:17" x14ac:dyDescent="0.25">
      <c r="A3222">
        <v>732148</v>
      </c>
      <c r="B3222" t="s">
        <v>4534</v>
      </c>
      <c r="C3222">
        <v>0.82</v>
      </c>
      <c r="D3222">
        <v>-7.0000000000000007E-2</v>
      </c>
      <c r="E3222">
        <v>0.92</v>
      </c>
      <c r="F3222">
        <v>0.92</v>
      </c>
      <c r="G3222">
        <v>0.81</v>
      </c>
      <c r="H3222">
        <v>0.87</v>
      </c>
      <c r="I3222" s="1">
        <v>155000</v>
      </c>
      <c r="J3222" s="1">
        <v>135270</v>
      </c>
      <c r="K3222">
        <v>9</v>
      </c>
      <c r="L3222">
        <v>0.81</v>
      </c>
      <c r="M3222">
        <v>0.82</v>
      </c>
      <c r="N3222" s="1">
        <v>5000000</v>
      </c>
      <c r="O3222">
        <v>0.82</v>
      </c>
      <c r="P3222">
        <v>2.5</v>
      </c>
      <c r="Q3222">
        <v>0.01</v>
      </c>
    </row>
    <row r="3223" spans="1:17" x14ac:dyDescent="0.25">
      <c r="A3223">
        <v>732149</v>
      </c>
      <c r="B3223" t="s">
        <v>4535</v>
      </c>
      <c r="C3223" t="s">
        <v>78</v>
      </c>
      <c r="D3223" t="s">
        <v>78</v>
      </c>
      <c r="E3223" t="s">
        <v>78</v>
      </c>
      <c r="F3223" t="s">
        <v>78</v>
      </c>
      <c r="G3223" t="s">
        <v>78</v>
      </c>
      <c r="H3223">
        <v>0.25</v>
      </c>
      <c r="I3223" s="1">
        <v>0</v>
      </c>
      <c r="J3223" s="1">
        <v>0</v>
      </c>
      <c r="K3223">
        <v>0</v>
      </c>
      <c r="L3223">
        <v>0.24</v>
      </c>
      <c r="M3223">
        <v>0.26</v>
      </c>
      <c r="N3223" s="1">
        <v>5000000</v>
      </c>
      <c r="O3223">
        <v>0.25</v>
      </c>
      <c r="P3223">
        <v>1.22</v>
      </c>
      <c r="Q3223">
        <v>0.01</v>
      </c>
    </row>
    <row r="3224" spans="1:17" x14ac:dyDescent="0.25">
      <c r="A3224">
        <v>732150</v>
      </c>
      <c r="B3224" t="s">
        <v>4536</v>
      </c>
      <c r="C3224">
        <v>0.95</v>
      </c>
      <c r="D3224">
        <v>-0.04</v>
      </c>
      <c r="E3224">
        <v>0.94</v>
      </c>
      <c r="F3224">
        <v>0.95</v>
      </c>
      <c r="G3224">
        <v>0.94</v>
      </c>
      <c r="H3224">
        <v>0.94</v>
      </c>
      <c r="I3224" s="1">
        <v>220000</v>
      </c>
      <c r="J3224" s="1">
        <v>207000</v>
      </c>
      <c r="K3224">
        <v>3</v>
      </c>
      <c r="L3224">
        <v>0.92</v>
      </c>
      <c r="M3224">
        <v>0.93</v>
      </c>
      <c r="N3224" s="1">
        <v>5000000</v>
      </c>
      <c r="O3224">
        <v>0.95</v>
      </c>
      <c r="P3224">
        <v>1.89</v>
      </c>
      <c r="Q3224">
        <v>0.01</v>
      </c>
    </row>
    <row r="3225" spans="1:17" x14ac:dyDescent="0.25">
      <c r="A3225">
        <v>732151</v>
      </c>
      <c r="B3225" t="s">
        <v>4537</v>
      </c>
      <c r="C3225">
        <v>0.4</v>
      </c>
      <c r="D3225">
        <v>0.05</v>
      </c>
      <c r="E3225">
        <v>0.37</v>
      </c>
      <c r="F3225">
        <v>0.4</v>
      </c>
      <c r="G3225">
        <v>0.37</v>
      </c>
      <c r="H3225">
        <v>0.38</v>
      </c>
      <c r="I3225" s="1">
        <v>198000</v>
      </c>
      <c r="J3225" s="1">
        <v>76200</v>
      </c>
      <c r="K3225">
        <v>2</v>
      </c>
      <c r="L3225">
        <v>0.39</v>
      </c>
      <c r="M3225">
        <v>0.4</v>
      </c>
      <c r="N3225" s="1">
        <v>5000000</v>
      </c>
      <c r="O3225">
        <v>0.4</v>
      </c>
      <c r="P3225">
        <v>1.2</v>
      </c>
      <c r="Q3225">
        <v>0.01</v>
      </c>
    </row>
    <row r="3226" spans="1:17" x14ac:dyDescent="0.25">
      <c r="A3226">
        <v>732152</v>
      </c>
      <c r="B3226" t="s">
        <v>4538</v>
      </c>
      <c r="C3226">
        <v>0.45</v>
      </c>
      <c r="D3226">
        <v>0.01</v>
      </c>
      <c r="E3226">
        <v>0.43</v>
      </c>
      <c r="F3226">
        <v>0.46</v>
      </c>
      <c r="G3226">
        <v>0.43</v>
      </c>
      <c r="H3226">
        <v>0.45</v>
      </c>
      <c r="I3226" s="1">
        <v>283000</v>
      </c>
      <c r="J3226" s="1">
        <v>127480</v>
      </c>
      <c r="K3226">
        <v>6</v>
      </c>
      <c r="L3226">
        <v>0.43</v>
      </c>
      <c r="M3226">
        <v>0.44</v>
      </c>
      <c r="N3226" s="1">
        <v>10000000</v>
      </c>
      <c r="O3226">
        <v>0.45</v>
      </c>
      <c r="P3226">
        <v>1.42</v>
      </c>
      <c r="Q3226">
        <v>0.01</v>
      </c>
    </row>
    <row r="3227" spans="1:17" x14ac:dyDescent="0.25">
      <c r="A3227">
        <v>732153</v>
      </c>
      <c r="B3227" t="s">
        <v>4539</v>
      </c>
      <c r="C3227" t="s">
        <v>78</v>
      </c>
      <c r="D3227" t="s">
        <v>78</v>
      </c>
      <c r="E3227" t="s">
        <v>78</v>
      </c>
      <c r="F3227" t="s">
        <v>78</v>
      </c>
      <c r="G3227" t="s">
        <v>78</v>
      </c>
      <c r="H3227">
        <v>0.16</v>
      </c>
      <c r="I3227" s="1">
        <v>0</v>
      </c>
      <c r="J3227" s="1">
        <v>0</v>
      </c>
      <c r="K3227">
        <v>0</v>
      </c>
      <c r="L3227">
        <v>0.1</v>
      </c>
      <c r="M3227">
        <v>0.11</v>
      </c>
      <c r="N3227" s="1">
        <v>10000000</v>
      </c>
      <c r="O3227">
        <v>0.11</v>
      </c>
      <c r="P3227">
        <v>0.56999999999999995</v>
      </c>
      <c r="Q3227">
        <v>0.01</v>
      </c>
    </row>
    <row r="3228" spans="1:17" x14ac:dyDescent="0.25">
      <c r="A3228">
        <v>732154</v>
      </c>
      <c r="B3228" t="s">
        <v>4540</v>
      </c>
      <c r="C3228" t="s">
        <v>78</v>
      </c>
      <c r="D3228" t="s">
        <v>78</v>
      </c>
      <c r="E3228" t="s">
        <v>78</v>
      </c>
      <c r="F3228" t="s">
        <v>78</v>
      </c>
      <c r="G3228" t="s">
        <v>78</v>
      </c>
      <c r="H3228">
        <v>0.42</v>
      </c>
      <c r="I3228" s="1">
        <v>0</v>
      </c>
      <c r="J3228" s="1">
        <v>0</v>
      </c>
      <c r="K3228">
        <v>0</v>
      </c>
      <c r="L3228">
        <v>0.39</v>
      </c>
      <c r="M3228">
        <v>0.4</v>
      </c>
      <c r="N3228" s="1">
        <v>10000000</v>
      </c>
      <c r="O3228">
        <v>0.4</v>
      </c>
      <c r="P3228">
        <v>0.86</v>
      </c>
      <c r="Q3228">
        <v>0.01</v>
      </c>
    </row>
    <row r="3229" spans="1:17" x14ac:dyDescent="0.25">
      <c r="A3229">
        <v>732155</v>
      </c>
      <c r="B3229" t="s">
        <v>4541</v>
      </c>
      <c r="C3229">
        <v>3.02</v>
      </c>
      <c r="D3229">
        <v>0.09</v>
      </c>
      <c r="E3229">
        <v>3.05</v>
      </c>
      <c r="F3229">
        <v>3.05</v>
      </c>
      <c r="G3229">
        <v>3.02</v>
      </c>
      <c r="H3229">
        <v>3.03</v>
      </c>
      <c r="I3229" s="1">
        <v>40000</v>
      </c>
      <c r="J3229" s="1">
        <v>121100</v>
      </c>
      <c r="K3229">
        <v>4</v>
      </c>
      <c r="L3229">
        <v>3.06</v>
      </c>
      <c r="M3229">
        <v>3.09</v>
      </c>
      <c r="N3229" s="1">
        <v>5000000</v>
      </c>
      <c r="O3229">
        <v>3.02</v>
      </c>
      <c r="P3229">
        <v>4.9000000000000004</v>
      </c>
      <c r="Q3229">
        <v>1.1399999999999999</v>
      </c>
    </row>
    <row r="3230" spans="1:17" x14ac:dyDescent="0.25">
      <c r="A3230">
        <v>732156</v>
      </c>
      <c r="B3230" t="s">
        <v>4542</v>
      </c>
      <c r="C3230">
        <v>0.45</v>
      </c>
      <c r="D3230">
        <v>0</v>
      </c>
      <c r="E3230">
        <v>0.45</v>
      </c>
      <c r="F3230">
        <v>0.45</v>
      </c>
      <c r="G3230">
        <v>0.45</v>
      </c>
      <c r="H3230">
        <v>0.45</v>
      </c>
      <c r="I3230" s="1">
        <v>727000</v>
      </c>
      <c r="J3230" s="1">
        <v>327150</v>
      </c>
      <c r="K3230">
        <v>11</v>
      </c>
      <c r="L3230">
        <v>0.45</v>
      </c>
      <c r="M3230">
        <v>0.46</v>
      </c>
      <c r="N3230" s="1">
        <v>5000000</v>
      </c>
      <c r="O3230">
        <v>0.45</v>
      </c>
      <c r="P3230">
        <v>1</v>
      </c>
      <c r="Q3230">
        <v>0.01</v>
      </c>
    </row>
    <row r="3231" spans="1:17" x14ac:dyDescent="0.25">
      <c r="A3231">
        <v>732157</v>
      </c>
      <c r="B3231" t="s">
        <v>4543</v>
      </c>
      <c r="C3231" t="s">
        <v>78</v>
      </c>
      <c r="D3231" t="s">
        <v>78</v>
      </c>
      <c r="E3231" t="s">
        <v>78</v>
      </c>
      <c r="F3231" t="s">
        <v>78</v>
      </c>
      <c r="G3231" t="s">
        <v>78</v>
      </c>
      <c r="H3231">
        <v>0.15</v>
      </c>
      <c r="I3231" s="1">
        <v>0</v>
      </c>
      <c r="J3231" s="1">
        <v>0</v>
      </c>
      <c r="K3231">
        <v>0</v>
      </c>
      <c r="L3231">
        <v>0.13</v>
      </c>
      <c r="M3231">
        <v>0.14000000000000001</v>
      </c>
      <c r="N3231" s="1">
        <v>10000000</v>
      </c>
      <c r="O3231">
        <v>0.14000000000000001</v>
      </c>
      <c r="P3231">
        <v>0.75</v>
      </c>
      <c r="Q3231">
        <v>0.01</v>
      </c>
    </row>
    <row r="3232" spans="1:17" x14ac:dyDescent="0.25">
      <c r="A3232">
        <v>732158</v>
      </c>
      <c r="B3232" t="s">
        <v>4544</v>
      </c>
      <c r="C3232" t="s">
        <v>78</v>
      </c>
      <c r="D3232" t="s">
        <v>78</v>
      </c>
      <c r="E3232" t="s">
        <v>78</v>
      </c>
      <c r="F3232" t="s">
        <v>78</v>
      </c>
      <c r="G3232" t="s">
        <v>78</v>
      </c>
      <c r="H3232">
        <v>0.43</v>
      </c>
      <c r="I3232" s="1">
        <v>0</v>
      </c>
      <c r="J3232" s="1">
        <v>0</v>
      </c>
      <c r="K3232">
        <v>0</v>
      </c>
      <c r="L3232">
        <v>0.44</v>
      </c>
      <c r="M3232">
        <v>0.45</v>
      </c>
      <c r="N3232" s="1">
        <v>5026000</v>
      </c>
      <c r="O3232">
        <v>0.44</v>
      </c>
      <c r="P3232">
        <v>1.24</v>
      </c>
      <c r="Q3232">
        <v>0.01</v>
      </c>
    </row>
    <row r="3233" spans="1:17" x14ac:dyDescent="0.25">
      <c r="A3233">
        <v>732159</v>
      </c>
      <c r="B3233" t="s">
        <v>4545</v>
      </c>
      <c r="C3233">
        <v>0.37</v>
      </c>
      <c r="D3233">
        <v>0.09</v>
      </c>
      <c r="E3233">
        <v>0.3</v>
      </c>
      <c r="F3233">
        <v>0.37</v>
      </c>
      <c r="G3233">
        <v>0.3</v>
      </c>
      <c r="H3233">
        <v>0.34</v>
      </c>
      <c r="I3233" s="1">
        <v>425000</v>
      </c>
      <c r="J3233" s="1">
        <v>143500</v>
      </c>
      <c r="K3233">
        <v>5</v>
      </c>
      <c r="L3233">
        <v>0.36</v>
      </c>
      <c r="M3233">
        <v>0.37</v>
      </c>
      <c r="N3233" s="1">
        <v>5000000</v>
      </c>
      <c r="O3233">
        <v>0.37</v>
      </c>
      <c r="P3233">
        <v>1.1399999999999999</v>
      </c>
      <c r="Q3233">
        <v>0.01</v>
      </c>
    </row>
    <row r="3234" spans="1:17" x14ac:dyDescent="0.25">
      <c r="A3234">
        <v>732160</v>
      </c>
      <c r="B3234" t="s">
        <v>4546</v>
      </c>
      <c r="C3234">
        <v>0.25</v>
      </c>
      <c r="D3234">
        <v>-0.01</v>
      </c>
      <c r="E3234">
        <v>0.26</v>
      </c>
      <c r="F3234">
        <v>0.26</v>
      </c>
      <c r="G3234">
        <v>0.23</v>
      </c>
      <c r="H3234">
        <v>0.24</v>
      </c>
      <c r="I3234" s="1">
        <v>210000</v>
      </c>
      <c r="J3234" s="1">
        <v>50900</v>
      </c>
      <c r="K3234">
        <v>8</v>
      </c>
      <c r="L3234">
        <v>0.23</v>
      </c>
      <c r="M3234">
        <v>0.24</v>
      </c>
      <c r="N3234" s="1">
        <v>5000000</v>
      </c>
      <c r="O3234">
        <v>0.25</v>
      </c>
      <c r="P3234">
        <v>1.1200000000000001</v>
      </c>
      <c r="Q3234">
        <v>0.01</v>
      </c>
    </row>
    <row r="3235" spans="1:17" x14ac:dyDescent="0.25">
      <c r="A3235">
        <v>732161</v>
      </c>
      <c r="B3235" t="s">
        <v>4547</v>
      </c>
      <c r="C3235">
        <v>1.1599999999999999</v>
      </c>
      <c r="D3235">
        <v>0.12</v>
      </c>
      <c r="E3235">
        <v>1.05</v>
      </c>
      <c r="F3235">
        <v>1.21</v>
      </c>
      <c r="G3235">
        <v>1.05</v>
      </c>
      <c r="H3235">
        <v>1.1399999999999999</v>
      </c>
      <c r="I3235" s="1">
        <v>93000</v>
      </c>
      <c r="J3235" s="1">
        <v>105630</v>
      </c>
      <c r="K3235">
        <v>11</v>
      </c>
      <c r="L3235">
        <v>1.1000000000000001</v>
      </c>
      <c r="M3235">
        <v>1.1299999999999999</v>
      </c>
      <c r="N3235" s="1">
        <v>5000000</v>
      </c>
      <c r="O3235">
        <v>1.1599999999999999</v>
      </c>
      <c r="P3235">
        <v>2.44</v>
      </c>
      <c r="Q3235">
        <v>0.01</v>
      </c>
    </row>
    <row r="3236" spans="1:17" x14ac:dyDescent="0.25">
      <c r="A3236">
        <v>732162</v>
      </c>
      <c r="B3236" t="s">
        <v>4548</v>
      </c>
      <c r="C3236" t="s">
        <v>78</v>
      </c>
      <c r="D3236" t="s">
        <v>78</v>
      </c>
      <c r="E3236" t="s">
        <v>78</v>
      </c>
      <c r="F3236" t="s">
        <v>78</v>
      </c>
      <c r="G3236" t="s">
        <v>78</v>
      </c>
      <c r="H3236">
        <v>1.71</v>
      </c>
      <c r="I3236" s="1">
        <v>0</v>
      </c>
      <c r="J3236" s="1">
        <v>0</v>
      </c>
      <c r="K3236">
        <v>0</v>
      </c>
      <c r="L3236">
        <v>1.53</v>
      </c>
      <c r="M3236">
        <v>1.54</v>
      </c>
      <c r="N3236" s="1">
        <v>5000000</v>
      </c>
      <c r="O3236">
        <v>1.54</v>
      </c>
      <c r="P3236">
        <v>2.36</v>
      </c>
      <c r="Q3236">
        <v>0.72</v>
      </c>
    </row>
    <row r="3237" spans="1:17" x14ac:dyDescent="0.25">
      <c r="A3237">
        <v>732163</v>
      </c>
      <c r="B3237" t="s">
        <v>4549</v>
      </c>
      <c r="C3237">
        <v>0.41</v>
      </c>
      <c r="D3237">
        <v>0.01</v>
      </c>
      <c r="E3237">
        <v>0.41</v>
      </c>
      <c r="F3237">
        <v>0.41</v>
      </c>
      <c r="G3237">
        <v>0.41</v>
      </c>
      <c r="H3237">
        <v>0.41</v>
      </c>
      <c r="I3237" s="1">
        <v>100000</v>
      </c>
      <c r="J3237" s="1">
        <v>41000</v>
      </c>
      <c r="K3237">
        <v>1</v>
      </c>
      <c r="L3237">
        <v>0.4</v>
      </c>
      <c r="M3237">
        <v>0.41</v>
      </c>
      <c r="N3237" s="1">
        <v>5000000</v>
      </c>
      <c r="O3237">
        <v>0.41</v>
      </c>
      <c r="P3237">
        <v>0.77</v>
      </c>
      <c r="Q3237">
        <v>0.04</v>
      </c>
    </row>
    <row r="3238" spans="1:17" x14ac:dyDescent="0.25">
      <c r="A3238">
        <v>732164</v>
      </c>
      <c r="B3238" t="s">
        <v>4550</v>
      </c>
      <c r="C3238" t="s">
        <v>78</v>
      </c>
      <c r="D3238" t="s">
        <v>78</v>
      </c>
      <c r="E3238" t="s">
        <v>78</v>
      </c>
      <c r="F3238" t="s">
        <v>78</v>
      </c>
      <c r="G3238" t="s">
        <v>78</v>
      </c>
      <c r="H3238">
        <v>5.1100000000000003</v>
      </c>
      <c r="I3238" s="1">
        <v>0</v>
      </c>
      <c r="J3238" s="1">
        <v>0</v>
      </c>
      <c r="K3238">
        <v>0</v>
      </c>
      <c r="L3238">
        <v>4.58</v>
      </c>
      <c r="M3238">
        <v>4.68</v>
      </c>
      <c r="N3238" s="1">
        <v>5000000</v>
      </c>
      <c r="O3238">
        <v>4.68</v>
      </c>
      <c r="P3238">
        <v>5.9</v>
      </c>
      <c r="Q3238">
        <v>3.45</v>
      </c>
    </row>
    <row r="3239" spans="1:17" x14ac:dyDescent="0.25">
      <c r="A3239">
        <v>732165</v>
      </c>
      <c r="B3239" t="s">
        <v>4551</v>
      </c>
      <c r="C3239" t="s">
        <v>78</v>
      </c>
      <c r="D3239" t="s">
        <v>78</v>
      </c>
      <c r="E3239" t="s">
        <v>78</v>
      </c>
      <c r="F3239" t="s">
        <v>78</v>
      </c>
      <c r="G3239" t="s">
        <v>78</v>
      </c>
      <c r="H3239">
        <v>5.4</v>
      </c>
      <c r="I3239" s="1">
        <v>0</v>
      </c>
      <c r="J3239" s="1">
        <v>0</v>
      </c>
      <c r="K3239">
        <v>0</v>
      </c>
      <c r="L3239">
        <v>5</v>
      </c>
      <c r="M3239">
        <v>5.5</v>
      </c>
      <c r="N3239" s="1">
        <v>5000000</v>
      </c>
      <c r="O3239">
        <v>5.4</v>
      </c>
      <c r="P3239">
        <v>6.8</v>
      </c>
      <c r="Q3239">
        <v>3.95</v>
      </c>
    </row>
    <row r="3240" spans="1:17" x14ac:dyDescent="0.25">
      <c r="A3240">
        <v>732166</v>
      </c>
      <c r="B3240" t="s">
        <v>4552</v>
      </c>
      <c r="C3240" t="s">
        <v>78</v>
      </c>
      <c r="D3240" t="s">
        <v>78</v>
      </c>
      <c r="E3240" t="s">
        <v>78</v>
      </c>
      <c r="F3240" t="s">
        <v>78</v>
      </c>
      <c r="G3240" t="s">
        <v>78</v>
      </c>
      <c r="H3240">
        <v>1.88</v>
      </c>
      <c r="I3240" s="1">
        <v>0</v>
      </c>
      <c r="J3240" s="1">
        <v>0</v>
      </c>
      <c r="K3240">
        <v>0</v>
      </c>
      <c r="L3240">
        <v>1.6</v>
      </c>
      <c r="M3240">
        <v>1.65</v>
      </c>
      <c r="N3240" s="1">
        <v>5000000</v>
      </c>
      <c r="O3240">
        <v>1.6</v>
      </c>
      <c r="P3240">
        <v>2.11</v>
      </c>
      <c r="Q3240">
        <v>1.0900000000000001</v>
      </c>
    </row>
    <row r="3241" spans="1:17" x14ac:dyDescent="0.25">
      <c r="A3241">
        <v>732167</v>
      </c>
      <c r="B3241" t="s">
        <v>4553</v>
      </c>
      <c r="C3241">
        <v>0.27</v>
      </c>
      <c r="D3241">
        <v>-0.01</v>
      </c>
      <c r="E3241">
        <v>0.27</v>
      </c>
      <c r="F3241">
        <v>0.27</v>
      </c>
      <c r="G3241">
        <v>0.27</v>
      </c>
      <c r="H3241">
        <v>0.27</v>
      </c>
      <c r="I3241" s="1">
        <v>10000</v>
      </c>
      <c r="J3241" s="1">
        <v>2700</v>
      </c>
      <c r="K3241">
        <v>1</v>
      </c>
      <c r="L3241">
        <v>0.27</v>
      </c>
      <c r="M3241">
        <v>0</v>
      </c>
      <c r="N3241" s="1">
        <v>5000000</v>
      </c>
      <c r="O3241">
        <v>0.27</v>
      </c>
      <c r="P3241">
        <v>1.1200000000000001</v>
      </c>
      <c r="Q3241">
        <v>0.01</v>
      </c>
    </row>
    <row r="3242" spans="1:17" x14ac:dyDescent="0.25">
      <c r="A3242">
        <v>732168</v>
      </c>
      <c r="B3242" t="s">
        <v>4554</v>
      </c>
      <c r="C3242">
        <v>0.91</v>
      </c>
      <c r="D3242">
        <v>-0.03</v>
      </c>
      <c r="E3242">
        <v>0.92</v>
      </c>
      <c r="F3242">
        <v>0.92</v>
      </c>
      <c r="G3242">
        <v>0.88</v>
      </c>
      <c r="H3242">
        <v>0.9</v>
      </c>
      <c r="I3242" s="1">
        <v>701000</v>
      </c>
      <c r="J3242" s="1">
        <v>633870</v>
      </c>
      <c r="K3242">
        <v>29</v>
      </c>
      <c r="L3242">
        <v>0.91</v>
      </c>
      <c r="M3242">
        <v>0.92</v>
      </c>
      <c r="N3242" s="1">
        <v>10000000</v>
      </c>
      <c r="O3242">
        <v>0.91</v>
      </c>
      <c r="P3242">
        <v>1.54</v>
      </c>
      <c r="Q3242">
        <v>0.28000000000000003</v>
      </c>
    </row>
    <row r="3243" spans="1:17" x14ac:dyDescent="0.25">
      <c r="A3243">
        <v>732169</v>
      </c>
      <c r="B3243" t="s">
        <v>4555</v>
      </c>
      <c r="C3243" t="s">
        <v>78</v>
      </c>
      <c r="D3243" t="s">
        <v>78</v>
      </c>
      <c r="E3243" t="s">
        <v>78</v>
      </c>
      <c r="F3243" t="s">
        <v>78</v>
      </c>
      <c r="G3243" t="s">
        <v>78</v>
      </c>
      <c r="H3243">
        <v>0.33</v>
      </c>
      <c r="I3243" s="1">
        <v>0</v>
      </c>
      <c r="J3243" s="1">
        <v>0</v>
      </c>
      <c r="K3243">
        <v>0</v>
      </c>
      <c r="L3243">
        <v>0.27</v>
      </c>
      <c r="M3243">
        <v>0.28000000000000003</v>
      </c>
      <c r="N3243" s="1">
        <v>5000000</v>
      </c>
      <c r="O3243">
        <v>0.28000000000000003</v>
      </c>
      <c r="P3243">
        <v>1.05</v>
      </c>
      <c r="Q3243">
        <v>0.01</v>
      </c>
    </row>
    <row r="3244" spans="1:17" x14ac:dyDescent="0.25">
      <c r="A3244">
        <v>732170</v>
      </c>
      <c r="B3244" t="s">
        <v>4556</v>
      </c>
      <c r="C3244">
        <v>1.71</v>
      </c>
      <c r="D3244">
        <v>-0.12</v>
      </c>
      <c r="E3244">
        <v>1.79</v>
      </c>
      <c r="F3244">
        <v>1.89</v>
      </c>
      <c r="G3244">
        <v>1.71</v>
      </c>
      <c r="H3244">
        <v>1.82</v>
      </c>
      <c r="I3244" s="1">
        <v>438000</v>
      </c>
      <c r="J3244" s="1">
        <v>795170</v>
      </c>
      <c r="K3244">
        <v>19</v>
      </c>
      <c r="L3244">
        <v>1.72</v>
      </c>
      <c r="M3244">
        <v>1.76</v>
      </c>
      <c r="N3244" s="1">
        <v>5000000</v>
      </c>
      <c r="O3244">
        <v>1.71</v>
      </c>
      <c r="P3244">
        <v>2.66</v>
      </c>
      <c r="Q3244">
        <v>0.76</v>
      </c>
    </row>
    <row r="3245" spans="1:17" x14ac:dyDescent="0.25">
      <c r="A3245">
        <v>732171</v>
      </c>
      <c r="B3245" t="s">
        <v>4557</v>
      </c>
      <c r="C3245">
        <v>0.77</v>
      </c>
      <c r="D3245">
        <v>-0.04</v>
      </c>
      <c r="E3245">
        <v>0.76</v>
      </c>
      <c r="F3245">
        <v>0.79</v>
      </c>
      <c r="G3245">
        <v>0.76</v>
      </c>
      <c r="H3245">
        <v>0.76</v>
      </c>
      <c r="I3245" s="1">
        <v>191000</v>
      </c>
      <c r="J3245" s="1">
        <v>145470</v>
      </c>
      <c r="K3245">
        <v>5</v>
      </c>
      <c r="L3245">
        <v>0.76</v>
      </c>
      <c r="M3245">
        <v>0.77</v>
      </c>
      <c r="N3245" s="1">
        <v>5000000</v>
      </c>
      <c r="O3245">
        <v>0.77</v>
      </c>
      <c r="P3245">
        <v>1.67</v>
      </c>
      <c r="Q3245">
        <v>0.01</v>
      </c>
    </row>
    <row r="3246" spans="1:17" x14ac:dyDescent="0.25">
      <c r="A3246">
        <v>732172</v>
      </c>
      <c r="B3246" t="s">
        <v>4558</v>
      </c>
      <c r="C3246">
        <v>0.47</v>
      </c>
      <c r="D3246">
        <v>-0.01</v>
      </c>
      <c r="E3246">
        <v>0.47</v>
      </c>
      <c r="F3246">
        <v>0.47</v>
      </c>
      <c r="G3246">
        <v>0.47</v>
      </c>
      <c r="H3246">
        <v>0.47</v>
      </c>
      <c r="I3246" s="1">
        <v>100000</v>
      </c>
      <c r="J3246" s="1">
        <v>47000</v>
      </c>
      <c r="K3246">
        <v>1</v>
      </c>
      <c r="L3246">
        <v>0.46</v>
      </c>
      <c r="M3246">
        <v>0.47</v>
      </c>
      <c r="N3246" s="1">
        <v>10000000</v>
      </c>
      <c r="O3246">
        <v>0.47</v>
      </c>
      <c r="P3246">
        <v>0.96</v>
      </c>
      <c r="Q3246">
        <v>0.01</v>
      </c>
    </row>
    <row r="3247" spans="1:17" x14ac:dyDescent="0.25">
      <c r="A3247">
        <v>732173</v>
      </c>
      <c r="B3247" t="s">
        <v>4559</v>
      </c>
      <c r="C3247">
        <v>0.64</v>
      </c>
      <c r="D3247">
        <v>0.05</v>
      </c>
      <c r="E3247">
        <v>0.57999999999999996</v>
      </c>
      <c r="F3247">
        <v>0.64</v>
      </c>
      <c r="G3247">
        <v>0.57999999999999996</v>
      </c>
      <c r="H3247">
        <v>0.63</v>
      </c>
      <c r="I3247" s="1">
        <v>31000</v>
      </c>
      <c r="J3247" s="1">
        <v>19580</v>
      </c>
      <c r="K3247">
        <v>3</v>
      </c>
      <c r="L3247">
        <v>0.6</v>
      </c>
      <c r="M3247">
        <v>0.62</v>
      </c>
      <c r="N3247" s="1">
        <v>5000000</v>
      </c>
      <c r="O3247">
        <v>0.64</v>
      </c>
      <c r="P3247">
        <v>1.69</v>
      </c>
      <c r="Q3247">
        <v>0.01</v>
      </c>
    </row>
    <row r="3248" spans="1:17" x14ac:dyDescent="0.25">
      <c r="A3248">
        <v>732174</v>
      </c>
      <c r="B3248" t="s">
        <v>4560</v>
      </c>
      <c r="C3248">
        <v>0.56000000000000005</v>
      </c>
      <c r="D3248">
        <v>0.05</v>
      </c>
      <c r="E3248">
        <v>0.53</v>
      </c>
      <c r="F3248">
        <v>0.59</v>
      </c>
      <c r="G3248">
        <v>0.53</v>
      </c>
      <c r="H3248">
        <v>0.56999999999999995</v>
      </c>
      <c r="I3248" s="1">
        <v>1069000</v>
      </c>
      <c r="J3248" s="1">
        <v>605970</v>
      </c>
      <c r="K3248">
        <v>84</v>
      </c>
      <c r="L3248">
        <v>0.55000000000000004</v>
      </c>
      <c r="M3248">
        <v>0.56000000000000005</v>
      </c>
      <c r="N3248" s="1">
        <v>10000000</v>
      </c>
      <c r="O3248">
        <v>0.56000000000000005</v>
      </c>
      <c r="P3248">
        <v>0.91</v>
      </c>
      <c r="Q3248">
        <v>0.21</v>
      </c>
    </row>
    <row r="3249" spans="1:17" x14ac:dyDescent="0.25">
      <c r="A3249">
        <v>732175</v>
      </c>
      <c r="B3249" t="s">
        <v>4561</v>
      </c>
      <c r="C3249">
        <v>0.63</v>
      </c>
      <c r="D3249">
        <v>0</v>
      </c>
      <c r="E3249">
        <v>0.63</v>
      </c>
      <c r="F3249">
        <v>0.63</v>
      </c>
      <c r="G3249">
        <v>0.63</v>
      </c>
      <c r="H3249">
        <v>0.63</v>
      </c>
      <c r="I3249" s="1">
        <v>10000</v>
      </c>
      <c r="J3249" s="1">
        <v>6300</v>
      </c>
      <c r="K3249">
        <v>1</v>
      </c>
      <c r="L3249">
        <v>0.57999999999999996</v>
      </c>
      <c r="M3249">
        <v>0.6</v>
      </c>
      <c r="N3249" s="1">
        <v>5000000</v>
      </c>
      <c r="O3249">
        <v>0.63</v>
      </c>
      <c r="P3249">
        <v>1.32</v>
      </c>
      <c r="Q3249">
        <v>0.01</v>
      </c>
    </row>
    <row r="3250" spans="1:17" x14ac:dyDescent="0.25">
      <c r="A3250">
        <v>732176</v>
      </c>
      <c r="B3250" t="s">
        <v>4562</v>
      </c>
      <c r="C3250">
        <v>1.45</v>
      </c>
      <c r="D3250">
        <v>0.02</v>
      </c>
      <c r="E3250">
        <v>1.47</v>
      </c>
      <c r="F3250">
        <v>1.47</v>
      </c>
      <c r="G3250">
        <v>1.4</v>
      </c>
      <c r="H3250">
        <v>1.44</v>
      </c>
      <c r="I3250" s="1">
        <v>109000</v>
      </c>
      <c r="J3250" s="1">
        <v>156640</v>
      </c>
      <c r="K3250">
        <v>12</v>
      </c>
      <c r="L3250">
        <v>1.42</v>
      </c>
      <c r="M3250">
        <v>1.44</v>
      </c>
      <c r="N3250" s="1">
        <v>5000000</v>
      </c>
      <c r="O3250">
        <v>1.45</v>
      </c>
      <c r="P3250">
        <v>2.1800000000000002</v>
      </c>
      <c r="Q3250">
        <v>0.72</v>
      </c>
    </row>
    <row r="3251" spans="1:17" x14ac:dyDescent="0.25">
      <c r="A3251">
        <v>732177</v>
      </c>
      <c r="B3251" t="s">
        <v>4563</v>
      </c>
      <c r="C3251">
        <v>4.92</v>
      </c>
      <c r="D3251">
        <v>0.18</v>
      </c>
      <c r="E3251">
        <v>5.0999999999999996</v>
      </c>
      <c r="F3251">
        <v>5.15</v>
      </c>
      <c r="G3251">
        <v>4.92</v>
      </c>
      <c r="H3251">
        <v>5.0199999999999996</v>
      </c>
      <c r="I3251" s="1">
        <v>21000</v>
      </c>
      <c r="J3251" s="1">
        <v>105450</v>
      </c>
      <c r="K3251">
        <v>3</v>
      </c>
      <c r="L3251">
        <v>4.8499999999999996</v>
      </c>
      <c r="M3251">
        <v>4.8899999999999997</v>
      </c>
      <c r="N3251" s="1">
        <v>5000000</v>
      </c>
      <c r="O3251">
        <v>4.92</v>
      </c>
      <c r="P3251">
        <v>6.05</v>
      </c>
      <c r="Q3251">
        <v>3.76</v>
      </c>
    </row>
    <row r="3252" spans="1:17" x14ac:dyDescent="0.25">
      <c r="A3252">
        <v>732178</v>
      </c>
      <c r="B3252" t="s">
        <v>4564</v>
      </c>
      <c r="C3252">
        <v>4.34</v>
      </c>
      <c r="D3252">
        <v>-0.23</v>
      </c>
      <c r="E3252">
        <v>4.34</v>
      </c>
      <c r="F3252">
        <v>4.34</v>
      </c>
      <c r="G3252">
        <v>4.34</v>
      </c>
      <c r="H3252">
        <v>4.34</v>
      </c>
      <c r="I3252" s="1">
        <v>19000</v>
      </c>
      <c r="J3252" s="1">
        <v>82460</v>
      </c>
      <c r="K3252">
        <v>1</v>
      </c>
      <c r="L3252">
        <v>4.29</v>
      </c>
      <c r="M3252">
        <v>4.34</v>
      </c>
      <c r="N3252" s="1">
        <v>5000000</v>
      </c>
      <c r="O3252">
        <v>4.34</v>
      </c>
      <c r="P3252">
        <v>5.55</v>
      </c>
      <c r="Q3252">
        <v>3.08</v>
      </c>
    </row>
    <row r="3253" spans="1:17" x14ac:dyDescent="0.25">
      <c r="A3253">
        <v>732179</v>
      </c>
      <c r="B3253" t="s">
        <v>4565</v>
      </c>
      <c r="C3253">
        <v>1.69</v>
      </c>
      <c r="D3253">
        <v>-0.16</v>
      </c>
      <c r="E3253">
        <v>1.73</v>
      </c>
      <c r="F3253">
        <v>1.73</v>
      </c>
      <c r="G3253">
        <v>1.69</v>
      </c>
      <c r="H3253">
        <v>1.71</v>
      </c>
      <c r="I3253" s="1">
        <v>20000</v>
      </c>
      <c r="J3253" s="1">
        <v>34200</v>
      </c>
      <c r="K3253">
        <v>3</v>
      </c>
      <c r="L3253">
        <v>1.71</v>
      </c>
      <c r="M3253">
        <v>1.75</v>
      </c>
      <c r="N3253" s="1">
        <v>10000000</v>
      </c>
      <c r="O3253">
        <v>1.69</v>
      </c>
      <c r="P3253">
        <v>2.5</v>
      </c>
      <c r="Q3253">
        <v>0.88</v>
      </c>
    </row>
    <row r="3254" spans="1:17" x14ac:dyDescent="0.25">
      <c r="A3254">
        <v>732180</v>
      </c>
      <c r="B3254" t="s">
        <v>4566</v>
      </c>
      <c r="C3254">
        <v>0.97</v>
      </c>
      <c r="D3254">
        <v>0.21</v>
      </c>
      <c r="E3254">
        <v>0.75</v>
      </c>
      <c r="F3254">
        <v>0.97</v>
      </c>
      <c r="G3254">
        <v>0.72</v>
      </c>
      <c r="H3254">
        <v>0.83</v>
      </c>
      <c r="I3254" s="1">
        <v>294000</v>
      </c>
      <c r="J3254" s="1">
        <v>243650</v>
      </c>
      <c r="K3254">
        <v>24</v>
      </c>
      <c r="L3254">
        <v>0.87</v>
      </c>
      <c r="M3254">
        <v>0.92</v>
      </c>
      <c r="N3254" s="1">
        <v>5000000</v>
      </c>
      <c r="O3254">
        <v>0.97</v>
      </c>
      <c r="P3254">
        <v>3.77</v>
      </c>
      <c r="Q3254">
        <v>0.01</v>
      </c>
    </row>
    <row r="3255" spans="1:17" x14ac:dyDescent="0.25">
      <c r="A3255">
        <v>732181</v>
      </c>
      <c r="B3255" t="s">
        <v>4567</v>
      </c>
      <c r="C3255">
        <v>0.86</v>
      </c>
      <c r="D3255">
        <v>-0.04</v>
      </c>
      <c r="E3255">
        <v>0.87</v>
      </c>
      <c r="F3255">
        <v>0.89</v>
      </c>
      <c r="G3255">
        <v>0.85</v>
      </c>
      <c r="H3255">
        <v>0.86</v>
      </c>
      <c r="I3255" s="1">
        <v>344000</v>
      </c>
      <c r="J3255" s="1">
        <v>295340</v>
      </c>
      <c r="K3255">
        <v>7</v>
      </c>
      <c r="L3255">
        <v>0.85</v>
      </c>
      <c r="M3255">
        <v>0.86</v>
      </c>
      <c r="N3255" s="1">
        <v>5000000</v>
      </c>
      <c r="O3255">
        <v>0.86</v>
      </c>
      <c r="P3255">
        <v>1.76</v>
      </c>
      <c r="Q3255">
        <v>0.01</v>
      </c>
    </row>
    <row r="3256" spans="1:17" x14ac:dyDescent="0.25">
      <c r="A3256">
        <v>732182</v>
      </c>
      <c r="B3256" t="s">
        <v>4568</v>
      </c>
      <c r="C3256">
        <v>2.35</v>
      </c>
      <c r="D3256">
        <v>0.14000000000000001</v>
      </c>
      <c r="E3256">
        <v>2.35</v>
      </c>
      <c r="F3256">
        <v>2.35</v>
      </c>
      <c r="G3256">
        <v>2.35</v>
      </c>
      <c r="H3256">
        <v>2.35</v>
      </c>
      <c r="I3256" s="1">
        <v>1000</v>
      </c>
      <c r="J3256" s="1">
        <v>2350</v>
      </c>
      <c r="K3256">
        <v>1</v>
      </c>
      <c r="L3256">
        <v>2.31</v>
      </c>
      <c r="M3256">
        <v>2.4</v>
      </c>
      <c r="N3256" s="1">
        <v>5000000</v>
      </c>
      <c r="O3256">
        <v>2.35</v>
      </c>
      <c r="P3256">
        <v>3.21</v>
      </c>
      <c r="Q3256">
        <v>1.49</v>
      </c>
    </row>
    <row r="3257" spans="1:17" x14ac:dyDescent="0.25">
      <c r="A3257">
        <v>732183</v>
      </c>
      <c r="B3257" t="s">
        <v>4569</v>
      </c>
      <c r="C3257" t="s">
        <v>78</v>
      </c>
      <c r="D3257" t="s">
        <v>78</v>
      </c>
      <c r="E3257" t="s">
        <v>78</v>
      </c>
      <c r="F3257" t="s">
        <v>78</v>
      </c>
      <c r="G3257" t="s">
        <v>78</v>
      </c>
      <c r="H3257">
        <v>3.16</v>
      </c>
      <c r="I3257" s="1">
        <v>0</v>
      </c>
      <c r="J3257" s="1">
        <v>0</v>
      </c>
      <c r="K3257">
        <v>0</v>
      </c>
      <c r="L3257">
        <v>4.99</v>
      </c>
      <c r="M3257">
        <v>5.15</v>
      </c>
      <c r="N3257" s="1">
        <v>5000000</v>
      </c>
      <c r="O3257">
        <v>5.0999999999999996</v>
      </c>
      <c r="P3257">
        <v>6.3</v>
      </c>
      <c r="Q3257">
        <v>3.87</v>
      </c>
    </row>
    <row r="3258" spans="1:17" x14ac:dyDescent="0.25">
      <c r="A3258">
        <v>732184</v>
      </c>
      <c r="B3258" t="s">
        <v>4570</v>
      </c>
      <c r="C3258">
        <v>0.31</v>
      </c>
      <c r="D3258">
        <v>-0.01</v>
      </c>
      <c r="E3258">
        <v>0.31</v>
      </c>
      <c r="F3258">
        <v>0.31</v>
      </c>
      <c r="G3258">
        <v>0.31</v>
      </c>
      <c r="H3258">
        <v>0.31</v>
      </c>
      <c r="I3258" s="1">
        <v>12000</v>
      </c>
      <c r="J3258" s="1">
        <v>3720</v>
      </c>
      <c r="K3258">
        <v>1</v>
      </c>
      <c r="L3258">
        <v>0.33</v>
      </c>
      <c r="M3258">
        <v>0.35</v>
      </c>
      <c r="N3258" s="1">
        <v>10000000</v>
      </c>
      <c r="O3258">
        <v>0.31</v>
      </c>
      <c r="P3258">
        <v>0.87</v>
      </c>
      <c r="Q3258">
        <v>0.01</v>
      </c>
    </row>
    <row r="3259" spans="1:17" x14ac:dyDescent="0.25">
      <c r="A3259">
        <v>732185</v>
      </c>
      <c r="B3259" t="s">
        <v>4571</v>
      </c>
      <c r="C3259">
        <v>0.87</v>
      </c>
      <c r="D3259">
        <v>-0.13</v>
      </c>
      <c r="E3259">
        <v>1.06</v>
      </c>
      <c r="F3259">
        <v>1.06</v>
      </c>
      <c r="G3259">
        <v>0.87</v>
      </c>
      <c r="H3259">
        <v>0.93</v>
      </c>
      <c r="I3259" s="1">
        <v>505000</v>
      </c>
      <c r="J3259" s="1">
        <v>472170</v>
      </c>
      <c r="K3259">
        <v>24</v>
      </c>
      <c r="L3259">
        <v>0.86</v>
      </c>
      <c r="M3259">
        <v>0.87</v>
      </c>
      <c r="N3259" s="1">
        <v>10000000</v>
      </c>
      <c r="O3259">
        <v>0.87</v>
      </c>
      <c r="P3259">
        <v>1.64</v>
      </c>
      <c r="Q3259">
        <v>0.1</v>
      </c>
    </row>
    <row r="3260" spans="1:17" x14ac:dyDescent="0.25">
      <c r="A3260">
        <v>732186</v>
      </c>
      <c r="B3260" t="s">
        <v>4572</v>
      </c>
      <c r="C3260">
        <v>0.3</v>
      </c>
      <c r="D3260">
        <v>0</v>
      </c>
      <c r="E3260">
        <v>0.34</v>
      </c>
      <c r="F3260">
        <v>0.34</v>
      </c>
      <c r="G3260">
        <v>0.3</v>
      </c>
      <c r="H3260">
        <v>0.33</v>
      </c>
      <c r="I3260" s="1">
        <v>540000</v>
      </c>
      <c r="J3260" s="1">
        <v>178300</v>
      </c>
      <c r="K3260">
        <v>22</v>
      </c>
      <c r="L3260">
        <v>0.3</v>
      </c>
      <c r="M3260">
        <v>0.31</v>
      </c>
      <c r="N3260" s="1">
        <v>10000000</v>
      </c>
      <c r="O3260">
        <v>0.3</v>
      </c>
      <c r="P3260">
        <v>0.94</v>
      </c>
      <c r="Q3260">
        <v>0.01</v>
      </c>
    </row>
    <row r="3261" spans="1:17" x14ac:dyDescent="0.25">
      <c r="A3261">
        <v>732187</v>
      </c>
      <c r="B3261" t="s">
        <v>4573</v>
      </c>
      <c r="C3261" t="s">
        <v>78</v>
      </c>
      <c r="D3261" t="s">
        <v>78</v>
      </c>
      <c r="E3261" t="s">
        <v>78</v>
      </c>
      <c r="F3261" t="s">
        <v>78</v>
      </c>
      <c r="G3261" t="s">
        <v>78</v>
      </c>
      <c r="H3261">
        <v>3.64</v>
      </c>
      <c r="I3261" s="1">
        <v>0</v>
      </c>
      <c r="J3261" s="1">
        <v>0</v>
      </c>
      <c r="K3261">
        <v>0</v>
      </c>
      <c r="L3261">
        <v>2.74</v>
      </c>
      <c r="M3261">
        <v>2.75</v>
      </c>
      <c r="N3261" s="1">
        <v>10000000</v>
      </c>
      <c r="O3261">
        <v>2.75</v>
      </c>
      <c r="P3261">
        <v>3.31</v>
      </c>
      <c r="Q3261">
        <v>2.19</v>
      </c>
    </row>
    <row r="3262" spans="1:17" x14ac:dyDescent="0.25">
      <c r="A3262">
        <v>732188</v>
      </c>
      <c r="B3262" t="s">
        <v>4574</v>
      </c>
      <c r="C3262">
        <v>1.29</v>
      </c>
      <c r="D3262">
        <v>0.12</v>
      </c>
      <c r="E3262">
        <v>1.19</v>
      </c>
      <c r="F3262">
        <v>1.38</v>
      </c>
      <c r="G3262">
        <v>1.1399999999999999</v>
      </c>
      <c r="H3262">
        <v>1.27</v>
      </c>
      <c r="I3262" s="1">
        <v>467000</v>
      </c>
      <c r="J3262" s="1">
        <v>594710</v>
      </c>
      <c r="K3262">
        <v>23</v>
      </c>
      <c r="L3262">
        <v>1.26</v>
      </c>
      <c r="M3262">
        <v>1.28</v>
      </c>
      <c r="N3262" s="1">
        <v>10000000</v>
      </c>
      <c r="O3262">
        <v>1.29</v>
      </c>
      <c r="P3262">
        <v>2.69</v>
      </c>
      <c r="Q3262">
        <v>0.01</v>
      </c>
    </row>
    <row r="3263" spans="1:17" x14ac:dyDescent="0.25">
      <c r="A3263">
        <v>732189</v>
      </c>
      <c r="B3263" t="s">
        <v>4575</v>
      </c>
      <c r="C3263" t="s">
        <v>78</v>
      </c>
      <c r="D3263" t="s">
        <v>78</v>
      </c>
      <c r="E3263" t="s">
        <v>78</v>
      </c>
      <c r="F3263" t="s">
        <v>78</v>
      </c>
      <c r="G3263" t="s">
        <v>78</v>
      </c>
      <c r="H3263">
        <v>0.13</v>
      </c>
      <c r="I3263" s="1">
        <v>0</v>
      </c>
      <c r="J3263" s="1">
        <v>0</v>
      </c>
      <c r="K3263">
        <v>0</v>
      </c>
      <c r="L3263">
        <v>0.12</v>
      </c>
      <c r="M3263">
        <v>0.18</v>
      </c>
      <c r="N3263" s="1">
        <v>10000000</v>
      </c>
      <c r="O3263">
        <v>0.13</v>
      </c>
      <c r="P3263">
        <v>0.8</v>
      </c>
      <c r="Q3263">
        <v>0.01</v>
      </c>
    </row>
    <row r="3264" spans="1:17" x14ac:dyDescent="0.25">
      <c r="A3264">
        <v>732190</v>
      </c>
      <c r="B3264" t="s">
        <v>4576</v>
      </c>
      <c r="C3264">
        <v>2.2000000000000002</v>
      </c>
      <c r="D3264">
        <v>0.08</v>
      </c>
      <c r="E3264">
        <v>2.2000000000000002</v>
      </c>
      <c r="F3264">
        <v>2.2000000000000002</v>
      </c>
      <c r="G3264">
        <v>2.2000000000000002</v>
      </c>
      <c r="H3264">
        <v>2.2000000000000002</v>
      </c>
      <c r="I3264" s="1">
        <v>10000</v>
      </c>
      <c r="J3264" s="1">
        <v>22000</v>
      </c>
      <c r="K3264">
        <v>1</v>
      </c>
      <c r="L3264">
        <v>2.17</v>
      </c>
      <c r="M3264">
        <v>0</v>
      </c>
      <c r="N3264" s="1">
        <v>5000000</v>
      </c>
      <c r="O3264">
        <v>2.2000000000000002</v>
      </c>
      <c r="P3264">
        <v>2.99</v>
      </c>
      <c r="Q3264">
        <v>1.41</v>
      </c>
    </row>
    <row r="3265" spans="1:17" x14ac:dyDescent="0.25">
      <c r="A3265">
        <v>732191</v>
      </c>
      <c r="B3265" t="s">
        <v>4577</v>
      </c>
      <c r="C3265">
        <v>0.21</v>
      </c>
      <c r="D3265">
        <v>-0.02</v>
      </c>
      <c r="E3265">
        <v>0.21</v>
      </c>
      <c r="F3265">
        <v>0.21</v>
      </c>
      <c r="G3265">
        <v>0.21</v>
      </c>
      <c r="H3265">
        <v>0.21</v>
      </c>
      <c r="I3265" s="1">
        <v>30000</v>
      </c>
      <c r="J3265" s="1">
        <v>6300</v>
      </c>
      <c r="K3265">
        <v>1</v>
      </c>
      <c r="L3265">
        <v>0.21</v>
      </c>
      <c r="M3265">
        <v>0.22</v>
      </c>
      <c r="N3265" s="1">
        <v>10000000</v>
      </c>
      <c r="O3265">
        <v>0.21</v>
      </c>
      <c r="P3265">
        <v>0.77</v>
      </c>
      <c r="Q3265">
        <v>0.01</v>
      </c>
    </row>
    <row r="3266" spans="1:17" x14ac:dyDescent="0.25">
      <c r="A3266">
        <v>732192</v>
      </c>
      <c r="B3266" t="s">
        <v>4578</v>
      </c>
      <c r="C3266" t="s">
        <v>78</v>
      </c>
      <c r="D3266" t="s">
        <v>78</v>
      </c>
      <c r="E3266" t="s">
        <v>78</v>
      </c>
      <c r="F3266" t="s">
        <v>78</v>
      </c>
      <c r="G3266" t="s">
        <v>78</v>
      </c>
      <c r="H3266">
        <v>0.19</v>
      </c>
      <c r="I3266" s="1">
        <v>0</v>
      </c>
      <c r="J3266" s="1">
        <v>0</v>
      </c>
      <c r="K3266">
        <v>0</v>
      </c>
      <c r="L3266">
        <v>0.14000000000000001</v>
      </c>
      <c r="M3266">
        <v>0.15</v>
      </c>
      <c r="N3266" s="1">
        <v>10000000</v>
      </c>
      <c r="O3266">
        <v>0.15</v>
      </c>
      <c r="P3266">
        <v>0.5</v>
      </c>
      <c r="Q3266">
        <v>0.01</v>
      </c>
    </row>
    <row r="3267" spans="1:17" x14ac:dyDescent="0.25">
      <c r="A3267">
        <v>732193</v>
      </c>
      <c r="B3267" t="s">
        <v>4579</v>
      </c>
      <c r="C3267">
        <v>0.64</v>
      </c>
      <c r="D3267">
        <v>-0.04</v>
      </c>
      <c r="E3267">
        <v>0.65</v>
      </c>
      <c r="F3267">
        <v>0.65</v>
      </c>
      <c r="G3267">
        <v>0.64</v>
      </c>
      <c r="H3267">
        <v>0.65</v>
      </c>
      <c r="I3267" s="1">
        <v>80000</v>
      </c>
      <c r="J3267" s="1">
        <v>51800</v>
      </c>
      <c r="K3267">
        <v>2</v>
      </c>
      <c r="L3267">
        <v>0.64</v>
      </c>
      <c r="M3267">
        <v>0.66</v>
      </c>
      <c r="N3267" s="1">
        <v>10000000</v>
      </c>
      <c r="O3267">
        <v>0.64</v>
      </c>
      <c r="P3267">
        <v>1.04</v>
      </c>
      <c r="Q3267">
        <v>0.24</v>
      </c>
    </row>
    <row r="3268" spans="1:17" x14ac:dyDescent="0.25">
      <c r="A3268">
        <v>732194</v>
      </c>
      <c r="B3268" t="s">
        <v>4580</v>
      </c>
      <c r="C3268">
        <v>0.84</v>
      </c>
      <c r="D3268">
        <v>-0.02</v>
      </c>
      <c r="E3268">
        <v>0.91</v>
      </c>
      <c r="F3268">
        <v>0.92</v>
      </c>
      <c r="G3268">
        <v>0.84</v>
      </c>
      <c r="H3268">
        <v>0.88</v>
      </c>
      <c r="I3268" s="1">
        <v>501000</v>
      </c>
      <c r="J3268" s="1">
        <v>441180</v>
      </c>
      <c r="K3268">
        <v>22</v>
      </c>
      <c r="L3268">
        <v>0.84</v>
      </c>
      <c r="M3268">
        <v>0.85</v>
      </c>
      <c r="N3268" s="1">
        <v>5000000</v>
      </c>
      <c r="O3268">
        <v>0.84</v>
      </c>
      <c r="P3268">
        <v>1.54</v>
      </c>
      <c r="Q3268">
        <v>0.14000000000000001</v>
      </c>
    </row>
    <row r="3269" spans="1:17" x14ac:dyDescent="0.25">
      <c r="A3269">
        <v>732195</v>
      </c>
      <c r="B3269" t="s">
        <v>4581</v>
      </c>
      <c r="C3269">
        <v>2.4900000000000002</v>
      </c>
      <c r="D3269">
        <v>7.0000000000000007E-2</v>
      </c>
      <c r="E3269">
        <v>2.4900000000000002</v>
      </c>
      <c r="F3269">
        <v>2.4900000000000002</v>
      </c>
      <c r="G3269">
        <v>2.4900000000000002</v>
      </c>
      <c r="H3269">
        <v>2.4900000000000002</v>
      </c>
      <c r="I3269" s="1">
        <v>10000</v>
      </c>
      <c r="J3269" s="1">
        <v>24900</v>
      </c>
      <c r="K3269">
        <v>2</v>
      </c>
      <c r="L3269">
        <v>2.3199999999999998</v>
      </c>
      <c r="M3269">
        <v>2.35</v>
      </c>
      <c r="N3269" s="1">
        <v>5000000</v>
      </c>
      <c r="O3269">
        <v>2.4900000000000002</v>
      </c>
      <c r="P3269">
        <v>3.28</v>
      </c>
      <c r="Q3269">
        <v>1.7</v>
      </c>
    </row>
    <row r="3270" spans="1:17" x14ac:dyDescent="0.25">
      <c r="A3270">
        <v>732196</v>
      </c>
      <c r="B3270" t="s">
        <v>4582</v>
      </c>
      <c r="C3270" t="s">
        <v>78</v>
      </c>
      <c r="D3270" t="s">
        <v>78</v>
      </c>
      <c r="E3270" t="s">
        <v>78</v>
      </c>
      <c r="F3270" t="s">
        <v>78</v>
      </c>
      <c r="G3270" t="s">
        <v>78</v>
      </c>
      <c r="H3270">
        <v>0.41</v>
      </c>
      <c r="I3270" s="1">
        <v>0</v>
      </c>
      <c r="J3270" s="1">
        <v>0</v>
      </c>
      <c r="K3270">
        <v>0</v>
      </c>
      <c r="L3270">
        <v>0.39</v>
      </c>
      <c r="M3270">
        <v>0.4</v>
      </c>
      <c r="N3270" s="1">
        <v>5000000</v>
      </c>
      <c r="O3270">
        <v>0.4</v>
      </c>
      <c r="P3270">
        <v>1.1100000000000001</v>
      </c>
      <c r="Q3270">
        <v>0.01</v>
      </c>
    </row>
    <row r="3271" spans="1:17" x14ac:dyDescent="0.25">
      <c r="A3271">
        <v>732197</v>
      </c>
      <c r="B3271" t="s">
        <v>4583</v>
      </c>
      <c r="C3271" t="s">
        <v>78</v>
      </c>
      <c r="D3271" t="s">
        <v>78</v>
      </c>
      <c r="E3271" t="s">
        <v>78</v>
      </c>
      <c r="F3271" t="s">
        <v>78</v>
      </c>
      <c r="G3271" t="s">
        <v>78</v>
      </c>
      <c r="H3271">
        <v>0.42</v>
      </c>
      <c r="I3271" s="1">
        <v>0</v>
      </c>
      <c r="J3271" s="1">
        <v>0</v>
      </c>
      <c r="K3271">
        <v>0</v>
      </c>
      <c r="L3271">
        <v>0.23</v>
      </c>
      <c r="M3271">
        <v>0.24</v>
      </c>
      <c r="N3271" s="1">
        <v>5100000</v>
      </c>
      <c r="O3271">
        <v>0.24</v>
      </c>
      <c r="P3271">
        <v>0.96</v>
      </c>
      <c r="Q3271">
        <v>0.01</v>
      </c>
    </row>
    <row r="3272" spans="1:17" x14ac:dyDescent="0.25">
      <c r="A3272">
        <v>732198</v>
      </c>
      <c r="B3272" t="s">
        <v>4584</v>
      </c>
      <c r="C3272">
        <v>0.52</v>
      </c>
      <c r="D3272">
        <v>0.04</v>
      </c>
      <c r="E3272">
        <v>0.53</v>
      </c>
      <c r="F3272">
        <v>0.53</v>
      </c>
      <c r="G3272">
        <v>0.52</v>
      </c>
      <c r="H3272">
        <v>0.52</v>
      </c>
      <c r="I3272" s="1">
        <v>70000</v>
      </c>
      <c r="J3272" s="1">
        <v>36500</v>
      </c>
      <c r="K3272">
        <v>3</v>
      </c>
      <c r="L3272">
        <v>0.52</v>
      </c>
      <c r="M3272">
        <v>0.53</v>
      </c>
      <c r="N3272" s="1">
        <v>5000000</v>
      </c>
      <c r="O3272">
        <v>0.52</v>
      </c>
      <c r="P3272">
        <v>1.4</v>
      </c>
      <c r="Q3272">
        <v>0.01</v>
      </c>
    </row>
    <row r="3273" spans="1:17" x14ac:dyDescent="0.25">
      <c r="A3273">
        <v>732199</v>
      </c>
      <c r="B3273" t="s">
        <v>4585</v>
      </c>
      <c r="C3273" t="s">
        <v>78</v>
      </c>
      <c r="D3273" t="s">
        <v>78</v>
      </c>
      <c r="E3273" t="s">
        <v>78</v>
      </c>
      <c r="F3273" t="s">
        <v>78</v>
      </c>
      <c r="G3273" t="s">
        <v>78</v>
      </c>
      <c r="H3273">
        <v>2.61</v>
      </c>
      <c r="I3273" s="1">
        <v>0</v>
      </c>
      <c r="J3273" s="1">
        <v>0</v>
      </c>
      <c r="K3273">
        <v>0</v>
      </c>
      <c r="L3273">
        <v>0</v>
      </c>
      <c r="M3273">
        <v>0</v>
      </c>
      <c r="N3273" s="1">
        <v>10000000</v>
      </c>
      <c r="O3273">
        <v>2.61</v>
      </c>
      <c r="P3273">
        <v>3.73</v>
      </c>
      <c r="Q3273">
        <v>1.49</v>
      </c>
    </row>
    <row r="3274" spans="1:17" x14ac:dyDescent="0.25">
      <c r="A3274">
        <v>732200</v>
      </c>
      <c r="B3274" t="s">
        <v>4586</v>
      </c>
      <c r="C3274">
        <v>0.35</v>
      </c>
      <c r="D3274">
        <v>0.08</v>
      </c>
      <c r="E3274">
        <v>0.3</v>
      </c>
      <c r="F3274">
        <v>0.37</v>
      </c>
      <c r="G3274">
        <v>0.28999999999999998</v>
      </c>
      <c r="H3274">
        <v>0.33</v>
      </c>
      <c r="I3274" s="1">
        <v>478000</v>
      </c>
      <c r="J3274" s="1">
        <v>158100</v>
      </c>
      <c r="K3274">
        <v>16</v>
      </c>
      <c r="L3274">
        <v>0.34</v>
      </c>
      <c r="M3274">
        <v>0.36</v>
      </c>
      <c r="N3274" s="1">
        <v>10000000</v>
      </c>
      <c r="O3274">
        <v>0.35</v>
      </c>
      <c r="P3274">
        <v>1.34</v>
      </c>
      <c r="Q3274">
        <v>0.01</v>
      </c>
    </row>
    <row r="3275" spans="1:17" x14ac:dyDescent="0.25">
      <c r="A3275">
        <v>732201</v>
      </c>
      <c r="B3275" t="s">
        <v>4587</v>
      </c>
      <c r="C3275">
        <v>0.85</v>
      </c>
      <c r="D3275">
        <v>0.05</v>
      </c>
      <c r="E3275">
        <v>0.95</v>
      </c>
      <c r="F3275">
        <v>0.95</v>
      </c>
      <c r="G3275">
        <v>0.81</v>
      </c>
      <c r="H3275">
        <v>0.86</v>
      </c>
      <c r="I3275" s="1">
        <v>634000</v>
      </c>
      <c r="J3275" s="1">
        <v>546420</v>
      </c>
      <c r="K3275">
        <v>12</v>
      </c>
      <c r="L3275">
        <v>0.88</v>
      </c>
      <c r="M3275">
        <v>0.9</v>
      </c>
      <c r="N3275" s="1">
        <v>10000000</v>
      </c>
      <c r="O3275">
        <v>0.85</v>
      </c>
      <c r="P3275">
        <v>2.67</v>
      </c>
      <c r="Q3275">
        <v>0.01</v>
      </c>
    </row>
    <row r="3276" spans="1:17" x14ac:dyDescent="0.25">
      <c r="A3276">
        <v>732202</v>
      </c>
      <c r="B3276" t="s">
        <v>4588</v>
      </c>
      <c r="C3276" t="s">
        <v>78</v>
      </c>
      <c r="D3276" t="s">
        <v>78</v>
      </c>
      <c r="E3276" t="s">
        <v>78</v>
      </c>
      <c r="F3276" t="s">
        <v>78</v>
      </c>
      <c r="G3276" t="s">
        <v>78</v>
      </c>
      <c r="H3276">
        <v>0.32</v>
      </c>
      <c r="I3276" s="1">
        <v>0</v>
      </c>
      <c r="J3276" s="1">
        <v>0</v>
      </c>
      <c r="K3276">
        <v>0</v>
      </c>
      <c r="L3276">
        <v>0.27</v>
      </c>
      <c r="M3276">
        <v>0.28000000000000003</v>
      </c>
      <c r="N3276" s="1">
        <v>10000000</v>
      </c>
      <c r="O3276">
        <v>0.28000000000000003</v>
      </c>
      <c r="P3276">
        <v>1.06</v>
      </c>
      <c r="Q3276">
        <v>0.01</v>
      </c>
    </row>
    <row r="3277" spans="1:17" x14ac:dyDescent="0.25">
      <c r="A3277">
        <v>732203</v>
      </c>
      <c r="B3277" t="s">
        <v>4589</v>
      </c>
      <c r="C3277" t="s">
        <v>78</v>
      </c>
      <c r="D3277" t="s">
        <v>78</v>
      </c>
      <c r="E3277" t="s">
        <v>78</v>
      </c>
      <c r="F3277" t="s">
        <v>78</v>
      </c>
      <c r="G3277" t="s">
        <v>78</v>
      </c>
      <c r="H3277">
        <v>1.34</v>
      </c>
      <c r="I3277" s="1">
        <v>0</v>
      </c>
      <c r="J3277" s="1">
        <v>0</v>
      </c>
      <c r="K3277">
        <v>0</v>
      </c>
      <c r="L3277">
        <v>1.25</v>
      </c>
      <c r="M3277">
        <v>1.28</v>
      </c>
      <c r="N3277" s="1">
        <v>5000000</v>
      </c>
      <c r="O3277">
        <v>1.28</v>
      </c>
      <c r="P3277">
        <v>2.15</v>
      </c>
      <c r="Q3277">
        <v>0.41</v>
      </c>
    </row>
    <row r="3278" spans="1:17" x14ac:dyDescent="0.25">
      <c r="A3278">
        <v>732204</v>
      </c>
      <c r="B3278" t="s">
        <v>4590</v>
      </c>
      <c r="C3278">
        <v>0.85</v>
      </c>
      <c r="D3278">
        <v>-0.03</v>
      </c>
      <c r="E3278">
        <v>0.91</v>
      </c>
      <c r="F3278">
        <v>0.92</v>
      </c>
      <c r="G3278">
        <v>0.85</v>
      </c>
      <c r="H3278">
        <v>0.88</v>
      </c>
      <c r="I3278" s="1">
        <v>1280000</v>
      </c>
      <c r="J3278" s="1">
        <v>1125620</v>
      </c>
      <c r="K3278">
        <v>18</v>
      </c>
      <c r="L3278">
        <v>0.76</v>
      </c>
      <c r="M3278">
        <v>0.77</v>
      </c>
      <c r="N3278" s="1">
        <v>10000000</v>
      </c>
      <c r="O3278">
        <v>0.85</v>
      </c>
      <c r="P3278">
        <v>1.81</v>
      </c>
      <c r="Q3278">
        <v>0.01</v>
      </c>
    </row>
    <row r="3279" spans="1:17" x14ac:dyDescent="0.25">
      <c r="A3279">
        <v>732205</v>
      </c>
      <c r="B3279" t="s">
        <v>4591</v>
      </c>
      <c r="C3279" t="s">
        <v>78</v>
      </c>
      <c r="D3279" t="s">
        <v>78</v>
      </c>
      <c r="E3279" t="s">
        <v>78</v>
      </c>
      <c r="F3279" t="s">
        <v>78</v>
      </c>
      <c r="G3279" t="s">
        <v>78</v>
      </c>
      <c r="H3279">
        <v>0.28999999999999998</v>
      </c>
      <c r="I3279" s="1">
        <v>0</v>
      </c>
      <c r="J3279" s="1">
        <v>0</v>
      </c>
      <c r="K3279">
        <v>0</v>
      </c>
      <c r="L3279">
        <v>0.24</v>
      </c>
      <c r="M3279">
        <v>0.25</v>
      </c>
      <c r="N3279" s="1">
        <v>10000000</v>
      </c>
      <c r="O3279">
        <v>0.24</v>
      </c>
      <c r="P3279">
        <v>0.95</v>
      </c>
      <c r="Q3279">
        <v>0.01</v>
      </c>
    </row>
    <row r="3280" spans="1:17" x14ac:dyDescent="0.25">
      <c r="A3280">
        <v>732206</v>
      </c>
      <c r="B3280" t="s">
        <v>4592</v>
      </c>
      <c r="C3280" t="s">
        <v>78</v>
      </c>
      <c r="D3280" t="s">
        <v>78</v>
      </c>
      <c r="E3280" t="s">
        <v>78</v>
      </c>
      <c r="F3280" t="s">
        <v>78</v>
      </c>
      <c r="G3280" t="s">
        <v>78</v>
      </c>
      <c r="H3280">
        <v>3.63</v>
      </c>
      <c r="I3280" s="1">
        <v>0</v>
      </c>
      <c r="J3280" s="1">
        <v>0</v>
      </c>
      <c r="K3280">
        <v>0</v>
      </c>
      <c r="L3280">
        <v>3.96</v>
      </c>
      <c r="M3280">
        <v>4.0599999999999996</v>
      </c>
      <c r="N3280" s="1">
        <v>5000000</v>
      </c>
      <c r="O3280">
        <v>4.05</v>
      </c>
      <c r="P3280">
        <v>5</v>
      </c>
      <c r="Q3280">
        <v>3.1</v>
      </c>
    </row>
    <row r="3281" spans="1:17" x14ac:dyDescent="0.25">
      <c r="A3281">
        <v>732207</v>
      </c>
      <c r="B3281" t="s">
        <v>4593</v>
      </c>
      <c r="C3281" t="s">
        <v>78</v>
      </c>
      <c r="D3281" t="s">
        <v>78</v>
      </c>
      <c r="E3281" t="s">
        <v>78</v>
      </c>
      <c r="F3281" t="s">
        <v>78</v>
      </c>
      <c r="G3281" t="s">
        <v>78</v>
      </c>
      <c r="H3281">
        <v>5.35</v>
      </c>
      <c r="I3281" s="1">
        <v>0</v>
      </c>
      <c r="J3281" s="1">
        <v>0</v>
      </c>
      <c r="K3281">
        <v>0</v>
      </c>
      <c r="L3281">
        <v>4.25</v>
      </c>
      <c r="M3281">
        <v>4.3499999999999996</v>
      </c>
      <c r="N3281" s="1">
        <v>5000000</v>
      </c>
      <c r="O3281">
        <v>4.3499999999999996</v>
      </c>
      <c r="P3281">
        <v>5.55</v>
      </c>
      <c r="Q3281">
        <v>3.12</v>
      </c>
    </row>
    <row r="3282" spans="1:17" x14ac:dyDescent="0.25">
      <c r="A3282">
        <v>732208</v>
      </c>
      <c r="B3282" t="s">
        <v>4594</v>
      </c>
      <c r="C3282">
        <v>0.92</v>
      </c>
      <c r="D3282">
        <v>-0.05</v>
      </c>
      <c r="E3282">
        <v>0.95</v>
      </c>
      <c r="F3282">
        <v>0.95</v>
      </c>
      <c r="G3282">
        <v>0.92</v>
      </c>
      <c r="H3282">
        <v>0.93</v>
      </c>
      <c r="I3282" s="1">
        <v>189000</v>
      </c>
      <c r="J3282" s="1">
        <v>175050</v>
      </c>
      <c r="K3282">
        <v>8</v>
      </c>
      <c r="L3282">
        <v>0.93</v>
      </c>
      <c r="M3282">
        <v>0.94</v>
      </c>
      <c r="N3282" s="1">
        <v>10000000</v>
      </c>
      <c r="O3282">
        <v>0.92</v>
      </c>
      <c r="P3282">
        <v>1.7</v>
      </c>
      <c r="Q3282">
        <v>0.14000000000000001</v>
      </c>
    </row>
    <row r="3283" spans="1:17" x14ac:dyDescent="0.25">
      <c r="A3283">
        <v>732209</v>
      </c>
      <c r="B3283" t="s">
        <v>4595</v>
      </c>
      <c r="C3283" t="s">
        <v>78</v>
      </c>
      <c r="D3283" t="s">
        <v>78</v>
      </c>
      <c r="E3283" t="s">
        <v>78</v>
      </c>
      <c r="F3283" t="s">
        <v>78</v>
      </c>
      <c r="G3283" t="s">
        <v>78</v>
      </c>
      <c r="H3283">
        <v>0.19</v>
      </c>
      <c r="I3283" s="1">
        <v>0</v>
      </c>
      <c r="J3283" s="1">
        <v>0</v>
      </c>
      <c r="K3283">
        <v>0</v>
      </c>
      <c r="L3283">
        <v>0.15</v>
      </c>
      <c r="M3283">
        <v>0.16</v>
      </c>
      <c r="N3283" s="1">
        <v>5000000</v>
      </c>
      <c r="O3283">
        <v>0.16</v>
      </c>
      <c r="P3283">
        <v>0.63</v>
      </c>
      <c r="Q3283">
        <v>0.01</v>
      </c>
    </row>
    <row r="3284" spans="1:17" x14ac:dyDescent="0.25">
      <c r="A3284">
        <v>732210</v>
      </c>
      <c r="B3284" t="s">
        <v>4596</v>
      </c>
      <c r="C3284">
        <v>2.0099999999999998</v>
      </c>
      <c r="D3284">
        <v>0.13</v>
      </c>
      <c r="E3284">
        <v>2.0099999999999998</v>
      </c>
      <c r="F3284">
        <v>2.0099999999999998</v>
      </c>
      <c r="G3284">
        <v>2.0099999999999998</v>
      </c>
      <c r="H3284">
        <v>2.0099999999999998</v>
      </c>
      <c r="I3284" s="1">
        <v>2000</v>
      </c>
      <c r="J3284" s="1">
        <v>4020</v>
      </c>
      <c r="K3284">
        <v>1</v>
      </c>
      <c r="L3284">
        <v>2.0099999999999998</v>
      </c>
      <c r="M3284">
        <v>2.0499999999999998</v>
      </c>
      <c r="N3284" s="1">
        <v>5000000</v>
      </c>
      <c r="O3284">
        <v>2.0099999999999998</v>
      </c>
      <c r="P3284">
        <v>3.39</v>
      </c>
      <c r="Q3284">
        <v>0.63</v>
      </c>
    </row>
    <row r="3285" spans="1:17" x14ac:dyDescent="0.25">
      <c r="A3285">
        <v>732211</v>
      </c>
      <c r="B3285" t="s">
        <v>4597</v>
      </c>
      <c r="C3285" t="s">
        <v>78</v>
      </c>
      <c r="D3285" t="s">
        <v>78</v>
      </c>
      <c r="E3285" t="s">
        <v>78</v>
      </c>
      <c r="F3285" t="s">
        <v>78</v>
      </c>
      <c r="G3285" t="s">
        <v>78</v>
      </c>
      <c r="H3285">
        <v>0.28000000000000003</v>
      </c>
      <c r="I3285" s="1">
        <v>0</v>
      </c>
      <c r="J3285" s="1">
        <v>0</v>
      </c>
      <c r="K3285">
        <v>0</v>
      </c>
      <c r="L3285">
        <v>0.12</v>
      </c>
      <c r="M3285">
        <v>0.13</v>
      </c>
      <c r="N3285" s="1">
        <v>5509000</v>
      </c>
      <c r="O3285">
        <v>0.12</v>
      </c>
      <c r="P3285">
        <v>1.21</v>
      </c>
      <c r="Q3285">
        <v>0.01</v>
      </c>
    </row>
    <row r="3286" spans="1:17" x14ac:dyDescent="0.25">
      <c r="A3286">
        <v>732212</v>
      </c>
      <c r="B3286" t="s">
        <v>4598</v>
      </c>
      <c r="C3286">
        <v>0.8</v>
      </c>
      <c r="D3286">
        <v>-0.04</v>
      </c>
      <c r="E3286">
        <v>0.75</v>
      </c>
      <c r="F3286">
        <v>0.89</v>
      </c>
      <c r="G3286">
        <v>0.7</v>
      </c>
      <c r="H3286">
        <v>0.73</v>
      </c>
      <c r="I3286" s="1">
        <v>298000</v>
      </c>
      <c r="J3286" s="1">
        <v>216900</v>
      </c>
      <c r="K3286">
        <v>14</v>
      </c>
      <c r="L3286">
        <v>0.76</v>
      </c>
      <c r="M3286">
        <v>0.79</v>
      </c>
      <c r="N3286" s="1">
        <v>5038000</v>
      </c>
      <c r="O3286">
        <v>0.8</v>
      </c>
      <c r="P3286">
        <v>1.66</v>
      </c>
      <c r="Q3286">
        <v>0.01</v>
      </c>
    </row>
    <row r="3287" spans="1:17" x14ac:dyDescent="0.25">
      <c r="A3287">
        <v>732213</v>
      </c>
      <c r="B3287" t="s">
        <v>4599</v>
      </c>
      <c r="C3287" t="s">
        <v>78</v>
      </c>
      <c r="D3287" t="s">
        <v>78</v>
      </c>
      <c r="E3287" t="s">
        <v>78</v>
      </c>
      <c r="F3287" t="s">
        <v>78</v>
      </c>
      <c r="G3287" t="s">
        <v>78</v>
      </c>
      <c r="H3287">
        <v>0.47</v>
      </c>
      <c r="I3287" s="1">
        <v>0</v>
      </c>
      <c r="J3287" s="1">
        <v>0</v>
      </c>
      <c r="K3287">
        <v>0</v>
      </c>
      <c r="L3287">
        <v>0.41</v>
      </c>
      <c r="M3287">
        <v>0.42</v>
      </c>
      <c r="N3287" s="1">
        <v>10000000</v>
      </c>
      <c r="O3287">
        <v>0.42</v>
      </c>
      <c r="P3287">
        <v>1.1000000000000001</v>
      </c>
      <c r="Q3287">
        <v>0.01</v>
      </c>
    </row>
    <row r="3288" spans="1:17" x14ac:dyDescent="0.25">
      <c r="A3288">
        <v>732214</v>
      </c>
      <c r="B3288" t="s">
        <v>4600</v>
      </c>
      <c r="C3288" t="s">
        <v>78</v>
      </c>
      <c r="D3288" t="s">
        <v>78</v>
      </c>
      <c r="E3288" t="s">
        <v>78</v>
      </c>
      <c r="F3288" t="s">
        <v>78</v>
      </c>
      <c r="G3288" t="s">
        <v>78</v>
      </c>
      <c r="H3288">
        <v>1.73</v>
      </c>
      <c r="I3288" s="1">
        <v>0</v>
      </c>
      <c r="J3288" s="1">
        <v>0</v>
      </c>
      <c r="K3288">
        <v>0</v>
      </c>
      <c r="L3288">
        <v>2.06</v>
      </c>
      <c r="M3288">
        <v>2.1</v>
      </c>
      <c r="N3288" s="1">
        <v>5000000</v>
      </c>
      <c r="O3288">
        <v>2.06</v>
      </c>
      <c r="P3288">
        <v>3.26</v>
      </c>
      <c r="Q3288">
        <v>0.86</v>
      </c>
    </row>
    <row r="3289" spans="1:17" x14ac:dyDescent="0.25">
      <c r="A3289">
        <v>732215</v>
      </c>
      <c r="B3289" t="s">
        <v>4601</v>
      </c>
      <c r="C3289">
        <v>0.52</v>
      </c>
      <c r="D3289">
        <v>-0.06</v>
      </c>
      <c r="E3289">
        <v>0.62</v>
      </c>
      <c r="F3289">
        <v>0.62</v>
      </c>
      <c r="G3289">
        <v>0.52</v>
      </c>
      <c r="H3289">
        <v>0.55000000000000004</v>
      </c>
      <c r="I3289" s="1">
        <v>635000</v>
      </c>
      <c r="J3289" s="1">
        <v>346450</v>
      </c>
      <c r="K3289">
        <v>12</v>
      </c>
      <c r="L3289">
        <v>0.52</v>
      </c>
      <c r="M3289">
        <v>0.53</v>
      </c>
      <c r="N3289" s="1">
        <v>10000000</v>
      </c>
      <c r="O3289">
        <v>0.52</v>
      </c>
      <c r="P3289">
        <v>0.85</v>
      </c>
      <c r="Q3289">
        <v>0.19</v>
      </c>
    </row>
    <row r="3290" spans="1:17" x14ac:dyDescent="0.25">
      <c r="A3290">
        <v>732216</v>
      </c>
      <c r="B3290" t="s">
        <v>4602</v>
      </c>
      <c r="C3290" t="s">
        <v>78</v>
      </c>
      <c r="D3290" t="s">
        <v>78</v>
      </c>
      <c r="E3290" t="s">
        <v>78</v>
      </c>
      <c r="F3290" t="s">
        <v>78</v>
      </c>
      <c r="G3290" t="s">
        <v>78</v>
      </c>
      <c r="H3290">
        <v>0.41</v>
      </c>
      <c r="I3290" s="1">
        <v>0</v>
      </c>
      <c r="J3290" s="1">
        <v>0</v>
      </c>
      <c r="K3290">
        <v>0</v>
      </c>
      <c r="L3290">
        <v>0.34</v>
      </c>
      <c r="M3290">
        <v>0.35</v>
      </c>
      <c r="N3290" s="1">
        <v>10000000</v>
      </c>
      <c r="O3290">
        <v>0.34</v>
      </c>
      <c r="P3290">
        <v>1.39</v>
      </c>
      <c r="Q3290">
        <v>0.01</v>
      </c>
    </row>
    <row r="3291" spans="1:17" x14ac:dyDescent="0.25">
      <c r="A3291">
        <v>732217</v>
      </c>
      <c r="B3291" t="s">
        <v>4603</v>
      </c>
      <c r="C3291">
        <v>1.1200000000000001</v>
      </c>
      <c r="D3291">
        <v>-0.05</v>
      </c>
      <c r="E3291">
        <v>1.0900000000000001</v>
      </c>
      <c r="F3291">
        <v>1.1200000000000001</v>
      </c>
      <c r="G3291">
        <v>1.01</v>
      </c>
      <c r="H3291">
        <v>1.05</v>
      </c>
      <c r="I3291" s="1">
        <v>380000</v>
      </c>
      <c r="J3291" s="1">
        <v>397760</v>
      </c>
      <c r="K3291">
        <v>25</v>
      </c>
      <c r="L3291">
        <v>1.1200000000000001</v>
      </c>
      <c r="M3291">
        <v>1.1399999999999999</v>
      </c>
      <c r="N3291" s="1">
        <v>10000000</v>
      </c>
      <c r="O3291">
        <v>1.1200000000000001</v>
      </c>
      <c r="P3291">
        <v>1.94</v>
      </c>
      <c r="Q3291">
        <v>0.3</v>
      </c>
    </row>
    <row r="3292" spans="1:17" x14ac:dyDescent="0.25">
      <c r="A3292">
        <v>732218</v>
      </c>
      <c r="B3292" t="s">
        <v>4604</v>
      </c>
      <c r="C3292">
        <v>1.83</v>
      </c>
      <c r="D3292">
        <v>-0.2</v>
      </c>
      <c r="E3292">
        <v>1.85</v>
      </c>
      <c r="F3292">
        <v>1.85</v>
      </c>
      <c r="G3292">
        <v>1.83</v>
      </c>
      <c r="H3292">
        <v>1.83</v>
      </c>
      <c r="I3292" s="1">
        <v>19000</v>
      </c>
      <c r="J3292" s="1">
        <v>34790</v>
      </c>
      <c r="K3292">
        <v>2</v>
      </c>
      <c r="L3292">
        <v>1.83</v>
      </c>
      <c r="M3292">
        <v>1.86</v>
      </c>
      <c r="N3292" s="1">
        <v>5000000</v>
      </c>
      <c r="O3292">
        <v>1.83</v>
      </c>
      <c r="P3292">
        <v>2.79</v>
      </c>
      <c r="Q3292">
        <v>0.87</v>
      </c>
    </row>
    <row r="3293" spans="1:17" x14ac:dyDescent="0.25">
      <c r="A3293">
        <v>732219</v>
      </c>
      <c r="B3293" t="s">
        <v>4605</v>
      </c>
      <c r="C3293">
        <v>1.54</v>
      </c>
      <c r="D3293">
        <v>-0.09</v>
      </c>
      <c r="E3293">
        <v>1.64</v>
      </c>
      <c r="F3293">
        <v>1.68</v>
      </c>
      <c r="G3293">
        <v>1.54</v>
      </c>
      <c r="H3293">
        <v>1.64</v>
      </c>
      <c r="I3293" s="1">
        <v>541000</v>
      </c>
      <c r="J3293" s="1">
        <v>887240</v>
      </c>
      <c r="K3293">
        <v>29</v>
      </c>
      <c r="L3293">
        <v>1.54</v>
      </c>
      <c r="M3293">
        <v>1.56</v>
      </c>
      <c r="N3293" s="1">
        <v>5000000</v>
      </c>
      <c r="O3293">
        <v>1.54</v>
      </c>
      <c r="P3293">
        <v>2.5</v>
      </c>
      <c r="Q3293">
        <v>0.57999999999999996</v>
      </c>
    </row>
    <row r="3294" spans="1:17" x14ac:dyDescent="0.25">
      <c r="A3294">
        <v>732220</v>
      </c>
      <c r="B3294" t="s">
        <v>4606</v>
      </c>
      <c r="C3294" t="s">
        <v>78</v>
      </c>
      <c r="D3294" t="s">
        <v>78</v>
      </c>
      <c r="E3294" t="s">
        <v>78</v>
      </c>
      <c r="F3294" t="s">
        <v>78</v>
      </c>
      <c r="G3294" t="s">
        <v>78</v>
      </c>
      <c r="H3294">
        <v>0.33</v>
      </c>
      <c r="I3294" s="1">
        <v>0</v>
      </c>
      <c r="J3294" s="1">
        <v>0</v>
      </c>
      <c r="K3294">
        <v>0</v>
      </c>
      <c r="L3294">
        <v>0.35</v>
      </c>
      <c r="M3294">
        <v>0.36</v>
      </c>
      <c r="N3294" s="1">
        <v>10000000</v>
      </c>
      <c r="O3294">
        <v>0.35</v>
      </c>
      <c r="P3294">
        <v>1.25</v>
      </c>
      <c r="Q3294">
        <v>0.01</v>
      </c>
    </row>
    <row r="3295" spans="1:17" x14ac:dyDescent="0.25">
      <c r="A3295">
        <v>732221</v>
      </c>
      <c r="B3295" t="s">
        <v>4607</v>
      </c>
      <c r="C3295" t="s">
        <v>78</v>
      </c>
      <c r="D3295" t="s">
        <v>78</v>
      </c>
      <c r="E3295" t="s">
        <v>78</v>
      </c>
      <c r="F3295" t="s">
        <v>78</v>
      </c>
      <c r="G3295" t="s">
        <v>78</v>
      </c>
      <c r="H3295">
        <v>0.44</v>
      </c>
      <c r="I3295" s="1">
        <v>0</v>
      </c>
      <c r="J3295" s="1">
        <v>0</v>
      </c>
      <c r="K3295">
        <v>0</v>
      </c>
      <c r="L3295">
        <v>0.44</v>
      </c>
      <c r="M3295">
        <v>0.46</v>
      </c>
      <c r="N3295" s="1">
        <v>10000000</v>
      </c>
      <c r="O3295">
        <v>0.44</v>
      </c>
      <c r="P3295">
        <v>1.1499999999999999</v>
      </c>
      <c r="Q3295">
        <v>0.01</v>
      </c>
    </row>
    <row r="3296" spans="1:17" x14ac:dyDescent="0.25">
      <c r="A3296">
        <v>732222</v>
      </c>
      <c r="B3296" t="s">
        <v>4608</v>
      </c>
      <c r="C3296">
        <v>0.28000000000000003</v>
      </c>
      <c r="D3296">
        <v>-0.01</v>
      </c>
      <c r="E3296">
        <v>0.28000000000000003</v>
      </c>
      <c r="F3296">
        <v>0.28999999999999998</v>
      </c>
      <c r="G3296">
        <v>0.28000000000000003</v>
      </c>
      <c r="H3296">
        <v>0.28000000000000003</v>
      </c>
      <c r="I3296" s="1">
        <v>140000</v>
      </c>
      <c r="J3296" s="1">
        <v>39700</v>
      </c>
      <c r="K3296">
        <v>5</v>
      </c>
      <c r="L3296">
        <v>0.27</v>
      </c>
      <c r="M3296">
        <v>0.28000000000000003</v>
      </c>
      <c r="N3296" s="1">
        <v>10000000</v>
      </c>
      <c r="O3296">
        <v>0.28000000000000003</v>
      </c>
      <c r="P3296">
        <v>0.98</v>
      </c>
      <c r="Q3296">
        <v>0.01</v>
      </c>
    </row>
    <row r="3297" spans="1:17" x14ac:dyDescent="0.25">
      <c r="A3297">
        <v>732223</v>
      </c>
      <c r="B3297" t="s">
        <v>4609</v>
      </c>
      <c r="C3297">
        <v>0.94</v>
      </c>
      <c r="D3297">
        <v>0.09</v>
      </c>
      <c r="E3297">
        <v>0.93</v>
      </c>
      <c r="F3297">
        <v>1.06</v>
      </c>
      <c r="G3297">
        <v>0.93</v>
      </c>
      <c r="H3297">
        <v>0.99</v>
      </c>
      <c r="I3297" s="1">
        <v>983000</v>
      </c>
      <c r="J3297" s="1">
        <v>972170</v>
      </c>
      <c r="K3297">
        <v>18</v>
      </c>
      <c r="L3297">
        <v>0.94</v>
      </c>
      <c r="M3297">
        <v>0.96</v>
      </c>
      <c r="N3297" s="1">
        <v>5000000</v>
      </c>
      <c r="O3297">
        <v>0.94</v>
      </c>
      <c r="P3297">
        <v>1.76</v>
      </c>
      <c r="Q3297">
        <v>0.12</v>
      </c>
    </row>
    <row r="3298" spans="1:17" x14ac:dyDescent="0.25">
      <c r="A3298">
        <v>732224</v>
      </c>
      <c r="B3298" t="s">
        <v>4610</v>
      </c>
      <c r="C3298" t="s">
        <v>78</v>
      </c>
      <c r="D3298" t="s">
        <v>78</v>
      </c>
      <c r="E3298" t="s">
        <v>78</v>
      </c>
      <c r="F3298" t="s">
        <v>78</v>
      </c>
      <c r="G3298" t="s">
        <v>78</v>
      </c>
      <c r="H3298">
        <v>0.41</v>
      </c>
      <c r="I3298" s="1">
        <v>0</v>
      </c>
      <c r="J3298" s="1">
        <v>0</v>
      </c>
      <c r="K3298">
        <v>0</v>
      </c>
      <c r="L3298">
        <v>0.4</v>
      </c>
      <c r="M3298">
        <v>0.45</v>
      </c>
      <c r="N3298" s="1">
        <v>10000000</v>
      </c>
      <c r="O3298">
        <v>0.45</v>
      </c>
      <c r="P3298">
        <v>1.08</v>
      </c>
      <c r="Q3298">
        <v>0.01</v>
      </c>
    </row>
    <row r="3299" spans="1:17" x14ac:dyDescent="0.25">
      <c r="A3299">
        <v>732225</v>
      </c>
      <c r="B3299" t="s">
        <v>4611</v>
      </c>
      <c r="C3299">
        <v>1.99</v>
      </c>
      <c r="D3299">
        <v>0.14000000000000001</v>
      </c>
      <c r="E3299">
        <v>1.99</v>
      </c>
      <c r="F3299">
        <v>1.99</v>
      </c>
      <c r="G3299">
        <v>1.99</v>
      </c>
      <c r="H3299">
        <v>1.99</v>
      </c>
      <c r="I3299" s="1">
        <v>5000</v>
      </c>
      <c r="J3299" s="1">
        <v>9950</v>
      </c>
      <c r="K3299">
        <v>2</v>
      </c>
      <c r="L3299">
        <v>1.94</v>
      </c>
      <c r="M3299">
        <v>1.97</v>
      </c>
      <c r="N3299" s="1">
        <v>5000000</v>
      </c>
      <c r="O3299">
        <v>1.99</v>
      </c>
      <c r="P3299">
        <v>2.78</v>
      </c>
      <c r="Q3299">
        <v>1.2</v>
      </c>
    </row>
    <row r="3300" spans="1:17" x14ac:dyDescent="0.25">
      <c r="A3300">
        <v>732226</v>
      </c>
      <c r="B3300" t="s">
        <v>4612</v>
      </c>
      <c r="C3300">
        <v>0.57999999999999996</v>
      </c>
      <c r="D3300">
        <v>0.27</v>
      </c>
      <c r="E3300">
        <v>0.43</v>
      </c>
      <c r="F3300">
        <v>0.57999999999999996</v>
      </c>
      <c r="G3300">
        <v>0.42</v>
      </c>
      <c r="H3300">
        <v>0.44</v>
      </c>
      <c r="I3300" s="1">
        <v>165000</v>
      </c>
      <c r="J3300" s="1">
        <v>72350</v>
      </c>
      <c r="K3300">
        <v>7</v>
      </c>
      <c r="L3300">
        <v>0.56000000000000005</v>
      </c>
      <c r="M3300">
        <v>0.57999999999999996</v>
      </c>
      <c r="N3300" s="1">
        <v>10000000</v>
      </c>
      <c r="O3300">
        <v>0.57999999999999996</v>
      </c>
      <c r="P3300">
        <v>1.79</v>
      </c>
      <c r="Q3300">
        <v>0.01</v>
      </c>
    </row>
    <row r="3301" spans="1:17" x14ac:dyDescent="0.25">
      <c r="A3301">
        <v>732227</v>
      </c>
      <c r="B3301" t="s">
        <v>4613</v>
      </c>
      <c r="C3301" t="s">
        <v>78</v>
      </c>
      <c r="D3301" t="s">
        <v>78</v>
      </c>
      <c r="E3301" t="s">
        <v>78</v>
      </c>
      <c r="F3301" t="s">
        <v>78</v>
      </c>
      <c r="G3301" t="s">
        <v>78</v>
      </c>
      <c r="H3301">
        <v>2.62</v>
      </c>
      <c r="I3301" s="1">
        <v>0</v>
      </c>
      <c r="J3301" s="1">
        <v>0</v>
      </c>
      <c r="K3301">
        <v>0</v>
      </c>
      <c r="L3301">
        <v>2.58</v>
      </c>
      <c r="M3301">
        <v>2.66</v>
      </c>
      <c r="N3301" s="1">
        <v>10000000</v>
      </c>
      <c r="O3301">
        <v>2.62</v>
      </c>
      <c r="P3301">
        <v>3.78</v>
      </c>
      <c r="Q3301">
        <v>1.46</v>
      </c>
    </row>
    <row r="3302" spans="1:17" x14ac:dyDescent="0.25">
      <c r="A3302">
        <v>732228</v>
      </c>
      <c r="B3302" t="s">
        <v>4614</v>
      </c>
      <c r="C3302">
        <v>0.77</v>
      </c>
      <c r="D3302">
        <v>-0.06</v>
      </c>
      <c r="E3302">
        <v>0.79</v>
      </c>
      <c r="F3302">
        <v>0.8</v>
      </c>
      <c r="G3302">
        <v>0.77</v>
      </c>
      <c r="H3302">
        <v>0.79</v>
      </c>
      <c r="I3302" s="1">
        <v>1007000</v>
      </c>
      <c r="J3302" s="1">
        <v>795630</v>
      </c>
      <c r="K3302">
        <v>13</v>
      </c>
      <c r="L3302">
        <v>0.76</v>
      </c>
      <c r="M3302">
        <v>0.77</v>
      </c>
      <c r="N3302" s="1">
        <v>6700000</v>
      </c>
      <c r="O3302">
        <v>0.77</v>
      </c>
      <c r="P3302">
        <v>1.33</v>
      </c>
      <c r="Q3302">
        <v>0.21</v>
      </c>
    </row>
    <row r="3303" spans="1:17" x14ac:dyDescent="0.25">
      <c r="A3303">
        <v>732229</v>
      </c>
      <c r="B3303" t="s">
        <v>4615</v>
      </c>
      <c r="C3303">
        <v>0.74</v>
      </c>
      <c r="D3303">
        <v>0.18</v>
      </c>
      <c r="E3303">
        <v>0.55000000000000004</v>
      </c>
      <c r="F3303">
        <v>0.75</v>
      </c>
      <c r="G3303">
        <v>0.53</v>
      </c>
      <c r="H3303">
        <v>0.66</v>
      </c>
      <c r="I3303" s="1">
        <v>2414000</v>
      </c>
      <c r="J3303" s="1">
        <v>1586550</v>
      </c>
      <c r="K3303">
        <v>47</v>
      </c>
      <c r="L3303">
        <v>0.73</v>
      </c>
      <c r="M3303">
        <v>0.74</v>
      </c>
      <c r="N3303" s="1">
        <v>5000000</v>
      </c>
      <c r="O3303">
        <v>0.74</v>
      </c>
      <c r="P3303">
        <v>1.51</v>
      </c>
      <c r="Q3303">
        <v>0.01</v>
      </c>
    </row>
    <row r="3304" spans="1:17" x14ac:dyDescent="0.25">
      <c r="A3304">
        <v>732230</v>
      </c>
      <c r="B3304" t="s">
        <v>4616</v>
      </c>
      <c r="C3304">
        <v>0.64</v>
      </c>
      <c r="D3304">
        <v>0.03</v>
      </c>
      <c r="E3304">
        <v>0.64</v>
      </c>
      <c r="F3304">
        <v>0.64</v>
      </c>
      <c r="G3304">
        <v>0.64</v>
      </c>
      <c r="H3304">
        <v>0.64</v>
      </c>
      <c r="I3304" s="1">
        <v>6000</v>
      </c>
      <c r="J3304" s="1">
        <v>3840</v>
      </c>
      <c r="K3304">
        <v>1</v>
      </c>
      <c r="L3304">
        <v>0.6</v>
      </c>
      <c r="M3304">
        <v>0.61</v>
      </c>
      <c r="N3304" s="1">
        <v>5000000</v>
      </c>
      <c r="O3304">
        <v>0.64</v>
      </c>
      <c r="P3304">
        <v>1.26</v>
      </c>
      <c r="Q3304">
        <v>0.02</v>
      </c>
    </row>
    <row r="3305" spans="1:17" x14ac:dyDescent="0.25">
      <c r="A3305">
        <v>732231</v>
      </c>
      <c r="B3305" t="s">
        <v>4617</v>
      </c>
      <c r="C3305">
        <v>5.8</v>
      </c>
      <c r="D3305">
        <v>0.25</v>
      </c>
      <c r="E3305">
        <v>5.8</v>
      </c>
      <c r="F3305">
        <v>5.8</v>
      </c>
      <c r="G3305">
        <v>5.8</v>
      </c>
      <c r="H3305">
        <v>5.8</v>
      </c>
      <c r="I3305" s="1">
        <v>2000</v>
      </c>
      <c r="J3305" s="1">
        <v>11600</v>
      </c>
      <c r="K3305">
        <v>1</v>
      </c>
      <c r="L3305">
        <v>5.0999999999999996</v>
      </c>
      <c r="M3305">
        <v>5.6</v>
      </c>
      <c r="N3305" s="1">
        <v>5000000</v>
      </c>
      <c r="O3305">
        <v>5.8</v>
      </c>
      <c r="P3305">
        <v>8.6</v>
      </c>
      <c r="Q3305">
        <v>3</v>
      </c>
    </row>
    <row r="3306" spans="1:17" x14ac:dyDescent="0.25">
      <c r="A3306">
        <v>732232</v>
      </c>
      <c r="B3306" t="s">
        <v>4618</v>
      </c>
      <c r="C3306">
        <v>1.05</v>
      </c>
      <c r="D3306">
        <v>0.02</v>
      </c>
      <c r="E3306">
        <v>1.1299999999999999</v>
      </c>
      <c r="F3306">
        <v>1.17</v>
      </c>
      <c r="G3306">
        <v>1.05</v>
      </c>
      <c r="H3306">
        <v>1.1200000000000001</v>
      </c>
      <c r="I3306" s="1">
        <v>641000</v>
      </c>
      <c r="J3306" s="1">
        <v>715310</v>
      </c>
      <c r="K3306">
        <v>60</v>
      </c>
      <c r="L3306">
        <v>1.03</v>
      </c>
      <c r="M3306">
        <v>1.05</v>
      </c>
      <c r="N3306" s="1">
        <v>10000000</v>
      </c>
      <c r="O3306">
        <v>1.05</v>
      </c>
      <c r="P3306">
        <v>1.89</v>
      </c>
      <c r="Q3306">
        <v>0.21</v>
      </c>
    </row>
    <row r="3307" spans="1:17" x14ac:dyDescent="0.25">
      <c r="A3307">
        <v>732233</v>
      </c>
      <c r="B3307" t="s">
        <v>4619</v>
      </c>
      <c r="C3307">
        <v>0.69</v>
      </c>
      <c r="D3307">
        <v>0.19</v>
      </c>
      <c r="E3307">
        <v>0.56000000000000005</v>
      </c>
      <c r="F3307">
        <v>0.69</v>
      </c>
      <c r="G3307">
        <v>0.55000000000000004</v>
      </c>
      <c r="H3307">
        <v>0.6</v>
      </c>
      <c r="I3307" s="1">
        <v>1732000</v>
      </c>
      <c r="J3307" s="1">
        <v>1035150</v>
      </c>
      <c r="K3307">
        <v>32</v>
      </c>
      <c r="L3307">
        <v>0.66</v>
      </c>
      <c r="M3307">
        <v>0.68</v>
      </c>
      <c r="N3307" s="1">
        <v>10000000</v>
      </c>
      <c r="O3307">
        <v>0.69</v>
      </c>
      <c r="P3307">
        <v>1.35</v>
      </c>
      <c r="Q3307">
        <v>0.03</v>
      </c>
    </row>
    <row r="3308" spans="1:17" x14ac:dyDescent="0.25">
      <c r="A3308">
        <v>732234</v>
      </c>
      <c r="B3308" t="s">
        <v>4620</v>
      </c>
      <c r="C3308" t="s">
        <v>78</v>
      </c>
      <c r="D3308" t="s">
        <v>78</v>
      </c>
      <c r="E3308" t="s">
        <v>78</v>
      </c>
      <c r="F3308" t="s">
        <v>78</v>
      </c>
      <c r="G3308" t="s">
        <v>78</v>
      </c>
      <c r="H3308">
        <v>3.36</v>
      </c>
      <c r="I3308" s="1">
        <v>0</v>
      </c>
      <c r="J3308" s="1">
        <v>0</v>
      </c>
      <c r="K3308">
        <v>0</v>
      </c>
      <c r="L3308">
        <v>3.42</v>
      </c>
      <c r="M3308">
        <v>3.52</v>
      </c>
      <c r="N3308" s="1">
        <v>5000000</v>
      </c>
      <c r="O3308">
        <v>3.42</v>
      </c>
      <c r="P3308">
        <v>4.4000000000000004</v>
      </c>
      <c r="Q3308">
        <v>2.44</v>
      </c>
    </row>
    <row r="3309" spans="1:17" x14ac:dyDescent="0.25">
      <c r="A3309">
        <v>732235</v>
      </c>
      <c r="B3309" t="s">
        <v>4621</v>
      </c>
      <c r="C3309">
        <v>0.84</v>
      </c>
      <c r="D3309">
        <v>-0.03</v>
      </c>
      <c r="E3309">
        <v>0.83</v>
      </c>
      <c r="F3309">
        <v>0.84</v>
      </c>
      <c r="G3309">
        <v>0.83</v>
      </c>
      <c r="H3309">
        <v>0.84</v>
      </c>
      <c r="I3309" s="1">
        <v>43000</v>
      </c>
      <c r="J3309" s="1">
        <v>35990</v>
      </c>
      <c r="K3309">
        <v>4</v>
      </c>
      <c r="L3309">
        <v>0.79</v>
      </c>
      <c r="M3309">
        <v>0.82</v>
      </c>
      <c r="N3309" s="1">
        <v>5000000</v>
      </c>
      <c r="O3309">
        <v>0.84</v>
      </c>
      <c r="P3309">
        <v>1.56</v>
      </c>
      <c r="Q3309">
        <v>0.12</v>
      </c>
    </row>
    <row r="3310" spans="1:17" x14ac:dyDescent="0.25">
      <c r="A3310">
        <v>732236</v>
      </c>
      <c r="B3310" t="s">
        <v>4622</v>
      </c>
      <c r="C3310">
        <v>0.33</v>
      </c>
      <c r="D3310">
        <v>0</v>
      </c>
      <c r="E3310">
        <v>0.33</v>
      </c>
      <c r="F3310">
        <v>0.33</v>
      </c>
      <c r="G3310">
        <v>0.33</v>
      </c>
      <c r="H3310">
        <v>0.33</v>
      </c>
      <c r="I3310" s="1">
        <v>58000</v>
      </c>
      <c r="J3310" s="1">
        <v>19140</v>
      </c>
      <c r="K3310">
        <v>1</v>
      </c>
      <c r="L3310">
        <v>0.3</v>
      </c>
      <c r="M3310">
        <v>0.31</v>
      </c>
      <c r="N3310" s="1">
        <v>5000000</v>
      </c>
      <c r="O3310">
        <v>0.33</v>
      </c>
      <c r="P3310">
        <v>1</v>
      </c>
      <c r="Q3310">
        <v>0.01</v>
      </c>
    </row>
    <row r="3311" spans="1:17" x14ac:dyDescent="0.25">
      <c r="A3311">
        <v>732237</v>
      </c>
      <c r="B3311" t="s">
        <v>4623</v>
      </c>
      <c r="C3311" t="s">
        <v>78</v>
      </c>
      <c r="D3311" t="s">
        <v>78</v>
      </c>
      <c r="E3311" t="s">
        <v>78</v>
      </c>
      <c r="F3311" t="s">
        <v>78</v>
      </c>
      <c r="G3311" t="s">
        <v>78</v>
      </c>
      <c r="H3311">
        <v>0.39</v>
      </c>
      <c r="I3311" s="1">
        <v>0</v>
      </c>
      <c r="J3311" s="1">
        <v>0</v>
      </c>
      <c r="K3311">
        <v>0</v>
      </c>
      <c r="L3311">
        <v>0.22</v>
      </c>
      <c r="M3311">
        <v>0.23</v>
      </c>
      <c r="N3311" s="1">
        <v>5000000</v>
      </c>
      <c r="O3311">
        <v>0.23</v>
      </c>
      <c r="P3311">
        <v>0.73</v>
      </c>
      <c r="Q3311">
        <v>0.01</v>
      </c>
    </row>
    <row r="3312" spans="1:17" x14ac:dyDescent="0.25">
      <c r="A3312">
        <v>732238</v>
      </c>
      <c r="B3312" t="s">
        <v>4624</v>
      </c>
      <c r="C3312" t="s">
        <v>78</v>
      </c>
      <c r="D3312" t="s">
        <v>78</v>
      </c>
      <c r="E3312" t="s">
        <v>78</v>
      </c>
      <c r="F3312" t="s">
        <v>78</v>
      </c>
      <c r="G3312" t="s">
        <v>78</v>
      </c>
      <c r="H3312">
        <v>0.31</v>
      </c>
      <c r="I3312" s="1">
        <v>0</v>
      </c>
      <c r="J3312" s="1">
        <v>0</v>
      </c>
      <c r="K3312">
        <v>0</v>
      </c>
      <c r="L3312">
        <v>0.26</v>
      </c>
      <c r="M3312">
        <v>0.28000000000000003</v>
      </c>
      <c r="N3312" s="1">
        <v>10000000</v>
      </c>
      <c r="O3312">
        <v>0.28000000000000003</v>
      </c>
      <c r="P3312">
        <v>0.97</v>
      </c>
      <c r="Q3312">
        <v>0.01</v>
      </c>
    </row>
    <row r="3313" spans="1:17" x14ac:dyDescent="0.25">
      <c r="A3313">
        <v>732239</v>
      </c>
      <c r="B3313" t="s">
        <v>4625</v>
      </c>
      <c r="C3313">
        <v>0.91</v>
      </c>
      <c r="D3313">
        <v>0.02</v>
      </c>
      <c r="E3313">
        <v>0.92</v>
      </c>
      <c r="F3313">
        <v>1.1100000000000001</v>
      </c>
      <c r="G3313">
        <v>0.91</v>
      </c>
      <c r="H3313">
        <v>0.97</v>
      </c>
      <c r="I3313" s="1">
        <v>952000</v>
      </c>
      <c r="J3313" s="1">
        <v>922860</v>
      </c>
      <c r="K3313">
        <v>19</v>
      </c>
      <c r="L3313">
        <v>0.9</v>
      </c>
      <c r="M3313">
        <v>0.91</v>
      </c>
      <c r="N3313" s="1">
        <v>5000000</v>
      </c>
      <c r="O3313">
        <v>0.91</v>
      </c>
      <c r="P3313">
        <v>2.56</v>
      </c>
      <c r="Q3313">
        <v>0.01</v>
      </c>
    </row>
    <row r="3314" spans="1:17" x14ac:dyDescent="0.25">
      <c r="A3314">
        <v>732240</v>
      </c>
      <c r="B3314" t="s">
        <v>4626</v>
      </c>
      <c r="C3314">
        <v>0.37</v>
      </c>
      <c r="D3314">
        <v>0.01</v>
      </c>
      <c r="E3314">
        <v>0.37</v>
      </c>
      <c r="F3314">
        <v>0.39</v>
      </c>
      <c r="G3314">
        <v>0.37</v>
      </c>
      <c r="H3314">
        <v>0.37</v>
      </c>
      <c r="I3314" s="1">
        <v>282000</v>
      </c>
      <c r="J3314" s="1">
        <v>104440</v>
      </c>
      <c r="K3314">
        <v>6</v>
      </c>
      <c r="L3314">
        <v>0.37</v>
      </c>
      <c r="M3314">
        <v>0.39</v>
      </c>
      <c r="N3314" s="1">
        <v>14000000</v>
      </c>
      <c r="O3314">
        <v>0.37</v>
      </c>
      <c r="P3314">
        <v>0.83</v>
      </c>
      <c r="Q3314">
        <v>0.01</v>
      </c>
    </row>
    <row r="3315" spans="1:17" x14ac:dyDescent="0.25">
      <c r="A3315">
        <v>732241</v>
      </c>
      <c r="B3315" t="s">
        <v>4627</v>
      </c>
      <c r="C3315" t="s">
        <v>78</v>
      </c>
      <c r="D3315" t="s">
        <v>78</v>
      </c>
      <c r="E3315" t="s">
        <v>78</v>
      </c>
      <c r="F3315" t="s">
        <v>78</v>
      </c>
      <c r="G3315" t="s">
        <v>78</v>
      </c>
      <c r="H3315">
        <v>2.39</v>
      </c>
      <c r="I3315" s="1">
        <v>0</v>
      </c>
      <c r="J3315" s="1">
        <v>0</v>
      </c>
      <c r="K3315">
        <v>0</v>
      </c>
      <c r="L3315">
        <v>2.2599999999999998</v>
      </c>
      <c r="M3315">
        <v>2.33</v>
      </c>
      <c r="N3315" s="1">
        <v>5000000</v>
      </c>
      <c r="O3315">
        <v>2.2599999999999998</v>
      </c>
      <c r="P3315">
        <v>3.36</v>
      </c>
      <c r="Q3315">
        <v>1.1599999999999999</v>
      </c>
    </row>
    <row r="3316" spans="1:17" x14ac:dyDescent="0.25">
      <c r="A3316">
        <v>732242</v>
      </c>
      <c r="B3316" t="s">
        <v>4628</v>
      </c>
      <c r="C3316" t="s">
        <v>78</v>
      </c>
      <c r="D3316" t="s">
        <v>78</v>
      </c>
      <c r="E3316" t="s">
        <v>78</v>
      </c>
      <c r="F3316" t="s">
        <v>78</v>
      </c>
      <c r="G3316" t="s">
        <v>78</v>
      </c>
      <c r="H3316">
        <v>0.26</v>
      </c>
      <c r="I3316" s="1">
        <v>0</v>
      </c>
      <c r="J3316" s="1">
        <v>0</v>
      </c>
      <c r="K3316">
        <v>0</v>
      </c>
      <c r="L3316">
        <v>0.23</v>
      </c>
      <c r="M3316">
        <v>0.24</v>
      </c>
      <c r="N3316" s="1">
        <v>10000000</v>
      </c>
      <c r="O3316">
        <v>0.24</v>
      </c>
      <c r="P3316">
        <v>0.86</v>
      </c>
      <c r="Q3316">
        <v>0.01</v>
      </c>
    </row>
    <row r="3317" spans="1:17" x14ac:dyDescent="0.25">
      <c r="A3317">
        <v>732243</v>
      </c>
      <c r="B3317" t="s">
        <v>4629</v>
      </c>
      <c r="C3317">
        <v>0.72</v>
      </c>
      <c r="D3317">
        <v>7.0000000000000007E-2</v>
      </c>
      <c r="E3317">
        <v>0.77</v>
      </c>
      <c r="F3317">
        <v>0.84</v>
      </c>
      <c r="G3317">
        <v>0.72</v>
      </c>
      <c r="H3317">
        <v>0.78</v>
      </c>
      <c r="I3317" s="1">
        <v>150000</v>
      </c>
      <c r="J3317" s="1">
        <v>116400</v>
      </c>
      <c r="K3317">
        <v>12</v>
      </c>
      <c r="L3317">
        <v>0.71</v>
      </c>
      <c r="M3317">
        <v>0.73</v>
      </c>
      <c r="N3317" s="1">
        <v>5000000</v>
      </c>
      <c r="O3317">
        <v>0.72</v>
      </c>
      <c r="P3317">
        <v>2.04</v>
      </c>
      <c r="Q3317">
        <v>0.01</v>
      </c>
    </row>
    <row r="3318" spans="1:17" x14ac:dyDescent="0.25">
      <c r="A3318">
        <v>732244</v>
      </c>
      <c r="B3318" t="s">
        <v>4630</v>
      </c>
      <c r="C3318" t="s">
        <v>78</v>
      </c>
      <c r="D3318" t="s">
        <v>78</v>
      </c>
      <c r="E3318" t="s">
        <v>78</v>
      </c>
      <c r="F3318" t="s">
        <v>78</v>
      </c>
      <c r="G3318" t="s">
        <v>78</v>
      </c>
      <c r="H3318">
        <v>2.17</v>
      </c>
      <c r="I3318" s="1">
        <v>0</v>
      </c>
      <c r="J3318" s="1">
        <v>0</v>
      </c>
      <c r="K3318">
        <v>0</v>
      </c>
      <c r="L3318">
        <v>2.41</v>
      </c>
      <c r="M3318">
        <v>2.5099999999999998</v>
      </c>
      <c r="N3318" s="1">
        <v>5000000</v>
      </c>
      <c r="O3318">
        <v>2.41</v>
      </c>
      <c r="P3318">
        <v>3.79</v>
      </c>
      <c r="Q3318">
        <v>1.03</v>
      </c>
    </row>
    <row r="3319" spans="1:17" x14ac:dyDescent="0.25">
      <c r="A3319">
        <v>732245</v>
      </c>
      <c r="B3319" t="s">
        <v>4631</v>
      </c>
      <c r="C3319">
        <v>0.25</v>
      </c>
      <c r="D3319">
        <v>-0.15</v>
      </c>
      <c r="E3319">
        <v>0.25</v>
      </c>
      <c r="F3319">
        <v>0.26</v>
      </c>
      <c r="G3319">
        <v>0.23</v>
      </c>
      <c r="H3319">
        <v>0.24</v>
      </c>
      <c r="I3319" s="1">
        <v>921000</v>
      </c>
      <c r="J3319" s="1">
        <v>217550</v>
      </c>
      <c r="K3319">
        <v>12</v>
      </c>
      <c r="L3319">
        <v>0.24</v>
      </c>
      <c r="M3319">
        <v>0.25</v>
      </c>
      <c r="N3319" s="1">
        <v>5000000</v>
      </c>
      <c r="O3319">
        <v>0.25</v>
      </c>
      <c r="P3319">
        <v>0.73</v>
      </c>
      <c r="Q3319">
        <v>0.01</v>
      </c>
    </row>
    <row r="3320" spans="1:17" x14ac:dyDescent="0.25">
      <c r="A3320">
        <v>732246</v>
      </c>
      <c r="B3320" t="s">
        <v>4632</v>
      </c>
      <c r="C3320">
        <v>0.64</v>
      </c>
      <c r="D3320">
        <v>0.04</v>
      </c>
      <c r="E3320">
        <v>0.7</v>
      </c>
      <c r="F3320">
        <v>0.7</v>
      </c>
      <c r="G3320">
        <v>0.64</v>
      </c>
      <c r="H3320">
        <v>0.68</v>
      </c>
      <c r="I3320" s="1">
        <v>357000</v>
      </c>
      <c r="J3320" s="1">
        <v>241250</v>
      </c>
      <c r="K3320">
        <v>26</v>
      </c>
      <c r="L3320">
        <v>0.66</v>
      </c>
      <c r="M3320">
        <v>0.67</v>
      </c>
      <c r="N3320" s="1">
        <v>5000000</v>
      </c>
      <c r="O3320">
        <v>0.64</v>
      </c>
      <c r="P3320">
        <v>1.37</v>
      </c>
      <c r="Q3320">
        <v>0.01</v>
      </c>
    </row>
    <row r="3321" spans="1:17" x14ac:dyDescent="0.25">
      <c r="A3321">
        <v>732247</v>
      </c>
      <c r="B3321" t="s">
        <v>4633</v>
      </c>
      <c r="C3321">
        <v>0.62</v>
      </c>
      <c r="D3321">
        <v>7.0000000000000007E-2</v>
      </c>
      <c r="E3321">
        <v>0.55000000000000004</v>
      </c>
      <c r="F3321">
        <v>0.65</v>
      </c>
      <c r="G3321">
        <v>0.55000000000000004</v>
      </c>
      <c r="H3321">
        <v>0.57999999999999996</v>
      </c>
      <c r="I3321" s="1">
        <v>1433000</v>
      </c>
      <c r="J3321" s="1">
        <v>826080</v>
      </c>
      <c r="K3321">
        <v>63</v>
      </c>
      <c r="L3321">
        <v>0.63</v>
      </c>
      <c r="M3321">
        <v>0.64</v>
      </c>
      <c r="N3321" s="1">
        <v>10000000</v>
      </c>
      <c r="O3321">
        <v>0.62</v>
      </c>
      <c r="P3321">
        <v>1.82</v>
      </c>
      <c r="Q3321">
        <v>0.01</v>
      </c>
    </row>
    <row r="3322" spans="1:17" x14ac:dyDescent="0.25">
      <c r="A3322">
        <v>732248</v>
      </c>
      <c r="B3322" t="s">
        <v>4634</v>
      </c>
      <c r="C3322" t="s">
        <v>78</v>
      </c>
      <c r="D3322" t="s">
        <v>78</v>
      </c>
      <c r="E3322" t="s">
        <v>78</v>
      </c>
      <c r="F3322" t="s">
        <v>78</v>
      </c>
      <c r="G3322" t="s">
        <v>78</v>
      </c>
      <c r="H3322">
        <v>0.28999999999999998</v>
      </c>
      <c r="I3322" s="1">
        <v>0</v>
      </c>
      <c r="J3322" s="1">
        <v>0</v>
      </c>
      <c r="K3322">
        <v>0</v>
      </c>
      <c r="L3322">
        <v>0.27</v>
      </c>
      <c r="M3322">
        <v>0.28000000000000003</v>
      </c>
      <c r="N3322" s="1">
        <v>5000000</v>
      </c>
      <c r="O3322">
        <v>0.28000000000000003</v>
      </c>
      <c r="P3322">
        <v>0.67</v>
      </c>
      <c r="Q3322">
        <v>0.01</v>
      </c>
    </row>
    <row r="3323" spans="1:17" x14ac:dyDescent="0.25">
      <c r="A3323">
        <v>732249</v>
      </c>
      <c r="B3323" t="s">
        <v>4635</v>
      </c>
      <c r="C3323" t="s">
        <v>78</v>
      </c>
      <c r="D3323" t="s">
        <v>78</v>
      </c>
      <c r="E3323" t="s">
        <v>78</v>
      </c>
      <c r="F3323" t="s">
        <v>78</v>
      </c>
      <c r="G3323" t="s">
        <v>78</v>
      </c>
      <c r="H3323">
        <v>0.2</v>
      </c>
      <c r="I3323" s="1">
        <v>0</v>
      </c>
      <c r="J3323" s="1">
        <v>0</v>
      </c>
      <c r="K3323">
        <v>0</v>
      </c>
      <c r="L3323">
        <v>0.2</v>
      </c>
      <c r="M3323">
        <v>0.21</v>
      </c>
      <c r="N3323" s="1">
        <v>5000000</v>
      </c>
      <c r="O3323">
        <v>0.2</v>
      </c>
      <c r="P3323">
        <v>0.62</v>
      </c>
      <c r="Q3323">
        <v>0.01</v>
      </c>
    </row>
    <row r="3324" spans="1:17" x14ac:dyDescent="0.25">
      <c r="A3324">
        <v>732250</v>
      </c>
      <c r="B3324" t="s">
        <v>4636</v>
      </c>
      <c r="C3324">
        <v>0.5</v>
      </c>
      <c r="D3324">
        <v>0</v>
      </c>
      <c r="E3324">
        <v>0.53</v>
      </c>
      <c r="F3324">
        <v>0.55000000000000004</v>
      </c>
      <c r="G3324">
        <v>0.5</v>
      </c>
      <c r="H3324">
        <v>0.53</v>
      </c>
      <c r="I3324" s="1">
        <v>110000</v>
      </c>
      <c r="J3324" s="1">
        <v>58250</v>
      </c>
      <c r="K3324">
        <v>4</v>
      </c>
      <c r="L3324">
        <v>0.51</v>
      </c>
      <c r="M3324">
        <v>0.52</v>
      </c>
      <c r="N3324" s="1">
        <v>5000000</v>
      </c>
      <c r="O3324">
        <v>0.5</v>
      </c>
      <c r="P3324">
        <v>0.96</v>
      </c>
      <c r="Q3324">
        <v>0.04</v>
      </c>
    </row>
    <row r="3325" spans="1:17" x14ac:dyDescent="0.25">
      <c r="A3325">
        <v>732251</v>
      </c>
      <c r="B3325" t="s">
        <v>4637</v>
      </c>
      <c r="C3325">
        <v>0.51</v>
      </c>
      <c r="D3325">
        <v>-7.0000000000000007E-2</v>
      </c>
      <c r="E3325">
        <v>0.51</v>
      </c>
      <c r="F3325">
        <v>0.51</v>
      </c>
      <c r="G3325">
        <v>0.51</v>
      </c>
      <c r="H3325">
        <v>0.51</v>
      </c>
      <c r="I3325" s="1">
        <v>10000</v>
      </c>
      <c r="J3325" s="1">
        <v>5100</v>
      </c>
      <c r="K3325">
        <v>1</v>
      </c>
      <c r="L3325">
        <v>0.49</v>
      </c>
      <c r="M3325">
        <v>0.5</v>
      </c>
      <c r="N3325" s="1">
        <v>5027000</v>
      </c>
      <c r="O3325">
        <v>0.51</v>
      </c>
      <c r="P3325">
        <v>1.45</v>
      </c>
      <c r="Q3325">
        <v>0.01</v>
      </c>
    </row>
    <row r="3326" spans="1:17" x14ac:dyDescent="0.25">
      <c r="A3326">
        <v>732252</v>
      </c>
      <c r="B3326" t="s">
        <v>4638</v>
      </c>
      <c r="C3326">
        <v>0.9</v>
      </c>
      <c r="D3326">
        <v>-0.02</v>
      </c>
      <c r="E3326">
        <v>0.94</v>
      </c>
      <c r="F3326">
        <v>0.94</v>
      </c>
      <c r="G3326">
        <v>0.9</v>
      </c>
      <c r="H3326">
        <v>0.9</v>
      </c>
      <c r="I3326" s="1">
        <v>287000</v>
      </c>
      <c r="J3326" s="1">
        <v>258840</v>
      </c>
      <c r="K3326">
        <v>5</v>
      </c>
      <c r="L3326">
        <v>0.9</v>
      </c>
      <c r="M3326">
        <v>0.91</v>
      </c>
      <c r="N3326" s="1">
        <v>10000000</v>
      </c>
      <c r="O3326">
        <v>0.9</v>
      </c>
      <c r="P3326">
        <v>1.6</v>
      </c>
      <c r="Q3326">
        <v>0.2</v>
      </c>
    </row>
    <row r="3327" spans="1:17" x14ac:dyDescent="0.25">
      <c r="A3327">
        <v>732253</v>
      </c>
      <c r="B3327" t="s">
        <v>4639</v>
      </c>
      <c r="C3327" t="s">
        <v>78</v>
      </c>
      <c r="D3327" t="s">
        <v>78</v>
      </c>
      <c r="E3327" t="s">
        <v>78</v>
      </c>
      <c r="F3327" t="s">
        <v>78</v>
      </c>
      <c r="G3327" t="s">
        <v>78</v>
      </c>
      <c r="H3327">
        <v>0.25</v>
      </c>
      <c r="I3327" s="1">
        <v>0</v>
      </c>
      <c r="J3327" s="1">
        <v>0</v>
      </c>
      <c r="K3327">
        <v>0</v>
      </c>
      <c r="L3327">
        <v>0.17</v>
      </c>
      <c r="M3327">
        <v>0.18</v>
      </c>
      <c r="N3327" s="1">
        <v>5000000</v>
      </c>
      <c r="O3327">
        <v>0.18</v>
      </c>
      <c r="P3327">
        <v>0.8</v>
      </c>
      <c r="Q3327">
        <v>0.01</v>
      </c>
    </row>
    <row r="3328" spans="1:17" x14ac:dyDescent="0.25">
      <c r="A3328">
        <v>732254</v>
      </c>
      <c r="B3328" t="s">
        <v>4640</v>
      </c>
      <c r="C3328" t="s">
        <v>78</v>
      </c>
      <c r="D3328" t="s">
        <v>78</v>
      </c>
      <c r="E3328" t="s">
        <v>78</v>
      </c>
      <c r="F3328" t="s">
        <v>78</v>
      </c>
      <c r="G3328" t="s">
        <v>78</v>
      </c>
      <c r="H3328">
        <v>0.32</v>
      </c>
      <c r="I3328" s="1">
        <v>0</v>
      </c>
      <c r="J3328" s="1">
        <v>0</v>
      </c>
      <c r="K3328">
        <v>0</v>
      </c>
      <c r="L3328">
        <v>0.14000000000000001</v>
      </c>
      <c r="M3328">
        <v>0.15</v>
      </c>
      <c r="N3328" s="1">
        <v>5000000</v>
      </c>
      <c r="O3328">
        <v>0.14000000000000001</v>
      </c>
      <c r="P3328">
        <v>0.88</v>
      </c>
      <c r="Q3328">
        <v>0.01</v>
      </c>
    </row>
    <row r="3329" spans="1:17" x14ac:dyDescent="0.25">
      <c r="A3329">
        <v>732255</v>
      </c>
      <c r="B3329" t="s">
        <v>4641</v>
      </c>
      <c r="C3329">
        <v>0.93</v>
      </c>
      <c r="D3329">
        <v>0.11</v>
      </c>
      <c r="E3329">
        <v>0.88</v>
      </c>
      <c r="F3329">
        <v>0.93</v>
      </c>
      <c r="G3329">
        <v>0.88</v>
      </c>
      <c r="H3329">
        <v>0.91</v>
      </c>
      <c r="I3329" s="1">
        <v>50000</v>
      </c>
      <c r="J3329" s="1">
        <v>45300</v>
      </c>
      <c r="K3329">
        <v>5</v>
      </c>
      <c r="L3329">
        <v>0.96</v>
      </c>
      <c r="M3329">
        <v>0.98</v>
      </c>
      <c r="N3329" s="1">
        <v>10000000</v>
      </c>
      <c r="O3329">
        <v>0.93</v>
      </c>
      <c r="P3329">
        <v>2.89</v>
      </c>
      <c r="Q3329">
        <v>0.01</v>
      </c>
    </row>
    <row r="3330" spans="1:17" x14ac:dyDescent="0.25">
      <c r="A3330">
        <v>732256</v>
      </c>
      <c r="B3330" t="s">
        <v>4642</v>
      </c>
      <c r="C3330">
        <v>0.96</v>
      </c>
      <c r="D3330">
        <v>0</v>
      </c>
      <c r="E3330">
        <v>0.92</v>
      </c>
      <c r="F3330">
        <v>1.05</v>
      </c>
      <c r="G3330">
        <v>0.92</v>
      </c>
      <c r="H3330">
        <v>0.98</v>
      </c>
      <c r="I3330" s="1">
        <v>696000</v>
      </c>
      <c r="J3330" s="1">
        <v>683630</v>
      </c>
      <c r="K3330">
        <v>32</v>
      </c>
      <c r="L3330">
        <v>0.96</v>
      </c>
      <c r="M3330">
        <v>0.97</v>
      </c>
      <c r="N3330" s="1">
        <v>5000000</v>
      </c>
      <c r="O3330">
        <v>0.96</v>
      </c>
      <c r="P3330">
        <v>2.91</v>
      </c>
      <c r="Q3330">
        <v>0.01</v>
      </c>
    </row>
    <row r="3331" spans="1:17" x14ac:dyDescent="0.25">
      <c r="A3331">
        <v>732257</v>
      </c>
      <c r="B3331" t="s">
        <v>4643</v>
      </c>
      <c r="C3331">
        <v>0.27</v>
      </c>
      <c r="D3331">
        <v>-0.02</v>
      </c>
      <c r="E3331">
        <v>0.27</v>
      </c>
      <c r="F3331">
        <v>0.27</v>
      </c>
      <c r="G3331">
        <v>0.27</v>
      </c>
      <c r="H3331">
        <v>0.27</v>
      </c>
      <c r="I3331" s="1">
        <v>415000</v>
      </c>
      <c r="J3331" s="1">
        <v>112050</v>
      </c>
      <c r="K3331">
        <v>2</v>
      </c>
      <c r="L3331">
        <v>0.27</v>
      </c>
      <c r="M3331">
        <v>0.28000000000000003</v>
      </c>
      <c r="N3331" s="1">
        <v>5000000</v>
      </c>
      <c r="O3331">
        <v>0.27</v>
      </c>
      <c r="P3331">
        <v>0.99</v>
      </c>
      <c r="Q3331">
        <v>0.01</v>
      </c>
    </row>
    <row r="3332" spans="1:17" x14ac:dyDescent="0.25">
      <c r="A3332">
        <v>732258</v>
      </c>
      <c r="B3332" t="s">
        <v>4644</v>
      </c>
      <c r="C3332">
        <v>2.5</v>
      </c>
      <c r="D3332">
        <v>0.01</v>
      </c>
      <c r="E3332">
        <v>2.6</v>
      </c>
      <c r="F3332">
        <v>2.6</v>
      </c>
      <c r="G3332">
        <v>2.5</v>
      </c>
      <c r="H3332">
        <v>2.6</v>
      </c>
      <c r="I3332" s="1">
        <v>21000</v>
      </c>
      <c r="J3332" s="1">
        <v>54500</v>
      </c>
      <c r="K3332">
        <v>2</v>
      </c>
      <c r="L3332">
        <v>2.5</v>
      </c>
      <c r="M3332">
        <v>2.54</v>
      </c>
      <c r="N3332" s="1">
        <v>10000000</v>
      </c>
      <c r="O3332">
        <v>2.5</v>
      </c>
      <c r="P3332">
        <v>3.88</v>
      </c>
      <c r="Q3332">
        <v>1.1200000000000001</v>
      </c>
    </row>
    <row r="3333" spans="1:17" x14ac:dyDescent="0.25">
      <c r="A3333">
        <v>732259</v>
      </c>
      <c r="B3333" t="s">
        <v>4645</v>
      </c>
      <c r="C3333">
        <v>0.97</v>
      </c>
      <c r="D3333">
        <v>-0.01</v>
      </c>
      <c r="E3333">
        <v>0.99</v>
      </c>
      <c r="F3333">
        <v>0.99</v>
      </c>
      <c r="G3333">
        <v>0.97</v>
      </c>
      <c r="H3333">
        <v>0.98</v>
      </c>
      <c r="I3333" s="1">
        <v>159000</v>
      </c>
      <c r="J3333" s="1">
        <v>156590</v>
      </c>
      <c r="K3333">
        <v>9</v>
      </c>
      <c r="L3333">
        <v>0.95</v>
      </c>
      <c r="M3333">
        <v>0.97</v>
      </c>
      <c r="N3333" s="1">
        <v>10000000</v>
      </c>
      <c r="O3333">
        <v>0.97</v>
      </c>
      <c r="P3333">
        <v>1.71</v>
      </c>
      <c r="Q3333">
        <v>0.23</v>
      </c>
    </row>
    <row r="3334" spans="1:17" x14ac:dyDescent="0.25">
      <c r="A3334">
        <v>732260</v>
      </c>
      <c r="B3334" t="s">
        <v>4646</v>
      </c>
      <c r="C3334">
        <v>0.47</v>
      </c>
      <c r="D3334">
        <v>0</v>
      </c>
      <c r="E3334">
        <v>0.46</v>
      </c>
      <c r="F3334">
        <v>0.47</v>
      </c>
      <c r="G3334">
        <v>0.45</v>
      </c>
      <c r="H3334">
        <v>0.46</v>
      </c>
      <c r="I3334" s="1">
        <v>685000</v>
      </c>
      <c r="J3334" s="1">
        <v>317350</v>
      </c>
      <c r="K3334">
        <v>14</v>
      </c>
      <c r="L3334">
        <v>0.45</v>
      </c>
      <c r="M3334">
        <v>0.46</v>
      </c>
      <c r="N3334" s="1">
        <v>5000000</v>
      </c>
      <c r="O3334">
        <v>0.47</v>
      </c>
      <c r="P3334">
        <v>1.46</v>
      </c>
      <c r="Q3334">
        <v>0.01</v>
      </c>
    </row>
    <row r="3335" spans="1:17" x14ac:dyDescent="0.25">
      <c r="A3335">
        <v>732261</v>
      </c>
      <c r="B3335" t="s">
        <v>4647</v>
      </c>
      <c r="C3335">
        <v>0.49</v>
      </c>
      <c r="D3335">
        <v>0</v>
      </c>
      <c r="E3335">
        <v>0.49</v>
      </c>
      <c r="F3335">
        <v>0.49</v>
      </c>
      <c r="G3335">
        <v>0.49</v>
      </c>
      <c r="H3335">
        <v>0.49</v>
      </c>
      <c r="I3335" s="1">
        <v>20000</v>
      </c>
      <c r="J3335" s="1">
        <v>9800</v>
      </c>
      <c r="K3335">
        <v>1</v>
      </c>
      <c r="L3335">
        <v>0.48</v>
      </c>
      <c r="M3335">
        <v>0.5</v>
      </c>
      <c r="N3335" s="1">
        <v>5000000</v>
      </c>
      <c r="O3335">
        <v>0.49</v>
      </c>
      <c r="P3335">
        <v>1.05</v>
      </c>
      <c r="Q3335">
        <v>0.01</v>
      </c>
    </row>
    <row r="3336" spans="1:17" x14ac:dyDescent="0.25">
      <c r="A3336">
        <v>732262</v>
      </c>
      <c r="B3336" t="s">
        <v>4648</v>
      </c>
      <c r="C3336" t="s">
        <v>78</v>
      </c>
      <c r="D3336" t="s">
        <v>78</v>
      </c>
      <c r="E3336" t="s">
        <v>78</v>
      </c>
      <c r="F3336" t="s">
        <v>78</v>
      </c>
      <c r="G3336" t="s">
        <v>78</v>
      </c>
      <c r="H3336">
        <v>0.36</v>
      </c>
      <c r="I3336" s="1">
        <v>0</v>
      </c>
      <c r="J3336" s="1">
        <v>0</v>
      </c>
      <c r="K3336">
        <v>0</v>
      </c>
      <c r="L3336">
        <v>0.32</v>
      </c>
      <c r="M3336">
        <v>0.42</v>
      </c>
      <c r="N3336" s="1">
        <v>10000000</v>
      </c>
      <c r="O3336">
        <v>0.36</v>
      </c>
      <c r="P3336">
        <v>1.3</v>
      </c>
      <c r="Q3336">
        <v>0.01</v>
      </c>
    </row>
    <row r="3337" spans="1:17" x14ac:dyDescent="0.25">
      <c r="A3337">
        <v>732263</v>
      </c>
      <c r="B3337" t="s">
        <v>4649</v>
      </c>
      <c r="C3337">
        <v>1.35</v>
      </c>
      <c r="D3337">
        <v>0.01</v>
      </c>
      <c r="E3337">
        <v>1.4</v>
      </c>
      <c r="F3337">
        <v>1.4</v>
      </c>
      <c r="G3337">
        <v>1.35</v>
      </c>
      <c r="H3337">
        <v>1.36</v>
      </c>
      <c r="I3337" s="1">
        <v>215000</v>
      </c>
      <c r="J3337" s="1">
        <v>292000</v>
      </c>
      <c r="K3337">
        <v>3</v>
      </c>
      <c r="L3337">
        <v>1.41</v>
      </c>
      <c r="M3337">
        <v>1.45</v>
      </c>
      <c r="N3337" s="1">
        <v>5000000</v>
      </c>
      <c r="O3337">
        <v>1.35</v>
      </c>
      <c r="P3337">
        <v>2.41</v>
      </c>
      <c r="Q3337">
        <v>0.28999999999999998</v>
      </c>
    </row>
    <row r="3338" spans="1:17" x14ac:dyDescent="0.25">
      <c r="A3338">
        <v>732264</v>
      </c>
      <c r="B3338" t="s">
        <v>4650</v>
      </c>
      <c r="C3338">
        <v>1.66</v>
      </c>
      <c r="D3338">
        <v>-0.12</v>
      </c>
      <c r="E3338">
        <v>1.81</v>
      </c>
      <c r="F3338">
        <v>1.81</v>
      </c>
      <c r="G3338">
        <v>1.66</v>
      </c>
      <c r="H3338">
        <v>1.74</v>
      </c>
      <c r="I3338" s="1">
        <v>224000</v>
      </c>
      <c r="J3338" s="1">
        <v>389090</v>
      </c>
      <c r="K3338">
        <v>3</v>
      </c>
      <c r="L3338">
        <v>1.68</v>
      </c>
      <c r="M3338">
        <v>1.69</v>
      </c>
      <c r="N3338" s="1">
        <v>5000000</v>
      </c>
      <c r="O3338">
        <v>1.66</v>
      </c>
      <c r="P3338">
        <v>3.1</v>
      </c>
      <c r="Q3338">
        <v>0.22</v>
      </c>
    </row>
    <row r="3339" spans="1:17" x14ac:dyDescent="0.25">
      <c r="A3339">
        <v>732265</v>
      </c>
      <c r="B3339" t="s">
        <v>4651</v>
      </c>
      <c r="C3339">
        <v>0.76</v>
      </c>
      <c r="D3339">
        <v>-0.01</v>
      </c>
      <c r="E3339">
        <v>0.75</v>
      </c>
      <c r="F3339">
        <v>0.79</v>
      </c>
      <c r="G3339">
        <v>0.75</v>
      </c>
      <c r="H3339">
        <v>0.77</v>
      </c>
      <c r="I3339" s="1">
        <v>1086000</v>
      </c>
      <c r="J3339" s="1">
        <v>831440</v>
      </c>
      <c r="K3339">
        <v>18</v>
      </c>
      <c r="L3339">
        <v>0.76</v>
      </c>
      <c r="M3339">
        <v>0.78</v>
      </c>
      <c r="N3339" s="1">
        <v>5000000</v>
      </c>
      <c r="O3339">
        <v>0.76</v>
      </c>
      <c r="P3339">
        <v>1.81</v>
      </c>
      <c r="Q3339">
        <v>0.01</v>
      </c>
    </row>
    <row r="3340" spans="1:17" x14ac:dyDescent="0.25">
      <c r="A3340">
        <v>732266</v>
      </c>
      <c r="B3340" t="s">
        <v>4652</v>
      </c>
      <c r="C3340">
        <v>0.94</v>
      </c>
      <c r="D3340">
        <v>0.05</v>
      </c>
      <c r="E3340">
        <v>0.89</v>
      </c>
      <c r="F3340">
        <v>0.94</v>
      </c>
      <c r="G3340">
        <v>0.89</v>
      </c>
      <c r="H3340">
        <v>0.93</v>
      </c>
      <c r="I3340" s="1">
        <v>127000</v>
      </c>
      <c r="J3340" s="1">
        <v>118030</v>
      </c>
      <c r="K3340">
        <v>2</v>
      </c>
      <c r="L3340">
        <v>0.89</v>
      </c>
      <c r="M3340">
        <v>0.9</v>
      </c>
      <c r="N3340" s="1">
        <v>5000000</v>
      </c>
      <c r="O3340">
        <v>0.94</v>
      </c>
      <c r="P3340">
        <v>1.54</v>
      </c>
      <c r="Q3340">
        <v>0.34</v>
      </c>
    </row>
    <row r="3341" spans="1:17" x14ac:dyDescent="0.25">
      <c r="A3341">
        <v>732267</v>
      </c>
      <c r="B3341" t="s">
        <v>4653</v>
      </c>
      <c r="C3341">
        <v>0.56999999999999995</v>
      </c>
      <c r="D3341">
        <v>-0.01</v>
      </c>
      <c r="E3341">
        <v>0.56999999999999995</v>
      </c>
      <c r="F3341">
        <v>0.56999999999999995</v>
      </c>
      <c r="G3341">
        <v>0.56999999999999995</v>
      </c>
      <c r="H3341">
        <v>0.56999999999999995</v>
      </c>
      <c r="I3341" s="1">
        <v>100000</v>
      </c>
      <c r="J3341" s="1">
        <v>57000</v>
      </c>
      <c r="K3341">
        <v>1</v>
      </c>
      <c r="L3341">
        <v>0.56000000000000005</v>
      </c>
      <c r="M3341">
        <v>0.56999999999999995</v>
      </c>
      <c r="N3341" s="1">
        <v>5000000</v>
      </c>
      <c r="O3341">
        <v>0.56999999999999995</v>
      </c>
      <c r="P3341">
        <v>1.7</v>
      </c>
      <c r="Q3341">
        <v>0.01</v>
      </c>
    </row>
    <row r="3342" spans="1:17" x14ac:dyDescent="0.25">
      <c r="A3342">
        <v>732268</v>
      </c>
      <c r="B3342" t="s">
        <v>4654</v>
      </c>
      <c r="C3342" t="s">
        <v>78</v>
      </c>
      <c r="D3342" t="s">
        <v>78</v>
      </c>
      <c r="E3342" t="s">
        <v>78</v>
      </c>
      <c r="F3342" t="s">
        <v>78</v>
      </c>
      <c r="G3342" t="s">
        <v>78</v>
      </c>
      <c r="H3342">
        <v>0.33</v>
      </c>
      <c r="I3342" s="1">
        <v>0</v>
      </c>
      <c r="J3342" s="1">
        <v>0</v>
      </c>
      <c r="K3342">
        <v>0</v>
      </c>
      <c r="L3342">
        <v>0.31</v>
      </c>
      <c r="M3342">
        <v>0.33</v>
      </c>
      <c r="N3342" s="1">
        <v>10000000</v>
      </c>
      <c r="O3342">
        <v>0.32</v>
      </c>
      <c r="P3342">
        <v>0.99</v>
      </c>
      <c r="Q3342">
        <v>0.01</v>
      </c>
    </row>
    <row r="3343" spans="1:17" x14ac:dyDescent="0.25">
      <c r="A3343">
        <v>732269</v>
      </c>
      <c r="B3343" t="s">
        <v>4655</v>
      </c>
      <c r="C3343">
        <v>1.1499999999999999</v>
      </c>
      <c r="D3343">
        <v>-0.03</v>
      </c>
      <c r="E3343">
        <v>1.18</v>
      </c>
      <c r="F3343">
        <v>1.18</v>
      </c>
      <c r="G3343">
        <v>1.1100000000000001</v>
      </c>
      <c r="H3343">
        <v>1.1499999999999999</v>
      </c>
      <c r="I3343" s="1">
        <v>429000</v>
      </c>
      <c r="J3343" s="1">
        <v>493520</v>
      </c>
      <c r="K3343">
        <v>23</v>
      </c>
      <c r="L3343">
        <v>1.17</v>
      </c>
      <c r="M3343">
        <v>1.18</v>
      </c>
      <c r="N3343" s="1">
        <v>5000000</v>
      </c>
      <c r="O3343">
        <v>1.1499999999999999</v>
      </c>
      <c r="P3343">
        <v>2</v>
      </c>
      <c r="Q3343">
        <v>0.3</v>
      </c>
    </row>
    <row r="3344" spans="1:17" x14ac:dyDescent="0.25">
      <c r="A3344">
        <v>732270</v>
      </c>
      <c r="B3344" t="s">
        <v>4656</v>
      </c>
      <c r="C3344">
        <v>0.24</v>
      </c>
      <c r="D3344">
        <v>-0.03</v>
      </c>
      <c r="E3344">
        <v>0.24</v>
      </c>
      <c r="F3344">
        <v>0.24</v>
      </c>
      <c r="G3344">
        <v>0.24</v>
      </c>
      <c r="H3344">
        <v>0.24</v>
      </c>
      <c r="I3344" s="1">
        <v>10000</v>
      </c>
      <c r="J3344" s="1">
        <v>2400</v>
      </c>
      <c r="K3344">
        <v>1</v>
      </c>
      <c r="L3344">
        <v>0.24</v>
      </c>
      <c r="M3344">
        <v>0.25</v>
      </c>
      <c r="N3344" s="1">
        <v>10000000</v>
      </c>
      <c r="O3344">
        <v>0.24</v>
      </c>
      <c r="P3344">
        <v>0.69</v>
      </c>
      <c r="Q3344">
        <v>0.01</v>
      </c>
    </row>
    <row r="3345" spans="1:17" x14ac:dyDescent="0.25">
      <c r="A3345">
        <v>732271</v>
      </c>
      <c r="B3345" t="s">
        <v>4657</v>
      </c>
      <c r="C3345">
        <v>0.7</v>
      </c>
      <c r="D3345">
        <v>-0.1</v>
      </c>
      <c r="E3345">
        <v>0.8</v>
      </c>
      <c r="F3345">
        <v>0.8</v>
      </c>
      <c r="G3345">
        <v>0.7</v>
      </c>
      <c r="H3345">
        <v>0.75</v>
      </c>
      <c r="I3345" s="1">
        <v>70000</v>
      </c>
      <c r="J3345" s="1">
        <v>52700</v>
      </c>
      <c r="K3345">
        <v>6</v>
      </c>
      <c r="L3345">
        <v>0.7</v>
      </c>
      <c r="M3345">
        <v>0.71</v>
      </c>
      <c r="N3345" s="1">
        <v>10000000</v>
      </c>
      <c r="O3345">
        <v>0.7</v>
      </c>
      <c r="P3345">
        <v>1.25</v>
      </c>
      <c r="Q3345">
        <v>0.15</v>
      </c>
    </row>
    <row r="3346" spans="1:17" x14ac:dyDescent="0.25">
      <c r="A3346">
        <v>732272</v>
      </c>
      <c r="B3346" t="s">
        <v>4658</v>
      </c>
      <c r="C3346">
        <v>1.39</v>
      </c>
      <c r="D3346">
        <v>0.12</v>
      </c>
      <c r="E3346">
        <v>1.39</v>
      </c>
      <c r="F3346">
        <v>1.39</v>
      </c>
      <c r="G3346">
        <v>1.39</v>
      </c>
      <c r="H3346">
        <v>1.39</v>
      </c>
      <c r="I3346" s="1">
        <v>10000</v>
      </c>
      <c r="J3346" s="1">
        <v>13900</v>
      </c>
      <c r="K3346">
        <v>1</v>
      </c>
      <c r="L3346">
        <v>1.38</v>
      </c>
      <c r="M3346">
        <v>1.39</v>
      </c>
      <c r="N3346" s="1">
        <v>10000000</v>
      </c>
      <c r="O3346">
        <v>1.39</v>
      </c>
      <c r="P3346">
        <v>2.23</v>
      </c>
      <c r="Q3346">
        <v>0.55000000000000004</v>
      </c>
    </row>
    <row r="3347" spans="1:17" x14ac:dyDescent="0.25">
      <c r="A3347">
        <v>732273</v>
      </c>
      <c r="B3347" t="s">
        <v>4659</v>
      </c>
      <c r="C3347">
        <v>2.29</v>
      </c>
      <c r="D3347">
        <v>-0.1</v>
      </c>
      <c r="E3347">
        <v>2.2999999999999998</v>
      </c>
      <c r="F3347">
        <v>2.2999999999999998</v>
      </c>
      <c r="G3347">
        <v>2.29</v>
      </c>
      <c r="H3347">
        <v>2.2999999999999998</v>
      </c>
      <c r="I3347" s="1">
        <v>31000</v>
      </c>
      <c r="J3347" s="1">
        <v>71200</v>
      </c>
      <c r="K3347">
        <v>3</v>
      </c>
      <c r="L3347">
        <v>2.2799999999999998</v>
      </c>
      <c r="M3347">
        <v>2.31</v>
      </c>
      <c r="N3347" s="1">
        <v>5000000</v>
      </c>
      <c r="O3347">
        <v>2.29</v>
      </c>
      <c r="P3347">
        <v>3.81</v>
      </c>
      <c r="Q3347">
        <v>0.77</v>
      </c>
    </row>
    <row r="3348" spans="1:17" x14ac:dyDescent="0.25">
      <c r="A3348">
        <v>732274</v>
      </c>
      <c r="B3348" t="s">
        <v>4660</v>
      </c>
      <c r="C3348">
        <v>1.93</v>
      </c>
      <c r="D3348">
        <v>-0.2</v>
      </c>
      <c r="E3348">
        <v>2.21</v>
      </c>
      <c r="F3348">
        <v>2.21</v>
      </c>
      <c r="G3348">
        <v>1.93</v>
      </c>
      <c r="H3348">
        <v>1.96</v>
      </c>
      <c r="I3348" s="1">
        <v>267000</v>
      </c>
      <c r="J3348" s="1">
        <v>522090</v>
      </c>
      <c r="K3348">
        <v>13</v>
      </c>
      <c r="L3348">
        <v>1.9</v>
      </c>
      <c r="M3348">
        <v>1.96</v>
      </c>
      <c r="N3348" s="1">
        <v>5000000</v>
      </c>
      <c r="O3348">
        <v>1.93</v>
      </c>
      <c r="P3348">
        <v>4.21</v>
      </c>
      <c r="Q3348">
        <v>0.01</v>
      </c>
    </row>
    <row r="3349" spans="1:17" x14ac:dyDescent="0.25">
      <c r="A3349">
        <v>732275</v>
      </c>
      <c r="B3349" t="s">
        <v>4661</v>
      </c>
      <c r="C3349">
        <v>0.73</v>
      </c>
      <c r="D3349">
        <v>-0.01</v>
      </c>
      <c r="E3349">
        <v>0.73</v>
      </c>
      <c r="F3349">
        <v>0.73</v>
      </c>
      <c r="G3349">
        <v>0.73</v>
      </c>
      <c r="H3349">
        <v>0.73</v>
      </c>
      <c r="I3349" s="1">
        <v>10000</v>
      </c>
      <c r="J3349" s="1">
        <v>7300</v>
      </c>
      <c r="K3349">
        <v>1</v>
      </c>
      <c r="L3349">
        <v>0.71</v>
      </c>
      <c r="M3349">
        <v>0.72</v>
      </c>
      <c r="N3349" s="1">
        <v>10000000</v>
      </c>
      <c r="O3349">
        <v>0.73</v>
      </c>
      <c r="P3349">
        <v>1.58</v>
      </c>
      <c r="Q3349">
        <v>0.01</v>
      </c>
    </row>
    <row r="3350" spans="1:17" x14ac:dyDescent="0.25">
      <c r="A3350">
        <v>732276</v>
      </c>
      <c r="B3350" t="s">
        <v>4662</v>
      </c>
      <c r="C3350">
        <v>2.21</v>
      </c>
      <c r="D3350">
        <v>0.21</v>
      </c>
      <c r="E3350">
        <v>2.23</v>
      </c>
      <c r="F3350">
        <v>2.23</v>
      </c>
      <c r="G3350">
        <v>2.21</v>
      </c>
      <c r="H3350">
        <v>2.2200000000000002</v>
      </c>
      <c r="I3350" s="1">
        <v>20000</v>
      </c>
      <c r="J3350" s="1">
        <v>44400</v>
      </c>
      <c r="K3350">
        <v>2</v>
      </c>
      <c r="L3350">
        <v>2.16</v>
      </c>
      <c r="M3350">
        <v>2.17</v>
      </c>
      <c r="N3350" s="1">
        <v>10000000</v>
      </c>
      <c r="O3350">
        <v>2.21</v>
      </c>
      <c r="P3350">
        <v>3.93</v>
      </c>
      <c r="Q3350">
        <v>0.49</v>
      </c>
    </row>
    <row r="3351" spans="1:17" x14ac:dyDescent="0.25">
      <c r="A3351">
        <v>732277</v>
      </c>
      <c r="B3351" t="s">
        <v>4663</v>
      </c>
      <c r="C3351">
        <v>0.4</v>
      </c>
      <c r="D3351">
        <v>0</v>
      </c>
      <c r="E3351">
        <v>0.4</v>
      </c>
      <c r="F3351">
        <v>0.4</v>
      </c>
      <c r="G3351">
        <v>0.4</v>
      </c>
      <c r="H3351">
        <v>0.4</v>
      </c>
      <c r="I3351" s="1">
        <v>100000</v>
      </c>
      <c r="J3351" s="1">
        <v>40000</v>
      </c>
      <c r="K3351">
        <v>1</v>
      </c>
      <c r="L3351">
        <v>0.39</v>
      </c>
      <c r="M3351">
        <v>0.4</v>
      </c>
      <c r="N3351" s="1">
        <v>5000000</v>
      </c>
      <c r="O3351">
        <v>0.4</v>
      </c>
      <c r="P3351">
        <v>0.88</v>
      </c>
      <c r="Q3351">
        <v>0.01</v>
      </c>
    </row>
    <row r="3352" spans="1:17" x14ac:dyDescent="0.25">
      <c r="A3352">
        <v>732278</v>
      </c>
      <c r="B3352" t="s">
        <v>4664</v>
      </c>
      <c r="C3352">
        <v>0.67</v>
      </c>
      <c r="D3352">
        <v>-0.03</v>
      </c>
      <c r="E3352">
        <v>0.68</v>
      </c>
      <c r="F3352">
        <v>0.68</v>
      </c>
      <c r="G3352">
        <v>0.66</v>
      </c>
      <c r="H3352">
        <v>0.67</v>
      </c>
      <c r="I3352" s="1">
        <v>615000</v>
      </c>
      <c r="J3352" s="1">
        <v>411600</v>
      </c>
      <c r="K3352">
        <v>12</v>
      </c>
      <c r="L3352">
        <v>0.67</v>
      </c>
      <c r="M3352">
        <v>0.68</v>
      </c>
      <c r="N3352" s="1">
        <v>10000000</v>
      </c>
      <c r="O3352">
        <v>0.67</v>
      </c>
      <c r="P3352">
        <v>1.36</v>
      </c>
      <c r="Q3352">
        <v>0.01</v>
      </c>
    </row>
    <row r="3353" spans="1:17" x14ac:dyDescent="0.25">
      <c r="A3353">
        <v>732279</v>
      </c>
      <c r="B3353" t="s">
        <v>4665</v>
      </c>
      <c r="C3353" t="s">
        <v>78</v>
      </c>
      <c r="D3353" t="s">
        <v>78</v>
      </c>
      <c r="E3353" t="s">
        <v>78</v>
      </c>
      <c r="F3353" t="s">
        <v>78</v>
      </c>
      <c r="G3353" t="s">
        <v>78</v>
      </c>
      <c r="H3353">
        <v>0.98</v>
      </c>
      <c r="I3353" s="1">
        <v>0</v>
      </c>
      <c r="J3353" s="1">
        <v>0</v>
      </c>
      <c r="K3353">
        <v>0</v>
      </c>
      <c r="L3353">
        <v>0.96</v>
      </c>
      <c r="M3353">
        <v>1.01</v>
      </c>
      <c r="N3353" s="1">
        <v>15000000</v>
      </c>
      <c r="O3353">
        <v>1</v>
      </c>
      <c r="P3353">
        <v>1.57</v>
      </c>
      <c r="Q3353">
        <v>0.43</v>
      </c>
    </row>
    <row r="3354" spans="1:17" x14ac:dyDescent="0.25">
      <c r="A3354">
        <v>732280</v>
      </c>
      <c r="B3354" t="s">
        <v>4666</v>
      </c>
      <c r="C3354">
        <v>1.01</v>
      </c>
      <c r="D3354">
        <v>-0.03</v>
      </c>
      <c r="E3354">
        <v>1.06</v>
      </c>
      <c r="F3354">
        <v>1.0900000000000001</v>
      </c>
      <c r="G3354">
        <v>1.01</v>
      </c>
      <c r="H3354">
        <v>1.05</v>
      </c>
      <c r="I3354" s="1">
        <v>263000</v>
      </c>
      <c r="J3354" s="1">
        <v>276830</v>
      </c>
      <c r="K3354">
        <v>7</v>
      </c>
      <c r="L3354">
        <v>0.99</v>
      </c>
      <c r="M3354">
        <v>1.01</v>
      </c>
      <c r="N3354" s="1">
        <v>15000000</v>
      </c>
      <c r="O3354">
        <v>1.01</v>
      </c>
      <c r="P3354">
        <v>1.77</v>
      </c>
      <c r="Q3354">
        <v>0.25</v>
      </c>
    </row>
    <row r="3355" spans="1:17" x14ac:dyDescent="0.25">
      <c r="A3355">
        <v>732281</v>
      </c>
      <c r="B3355" t="s">
        <v>4667</v>
      </c>
      <c r="C3355">
        <v>0.45</v>
      </c>
      <c r="D3355">
        <v>0</v>
      </c>
      <c r="E3355">
        <v>0.46</v>
      </c>
      <c r="F3355">
        <v>0.46</v>
      </c>
      <c r="G3355">
        <v>0.45</v>
      </c>
      <c r="H3355">
        <v>0.45</v>
      </c>
      <c r="I3355" s="1">
        <v>52000</v>
      </c>
      <c r="J3355" s="1">
        <v>23620</v>
      </c>
      <c r="K3355">
        <v>4</v>
      </c>
      <c r="L3355">
        <v>0.46</v>
      </c>
      <c r="M3355">
        <v>0.48</v>
      </c>
      <c r="N3355" s="1">
        <v>10000000</v>
      </c>
      <c r="O3355">
        <v>0.45</v>
      </c>
      <c r="P3355">
        <v>0.85</v>
      </c>
      <c r="Q3355">
        <v>0.05</v>
      </c>
    </row>
    <row r="3356" spans="1:17" x14ac:dyDescent="0.25">
      <c r="A3356">
        <v>732282</v>
      </c>
      <c r="B3356" t="s">
        <v>4668</v>
      </c>
      <c r="C3356">
        <v>0.62</v>
      </c>
      <c r="D3356">
        <v>0.02</v>
      </c>
      <c r="E3356">
        <v>0.65</v>
      </c>
      <c r="F3356">
        <v>0.65</v>
      </c>
      <c r="G3356">
        <v>0.62</v>
      </c>
      <c r="H3356">
        <v>0.64</v>
      </c>
      <c r="I3356" s="1">
        <v>12000</v>
      </c>
      <c r="J3356" s="1">
        <v>7670</v>
      </c>
      <c r="K3356">
        <v>3</v>
      </c>
      <c r="L3356">
        <v>0.61</v>
      </c>
      <c r="M3356">
        <v>0.62</v>
      </c>
      <c r="N3356" s="1">
        <v>10000000</v>
      </c>
      <c r="O3356">
        <v>0.62</v>
      </c>
      <c r="P3356">
        <v>1.29</v>
      </c>
      <c r="Q3356">
        <v>0.01</v>
      </c>
    </row>
    <row r="3357" spans="1:17" x14ac:dyDescent="0.25">
      <c r="A3357">
        <v>732283</v>
      </c>
      <c r="B3357" t="s">
        <v>4669</v>
      </c>
      <c r="C3357" t="s">
        <v>78</v>
      </c>
      <c r="D3357" t="s">
        <v>78</v>
      </c>
      <c r="E3357" t="s">
        <v>78</v>
      </c>
      <c r="F3357" t="s">
        <v>78</v>
      </c>
      <c r="G3357" t="s">
        <v>78</v>
      </c>
      <c r="H3357">
        <v>0.48</v>
      </c>
      <c r="I3357" s="1">
        <v>0</v>
      </c>
      <c r="J3357" s="1">
        <v>0</v>
      </c>
      <c r="K3357">
        <v>0</v>
      </c>
      <c r="L3357">
        <v>0.49</v>
      </c>
      <c r="M3357">
        <v>0.5</v>
      </c>
      <c r="N3357" s="1">
        <v>10000000</v>
      </c>
      <c r="O3357">
        <v>0.49</v>
      </c>
      <c r="P3357">
        <v>1.1599999999999999</v>
      </c>
      <c r="Q3357">
        <v>0.01</v>
      </c>
    </row>
    <row r="3358" spans="1:17" x14ac:dyDescent="0.25">
      <c r="A3358">
        <v>732284</v>
      </c>
      <c r="B3358" t="s">
        <v>4670</v>
      </c>
      <c r="C3358">
        <v>0.68</v>
      </c>
      <c r="D3358">
        <v>-0.03</v>
      </c>
      <c r="E3358">
        <v>0.76</v>
      </c>
      <c r="F3358">
        <v>0.79</v>
      </c>
      <c r="G3358">
        <v>0.68</v>
      </c>
      <c r="H3358">
        <v>0.78</v>
      </c>
      <c r="I3358" s="1">
        <v>960000</v>
      </c>
      <c r="J3358" s="1">
        <v>749220</v>
      </c>
      <c r="K3358">
        <v>97</v>
      </c>
      <c r="L3358">
        <v>0.69</v>
      </c>
      <c r="M3358">
        <v>0.71</v>
      </c>
      <c r="N3358" s="1">
        <v>10000000</v>
      </c>
      <c r="O3358">
        <v>0.68</v>
      </c>
      <c r="P3358">
        <v>1.1599999999999999</v>
      </c>
      <c r="Q3358">
        <v>0.2</v>
      </c>
    </row>
    <row r="3359" spans="1:17" x14ac:dyDescent="0.25">
      <c r="A3359">
        <v>732285</v>
      </c>
      <c r="B3359" t="s">
        <v>4671</v>
      </c>
      <c r="C3359" t="s">
        <v>78</v>
      </c>
      <c r="D3359" t="s">
        <v>78</v>
      </c>
      <c r="E3359" t="s">
        <v>78</v>
      </c>
      <c r="F3359" t="s">
        <v>78</v>
      </c>
      <c r="G3359" t="s">
        <v>78</v>
      </c>
      <c r="H3359">
        <v>0.92</v>
      </c>
      <c r="I3359" s="1">
        <v>0</v>
      </c>
      <c r="J3359" s="1">
        <v>0</v>
      </c>
      <c r="K3359">
        <v>0</v>
      </c>
      <c r="L3359">
        <v>1.37</v>
      </c>
      <c r="M3359">
        <v>1.38</v>
      </c>
      <c r="N3359" s="1">
        <v>10000000</v>
      </c>
      <c r="O3359">
        <v>1.37</v>
      </c>
      <c r="P3359">
        <v>1.82</v>
      </c>
      <c r="Q3359">
        <v>0.92</v>
      </c>
    </row>
    <row r="3360" spans="1:17" x14ac:dyDescent="0.25">
      <c r="A3360">
        <v>732286</v>
      </c>
      <c r="B3360" t="s">
        <v>4672</v>
      </c>
      <c r="C3360" t="s">
        <v>78</v>
      </c>
      <c r="D3360" t="s">
        <v>78</v>
      </c>
      <c r="E3360" t="s">
        <v>78</v>
      </c>
      <c r="F3360" t="s">
        <v>78</v>
      </c>
      <c r="G3360" t="s">
        <v>78</v>
      </c>
      <c r="H3360">
        <v>0.86</v>
      </c>
      <c r="I3360" s="1">
        <v>0</v>
      </c>
      <c r="J3360" s="1">
        <v>0</v>
      </c>
      <c r="K3360">
        <v>0</v>
      </c>
      <c r="L3360">
        <v>0.28000000000000003</v>
      </c>
      <c r="M3360">
        <v>0.28999999999999998</v>
      </c>
      <c r="N3360" s="1">
        <v>10000000</v>
      </c>
      <c r="O3360">
        <v>0.28999999999999998</v>
      </c>
      <c r="P3360">
        <v>1.34</v>
      </c>
      <c r="Q3360">
        <v>0.01</v>
      </c>
    </row>
    <row r="3361" spans="1:17" x14ac:dyDescent="0.25">
      <c r="A3361">
        <v>732287</v>
      </c>
      <c r="B3361" t="s">
        <v>4673</v>
      </c>
      <c r="C3361">
        <v>1.84</v>
      </c>
      <c r="D3361">
        <v>0.21</v>
      </c>
      <c r="E3361">
        <v>1.81</v>
      </c>
      <c r="F3361">
        <v>1.84</v>
      </c>
      <c r="G3361">
        <v>1.81</v>
      </c>
      <c r="H3361">
        <v>1.82</v>
      </c>
      <c r="I3361" s="1">
        <v>77000</v>
      </c>
      <c r="J3361" s="1">
        <v>140510</v>
      </c>
      <c r="K3361">
        <v>2</v>
      </c>
      <c r="L3361">
        <v>1.72</v>
      </c>
      <c r="M3361">
        <v>1.73</v>
      </c>
      <c r="N3361" s="1">
        <v>5000000</v>
      </c>
      <c r="O3361">
        <v>1.84</v>
      </c>
      <c r="P3361">
        <v>3.01</v>
      </c>
      <c r="Q3361">
        <v>0.67</v>
      </c>
    </row>
    <row r="3362" spans="1:17" x14ac:dyDescent="0.25">
      <c r="A3362">
        <v>732288</v>
      </c>
      <c r="B3362" t="s">
        <v>4674</v>
      </c>
      <c r="C3362">
        <v>0.17</v>
      </c>
      <c r="D3362">
        <v>-0.01</v>
      </c>
      <c r="E3362">
        <v>0.17</v>
      </c>
      <c r="F3362">
        <v>0.17</v>
      </c>
      <c r="G3362">
        <v>0.17</v>
      </c>
      <c r="H3362">
        <v>0.17</v>
      </c>
      <c r="I3362" s="1">
        <v>39000</v>
      </c>
      <c r="J3362" s="1">
        <v>6630</v>
      </c>
      <c r="K3362">
        <v>4</v>
      </c>
      <c r="L3362">
        <v>0.16</v>
      </c>
      <c r="M3362">
        <v>0.17</v>
      </c>
      <c r="N3362" s="1">
        <v>10000000</v>
      </c>
      <c r="O3362">
        <v>0.17</v>
      </c>
      <c r="P3362">
        <v>0.66</v>
      </c>
      <c r="Q3362">
        <v>0.01</v>
      </c>
    </row>
    <row r="3363" spans="1:17" x14ac:dyDescent="0.25">
      <c r="A3363">
        <v>732289</v>
      </c>
      <c r="B3363" t="s">
        <v>4675</v>
      </c>
      <c r="C3363" t="s">
        <v>78</v>
      </c>
      <c r="D3363" t="s">
        <v>78</v>
      </c>
      <c r="E3363" t="s">
        <v>78</v>
      </c>
      <c r="F3363" t="s">
        <v>78</v>
      </c>
      <c r="G3363" t="s">
        <v>78</v>
      </c>
      <c r="H3363">
        <v>2.5</v>
      </c>
      <c r="I3363" s="1">
        <v>0</v>
      </c>
      <c r="J3363" s="1">
        <v>0</v>
      </c>
      <c r="K3363">
        <v>0</v>
      </c>
      <c r="L3363">
        <v>2.67</v>
      </c>
      <c r="M3363">
        <v>2.68</v>
      </c>
      <c r="N3363" s="1">
        <v>5000000</v>
      </c>
      <c r="O3363">
        <v>2.68</v>
      </c>
      <c r="P3363">
        <v>3.91</v>
      </c>
      <c r="Q3363">
        <v>1.45</v>
      </c>
    </row>
    <row r="3364" spans="1:17" x14ac:dyDescent="0.25">
      <c r="A3364">
        <v>732290</v>
      </c>
      <c r="B3364" t="s">
        <v>4676</v>
      </c>
      <c r="C3364" t="s">
        <v>78</v>
      </c>
      <c r="D3364" t="s">
        <v>78</v>
      </c>
      <c r="E3364" t="s">
        <v>78</v>
      </c>
      <c r="F3364" t="s">
        <v>78</v>
      </c>
      <c r="G3364" t="s">
        <v>78</v>
      </c>
      <c r="H3364">
        <v>0.51</v>
      </c>
      <c r="I3364" s="1">
        <v>0</v>
      </c>
      <c r="J3364" s="1">
        <v>0</v>
      </c>
      <c r="K3364">
        <v>0</v>
      </c>
      <c r="L3364">
        <v>0.5</v>
      </c>
      <c r="M3364">
        <v>0.52</v>
      </c>
      <c r="N3364" s="1">
        <v>10000000</v>
      </c>
      <c r="O3364">
        <v>0.51</v>
      </c>
      <c r="P3364">
        <v>1.08</v>
      </c>
      <c r="Q3364">
        <v>0.01</v>
      </c>
    </row>
    <row r="3365" spans="1:17" x14ac:dyDescent="0.25">
      <c r="A3365">
        <v>732291</v>
      </c>
      <c r="B3365" t="s">
        <v>4677</v>
      </c>
      <c r="C3365" t="s">
        <v>78</v>
      </c>
      <c r="D3365" t="s">
        <v>78</v>
      </c>
      <c r="E3365" t="s">
        <v>78</v>
      </c>
      <c r="F3365" t="s">
        <v>78</v>
      </c>
      <c r="G3365" t="s">
        <v>78</v>
      </c>
      <c r="H3365">
        <v>0.4</v>
      </c>
      <c r="I3365" s="1">
        <v>0</v>
      </c>
      <c r="J3365" s="1">
        <v>0</v>
      </c>
      <c r="K3365">
        <v>0</v>
      </c>
      <c r="L3365">
        <v>0.42</v>
      </c>
      <c r="M3365">
        <v>0.44</v>
      </c>
      <c r="N3365" s="1">
        <v>10000000</v>
      </c>
      <c r="O3365">
        <v>0.43</v>
      </c>
      <c r="P3365">
        <v>1</v>
      </c>
      <c r="Q3365">
        <v>0.01</v>
      </c>
    </row>
    <row r="3366" spans="1:17" x14ac:dyDescent="0.25">
      <c r="A3366">
        <v>732292</v>
      </c>
      <c r="B3366" t="s">
        <v>4678</v>
      </c>
      <c r="C3366">
        <v>0.7</v>
      </c>
      <c r="D3366">
        <v>0.08</v>
      </c>
      <c r="E3366">
        <v>0.7</v>
      </c>
      <c r="F3366">
        <v>0.7</v>
      </c>
      <c r="G3366">
        <v>0.7</v>
      </c>
      <c r="H3366">
        <v>0.7</v>
      </c>
      <c r="I3366" s="1">
        <v>5000</v>
      </c>
      <c r="J3366" s="1">
        <v>3500</v>
      </c>
      <c r="K3366">
        <v>1</v>
      </c>
      <c r="L3366">
        <v>0.7</v>
      </c>
      <c r="M3366">
        <v>0.72</v>
      </c>
      <c r="N3366" s="1">
        <v>10000000</v>
      </c>
      <c r="O3366">
        <v>0.7</v>
      </c>
      <c r="P3366">
        <v>1.51</v>
      </c>
      <c r="Q3366">
        <v>0.01</v>
      </c>
    </row>
    <row r="3367" spans="1:17" x14ac:dyDescent="0.25">
      <c r="A3367">
        <v>732293</v>
      </c>
      <c r="B3367" t="s">
        <v>4679</v>
      </c>
      <c r="C3367" t="s">
        <v>78</v>
      </c>
      <c r="D3367" t="s">
        <v>78</v>
      </c>
      <c r="E3367" t="s">
        <v>78</v>
      </c>
      <c r="F3367" t="s">
        <v>78</v>
      </c>
      <c r="G3367" t="s">
        <v>78</v>
      </c>
      <c r="H3367">
        <v>2.93</v>
      </c>
      <c r="I3367" s="1">
        <v>0</v>
      </c>
      <c r="J3367" s="1">
        <v>0</v>
      </c>
      <c r="K3367">
        <v>0</v>
      </c>
      <c r="L3367">
        <v>2.09</v>
      </c>
      <c r="M3367">
        <v>2.19</v>
      </c>
      <c r="N3367" s="1">
        <v>10000000</v>
      </c>
      <c r="O3367">
        <v>2.16</v>
      </c>
      <c r="P3367">
        <v>2.92</v>
      </c>
      <c r="Q3367">
        <v>1.4</v>
      </c>
    </row>
    <row r="3368" spans="1:17" x14ac:dyDescent="0.25">
      <c r="A3368">
        <v>732294</v>
      </c>
      <c r="B3368" t="s">
        <v>4680</v>
      </c>
      <c r="C3368">
        <v>2.14</v>
      </c>
      <c r="D3368">
        <v>-0.06</v>
      </c>
      <c r="E3368">
        <v>2.21</v>
      </c>
      <c r="F3368">
        <v>2.25</v>
      </c>
      <c r="G3368">
        <v>2.1</v>
      </c>
      <c r="H3368">
        <v>2.1800000000000002</v>
      </c>
      <c r="I3368" s="1">
        <v>952000</v>
      </c>
      <c r="J3368" s="1">
        <v>2079450</v>
      </c>
      <c r="K3368">
        <v>40</v>
      </c>
      <c r="L3368">
        <v>2.08</v>
      </c>
      <c r="M3368">
        <v>2.09</v>
      </c>
      <c r="N3368" s="1">
        <v>10000000</v>
      </c>
      <c r="O3368">
        <v>2.14</v>
      </c>
      <c r="P3368">
        <v>3.28</v>
      </c>
      <c r="Q3368">
        <v>1</v>
      </c>
    </row>
    <row r="3369" spans="1:17" x14ac:dyDescent="0.25">
      <c r="A3369">
        <v>732295</v>
      </c>
      <c r="B3369" t="s">
        <v>4681</v>
      </c>
      <c r="C3369">
        <v>1.7</v>
      </c>
      <c r="D3369">
        <v>-0.11</v>
      </c>
      <c r="E3369">
        <v>1.82</v>
      </c>
      <c r="F3369">
        <v>1.87</v>
      </c>
      <c r="G3369">
        <v>1.7</v>
      </c>
      <c r="H3369">
        <v>1.78</v>
      </c>
      <c r="I3369" s="1">
        <v>987000</v>
      </c>
      <c r="J3369" s="1">
        <v>1755380</v>
      </c>
      <c r="K3369">
        <v>48</v>
      </c>
      <c r="L3369">
        <v>1.7</v>
      </c>
      <c r="M3369">
        <v>1.71</v>
      </c>
      <c r="N3369" s="1">
        <v>10000000</v>
      </c>
      <c r="O3369">
        <v>1.7</v>
      </c>
      <c r="P3369">
        <v>3.22</v>
      </c>
      <c r="Q3369">
        <v>0.18</v>
      </c>
    </row>
    <row r="3370" spans="1:17" x14ac:dyDescent="0.25">
      <c r="A3370">
        <v>732296</v>
      </c>
      <c r="B3370" t="s">
        <v>4682</v>
      </c>
      <c r="C3370">
        <v>1.1499999999999999</v>
      </c>
      <c r="D3370">
        <v>-0.01</v>
      </c>
      <c r="E3370">
        <v>1.2</v>
      </c>
      <c r="F3370">
        <v>1.2</v>
      </c>
      <c r="G3370">
        <v>1.1200000000000001</v>
      </c>
      <c r="H3370">
        <v>1.1599999999999999</v>
      </c>
      <c r="I3370" s="1">
        <v>250000</v>
      </c>
      <c r="J3370" s="1">
        <v>290500</v>
      </c>
      <c r="K3370">
        <v>8</v>
      </c>
      <c r="L3370">
        <v>1.1399999999999999</v>
      </c>
      <c r="M3370">
        <v>1.1599999999999999</v>
      </c>
      <c r="N3370" s="1">
        <v>5000000</v>
      </c>
      <c r="O3370">
        <v>1.1499999999999999</v>
      </c>
      <c r="P3370">
        <v>1.78</v>
      </c>
      <c r="Q3370">
        <v>0.52</v>
      </c>
    </row>
    <row r="3371" spans="1:17" x14ac:dyDescent="0.25">
      <c r="A3371">
        <v>732297</v>
      </c>
      <c r="B3371" t="s">
        <v>4683</v>
      </c>
      <c r="C3371">
        <v>0.75</v>
      </c>
      <c r="D3371">
        <v>0.01</v>
      </c>
      <c r="E3371">
        <v>0.75</v>
      </c>
      <c r="F3371">
        <v>0.76</v>
      </c>
      <c r="G3371">
        <v>0.75</v>
      </c>
      <c r="H3371">
        <v>0.75</v>
      </c>
      <c r="I3371" s="1">
        <v>30000</v>
      </c>
      <c r="J3371" s="1">
        <v>22600</v>
      </c>
      <c r="K3371">
        <v>3</v>
      </c>
      <c r="L3371">
        <v>0.74</v>
      </c>
      <c r="M3371">
        <v>0.75</v>
      </c>
      <c r="N3371" s="1">
        <v>5000000</v>
      </c>
      <c r="O3371">
        <v>0.75</v>
      </c>
      <c r="P3371">
        <v>1.34</v>
      </c>
      <c r="Q3371">
        <v>0.16</v>
      </c>
    </row>
    <row r="3372" spans="1:17" x14ac:dyDescent="0.25">
      <c r="A3372">
        <v>732298</v>
      </c>
      <c r="B3372" t="s">
        <v>4684</v>
      </c>
      <c r="C3372">
        <v>1.1100000000000001</v>
      </c>
      <c r="D3372">
        <v>-7.0000000000000007E-2</v>
      </c>
      <c r="E3372">
        <v>1.1499999999999999</v>
      </c>
      <c r="F3372">
        <v>1.1499999999999999</v>
      </c>
      <c r="G3372">
        <v>1.1100000000000001</v>
      </c>
      <c r="H3372">
        <v>1.1399999999999999</v>
      </c>
      <c r="I3372" s="1">
        <v>64000</v>
      </c>
      <c r="J3372" s="1">
        <v>73100</v>
      </c>
      <c r="K3372">
        <v>5</v>
      </c>
      <c r="L3372">
        <v>1.1100000000000001</v>
      </c>
      <c r="M3372">
        <v>1.1200000000000001</v>
      </c>
      <c r="N3372" s="1">
        <v>5000000</v>
      </c>
      <c r="O3372">
        <v>1.1100000000000001</v>
      </c>
      <c r="P3372">
        <v>1.92</v>
      </c>
      <c r="Q3372">
        <v>0.3</v>
      </c>
    </row>
    <row r="3373" spans="1:17" x14ac:dyDescent="0.25">
      <c r="A3373">
        <v>732299</v>
      </c>
      <c r="B3373" t="s">
        <v>4685</v>
      </c>
      <c r="C3373">
        <v>1.47</v>
      </c>
      <c r="D3373">
        <v>-0.05</v>
      </c>
      <c r="E3373">
        <v>1.52</v>
      </c>
      <c r="F3373">
        <v>1.52</v>
      </c>
      <c r="G3373">
        <v>1.44</v>
      </c>
      <c r="H3373">
        <v>1.47</v>
      </c>
      <c r="I3373" s="1">
        <v>819000</v>
      </c>
      <c r="J3373" s="1">
        <v>1200190</v>
      </c>
      <c r="K3373">
        <v>66</v>
      </c>
      <c r="L3373">
        <v>1.44</v>
      </c>
      <c r="M3373">
        <v>1.46</v>
      </c>
      <c r="N3373" s="1">
        <v>5000000</v>
      </c>
      <c r="O3373">
        <v>1.47</v>
      </c>
      <c r="P3373">
        <v>2.65</v>
      </c>
      <c r="Q3373">
        <v>0.27</v>
      </c>
    </row>
    <row r="3374" spans="1:17" x14ac:dyDescent="0.25">
      <c r="A3374">
        <v>732300</v>
      </c>
      <c r="B3374" t="s">
        <v>4686</v>
      </c>
      <c r="C3374">
        <v>1</v>
      </c>
      <c r="D3374">
        <v>-0.17</v>
      </c>
      <c r="E3374">
        <v>1.19</v>
      </c>
      <c r="F3374">
        <v>1.2</v>
      </c>
      <c r="G3374">
        <v>0.99</v>
      </c>
      <c r="H3374">
        <v>1.1200000000000001</v>
      </c>
      <c r="I3374" s="1">
        <v>2070000</v>
      </c>
      <c r="J3374" s="1">
        <v>2318500</v>
      </c>
      <c r="K3374">
        <v>45</v>
      </c>
      <c r="L3374">
        <v>1</v>
      </c>
      <c r="M3374">
        <v>1.01</v>
      </c>
      <c r="N3374" s="1">
        <v>5000000</v>
      </c>
      <c r="O3374">
        <v>1</v>
      </c>
      <c r="P3374">
        <v>2.1</v>
      </c>
      <c r="Q3374">
        <v>0.01</v>
      </c>
    </row>
    <row r="3375" spans="1:17" x14ac:dyDescent="0.25">
      <c r="A3375">
        <v>732301</v>
      </c>
      <c r="B3375" t="s">
        <v>4687</v>
      </c>
      <c r="C3375">
        <v>1.1100000000000001</v>
      </c>
      <c r="D3375">
        <v>-0.02</v>
      </c>
      <c r="E3375">
        <v>1.1299999999999999</v>
      </c>
      <c r="F3375">
        <v>1.1399999999999999</v>
      </c>
      <c r="G3375">
        <v>1.1000000000000001</v>
      </c>
      <c r="H3375">
        <v>1.1200000000000001</v>
      </c>
      <c r="I3375" s="1">
        <v>163000</v>
      </c>
      <c r="J3375" s="1">
        <v>183160</v>
      </c>
      <c r="K3375">
        <v>10</v>
      </c>
      <c r="L3375">
        <v>1.1100000000000001</v>
      </c>
      <c r="M3375">
        <v>1.1200000000000001</v>
      </c>
      <c r="N3375" s="1">
        <v>5000000</v>
      </c>
      <c r="O3375">
        <v>1.1100000000000001</v>
      </c>
      <c r="P3375">
        <v>2.0299999999999998</v>
      </c>
      <c r="Q3375">
        <v>0.19</v>
      </c>
    </row>
    <row r="3376" spans="1:17" x14ac:dyDescent="0.25">
      <c r="A3376">
        <v>732302</v>
      </c>
      <c r="B3376" t="s">
        <v>4688</v>
      </c>
      <c r="C3376">
        <v>1.06</v>
      </c>
      <c r="D3376">
        <v>0.02</v>
      </c>
      <c r="E3376">
        <v>1.05</v>
      </c>
      <c r="F3376">
        <v>1.08</v>
      </c>
      <c r="G3376">
        <v>1.05</v>
      </c>
      <c r="H3376">
        <v>1.07</v>
      </c>
      <c r="I3376" s="1">
        <v>637000</v>
      </c>
      <c r="J3376" s="1">
        <v>680700</v>
      </c>
      <c r="K3376">
        <v>14</v>
      </c>
      <c r="L3376">
        <v>1.04</v>
      </c>
      <c r="M3376">
        <v>1.05</v>
      </c>
      <c r="N3376" s="1">
        <v>5000000</v>
      </c>
      <c r="O3376">
        <v>1.06</v>
      </c>
      <c r="P3376">
        <v>1.81</v>
      </c>
      <c r="Q3376">
        <v>0.31</v>
      </c>
    </row>
    <row r="3377" spans="1:17" x14ac:dyDescent="0.25">
      <c r="A3377">
        <v>732303</v>
      </c>
      <c r="B3377" t="s">
        <v>4689</v>
      </c>
      <c r="C3377">
        <v>1</v>
      </c>
      <c r="D3377">
        <v>-0.02</v>
      </c>
      <c r="E3377">
        <v>1</v>
      </c>
      <c r="F3377">
        <v>1</v>
      </c>
      <c r="G3377">
        <v>1</v>
      </c>
      <c r="H3377">
        <v>1</v>
      </c>
      <c r="I3377" s="1">
        <v>10000</v>
      </c>
      <c r="J3377" s="1">
        <v>10000</v>
      </c>
      <c r="K3377">
        <v>1</v>
      </c>
      <c r="L3377">
        <v>1.01</v>
      </c>
      <c r="M3377">
        <v>1.02</v>
      </c>
      <c r="N3377" s="1">
        <v>10000000</v>
      </c>
      <c r="O3377">
        <v>1</v>
      </c>
      <c r="P3377">
        <v>1.87</v>
      </c>
      <c r="Q3377">
        <v>0.13</v>
      </c>
    </row>
    <row r="3378" spans="1:17" x14ac:dyDescent="0.25">
      <c r="A3378">
        <v>732304</v>
      </c>
      <c r="B3378" t="s">
        <v>4690</v>
      </c>
      <c r="C3378">
        <v>1.39</v>
      </c>
      <c r="D3378">
        <v>-0.09</v>
      </c>
      <c r="E3378">
        <v>1.5</v>
      </c>
      <c r="F3378">
        <v>1.5</v>
      </c>
      <c r="G3378">
        <v>1.39</v>
      </c>
      <c r="H3378">
        <v>1.46</v>
      </c>
      <c r="I3378" s="1">
        <v>205000</v>
      </c>
      <c r="J3378" s="1">
        <v>299840</v>
      </c>
      <c r="K3378">
        <v>11</v>
      </c>
      <c r="L3378">
        <v>1.39</v>
      </c>
      <c r="M3378">
        <v>1.4</v>
      </c>
      <c r="N3378" s="1">
        <v>5000000</v>
      </c>
      <c r="O3378">
        <v>1.39</v>
      </c>
      <c r="P3378">
        <v>2.37</v>
      </c>
      <c r="Q3378">
        <v>0.41</v>
      </c>
    </row>
    <row r="3379" spans="1:17" x14ac:dyDescent="0.25">
      <c r="A3379">
        <v>732305</v>
      </c>
      <c r="B3379" t="s">
        <v>4691</v>
      </c>
      <c r="C3379">
        <v>1.47</v>
      </c>
      <c r="D3379">
        <v>-0.03</v>
      </c>
      <c r="E3379">
        <v>1.54</v>
      </c>
      <c r="F3379">
        <v>1.54</v>
      </c>
      <c r="G3379">
        <v>1.46</v>
      </c>
      <c r="H3379">
        <v>1.51</v>
      </c>
      <c r="I3379" s="1">
        <v>82000</v>
      </c>
      <c r="J3379" s="1">
        <v>123830</v>
      </c>
      <c r="K3379">
        <v>7</v>
      </c>
      <c r="L3379">
        <v>1.42</v>
      </c>
      <c r="M3379">
        <v>1.43</v>
      </c>
      <c r="N3379" s="1">
        <v>5000000</v>
      </c>
      <c r="O3379">
        <v>1.47</v>
      </c>
      <c r="P3379">
        <v>2.68</v>
      </c>
      <c r="Q3379">
        <v>0.26</v>
      </c>
    </row>
    <row r="3380" spans="1:17" x14ac:dyDescent="0.25">
      <c r="A3380">
        <v>732306</v>
      </c>
      <c r="B3380" t="s">
        <v>4692</v>
      </c>
      <c r="C3380">
        <v>0.59</v>
      </c>
      <c r="D3380">
        <v>0.11</v>
      </c>
      <c r="E3380">
        <v>0.53</v>
      </c>
      <c r="F3380">
        <v>0.6</v>
      </c>
      <c r="G3380">
        <v>0.52</v>
      </c>
      <c r="H3380">
        <v>0.56000000000000005</v>
      </c>
      <c r="I3380" s="1">
        <v>855000</v>
      </c>
      <c r="J3380" s="1">
        <v>479490</v>
      </c>
      <c r="K3380">
        <v>19</v>
      </c>
      <c r="L3380">
        <v>0.57999999999999996</v>
      </c>
      <c r="M3380">
        <v>0.59</v>
      </c>
      <c r="N3380" s="1">
        <v>5000000</v>
      </c>
      <c r="O3380">
        <v>0.59</v>
      </c>
      <c r="P3380">
        <v>1.39</v>
      </c>
      <c r="Q3380">
        <v>0.01</v>
      </c>
    </row>
    <row r="3381" spans="1:17" x14ac:dyDescent="0.25">
      <c r="A3381">
        <v>732307</v>
      </c>
      <c r="B3381" t="s">
        <v>4693</v>
      </c>
      <c r="C3381" t="s">
        <v>78</v>
      </c>
      <c r="D3381" t="s">
        <v>78</v>
      </c>
      <c r="E3381" t="s">
        <v>78</v>
      </c>
      <c r="F3381" t="s">
        <v>78</v>
      </c>
      <c r="G3381" t="s">
        <v>78</v>
      </c>
      <c r="H3381">
        <v>0.25</v>
      </c>
      <c r="I3381" s="1">
        <v>0</v>
      </c>
      <c r="J3381" s="1">
        <v>0</v>
      </c>
      <c r="K3381">
        <v>0</v>
      </c>
      <c r="L3381">
        <v>0.22</v>
      </c>
      <c r="M3381">
        <v>0.24</v>
      </c>
      <c r="N3381" s="1">
        <v>10000000</v>
      </c>
      <c r="O3381">
        <v>0.24</v>
      </c>
      <c r="P3381">
        <v>0.73</v>
      </c>
      <c r="Q3381">
        <v>0.01</v>
      </c>
    </row>
    <row r="3382" spans="1:17" x14ac:dyDescent="0.25">
      <c r="A3382">
        <v>732308</v>
      </c>
      <c r="B3382" t="s">
        <v>4694</v>
      </c>
      <c r="C3382">
        <v>0.7</v>
      </c>
      <c r="D3382">
        <v>-0.02</v>
      </c>
      <c r="E3382">
        <v>0.71</v>
      </c>
      <c r="F3382">
        <v>0.71</v>
      </c>
      <c r="G3382">
        <v>0.7</v>
      </c>
      <c r="H3382">
        <v>0.7</v>
      </c>
      <c r="I3382" s="1">
        <v>20000</v>
      </c>
      <c r="J3382" s="1">
        <v>14100</v>
      </c>
      <c r="K3382">
        <v>2</v>
      </c>
      <c r="L3382">
        <v>0.71</v>
      </c>
      <c r="M3382">
        <v>0.72</v>
      </c>
      <c r="N3382" s="1">
        <v>10000000</v>
      </c>
      <c r="O3382">
        <v>0.7</v>
      </c>
      <c r="P3382">
        <v>1.57</v>
      </c>
      <c r="Q3382">
        <v>0.01</v>
      </c>
    </row>
    <row r="3383" spans="1:17" x14ac:dyDescent="0.25">
      <c r="A3383">
        <v>732309</v>
      </c>
      <c r="B3383" t="s">
        <v>4695</v>
      </c>
      <c r="C3383" t="s">
        <v>78</v>
      </c>
      <c r="D3383" t="s">
        <v>78</v>
      </c>
      <c r="E3383" t="s">
        <v>78</v>
      </c>
      <c r="F3383" t="s">
        <v>78</v>
      </c>
      <c r="G3383" t="s">
        <v>78</v>
      </c>
      <c r="H3383">
        <v>1.43</v>
      </c>
      <c r="I3383" s="1">
        <v>0</v>
      </c>
      <c r="J3383" s="1">
        <v>0</v>
      </c>
      <c r="K3383">
        <v>0</v>
      </c>
      <c r="L3383">
        <v>1.4</v>
      </c>
      <c r="M3383">
        <v>1.45</v>
      </c>
      <c r="N3383" s="1">
        <v>5000000</v>
      </c>
      <c r="O3383">
        <v>1.45</v>
      </c>
      <c r="P3383">
        <v>2.36</v>
      </c>
      <c r="Q3383">
        <v>0.54</v>
      </c>
    </row>
    <row r="3384" spans="1:17" x14ac:dyDescent="0.25">
      <c r="A3384">
        <v>732310</v>
      </c>
      <c r="B3384" t="s">
        <v>4696</v>
      </c>
      <c r="C3384" t="s">
        <v>78</v>
      </c>
      <c r="D3384" t="s">
        <v>78</v>
      </c>
      <c r="E3384" t="s">
        <v>78</v>
      </c>
      <c r="F3384" t="s">
        <v>78</v>
      </c>
      <c r="G3384" t="s">
        <v>78</v>
      </c>
      <c r="H3384">
        <v>1.75</v>
      </c>
      <c r="I3384" s="1">
        <v>0</v>
      </c>
      <c r="J3384" s="1">
        <v>0</v>
      </c>
      <c r="K3384">
        <v>0</v>
      </c>
      <c r="L3384">
        <v>1.71</v>
      </c>
      <c r="M3384">
        <v>1.76</v>
      </c>
      <c r="N3384" s="1">
        <v>5000000</v>
      </c>
      <c r="O3384">
        <v>1.76</v>
      </c>
      <c r="P3384">
        <v>3.12</v>
      </c>
      <c r="Q3384">
        <v>0.4</v>
      </c>
    </row>
    <row r="3385" spans="1:17" x14ac:dyDescent="0.25">
      <c r="A3385">
        <v>732311</v>
      </c>
      <c r="B3385" t="s">
        <v>4697</v>
      </c>
      <c r="C3385">
        <v>1.04</v>
      </c>
      <c r="D3385">
        <v>0.01</v>
      </c>
      <c r="E3385">
        <v>1.07</v>
      </c>
      <c r="F3385">
        <v>1.08</v>
      </c>
      <c r="G3385">
        <v>1.04</v>
      </c>
      <c r="H3385">
        <v>1.07</v>
      </c>
      <c r="I3385" s="1">
        <v>189000</v>
      </c>
      <c r="J3385" s="1">
        <v>201860</v>
      </c>
      <c r="K3385">
        <v>7</v>
      </c>
      <c r="L3385">
        <v>1.02</v>
      </c>
      <c r="M3385">
        <v>1.03</v>
      </c>
      <c r="N3385" s="1">
        <v>10000000</v>
      </c>
      <c r="O3385">
        <v>1.04</v>
      </c>
      <c r="P3385">
        <v>2.0299999999999998</v>
      </c>
      <c r="Q3385">
        <v>0.05</v>
      </c>
    </row>
    <row r="3386" spans="1:17" x14ac:dyDescent="0.25">
      <c r="A3386">
        <v>732312</v>
      </c>
      <c r="B3386" t="s">
        <v>4698</v>
      </c>
      <c r="C3386">
        <v>0.68</v>
      </c>
      <c r="D3386">
        <v>-0.04</v>
      </c>
      <c r="E3386">
        <v>0.8</v>
      </c>
      <c r="F3386">
        <v>0.8</v>
      </c>
      <c r="G3386">
        <v>0.68</v>
      </c>
      <c r="H3386">
        <v>0.77</v>
      </c>
      <c r="I3386" s="1">
        <v>81000</v>
      </c>
      <c r="J3386" s="1">
        <v>62370</v>
      </c>
      <c r="K3386">
        <v>9</v>
      </c>
      <c r="L3386">
        <v>0.64</v>
      </c>
      <c r="M3386">
        <v>0.65</v>
      </c>
      <c r="N3386" s="1">
        <v>10000000</v>
      </c>
      <c r="O3386">
        <v>0.68</v>
      </c>
      <c r="P3386">
        <v>1.5</v>
      </c>
      <c r="Q3386">
        <v>0.01</v>
      </c>
    </row>
    <row r="3387" spans="1:17" x14ac:dyDescent="0.25">
      <c r="A3387">
        <v>732313</v>
      </c>
      <c r="B3387" t="s">
        <v>4699</v>
      </c>
      <c r="C3387" t="s">
        <v>78</v>
      </c>
      <c r="D3387" t="s">
        <v>78</v>
      </c>
      <c r="E3387" t="s">
        <v>78</v>
      </c>
      <c r="F3387" t="s">
        <v>78</v>
      </c>
      <c r="G3387" t="s">
        <v>78</v>
      </c>
      <c r="H3387">
        <v>1.95</v>
      </c>
      <c r="I3387" s="1">
        <v>0</v>
      </c>
      <c r="J3387" s="1">
        <v>0</v>
      </c>
      <c r="K3387">
        <v>0</v>
      </c>
      <c r="L3387">
        <v>1.83</v>
      </c>
      <c r="M3387">
        <v>1.86</v>
      </c>
      <c r="N3387" s="1">
        <v>5000000</v>
      </c>
      <c r="O3387">
        <v>1.86</v>
      </c>
      <c r="P3387">
        <v>2.91</v>
      </c>
      <c r="Q3387">
        <v>0.8</v>
      </c>
    </row>
    <row r="3388" spans="1:17" x14ac:dyDescent="0.25">
      <c r="A3388">
        <v>732314</v>
      </c>
      <c r="B3388" t="s">
        <v>4700</v>
      </c>
      <c r="C3388">
        <v>1.24</v>
      </c>
      <c r="D3388">
        <v>0</v>
      </c>
      <c r="E3388">
        <v>1.32</v>
      </c>
      <c r="F3388">
        <v>1.32</v>
      </c>
      <c r="G3388">
        <v>1.22</v>
      </c>
      <c r="H3388">
        <v>1.27</v>
      </c>
      <c r="I3388" s="1">
        <v>867000</v>
      </c>
      <c r="J3388" s="1">
        <v>1105350</v>
      </c>
      <c r="K3388">
        <v>20</v>
      </c>
      <c r="L3388">
        <v>1.23</v>
      </c>
      <c r="M3388">
        <v>1.24</v>
      </c>
      <c r="N3388" s="1">
        <v>5000000</v>
      </c>
      <c r="O3388">
        <v>1.24</v>
      </c>
      <c r="P3388">
        <v>2.29</v>
      </c>
      <c r="Q3388">
        <v>0.18</v>
      </c>
    </row>
    <row r="3389" spans="1:17" x14ac:dyDescent="0.25">
      <c r="A3389">
        <v>732315</v>
      </c>
      <c r="B3389" t="s">
        <v>4701</v>
      </c>
      <c r="C3389">
        <v>1.96</v>
      </c>
      <c r="D3389">
        <v>-0.04</v>
      </c>
      <c r="E3389">
        <v>2.04</v>
      </c>
      <c r="F3389">
        <v>2.04</v>
      </c>
      <c r="G3389">
        <v>1.96</v>
      </c>
      <c r="H3389">
        <v>2.02</v>
      </c>
      <c r="I3389" s="1">
        <v>19000</v>
      </c>
      <c r="J3389" s="1">
        <v>38440</v>
      </c>
      <c r="K3389">
        <v>4</v>
      </c>
      <c r="L3389">
        <v>1.91</v>
      </c>
      <c r="M3389">
        <v>1.93</v>
      </c>
      <c r="N3389" s="1">
        <v>5000000</v>
      </c>
      <c r="O3389">
        <v>1.96</v>
      </c>
      <c r="P3389">
        <v>3.1</v>
      </c>
      <c r="Q3389">
        <v>0.82</v>
      </c>
    </row>
    <row r="3390" spans="1:17" x14ac:dyDescent="0.25">
      <c r="A3390">
        <v>732316</v>
      </c>
      <c r="B3390" t="s">
        <v>4702</v>
      </c>
      <c r="C3390">
        <v>1.88</v>
      </c>
      <c r="D3390">
        <v>-0.1</v>
      </c>
      <c r="E3390">
        <v>2.02</v>
      </c>
      <c r="F3390">
        <v>2.08</v>
      </c>
      <c r="G3390">
        <v>1.88</v>
      </c>
      <c r="H3390">
        <v>2</v>
      </c>
      <c r="I3390" s="1">
        <v>278000</v>
      </c>
      <c r="J3390" s="1">
        <v>555050</v>
      </c>
      <c r="K3390">
        <v>17</v>
      </c>
      <c r="L3390">
        <v>1.87</v>
      </c>
      <c r="M3390">
        <v>1.88</v>
      </c>
      <c r="N3390" s="1">
        <v>5000000</v>
      </c>
      <c r="O3390">
        <v>1.88</v>
      </c>
      <c r="P3390">
        <v>3.4</v>
      </c>
      <c r="Q3390">
        <v>0.36</v>
      </c>
    </row>
    <row r="3391" spans="1:17" x14ac:dyDescent="0.25">
      <c r="A3391">
        <v>732317</v>
      </c>
      <c r="B3391" t="s">
        <v>4703</v>
      </c>
      <c r="C3391">
        <v>2.36</v>
      </c>
      <c r="D3391">
        <v>-0.12</v>
      </c>
      <c r="E3391">
        <v>2.54</v>
      </c>
      <c r="F3391">
        <v>2.58</v>
      </c>
      <c r="G3391">
        <v>2.36</v>
      </c>
      <c r="H3391">
        <v>2.5</v>
      </c>
      <c r="I3391" s="1">
        <v>497000</v>
      </c>
      <c r="J3391" s="1">
        <v>1243770</v>
      </c>
      <c r="K3391">
        <v>20</v>
      </c>
      <c r="L3391">
        <v>2.37</v>
      </c>
      <c r="M3391">
        <v>2.38</v>
      </c>
      <c r="N3391" s="1">
        <v>5000000</v>
      </c>
      <c r="O3391">
        <v>2.36</v>
      </c>
      <c r="P3391">
        <v>4.6399999999999997</v>
      </c>
      <c r="Q3391">
        <v>0.08</v>
      </c>
    </row>
    <row r="3392" spans="1:17" x14ac:dyDescent="0.25">
      <c r="A3392">
        <v>732318</v>
      </c>
      <c r="B3392" t="s">
        <v>4704</v>
      </c>
      <c r="C3392">
        <v>2.0699999999999998</v>
      </c>
      <c r="D3392">
        <v>-0.15</v>
      </c>
      <c r="E3392">
        <v>2.2200000000000002</v>
      </c>
      <c r="F3392">
        <v>2.25</v>
      </c>
      <c r="G3392">
        <v>2.06</v>
      </c>
      <c r="H3392">
        <v>2.2000000000000002</v>
      </c>
      <c r="I3392" s="1">
        <v>494000</v>
      </c>
      <c r="J3392" s="1">
        <v>1084470</v>
      </c>
      <c r="K3392">
        <v>14</v>
      </c>
      <c r="L3392">
        <v>2.0499999999999998</v>
      </c>
      <c r="M3392">
        <v>2.06</v>
      </c>
      <c r="N3392" s="1">
        <v>5000000</v>
      </c>
      <c r="O3392">
        <v>2.0699999999999998</v>
      </c>
      <c r="P3392">
        <v>5.0999999999999996</v>
      </c>
      <c r="Q3392">
        <v>0.01</v>
      </c>
    </row>
    <row r="3393" spans="1:17" x14ac:dyDescent="0.25">
      <c r="A3393">
        <v>732319</v>
      </c>
      <c r="B3393" t="s">
        <v>4705</v>
      </c>
      <c r="C3393">
        <v>0.67</v>
      </c>
      <c r="D3393">
        <v>0</v>
      </c>
      <c r="E3393">
        <v>0.65</v>
      </c>
      <c r="F3393">
        <v>0.67</v>
      </c>
      <c r="G3393">
        <v>0.65</v>
      </c>
      <c r="H3393">
        <v>0.66</v>
      </c>
      <c r="I3393" s="1">
        <v>310000</v>
      </c>
      <c r="J3393" s="1">
        <v>204500</v>
      </c>
      <c r="K3393">
        <v>5</v>
      </c>
      <c r="L3393">
        <v>0.67</v>
      </c>
      <c r="M3393">
        <v>0.68</v>
      </c>
      <c r="N3393" s="1">
        <v>5000000</v>
      </c>
      <c r="O3393">
        <v>0.67</v>
      </c>
      <c r="P3393">
        <v>1.47</v>
      </c>
      <c r="Q3393">
        <v>0.01</v>
      </c>
    </row>
    <row r="3394" spans="1:17" x14ac:dyDescent="0.25">
      <c r="A3394">
        <v>732320</v>
      </c>
      <c r="B3394" t="s">
        <v>4706</v>
      </c>
      <c r="C3394" t="s">
        <v>78</v>
      </c>
      <c r="D3394" t="s">
        <v>78</v>
      </c>
      <c r="E3394" t="s">
        <v>78</v>
      </c>
      <c r="F3394" t="s">
        <v>78</v>
      </c>
      <c r="G3394" t="s">
        <v>78</v>
      </c>
      <c r="H3394">
        <v>1.07</v>
      </c>
      <c r="I3394" s="1">
        <v>0</v>
      </c>
      <c r="J3394" s="1">
        <v>0</v>
      </c>
      <c r="K3394">
        <v>0</v>
      </c>
      <c r="L3394">
        <v>0.44</v>
      </c>
      <c r="M3394">
        <v>0.54</v>
      </c>
      <c r="N3394" s="1">
        <v>5000000</v>
      </c>
      <c r="O3394">
        <v>0.54</v>
      </c>
      <c r="P3394">
        <v>2.38</v>
      </c>
      <c r="Q3394">
        <v>0.01</v>
      </c>
    </row>
    <row r="3395" spans="1:17" x14ac:dyDescent="0.25">
      <c r="A3395">
        <v>732321</v>
      </c>
      <c r="B3395" t="s">
        <v>4707</v>
      </c>
      <c r="C3395">
        <v>0.81</v>
      </c>
      <c r="D3395">
        <v>0.02</v>
      </c>
      <c r="E3395">
        <v>0.77</v>
      </c>
      <c r="F3395">
        <v>0.81</v>
      </c>
      <c r="G3395">
        <v>0.77</v>
      </c>
      <c r="H3395">
        <v>0.79</v>
      </c>
      <c r="I3395" s="1">
        <v>259000</v>
      </c>
      <c r="J3395" s="1">
        <v>205190</v>
      </c>
      <c r="K3395">
        <v>3</v>
      </c>
      <c r="L3395">
        <v>0.82</v>
      </c>
      <c r="M3395">
        <v>0.83</v>
      </c>
      <c r="N3395" s="1">
        <v>10000000</v>
      </c>
      <c r="O3395">
        <v>0.81</v>
      </c>
      <c r="P3395">
        <v>2.41</v>
      </c>
      <c r="Q3395">
        <v>0.01</v>
      </c>
    </row>
    <row r="3396" spans="1:17" x14ac:dyDescent="0.25">
      <c r="A3396">
        <v>732322</v>
      </c>
      <c r="B3396" t="s">
        <v>4708</v>
      </c>
      <c r="C3396">
        <v>0.96</v>
      </c>
      <c r="D3396">
        <v>0.03</v>
      </c>
      <c r="E3396">
        <v>0.99</v>
      </c>
      <c r="F3396">
        <v>1.01</v>
      </c>
      <c r="G3396">
        <v>0.96</v>
      </c>
      <c r="H3396">
        <v>0.99</v>
      </c>
      <c r="I3396" s="1">
        <v>520000</v>
      </c>
      <c r="J3396" s="1">
        <v>515620</v>
      </c>
      <c r="K3396">
        <v>9</v>
      </c>
      <c r="L3396">
        <v>0.95</v>
      </c>
      <c r="M3396">
        <v>0.96</v>
      </c>
      <c r="N3396" s="1">
        <v>10000000</v>
      </c>
      <c r="O3396">
        <v>0.96</v>
      </c>
      <c r="P3396">
        <v>1.97</v>
      </c>
      <c r="Q3396">
        <v>0.01</v>
      </c>
    </row>
    <row r="3397" spans="1:17" x14ac:dyDescent="0.25">
      <c r="A3397">
        <v>732323</v>
      </c>
      <c r="B3397" t="s">
        <v>4709</v>
      </c>
      <c r="C3397">
        <v>1.28</v>
      </c>
      <c r="D3397">
        <v>0.03</v>
      </c>
      <c r="E3397">
        <v>1.36</v>
      </c>
      <c r="F3397">
        <v>1.43</v>
      </c>
      <c r="G3397">
        <v>1.27</v>
      </c>
      <c r="H3397">
        <v>1.38</v>
      </c>
      <c r="I3397" s="1">
        <v>525000</v>
      </c>
      <c r="J3397" s="1">
        <v>725750</v>
      </c>
      <c r="K3397">
        <v>14</v>
      </c>
      <c r="L3397">
        <v>1.24</v>
      </c>
      <c r="M3397">
        <v>1.28</v>
      </c>
      <c r="N3397" s="1">
        <v>5000000</v>
      </c>
      <c r="O3397">
        <v>1.28</v>
      </c>
      <c r="P3397">
        <v>2.4300000000000002</v>
      </c>
      <c r="Q3397">
        <v>0.13</v>
      </c>
    </row>
    <row r="3398" spans="1:17" x14ac:dyDescent="0.25">
      <c r="A3398">
        <v>732324</v>
      </c>
      <c r="B3398" t="s">
        <v>4710</v>
      </c>
      <c r="C3398" t="s">
        <v>78</v>
      </c>
      <c r="D3398" t="s">
        <v>78</v>
      </c>
      <c r="E3398" t="s">
        <v>78</v>
      </c>
      <c r="F3398" t="s">
        <v>78</v>
      </c>
      <c r="G3398" t="s">
        <v>78</v>
      </c>
      <c r="H3398">
        <v>2.0699999999999998</v>
      </c>
      <c r="I3398" s="1">
        <v>0</v>
      </c>
      <c r="J3398" s="1">
        <v>0</v>
      </c>
      <c r="K3398">
        <v>0</v>
      </c>
      <c r="L3398">
        <v>2.1</v>
      </c>
      <c r="M3398">
        <v>2.17</v>
      </c>
      <c r="N3398" s="1">
        <v>10000000</v>
      </c>
      <c r="O3398">
        <v>2.11</v>
      </c>
      <c r="P3398">
        <v>3.22</v>
      </c>
      <c r="Q3398">
        <v>1</v>
      </c>
    </row>
    <row r="3399" spans="1:17" x14ac:dyDescent="0.25">
      <c r="A3399">
        <v>732325</v>
      </c>
      <c r="B3399" t="s">
        <v>4711</v>
      </c>
      <c r="C3399">
        <v>0.94</v>
      </c>
      <c r="D3399">
        <v>-0.01</v>
      </c>
      <c r="E3399">
        <v>0.97</v>
      </c>
      <c r="F3399">
        <v>1.01</v>
      </c>
      <c r="G3399">
        <v>0.94</v>
      </c>
      <c r="H3399">
        <v>0.97</v>
      </c>
      <c r="I3399" s="1">
        <v>216000</v>
      </c>
      <c r="J3399" s="1">
        <v>209460</v>
      </c>
      <c r="K3399">
        <v>4</v>
      </c>
      <c r="L3399">
        <v>0.95</v>
      </c>
      <c r="M3399">
        <v>0.99</v>
      </c>
      <c r="N3399" s="1">
        <v>5000000</v>
      </c>
      <c r="O3399">
        <v>0.94</v>
      </c>
      <c r="P3399">
        <v>2.16</v>
      </c>
      <c r="Q3399">
        <v>0.01</v>
      </c>
    </row>
    <row r="3400" spans="1:17" x14ac:dyDescent="0.25">
      <c r="A3400">
        <v>732326</v>
      </c>
      <c r="B3400" t="s">
        <v>4712</v>
      </c>
      <c r="C3400">
        <v>0.61</v>
      </c>
      <c r="D3400">
        <v>-0.04</v>
      </c>
      <c r="E3400">
        <v>0.67</v>
      </c>
      <c r="F3400">
        <v>0.67</v>
      </c>
      <c r="G3400">
        <v>0.61</v>
      </c>
      <c r="H3400">
        <v>0.66</v>
      </c>
      <c r="I3400" s="1">
        <v>210000</v>
      </c>
      <c r="J3400" s="1">
        <v>137700</v>
      </c>
      <c r="K3400">
        <v>3</v>
      </c>
      <c r="L3400">
        <v>0.6</v>
      </c>
      <c r="M3400">
        <v>0.61</v>
      </c>
      <c r="N3400" s="1">
        <v>5000000</v>
      </c>
      <c r="O3400">
        <v>0.61</v>
      </c>
      <c r="P3400">
        <v>1.46</v>
      </c>
      <c r="Q3400">
        <v>0.01</v>
      </c>
    </row>
    <row r="3401" spans="1:17" x14ac:dyDescent="0.25">
      <c r="A3401">
        <v>732327</v>
      </c>
      <c r="B3401" t="s">
        <v>4713</v>
      </c>
      <c r="C3401">
        <v>0.83</v>
      </c>
      <c r="D3401">
        <v>-0.04</v>
      </c>
      <c r="E3401">
        <v>0.84</v>
      </c>
      <c r="F3401">
        <v>0.84</v>
      </c>
      <c r="G3401">
        <v>0.83</v>
      </c>
      <c r="H3401">
        <v>0.84</v>
      </c>
      <c r="I3401" s="1">
        <v>25000</v>
      </c>
      <c r="J3401" s="1">
        <v>20900</v>
      </c>
      <c r="K3401">
        <v>2</v>
      </c>
      <c r="L3401">
        <v>0.82</v>
      </c>
      <c r="M3401">
        <v>0.83</v>
      </c>
      <c r="N3401" s="1">
        <v>5000000</v>
      </c>
      <c r="O3401">
        <v>0.83</v>
      </c>
      <c r="P3401">
        <v>1.57</v>
      </c>
      <c r="Q3401">
        <v>0.09</v>
      </c>
    </row>
    <row r="3402" spans="1:17" x14ac:dyDescent="0.25">
      <c r="A3402">
        <v>732328</v>
      </c>
      <c r="B3402" t="s">
        <v>4714</v>
      </c>
      <c r="C3402">
        <v>1.61</v>
      </c>
      <c r="D3402">
        <v>-0.01</v>
      </c>
      <c r="E3402">
        <v>1.68</v>
      </c>
      <c r="F3402">
        <v>1.68</v>
      </c>
      <c r="G3402">
        <v>1.61</v>
      </c>
      <c r="H3402">
        <v>1.68</v>
      </c>
      <c r="I3402" s="1">
        <v>101000</v>
      </c>
      <c r="J3402" s="1">
        <v>169550</v>
      </c>
      <c r="K3402">
        <v>3</v>
      </c>
      <c r="L3402">
        <v>1.59</v>
      </c>
      <c r="M3402">
        <v>1.61</v>
      </c>
      <c r="N3402" s="1">
        <v>5000000</v>
      </c>
      <c r="O3402">
        <v>1.61</v>
      </c>
      <c r="P3402">
        <v>2.34</v>
      </c>
      <c r="Q3402">
        <v>0.87</v>
      </c>
    </row>
    <row r="3403" spans="1:17" x14ac:dyDescent="0.25">
      <c r="A3403">
        <v>732329</v>
      </c>
      <c r="B3403" t="s">
        <v>4715</v>
      </c>
      <c r="C3403">
        <v>1.27</v>
      </c>
      <c r="D3403">
        <v>-0.01</v>
      </c>
      <c r="E3403">
        <v>1.3</v>
      </c>
      <c r="F3403">
        <v>1.3</v>
      </c>
      <c r="G3403">
        <v>1.23</v>
      </c>
      <c r="H3403">
        <v>1.28</v>
      </c>
      <c r="I3403" s="1">
        <v>546000</v>
      </c>
      <c r="J3403" s="1">
        <v>697350</v>
      </c>
      <c r="K3403">
        <v>13</v>
      </c>
      <c r="L3403">
        <v>1.25</v>
      </c>
      <c r="M3403">
        <v>1.3</v>
      </c>
      <c r="N3403" s="1">
        <v>5000000</v>
      </c>
      <c r="O3403">
        <v>1.27</v>
      </c>
      <c r="P3403">
        <v>1.9</v>
      </c>
      <c r="Q3403">
        <v>0.64</v>
      </c>
    </row>
    <row r="3404" spans="1:17" x14ac:dyDescent="0.25">
      <c r="A3404">
        <v>732330</v>
      </c>
      <c r="B3404" t="s">
        <v>4716</v>
      </c>
      <c r="C3404">
        <v>1.23</v>
      </c>
      <c r="D3404">
        <v>-0.06</v>
      </c>
      <c r="E3404">
        <v>1.23</v>
      </c>
      <c r="F3404">
        <v>1.23</v>
      </c>
      <c r="G3404">
        <v>1.23</v>
      </c>
      <c r="H3404">
        <v>1.23</v>
      </c>
      <c r="I3404" s="1">
        <v>10000</v>
      </c>
      <c r="J3404" s="1">
        <v>12300</v>
      </c>
      <c r="K3404">
        <v>1</v>
      </c>
      <c r="L3404">
        <v>1.28</v>
      </c>
      <c r="M3404">
        <v>1.29</v>
      </c>
      <c r="N3404" s="1">
        <v>5000000</v>
      </c>
      <c r="O3404">
        <v>1.23</v>
      </c>
      <c r="P3404">
        <v>1.93</v>
      </c>
      <c r="Q3404">
        <v>0.53</v>
      </c>
    </row>
    <row r="3405" spans="1:17" x14ac:dyDescent="0.25">
      <c r="A3405">
        <v>732331</v>
      </c>
      <c r="B3405" t="s">
        <v>4717</v>
      </c>
      <c r="C3405">
        <v>0.86</v>
      </c>
      <c r="D3405">
        <v>0</v>
      </c>
      <c r="E3405">
        <v>0.86</v>
      </c>
      <c r="F3405">
        <v>0.86</v>
      </c>
      <c r="G3405">
        <v>0.86</v>
      </c>
      <c r="H3405">
        <v>0.86</v>
      </c>
      <c r="I3405" s="1">
        <v>10000</v>
      </c>
      <c r="J3405" s="1">
        <v>8600</v>
      </c>
      <c r="K3405">
        <v>1</v>
      </c>
      <c r="L3405">
        <v>0.87</v>
      </c>
      <c r="M3405">
        <v>0.88</v>
      </c>
      <c r="N3405" s="1">
        <v>5000000</v>
      </c>
      <c r="O3405">
        <v>0.86</v>
      </c>
      <c r="P3405">
        <v>1.38</v>
      </c>
      <c r="Q3405">
        <v>0.34</v>
      </c>
    </row>
    <row r="3406" spans="1:17" x14ac:dyDescent="0.25">
      <c r="A3406">
        <v>732332</v>
      </c>
      <c r="B3406" t="s">
        <v>4718</v>
      </c>
      <c r="C3406">
        <v>1.81</v>
      </c>
      <c r="D3406">
        <v>-0.05</v>
      </c>
      <c r="E3406">
        <v>1.86</v>
      </c>
      <c r="F3406">
        <v>1.88</v>
      </c>
      <c r="G3406">
        <v>1.81</v>
      </c>
      <c r="H3406">
        <v>1.83</v>
      </c>
      <c r="I3406" s="1">
        <v>194000</v>
      </c>
      <c r="J3406" s="1">
        <v>355280</v>
      </c>
      <c r="K3406">
        <v>5</v>
      </c>
      <c r="L3406">
        <v>1.74</v>
      </c>
      <c r="M3406">
        <v>1.77</v>
      </c>
      <c r="N3406" s="1">
        <v>5000000</v>
      </c>
      <c r="O3406">
        <v>1.81</v>
      </c>
      <c r="P3406">
        <v>2.57</v>
      </c>
      <c r="Q3406">
        <v>1.05</v>
      </c>
    </row>
    <row r="3407" spans="1:17" x14ac:dyDescent="0.25">
      <c r="A3407">
        <v>732333</v>
      </c>
      <c r="B3407" t="s">
        <v>4719</v>
      </c>
      <c r="C3407">
        <v>1.6</v>
      </c>
      <c r="D3407">
        <v>-0.05</v>
      </c>
      <c r="E3407">
        <v>1.65</v>
      </c>
      <c r="F3407">
        <v>1.69</v>
      </c>
      <c r="G3407">
        <v>1.57</v>
      </c>
      <c r="H3407">
        <v>1.63</v>
      </c>
      <c r="I3407" s="1">
        <v>366000</v>
      </c>
      <c r="J3407" s="1">
        <v>597440</v>
      </c>
      <c r="K3407">
        <v>14</v>
      </c>
      <c r="L3407">
        <v>1.53</v>
      </c>
      <c r="M3407">
        <v>1.54</v>
      </c>
      <c r="N3407" s="1">
        <v>5000000</v>
      </c>
      <c r="O3407">
        <v>1.6</v>
      </c>
      <c r="P3407">
        <v>2.74</v>
      </c>
      <c r="Q3407">
        <v>0.46</v>
      </c>
    </row>
    <row r="3408" spans="1:17" x14ac:dyDescent="0.25">
      <c r="A3408">
        <v>732334</v>
      </c>
      <c r="B3408" t="s">
        <v>4720</v>
      </c>
      <c r="C3408">
        <v>1.97</v>
      </c>
      <c r="D3408">
        <v>-0.01</v>
      </c>
      <c r="E3408">
        <v>2.0299999999999998</v>
      </c>
      <c r="F3408">
        <v>2.0699999999999998</v>
      </c>
      <c r="G3408">
        <v>1.95</v>
      </c>
      <c r="H3408">
        <v>2.0099999999999998</v>
      </c>
      <c r="I3408" s="1">
        <v>382000</v>
      </c>
      <c r="J3408" s="1">
        <v>765950</v>
      </c>
      <c r="K3408">
        <v>12</v>
      </c>
      <c r="L3408">
        <v>1.9</v>
      </c>
      <c r="M3408">
        <v>1.91</v>
      </c>
      <c r="N3408" s="1">
        <v>5000000</v>
      </c>
      <c r="O3408">
        <v>1.97</v>
      </c>
      <c r="P3408">
        <v>2.88</v>
      </c>
      <c r="Q3408">
        <v>1.06</v>
      </c>
    </row>
    <row r="3409" spans="1:17" x14ac:dyDescent="0.25">
      <c r="A3409">
        <v>732335</v>
      </c>
      <c r="B3409" t="s">
        <v>4721</v>
      </c>
      <c r="C3409">
        <v>0.35</v>
      </c>
      <c r="D3409">
        <v>0.05</v>
      </c>
      <c r="E3409">
        <v>0.35</v>
      </c>
      <c r="F3409">
        <v>0.35</v>
      </c>
      <c r="G3409">
        <v>0.35</v>
      </c>
      <c r="H3409">
        <v>0.35</v>
      </c>
      <c r="I3409" s="1">
        <v>2000</v>
      </c>
      <c r="J3409" s="1">
        <v>700</v>
      </c>
      <c r="K3409">
        <v>1</v>
      </c>
      <c r="L3409">
        <v>0.32</v>
      </c>
      <c r="M3409">
        <v>0.34</v>
      </c>
      <c r="N3409" s="1">
        <v>5000000</v>
      </c>
      <c r="O3409">
        <v>0.35</v>
      </c>
      <c r="P3409">
        <v>1.1399999999999999</v>
      </c>
      <c r="Q3409">
        <v>0.01</v>
      </c>
    </row>
    <row r="3410" spans="1:17" x14ac:dyDescent="0.25">
      <c r="A3410">
        <v>732336</v>
      </c>
      <c r="B3410" t="s">
        <v>4722</v>
      </c>
      <c r="C3410">
        <v>1.1599999999999999</v>
      </c>
      <c r="D3410">
        <v>0.04</v>
      </c>
      <c r="E3410">
        <v>1.1200000000000001</v>
      </c>
      <c r="F3410">
        <v>1.21</v>
      </c>
      <c r="G3410">
        <v>1.1200000000000001</v>
      </c>
      <c r="H3410">
        <v>1.1599999999999999</v>
      </c>
      <c r="I3410" s="1">
        <v>1366000</v>
      </c>
      <c r="J3410" s="1">
        <v>1586880</v>
      </c>
      <c r="K3410">
        <v>65</v>
      </c>
      <c r="L3410">
        <v>1.1499999999999999</v>
      </c>
      <c r="M3410">
        <v>1.1599999999999999</v>
      </c>
      <c r="N3410" s="1">
        <v>5000000</v>
      </c>
      <c r="O3410">
        <v>1.1599999999999999</v>
      </c>
      <c r="P3410">
        <v>1.95</v>
      </c>
      <c r="Q3410">
        <v>0.37</v>
      </c>
    </row>
    <row r="3411" spans="1:17" x14ac:dyDescent="0.25">
      <c r="A3411">
        <v>732337</v>
      </c>
      <c r="B3411" t="s">
        <v>4723</v>
      </c>
      <c r="C3411">
        <v>0.54</v>
      </c>
      <c r="D3411">
        <v>-0.04</v>
      </c>
      <c r="E3411">
        <v>0.54</v>
      </c>
      <c r="F3411">
        <v>0.54</v>
      </c>
      <c r="G3411">
        <v>0.54</v>
      </c>
      <c r="H3411">
        <v>0.54</v>
      </c>
      <c r="I3411" s="1">
        <v>14000</v>
      </c>
      <c r="J3411" s="1">
        <v>7560</v>
      </c>
      <c r="K3411">
        <v>2</v>
      </c>
      <c r="L3411">
        <v>0.49</v>
      </c>
      <c r="M3411">
        <v>0.5</v>
      </c>
      <c r="N3411" s="1">
        <v>5000000</v>
      </c>
      <c r="O3411">
        <v>0.54</v>
      </c>
      <c r="P3411">
        <v>1.29</v>
      </c>
      <c r="Q3411">
        <v>0.01</v>
      </c>
    </row>
    <row r="3412" spans="1:17" x14ac:dyDescent="0.25">
      <c r="A3412">
        <v>732338</v>
      </c>
      <c r="B3412" t="s">
        <v>4724</v>
      </c>
      <c r="C3412">
        <v>0.8</v>
      </c>
      <c r="D3412">
        <v>-0.13</v>
      </c>
      <c r="E3412">
        <v>0.89</v>
      </c>
      <c r="F3412">
        <v>0.91</v>
      </c>
      <c r="G3412">
        <v>0.8</v>
      </c>
      <c r="H3412">
        <v>0.89</v>
      </c>
      <c r="I3412" s="1">
        <v>285000</v>
      </c>
      <c r="J3412" s="1">
        <v>252400</v>
      </c>
      <c r="K3412">
        <v>7</v>
      </c>
      <c r="L3412">
        <v>0.8</v>
      </c>
      <c r="M3412">
        <v>0.81</v>
      </c>
      <c r="N3412" s="1">
        <v>5000000</v>
      </c>
      <c r="O3412">
        <v>0.8</v>
      </c>
      <c r="P3412">
        <v>1.55</v>
      </c>
      <c r="Q3412">
        <v>0.05</v>
      </c>
    </row>
    <row r="3413" spans="1:17" x14ac:dyDescent="0.25">
      <c r="A3413">
        <v>732339</v>
      </c>
      <c r="B3413" t="s">
        <v>4725</v>
      </c>
      <c r="C3413">
        <v>1</v>
      </c>
      <c r="D3413">
        <v>-0.05</v>
      </c>
      <c r="E3413">
        <v>1.1100000000000001</v>
      </c>
      <c r="F3413">
        <v>1.25</v>
      </c>
      <c r="G3413">
        <v>1</v>
      </c>
      <c r="H3413">
        <v>1.1499999999999999</v>
      </c>
      <c r="I3413" s="1">
        <v>901000</v>
      </c>
      <c r="J3413" s="1">
        <v>1038200</v>
      </c>
      <c r="K3413">
        <v>42</v>
      </c>
      <c r="L3413">
        <v>0.97</v>
      </c>
      <c r="M3413">
        <v>1.01</v>
      </c>
      <c r="N3413" s="1">
        <v>5000000</v>
      </c>
      <c r="O3413">
        <v>1</v>
      </c>
      <c r="P3413">
        <v>2.2599999999999998</v>
      </c>
      <c r="Q3413">
        <v>0.01</v>
      </c>
    </row>
    <row r="3414" spans="1:17" x14ac:dyDescent="0.25">
      <c r="A3414">
        <v>732340</v>
      </c>
      <c r="B3414" t="s">
        <v>4726</v>
      </c>
      <c r="C3414">
        <v>1.04</v>
      </c>
      <c r="D3414">
        <v>-0.01</v>
      </c>
      <c r="E3414">
        <v>1.1499999999999999</v>
      </c>
      <c r="F3414">
        <v>1.27</v>
      </c>
      <c r="G3414">
        <v>1.04</v>
      </c>
      <c r="H3414">
        <v>1.18</v>
      </c>
      <c r="I3414" s="1">
        <v>1261000</v>
      </c>
      <c r="J3414" s="1">
        <v>1491330</v>
      </c>
      <c r="K3414">
        <v>79</v>
      </c>
      <c r="L3414">
        <v>1.03</v>
      </c>
      <c r="M3414">
        <v>1.04</v>
      </c>
      <c r="N3414" s="1">
        <v>5000000</v>
      </c>
      <c r="O3414">
        <v>1.04</v>
      </c>
      <c r="P3414">
        <v>1.88</v>
      </c>
      <c r="Q3414">
        <v>0.2</v>
      </c>
    </row>
    <row r="3415" spans="1:17" x14ac:dyDescent="0.25">
      <c r="A3415">
        <v>732341</v>
      </c>
      <c r="B3415" t="s">
        <v>4727</v>
      </c>
      <c r="C3415">
        <v>0.85</v>
      </c>
      <c r="D3415">
        <v>-0.01</v>
      </c>
      <c r="E3415">
        <v>0.87</v>
      </c>
      <c r="F3415">
        <v>0.87</v>
      </c>
      <c r="G3415">
        <v>0.84</v>
      </c>
      <c r="H3415">
        <v>0.85</v>
      </c>
      <c r="I3415" s="1">
        <v>275000</v>
      </c>
      <c r="J3415" s="1">
        <v>232550</v>
      </c>
      <c r="K3415">
        <v>7</v>
      </c>
      <c r="L3415">
        <v>0.9</v>
      </c>
      <c r="M3415">
        <v>0.91</v>
      </c>
      <c r="N3415" s="1">
        <v>5000000</v>
      </c>
      <c r="O3415">
        <v>0.85</v>
      </c>
      <c r="P3415">
        <v>1.78</v>
      </c>
      <c r="Q3415">
        <v>0.01</v>
      </c>
    </row>
    <row r="3416" spans="1:17" x14ac:dyDescent="0.25">
      <c r="A3416">
        <v>732342</v>
      </c>
      <c r="B3416" t="s">
        <v>4728</v>
      </c>
      <c r="C3416">
        <v>0.41</v>
      </c>
      <c r="D3416">
        <v>-0.02</v>
      </c>
      <c r="E3416">
        <v>0.43</v>
      </c>
      <c r="F3416">
        <v>0.43</v>
      </c>
      <c r="G3416">
        <v>0.41</v>
      </c>
      <c r="H3416">
        <v>0.42</v>
      </c>
      <c r="I3416" s="1">
        <v>155000</v>
      </c>
      <c r="J3416" s="1">
        <v>65850</v>
      </c>
      <c r="K3416">
        <v>9</v>
      </c>
      <c r="L3416">
        <v>0.41</v>
      </c>
      <c r="M3416">
        <v>0.42</v>
      </c>
      <c r="N3416" s="1">
        <v>5000000</v>
      </c>
      <c r="O3416">
        <v>0.41</v>
      </c>
      <c r="P3416">
        <v>0.98</v>
      </c>
      <c r="Q3416">
        <v>0.01</v>
      </c>
    </row>
    <row r="3417" spans="1:17" x14ac:dyDescent="0.25">
      <c r="A3417">
        <v>732343</v>
      </c>
      <c r="B3417" t="s">
        <v>4729</v>
      </c>
      <c r="C3417">
        <v>0.86</v>
      </c>
      <c r="D3417">
        <v>-0.01</v>
      </c>
      <c r="E3417">
        <v>0.86</v>
      </c>
      <c r="F3417">
        <v>0.86</v>
      </c>
      <c r="G3417">
        <v>0.86</v>
      </c>
      <c r="H3417">
        <v>0.86</v>
      </c>
      <c r="I3417" s="1">
        <v>17000</v>
      </c>
      <c r="J3417" s="1">
        <v>14620</v>
      </c>
      <c r="K3417">
        <v>1</v>
      </c>
      <c r="L3417">
        <v>0</v>
      </c>
      <c r="M3417">
        <v>1.02</v>
      </c>
      <c r="N3417" s="1">
        <v>5000000</v>
      </c>
      <c r="O3417">
        <v>0.86</v>
      </c>
      <c r="P3417">
        <v>1.44</v>
      </c>
      <c r="Q3417">
        <v>0.27</v>
      </c>
    </row>
    <row r="3418" spans="1:17" x14ac:dyDescent="0.25">
      <c r="A3418">
        <v>732344</v>
      </c>
      <c r="B3418" t="s">
        <v>4730</v>
      </c>
      <c r="C3418">
        <v>0.59</v>
      </c>
      <c r="D3418">
        <v>-0.04</v>
      </c>
      <c r="E3418">
        <v>0.59</v>
      </c>
      <c r="F3418">
        <v>0.59</v>
      </c>
      <c r="G3418">
        <v>0.59</v>
      </c>
      <c r="H3418">
        <v>0.59</v>
      </c>
      <c r="I3418" s="1">
        <v>7000</v>
      </c>
      <c r="J3418" s="1">
        <v>4130</v>
      </c>
      <c r="K3418">
        <v>1</v>
      </c>
      <c r="L3418">
        <v>0.61</v>
      </c>
      <c r="M3418">
        <v>0.62</v>
      </c>
      <c r="N3418" s="1">
        <v>5000000</v>
      </c>
      <c r="O3418">
        <v>0.59</v>
      </c>
      <c r="P3418">
        <v>1.02</v>
      </c>
      <c r="Q3418">
        <v>0.16</v>
      </c>
    </row>
    <row r="3419" spans="1:17" x14ac:dyDescent="0.25">
      <c r="A3419">
        <v>732345</v>
      </c>
      <c r="B3419" t="s">
        <v>4731</v>
      </c>
      <c r="C3419">
        <v>0.93</v>
      </c>
      <c r="D3419">
        <v>-0.06</v>
      </c>
      <c r="E3419">
        <v>1.01</v>
      </c>
      <c r="F3419">
        <v>1.03</v>
      </c>
      <c r="G3419">
        <v>0.93</v>
      </c>
      <c r="H3419">
        <v>0.99</v>
      </c>
      <c r="I3419" s="1">
        <v>282000</v>
      </c>
      <c r="J3419" s="1">
        <v>279650</v>
      </c>
      <c r="K3419">
        <v>10</v>
      </c>
      <c r="L3419">
        <v>0.92</v>
      </c>
      <c r="M3419">
        <v>0.93</v>
      </c>
      <c r="N3419" s="1">
        <v>5000000</v>
      </c>
      <c r="O3419">
        <v>0.93</v>
      </c>
      <c r="P3419">
        <v>2.29</v>
      </c>
      <c r="Q3419">
        <v>0.01</v>
      </c>
    </row>
    <row r="3420" spans="1:17" x14ac:dyDescent="0.25">
      <c r="A3420">
        <v>732346</v>
      </c>
      <c r="B3420" t="s">
        <v>4732</v>
      </c>
      <c r="C3420">
        <v>1.34</v>
      </c>
      <c r="D3420">
        <v>-0.02</v>
      </c>
      <c r="E3420">
        <v>1.43</v>
      </c>
      <c r="F3420">
        <v>1.43</v>
      </c>
      <c r="G3420">
        <v>1.34</v>
      </c>
      <c r="H3420">
        <v>1.4</v>
      </c>
      <c r="I3420" s="1">
        <v>170000</v>
      </c>
      <c r="J3420" s="1">
        <v>238800</v>
      </c>
      <c r="K3420">
        <v>8</v>
      </c>
      <c r="L3420">
        <v>1.32</v>
      </c>
      <c r="M3420">
        <v>1.33</v>
      </c>
      <c r="N3420" s="1">
        <v>5000000</v>
      </c>
      <c r="O3420">
        <v>1.34</v>
      </c>
      <c r="P3420">
        <v>2.36</v>
      </c>
      <c r="Q3420">
        <v>0.32</v>
      </c>
    </row>
    <row r="3421" spans="1:17" x14ac:dyDescent="0.25">
      <c r="A3421">
        <v>732347</v>
      </c>
      <c r="B3421" t="s">
        <v>4733</v>
      </c>
      <c r="C3421" t="s">
        <v>78</v>
      </c>
      <c r="D3421" t="s">
        <v>78</v>
      </c>
      <c r="E3421" t="s">
        <v>78</v>
      </c>
      <c r="F3421" t="s">
        <v>78</v>
      </c>
      <c r="G3421" t="s">
        <v>78</v>
      </c>
      <c r="H3421">
        <v>3.19</v>
      </c>
      <c r="I3421" s="1">
        <v>0</v>
      </c>
      <c r="J3421" s="1">
        <v>0</v>
      </c>
      <c r="K3421">
        <v>0</v>
      </c>
      <c r="L3421">
        <v>3.16</v>
      </c>
      <c r="M3421">
        <v>3.25</v>
      </c>
      <c r="N3421" s="1">
        <v>5000000</v>
      </c>
      <c r="O3421">
        <v>3.25</v>
      </c>
      <c r="P3421">
        <v>4.0199999999999996</v>
      </c>
      <c r="Q3421">
        <v>2.48</v>
      </c>
    </row>
    <row r="3422" spans="1:17" x14ac:dyDescent="0.25">
      <c r="A3422">
        <v>732348</v>
      </c>
      <c r="B3422" t="s">
        <v>4734</v>
      </c>
      <c r="C3422">
        <v>0.42</v>
      </c>
      <c r="D3422">
        <v>-0.02</v>
      </c>
      <c r="E3422">
        <v>0.42</v>
      </c>
      <c r="F3422">
        <v>0.42</v>
      </c>
      <c r="G3422">
        <v>0.42</v>
      </c>
      <c r="H3422">
        <v>0.42</v>
      </c>
      <c r="I3422" s="1">
        <v>110000</v>
      </c>
      <c r="J3422" s="1">
        <v>46200</v>
      </c>
      <c r="K3422">
        <v>2</v>
      </c>
      <c r="L3422">
        <v>0.41</v>
      </c>
      <c r="M3422">
        <v>0.42</v>
      </c>
      <c r="N3422" s="1">
        <v>5000000</v>
      </c>
      <c r="O3422">
        <v>0.42</v>
      </c>
      <c r="P3422">
        <v>0.92</v>
      </c>
      <c r="Q3422">
        <v>0.01</v>
      </c>
    </row>
    <row r="3423" spans="1:17" x14ac:dyDescent="0.25">
      <c r="A3423">
        <v>732349</v>
      </c>
      <c r="B3423" t="s">
        <v>4735</v>
      </c>
      <c r="C3423">
        <v>0.7</v>
      </c>
      <c r="D3423">
        <v>-0.02</v>
      </c>
      <c r="E3423">
        <v>0.7</v>
      </c>
      <c r="F3423">
        <v>0.71</v>
      </c>
      <c r="G3423">
        <v>0.69</v>
      </c>
      <c r="H3423">
        <v>0.7</v>
      </c>
      <c r="I3423" s="1">
        <v>473000</v>
      </c>
      <c r="J3423" s="1">
        <v>329420</v>
      </c>
      <c r="K3423">
        <v>23</v>
      </c>
      <c r="L3423">
        <v>0.69</v>
      </c>
      <c r="M3423">
        <v>0.7</v>
      </c>
      <c r="N3423" s="1">
        <v>5000000</v>
      </c>
      <c r="O3423">
        <v>0.7</v>
      </c>
      <c r="P3423">
        <v>1.34</v>
      </c>
      <c r="Q3423">
        <v>0.06</v>
      </c>
    </row>
    <row r="3424" spans="1:17" x14ac:dyDescent="0.25">
      <c r="A3424">
        <v>732350</v>
      </c>
      <c r="B3424" t="s">
        <v>4736</v>
      </c>
      <c r="C3424" t="s">
        <v>78</v>
      </c>
      <c r="D3424" t="s">
        <v>78</v>
      </c>
      <c r="E3424" t="s">
        <v>78</v>
      </c>
      <c r="F3424" t="s">
        <v>78</v>
      </c>
      <c r="G3424" t="s">
        <v>78</v>
      </c>
      <c r="H3424">
        <v>0.1</v>
      </c>
      <c r="I3424" s="1">
        <v>0</v>
      </c>
      <c r="J3424" s="1">
        <v>0</v>
      </c>
      <c r="K3424">
        <v>0</v>
      </c>
      <c r="L3424">
        <v>0.11</v>
      </c>
      <c r="M3424">
        <v>0.12</v>
      </c>
      <c r="N3424" s="1">
        <v>5000000</v>
      </c>
      <c r="O3424">
        <v>0.11</v>
      </c>
      <c r="P3424">
        <v>0.5</v>
      </c>
      <c r="Q3424">
        <v>0.01</v>
      </c>
    </row>
    <row r="3425" spans="1:17" x14ac:dyDescent="0.25">
      <c r="A3425">
        <v>732351</v>
      </c>
      <c r="B3425" t="s">
        <v>4737</v>
      </c>
      <c r="C3425">
        <v>0.72</v>
      </c>
      <c r="D3425">
        <v>-0.03</v>
      </c>
      <c r="E3425">
        <v>0.7</v>
      </c>
      <c r="F3425">
        <v>0.73</v>
      </c>
      <c r="G3425">
        <v>0.7</v>
      </c>
      <c r="H3425">
        <v>0.72</v>
      </c>
      <c r="I3425" s="1">
        <v>1084000</v>
      </c>
      <c r="J3425" s="1">
        <v>775750</v>
      </c>
      <c r="K3425">
        <v>24</v>
      </c>
      <c r="L3425">
        <v>0.71</v>
      </c>
      <c r="M3425">
        <v>0.72</v>
      </c>
      <c r="N3425" s="1">
        <v>5000000</v>
      </c>
      <c r="O3425">
        <v>0.72</v>
      </c>
      <c r="P3425">
        <v>1.25</v>
      </c>
      <c r="Q3425">
        <v>0.19</v>
      </c>
    </row>
    <row r="3426" spans="1:17" x14ac:dyDescent="0.25">
      <c r="A3426">
        <v>732352</v>
      </c>
      <c r="B3426" t="s">
        <v>4738</v>
      </c>
      <c r="C3426" t="s">
        <v>78</v>
      </c>
      <c r="D3426" t="s">
        <v>78</v>
      </c>
      <c r="E3426" t="s">
        <v>78</v>
      </c>
      <c r="F3426" t="s">
        <v>78</v>
      </c>
      <c r="G3426" t="s">
        <v>78</v>
      </c>
      <c r="H3426">
        <v>0.43</v>
      </c>
      <c r="I3426" s="1">
        <v>0</v>
      </c>
      <c r="J3426" s="1">
        <v>0</v>
      </c>
      <c r="K3426">
        <v>0</v>
      </c>
      <c r="L3426">
        <v>0.38</v>
      </c>
      <c r="M3426">
        <v>0.39</v>
      </c>
      <c r="N3426" s="1">
        <v>5000000</v>
      </c>
      <c r="O3426">
        <v>0.39</v>
      </c>
      <c r="P3426">
        <v>0.85</v>
      </c>
      <c r="Q3426">
        <v>0.01</v>
      </c>
    </row>
    <row r="3427" spans="1:17" x14ac:dyDescent="0.25">
      <c r="A3427">
        <v>732353</v>
      </c>
      <c r="B3427" t="s">
        <v>4739</v>
      </c>
      <c r="C3427">
        <v>0.53</v>
      </c>
      <c r="D3427">
        <v>0.03</v>
      </c>
      <c r="E3427">
        <v>0.52</v>
      </c>
      <c r="F3427">
        <v>0.59</v>
      </c>
      <c r="G3427">
        <v>0.52</v>
      </c>
      <c r="H3427">
        <v>0.56000000000000005</v>
      </c>
      <c r="I3427" s="1">
        <v>1277000</v>
      </c>
      <c r="J3427" s="1">
        <v>718140</v>
      </c>
      <c r="K3427">
        <v>42</v>
      </c>
      <c r="L3427">
        <v>0.48</v>
      </c>
      <c r="M3427">
        <v>0.49</v>
      </c>
      <c r="N3427" s="1">
        <v>5000000</v>
      </c>
      <c r="O3427">
        <v>0.53</v>
      </c>
      <c r="P3427">
        <v>1.03</v>
      </c>
      <c r="Q3427">
        <v>0.03</v>
      </c>
    </row>
    <row r="3428" spans="1:17" x14ac:dyDescent="0.25">
      <c r="A3428">
        <v>732354</v>
      </c>
      <c r="B3428" t="s">
        <v>4740</v>
      </c>
      <c r="C3428">
        <v>0.33</v>
      </c>
      <c r="D3428">
        <v>-0.02</v>
      </c>
      <c r="E3428">
        <v>0.33</v>
      </c>
      <c r="F3428">
        <v>0.33</v>
      </c>
      <c r="G3428">
        <v>0.33</v>
      </c>
      <c r="H3428">
        <v>0.33</v>
      </c>
      <c r="I3428" s="1">
        <v>108000</v>
      </c>
      <c r="J3428" s="1">
        <v>35640</v>
      </c>
      <c r="K3428">
        <v>1</v>
      </c>
      <c r="L3428">
        <v>0.34</v>
      </c>
      <c r="M3428">
        <v>0.35</v>
      </c>
      <c r="N3428" s="1">
        <v>5000000</v>
      </c>
      <c r="O3428">
        <v>0.33</v>
      </c>
      <c r="P3428">
        <v>0.88</v>
      </c>
      <c r="Q3428">
        <v>0.01</v>
      </c>
    </row>
    <row r="3429" spans="1:17" x14ac:dyDescent="0.25">
      <c r="A3429">
        <v>732355</v>
      </c>
      <c r="B3429" t="s">
        <v>4741</v>
      </c>
      <c r="C3429">
        <v>1.29</v>
      </c>
      <c r="D3429">
        <v>0</v>
      </c>
      <c r="E3429">
        <v>1.33</v>
      </c>
      <c r="F3429">
        <v>1.35</v>
      </c>
      <c r="G3429">
        <v>1.29</v>
      </c>
      <c r="H3429">
        <v>1.33</v>
      </c>
      <c r="I3429" s="1">
        <v>60000</v>
      </c>
      <c r="J3429" s="1">
        <v>80060</v>
      </c>
      <c r="K3429">
        <v>7</v>
      </c>
      <c r="L3429">
        <v>1.24</v>
      </c>
      <c r="M3429">
        <v>1.25</v>
      </c>
      <c r="N3429" s="1">
        <v>7000000</v>
      </c>
      <c r="O3429">
        <v>1.29</v>
      </c>
      <c r="P3429">
        <v>2.0499999999999998</v>
      </c>
      <c r="Q3429">
        <v>0.53</v>
      </c>
    </row>
    <row r="3430" spans="1:17" x14ac:dyDescent="0.25">
      <c r="A3430">
        <v>732356</v>
      </c>
      <c r="B3430" t="s">
        <v>4742</v>
      </c>
      <c r="C3430">
        <v>1.35</v>
      </c>
      <c r="D3430">
        <v>-7.0000000000000007E-2</v>
      </c>
      <c r="E3430">
        <v>1.42</v>
      </c>
      <c r="F3430">
        <v>1.42</v>
      </c>
      <c r="G3430">
        <v>1.35</v>
      </c>
      <c r="H3430">
        <v>1.39</v>
      </c>
      <c r="I3430" s="1">
        <v>41000</v>
      </c>
      <c r="J3430" s="1">
        <v>57050</v>
      </c>
      <c r="K3430">
        <v>6</v>
      </c>
      <c r="L3430">
        <v>1.34</v>
      </c>
      <c r="M3430">
        <v>1.35</v>
      </c>
      <c r="N3430" s="1">
        <v>7000000</v>
      </c>
      <c r="O3430">
        <v>1.35</v>
      </c>
      <c r="P3430">
        <v>2.11</v>
      </c>
      <c r="Q3430">
        <v>0.59</v>
      </c>
    </row>
    <row r="3431" spans="1:17" x14ac:dyDescent="0.25">
      <c r="A3431">
        <v>732357</v>
      </c>
      <c r="B3431" t="s">
        <v>4743</v>
      </c>
      <c r="C3431" t="s">
        <v>78</v>
      </c>
      <c r="D3431" t="s">
        <v>78</v>
      </c>
      <c r="E3431" t="s">
        <v>78</v>
      </c>
      <c r="F3431" t="s">
        <v>78</v>
      </c>
      <c r="G3431" t="s">
        <v>78</v>
      </c>
      <c r="H3431">
        <v>0.51</v>
      </c>
      <c r="I3431" s="1">
        <v>0</v>
      </c>
      <c r="J3431" s="1">
        <v>0</v>
      </c>
      <c r="K3431">
        <v>0</v>
      </c>
      <c r="L3431">
        <v>0.48</v>
      </c>
      <c r="M3431">
        <v>0.49</v>
      </c>
      <c r="N3431" s="1">
        <v>5000000</v>
      </c>
      <c r="O3431">
        <v>0.49</v>
      </c>
      <c r="P3431">
        <v>1.06</v>
      </c>
      <c r="Q3431">
        <v>0.01</v>
      </c>
    </row>
    <row r="3432" spans="1:17" x14ac:dyDescent="0.25">
      <c r="A3432">
        <v>732359</v>
      </c>
      <c r="B3432" t="s">
        <v>4744</v>
      </c>
      <c r="C3432" t="s">
        <v>78</v>
      </c>
      <c r="D3432" t="s">
        <v>78</v>
      </c>
      <c r="E3432" t="s">
        <v>78</v>
      </c>
      <c r="F3432" t="s">
        <v>78</v>
      </c>
      <c r="G3432" t="s">
        <v>78</v>
      </c>
      <c r="H3432">
        <v>0.88</v>
      </c>
      <c r="I3432" s="1">
        <v>0</v>
      </c>
      <c r="J3432" s="1">
        <v>0</v>
      </c>
      <c r="K3432">
        <v>0</v>
      </c>
      <c r="L3432">
        <v>1.01</v>
      </c>
      <c r="M3432">
        <v>1.02</v>
      </c>
      <c r="N3432" s="1">
        <v>10000000</v>
      </c>
      <c r="O3432">
        <v>1.01</v>
      </c>
      <c r="P3432">
        <v>2.2799999999999998</v>
      </c>
      <c r="Q3432">
        <v>0.01</v>
      </c>
    </row>
    <row r="3433" spans="1:17" x14ac:dyDescent="0.25">
      <c r="A3433">
        <v>732360</v>
      </c>
      <c r="B3433" t="s">
        <v>4745</v>
      </c>
      <c r="C3433" t="s">
        <v>78</v>
      </c>
      <c r="D3433" t="s">
        <v>78</v>
      </c>
      <c r="E3433" t="s">
        <v>78</v>
      </c>
      <c r="F3433" t="s">
        <v>78</v>
      </c>
      <c r="G3433" t="s">
        <v>78</v>
      </c>
      <c r="H3433">
        <v>0.17</v>
      </c>
      <c r="I3433" s="1">
        <v>0</v>
      </c>
      <c r="J3433" s="1">
        <v>0</v>
      </c>
      <c r="K3433">
        <v>0</v>
      </c>
      <c r="L3433">
        <v>0.11</v>
      </c>
      <c r="M3433">
        <v>0.12</v>
      </c>
      <c r="N3433" s="1">
        <v>5000000</v>
      </c>
      <c r="O3433">
        <v>0.12</v>
      </c>
      <c r="P3433">
        <v>0.52</v>
      </c>
      <c r="Q3433">
        <v>0.01</v>
      </c>
    </row>
    <row r="3434" spans="1:17" x14ac:dyDescent="0.25">
      <c r="A3434">
        <v>732361</v>
      </c>
      <c r="B3434" t="s">
        <v>4746</v>
      </c>
      <c r="C3434">
        <v>2.71</v>
      </c>
      <c r="D3434">
        <v>-0.04</v>
      </c>
      <c r="E3434">
        <v>2.78</v>
      </c>
      <c r="F3434">
        <v>2.87</v>
      </c>
      <c r="G3434">
        <v>2.71</v>
      </c>
      <c r="H3434">
        <v>2.76</v>
      </c>
      <c r="I3434" s="1">
        <v>106000</v>
      </c>
      <c r="J3434" s="1">
        <v>292390</v>
      </c>
      <c r="K3434">
        <v>15</v>
      </c>
      <c r="L3434">
        <v>2</v>
      </c>
      <c r="M3434">
        <v>2.75</v>
      </c>
      <c r="N3434" s="1">
        <v>5000000</v>
      </c>
      <c r="O3434">
        <v>2.71</v>
      </c>
      <c r="P3434">
        <v>3.6</v>
      </c>
      <c r="Q3434">
        <v>1.82</v>
      </c>
    </row>
    <row r="3435" spans="1:17" x14ac:dyDescent="0.25">
      <c r="A3435">
        <v>732362</v>
      </c>
      <c r="B3435" t="s">
        <v>4747</v>
      </c>
      <c r="C3435">
        <v>1.78</v>
      </c>
      <c r="D3435">
        <v>-0.2</v>
      </c>
      <c r="E3435">
        <v>1.98</v>
      </c>
      <c r="F3435">
        <v>2.12</v>
      </c>
      <c r="G3435">
        <v>1.78</v>
      </c>
      <c r="H3435">
        <v>2</v>
      </c>
      <c r="I3435" s="1">
        <v>139000</v>
      </c>
      <c r="J3435" s="1">
        <v>278010</v>
      </c>
      <c r="K3435">
        <v>17</v>
      </c>
      <c r="L3435">
        <v>1.78</v>
      </c>
      <c r="M3435">
        <v>1.82</v>
      </c>
      <c r="N3435" s="1">
        <v>5000000</v>
      </c>
      <c r="O3435">
        <v>1.78</v>
      </c>
      <c r="P3435">
        <v>3.6</v>
      </c>
      <c r="Q3435">
        <v>0.01</v>
      </c>
    </row>
    <row r="3436" spans="1:17" x14ac:dyDescent="0.25">
      <c r="A3436">
        <v>732363</v>
      </c>
      <c r="B3436" t="s">
        <v>4748</v>
      </c>
      <c r="C3436">
        <v>1.08</v>
      </c>
      <c r="D3436">
        <v>-0.04</v>
      </c>
      <c r="E3436">
        <v>1.1200000000000001</v>
      </c>
      <c r="F3436">
        <v>1.1599999999999999</v>
      </c>
      <c r="G3436">
        <v>1.08</v>
      </c>
      <c r="H3436">
        <v>1.1000000000000001</v>
      </c>
      <c r="I3436" s="1">
        <v>73000</v>
      </c>
      <c r="J3436" s="1">
        <v>80130</v>
      </c>
      <c r="K3436">
        <v>7</v>
      </c>
      <c r="L3436">
        <v>1.01</v>
      </c>
      <c r="M3436">
        <v>1.02</v>
      </c>
      <c r="N3436" s="1">
        <v>5000000</v>
      </c>
      <c r="O3436">
        <v>1.08</v>
      </c>
      <c r="P3436">
        <v>1.77</v>
      </c>
      <c r="Q3436">
        <v>0.39</v>
      </c>
    </row>
    <row r="3437" spans="1:17" x14ac:dyDescent="0.25">
      <c r="A3437">
        <v>732364</v>
      </c>
      <c r="B3437" t="s">
        <v>4749</v>
      </c>
      <c r="C3437">
        <v>1.29</v>
      </c>
      <c r="D3437">
        <v>-0.08</v>
      </c>
      <c r="E3437">
        <v>1.45</v>
      </c>
      <c r="F3437">
        <v>1.45</v>
      </c>
      <c r="G3437">
        <v>1.29</v>
      </c>
      <c r="H3437">
        <v>1.31</v>
      </c>
      <c r="I3437" s="1">
        <v>225000</v>
      </c>
      <c r="J3437" s="1">
        <v>294700</v>
      </c>
      <c r="K3437">
        <v>9</v>
      </c>
      <c r="L3437">
        <v>1.29</v>
      </c>
      <c r="M3437">
        <v>1.39</v>
      </c>
      <c r="N3437" s="1">
        <v>5000000</v>
      </c>
      <c r="O3437">
        <v>1.29</v>
      </c>
      <c r="P3437">
        <v>2.34</v>
      </c>
      <c r="Q3437">
        <v>0.23</v>
      </c>
    </row>
    <row r="3438" spans="1:17" x14ac:dyDescent="0.25">
      <c r="A3438">
        <v>732365</v>
      </c>
      <c r="B3438" t="s">
        <v>4750</v>
      </c>
      <c r="C3438" t="s">
        <v>78</v>
      </c>
      <c r="D3438" t="s">
        <v>78</v>
      </c>
      <c r="E3438" t="s">
        <v>78</v>
      </c>
      <c r="F3438" t="s">
        <v>78</v>
      </c>
      <c r="G3438" t="s">
        <v>78</v>
      </c>
      <c r="H3438">
        <v>0.63</v>
      </c>
      <c r="I3438" s="1">
        <v>0</v>
      </c>
      <c r="J3438" s="1">
        <v>0</v>
      </c>
      <c r="K3438">
        <v>0</v>
      </c>
      <c r="L3438">
        <v>0.66</v>
      </c>
      <c r="M3438">
        <v>0.76</v>
      </c>
      <c r="N3438" s="1">
        <v>5000000</v>
      </c>
      <c r="O3438">
        <v>0.66</v>
      </c>
      <c r="P3438">
        <v>1.53</v>
      </c>
      <c r="Q3438">
        <v>0.01</v>
      </c>
    </row>
    <row r="3439" spans="1:17" x14ac:dyDescent="0.25">
      <c r="A3439">
        <v>732366</v>
      </c>
      <c r="B3439" t="s">
        <v>4751</v>
      </c>
      <c r="C3439">
        <v>1.06</v>
      </c>
      <c r="D3439">
        <v>-0.03</v>
      </c>
      <c r="E3439">
        <v>1.0900000000000001</v>
      </c>
      <c r="F3439">
        <v>1.0900000000000001</v>
      </c>
      <c r="G3439">
        <v>1.04</v>
      </c>
      <c r="H3439">
        <v>1.08</v>
      </c>
      <c r="I3439" s="1">
        <v>151000</v>
      </c>
      <c r="J3439" s="1">
        <v>163250</v>
      </c>
      <c r="K3439">
        <v>8</v>
      </c>
      <c r="L3439">
        <v>1.05</v>
      </c>
      <c r="M3439">
        <v>1.06</v>
      </c>
      <c r="N3439" s="1">
        <v>5000000</v>
      </c>
      <c r="O3439">
        <v>1.06</v>
      </c>
      <c r="P3439">
        <v>1.81</v>
      </c>
      <c r="Q3439">
        <v>0.31</v>
      </c>
    </row>
    <row r="3440" spans="1:17" x14ac:dyDescent="0.25">
      <c r="A3440">
        <v>732367</v>
      </c>
      <c r="B3440" t="s">
        <v>4752</v>
      </c>
      <c r="C3440">
        <v>0.69</v>
      </c>
      <c r="D3440">
        <v>0.01</v>
      </c>
      <c r="E3440">
        <v>0.67</v>
      </c>
      <c r="F3440">
        <v>0.69</v>
      </c>
      <c r="G3440">
        <v>0.67</v>
      </c>
      <c r="H3440">
        <v>0.69</v>
      </c>
      <c r="I3440" s="1">
        <v>132000</v>
      </c>
      <c r="J3440" s="1">
        <v>90680</v>
      </c>
      <c r="K3440">
        <v>11</v>
      </c>
      <c r="L3440">
        <v>0.7</v>
      </c>
      <c r="M3440">
        <v>0.71</v>
      </c>
      <c r="N3440" s="1">
        <v>10000000</v>
      </c>
      <c r="O3440">
        <v>0.69</v>
      </c>
      <c r="P3440">
        <v>1.38</v>
      </c>
      <c r="Q3440">
        <v>0.01</v>
      </c>
    </row>
    <row r="3441" spans="1:17" x14ac:dyDescent="0.25">
      <c r="A3441">
        <v>732368</v>
      </c>
      <c r="B3441" t="s">
        <v>4753</v>
      </c>
      <c r="C3441" t="s">
        <v>78</v>
      </c>
      <c r="D3441" t="s">
        <v>78</v>
      </c>
      <c r="E3441" t="s">
        <v>78</v>
      </c>
      <c r="F3441" t="s">
        <v>78</v>
      </c>
      <c r="G3441" t="s">
        <v>78</v>
      </c>
      <c r="H3441">
        <v>0.24</v>
      </c>
      <c r="I3441" s="1">
        <v>0</v>
      </c>
      <c r="J3441" s="1">
        <v>0</v>
      </c>
      <c r="K3441">
        <v>0</v>
      </c>
      <c r="L3441">
        <v>0.21</v>
      </c>
      <c r="M3441">
        <v>0.22</v>
      </c>
      <c r="N3441" s="1">
        <v>10000000</v>
      </c>
      <c r="O3441">
        <v>0.22</v>
      </c>
      <c r="P3441">
        <v>0.71</v>
      </c>
      <c r="Q3441">
        <v>0.01</v>
      </c>
    </row>
    <row r="3442" spans="1:17" x14ac:dyDescent="0.25">
      <c r="A3442">
        <v>732369</v>
      </c>
      <c r="B3442" t="s">
        <v>4754</v>
      </c>
      <c r="C3442">
        <v>0.51</v>
      </c>
      <c r="D3442">
        <v>-0.05</v>
      </c>
      <c r="E3442">
        <v>0.55000000000000004</v>
      </c>
      <c r="F3442">
        <v>0.55000000000000004</v>
      </c>
      <c r="G3442">
        <v>0.51</v>
      </c>
      <c r="H3442">
        <v>0.55000000000000004</v>
      </c>
      <c r="I3442" s="1">
        <v>170000</v>
      </c>
      <c r="J3442" s="1">
        <v>92700</v>
      </c>
      <c r="K3442">
        <v>2</v>
      </c>
      <c r="L3442">
        <v>0.48</v>
      </c>
      <c r="M3442">
        <v>0.49</v>
      </c>
      <c r="N3442" s="1">
        <v>10000000</v>
      </c>
      <c r="O3442">
        <v>0.51</v>
      </c>
      <c r="P3442">
        <v>1.22</v>
      </c>
      <c r="Q3442">
        <v>0.01</v>
      </c>
    </row>
    <row r="3443" spans="1:17" x14ac:dyDescent="0.25">
      <c r="A3443">
        <v>732370</v>
      </c>
      <c r="B3443" t="s">
        <v>4755</v>
      </c>
      <c r="C3443">
        <v>1.97</v>
      </c>
      <c r="D3443">
        <v>0.04</v>
      </c>
      <c r="E3443">
        <v>1.97</v>
      </c>
      <c r="F3443">
        <v>1.97</v>
      </c>
      <c r="G3443">
        <v>1.97</v>
      </c>
      <c r="H3443">
        <v>1.97</v>
      </c>
      <c r="I3443" s="1">
        <v>20000</v>
      </c>
      <c r="J3443" s="1">
        <v>39400</v>
      </c>
      <c r="K3443">
        <v>1</v>
      </c>
      <c r="L3443">
        <v>1.95</v>
      </c>
      <c r="M3443">
        <v>2.0499999999999998</v>
      </c>
      <c r="N3443" s="1">
        <v>10000000</v>
      </c>
      <c r="O3443">
        <v>1.97</v>
      </c>
      <c r="P3443">
        <v>3.35</v>
      </c>
      <c r="Q3443">
        <v>0.59</v>
      </c>
    </row>
    <row r="3444" spans="1:17" x14ac:dyDescent="0.25">
      <c r="A3444">
        <v>732371</v>
      </c>
      <c r="B3444" t="s">
        <v>4756</v>
      </c>
      <c r="C3444" t="s">
        <v>78</v>
      </c>
      <c r="D3444" t="s">
        <v>78</v>
      </c>
      <c r="E3444" t="s">
        <v>78</v>
      </c>
      <c r="F3444" t="s">
        <v>78</v>
      </c>
      <c r="G3444" t="s">
        <v>78</v>
      </c>
      <c r="H3444">
        <v>0.52</v>
      </c>
      <c r="I3444" s="1">
        <v>0</v>
      </c>
      <c r="J3444" s="1">
        <v>0</v>
      </c>
      <c r="K3444">
        <v>0</v>
      </c>
      <c r="L3444">
        <v>0.4</v>
      </c>
      <c r="M3444">
        <v>0.41</v>
      </c>
      <c r="N3444" s="1">
        <v>5000000</v>
      </c>
      <c r="O3444">
        <v>0.41</v>
      </c>
      <c r="P3444">
        <v>0.86</v>
      </c>
      <c r="Q3444">
        <v>0.01</v>
      </c>
    </row>
    <row r="3445" spans="1:17" x14ac:dyDescent="0.25">
      <c r="A3445">
        <v>732372</v>
      </c>
      <c r="B3445" t="s">
        <v>4757</v>
      </c>
      <c r="C3445">
        <v>0.92</v>
      </c>
      <c r="D3445">
        <v>-0.03</v>
      </c>
      <c r="E3445">
        <v>0.96</v>
      </c>
      <c r="F3445">
        <v>0.96</v>
      </c>
      <c r="G3445">
        <v>0.9</v>
      </c>
      <c r="H3445">
        <v>0.92</v>
      </c>
      <c r="I3445" s="1">
        <v>840000</v>
      </c>
      <c r="J3445" s="1">
        <v>773330</v>
      </c>
      <c r="K3445">
        <v>25</v>
      </c>
      <c r="L3445">
        <v>0.91</v>
      </c>
      <c r="M3445">
        <v>0.96</v>
      </c>
      <c r="N3445" s="1">
        <v>5000000</v>
      </c>
      <c r="O3445">
        <v>0.92</v>
      </c>
      <c r="P3445">
        <v>1.67</v>
      </c>
      <c r="Q3445">
        <v>0.17</v>
      </c>
    </row>
    <row r="3446" spans="1:17" x14ac:dyDescent="0.25">
      <c r="A3446">
        <v>732373</v>
      </c>
      <c r="B3446" t="s">
        <v>4758</v>
      </c>
      <c r="C3446">
        <v>0.82</v>
      </c>
      <c r="D3446">
        <v>0.02</v>
      </c>
      <c r="E3446">
        <v>0.83</v>
      </c>
      <c r="F3446">
        <v>0.83</v>
      </c>
      <c r="G3446">
        <v>0.82</v>
      </c>
      <c r="H3446">
        <v>0.83</v>
      </c>
      <c r="I3446" s="1">
        <v>149000</v>
      </c>
      <c r="J3446" s="1">
        <v>123180</v>
      </c>
      <c r="K3446">
        <v>2</v>
      </c>
      <c r="L3446">
        <v>0.8</v>
      </c>
      <c r="M3446">
        <v>0.82</v>
      </c>
      <c r="N3446" s="1">
        <v>5000000</v>
      </c>
      <c r="O3446">
        <v>0.82</v>
      </c>
      <c r="P3446">
        <v>1.75</v>
      </c>
      <c r="Q3446">
        <v>0.01</v>
      </c>
    </row>
    <row r="3447" spans="1:17" x14ac:dyDescent="0.25">
      <c r="A3447">
        <v>732374</v>
      </c>
      <c r="B3447" t="s">
        <v>4759</v>
      </c>
      <c r="C3447">
        <v>0.98</v>
      </c>
      <c r="D3447">
        <v>-0.09</v>
      </c>
      <c r="E3447">
        <v>1.1000000000000001</v>
      </c>
      <c r="F3447">
        <v>1.1100000000000001</v>
      </c>
      <c r="G3447">
        <v>0.98</v>
      </c>
      <c r="H3447">
        <v>1.06</v>
      </c>
      <c r="I3447" s="1">
        <v>197000</v>
      </c>
      <c r="J3447" s="1">
        <v>209480</v>
      </c>
      <c r="K3447">
        <v>16</v>
      </c>
      <c r="L3447">
        <v>0.97</v>
      </c>
      <c r="M3447">
        <v>0.98</v>
      </c>
      <c r="N3447" s="1">
        <v>5000000</v>
      </c>
      <c r="O3447">
        <v>0.98</v>
      </c>
      <c r="P3447">
        <v>1.66</v>
      </c>
      <c r="Q3447">
        <v>0.3</v>
      </c>
    </row>
    <row r="3448" spans="1:17" x14ac:dyDescent="0.25">
      <c r="A3448">
        <v>732375</v>
      </c>
      <c r="B3448" t="s">
        <v>4760</v>
      </c>
      <c r="C3448">
        <v>3.76</v>
      </c>
      <c r="D3448">
        <v>-0.41</v>
      </c>
      <c r="E3448">
        <v>4.2300000000000004</v>
      </c>
      <c r="F3448">
        <v>4.2300000000000004</v>
      </c>
      <c r="G3448">
        <v>3.76</v>
      </c>
      <c r="H3448">
        <v>4.18</v>
      </c>
      <c r="I3448" s="1">
        <v>42000</v>
      </c>
      <c r="J3448" s="1">
        <v>175510</v>
      </c>
      <c r="K3448">
        <v>5</v>
      </c>
      <c r="L3448">
        <v>3.83</v>
      </c>
      <c r="M3448">
        <v>3.93</v>
      </c>
      <c r="N3448" s="1">
        <v>5000000</v>
      </c>
      <c r="O3448">
        <v>3.76</v>
      </c>
      <c r="P3448">
        <v>6.55</v>
      </c>
      <c r="Q3448">
        <v>0.96</v>
      </c>
    </row>
    <row r="3449" spans="1:17" x14ac:dyDescent="0.25">
      <c r="A3449">
        <v>732376</v>
      </c>
      <c r="B3449" t="s">
        <v>4761</v>
      </c>
      <c r="C3449">
        <v>1.51</v>
      </c>
      <c r="D3449">
        <v>0.19</v>
      </c>
      <c r="E3449">
        <v>1.44</v>
      </c>
      <c r="F3449">
        <v>1.66</v>
      </c>
      <c r="G3449">
        <v>1.43</v>
      </c>
      <c r="H3449">
        <v>1.49</v>
      </c>
      <c r="I3449" s="1">
        <v>165000</v>
      </c>
      <c r="J3449" s="1">
        <v>246610</v>
      </c>
      <c r="K3449">
        <v>20</v>
      </c>
      <c r="L3449">
        <v>1.49</v>
      </c>
      <c r="M3449">
        <v>1.55</v>
      </c>
      <c r="N3449" s="1">
        <v>5000000</v>
      </c>
      <c r="O3449">
        <v>1.51</v>
      </c>
      <c r="P3449">
        <v>2.2400000000000002</v>
      </c>
      <c r="Q3449">
        <v>0.75</v>
      </c>
    </row>
    <row r="3450" spans="1:17" x14ac:dyDescent="0.25">
      <c r="A3450">
        <v>732377</v>
      </c>
      <c r="B3450" t="s">
        <v>4762</v>
      </c>
      <c r="C3450">
        <v>1.1599999999999999</v>
      </c>
      <c r="D3450">
        <v>-0.01</v>
      </c>
      <c r="E3450">
        <v>1.1499999999999999</v>
      </c>
      <c r="F3450">
        <v>1.17</v>
      </c>
      <c r="G3450">
        <v>1.1399999999999999</v>
      </c>
      <c r="H3450">
        <v>1.1499999999999999</v>
      </c>
      <c r="I3450" s="1">
        <v>34000</v>
      </c>
      <c r="J3450" s="1">
        <v>39080</v>
      </c>
      <c r="K3450">
        <v>7</v>
      </c>
      <c r="L3450">
        <v>1.1599999999999999</v>
      </c>
      <c r="M3450">
        <v>1.17</v>
      </c>
      <c r="N3450" s="1">
        <v>5000000</v>
      </c>
      <c r="O3450">
        <v>1.1599999999999999</v>
      </c>
      <c r="P3450">
        <v>2.0299999999999998</v>
      </c>
      <c r="Q3450">
        <v>0.28999999999999998</v>
      </c>
    </row>
    <row r="3451" spans="1:17" x14ac:dyDescent="0.25">
      <c r="A3451">
        <v>732378</v>
      </c>
      <c r="B3451" t="s">
        <v>4763</v>
      </c>
      <c r="C3451">
        <v>1.1000000000000001</v>
      </c>
      <c r="D3451">
        <v>-0.08</v>
      </c>
      <c r="E3451">
        <v>1.1000000000000001</v>
      </c>
      <c r="F3451">
        <v>1.1000000000000001</v>
      </c>
      <c r="G3451">
        <v>1.1000000000000001</v>
      </c>
      <c r="H3451">
        <v>1.1000000000000001</v>
      </c>
      <c r="I3451" s="1">
        <v>10000</v>
      </c>
      <c r="J3451" s="1">
        <v>11000</v>
      </c>
      <c r="K3451">
        <v>1</v>
      </c>
      <c r="L3451">
        <v>1.0900000000000001</v>
      </c>
      <c r="M3451">
        <v>1.1100000000000001</v>
      </c>
      <c r="N3451" s="1">
        <v>5000000</v>
      </c>
      <c r="O3451">
        <v>1.1000000000000001</v>
      </c>
      <c r="P3451">
        <v>2.15</v>
      </c>
      <c r="Q3451">
        <v>0.01</v>
      </c>
    </row>
    <row r="3452" spans="1:17" x14ac:dyDescent="0.25">
      <c r="A3452">
        <v>732379</v>
      </c>
      <c r="B3452" t="s">
        <v>4764</v>
      </c>
      <c r="C3452">
        <v>0.81</v>
      </c>
      <c r="D3452">
        <v>-0.05</v>
      </c>
      <c r="E3452">
        <v>0.81</v>
      </c>
      <c r="F3452">
        <v>0.81</v>
      </c>
      <c r="G3452">
        <v>0.81</v>
      </c>
      <c r="H3452">
        <v>0.81</v>
      </c>
      <c r="I3452" s="1">
        <v>100000</v>
      </c>
      <c r="J3452" s="1">
        <v>81000</v>
      </c>
      <c r="K3452">
        <v>1</v>
      </c>
      <c r="L3452">
        <v>0.8</v>
      </c>
      <c r="M3452">
        <v>0.84</v>
      </c>
      <c r="N3452" s="1">
        <v>5000000</v>
      </c>
      <c r="O3452">
        <v>0.81</v>
      </c>
      <c r="P3452">
        <v>2.57</v>
      </c>
      <c r="Q3452">
        <v>0.01</v>
      </c>
    </row>
    <row r="3453" spans="1:17" x14ac:dyDescent="0.25">
      <c r="A3453">
        <v>732380</v>
      </c>
      <c r="B3453" t="s">
        <v>4765</v>
      </c>
      <c r="C3453">
        <v>1.1000000000000001</v>
      </c>
      <c r="D3453">
        <v>-0.04</v>
      </c>
      <c r="E3453">
        <v>1.1299999999999999</v>
      </c>
      <c r="F3453">
        <v>1.1299999999999999</v>
      </c>
      <c r="G3453">
        <v>1.1000000000000001</v>
      </c>
      <c r="H3453">
        <v>1.1100000000000001</v>
      </c>
      <c r="I3453" s="1">
        <v>43000</v>
      </c>
      <c r="J3453" s="1">
        <v>47850</v>
      </c>
      <c r="K3453">
        <v>5</v>
      </c>
      <c r="L3453">
        <v>1.1000000000000001</v>
      </c>
      <c r="M3453">
        <v>1.1499999999999999</v>
      </c>
      <c r="N3453" s="1">
        <v>5000000</v>
      </c>
      <c r="O3453">
        <v>1.1000000000000001</v>
      </c>
      <c r="P3453">
        <v>2.0499999999999998</v>
      </c>
      <c r="Q3453">
        <v>0.14000000000000001</v>
      </c>
    </row>
    <row r="3454" spans="1:17" x14ac:dyDescent="0.25">
      <c r="A3454">
        <v>732381</v>
      </c>
      <c r="B3454" t="s">
        <v>4766</v>
      </c>
      <c r="C3454" t="s">
        <v>78</v>
      </c>
      <c r="D3454" t="s">
        <v>78</v>
      </c>
      <c r="E3454" t="s">
        <v>78</v>
      </c>
      <c r="F3454" t="s">
        <v>78</v>
      </c>
      <c r="G3454" t="s">
        <v>78</v>
      </c>
      <c r="H3454">
        <v>1.01</v>
      </c>
      <c r="I3454" s="1">
        <v>0</v>
      </c>
      <c r="J3454" s="1">
        <v>0</v>
      </c>
      <c r="K3454">
        <v>0</v>
      </c>
      <c r="L3454">
        <v>0.93</v>
      </c>
      <c r="M3454">
        <v>0.97</v>
      </c>
      <c r="N3454" s="1">
        <v>5000000</v>
      </c>
      <c r="O3454">
        <v>0.97</v>
      </c>
      <c r="P3454">
        <v>2.87</v>
      </c>
      <c r="Q3454">
        <v>0.01</v>
      </c>
    </row>
    <row r="3455" spans="1:17" x14ac:dyDescent="0.25">
      <c r="A3455">
        <v>732382</v>
      </c>
      <c r="B3455" t="s">
        <v>4767</v>
      </c>
      <c r="C3455">
        <v>0.19</v>
      </c>
      <c r="D3455">
        <v>0.01</v>
      </c>
      <c r="E3455">
        <v>0.18</v>
      </c>
      <c r="F3455">
        <v>0.19</v>
      </c>
      <c r="G3455">
        <v>0.18</v>
      </c>
      <c r="H3455">
        <v>0.18</v>
      </c>
      <c r="I3455" s="1">
        <v>101000</v>
      </c>
      <c r="J3455" s="1">
        <v>18190</v>
      </c>
      <c r="K3455">
        <v>2</v>
      </c>
      <c r="L3455">
        <v>0.17</v>
      </c>
      <c r="M3455">
        <v>0.18</v>
      </c>
      <c r="N3455" s="1">
        <v>5000000</v>
      </c>
      <c r="O3455">
        <v>0.19</v>
      </c>
      <c r="P3455">
        <v>2.14</v>
      </c>
      <c r="Q3455">
        <v>0.01</v>
      </c>
    </row>
    <row r="3456" spans="1:17" x14ac:dyDescent="0.25">
      <c r="A3456">
        <v>732383</v>
      </c>
      <c r="B3456" t="s">
        <v>4768</v>
      </c>
      <c r="C3456">
        <v>0.62</v>
      </c>
      <c r="D3456">
        <v>0.04</v>
      </c>
      <c r="E3456">
        <v>0.61</v>
      </c>
      <c r="F3456">
        <v>0.72</v>
      </c>
      <c r="G3456">
        <v>0.61</v>
      </c>
      <c r="H3456">
        <v>0.66</v>
      </c>
      <c r="I3456" s="1">
        <v>1050000</v>
      </c>
      <c r="J3456" s="1">
        <v>688470</v>
      </c>
      <c r="K3456">
        <v>16</v>
      </c>
      <c r="L3456">
        <v>0.61</v>
      </c>
      <c r="M3456">
        <v>0.62</v>
      </c>
      <c r="N3456" s="1">
        <v>5000000</v>
      </c>
      <c r="O3456">
        <v>0.62</v>
      </c>
      <c r="P3456">
        <v>2.6</v>
      </c>
      <c r="Q3456">
        <v>0.01</v>
      </c>
    </row>
    <row r="3457" spans="1:17" x14ac:dyDescent="0.25">
      <c r="A3457">
        <v>732384</v>
      </c>
      <c r="B3457" t="s">
        <v>4769</v>
      </c>
      <c r="C3457" t="s">
        <v>78</v>
      </c>
      <c r="D3457" t="s">
        <v>78</v>
      </c>
      <c r="E3457" t="s">
        <v>78</v>
      </c>
      <c r="F3457" t="s">
        <v>78</v>
      </c>
      <c r="G3457" t="s">
        <v>78</v>
      </c>
      <c r="H3457">
        <v>4.37</v>
      </c>
      <c r="I3457" s="1">
        <v>0</v>
      </c>
      <c r="J3457" s="1">
        <v>0</v>
      </c>
      <c r="K3457">
        <v>0</v>
      </c>
      <c r="L3457">
        <v>4.1500000000000004</v>
      </c>
      <c r="M3457">
        <v>8</v>
      </c>
      <c r="N3457" s="1">
        <v>5000000</v>
      </c>
      <c r="O3457">
        <v>4.63</v>
      </c>
      <c r="P3457">
        <v>8.8000000000000007</v>
      </c>
      <c r="Q3457">
        <v>0.43</v>
      </c>
    </row>
    <row r="3458" spans="1:17" x14ac:dyDescent="0.25">
      <c r="A3458">
        <v>732385</v>
      </c>
      <c r="B3458" t="s">
        <v>4770</v>
      </c>
      <c r="C3458">
        <v>1.21</v>
      </c>
      <c r="D3458">
        <v>-0.09</v>
      </c>
      <c r="E3458">
        <v>1.3</v>
      </c>
      <c r="F3458">
        <v>1.34</v>
      </c>
      <c r="G3458">
        <v>1.2</v>
      </c>
      <c r="H3458">
        <v>1.28</v>
      </c>
      <c r="I3458" s="1">
        <v>765000</v>
      </c>
      <c r="J3458" s="1">
        <v>976920</v>
      </c>
      <c r="K3458">
        <v>31</v>
      </c>
      <c r="L3458">
        <v>1.2</v>
      </c>
      <c r="M3458">
        <v>1.21</v>
      </c>
      <c r="N3458" s="1">
        <v>10000000</v>
      </c>
      <c r="O3458">
        <v>1.21</v>
      </c>
      <c r="P3458">
        <v>2.35</v>
      </c>
      <c r="Q3458">
        <v>7.0000000000000007E-2</v>
      </c>
    </row>
    <row r="3459" spans="1:17" x14ac:dyDescent="0.25">
      <c r="A3459">
        <v>732386</v>
      </c>
      <c r="B3459" t="s">
        <v>4771</v>
      </c>
      <c r="C3459" t="s">
        <v>78</v>
      </c>
      <c r="D3459" t="s">
        <v>78</v>
      </c>
      <c r="E3459" t="s">
        <v>78</v>
      </c>
      <c r="F3459" t="s">
        <v>78</v>
      </c>
      <c r="G3459" t="s">
        <v>78</v>
      </c>
      <c r="H3459">
        <v>0.34</v>
      </c>
      <c r="I3459" s="1">
        <v>0</v>
      </c>
      <c r="J3459" s="1">
        <v>0</v>
      </c>
      <c r="K3459">
        <v>0</v>
      </c>
      <c r="L3459">
        <v>0.32</v>
      </c>
      <c r="M3459">
        <v>0.33</v>
      </c>
      <c r="N3459" s="1">
        <v>10000000</v>
      </c>
      <c r="O3459">
        <v>0.33</v>
      </c>
      <c r="P3459">
        <v>0.7</v>
      </c>
      <c r="Q3459">
        <v>0.01</v>
      </c>
    </row>
    <row r="3460" spans="1:17" x14ac:dyDescent="0.25">
      <c r="A3460">
        <v>732387</v>
      </c>
      <c r="B3460" t="s">
        <v>4772</v>
      </c>
      <c r="C3460">
        <v>0.33</v>
      </c>
      <c r="D3460">
        <v>-0.01</v>
      </c>
      <c r="E3460">
        <v>0.33</v>
      </c>
      <c r="F3460">
        <v>0.33</v>
      </c>
      <c r="G3460">
        <v>0.33</v>
      </c>
      <c r="H3460">
        <v>0.33</v>
      </c>
      <c r="I3460" s="1">
        <v>154000</v>
      </c>
      <c r="J3460" s="1">
        <v>50820</v>
      </c>
      <c r="K3460">
        <v>4</v>
      </c>
      <c r="L3460">
        <v>0.31</v>
      </c>
      <c r="M3460">
        <v>0.32</v>
      </c>
      <c r="N3460" s="1">
        <v>5000000</v>
      </c>
      <c r="O3460">
        <v>0.33</v>
      </c>
      <c r="P3460">
        <v>1.1100000000000001</v>
      </c>
      <c r="Q3460">
        <v>0.01</v>
      </c>
    </row>
    <row r="3461" spans="1:17" x14ac:dyDescent="0.25">
      <c r="A3461">
        <v>732388</v>
      </c>
      <c r="B3461" t="s">
        <v>4773</v>
      </c>
      <c r="C3461">
        <v>2.23</v>
      </c>
      <c r="D3461">
        <v>-0.15</v>
      </c>
      <c r="E3461">
        <v>2.46</v>
      </c>
      <c r="F3461">
        <v>2.48</v>
      </c>
      <c r="G3461">
        <v>2.23</v>
      </c>
      <c r="H3461">
        <v>2.39</v>
      </c>
      <c r="I3461" s="1">
        <v>389000</v>
      </c>
      <c r="J3461" s="1">
        <v>929410</v>
      </c>
      <c r="K3461">
        <v>23</v>
      </c>
      <c r="L3461">
        <v>2.17</v>
      </c>
      <c r="M3461">
        <v>2.1800000000000002</v>
      </c>
      <c r="N3461" s="1">
        <v>5000000</v>
      </c>
      <c r="O3461">
        <v>2.23</v>
      </c>
      <c r="P3461">
        <v>3.81</v>
      </c>
      <c r="Q3461">
        <v>0.65</v>
      </c>
    </row>
    <row r="3462" spans="1:17" x14ac:dyDescent="0.25">
      <c r="A3462">
        <v>732389</v>
      </c>
      <c r="B3462" t="s">
        <v>4774</v>
      </c>
      <c r="C3462">
        <v>3.55</v>
      </c>
      <c r="D3462">
        <v>0.18</v>
      </c>
      <c r="E3462">
        <v>3.52</v>
      </c>
      <c r="F3462">
        <v>3.55</v>
      </c>
      <c r="G3462">
        <v>3.52</v>
      </c>
      <c r="H3462">
        <v>3.54</v>
      </c>
      <c r="I3462" s="1">
        <v>20000</v>
      </c>
      <c r="J3462" s="1">
        <v>70700</v>
      </c>
      <c r="K3462">
        <v>2</v>
      </c>
      <c r="L3462">
        <v>3.1</v>
      </c>
      <c r="M3462">
        <v>3.18</v>
      </c>
      <c r="N3462" s="1">
        <v>10000000</v>
      </c>
      <c r="O3462">
        <v>3.55</v>
      </c>
      <c r="P3462">
        <v>5.2</v>
      </c>
      <c r="Q3462">
        <v>1.87</v>
      </c>
    </row>
    <row r="3463" spans="1:17" x14ac:dyDescent="0.25">
      <c r="A3463">
        <v>732390</v>
      </c>
      <c r="B3463" t="s">
        <v>4775</v>
      </c>
      <c r="C3463" t="s">
        <v>78</v>
      </c>
      <c r="D3463" t="s">
        <v>78</v>
      </c>
      <c r="E3463" t="s">
        <v>78</v>
      </c>
      <c r="F3463" t="s">
        <v>78</v>
      </c>
      <c r="G3463" t="s">
        <v>78</v>
      </c>
      <c r="H3463">
        <v>0.56000000000000005</v>
      </c>
      <c r="I3463" s="1">
        <v>0</v>
      </c>
      <c r="J3463" s="1">
        <v>0</v>
      </c>
      <c r="K3463">
        <v>0</v>
      </c>
      <c r="L3463">
        <v>0.55000000000000004</v>
      </c>
      <c r="M3463">
        <v>0.56000000000000005</v>
      </c>
      <c r="N3463" s="1">
        <v>5000000</v>
      </c>
      <c r="O3463">
        <v>0.56000000000000005</v>
      </c>
      <c r="P3463">
        <v>1.1299999999999999</v>
      </c>
      <c r="Q3463">
        <v>0.01</v>
      </c>
    </row>
    <row r="3464" spans="1:17" x14ac:dyDescent="0.25">
      <c r="A3464">
        <v>732391</v>
      </c>
      <c r="B3464" t="s">
        <v>4776</v>
      </c>
      <c r="C3464">
        <v>1.01</v>
      </c>
      <c r="D3464">
        <v>-7.0000000000000007E-2</v>
      </c>
      <c r="E3464">
        <v>1.0900000000000001</v>
      </c>
      <c r="F3464">
        <v>1.1200000000000001</v>
      </c>
      <c r="G3464">
        <v>0.98</v>
      </c>
      <c r="H3464">
        <v>1.06</v>
      </c>
      <c r="I3464" s="1">
        <v>240000</v>
      </c>
      <c r="J3464" s="1">
        <v>254380</v>
      </c>
      <c r="K3464">
        <v>14</v>
      </c>
      <c r="L3464">
        <v>1</v>
      </c>
      <c r="M3464">
        <v>1.01</v>
      </c>
      <c r="N3464" s="1">
        <v>5000000</v>
      </c>
      <c r="O3464">
        <v>1.01</v>
      </c>
      <c r="P3464">
        <v>1.97</v>
      </c>
      <c r="Q3464">
        <v>0.05</v>
      </c>
    </row>
    <row r="3465" spans="1:17" x14ac:dyDescent="0.25">
      <c r="A3465">
        <v>732392</v>
      </c>
      <c r="B3465" t="s">
        <v>4777</v>
      </c>
      <c r="C3465">
        <v>0.56999999999999995</v>
      </c>
      <c r="D3465">
        <v>-0.04</v>
      </c>
      <c r="E3465">
        <v>0.57999999999999996</v>
      </c>
      <c r="F3465">
        <v>0.57999999999999996</v>
      </c>
      <c r="G3465">
        <v>0.56999999999999995</v>
      </c>
      <c r="H3465">
        <v>0.57999999999999996</v>
      </c>
      <c r="I3465" s="1">
        <v>18000</v>
      </c>
      <c r="J3465" s="1">
        <v>10360</v>
      </c>
      <c r="K3465">
        <v>2</v>
      </c>
      <c r="L3465">
        <v>0.56999999999999995</v>
      </c>
      <c r="M3465">
        <v>0.59</v>
      </c>
      <c r="N3465" s="1">
        <v>5000000</v>
      </c>
      <c r="O3465">
        <v>0.56999999999999995</v>
      </c>
      <c r="P3465">
        <v>1.04</v>
      </c>
      <c r="Q3465">
        <v>0.1</v>
      </c>
    </row>
    <row r="3466" spans="1:17" x14ac:dyDescent="0.25">
      <c r="A3466">
        <v>732393</v>
      </c>
      <c r="B3466" t="s">
        <v>4778</v>
      </c>
      <c r="C3466">
        <v>1.31</v>
      </c>
      <c r="D3466">
        <v>0.15</v>
      </c>
      <c r="E3466">
        <v>1.1200000000000001</v>
      </c>
      <c r="F3466">
        <v>1.35</v>
      </c>
      <c r="G3466">
        <v>1.1100000000000001</v>
      </c>
      <c r="H3466">
        <v>1.22</v>
      </c>
      <c r="I3466" s="1">
        <v>2221000</v>
      </c>
      <c r="J3466" s="1">
        <v>2711230</v>
      </c>
      <c r="K3466">
        <v>49</v>
      </c>
      <c r="L3466">
        <v>1.24</v>
      </c>
      <c r="M3466">
        <v>1.25</v>
      </c>
      <c r="N3466" s="1">
        <v>5000000</v>
      </c>
      <c r="O3466">
        <v>1.31</v>
      </c>
      <c r="P3466">
        <v>2.4300000000000002</v>
      </c>
      <c r="Q3466">
        <v>0.19</v>
      </c>
    </row>
    <row r="3467" spans="1:17" x14ac:dyDescent="0.25">
      <c r="A3467">
        <v>732394</v>
      </c>
      <c r="B3467" t="s">
        <v>4779</v>
      </c>
      <c r="C3467">
        <v>0.13</v>
      </c>
      <c r="D3467">
        <v>-0.01</v>
      </c>
      <c r="E3467">
        <v>0.14000000000000001</v>
      </c>
      <c r="F3467">
        <v>0.14000000000000001</v>
      </c>
      <c r="G3467">
        <v>0.13</v>
      </c>
      <c r="H3467">
        <v>0.13</v>
      </c>
      <c r="I3467" s="1">
        <v>208000</v>
      </c>
      <c r="J3467" s="1">
        <v>27120</v>
      </c>
      <c r="K3467">
        <v>3</v>
      </c>
      <c r="L3467">
        <v>0.13</v>
      </c>
      <c r="M3467">
        <v>0.14000000000000001</v>
      </c>
      <c r="N3467" s="1">
        <v>10000000</v>
      </c>
      <c r="O3467">
        <v>0.13</v>
      </c>
      <c r="P3467">
        <v>0.54</v>
      </c>
      <c r="Q3467">
        <v>0.01</v>
      </c>
    </row>
    <row r="3468" spans="1:17" x14ac:dyDescent="0.25">
      <c r="A3468">
        <v>732395</v>
      </c>
      <c r="B3468" t="s">
        <v>4780</v>
      </c>
      <c r="C3468">
        <v>0.28000000000000003</v>
      </c>
      <c r="D3468">
        <v>0</v>
      </c>
      <c r="E3468">
        <v>0.28000000000000003</v>
      </c>
      <c r="F3468">
        <v>0.28000000000000003</v>
      </c>
      <c r="G3468">
        <v>0.28000000000000003</v>
      </c>
      <c r="H3468">
        <v>0.28000000000000003</v>
      </c>
      <c r="I3468" s="1">
        <v>40000</v>
      </c>
      <c r="J3468" s="1">
        <v>11200</v>
      </c>
      <c r="K3468">
        <v>1</v>
      </c>
      <c r="L3468">
        <v>0.28999999999999998</v>
      </c>
      <c r="M3468">
        <v>0.3</v>
      </c>
      <c r="N3468" s="1">
        <v>10000000</v>
      </c>
      <c r="O3468">
        <v>0.28000000000000003</v>
      </c>
      <c r="P3468">
        <v>1.1599999999999999</v>
      </c>
      <c r="Q3468">
        <v>0.01</v>
      </c>
    </row>
    <row r="3469" spans="1:17" x14ac:dyDescent="0.25">
      <c r="A3469">
        <v>732396</v>
      </c>
      <c r="B3469" t="s">
        <v>4781</v>
      </c>
      <c r="C3469">
        <v>1.85</v>
      </c>
      <c r="D3469">
        <v>-0.13</v>
      </c>
      <c r="E3469">
        <v>1.85</v>
      </c>
      <c r="F3469">
        <v>1.85</v>
      </c>
      <c r="G3469">
        <v>1.85</v>
      </c>
      <c r="H3469">
        <v>1.85</v>
      </c>
      <c r="I3469" s="1">
        <v>10000</v>
      </c>
      <c r="J3469" s="1">
        <v>18500</v>
      </c>
      <c r="K3469">
        <v>1</v>
      </c>
      <c r="L3469">
        <v>1.81</v>
      </c>
      <c r="M3469">
        <v>1.83</v>
      </c>
      <c r="N3469" s="1">
        <v>10000000</v>
      </c>
      <c r="O3469">
        <v>1.85</v>
      </c>
      <c r="P3469">
        <v>3.25</v>
      </c>
      <c r="Q3469">
        <v>0.45</v>
      </c>
    </row>
    <row r="3470" spans="1:17" x14ac:dyDescent="0.25">
      <c r="A3470">
        <v>732397</v>
      </c>
      <c r="B3470" t="s">
        <v>4782</v>
      </c>
      <c r="C3470" t="s">
        <v>78</v>
      </c>
      <c r="D3470" t="s">
        <v>78</v>
      </c>
      <c r="E3470" t="s">
        <v>78</v>
      </c>
      <c r="F3470" t="s">
        <v>78</v>
      </c>
      <c r="G3470" t="s">
        <v>78</v>
      </c>
      <c r="H3470">
        <v>0.36</v>
      </c>
      <c r="I3470" s="1">
        <v>0</v>
      </c>
      <c r="J3470" s="1">
        <v>0</v>
      </c>
      <c r="K3470">
        <v>0</v>
      </c>
      <c r="L3470">
        <v>0.26</v>
      </c>
      <c r="M3470">
        <v>0.27</v>
      </c>
      <c r="N3470" s="1">
        <v>10000000</v>
      </c>
      <c r="O3470">
        <v>0.27</v>
      </c>
      <c r="P3470">
        <v>0.77</v>
      </c>
      <c r="Q3470">
        <v>0.01</v>
      </c>
    </row>
    <row r="3471" spans="1:17" x14ac:dyDescent="0.25">
      <c r="A3471">
        <v>732398</v>
      </c>
      <c r="B3471" t="s">
        <v>4783</v>
      </c>
      <c r="C3471">
        <v>0.57999999999999996</v>
      </c>
      <c r="D3471">
        <v>-0.03</v>
      </c>
      <c r="E3471">
        <v>0.6</v>
      </c>
      <c r="F3471">
        <v>0.6</v>
      </c>
      <c r="G3471">
        <v>0.57999999999999996</v>
      </c>
      <c r="H3471">
        <v>0.59</v>
      </c>
      <c r="I3471" s="1">
        <v>406000</v>
      </c>
      <c r="J3471" s="1">
        <v>241510</v>
      </c>
      <c r="K3471">
        <v>5</v>
      </c>
      <c r="L3471">
        <v>0.57999999999999996</v>
      </c>
      <c r="M3471">
        <v>0.59</v>
      </c>
      <c r="N3471" s="1">
        <v>5000000</v>
      </c>
      <c r="O3471">
        <v>0.57999999999999996</v>
      </c>
      <c r="P3471">
        <v>1.33</v>
      </c>
      <c r="Q3471">
        <v>0.01</v>
      </c>
    </row>
    <row r="3472" spans="1:17" x14ac:dyDescent="0.25">
      <c r="A3472">
        <v>732399</v>
      </c>
      <c r="B3472" t="s">
        <v>4784</v>
      </c>
      <c r="C3472">
        <v>1.1299999999999999</v>
      </c>
      <c r="D3472">
        <v>-0.02</v>
      </c>
      <c r="E3472">
        <v>1.17</v>
      </c>
      <c r="F3472">
        <v>1.2</v>
      </c>
      <c r="G3472">
        <v>1.1000000000000001</v>
      </c>
      <c r="H3472">
        <v>1.1599999999999999</v>
      </c>
      <c r="I3472" s="1">
        <v>897000</v>
      </c>
      <c r="J3472" s="1">
        <v>1040030</v>
      </c>
      <c r="K3472">
        <v>19</v>
      </c>
      <c r="L3472">
        <v>1.1000000000000001</v>
      </c>
      <c r="M3472">
        <v>1.1299999999999999</v>
      </c>
      <c r="N3472" s="1">
        <v>10000000</v>
      </c>
      <c r="O3472">
        <v>1.1299999999999999</v>
      </c>
      <c r="P3472">
        <v>2.93</v>
      </c>
      <c r="Q3472">
        <v>0.01</v>
      </c>
    </row>
    <row r="3473" spans="1:17" x14ac:dyDescent="0.25">
      <c r="A3473">
        <v>732400</v>
      </c>
      <c r="B3473" t="s">
        <v>4785</v>
      </c>
      <c r="C3473">
        <v>0.4</v>
      </c>
      <c r="D3473">
        <v>0.02</v>
      </c>
      <c r="E3473">
        <v>0.38</v>
      </c>
      <c r="F3473">
        <v>0.4</v>
      </c>
      <c r="G3473">
        <v>0.38</v>
      </c>
      <c r="H3473">
        <v>0.38</v>
      </c>
      <c r="I3473" s="1">
        <v>130000</v>
      </c>
      <c r="J3473" s="1">
        <v>50000</v>
      </c>
      <c r="K3473">
        <v>3</v>
      </c>
      <c r="L3473">
        <v>0.39</v>
      </c>
      <c r="M3473">
        <v>0.4</v>
      </c>
      <c r="N3473" s="1">
        <v>10000000</v>
      </c>
      <c r="O3473">
        <v>0.4</v>
      </c>
      <c r="P3473">
        <v>1.1499999999999999</v>
      </c>
      <c r="Q3473">
        <v>0.01</v>
      </c>
    </row>
    <row r="3474" spans="1:17" x14ac:dyDescent="0.25">
      <c r="A3474">
        <v>732401</v>
      </c>
      <c r="B3474" t="s">
        <v>4786</v>
      </c>
      <c r="C3474" t="s">
        <v>78</v>
      </c>
      <c r="D3474" t="s">
        <v>78</v>
      </c>
      <c r="E3474" t="s">
        <v>78</v>
      </c>
      <c r="F3474" t="s">
        <v>78</v>
      </c>
      <c r="G3474" t="s">
        <v>78</v>
      </c>
      <c r="H3474">
        <v>0.3</v>
      </c>
      <c r="I3474" s="1">
        <v>0</v>
      </c>
      <c r="J3474" s="1">
        <v>0</v>
      </c>
      <c r="K3474">
        <v>0</v>
      </c>
      <c r="L3474">
        <v>0.24</v>
      </c>
      <c r="M3474">
        <v>0.25</v>
      </c>
      <c r="N3474" s="1">
        <v>5000000</v>
      </c>
      <c r="O3474">
        <v>0.24</v>
      </c>
      <c r="P3474">
        <v>0.77</v>
      </c>
      <c r="Q3474">
        <v>0.01</v>
      </c>
    </row>
    <row r="3475" spans="1:17" x14ac:dyDescent="0.25">
      <c r="A3475">
        <v>732402</v>
      </c>
      <c r="B3475" t="s">
        <v>4787</v>
      </c>
      <c r="C3475" t="s">
        <v>78</v>
      </c>
      <c r="D3475" t="s">
        <v>78</v>
      </c>
      <c r="E3475" t="s">
        <v>78</v>
      </c>
      <c r="F3475" t="s">
        <v>78</v>
      </c>
      <c r="G3475" t="s">
        <v>78</v>
      </c>
      <c r="H3475">
        <v>0.62</v>
      </c>
      <c r="I3475" s="1">
        <v>0</v>
      </c>
      <c r="J3475" s="1">
        <v>0</v>
      </c>
      <c r="K3475">
        <v>0</v>
      </c>
      <c r="L3475">
        <v>0.34</v>
      </c>
      <c r="M3475">
        <v>0.35</v>
      </c>
      <c r="N3475" s="1">
        <v>10000000</v>
      </c>
      <c r="O3475">
        <v>0.35</v>
      </c>
      <c r="P3475">
        <v>1.17</v>
      </c>
      <c r="Q3475">
        <v>0.01</v>
      </c>
    </row>
    <row r="3476" spans="1:17" x14ac:dyDescent="0.25">
      <c r="A3476">
        <v>732403</v>
      </c>
      <c r="B3476" t="s">
        <v>4788</v>
      </c>
      <c r="C3476">
        <v>0.78</v>
      </c>
      <c r="D3476">
        <v>-0.02</v>
      </c>
      <c r="E3476">
        <v>0.78</v>
      </c>
      <c r="F3476">
        <v>0.78</v>
      </c>
      <c r="G3476">
        <v>0.77</v>
      </c>
      <c r="H3476">
        <v>0.78</v>
      </c>
      <c r="I3476" s="1">
        <v>156000</v>
      </c>
      <c r="J3476" s="1">
        <v>121580</v>
      </c>
      <c r="K3476">
        <v>3</v>
      </c>
      <c r="L3476">
        <v>0.78</v>
      </c>
      <c r="M3476">
        <v>0.79</v>
      </c>
      <c r="N3476" s="1">
        <v>5000000</v>
      </c>
      <c r="O3476">
        <v>0.78</v>
      </c>
      <c r="P3476">
        <v>1.72</v>
      </c>
      <c r="Q3476">
        <v>0.01</v>
      </c>
    </row>
    <row r="3477" spans="1:17" x14ac:dyDescent="0.25">
      <c r="A3477">
        <v>732404</v>
      </c>
      <c r="B3477" t="s">
        <v>4789</v>
      </c>
      <c r="C3477">
        <v>0.78</v>
      </c>
      <c r="D3477">
        <v>-0.14000000000000001</v>
      </c>
      <c r="E3477">
        <v>0.87</v>
      </c>
      <c r="F3477">
        <v>0.91</v>
      </c>
      <c r="G3477">
        <v>0.78</v>
      </c>
      <c r="H3477">
        <v>0.86</v>
      </c>
      <c r="I3477" s="1">
        <v>409000</v>
      </c>
      <c r="J3477" s="1">
        <v>353420</v>
      </c>
      <c r="K3477">
        <v>6</v>
      </c>
      <c r="L3477">
        <v>0.8</v>
      </c>
      <c r="M3477">
        <v>0.81</v>
      </c>
      <c r="N3477" s="1">
        <v>5000000</v>
      </c>
      <c r="O3477">
        <v>0.78</v>
      </c>
      <c r="P3477">
        <v>1.78</v>
      </c>
      <c r="Q3477">
        <v>0.01</v>
      </c>
    </row>
    <row r="3478" spans="1:17" x14ac:dyDescent="0.25">
      <c r="A3478">
        <v>732405</v>
      </c>
      <c r="B3478" t="s">
        <v>4790</v>
      </c>
      <c r="C3478">
        <v>1.35</v>
      </c>
      <c r="D3478">
        <v>-0.11</v>
      </c>
      <c r="E3478">
        <v>1.45</v>
      </c>
      <c r="F3478">
        <v>1.45</v>
      </c>
      <c r="G3478">
        <v>1.33</v>
      </c>
      <c r="H3478">
        <v>1.35</v>
      </c>
      <c r="I3478" s="1">
        <v>455000</v>
      </c>
      <c r="J3478" s="1">
        <v>614690</v>
      </c>
      <c r="K3478">
        <v>10</v>
      </c>
      <c r="L3478">
        <v>1.33</v>
      </c>
      <c r="M3478">
        <v>1.34</v>
      </c>
      <c r="N3478" s="1">
        <v>5000000</v>
      </c>
      <c r="O3478">
        <v>1.35</v>
      </c>
      <c r="P3478">
        <v>2.0699999999999998</v>
      </c>
      <c r="Q3478">
        <v>0.63</v>
      </c>
    </row>
    <row r="3479" spans="1:17" x14ac:dyDescent="0.25">
      <c r="A3479">
        <v>732406</v>
      </c>
      <c r="B3479" t="s">
        <v>4791</v>
      </c>
      <c r="C3479">
        <v>1.34</v>
      </c>
      <c r="D3479">
        <v>-0.09</v>
      </c>
      <c r="E3479">
        <v>1.44</v>
      </c>
      <c r="F3479">
        <v>1.47</v>
      </c>
      <c r="G3479">
        <v>1.33</v>
      </c>
      <c r="H3479">
        <v>1.44</v>
      </c>
      <c r="I3479" s="1">
        <v>664000</v>
      </c>
      <c r="J3479" s="1">
        <v>957430</v>
      </c>
      <c r="K3479">
        <v>21</v>
      </c>
      <c r="L3479">
        <v>1.34</v>
      </c>
      <c r="M3479">
        <v>1.35</v>
      </c>
      <c r="N3479" s="1">
        <v>5000000</v>
      </c>
      <c r="O3479">
        <v>1.34</v>
      </c>
      <c r="P3479">
        <v>2.2999999999999998</v>
      </c>
      <c r="Q3479">
        <v>0.38</v>
      </c>
    </row>
    <row r="3480" spans="1:17" x14ac:dyDescent="0.25">
      <c r="A3480">
        <v>732407</v>
      </c>
      <c r="B3480" t="s">
        <v>4792</v>
      </c>
      <c r="C3480">
        <v>1.31</v>
      </c>
      <c r="D3480">
        <v>-0.11</v>
      </c>
      <c r="E3480">
        <v>1.31</v>
      </c>
      <c r="F3480">
        <v>1.34</v>
      </c>
      <c r="G3480">
        <v>1.29</v>
      </c>
      <c r="H3480">
        <v>1.32</v>
      </c>
      <c r="I3480" s="1">
        <v>551000</v>
      </c>
      <c r="J3480" s="1">
        <v>725850</v>
      </c>
      <c r="K3480">
        <v>8</v>
      </c>
      <c r="L3480">
        <v>1.29</v>
      </c>
      <c r="M3480">
        <v>1.3</v>
      </c>
      <c r="N3480" s="1">
        <v>5000000</v>
      </c>
      <c r="O3480">
        <v>1.31</v>
      </c>
      <c r="P3480">
        <v>2.0299999999999998</v>
      </c>
      <c r="Q3480">
        <v>0.59</v>
      </c>
    </row>
    <row r="3481" spans="1:17" x14ac:dyDescent="0.25">
      <c r="A3481">
        <v>732408</v>
      </c>
      <c r="B3481" t="s">
        <v>4793</v>
      </c>
      <c r="C3481">
        <v>0.56999999999999995</v>
      </c>
      <c r="D3481">
        <v>-0.01</v>
      </c>
      <c r="E3481">
        <v>0.56000000000000005</v>
      </c>
      <c r="F3481">
        <v>0.56999999999999995</v>
      </c>
      <c r="G3481">
        <v>0.56000000000000005</v>
      </c>
      <c r="H3481">
        <v>0.56999999999999995</v>
      </c>
      <c r="I3481" s="1">
        <v>52000</v>
      </c>
      <c r="J3481" s="1">
        <v>29620</v>
      </c>
      <c r="K3481">
        <v>3</v>
      </c>
      <c r="L3481">
        <v>0.56000000000000005</v>
      </c>
      <c r="M3481">
        <v>0.56999999999999995</v>
      </c>
      <c r="N3481" s="1">
        <v>10000000</v>
      </c>
      <c r="O3481">
        <v>0.56999999999999995</v>
      </c>
      <c r="P3481">
        <v>1.21</v>
      </c>
      <c r="Q3481">
        <v>0.01</v>
      </c>
    </row>
    <row r="3482" spans="1:17" x14ac:dyDescent="0.25">
      <c r="A3482">
        <v>732409</v>
      </c>
      <c r="B3482" t="s">
        <v>4794</v>
      </c>
      <c r="C3482">
        <v>1.87</v>
      </c>
      <c r="D3482">
        <v>0.08</v>
      </c>
      <c r="E3482">
        <v>1.79</v>
      </c>
      <c r="F3482">
        <v>1.95</v>
      </c>
      <c r="G3482">
        <v>1.79</v>
      </c>
      <c r="H3482">
        <v>1.87</v>
      </c>
      <c r="I3482" s="1">
        <v>1644000</v>
      </c>
      <c r="J3482" s="1">
        <v>3081740</v>
      </c>
      <c r="K3482">
        <v>68</v>
      </c>
      <c r="L3482">
        <v>1.86</v>
      </c>
      <c r="M3482">
        <v>1.87</v>
      </c>
      <c r="N3482" s="1">
        <v>5000000</v>
      </c>
      <c r="O3482">
        <v>1.87</v>
      </c>
      <c r="P3482">
        <v>2.69</v>
      </c>
      <c r="Q3482">
        <v>1.05</v>
      </c>
    </row>
    <row r="3483" spans="1:17" x14ac:dyDescent="0.25">
      <c r="A3483">
        <v>732410</v>
      </c>
      <c r="B3483" t="s">
        <v>4795</v>
      </c>
      <c r="C3483">
        <v>1.17</v>
      </c>
      <c r="D3483">
        <v>0.01</v>
      </c>
      <c r="E3483">
        <v>1.2</v>
      </c>
      <c r="F3483">
        <v>1.24</v>
      </c>
      <c r="G3483">
        <v>1.17</v>
      </c>
      <c r="H3483">
        <v>1.19</v>
      </c>
      <c r="I3483" s="1">
        <v>514000</v>
      </c>
      <c r="J3483" s="1">
        <v>611310</v>
      </c>
      <c r="K3483">
        <v>23</v>
      </c>
      <c r="L3483">
        <v>1.1499999999999999</v>
      </c>
      <c r="M3483">
        <v>1.1599999999999999</v>
      </c>
      <c r="N3483" s="1">
        <v>10000000</v>
      </c>
      <c r="O3483">
        <v>1.17</v>
      </c>
      <c r="P3483">
        <v>1.5</v>
      </c>
      <c r="Q3483">
        <v>0.84</v>
      </c>
    </row>
    <row r="3484" spans="1:17" x14ac:dyDescent="0.25">
      <c r="A3484">
        <v>732411</v>
      </c>
      <c r="B3484" t="s">
        <v>4796</v>
      </c>
      <c r="C3484">
        <v>1.85</v>
      </c>
      <c r="D3484">
        <v>0.02</v>
      </c>
      <c r="E3484">
        <v>1.95</v>
      </c>
      <c r="F3484">
        <v>1.98</v>
      </c>
      <c r="G3484">
        <v>1.85</v>
      </c>
      <c r="H3484">
        <v>1.97</v>
      </c>
      <c r="I3484" s="1">
        <v>146000</v>
      </c>
      <c r="J3484" s="1">
        <v>287800</v>
      </c>
      <c r="K3484">
        <v>4</v>
      </c>
      <c r="L3484">
        <v>1.81</v>
      </c>
      <c r="M3484">
        <v>1.83</v>
      </c>
      <c r="N3484" s="1">
        <v>5000000</v>
      </c>
      <c r="O3484">
        <v>1.85</v>
      </c>
      <c r="P3484">
        <v>2.64</v>
      </c>
      <c r="Q3484">
        <v>1.06</v>
      </c>
    </row>
    <row r="3485" spans="1:17" x14ac:dyDescent="0.25">
      <c r="A3485">
        <v>732412</v>
      </c>
      <c r="B3485" t="s">
        <v>4797</v>
      </c>
      <c r="C3485">
        <v>2.0299999999999998</v>
      </c>
      <c r="D3485">
        <v>-0.01</v>
      </c>
      <c r="E3485">
        <v>2.11</v>
      </c>
      <c r="F3485">
        <v>2.14</v>
      </c>
      <c r="G3485">
        <v>2.0299999999999998</v>
      </c>
      <c r="H3485">
        <v>2.11</v>
      </c>
      <c r="I3485" s="1">
        <v>558000</v>
      </c>
      <c r="J3485" s="1">
        <v>1175490</v>
      </c>
      <c r="K3485">
        <v>34</v>
      </c>
      <c r="L3485">
        <v>1.94</v>
      </c>
      <c r="M3485">
        <v>1.95</v>
      </c>
      <c r="N3485" s="1">
        <v>5000000</v>
      </c>
      <c r="O3485">
        <v>2.0299999999999998</v>
      </c>
      <c r="P3485">
        <v>3.01</v>
      </c>
      <c r="Q3485">
        <v>1.05</v>
      </c>
    </row>
    <row r="3486" spans="1:17" x14ac:dyDescent="0.25">
      <c r="A3486">
        <v>732413</v>
      </c>
      <c r="B3486" t="s">
        <v>4798</v>
      </c>
      <c r="C3486" t="s">
        <v>78</v>
      </c>
      <c r="D3486" t="s">
        <v>78</v>
      </c>
      <c r="E3486" t="s">
        <v>78</v>
      </c>
      <c r="F3486" t="s">
        <v>78</v>
      </c>
      <c r="G3486" t="s">
        <v>78</v>
      </c>
      <c r="H3486">
        <v>0.4</v>
      </c>
      <c r="I3486" s="1">
        <v>0</v>
      </c>
      <c r="J3486" s="1">
        <v>0</v>
      </c>
      <c r="K3486">
        <v>0</v>
      </c>
      <c r="L3486">
        <v>0.3</v>
      </c>
      <c r="M3486">
        <v>0.31</v>
      </c>
      <c r="N3486" s="1">
        <v>5000000</v>
      </c>
      <c r="O3486">
        <v>0.31</v>
      </c>
      <c r="P3486">
        <v>0.82</v>
      </c>
      <c r="Q3486">
        <v>0.01</v>
      </c>
    </row>
    <row r="3487" spans="1:17" x14ac:dyDescent="0.25">
      <c r="A3487">
        <v>732414</v>
      </c>
      <c r="B3487" t="s">
        <v>4799</v>
      </c>
      <c r="C3487">
        <v>1.03</v>
      </c>
      <c r="D3487">
        <v>0.04</v>
      </c>
      <c r="E3487">
        <v>1.08</v>
      </c>
      <c r="F3487">
        <v>1.08</v>
      </c>
      <c r="G3487">
        <v>1.02</v>
      </c>
      <c r="H3487">
        <v>1.03</v>
      </c>
      <c r="I3487" s="1">
        <v>54000</v>
      </c>
      <c r="J3487" s="1">
        <v>55740</v>
      </c>
      <c r="K3487">
        <v>5</v>
      </c>
      <c r="L3487">
        <v>1</v>
      </c>
      <c r="M3487">
        <v>1.04</v>
      </c>
      <c r="N3487" s="1">
        <v>10000000</v>
      </c>
      <c r="O3487">
        <v>1.03</v>
      </c>
      <c r="P3487">
        <v>2.41</v>
      </c>
      <c r="Q3487">
        <v>0.01</v>
      </c>
    </row>
    <row r="3488" spans="1:17" x14ac:dyDescent="0.25">
      <c r="A3488">
        <v>732415</v>
      </c>
      <c r="B3488" t="s">
        <v>4800</v>
      </c>
      <c r="C3488" t="s">
        <v>78</v>
      </c>
      <c r="D3488" t="s">
        <v>78</v>
      </c>
      <c r="E3488" t="s">
        <v>78</v>
      </c>
      <c r="F3488" t="s">
        <v>78</v>
      </c>
      <c r="G3488" t="s">
        <v>78</v>
      </c>
      <c r="H3488">
        <v>0.1</v>
      </c>
      <c r="I3488" s="1">
        <v>0</v>
      </c>
      <c r="J3488" s="1">
        <v>0</v>
      </c>
      <c r="K3488">
        <v>0</v>
      </c>
      <c r="L3488">
        <v>0.09</v>
      </c>
      <c r="M3488">
        <v>0.12</v>
      </c>
      <c r="N3488" s="1">
        <v>5000000</v>
      </c>
      <c r="O3488">
        <v>0.11</v>
      </c>
      <c r="P3488">
        <v>0.6</v>
      </c>
      <c r="Q3488">
        <v>0.01</v>
      </c>
    </row>
    <row r="3489" spans="1:17" x14ac:dyDescent="0.25">
      <c r="A3489">
        <v>732416</v>
      </c>
      <c r="B3489" t="s">
        <v>4801</v>
      </c>
      <c r="C3489" t="s">
        <v>78</v>
      </c>
      <c r="D3489" t="s">
        <v>78</v>
      </c>
      <c r="E3489" t="s">
        <v>78</v>
      </c>
      <c r="F3489" t="s">
        <v>78</v>
      </c>
      <c r="G3489" t="s">
        <v>78</v>
      </c>
      <c r="H3489">
        <v>0.26</v>
      </c>
      <c r="I3489" s="1">
        <v>0</v>
      </c>
      <c r="J3489" s="1">
        <v>0</v>
      </c>
      <c r="K3489">
        <v>0</v>
      </c>
      <c r="L3489">
        <v>0.25</v>
      </c>
      <c r="M3489">
        <v>0.26</v>
      </c>
      <c r="N3489" s="1">
        <v>5000000</v>
      </c>
      <c r="O3489">
        <v>0.26</v>
      </c>
      <c r="P3489">
        <v>0.92</v>
      </c>
      <c r="Q3489">
        <v>0.01</v>
      </c>
    </row>
    <row r="3490" spans="1:17" x14ac:dyDescent="0.25">
      <c r="A3490">
        <v>732417</v>
      </c>
      <c r="B3490" t="s">
        <v>4802</v>
      </c>
      <c r="C3490">
        <v>0.16</v>
      </c>
      <c r="D3490">
        <v>0.01</v>
      </c>
      <c r="E3490">
        <v>0.15</v>
      </c>
      <c r="F3490">
        <v>0.18</v>
      </c>
      <c r="G3490">
        <v>0.15</v>
      </c>
      <c r="H3490">
        <v>0.17</v>
      </c>
      <c r="I3490" s="1">
        <v>310000</v>
      </c>
      <c r="J3490" s="1">
        <v>51850</v>
      </c>
      <c r="K3490">
        <v>4</v>
      </c>
      <c r="L3490">
        <v>0.15</v>
      </c>
      <c r="M3490">
        <v>0.16</v>
      </c>
      <c r="N3490" s="1">
        <v>5000000</v>
      </c>
      <c r="O3490">
        <v>0.16</v>
      </c>
      <c r="P3490">
        <v>1.06</v>
      </c>
      <c r="Q3490">
        <v>0.01</v>
      </c>
    </row>
    <row r="3491" spans="1:17" x14ac:dyDescent="0.25">
      <c r="A3491">
        <v>732418</v>
      </c>
      <c r="B3491" t="s">
        <v>4803</v>
      </c>
      <c r="C3491">
        <v>0.91</v>
      </c>
      <c r="D3491">
        <v>0.05</v>
      </c>
      <c r="E3491">
        <v>0.97</v>
      </c>
      <c r="F3491">
        <v>1.04</v>
      </c>
      <c r="G3491">
        <v>0.91</v>
      </c>
      <c r="H3491">
        <v>0.99</v>
      </c>
      <c r="I3491" s="1">
        <v>483000</v>
      </c>
      <c r="J3491" s="1">
        <v>477830</v>
      </c>
      <c r="K3491">
        <v>29</v>
      </c>
      <c r="L3491">
        <v>0.9</v>
      </c>
      <c r="M3491">
        <v>0.94</v>
      </c>
      <c r="N3491" s="1">
        <v>10000000</v>
      </c>
      <c r="O3491">
        <v>0.91</v>
      </c>
      <c r="P3491">
        <v>1.82</v>
      </c>
      <c r="Q3491">
        <v>0.01</v>
      </c>
    </row>
    <row r="3492" spans="1:17" x14ac:dyDescent="0.25">
      <c r="A3492">
        <v>732419</v>
      </c>
      <c r="B3492" t="s">
        <v>4804</v>
      </c>
      <c r="C3492" t="s">
        <v>78</v>
      </c>
      <c r="D3492" t="s">
        <v>78</v>
      </c>
      <c r="E3492" t="s">
        <v>78</v>
      </c>
      <c r="F3492" t="s">
        <v>78</v>
      </c>
      <c r="G3492" t="s">
        <v>78</v>
      </c>
      <c r="H3492">
        <v>0.13</v>
      </c>
      <c r="I3492" s="1">
        <v>0</v>
      </c>
      <c r="J3492" s="1">
        <v>0</v>
      </c>
      <c r="K3492">
        <v>0</v>
      </c>
      <c r="L3492">
        <v>0.12</v>
      </c>
      <c r="M3492">
        <v>0.13</v>
      </c>
      <c r="N3492" s="1">
        <v>10000000</v>
      </c>
      <c r="O3492">
        <v>0.13</v>
      </c>
      <c r="P3492">
        <v>0.57999999999999996</v>
      </c>
      <c r="Q3492">
        <v>0.01</v>
      </c>
    </row>
    <row r="3493" spans="1:17" x14ac:dyDescent="0.25">
      <c r="A3493">
        <v>732420</v>
      </c>
      <c r="B3493" t="s">
        <v>4805</v>
      </c>
      <c r="C3493">
        <v>1.17</v>
      </c>
      <c r="D3493">
        <v>0.18</v>
      </c>
      <c r="E3493">
        <v>1.1299999999999999</v>
      </c>
      <c r="F3493">
        <v>1.17</v>
      </c>
      <c r="G3493">
        <v>1.1299999999999999</v>
      </c>
      <c r="H3493">
        <v>1.1499999999999999</v>
      </c>
      <c r="I3493" s="1">
        <v>185000</v>
      </c>
      <c r="J3493" s="1">
        <v>212450</v>
      </c>
      <c r="K3493">
        <v>2</v>
      </c>
      <c r="L3493">
        <v>1.03</v>
      </c>
      <c r="M3493">
        <v>1.05</v>
      </c>
      <c r="N3493" s="1">
        <v>10000000</v>
      </c>
      <c r="O3493">
        <v>1.17</v>
      </c>
      <c r="P3493">
        <v>1.93</v>
      </c>
      <c r="Q3493">
        <v>0.41</v>
      </c>
    </row>
    <row r="3494" spans="1:17" x14ac:dyDescent="0.25">
      <c r="A3494">
        <v>732421</v>
      </c>
      <c r="B3494" t="s">
        <v>4806</v>
      </c>
      <c r="C3494">
        <v>2.8</v>
      </c>
      <c r="D3494">
        <v>0.22</v>
      </c>
      <c r="E3494">
        <v>2.8</v>
      </c>
      <c r="F3494">
        <v>2.8</v>
      </c>
      <c r="G3494">
        <v>2.8</v>
      </c>
      <c r="H3494">
        <v>2.8</v>
      </c>
      <c r="I3494" s="1">
        <v>3000</v>
      </c>
      <c r="J3494" s="1">
        <v>8400</v>
      </c>
      <c r="K3494">
        <v>1</v>
      </c>
      <c r="L3494">
        <v>2.4900000000000002</v>
      </c>
      <c r="M3494">
        <v>2.54</v>
      </c>
      <c r="N3494" s="1">
        <v>5000000</v>
      </c>
      <c r="O3494">
        <v>2.8</v>
      </c>
      <c r="P3494">
        <v>4.0599999999999996</v>
      </c>
      <c r="Q3494">
        <v>1.54</v>
      </c>
    </row>
    <row r="3495" spans="1:17" x14ac:dyDescent="0.25">
      <c r="A3495">
        <v>732422</v>
      </c>
      <c r="B3495" t="s">
        <v>4807</v>
      </c>
      <c r="C3495">
        <v>1.24</v>
      </c>
      <c r="D3495">
        <v>-0.08</v>
      </c>
      <c r="E3495">
        <v>1.24</v>
      </c>
      <c r="F3495">
        <v>1.24</v>
      </c>
      <c r="G3495">
        <v>1.24</v>
      </c>
      <c r="H3495">
        <v>1.24</v>
      </c>
      <c r="I3495" s="1">
        <v>10000</v>
      </c>
      <c r="J3495" s="1">
        <v>12400</v>
      </c>
      <c r="K3495">
        <v>1</v>
      </c>
      <c r="L3495">
        <v>1.23</v>
      </c>
      <c r="M3495">
        <v>1.24</v>
      </c>
      <c r="N3495" s="1">
        <v>5000000</v>
      </c>
      <c r="O3495">
        <v>1.24</v>
      </c>
      <c r="P3495">
        <v>2.44</v>
      </c>
      <c r="Q3495">
        <v>0.02</v>
      </c>
    </row>
    <row r="3496" spans="1:17" x14ac:dyDescent="0.25">
      <c r="A3496">
        <v>732423</v>
      </c>
      <c r="B3496" t="s">
        <v>4808</v>
      </c>
      <c r="C3496">
        <v>0.94</v>
      </c>
      <c r="D3496">
        <v>0.06</v>
      </c>
      <c r="E3496">
        <v>1.03</v>
      </c>
      <c r="F3496">
        <v>1.06</v>
      </c>
      <c r="G3496">
        <v>0.94</v>
      </c>
      <c r="H3496">
        <v>1.04</v>
      </c>
      <c r="I3496" s="1">
        <v>288000</v>
      </c>
      <c r="J3496" s="1">
        <v>300080</v>
      </c>
      <c r="K3496">
        <v>7</v>
      </c>
      <c r="L3496">
        <v>0.88</v>
      </c>
      <c r="M3496">
        <v>0.89</v>
      </c>
      <c r="N3496" s="1">
        <v>10000000</v>
      </c>
      <c r="O3496">
        <v>0.94</v>
      </c>
      <c r="P3496">
        <v>1.73</v>
      </c>
      <c r="Q3496">
        <v>0.15</v>
      </c>
    </row>
    <row r="3497" spans="1:17" x14ac:dyDescent="0.25">
      <c r="A3497">
        <v>732424</v>
      </c>
      <c r="B3497" t="s">
        <v>4809</v>
      </c>
      <c r="C3497" t="s">
        <v>78</v>
      </c>
      <c r="D3497" t="s">
        <v>78</v>
      </c>
      <c r="E3497" t="s">
        <v>78</v>
      </c>
      <c r="F3497" t="s">
        <v>78</v>
      </c>
      <c r="G3497" t="s">
        <v>78</v>
      </c>
      <c r="H3497">
        <v>1.84</v>
      </c>
      <c r="I3497" s="1">
        <v>0</v>
      </c>
      <c r="J3497" s="1">
        <v>0</v>
      </c>
      <c r="K3497">
        <v>0</v>
      </c>
      <c r="L3497">
        <v>1.71</v>
      </c>
      <c r="M3497">
        <v>1.72</v>
      </c>
      <c r="N3497" s="1">
        <v>10000000</v>
      </c>
      <c r="O3497">
        <v>1.72</v>
      </c>
      <c r="P3497">
        <v>2.7</v>
      </c>
      <c r="Q3497">
        <v>0.74</v>
      </c>
    </row>
    <row r="3498" spans="1:17" x14ac:dyDescent="0.25">
      <c r="A3498">
        <v>732425</v>
      </c>
      <c r="B3498" t="s">
        <v>4810</v>
      </c>
      <c r="C3498" t="s">
        <v>78</v>
      </c>
      <c r="D3498" t="s">
        <v>78</v>
      </c>
      <c r="E3498" t="s">
        <v>78</v>
      </c>
      <c r="F3498" t="s">
        <v>78</v>
      </c>
      <c r="G3498" t="s">
        <v>78</v>
      </c>
      <c r="H3498">
        <v>0.15</v>
      </c>
      <c r="I3498" s="1">
        <v>0</v>
      </c>
      <c r="J3498" s="1">
        <v>0</v>
      </c>
      <c r="K3498">
        <v>0</v>
      </c>
      <c r="L3498">
        <v>0.19</v>
      </c>
      <c r="M3498">
        <v>0.23</v>
      </c>
      <c r="N3498" s="1">
        <v>10000000</v>
      </c>
      <c r="O3498">
        <v>0.19</v>
      </c>
      <c r="P3498">
        <v>0.88</v>
      </c>
      <c r="Q3498">
        <v>0.01</v>
      </c>
    </row>
    <row r="3499" spans="1:17" x14ac:dyDescent="0.25">
      <c r="A3499">
        <v>732426</v>
      </c>
      <c r="B3499" t="s">
        <v>4811</v>
      </c>
      <c r="C3499">
        <v>0.56000000000000005</v>
      </c>
      <c r="D3499">
        <v>0.05</v>
      </c>
      <c r="E3499">
        <v>0.54</v>
      </c>
      <c r="F3499">
        <v>0.6</v>
      </c>
      <c r="G3499">
        <v>0.54</v>
      </c>
      <c r="H3499">
        <v>0.57999999999999996</v>
      </c>
      <c r="I3499" s="1">
        <v>730000</v>
      </c>
      <c r="J3499" s="1">
        <v>426220</v>
      </c>
      <c r="K3499">
        <v>23</v>
      </c>
      <c r="L3499">
        <v>0.53</v>
      </c>
      <c r="M3499">
        <v>0.54</v>
      </c>
      <c r="N3499" s="1">
        <v>10000000</v>
      </c>
      <c r="O3499">
        <v>0.56000000000000005</v>
      </c>
      <c r="P3499">
        <v>1.38</v>
      </c>
      <c r="Q3499">
        <v>0.01</v>
      </c>
    </row>
    <row r="3500" spans="1:17" x14ac:dyDescent="0.25">
      <c r="A3500">
        <v>732427</v>
      </c>
      <c r="B3500" t="s">
        <v>4812</v>
      </c>
      <c r="C3500">
        <v>2.73</v>
      </c>
      <c r="D3500">
        <v>0.04</v>
      </c>
      <c r="E3500">
        <v>2.98</v>
      </c>
      <c r="F3500">
        <v>2.98</v>
      </c>
      <c r="G3500">
        <v>2.73</v>
      </c>
      <c r="H3500">
        <v>2.96</v>
      </c>
      <c r="I3500" s="1">
        <v>32000</v>
      </c>
      <c r="J3500" s="1">
        <v>94860</v>
      </c>
      <c r="K3500">
        <v>2</v>
      </c>
      <c r="L3500">
        <v>2.66</v>
      </c>
      <c r="M3500">
        <v>2.71</v>
      </c>
      <c r="N3500" s="1">
        <v>5000000</v>
      </c>
      <c r="O3500">
        <v>2.73</v>
      </c>
      <c r="P3500">
        <v>4.13</v>
      </c>
      <c r="Q3500">
        <v>1.33</v>
      </c>
    </row>
    <row r="3501" spans="1:17" x14ac:dyDescent="0.25">
      <c r="A3501">
        <v>732428</v>
      </c>
      <c r="B3501" t="s">
        <v>4813</v>
      </c>
      <c r="C3501">
        <v>2.4300000000000002</v>
      </c>
      <c r="D3501">
        <v>-0.22</v>
      </c>
      <c r="E3501">
        <v>2.59</v>
      </c>
      <c r="F3501">
        <v>2.76</v>
      </c>
      <c r="G3501">
        <v>2.34</v>
      </c>
      <c r="H3501">
        <v>2.62</v>
      </c>
      <c r="I3501" s="1">
        <v>467000</v>
      </c>
      <c r="J3501" s="1">
        <v>1223480</v>
      </c>
      <c r="K3501">
        <v>28</v>
      </c>
      <c r="L3501">
        <v>2.39</v>
      </c>
      <c r="M3501">
        <v>2.4300000000000002</v>
      </c>
      <c r="N3501" s="1">
        <v>5000000</v>
      </c>
      <c r="O3501">
        <v>2.4300000000000002</v>
      </c>
      <c r="P3501">
        <v>3.83</v>
      </c>
      <c r="Q3501">
        <v>1.03</v>
      </c>
    </row>
    <row r="3502" spans="1:17" x14ac:dyDescent="0.25">
      <c r="A3502">
        <v>732429</v>
      </c>
      <c r="B3502" t="s">
        <v>4814</v>
      </c>
      <c r="C3502" t="s">
        <v>78</v>
      </c>
      <c r="D3502" t="s">
        <v>78</v>
      </c>
      <c r="E3502" t="s">
        <v>78</v>
      </c>
      <c r="F3502" t="s">
        <v>78</v>
      </c>
      <c r="G3502" t="s">
        <v>78</v>
      </c>
      <c r="H3502">
        <v>1.9</v>
      </c>
      <c r="I3502" s="1">
        <v>0</v>
      </c>
      <c r="J3502" s="1">
        <v>0</v>
      </c>
      <c r="K3502">
        <v>0</v>
      </c>
      <c r="L3502">
        <v>2.02</v>
      </c>
      <c r="M3502">
        <v>2.09</v>
      </c>
      <c r="N3502" s="1">
        <v>10000000</v>
      </c>
      <c r="O3502">
        <v>2.0299999999999998</v>
      </c>
      <c r="P3502">
        <v>3.24</v>
      </c>
      <c r="Q3502">
        <v>0.82</v>
      </c>
    </row>
    <row r="3503" spans="1:17" x14ac:dyDescent="0.25">
      <c r="A3503">
        <v>732430</v>
      </c>
      <c r="B3503" t="s">
        <v>4815</v>
      </c>
      <c r="C3503">
        <v>1.2</v>
      </c>
      <c r="D3503">
        <v>0</v>
      </c>
      <c r="E3503">
        <v>1.1499999999999999</v>
      </c>
      <c r="F3503">
        <v>1.2</v>
      </c>
      <c r="G3503">
        <v>1.1499999999999999</v>
      </c>
      <c r="H3503">
        <v>1.17</v>
      </c>
      <c r="I3503" s="1">
        <v>153000</v>
      </c>
      <c r="J3503" s="1">
        <v>178600</v>
      </c>
      <c r="K3503">
        <v>2</v>
      </c>
      <c r="L3503">
        <v>1.25</v>
      </c>
      <c r="M3503">
        <v>1.32</v>
      </c>
      <c r="N3503" s="1">
        <v>10000000</v>
      </c>
      <c r="O3503">
        <v>1.2</v>
      </c>
      <c r="P3503">
        <v>2.09</v>
      </c>
      <c r="Q3503">
        <v>0.31</v>
      </c>
    </row>
    <row r="3504" spans="1:17" x14ac:dyDescent="0.25">
      <c r="A3504">
        <v>732431</v>
      </c>
      <c r="B3504" t="s">
        <v>4816</v>
      </c>
      <c r="C3504">
        <v>0.83</v>
      </c>
      <c r="D3504">
        <v>0.05</v>
      </c>
      <c r="E3504">
        <v>0.83</v>
      </c>
      <c r="F3504">
        <v>0.83</v>
      </c>
      <c r="G3504">
        <v>0.83</v>
      </c>
      <c r="H3504">
        <v>0.83</v>
      </c>
      <c r="I3504" s="1">
        <v>30000</v>
      </c>
      <c r="J3504" s="1">
        <v>24900</v>
      </c>
      <c r="K3504">
        <v>1</v>
      </c>
      <c r="L3504">
        <v>0.82</v>
      </c>
      <c r="M3504">
        <v>0.83</v>
      </c>
      <c r="N3504" s="1">
        <v>10000000</v>
      </c>
      <c r="O3504">
        <v>0.83</v>
      </c>
      <c r="P3504">
        <v>1.7</v>
      </c>
      <c r="Q3504">
        <v>0.01</v>
      </c>
    </row>
    <row r="3505" spans="1:17" x14ac:dyDescent="0.25">
      <c r="A3505">
        <v>732432</v>
      </c>
      <c r="B3505" t="s">
        <v>4817</v>
      </c>
      <c r="C3505" t="s">
        <v>78</v>
      </c>
      <c r="D3505" t="s">
        <v>78</v>
      </c>
      <c r="E3505" t="s">
        <v>78</v>
      </c>
      <c r="F3505" t="s">
        <v>78</v>
      </c>
      <c r="G3505" t="s">
        <v>78</v>
      </c>
      <c r="H3505">
        <v>0.16</v>
      </c>
      <c r="I3505" s="1">
        <v>0</v>
      </c>
      <c r="J3505" s="1">
        <v>0</v>
      </c>
      <c r="K3505">
        <v>0</v>
      </c>
      <c r="L3505">
        <v>0.15</v>
      </c>
      <c r="M3505">
        <v>0.16</v>
      </c>
      <c r="N3505" s="1">
        <v>5000000</v>
      </c>
      <c r="O3505">
        <v>0.16</v>
      </c>
      <c r="P3505">
        <v>0.4</v>
      </c>
      <c r="Q3505">
        <v>0.01</v>
      </c>
    </row>
    <row r="3506" spans="1:17" x14ac:dyDescent="0.25">
      <c r="A3506">
        <v>732433</v>
      </c>
      <c r="B3506" t="s">
        <v>4818</v>
      </c>
      <c r="C3506">
        <v>1.94</v>
      </c>
      <c r="D3506">
        <v>0.04</v>
      </c>
      <c r="E3506">
        <v>2.09</v>
      </c>
      <c r="F3506">
        <v>2.09</v>
      </c>
      <c r="G3506">
        <v>1.91</v>
      </c>
      <c r="H3506">
        <v>1.97</v>
      </c>
      <c r="I3506" s="1">
        <v>57000</v>
      </c>
      <c r="J3506" s="1">
        <v>112220</v>
      </c>
      <c r="K3506">
        <v>8</v>
      </c>
      <c r="L3506">
        <v>1.91</v>
      </c>
      <c r="M3506">
        <v>1.92</v>
      </c>
      <c r="N3506" s="1">
        <v>5000000</v>
      </c>
      <c r="O3506">
        <v>1.94</v>
      </c>
      <c r="P3506">
        <v>3.12</v>
      </c>
      <c r="Q3506">
        <v>0.76</v>
      </c>
    </row>
    <row r="3507" spans="1:17" x14ac:dyDescent="0.25">
      <c r="A3507">
        <v>732434</v>
      </c>
      <c r="B3507" t="s">
        <v>4819</v>
      </c>
      <c r="C3507">
        <v>0.72</v>
      </c>
      <c r="D3507">
        <v>0.06</v>
      </c>
      <c r="E3507">
        <v>0.72</v>
      </c>
      <c r="F3507">
        <v>0.76</v>
      </c>
      <c r="G3507">
        <v>0.68</v>
      </c>
      <c r="H3507">
        <v>0.71</v>
      </c>
      <c r="I3507" s="1">
        <v>483000</v>
      </c>
      <c r="J3507" s="1">
        <v>341440</v>
      </c>
      <c r="K3507">
        <v>24</v>
      </c>
      <c r="L3507">
        <v>0.72</v>
      </c>
      <c r="M3507">
        <v>0.73</v>
      </c>
      <c r="N3507" s="1">
        <v>10000000</v>
      </c>
      <c r="O3507">
        <v>0.72</v>
      </c>
      <c r="P3507">
        <v>1.71</v>
      </c>
      <c r="Q3507">
        <v>0.01</v>
      </c>
    </row>
    <row r="3508" spans="1:17" x14ac:dyDescent="0.25">
      <c r="A3508">
        <v>732435</v>
      </c>
      <c r="B3508" t="s">
        <v>4820</v>
      </c>
      <c r="C3508">
        <v>0.49</v>
      </c>
      <c r="D3508">
        <v>0.04</v>
      </c>
      <c r="E3508">
        <v>0.48</v>
      </c>
      <c r="F3508">
        <v>0.54</v>
      </c>
      <c r="G3508">
        <v>0.48</v>
      </c>
      <c r="H3508">
        <v>0.49</v>
      </c>
      <c r="I3508" s="1">
        <v>322000</v>
      </c>
      <c r="J3508" s="1">
        <v>158580</v>
      </c>
      <c r="K3508">
        <v>13</v>
      </c>
      <c r="L3508">
        <v>0.48</v>
      </c>
      <c r="M3508">
        <v>0.49</v>
      </c>
      <c r="N3508" s="1">
        <v>5000000</v>
      </c>
      <c r="O3508">
        <v>0.49</v>
      </c>
      <c r="P3508">
        <v>1.31</v>
      </c>
      <c r="Q3508">
        <v>0.01</v>
      </c>
    </row>
    <row r="3509" spans="1:17" x14ac:dyDescent="0.25">
      <c r="A3509">
        <v>732436</v>
      </c>
      <c r="B3509" t="s">
        <v>4821</v>
      </c>
      <c r="C3509">
        <v>0.36</v>
      </c>
      <c r="D3509">
        <v>0.02</v>
      </c>
      <c r="E3509">
        <v>0.36</v>
      </c>
      <c r="F3509">
        <v>0.36</v>
      </c>
      <c r="G3509">
        <v>0.36</v>
      </c>
      <c r="H3509">
        <v>0.36</v>
      </c>
      <c r="I3509" s="1">
        <v>10000</v>
      </c>
      <c r="J3509" s="1">
        <v>3600</v>
      </c>
      <c r="K3509">
        <v>1</v>
      </c>
      <c r="L3509">
        <v>0.35</v>
      </c>
      <c r="M3509">
        <v>0.36</v>
      </c>
      <c r="N3509" s="1">
        <v>5000000</v>
      </c>
      <c r="O3509">
        <v>0.36</v>
      </c>
      <c r="P3509">
        <v>0.91</v>
      </c>
      <c r="Q3509">
        <v>0.01</v>
      </c>
    </row>
    <row r="3510" spans="1:17" x14ac:dyDescent="0.25">
      <c r="A3510">
        <v>732437</v>
      </c>
      <c r="B3510" t="s">
        <v>4822</v>
      </c>
      <c r="C3510">
        <v>0.19</v>
      </c>
      <c r="D3510">
        <v>0</v>
      </c>
      <c r="E3510">
        <v>0.19</v>
      </c>
      <c r="F3510">
        <v>0.19</v>
      </c>
      <c r="G3510">
        <v>0.19</v>
      </c>
      <c r="H3510">
        <v>0.19</v>
      </c>
      <c r="I3510" s="1">
        <v>5000</v>
      </c>
      <c r="J3510" s="1">
        <v>950</v>
      </c>
      <c r="K3510">
        <v>1</v>
      </c>
      <c r="L3510">
        <v>0.19</v>
      </c>
      <c r="M3510">
        <v>0.2</v>
      </c>
      <c r="N3510" s="1">
        <v>5000000</v>
      </c>
      <c r="O3510">
        <v>0.19</v>
      </c>
      <c r="P3510">
        <v>1.08</v>
      </c>
      <c r="Q3510">
        <v>0.01</v>
      </c>
    </row>
    <row r="3511" spans="1:17" x14ac:dyDescent="0.25">
      <c r="A3511">
        <v>732438</v>
      </c>
      <c r="B3511" t="s">
        <v>4823</v>
      </c>
      <c r="C3511">
        <v>0.68</v>
      </c>
      <c r="D3511">
        <v>-0.04</v>
      </c>
      <c r="E3511">
        <v>0.7</v>
      </c>
      <c r="F3511">
        <v>0.71</v>
      </c>
      <c r="G3511">
        <v>0.67</v>
      </c>
      <c r="H3511">
        <v>0.68</v>
      </c>
      <c r="I3511" s="1">
        <v>423000</v>
      </c>
      <c r="J3511" s="1">
        <v>289530</v>
      </c>
      <c r="K3511">
        <v>6</v>
      </c>
      <c r="L3511">
        <v>0.63</v>
      </c>
      <c r="M3511">
        <v>0.65</v>
      </c>
      <c r="N3511" s="1">
        <v>15000000</v>
      </c>
      <c r="O3511">
        <v>0.68</v>
      </c>
      <c r="P3511">
        <v>1.44</v>
      </c>
      <c r="Q3511">
        <v>0.01</v>
      </c>
    </row>
    <row r="3512" spans="1:17" x14ac:dyDescent="0.25">
      <c r="A3512">
        <v>732439</v>
      </c>
      <c r="B3512" t="s">
        <v>4824</v>
      </c>
      <c r="C3512">
        <v>1.8</v>
      </c>
      <c r="D3512">
        <v>-0.1</v>
      </c>
      <c r="E3512">
        <v>1.96</v>
      </c>
      <c r="F3512">
        <v>1.98</v>
      </c>
      <c r="G3512">
        <v>1.78</v>
      </c>
      <c r="H3512">
        <v>1.86</v>
      </c>
      <c r="I3512" s="1">
        <v>535000</v>
      </c>
      <c r="J3512" s="1">
        <v>993630</v>
      </c>
      <c r="K3512">
        <v>14</v>
      </c>
      <c r="L3512">
        <v>1.83</v>
      </c>
      <c r="M3512">
        <v>1.86</v>
      </c>
      <c r="N3512" s="1">
        <v>15000000</v>
      </c>
      <c r="O3512">
        <v>1.8</v>
      </c>
      <c r="P3512">
        <v>2.64</v>
      </c>
      <c r="Q3512">
        <v>0.96</v>
      </c>
    </row>
    <row r="3513" spans="1:17" x14ac:dyDescent="0.25">
      <c r="A3513">
        <v>732440</v>
      </c>
      <c r="B3513" t="s">
        <v>4825</v>
      </c>
      <c r="C3513">
        <v>0.91</v>
      </c>
      <c r="D3513">
        <v>0.02</v>
      </c>
      <c r="E3513">
        <v>0.95</v>
      </c>
      <c r="F3513">
        <v>0.96</v>
      </c>
      <c r="G3513">
        <v>0.91</v>
      </c>
      <c r="H3513">
        <v>0.95</v>
      </c>
      <c r="I3513" s="1">
        <v>171000</v>
      </c>
      <c r="J3513" s="1">
        <v>163270</v>
      </c>
      <c r="K3513">
        <v>3</v>
      </c>
      <c r="L3513">
        <v>0.91</v>
      </c>
      <c r="M3513">
        <v>0.92</v>
      </c>
      <c r="N3513" s="1">
        <v>10000000</v>
      </c>
      <c r="O3513">
        <v>0.91</v>
      </c>
      <c r="P3513">
        <v>1.81</v>
      </c>
      <c r="Q3513">
        <v>0.01</v>
      </c>
    </row>
    <row r="3514" spans="1:17" x14ac:dyDescent="0.25">
      <c r="A3514">
        <v>732441</v>
      </c>
      <c r="B3514" t="s">
        <v>4826</v>
      </c>
      <c r="C3514">
        <v>1.7</v>
      </c>
      <c r="D3514">
        <v>0</v>
      </c>
      <c r="E3514">
        <v>1.7</v>
      </c>
      <c r="F3514">
        <v>1.7</v>
      </c>
      <c r="G3514">
        <v>1.7</v>
      </c>
      <c r="H3514">
        <v>1.7</v>
      </c>
      <c r="I3514" s="1">
        <v>25000</v>
      </c>
      <c r="J3514" s="1">
        <v>42500</v>
      </c>
      <c r="K3514">
        <v>1</v>
      </c>
      <c r="L3514">
        <v>1.68</v>
      </c>
      <c r="M3514">
        <v>1.71</v>
      </c>
      <c r="N3514" s="1">
        <v>5000000</v>
      </c>
      <c r="O3514">
        <v>1.7</v>
      </c>
      <c r="P3514">
        <v>2.72</v>
      </c>
      <c r="Q3514">
        <v>0.68</v>
      </c>
    </row>
    <row r="3515" spans="1:17" x14ac:dyDescent="0.25">
      <c r="A3515">
        <v>732442</v>
      </c>
      <c r="B3515" t="s">
        <v>4827</v>
      </c>
      <c r="C3515" t="s">
        <v>78</v>
      </c>
      <c r="D3515" t="s">
        <v>78</v>
      </c>
      <c r="E3515" t="s">
        <v>78</v>
      </c>
      <c r="F3515" t="s">
        <v>78</v>
      </c>
      <c r="G3515" t="s">
        <v>78</v>
      </c>
      <c r="H3515">
        <v>1.21</v>
      </c>
      <c r="I3515" s="1">
        <v>0</v>
      </c>
      <c r="J3515" s="1">
        <v>0</v>
      </c>
      <c r="K3515">
        <v>0</v>
      </c>
      <c r="L3515">
        <v>1.1100000000000001</v>
      </c>
      <c r="M3515">
        <v>1.1399999999999999</v>
      </c>
      <c r="N3515" s="1">
        <v>15000000</v>
      </c>
      <c r="O3515">
        <v>1.1399999999999999</v>
      </c>
      <c r="P3515">
        <v>1.69</v>
      </c>
      <c r="Q3515">
        <v>0.59</v>
      </c>
    </row>
    <row r="3516" spans="1:17" x14ac:dyDescent="0.25">
      <c r="A3516">
        <v>732443</v>
      </c>
      <c r="B3516" t="s">
        <v>4828</v>
      </c>
      <c r="C3516" t="s">
        <v>78</v>
      </c>
      <c r="D3516" t="s">
        <v>78</v>
      </c>
      <c r="E3516" t="s">
        <v>78</v>
      </c>
      <c r="F3516" t="s">
        <v>78</v>
      </c>
      <c r="G3516" t="s">
        <v>78</v>
      </c>
      <c r="H3516">
        <v>1.1000000000000001</v>
      </c>
      <c r="I3516" s="1">
        <v>0</v>
      </c>
      <c r="J3516" s="1">
        <v>0</v>
      </c>
      <c r="K3516">
        <v>0</v>
      </c>
      <c r="L3516">
        <v>0.77</v>
      </c>
      <c r="M3516">
        <v>0.78</v>
      </c>
      <c r="N3516" s="1">
        <v>5000000</v>
      </c>
      <c r="O3516">
        <v>0.78</v>
      </c>
      <c r="P3516">
        <v>1.57</v>
      </c>
      <c r="Q3516">
        <v>0.01</v>
      </c>
    </row>
    <row r="3517" spans="1:17" x14ac:dyDescent="0.25">
      <c r="A3517">
        <v>732444</v>
      </c>
      <c r="B3517" t="s">
        <v>4829</v>
      </c>
      <c r="C3517" t="s">
        <v>78</v>
      </c>
      <c r="D3517" t="s">
        <v>78</v>
      </c>
      <c r="E3517" t="s">
        <v>78</v>
      </c>
      <c r="F3517" t="s">
        <v>78</v>
      </c>
      <c r="G3517" t="s">
        <v>78</v>
      </c>
      <c r="H3517">
        <v>0.13</v>
      </c>
      <c r="I3517" s="1">
        <v>0</v>
      </c>
      <c r="J3517" s="1">
        <v>0</v>
      </c>
      <c r="K3517">
        <v>0</v>
      </c>
      <c r="L3517">
        <v>0.12</v>
      </c>
      <c r="M3517">
        <v>0.13</v>
      </c>
      <c r="N3517" s="1">
        <v>10000000</v>
      </c>
      <c r="O3517">
        <v>0.13</v>
      </c>
      <c r="P3517">
        <v>0.71</v>
      </c>
      <c r="Q3517">
        <v>0.01</v>
      </c>
    </row>
    <row r="3518" spans="1:17" x14ac:dyDescent="0.25">
      <c r="A3518">
        <v>732445</v>
      </c>
      <c r="B3518" t="s">
        <v>4830</v>
      </c>
      <c r="C3518">
        <v>1.35</v>
      </c>
      <c r="D3518">
        <v>-0.04</v>
      </c>
      <c r="E3518">
        <v>1.35</v>
      </c>
      <c r="F3518">
        <v>1.35</v>
      </c>
      <c r="G3518">
        <v>1.35</v>
      </c>
      <c r="H3518">
        <v>1.35</v>
      </c>
      <c r="I3518" s="1">
        <v>5000</v>
      </c>
      <c r="J3518" s="1">
        <v>6750</v>
      </c>
      <c r="K3518">
        <v>1</v>
      </c>
      <c r="L3518">
        <v>1.31</v>
      </c>
      <c r="M3518">
        <v>1.32</v>
      </c>
      <c r="N3518" s="1">
        <v>5000000</v>
      </c>
      <c r="O3518">
        <v>1.35</v>
      </c>
      <c r="P3518">
        <v>2.17</v>
      </c>
      <c r="Q3518">
        <v>0.53</v>
      </c>
    </row>
    <row r="3519" spans="1:17" x14ac:dyDescent="0.25">
      <c r="A3519">
        <v>732446</v>
      </c>
      <c r="B3519" t="s">
        <v>4831</v>
      </c>
      <c r="C3519">
        <v>0.67</v>
      </c>
      <c r="D3519">
        <v>0.06</v>
      </c>
      <c r="E3519">
        <v>0.69</v>
      </c>
      <c r="F3519">
        <v>0.69</v>
      </c>
      <c r="G3519">
        <v>0.66</v>
      </c>
      <c r="H3519">
        <v>0.68</v>
      </c>
      <c r="I3519" s="1">
        <v>140000</v>
      </c>
      <c r="J3519" s="1">
        <v>94640</v>
      </c>
      <c r="K3519">
        <v>10</v>
      </c>
      <c r="L3519">
        <v>0.65</v>
      </c>
      <c r="M3519">
        <v>0.66</v>
      </c>
      <c r="N3519" s="1">
        <v>5000000</v>
      </c>
      <c r="O3519">
        <v>0.67</v>
      </c>
      <c r="P3519">
        <v>1.33</v>
      </c>
      <c r="Q3519">
        <v>0.01</v>
      </c>
    </row>
    <row r="3520" spans="1:17" x14ac:dyDescent="0.25">
      <c r="A3520">
        <v>732447</v>
      </c>
      <c r="B3520" t="s">
        <v>4832</v>
      </c>
      <c r="C3520">
        <v>0.48</v>
      </c>
      <c r="D3520">
        <v>-0.01</v>
      </c>
      <c r="E3520">
        <v>0.54</v>
      </c>
      <c r="F3520">
        <v>0.54</v>
      </c>
      <c r="G3520">
        <v>0.48</v>
      </c>
      <c r="H3520">
        <v>0.51</v>
      </c>
      <c r="I3520" s="1">
        <v>180000</v>
      </c>
      <c r="J3520" s="1">
        <v>91360</v>
      </c>
      <c r="K3520">
        <v>9</v>
      </c>
      <c r="L3520">
        <v>0.5</v>
      </c>
      <c r="M3520">
        <v>0.51</v>
      </c>
      <c r="N3520" s="1">
        <v>5000000</v>
      </c>
      <c r="O3520">
        <v>0.48</v>
      </c>
      <c r="P3520">
        <v>1.1399999999999999</v>
      </c>
      <c r="Q3520">
        <v>0.01</v>
      </c>
    </row>
    <row r="3521" spans="1:17" x14ac:dyDescent="0.25">
      <c r="A3521">
        <v>732448</v>
      </c>
      <c r="B3521" t="s">
        <v>4833</v>
      </c>
      <c r="C3521" t="s">
        <v>78</v>
      </c>
      <c r="D3521" t="s">
        <v>78</v>
      </c>
      <c r="E3521" t="s">
        <v>78</v>
      </c>
      <c r="F3521" t="s">
        <v>78</v>
      </c>
      <c r="G3521" t="s">
        <v>78</v>
      </c>
      <c r="H3521">
        <v>0.21</v>
      </c>
      <c r="I3521" s="1">
        <v>0</v>
      </c>
      <c r="J3521" s="1">
        <v>0</v>
      </c>
      <c r="K3521">
        <v>0</v>
      </c>
      <c r="L3521">
        <v>0.17</v>
      </c>
      <c r="M3521">
        <v>0.18</v>
      </c>
      <c r="N3521" s="1">
        <v>5000000</v>
      </c>
      <c r="O3521">
        <v>0.18</v>
      </c>
      <c r="P3521">
        <v>0.86</v>
      </c>
      <c r="Q3521">
        <v>0.01</v>
      </c>
    </row>
    <row r="3522" spans="1:17" x14ac:dyDescent="0.25">
      <c r="A3522">
        <v>732449</v>
      </c>
      <c r="B3522" t="s">
        <v>4834</v>
      </c>
      <c r="C3522" t="s">
        <v>78</v>
      </c>
      <c r="D3522" t="s">
        <v>78</v>
      </c>
      <c r="E3522" t="s">
        <v>78</v>
      </c>
      <c r="F3522" t="s">
        <v>78</v>
      </c>
      <c r="G3522" t="s">
        <v>78</v>
      </c>
      <c r="H3522">
        <v>0.31</v>
      </c>
      <c r="I3522" s="1">
        <v>0</v>
      </c>
      <c r="J3522" s="1">
        <v>0</v>
      </c>
      <c r="K3522">
        <v>0</v>
      </c>
      <c r="L3522">
        <v>0.26</v>
      </c>
      <c r="M3522">
        <v>0.27</v>
      </c>
      <c r="N3522" s="1">
        <v>6000000</v>
      </c>
      <c r="O3522">
        <v>0.27</v>
      </c>
      <c r="P3522">
        <v>0.78</v>
      </c>
      <c r="Q3522">
        <v>0.01</v>
      </c>
    </row>
    <row r="3523" spans="1:17" x14ac:dyDescent="0.25">
      <c r="A3523">
        <v>732450</v>
      </c>
      <c r="B3523" t="s">
        <v>4835</v>
      </c>
      <c r="C3523">
        <v>0.21</v>
      </c>
      <c r="D3523">
        <v>0.01</v>
      </c>
      <c r="E3523">
        <v>0.21</v>
      </c>
      <c r="F3523">
        <v>0.21</v>
      </c>
      <c r="G3523">
        <v>0.21</v>
      </c>
      <c r="H3523">
        <v>0.21</v>
      </c>
      <c r="I3523" s="1">
        <v>13000</v>
      </c>
      <c r="J3523" s="1">
        <v>2730</v>
      </c>
      <c r="K3523">
        <v>2</v>
      </c>
      <c r="L3523">
        <v>0.21</v>
      </c>
      <c r="M3523">
        <v>0.22</v>
      </c>
      <c r="N3523" s="1">
        <v>10000000</v>
      </c>
      <c r="O3523">
        <v>0.21</v>
      </c>
      <c r="P3523">
        <v>0.88</v>
      </c>
      <c r="Q3523">
        <v>0.01</v>
      </c>
    </row>
    <row r="3524" spans="1:17" x14ac:dyDescent="0.25">
      <c r="A3524">
        <v>732451</v>
      </c>
      <c r="B3524" t="s">
        <v>4836</v>
      </c>
      <c r="C3524" t="s">
        <v>78</v>
      </c>
      <c r="D3524" t="s">
        <v>78</v>
      </c>
      <c r="E3524" t="s">
        <v>78</v>
      </c>
      <c r="F3524" t="s">
        <v>78</v>
      </c>
      <c r="G3524" t="s">
        <v>78</v>
      </c>
      <c r="H3524">
        <v>3.03</v>
      </c>
      <c r="I3524" s="1">
        <v>0</v>
      </c>
      <c r="J3524" s="1">
        <v>0</v>
      </c>
      <c r="K3524">
        <v>0</v>
      </c>
      <c r="L3524">
        <v>2.71</v>
      </c>
      <c r="M3524">
        <v>2.81</v>
      </c>
      <c r="N3524" s="1">
        <v>10000000</v>
      </c>
      <c r="O3524">
        <v>2.81</v>
      </c>
      <c r="P3524">
        <v>3.99</v>
      </c>
      <c r="Q3524">
        <v>1.63</v>
      </c>
    </row>
    <row r="3525" spans="1:17" x14ac:dyDescent="0.25">
      <c r="A3525">
        <v>732452</v>
      </c>
      <c r="B3525" t="s">
        <v>4837</v>
      </c>
      <c r="C3525">
        <v>2.85</v>
      </c>
      <c r="D3525">
        <v>0.13</v>
      </c>
      <c r="E3525">
        <v>3.03</v>
      </c>
      <c r="F3525">
        <v>3.03</v>
      </c>
      <c r="G3525">
        <v>2.85</v>
      </c>
      <c r="H3525">
        <v>3.02</v>
      </c>
      <c r="I3525" s="1">
        <v>101000</v>
      </c>
      <c r="J3525" s="1">
        <v>305350</v>
      </c>
      <c r="K3525">
        <v>3</v>
      </c>
      <c r="L3525">
        <v>2.75</v>
      </c>
      <c r="M3525">
        <v>2.79</v>
      </c>
      <c r="N3525" s="1">
        <v>10000000</v>
      </c>
      <c r="O3525">
        <v>2.85</v>
      </c>
      <c r="P3525">
        <v>4.43</v>
      </c>
      <c r="Q3525">
        <v>1.27</v>
      </c>
    </row>
    <row r="3526" spans="1:17" x14ac:dyDescent="0.25">
      <c r="A3526">
        <v>732453</v>
      </c>
      <c r="B3526" t="s">
        <v>4838</v>
      </c>
      <c r="C3526">
        <v>2.58</v>
      </c>
      <c r="D3526">
        <v>-0.13</v>
      </c>
      <c r="E3526">
        <v>2.75</v>
      </c>
      <c r="F3526">
        <v>2.89</v>
      </c>
      <c r="G3526">
        <v>2.58</v>
      </c>
      <c r="H3526">
        <v>2.7</v>
      </c>
      <c r="I3526" s="1">
        <v>1931000</v>
      </c>
      <c r="J3526" s="1">
        <v>5210560</v>
      </c>
      <c r="K3526">
        <v>71</v>
      </c>
      <c r="L3526">
        <v>2.58</v>
      </c>
      <c r="M3526">
        <v>2.59</v>
      </c>
      <c r="N3526" s="1">
        <v>10000000</v>
      </c>
      <c r="O3526">
        <v>2.58</v>
      </c>
      <c r="P3526">
        <v>4.55</v>
      </c>
      <c r="Q3526">
        <v>0.61</v>
      </c>
    </row>
    <row r="3527" spans="1:17" x14ac:dyDescent="0.25">
      <c r="A3527">
        <v>732454</v>
      </c>
      <c r="B3527" t="s">
        <v>4839</v>
      </c>
      <c r="C3527" t="s">
        <v>78</v>
      </c>
      <c r="D3527" t="s">
        <v>78</v>
      </c>
      <c r="E3527" t="s">
        <v>78</v>
      </c>
      <c r="F3527" t="s">
        <v>78</v>
      </c>
      <c r="G3527" t="s">
        <v>78</v>
      </c>
      <c r="H3527">
        <v>0.17</v>
      </c>
      <c r="I3527" s="1">
        <v>0</v>
      </c>
      <c r="J3527" s="1">
        <v>0</v>
      </c>
      <c r="K3527">
        <v>0</v>
      </c>
      <c r="L3527">
        <v>0.17</v>
      </c>
      <c r="M3527">
        <v>0.18</v>
      </c>
      <c r="N3527" s="1">
        <v>10000000</v>
      </c>
      <c r="O3527">
        <v>0.18</v>
      </c>
      <c r="P3527">
        <v>0.69</v>
      </c>
      <c r="Q3527">
        <v>0.01</v>
      </c>
    </row>
    <row r="3528" spans="1:17" x14ac:dyDescent="0.25">
      <c r="A3528">
        <v>732455</v>
      </c>
      <c r="B3528" t="s">
        <v>4840</v>
      </c>
      <c r="C3528">
        <v>0.27</v>
      </c>
      <c r="D3528">
        <v>-0.02</v>
      </c>
      <c r="E3528">
        <v>0.27</v>
      </c>
      <c r="F3528">
        <v>0.27</v>
      </c>
      <c r="G3528">
        <v>0.27</v>
      </c>
      <c r="H3528">
        <v>0.27</v>
      </c>
      <c r="I3528" s="1">
        <v>5000</v>
      </c>
      <c r="J3528" s="1">
        <v>1350</v>
      </c>
      <c r="K3528">
        <v>1</v>
      </c>
      <c r="L3528">
        <v>0.26</v>
      </c>
      <c r="M3528">
        <v>0.27</v>
      </c>
      <c r="N3528" s="1">
        <v>5000000</v>
      </c>
      <c r="O3528">
        <v>0.27</v>
      </c>
      <c r="P3528">
        <v>1.1000000000000001</v>
      </c>
      <c r="Q3528">
        <v>0.01</v>
      </c>
    </row>
    <row r="3529" spans="1:17" x14ac:dyDescent="0.25">
      <c r="A3529">
        <v>732456</v>
      </c>
      <c r="B3529" t="s">
        <v>4841</v>
      </c>
      <c r="C3529">
        <v>0.91</v>
      </c>
      <c r="D3529">
        <v>-7.0000000000000007E-2</v>
      </c>
      <c r="E3529">
        <v>0.95</v>
      </c>
      <c r="F3529">
        <v>0.95</v>
      </c>
      <c r="G3529">
        <v>0.91</v>
      </c>
      <c r="H3529">
        <v>0.95</v>
      </c>
      <c r="I3529" s="1">
        <v>62000</v>
      </c>
      <c r="J3529" s="1">
        <v>58810</v>
      </c>
      <c r="K3529">
        <v>3</v>
      </c>
      <c r="L3529">
        <v>0.92</v>
      </c>
      <c r="M3529">
        <v>0.93</v>
      </c>
      <c r="N3529" s="1">
        <v>10000000</v>
      </c>
      <c r="O3529">
        <v>0.91</v>
      </c>
      <c r="P3529">
        <v>1.79</v>
      </c>
      <c r="Q3529">
        <v>0.03</v>
      </c>
    </row>
    <row r="3530" spans="1:17" x14ac:dyDescent="0.25">
      <c r="A3530">
        <v>732457</v>
      </c>
      <c r="B3530" t="s">
        <v>4842</v>
      </c>
      <c r="C3530">
        <v>0.7</v>
      </c>
      <c r="D3530">
        <v>0.15</v>
      </c>
      <c r="E3530">
        <v>0.53</v>
      </c>
      <c r="F3530">
        <v>0.7</v>
      </c>
      <c r="G3530">
        <v>0.53</v>
      </c>
      <c r="H3530">
        <v>0.6</v>
      </c>
      <c r="I3530" s="1">
        <v>626000</v>
      </c>
      <c r="J3530" s="1">
        <v>378330</v>
      </c>
      <c r="K3530">
        <v>15</v>
      </c>
      <c r="L3530">
        <v>0.67</v>
      </c>
      <c r="M3530">
        <v>0.68</v>
      </c>
      <c r="N3530" s="1">
        <v>10000000</v>
      </c>
      <c r="O3530">
        <v>0.7</v>
      </c>
      <c r="P3530">
        <v>1.47</v>
      </c>
      <c r="Q3530">
        <v>0.01</v>
      </c>
    </row>
    <row r="3531" spans="1:17" x14ac:dyDescent="0.25">
      <c r="A3531">
        <v>732458</v>
      </c>
      <c r="B3531" t="s">
        <v>4843</v>
      </c>
      <c r="C3531">
        <v>0.71</v>
      </c>
      <c r="D3531">
        <v>0.05</v>
      </c>
      <c r="E3531">
        <v>0.7</v>
      </c>
      <c r="F3531">
        <v>0.73</v>
      </c>
      <c r="G3531">
        <v>0.67</v>
      </c>
      <c r="H3531">
        <v>0.71</v>
      </c>
      <c r="I3531" s="1">
        <v>1436000</v>
      </c>
      <c r="J3531" s="1">
        <v>1017030</v>
      </c>
      <c r="K3531">
        <v>23</v>
      </c>
      <c r="L3531">
        <v>0.72</v>
      </c>
      <c r="M3531">
        <v>0.73</v>
      </c>
      <c r="N3531" s="1">
        <v>10000000</v>
      </c>
      <c r="O3531">
        <v>0.71</v>
      </c>
      <c r="P3531">
        <v>1.67</v>
      </c>
      <c r="Q3531">
        <v>0.01</v>
      </c>
    </row>
    <row r="3532" spans="1:17" x14ac:dyDescent="0.25">
      <c r="A3532">
        <v>732459</v>
      </c>
      <c r="B3532" t="s">
        <v>4844</v>
      </c>
      <c r="C3532">
        <v>3.44</v>
      </c>
      <c r="D3532">
        <v>7.0000000000000007E-2</v>
      </c>
      <c r="E3532">
        <v>3.6</v>
      </c>
      <c r="F3532">
        <v>3.61</v>
      </c>
      <c r="G3532">
        <v>3.44</v>
      </c>
      <c r="H3532">
        <v>3.52</v>
      </c>
      <c r="I3532" s="1">
        <v>21000</v>
      </c>
      <c r="J3532" s="1">
        <v>74010</v>
      </c>
      <c r="K3532">
        <v>3</v>
      </c>
      <c r="L3532">
        <v>3.44</v>
      </c>
      <c r="M3532">
        <v>3.53</v>
      </c>
      <c r="N3532" s="1">
        <v>5000000</v>
      </c>
      <c r="O3532">
        <v>3.44</v>
      </c>
      <c r="P3532">
        <v>4.71</v>
      </c>
      <c r="Q3532">
        <v>2.17</v>
      </c>
    </row>
    <row r="3533" spans="1:17" x14ac:dyDescent="0.25">
      <c r="A3533">
        <v>732460</v>
      </c>
      <c r="B3533" t="s">
        <v>4845</v>
      </c>
      <c r="C3533">
        <v>0.47</v>
      </c>
      <c r="D3533">
        <v>0.01</v>
      </c>
      <c r="E3533">
        <v>0.48</v>
      </c>
      <c r="F3533">
        <v>0.48</v>
      </c>
      <c r="G3533">
        <v>0.47</v>
      </c>
      <c r="H3533">
        <v>0.47</v>
      </c>
      <c r="I3533" s="1">
        <v>449000</v>
      </c>
      <c r="J3533" s="1">
        <v>213030</v>
      </c>
      <c r="K3533">
        <v>6</v>
      </c>
      <c r="L3533">
        <v>0.46</v>
      </c>
      <c r="M3533">
        <v>0.47</v>
      </c>
      <c r="N3533" s="1">
        <v>5000000</v>
      </c>
      <c r="O3533">
        <v>0.47</v>
      </c>
      <c r="P3533">
        <v>1.47</v>
      </c>
      <c r="Q3533">
        <v>0.01</v>
      </c>
    </row>
    <row r="3534" spans="1:17" x14ac:dyDescent="0.25">
      <c r="A3534">
        <v>732461</v>
      </c>
      <c r="B3534" t="s">
        <v>4846</v>
      </c>
      <c r="C3534" t="s">
        <v>78</v>
      </c>
      <c r="D3534" t="s">
        <v>78</v>
      </c>
      <c r="E3534" t="s">
        <v>78</v>
      </c>
      <c r="F3534" t="s">
        <v>78</v>
      </c>
      <c r="G3534" t="s">
        <v>78</v>
      </c>
      <c r="H3534">
        <v>0.51</v>
      </c>
      <c r="I3534" s="1">
        <v>0</v>
      </c>
      <c r="J3534" s="1">
        <v>0</v>
      </c>
      <c r="K3534">
        <v>0</v>
      </c>
      <c r="L3534">
        <v>0.44</v>
      </c>
      <c r="M3534">
        <v>0.45</v>
      </c>
      <c r="N3534" s="1">
        <v>5000000</v>
      </c>
      <c r="O3534">
        <v>0.45</v>
      </c>
      <c r="P3534">
        <v>1.25</v>
      </c>
      <c r="Q3534">
        <v>0.01</v>
      </c>
    </row>
    <row r="3535" spans="1:17" x14ac:dyDescent="0.25">
      <c r="A3535">
        <v>732462</v>
      </c>
      <c r="B3535" t="s">
        <v>4847</v>
      </c>
      <c r="C3535">
        <v>1.97</v>
      </c>
      <c r="D3535">
        <v>-0.16</v>
      </c>
      <c r="E3535">
        <v>1.94</v>
      </c>
      <c r="F3535">
        <v>1.98</v>
      </c>
      <c r="G3535">
        <v>1.89</v>
      </c>
      <c r="H3535">
        <v>1.96</v>
      </c>
      <c r="I3535" s="1">
        <v>263000</v>
      </c>
      <c r="J3535" s="1">
        <v>514430</v>
      </c>
      <c r="K3535">
        <v>8</v>
      </c>
      <c r="L3535">
        <v>1.96</v>
      </c>
      <c r="M3535">
        <v>2.0099999999999998</v>
      </c>
      <c r="N3535" s="1">
        <v>10000000</v>
      </c>
      <c r="O3535">
        <v>1.97</v>
      </c>
      <c r="P3535">
        <v>3.59</v>
      </c>
      <c r="Q3535">
        <v>0.35</v>
      </c>
    </row>
    <row r="3536" spans="1:17" x14ac:dyDescent="0.25">
      <c r="A3536">
        <v>732463</v>
      </c>
      <c r="B3536" t="s">
        <v>4848</v>
      </c>
      <c r="C3536">
        <v>1.04</v>
      </c>
      <c r="D3536">
        <v>0.12</v>
      </c>
      <c r="E3536">
        <v>0.92</v>
      </c>
      <c r="F3536">
        <v>1.1399999999999999</v>
      </c>
      <c r="G3536">
        <v>0.92</v>
      </c>
      <c r="H3536">
        <v>1.06</v>
      </c>
      <c r="I3536" s="1">
        <v>101000</v>
      </c>
      <c r="J3536" s="1">
        <v>106910</v>
      </c>
      <c r="K3536">
        <v>13</v>
      </c>
      <c r="L3536">
        <v>1</v>
      </c>
      <c r="M3536">
        <v>1.04</v>
      </c>
      <c r="N3536" s="1">
        <v>5000000</v>
      </c>
      <c r="O3536">
        <v>1.04</v>
      </c>
      <c r="P3536">
        <v>1.55</v>
      </c>
      <c r="Q3536">
        <v>0.51</v>
      </c>
    </row>
    <row r="3537" spans="1:17" x14ac:dyDescent="0.25">
      <c r="A3537">
        <v>732464</v>
      </c>
      <c r="B3537" t="s">
        <v>4849</v>
      </c>
      <c r="C3537">
        <v>0.53</v>
      </c>
      <c r="D3537">
        <v>-0.02</v>
      </c>
      <c r="E3537">
        <v>0.53</v>
      </c>
      <c r="F3537">
        <v>0.53</v>
      </c>
      <c r="G3537">
        <v>0.53</v>
      </c>
      <c r="H3537">
        <v>0.53</v>
      </c>
      <c r="I3537" s="1">
        <v>10000</v>
      </c>
      <c r="J3537" s="1">
        <v>5300</v>
      </c>
      <c r="K3537">
        <v>1</v>
      </c>
      <c r="L3537">
        <v>0.53</v>
      </c>
      <c r="M3537">
        <v>0.54</v>
      </c>
      <c r="N3537" s="1">
        <v>5000000</v>
      </c>
      <c r="O3537">
        <v>0.53</v>
      </c>
      <c r="P3537">
        <v>0.97</v>
      </c>
      <c r="Q3537">
        <v>0.09</v>
      </c>
    </row>
    <row r="3538" spans="1:17" x14ac:dyDescent="0.25">
      <c r="A3538">
        <v>732465</v>
      </c>
      <c r="B3538" t="s">
        <v>4850</v>
      </c>
      <c r="C3538" t="s">
        <v>78</v>
      </c>
      <c r="D3538" t="s">
        <v>78</v>
      </c>
      <c r="E3538" t="s">
        <v>78</v>
      </c>
      <c r="F3538" t="s">
        <v>78</v>
      </c>
      <c r="G3538" t="s">
        <v>78</v>
      </c>
      <c r="H3538">
        <v>1.8</v>
      </c>
      <c r="I3538" s="1">
        <v>0</v>
      </c>
      <c r="J3538" s="1">
        <v>0</v>
      </c>
      <c r="K3538">
        <v>0</v>
      </c>
      <c r="L3538">
        <v>1.83</v>
      </c>
      <c r="M3538">
        <v>1.87</v>
      </c>
      <c r="N3538" s="1">
        <v>5000000</v>
      </c>
      <c r="O3538">
        <v>1.83</v>
      </c>
      <c r="P3538">
        <v>2.5499999999999998</v>
      </c>
      <c r="Q3538">
        <v>1.1100000000000001</v>
      </c>
    </row>
    <row r="3539" spans="1:17" x14ac:dyDescent="0.25">
      <c r="A3539">
        <v>732466</v>
      </c>
      <c r="B3539" t="s">
        <v>4851</v>
      </c>
      <c r="C3539" t="s">
        <v>78</v>
      </c>
      <c r="D3539" t="s">
        <v>78</v>
      </c>
      <c r="E3539" t="s">
        <v>78</v>
      </c>
      <c r="F3539" t="s">
        <v>78</v>
      </c>
      <c r="G3539" t="s">
        <v>78</v>
      </c>
      <c r="H3539">
        <v>0.27</v>
      </c>
      <c r="I3539" s="1">
        <v>0</v>
      </c>
      <c r="J3539" s="1">
        <v>0</v>
      </c>
      <c r="K3539">
        <v>0</v>
      </c>
      <c r="L3539">
        <v>0.28000000000000003</v>
      </c>
      <c r="M3539">
        <v>0.28999999999999998</v>
      </c>
      <c r="N3539" s="1">
        <v>10000000</v>
      </c>
      <c r="O3539">
        <v>0.28999999999999998</v>
      </c>
      <c r="P3539">
        <v>0.87</v>
      </c>
      <c r="Q3539">
        <v>0.01</v>
      </c>
    </row>
    <row r="3540" spans="1:17" x14ac:dyDescent="0.25">
      <c r="A3540">
        <v>732467</v>
      </c>
      <c r="B3540" t="s">
        <v>4852</v>
      </c>
      <c r="C3540">
        <v>1.4</v>
      </c>
      <c r="D3540">
        <v>0.09</v>
      </c>
      <c r="E3540">
        <v>1.36</v>
      </c>
      <c r="F3540">
        <v>1.41</v>
      </c>
      <c r="G3540">
        <v>1.36</v>
      </c>
      <c r="H3540">
        <v>1.38</v>
      </c>
      <c r="I3540" s="1">
        <v>125000</v>
      </c>
      <c r="J3540" s="1">
        <v>173000</v>
      </c>
      <c r="K3540">
        <v>13</v>
      </c>
      <c r="L3540">
        <v>1.36</v>
      </c>
      <c r="M3540">
        <v>1.37</v>
      </c>
      <c r="N3540" s="1">
        <v>10000000</v>
      </c>
      <c r="O3540">
        <v>1.4</v>
      </c>
      <c r="P3540">
        <v>1.99</v>
      </c>
      <c r="Q3540">
        <v>0.81</v>
      </c>
    </row>
    <row r="3541" spans="1:17" x14ac:dyDescent="0.25">
      <c r="A3541">
        <v>732468</v>
      </c>
      <c r="B3541" t="s">
        <v>4853</v>
      </c>
      <c r="C3541">
        <v>0.84</v>
      </c>
      <c r="D3541">
        <v>-0.01</v>
      </c>
      <c r="E3541">
        <v>0.84</v>
      </c>
      <c r="F3541">
        <v>0.93</v>
      </c>
      <c r="G3541">
        <v>0.84</v>
      </c>
      <c r="H3541">
        <v>0.88</v>
      </c>
      <c r="I3541" s="1">
        <v>218000</v>
      </c>
      <c r="J3541" s="1">
        <v>191030</v>
      </c>
      <c r="K3541">
        <v>9</v>
      </c>
      <c r="L3541">
        <v>0.81</v>
      </c>
      <c r="M3541">
        <v>0.82</v>
      </c>
      <c r="N3541" s="1">
        <v>5000000</v>
      </c>
      <c r="O3541">
        <v>0.84</v>
      </c>
      <c r="P3541">
        <v>1.63</v>
      </c>
      <c r="Q3541">
        <v>0.05</v>
      </c>
    </row>
    <row r="3542" spans="1:17" x14ac:dyDescent="0.25">
      <c r="A3542">
        <v>732469</v>
      </c>
      <c r="B3542" t="s">
        <v>4854</v>
      </c>
      <c r="C3542">
        <v>1.06</v>
      </c>
      <c r="D3542">
        <v>-0.05</v>
      </c>
      <c r="E3542">
        <v>1.1299999999999999</v>
      </c>
      <c r="F3542">
        <v>1.18</v>
      </c>
      <c r="G3542">
        <v>1.06</v>
      </c>
      <c r="H3542">
        <v>1.1100000000000001</v>
      </c>
      <c r="I3542" s="1">
        <v>392000</v>
      </c>
      <c r="J3542" s="1">
        <v>436940</v>
      </c>
      <c r="K3542">
        <v>17</v>
      </c>
      <c r="L3542">
        <v>1.05</v>
      </c>
      <c r="M3542">
        <v>1.06</v>
      </c>
      <c r="N3542" s="1">
        <v>5000000</v>
      </c>
      <c r="O3542">
        <v>1.06</v>
      </c>
      <c r="P3542">
        <v>1.82</v>
      </c>
      <c r="Q3542">
        <v>0.3</v>
      </c>
    </row>
    <row r="3543" spans="1:17" x14ac:dyDescent="0.25">
      <c r="A3543">
        <v>732470</v>
      </c>
      <c r="B3543" t="s">
        <v>4855</v>
      </c>
      <c r="C3543" t="s">
        <v>78</v>
      </c>
      <c r="D3543" t="s">
        <v>78</v>
      </c>
      <c r="E3543" t="s">
        <v>78</v>
      </c>
      <c r="F3543" t="s">
        <v>78</v>
      </c>
      <c r="G3543" t="s">
        <v>78</v>
      </c>
      <c r="H3543">
        <v>3.21</v>
      </c>
      <c r="I3543" s="1">
        <v>0</v>
      </c>
      <c r="J3543" s="1">
        <v>0</v>
      </c>
      <c r="K3543">
        <v>0</v>
      </c>
      <c r="L3543">
        <v>3.31</v>
      </c>
      <c r="M3543">
        <v>3.35</v>
      </c>
      <c r="N3543" s="1">
        <v>5000000</v>
      </c>
      <c r="O3543">
        <v>3.35</v>
      </c>
      <c r="P3543">
        <v>4.41</v>
      </c>
      <c r="Q3543">
        <v>2.29</v>
      </c>
    </row>
    <row r="3544" spans="1:17" x14ac:dyDescent="0.25">
      <c r="A3544">
        <v>732471</v>
      </c>
      <c r="B3544" t="s">
        <v>4856</v>
      </c>
      <c r="C3544">
        <v>0.48</v>
      </c>
      <c r="D3544">
        <v>0.08</v>
      </c>
      <c r="E3544">
        <v>0.45</v>
      </c>
      <c r="F3544">
        <v>0.5</v>
      </c>
      <c r="G3544">
        <v>0.45</v>
      </c>
      <c r="H3544">
        <v>0.47</v>
      </c>
      <c r="I3544" s="1">
        <v>420000</v>
      </c>
      <c r="J3544" s="1">
        <v>198000</v>
      </c>
      <c r="K3544">
        <v>5</v>
      </c>
      <c r="L3544">
        <v>0.43</v>
      </c>
      <c r="M3544">
        <v>0.44</v>
      </c>
      <c r="N3544" s="1">
        <v>5000000</v>
      </c>
      <c r="O3544">
        <v>0.48</v>
      </c>
      <c r="P3544">
        <v>1.55</v>
      </c>
      <c r="Q3544">
        <v>0.01</v>
      </c>
    </row>
    <row r="3545" spans="1:17" x14ac:dyDescent="0.25">
      <c r="A3545">
        <v>732472</v>
      </c>
      <c r="B3545" t="s">
        <v>4857</v>
      </c>
      <c r="C3545">
        <v>0.33</v>
      </c>
      <c r="D3545">
        <v>0.02</v>
      </c>
      <c r="E3545">
        <v>0.34</v>
      </c>
      <c r="F3545">
        <v>0.38</v>
      </c>
      <c r="G3545">
        <v>0.33</v>
      </c>
      <c r="H3545">
        <v>0.35</v>
      </c>
      <c r="I3545" s="1">
        <v>572000</v>
      </c>
      <c r="J3545" s="1">
        <v>201620</v>
      </c>
      <c r="K3545">
        <v>10</v>
      </c>
      <c r="L3545">
        <v>0.33</v>
      </c>
      <c r="M3545">
        <v>0.34</v>
      </c>
      <c r="N3545" s="1">
        <v>5000000</v>
      </c>
      <c r="O3545">
        <v>0.33</v>
      </c>
      <c r="P3545">
        <v>1.32</v>
      </c>
      <c r="Q3545">
        <v>0.01</v>
      </c>
    </row>
    <row r="3546" spans="1:17" x14ac:dyDescent="0.25">
      <c r="A3546">
        <v>732473</v>
      </c>
      <c r="B3546" t="s">
        <v>4858</v>
      </c>
      <c r="C3546" t="s">
        <v>78</v>
      </c>
      <c r="D3546" t="s">
        <v>78</v>
      </c>
      <c r="E3546" t="s">
        <v>78</v>
      </c>
      <c r="F3546" t="s">
        <v>78</v>
      </c>
      <c r="G3546" t="s">
        <v>78</v>
      </c>
      <c r="H3546">
        <v>0.33</v>
      </c>
      <c r="I3546" s="1">
        <v>0</v>
      </c>
      <c r="J3546" s="1">
        <v>0</v>
      </c>
      <c r="K3546">
        <v>0</v>
      </c>
      <c r="L3546">
        <v>0.3</v>
      </c>
      <c r="M3546">
        <v>0.31</v>
      </c>
      <c r="N3546" s="1">
        <v>10000000</v>
      </c>
      <c r="O3546">
        <v>0.31</v>
      </c>
      <c r="P3546">
        <v>0.64</v>
      </c>
      <c r="Q3546">
        <v>0.01</v>
      </c>
    </row>
    <row r="3547" spans="1:17" x14ac:dyDescent="0.25">
      <c r="A3547">
        <v>732474</v>
      </c>
      <c r="B3547" t="s">
        <v>4859</v>
      </c>
      <c r="C3547" t="s">
        <v>78</v>
      </c>
      <c r="D3547" t="s">
        <v>78</v>
      </c>
      <c r="E3547" t="s">
        <v>78</v>
      </c>
      <c r="F3547" t="s">
        <v>78</v>
      </c>
      <c r="G3547" t="s">
        <v>78</v>
      </c>
      <c r="H3547">
        <v>1.1000000000000001</v>
      </c>
      <c r="I3547" s="1">
        <v>0</v>
      </c>
      <c r="J3547" s="1">
        <v>0</v>
      </c>
      <c r="K3547">
        <v>0</v>
      </c>
      <c r="L3547">
        <v>1.1599999999999999</v>
      </c>
      <c r="M3547">
        <v>1.24</v>
      </c>
      <c r="N3547" s="1">
        <v>10000000</v>
      </c>
      <c r="O3547">
        <v>1.1599999999999999</v>
      </c>
      <c r="P3547">
        <v>1.68</v>
      </c>
      <c r="Q3547">
        <v>0.64</v>
      </c>
    </row>
    <row r="3548" spans="1:17" x14ac:dyDescent="0.25">
      <c r="A3548">
        <v>732475</v>
      </c>
      <c r="B3548" t="s">
        <v>4860</v>
      </c>
      <c r="C3548">
        <v>0.35</v>
      </c>
      <c r="D3548">
        <v>-0.04</v>
      </c>
      <c r="E3548">
        <v>0.35</v>
      </c>
      <c r="F3548">
        <v>0.35</v>
      </c>
      <c r="G3548">
        <v>0.35</v>
      </c>
      <c r="H3548">
        <v>0.35</v>
      </c>
      <c r="I3548" s="1">
        <v>13000</v>
      </c>
      <c r="J3548" s="1">
        <v>4550</v>
      </c>
      <c r="K3548">
        <v>2</v>
      </c>
      <c r="L3548">
        <v>0.31</v>
      </c>
      <c r="M3548">
        <v>0.32</v>
      </c>
      <c r="N3548" s="1">
        <v>10000000</v>
      </c>
      <c r="O3548">
        <v>0.35</v>
      </c>
      <c r="P3548">
        <v>0.79</v>
      </c>
      <c r="Q3548">
        <v>0.01</v>
      </c>
    </row>
    <row r="3549" spans="1:17" x14ac:dyDescent="0.25">
      <c r="A3549">
        <v>732476</v>
      </c>
      <c r="B3549" t="s">
        <v>4861</v>
      </c>
      <c r="C3549">
        <v>0.42</v>
      </c>
      <c r="D3549">
        <v>0.08</v>
      </c>
      <c r="E3549">
        <v>0.36</v>
      </c>
      <c r="F3549">
        <v>0.42</v>
      </c>
      <c r="G3549">
        <v>0.36</v>
      </c>
      <c r="H3549">
        <v>0.4</v>
      </c>
      <c r="I3549" s="1">
        <v>119000</v>
      </c>
      <c r="J3549" s="1">
        <v>47200</v>
      </c>
      <c r="K3549">
        <v>6</v>
      </c>
      <c r="L3549">
        <v>0.41</v>
      </c>
      <c r="M3549">
        <v>0.42</v>
      </c>
      <c r="N3549" s="1">
        <v>10000000</v>
      </c>
      <c r="O3549">
        <v>0.42</v>
      </c>
      <c r="P3549">
        <v>1.08</v>
      </c>
      <c r="Q3549">
        <v>0.01</v>
      </c>
    </row>
    <row r="3550" spans="1:17" x14ac:dyDescent="0.25">
      <c r="A3550">
        <v>732477</v>
      </c>
      <c r="B3550" t="s">
        <v>4862</v>
      </c>
      <c r="C3550">
        <v>0.86</v>
      </c>
      <c r="D3550">
        <v>-0.02</v>
      </c>
      <c r="E3550">
        <v>0.87</v>
      </c>
      <c r="F3550">
        <v>0.89</v>
      </c>
      <c r="G3550">
        <v>0.86</v>
      </c>
      <c r="H3550">
        <v>0.88</v>
      </c>
      <c r="I3550" s="1">
        <v>178000</v>
      </c>
      <c r="J3550" s="1">
        <v>156160</v>
      </c>
      <c r="K3550">
        <v>7</v>
      </c>
      <c r="L3550">
        <v>0.84</v>
      </c>
      <c r="M3550">
        <v>0.86</v>
      </c>
      <c r="N3550" s="1">
        <v>5000000</v>
      </c>
      <c r="O3550">
        <v>0.86</v>
      </c>
      <c r="P3550">
        <v>1.75</v>
      </c>
      <c r="Q3550">
        <v>0.01</v>
      </c>
    </row>
    <row r="3551" spans="1:17" x14ac:dyDescent="0.25">
      <c r="A3551">
        <v>732478</v>
      </c>
      <c r="B3551" t="s">
        <v>4863</v>
      </c>
      <c r="C3551" t="s">
        <v>78</v>
      </c>
      <c r="D3551" t="s">
        <v>78</v>
      </c>
      <c r="E3551" t="s">
        <v>78</v>
      </c>
      <c r="F3551" t="s">
        <v>78</v>
      </c>
      <c r="G3551" t="s">
        <v>78</v>
      </c>
      <c r="H3551">
        <v>0.44</v>
      </c>
      <c r="I3551" s="1">
        <v>0</v>
      </c>
      <c r="J3551" s="1">
        <v>0</v>
      </c>
      <c r="K3551">
        <v>0</v>
      </c>
      <c r="L3551">
        <v>0.41</v>
      </c>
      <c r="M3551">
        <v>0.42</v>
      </c>
      <c r="N3551" s="1">
        <v>10000000</v>
      </c>
      <c r="O3551">
        <v>0.42</v>
      </c>
      <c r="P3551">
        <v>1.06</v>
      </c>
      <c r="Q3551">
        <v>0.01</v>
      </c>
    </row>
    <row r="3552" spans="1:17" x14ac:dyDescent="0.25">
      <c r="A3552">
        <v>732479</v>
      </c>
      <c r="B3552" t="s">
        <v>4864</v>
      </c>
      <c r="C3552">
        <v>0.27</v>
      </c>
      <c r="D3552">
        <v>-0.04</v>
      </c>
      <c r="E3552">
        <v>0.27</v>
      </c>
      <c r="F3552">
        <v>0.28000000000000003</v>
      </c>
      <c r="G3552">
        <v>0.27</v>
      </c>
      <c r="H3552">
        <v>0.27</v>
      </c>
      <c r="I3552" s="1">
        <v>105000</v>
      </c>
      <c r="J3552" s="1">
        <v>28650</v>
      </c>
      <c r="K3552">
        <v>6</v>
      </c>
      <c r="L3552">
        <v>0.26</v>
      </c>
      <c r="M3552">
        <v>0.27</v>
      </c>
      <c r="N3552" s="1">
        <v>10000000</v>
      </c>
      <c r="O3552">
        <v>0.27</v>
      </c>
      <c r="P3552">
        <v>0.9</v>
      </c>
      <c r="Q3552">
        <v>0.01</v>
      </c>
    </row>
    <row r="3553" spans="1:17" x14ac:dyDescent="0.25">
      <c r="A3553">
        <v>732480</v>
      </c>
      <c r="B3553" t="s">
        <v>4865</v>
      </c>
      <c r="C3553">
        <v>3.44</v>
      </c>
      <c r="D3553">
        <v>0.31</v>
      </c>
      <c r="E3553">
        <v>3.28</v>
      </c>
      <c r="F3553">
        <v>3.44</v>
      </c>
      <c r="G3553">
        <v>3.28</v>
      </c>
      <c r="H3553">
        <v>3.36</v>
      </c>
      <c r="I3553" s="1">
        <v>40000</v>
      </c>
      <c r="J3553" s="1">
        <v>134200</v>
      </c>
      <c r="K3553">
        <v>4</v>
      </c>
      <c r="L3553">
        <v>3.25</v>
      </c>
      <c r="M3553">
        <v>3.35</v>
      </c>
      <c r="N3553" s="1">
        <v>5000000</v>
      </c>
      <c r="O3553">
        <v>3.44</v>
      </c>
      <c r="P3553">
        <v>4.75</v>
      </c>
      <c r="Q3553">
        <v>2.13</v>
      </c>
    </row>
    <row r="3554" spans="1:17" x14ac:dyDescent="0.25">
      <c r="A3554">
        <v>732481</v>
      </c>
      <c r="B3554" t="s">
        <v>4866</v>
      </c>
      <c r="C3554">
        <v>0.38</v>
      </c>
      <c r="D3554">
        <v>0.01</v>
      </c>
      <c r="E3554">
        <v>0.37</v>
      </c>
      <c r="F3554">
        <v>0.38</v>
      </c>
      <c r="G3554">
        <v>0.37</v>
      </c>
      <c r="H3554">
        <v>0.37</v>
      </c>
      <c r="I3554" s="1">
        <v>300000</v>
      </c>
      <c r="J3554" s="1">
        <v>112000</v>
      </c>
      <c r="K3554">
        <v>3</v>
      </c>
      <c r="L3554">
        <v>0.38</v>
      </c>
      <c r="M3554">
        <v>0.39</v>
      </c>
      <c r="N3554" s="1">
        <v>5000000</v>
      </c>
      <c r="O3554">
        <v>0.38</v>
      </c>
      <c r="P3554">
        <v>1.1299999999999999</v>
      </c>
      <c r="Q3554">
        <v>0.01</v>
      </c>
    </row>
    <row r="3555" spans="1:17" x14ac:dyDescent="0.25">
      <c r="A3555">
        <v>732482</v>
      </c>
      <c r="B3555" t="s">
        <v>4867</v>
      </c>
      <c r="C3555">
        <v>1.55</v>
      </c>
      <c r="D3555">
        <v>0.02</v>
      </c>
      <c r="E3555">
        <v>1.61</v>
      </c>
      <c r="F3555">
        <v>1.61</v>
      </c>
      <c r="G3555">
        <v>1.55</v>
      </c>
      <c r="H3555">
        <v>1.58</v>
      </c>
      <c r="I3555" s="1">
        <v>7000</v>
      </c>
      <c r="J3555" s="1">
        <v>11040</v>
      </c>
      <c r="K3555">
        <v>4</v>
      </c>
      <c r="L3555">
        <v>1.51</v>
      </c>
      <c r="M3555">
        <v>1.53</v>
      </c>
      <c r="N3555" s="1">
        <v>7000000</v>
      </c>
      <c r="O3555">
        <v>1.55</v>
      </c>
      <c r="P3555">
        <v>2.69</v>
      </c>
      <c r="Q3555">
        <v>0.41</v>
      </c>
    </row>
    <row r="3556" spans="1:17" x14ac:dyDescent="0.25">
      <c r="A3556">
        <v>732483</v>
      </c>
      <c r="B3556" t="s">
        <v>4868</v>
      </c>
      <c r="C3556">
        <v>2.38</v>
      </c>
      <c r="D3556">
        <v>0.18</v>
      </c>
      <c r="E3556">
        <v>2.4500000000000002</v>
      </c>
      <c r="F3556">
        <v>2.4500000000000002</v>
      </c>
      <c r="G3556">
        <v>2.38</v>
      </c>
      <c r="H3556">
        <v>2.4</v>
      </c>
      <c r="I3556" s="1">
        <v>31000</v>
      </c>
      <c r="J3556" s="1">
        <v>74550</v>
      </c>
      <c r="K3556">
        <v>2</v>
      </c>
      <c r="L3556">
        <v>2.35</v>
      </c>
      <c r="M3556">
        <v>2.39</v>
      </c>
      <c r="N3556" s="1">
        <v>5000000</v>
      </c>
      <c r="O3556">
        <v>2.38</v>
      </c>
      <c r="P3556">
        <v>3.44</v>
      </c>
      <c r="Q3556">
        <v>1.32</v>
      </c>
    </row>
    <row r="3557" spans="1:17" x14ac:dyDescent="0.25">
      <c r="A3557">
        <v>732484</v>
      </c>
      <c r="B3557" t="s">
        <v>4869</v>
      </c>
      <c r="C3557">
        <v>0.73</v>
      </c>
      <c r="D3557">
        <v>0</v>
      </c>
      <c r="E3557">
        <v>0.75</v>
      </c>
      <c r="F3557">
        <v>0.75</v>
      </c>
      <c r="G3557">
        <v>0.73</v>
      </c>
      <c r="H3557">
        <v>0.73</v>
      </c>
      <c r="I3557" s="1">
        <v>271000</v>
      </c>
      <c r="J3557" s="1">
        <v>199050</v>
      </c>
      <c r="K3557">
        <v>7</v>
      </c>
      <c r="L3557">
        <v>0.71</v>
      </c>
      <c r="M3557">
        <v>0.72</v>
      </c>
      <c r="N3557" s="1">
        <v>5000000</v>
      </c>
      <c r="O3557">
        <v>0.73</v>
      </c>
      <c r="P3557">
        <v>1.72</v>
      </c>
      <c r="Q3557">
        <v>0.01</v>
      </c>
    </row>
    <row r="3558" spans="1:17" x14ac:dyDescent="0.25">
      <c r="A3558">
        <v>732485</v>
      </c>
      <c r="B3558" t="s">
        <v>4870</v>
      </c>
      <c r="C3558">
        <v>0.6</v>
      </c>
      <c r="D3558">
        <v>0</v>
      </c>
      <c r="E3558">
        <v>0.62</v>
      </c>
      <c r="F3558">
        <v>0.63</v>
      </c>
      <c r="G3558">
        <v>0.6</v>
      </c>
      <c r="H3558">
        <v>0.61</v>
      </c>
      <c r="I3558" s="1">
        <v>17000</v>
      </c>
      <c r="J3558" s="1">
        <v>10400</v>
      </c>
      <c r="K3558">
        <v>3</v>
      </c>
      <c r="L3558">
        <v>0.59</v>
      </c>
      <c r="M3558">
        <v>0.6</v>
      </c>
      <c r="N3558" s="1">
        <v>10000000</v>
      </c>
      <c r="O3558">
        <v>0.6</v>
      </c>
      <c r="P3558">
        <v>1.3</v>
      </c>
      <c r="Q3558">
        <v>0.01</v>
      </c>
    </row>
    <row r="3559" spans="1:17" x14ac:dyDescent="0.25">
      <c r="A3559">
        <v>732486</v>
      </c>
      <c r="B3559" t="s">
        <v>4871</v>
      </c>
      <c r="C3559">
        <v>0.83</v>
      </c>
      <c r="D3559">
        <v>-0.03</v>
      </c>
      <c r="E3559">
        <v>0.84</v>
      </c>
      <c r="F3559">
        <v>0.84</v>
      </c>
      <c r="G3559">
        <v>0.83</v>
      </c>
      <c r="H3559">
        <v>0.84</v>
      </c>
      <c r="I3559" s="1">
        <v>134000</v>
      </c>
      <c r="J3559" s="1">
        <v>112220</v>
      </c>
      <c r="K3559">
        <v>2</v>
      </c>
      <c r="L3559">
        <v>0.83</v>
      </c>
      <c r="M3559">
        <v>0.84</v>
      </c>
      <c r="N3559" s="1">
        <v>5000000</v>
      </c>
      <c r="O3559">
        <v>0.83</v>
      </c>
      <c r="P3559">
        <v>1.7</v>
      </c>
      <c r="Q3559">
        <v>0.01</v>
      </c>
    </row>
    <row r="3560" spans="1:17" x14ac:dyDescent="0.25">
      <c r="A3560">
        <v>732487</v>
      </c>
      <c r="B3560" t="s">
        <v>4872</v>
      </c>
      <c r="C3560">
        <v>0.11</v>
      </c>
      <c r="D3560">
        <v>-0.04</v>
      </c>
      <c r="E3560">
        <v>0.11</v>
      </c>
      <c r="F3560">
        <v>0.11</v>
      </c>
      <c r="G3560">
        <v>0.11</v>
      </c>
      <c r="H3560">
        <v>0.11</v>
      </c>
      <c r="I3560" s="1">
        <v>20000</v>
      </c>
      <c r="J3560" s="1">
        <v>2200</v>
      </c>
      <c r="K3560">
        <v>1</v>
      </c>
      <c r="L3560">
        <v>0.11</v>
      </c>
      <c r="M3560">
        <v>0.12</v>
      </c>
      <c r="N3560" s="1">
        <v>10000000</v>
      </c>
      <c r="O3560">
        <v>0.11</v>
      </c>
      <c r="P3560">
        <v>0.89</v>
      </c>
      <c r="Q3560">
        <v>0.01</v>
      </c>
    </row>
    <row r="3561" spans="1:17" x14ac:dyDescent="0.25">
      <c r="A3561">
        <v>732488</v>
      </c>
      <c r="B3561" t="s">
        <v>4873</v>
      </c>
      <c r="C3561" t="s">
        <v>78</v>
      </c>
      <c r="D3561" t="s">
        <v>78</v>
      </c>
      <c r="E3561" t="s">
        <v>78</v>
      </c>
      <c r="F3561" t="s">
        <v>78</v>
      </c>
      <c r="G3561" t="s">
        <v>78</v>
      </c>
      <c r="H3561">
        <v>0.25</v>
      </c>
      <c r="I3561" s="1">
        <v>0</v>
      </c>
      <c r="J3561" s="1">
        <v>0</v>
      </c>
      <c r="K3561">
        <v>0</v>
      </c>
      <c r="L3561">
        <v>0.23</v>
      </c>
      <c r="M3561">
        <v>0.24</v>
      </c>
      <c r="N3561" s="1">
        <v>10000000</v>
      </c>
      <c r="O3561">
        <v>0.24</v>
      </c>
      <c r="P3561">
        <v>0.85</v>
      </c>
      <c r="Q3561">
        <v>0.01</v>
      </c>
    </row>
    <row r="3562" spans="1:17" x14ac:dyDescent="0.25">
      <c r="A3562">
        <v>732489</v>
      </c>
      <c r="B3562" t="s">
        <v>4874</v>
      </c>
      <c r="C3562">
        <v>1.1000000000000001</v>
      </c>
      <c r="D3562">
        <v>-0.04</v>
      </c>
      <c r="E3562">
        <v>1.1599999999999999</v>
      </c>
      <c r="F3562">
        <v>1.1599999999999999</v>
      </c>
      <c r="G3562">
        <v>1.1000000000000001</v>
      </c>
      <c r="H3562">
        <v>1.1499999999999999</v>
      </c>
      <c r="I3562" s="1">
        <v>125000</v>
      </c>
      <c r="J3562" s="1">
        <v>143750</v>
      </c>
      <c r="K3562">
        <v>4</v>
      </c>
      <c r="L3562">
        <v>1.08</v>
      </c>
      <c r="M3562">
        <v>1.1000000000000001</v>
      </c>
      <c r="N3562" s="1">
        <v>5000000</v>
      </c>
      <c r="O3562">
        <v>1.1000000000000001</v>
      </c>
      <c r="P3562">
        <v>2.08</v>
      </c>
      <c r="Q3562">
        <v>0.12</v>
      </c>
    </row>
    <row r="3563" spans="1:17" x14ac:dyDescent="0.25">
      <c r="A3563">
        <v>732490</v>
      </c>
      <c r="B3563" t="s">
        <v>4875</v>
      </c>
      <c r="C3563" t="s">
        <v>78</v>
      </c>
      <c r="D3563" t="s">
        <v>78</v>
      </c>
      <c r="E3563" t="s">
        <v>78</v>
      </c>
      <c r="F3563" t="s">
        <v>78</v>
      </c>
      <c r="G3563" t="s">
        <v>78</v>
      </c>
      <c r="H3563">
        <v>3.31</v>
      </c>
      <c r="I3563" s="1">
        <v>0</v>
      </c>
      <c r="J3563" s="1">
        <v>0</v>
      </c>
      <c r="K3563">
        <v>0</v>
      </c>
      <c r="L3563">
        <v>0</v>
      </c>
      <c r="M3563">
        <v>0</v>
      </c>
      <c r="N3563" s="1">
        <v>5000000</v>
      </c>
      <c r="O3563">
        <v>4.5599999999999996</v>
      </c>
      <c r="P3563">
        <v>5.95</v>
      </c>
      <c r="Q3563">
        <v>3.16</v>
      </c>
    </row>
    <row r="3564" spans="1:17" x14ac:dyDescent="0.25">
      <c r="A3564">
        <v>732491</v>
      </c>
      <c r="B3564" t="s">
        <v>4876</v>
      </c>
      <c r="C3564">
        <v>2</v>
      </c>
      <c r="D3564">
        <v>0.05</v>
      </c>
      <c r="E3564">
        <v>2</v>
      </c>
      <c r="F3564">
        <v>2</v>
      </c>
      <c r="G3564">
        <v>2</v>
      </c>
      <c r="H3564">
        <v>2</v>
      </c>
      <c r="I3564" s="1">
        <v>20000</v>
      </c>
      <c r="J3564" s="1">
        <v>40000</v>
      </c>
      <c r="K3564">
        <v>1</v>
      </c>
      <c r="L3564">
        <v>1.86</v>
      </c>
      <c r="M3564">
        <v>2.2000000000000002</v>
      </c>
      <c r="N3564" s="1">
        <v>5000000</v>
      </c>
      <c r="O3564">
        <v>2</v>
      </c>
      <c r="P3564">
        <v>3.4</v>
      </c>
      <c r="Q3564">
        <v>0.6</v>
      </c>
    </row>
    <row r="3565" spans="1:17" x14ac:dyDescent="0.25">
      <c r="A3565">
        <v>732492</v>
      </c>
      <c r="B3565" t="s">
        <v>4877</v>
      </c>
      <c r="C3565" t="s">
        <v>78</v>
      </c>
      <c r="D3565" t="s">
        <v>78</v>
      </c>
      <c r="E3565" t="s">
        <v>78</v>
      </c>
      <c r="F3565" t="s">
        <v>78</v>
      </c>
      <c r="G3565" t="s">
        <v>78</v>
      </c>
      <c r="H3565">
        <v>2.95</v>
      </c>
      <c r="I3565" s="1">
        <v>0</v>
      </c>
      <c r="J3565" s="1">
        <v>0</v>
      </c>
      <c r="K3565">
        <v>0</v>
      </c>
      <c r="L3565">
        <v>2.77</v>
      </c>
      <c r="M3565">
        <v>6</v>
      </c>
      <c r="N3565" s="1">
        <v>5000000</v>
      </c>
      <c r="O3565">
        <v>2.95</v>
      </c>
      <c r="P3565">
        <v>7.15</v>
      </c>
      <c r="Q3565">
        <v>0.01</v>
      </c>
    </row>
    <row r="3566" spans="1:17" x14ac:dyDescent="0.25">
      <c r="A3566">
        <v>732493</v>
      </c>
      <c r="B3566" t="s">
        <v>4878</v>
      </c>
      <c r="C3566">
        <v>0.59</v>
      </c>
      <c r="D3566">
        <v>-0.01</v>
      </c>
      <c r="E3566">
        <v>0.59</v>
      </c>
      <c r="F3566">
        <v>0.62</v>
      </c>
      <c r="G3566">
        <v>0.59</v>
      </c>
      <c r="H3566">
        <v>0.6</v>
      </c>
      <c r="I3566" s="1">
        <v>210000</v>
      </c>
      <c r="J3566" s="1">
        <v>126900</v>
      </c>
      <c r="K3566">
        <v>3</v>
      </c>
      <c r="L3566">
        <v>0.59</v>
      </c>
      <c r="M3566">
        <v>0.6</v>
      </c>
      <c r="N3566" s="1">
        <v>5000000</v>
      </c>
      <c r="O3566">
        <v>0.59</v>
      </c>
      <c r="P3566">
        <v>1.81</v>
      </c>
      <c r="Q3566">
        <v>0.01</v>
      </c>
    </row>
    <row r="3567" spans="1:17" x14ac:dyDescent="0.25">
      <c r="A3567">
        <v>732494</v>
      </c>
      <c r="B3567" t="s">
        <v>4879</v>
      </c>
      <c r="C3567">
        <v>0.4</v>
      </c>
      <c r="D3567">
        <v>0</v>
      </c>
      <c r="E3567">
        <v>0.4</v>
      </c>
      <c r="F3567">
        <v>0.4</v>
      </c>
      <c r="G3567">
        <v>0.4</v>
      </c>
      <c r="H3567">
        <v>0.4</v>
      </c>
      <c r="I3567" s="1">
        <v>210000</v>
      </c>
      <c r="J3567" s="1">
        <v>84000</v>
      </c>
      <c r="K3567">
        <v>3</v>
      </c>
      <c r="L3567">
        <v>0.39</v>
      </c>
      <c r="M3567">
        <v>0.4</v>
      </c>
      <c r="N3567" s="1">
        <v>10000000</v>
      </c>
      <c r="O3567">
        <v>0.4</v>
      </c>
      <c r="P3567">
        <v>0.88</v>
      </c>
      <c r="Q3567">
        <v>0.01</v>
      </c>
    </row>
    <row r="3568" spans="1:17" x14ac:dyDescent="0.25">
      <c r="A3568">
        <v>732495</v>
      </c>
      <c r="B3568" t="s">
        <v>4880</v>
      </c>
      <c r="C3568">
        <v>1.1000000000000001</v>
      </c>
      <c r="D3568">
        <v>0.17</v>
      </c>
      <c r="E3568">
        <v>0.93</v>
      </c>
      <c r="F3568">
        <v>1.1000000000000001</v>
      </c>
      <c r="G3568">
        <v>0.93</v>
      </c>
      <c r="H3568">
        <v>0.98</v>
      </c>
      <c r="I3568" s="1">
        <v>1380000</v>
      </c>
      <c r="J3568" s="1">
        <v>1347260</v>
      </c>
      <c r="K3568">
        <v>24</v>
      </c>
      <c r="L3568">
        <v>1.04</v>
      </c>
      <c r="M3568">
        <v>1.06</v>
      </c>
      <c r="N3568" s="1">
        <v>10000000</v>
      </c>
      <c r="O3568">
        <v>1.1000000000000001</v>
      </c>
      <c r="P3568">
        <v>2.2999999999999998</v>
      </c>
      <c r="Q3568">
        <v>0.01</v>
      </c>
    </row>
    <row r="3569" spans="1:17" x14ac:dyDescent="0.25">
      <c r="A3569">
        <v>732496</v>
      </c>
      <c r="B3569" t="s">
        <v>4881</v>
      </c>
      <c r="C3569">
        <v>1.53</v>
      </c>
      <c r="D3569">
        <v>-0.03</v>
      </c>
      <c r="E3569">
        <v>1.58</v>
      </c>
      <c r="F3569">
        <v>1.61</v>
      </c>
      <c r="G3569">
        <v>1.51</v>
      </c>
      <c r="H3569">
        <v>1.56</v>
      </c>
      <c r="I3569" s="1">
        <v>34000</v>
      </c>
      <c r="J3569" s="1">
        <v>53110</v>
      </c>
      <c r="K3569">
        <v>11</v>
      </c>
      <c r="L3569">
        <v>1.48</v>
      </c>
      <c r="M3569">
        <v>1.49</v>
      </c>
      <c r="N3569" s="1">
        <v>5000000</v>
      </c>
      <c r="O3569">
        <v>1.53</v>
      </c>
      <c r="P3569">
        <v>2.67</v>
      </c>
      <c r="Q3569">
        <v>0.39</v>
      </c>
    </row>
    <row r="3570" spans="1:17" x14ac:dyDescent="0.25">
      <c r="A3570">
        <v>732497</v>
      </c>
      <c r="B3570" t="s">
        <v>4882</v>
      </c>
      <c r="C3570">
        <v>5.0999999999999996</v>
      </c>
      <c r="D3570">
        <v>-1.25</v>
      </c>
      <c r="E3570">
        <v>5.0999999999999996</v>
      </c>
      <c r="F3570">
        <v>5.0999999999999996</v>
      </c>
      <c r="G3570">
        <v>5.0999999999999996</v>
      </c>
      <c r="H3570">
        <v>5.0999999999999996</v>
      </c>
      <c r="I3570" s="1">
        <v>1000</v>
      </c>
      <c r="J3570" s="1">
        <v>5100</v>
      </c>
      <c r="K3570">
        <v>1</v>
      </c>
      <c r="L3570">
        <v>5.15</v>
      </c>
      <c r="M3570">
        <v>5.65</v>
      </c>
      <c r="N3570" s="1">
        <v>5000000</v>
      </c>
      <c r="O3570">
        <v>5.0999999999999996</v>
      </c>
      <c r="P3570">
        <v>10.7</v>
      </c>
      <c r="Q3570">
        <v>0.01</v>
      </c>
    </row>
    <row r="3571" spans="1:17" x14ac:dyDescent="0.25">
      <c r="A3571">
        <v>732498</v>
      </c>
      <c r="B3571" t="s">
        <v>4883</v>
      </c>
      <c r="C3571">
        <v>3.92</v>
      </c>
      <c r="D3571">
        <v>-0.49</v>
      </c>
      <c r="E3571">
        <v>4.46</v>
      </c>
      <c r="F3571">
        <v>4.5199999999999996</v>
      </c>
      <c r="G3571">
        <v>3.91</v>
      </c>
      <c r="H3571">
        <v>4.38</v>
      </c>
      <c r="I3571" s="1">
        <v>90000</v>
      </c>
      <c r="J3571" s="1">
        <v>394100</v>
      </c>
      <c r="K3571">
        <v>5</v>
      </c>
      <c r="L3571">
        <v>1.87</v>
      </c>
      <c r="M3571">
        <v>3.95</v>
      </c>
      <c r="N3571" s="1">
        <v>5000000</v>
      </c>
      <c r="O3571">
        <v>3.92</v>
      </c>
      <c r="P3571">
        <v>6.7</v>
      </c>
      <c r="Q3571">
        <v>1.1200000000000001</v>
      </c>
    </row>
    <row r="3572" spans="1:17" x14ac:dyDescent="0.25">
      <c r="A3572">
        <v>732499</v>
      </c>
      <c r="B3572" t="s">
        <v>4884</v>
      </c>
      <c r="C3572">
        <v>0.57999999999999996</v>
      </c>
      <c r="D3572">
        <v>-0.04</v>
      </c>
      <c r="E3572">
        <v>0.63</v>
      </c>
      <c r="F3572">
        <v>0.65</v>
      </c>
      <c r="G3572">
        <v>0.57999999999999996</v>
      </c>
      <c r="H3572">
        <v>0.62</v>
      </c>
      <c r="I3572" s="1">
        <v>428000</v>
      </c>
      <c r="J3572" s="1">
        <v>265180</v>
      </c>
      <c r="K3572">
        <v>18</v>
      </c>
      <c r="L3572">
        <v>0.57999999999999996</v>
      </c>
      <c r="M3572">
        <v>0.59</v>
      </c>
      <c r="N3572" s="1">
        <v>10000000</v>
      </c>
      <c r="O3572">
        <v>0.57999999999999996</v>
      </c>
      <c r="P3572">
        <v>1.34</v>
      </c>
      <c r="Q3572">
        <v>0.01</v>
      </c>
    </row>
    <row r="3573" spans="1:17" x14ac:dyDescent="0.25">
      <c r="A3573">
        <v>732500</v>
      </c>
      <c r="B3573" t="s">
        <v>4885</v>
      </c>
      <c r="C3573">
        <v>0.46</v>
      </c>
      <c r="D3573">
        <v>-0.03</v>
      </c>
      <c r="E3573">
        <v>0.46</v>
      </c>
      <c r="F3573">
        <v>0.47</v>
      </c>
      <c r="G3573">
        <v>0.46</v>
      </c>
      <c r="H3573">
        <v>0.46</v>
      </c>
      <c r="I3573" s="1">
        <v>24000</v>
      </c>
      <c r="J3573" s="1">
        <v>11060</v>
      </c>
      <c r="K3573">
        <v>4</v>
      </c>
      <c r="L3573">
        <v>0.45</v>
      </c>
      <c r="M3573">
        <v>0.46</v>
      </c>
      <c r="N3573" s="1">
        <v>10000000</v>
      </c>
      <c r="O3573">
        <v>0.46</v>
      </c>
      <c r="P3573">
        <v>1.22</v>
      </c>
      <c r="Q3573">
        <v>0.01</v>
      </c>
    </row>
    <row r="3574" spans="1:17" x14ac:dyDescent="0.25">
      <c r="A3574">
        <v>732501</v>
      </c>
      <c r="B3574" t="s">
        <v>4886</v>
      </c>
      <c r="C3574">
        <v>0.84</v>
      </c>
      <c r="D3574">
        <v>0.2</v>
      </c>
      <c r="E3574">
        <v>0.67</v>
      </c>
      <c r="F3574">
        <v>0.84</v>
      </c>
      <c r="G3574">
        <v>0.67</v>
      </c>
      <c r="H3574">
        <v>0.73</v>
      </c>
      <c r="I3574" s="1">
        <v>645000</v>
      </c>
      <c r="J3574" s="1">
        <v>473410</v>
      </c>
      <c r="K3574">
        <v>15</v>
      </c>
      <c r="L3574">
        <v>0.82</v>
      </c>
      <c r="M3574">
        <v>0.84</v>
      </c>
      <c r="N3574" s="1">
        <v>10000000</v>
      </c>
      <c r="O3574">
        <v>0.84</v>
      </c>
      <c r="P3574">
        <v>1.94</v>
      </c>
      <c r="Q3574">
        <v>0.01</v>
      </c>
    </row>
    <row r="3575" spans="1:17" x14ac:dyDescent="0.25">
      <c r="A3575">
        <v>732502</v>
      </c>
      <c r="B3575" t="s">
        <v>4887</v>
      </c>
      <c r="C3575" t="s">
        <v>78</v>
      </c>
      <c r="D3575" t="s">
        <v>78</v>
      </c>
      <c r="E3575" t="s">
        <v>78</v>
      </c>
      <c r="F3575" t="s">
        <v>78</v>
      </c>
      <c r="G3575" t="s">
        <v>78</v>
      </c>
      <c r="H3575">
        <v>0.53</v>
      </c>
      <c r="I3575" s="1">
        <v>0</v>
      </c>
      <c r="J3575" s="1">
        <v>0</v>
      </c>
      <c r="K3575">
        <v>0</v>
      </c>
      <c r="L3575">
        <v>0.48</v>
      </c>
      <c r="M3575">
        <v>0.49</v>
      </c>
      <c r="N3575" s="1">
        <v>5000000</v>
      </c>
      <c r="O3575">
        <v>0.49</v>
      </c>
      <c r="P3575">
        <v>1.63</v>
      </c>
      <c r="Q3575">
        <v>0.01</v>
      </c>
    </row>
    <row r="3576" spans="1:17" x14ac:dyDescent="0.25">
      <c r="A3576">
        <v>732503</v>
      </c>
      <c r="B3576" t="s">
        <v>4888</v>
      </c>
      <c r="C3576">
        <v>1.49</v>
      </c>
      <c r="D3576">
        <v>7.0000000000000007E-2</v>
      </c>
      <c r="E3576">
        <v>1.52</v>
      </c>
      <c r="F3576">
        <v>1.56</v>
      </c>
      <c r="G3576">
        <v>1.49</v>
      </c>
      <c r="H3576">
        <v>1.53</v>
      </c>
      <c r="I3576" s="1">
        <v>177000</v>
      </c>
      <c r="J3576" s="1">
        <v>270730</v>
      </c>
      <c r="K3576">
        <v>19</v>
      </c>
      <c r="L3576">
        <v>1.48</v>
      </c>
      <c r="M3576">
        <v>1.49</v>
      </c>
      <c r="N3576" s="1">
        <v>5000000</v>
      </c>
      <c r="O3576">
        <v>1.49</v>
      </c>
      <c r="P3576">
        <v>2.34</v>
      </c>
      <c r="Q3576">
        <v>0.64</v>
      </c>
    </row>
    <row r="3577" spans="1:17" x14ac:dyDescent="0.25">
      <c r="A3577">
        <v>732504</v>
      </c>
      <c r="B3577" t="s">
        <v>4889</v>
      </c>
      <c r="C3577">
        <v>0.62</v>
      </c>
      <c r="D3577">
        <v>-0.05</v>
      </c>
      <c r="E3577">
        <v>0.64</v>
      </c>
      <c r="F3577">
        <v>0.64</v>
      </c>
      <c r="G3577">
        <v>0.62</v>
      </c>
      <c r="H3577">
        <v>0.62</v>
      </c>
      <c r="I3577" s="1">
        <v>165000</v>
      </c>
      <c r="J3577" s="1">
        <v>102700</v>
      </c>
      <c r="K3577">
        <v>8</v>
      </c>
      <c r="L3577">
        <v>0.62</v>
      </c>
      <c r="M3577">
        <v>0.63</v>
      </c>
      <c r="N3577" s="1">
        <v>5000000</v>
      </c>
      <c r="O3577">
        <v>0.62</v>
      </c>
      <c r="P3577">
        <v>1.38</v>
      </c>
      <c r="Q3577">
        <v>0.01</v>
      </c>
    </row>
    <row r="3578" spans="1:17" x14ac:dyDescent="0.25">
      <c r="A3578">
        <v>732505</v>
      </c>
      <c r="B3578" t="s">
        <v>4890</v>
      </c>
      <c r="C3578" t="s">
        <v>78</v>
      </c>
      <c r="D3578" t="s">
        <v>78</v>
      </c>
      <c r="E3578" t="s">
        <v>78</v>
      </c>
      <c r="F3578" t="s">
        <v>78</v>
      </c>
      <c r="G3578" t="s">
        <v>78</v>
      </c>
      <c r="H3578">
        <v>0.16</v>
      </c>
      <c r="I3578" s="1">
        <v>0</v>
      </c>
      <c r="J3578" s="1">
        <v>0</v>
      </c>
      <c r="K3578">
        <v>0</v>
      </c>
      <c r="L3578">
        <v>0.12</v>
      </c>
      <c r="M3578">
        <v>0.13</v>
      </c>
      <c r="N3578" s="1">
        <v>5000000</v>
      </c>
      <c r="O3578">
        <v>0.12</v>
      </c>
      <c r="P3578">
        <v>0.84</v>
      </c>
      <c r="Q3578">
        <v>0.01</v>
      </c>
    </row>
    <row r="3579" spans="1:17" x14ac:dyDescent="0.25">
      <c r="A3579">
        <v>732506</v>
      </c>
      <c r="B3579" t="s">
        <v>4891</v>
      </c>
      <c r="C3579">
        <v>1.06</v>
      </c>
      <c r="D3579">
        <v>-0.17</v>
      </c>
      <c r="E3579">
        <v>1.19</v>
      </c>
      <c r="F3579">
        <v>1.28</v>
      </c>
      <c r="G3579">
        <v>1.04</v>
      </c>
      <c r="H3579">
        <v>1.17</v>
      </c>
      <c r="I3579" s="1">
        <v>395000</v>
      </c>
      <c r="J3579" s="1">
        <v>461870</v>
      </c>
      <c r="K3579">
        <v>35</v>
      </c>
      <c r="L3579">
        <v>1.06</v>
      </c>
      <c r="M3579">
        <v>1.0900000000000001</v>
      </c>
      <c r="N3579" s="1">
        <v>5000000</v>
      </c>
      <c r="O3579">
        <v>1.06</v>
      </c>
      <c r="P3579">
        <v>2.65</v>
      </c>
      <c r="Q3579">
        <v>0.01</v>
      </c>
    </row>
    <row r="3580" spans="1:17" x14ac:dyDescent="0.25">
      <c r="A3580">
        <v>732507</v>
      </c>
      <c r="B3580" t="s">
        <v>4892</v>
      </c>
      <c r="C3580">
        <v>0.78</v>
      </c>
      <c r="D3580">
        <v>-0.02</v>
      </c>
      <c r="E3580">
        <v>0.82</v>
      </c>
      <c r="F3580">
        <v>0.84</v>
      </c>
      <c r="G3580">
        <v>0.78</v>
      </c>
      <c r="H3580">
        <v>0.81</v>
      </c>
      <c r="I3580" s="1">
        <v>196000</v>
      </c>
      <c r="J3580" s="1">
        <v>158810</v>
      </c>
      <c r="K3580">
        <v>11</v>
      </c>
      <c r="L3580">
        <v>0.74</v>
      </c>
      <c r="M3580">
        <v>0.75</v>
      </c>
      <c r="N3580" s="1">
        <v>5000000</v>
      </c>
      <c r="O3580">
        <v>0.78</v>
      </c>
      <c r="P3580">
        <v>1.73</v>
      </c>
      <c r="Q3580">
        <v>0.01</v>
      </c>
    </row>
    <row r="3581" spans="1:17" x14ac:dyDescent="0.25">
      <c r="A3581">
        <v>732508</v>
      </c>
      <c r="B3581" t="s">
        <v>4893</v>
      </c>
      <c r="C3581" t="s">
        <v>78</v>
      </c>
      <c r="D3581" t="s">
        <v>78</v>
      </c>
      <c r="E3581" t="s">
        <v>78</v>
      </c>
      <c r="F3581" t="s">
        <v>78</v>
      </c>
      <c r="G3581" t="s">
        <v>78</v>
      </c>
      <c r="H3581">
        <v>0.3</v>
      </c>
      <c r="I3581" s="1">
        <v>0</v>
      </c>
      <c r="J3581" s="1">
        <v>0</v>
      </c>
      <c r="K3581">
        <v>0</v>
      </c>
      <c r="L3581">
        <v>0.28999999999999998</v>
      </c>
      <c r="M3581">
        <v>0.31</v>
      </c>
      <c r="N3581" s="1">
        <v>5000000</v>
      </c>
      <c r="O3581">
        <v>0.31</v>
      </c>
      <c r="P3581">
        <v>1.01</v>
      </c>
      <c r="Q3581">
        <v>0.01</v>
      </c>
    </row>
    <row r="3582" spans="1:17" x14ac:dyDescent="0.25">
      <c r="A3582">
        <v>732509</v>
      </c>
      <c r="B3582" t="s">
        <v>4894</v>
      </c>
      <c r="C3582">
        <v>1.19</v>
      </c>
      <c r="D3582">
        <v>0.21</v>
      </c>
      <c r="E3582">
        <v>0.94</v>
      </c>
      <c r="F3582">
        <v>1.19</v>
      </c>
      <c r="G3582">
        <v>0.94</v>
      </c>
      <c r="H3582">
        <v>1.06</v>
      </c>
      <c r="I3582" s="1">
        <v>2506000</v>
      </c>
      <c r="J3582" s="1">
        <v>2662940</v>
      </c>
      <c r="K3582">
        <v>70</v>
      </c>
      <c r="L3582">
        <v>1.1599999999999999</v>
      </c>
      <c r="M3582">
        <v>1.19</v>
      </c>
      <c r="N3582" s="1">
        <v>5000000</v>
      </c>
      <c r="O3582">
        <v>1.19</v>
      </c>
      <c r="P3582">
        <v>1.96</v>
      </c>
      <c r="Q3582">
        <v>0.42</v>
      </c>
    </row>
    <row r="3583" spans="1:17" x14ac:dyDescent="0.25">
      <c r="A3583">
        <v>732510</v>
      </c>
      <c r="B3583" t="s">
        <v>4895</v>
      </c>
      <c r="C3583">
        <v>1.79</v>
      </c>
      <c r="D3583">
        <v>-0.2</v>
      </c>
      <c r="E3583">
        <v>2.08</v>
      </c>
      <c r="F3583">
        <v>2.08</v>
      </c>
      <c r="G3583">
        <v>1.75</v>
      </c>
      <c r="H3583">
        <v>1.98</v>
      </c>
      <c r="I3583" s="1">
        <v>342000</v>
      </c>
      <c r="J3583" s="1">
        <v>676060</v>
      </c>
      <c r="K3583">
        <v>17</v>
      </c>
      <c r="L3583">
        <v>1.82</v>
      </c>
      <c r="M3583">
        <v>1.84</v>
      </c>
      <c r="N3583" s="1">
        <v>10000000</v>
      </c>
      <c r="O3583">
        <v>1.79</v>
      </c>
      <c r="P3583">
        <v>2.91</v>
      </c>
      <c r="Q3583">
        <v>0.67</v>
      </c>
    </row>
    <row r="3584" spans="1:17" x14ac:dyDescent="0.25">
      <c r="A3584">
        <v>732511</v>
      </c>
      <c r="B3584" t="s">
        <v>4896</v>
      </c>
      <c r="C3584">
        <v>0.99</v>
      </c>
      <c r="D3584">
        <v>0.09</v>
      </c>
      <c r="E3584">
        <v>0.95</v>
      </c>
      <c r="F3584">
        <v>0.99</v>
      </c>
      <c r="G3584">
        <v>0.95</v>
      </c>
      <c r="H3584">
        <v>0.97</v>
      </c>
      <c r="I3584" s="1">
        <v>30000</v>
      </c>
      <c r="J3584" s="1">
        <v>29200</v>
      </c>
      <c r="K3584">
        <v>3</v>
      </c>
      <c r="L3584">
        <v>0.94</v>
      </c>
      <c r="M3584">
        <v>0.98</v>
      </c>
      <c r="N3584" s="1">
        <v>10000000</v>
      </c>
      <c r="O3584">
        <v>0.99</v>
      </c>
      <c r="P3584">
        <v>1.68</v>
      </c>
      <c r="Q3584">
        <v>0.3</v>
      </c>
    </row>
    <row r="3585" spans="1:17" x14ac:dyDescent="0.25">
      <c r="A3585">
        <v>732512</v>
      </c>
      <c r="B3585" t="s">
        <v>4897</v>
      </c>
      <c r="C3585">
        <v>1.54</v>
      </c>
      <c r="D3585">
        <v>-0.1</v>
      </c>
      <c r="E3585">
        <v>1.63</v>
      </c>
      <c r="F3585">
        <v>1.66</v>
      </c>
      <c r="G3585">
        <v>1.54</v>
      </c>
      <c r="H3585">
        <v>1.58</v>
      </c>
      <c r="I3585" s="1">
        <v>50000</v>
      </c>
      <c r="J3585" s="1">
        <v>79170</v>
      </c>
      <c r="K3585">
        <v>11</v>
      </c>
      <c r="L3585">
        <v>1.53</v>
      </c>
      <c r="M3585">
        <v>1.54</v>
      </c>
      <c r="N3585" s="1">
        <v>5000000</v>
      </c>
      <c r="O3585">
        <v>1.54</v>
      </c>
      <c r="P3585">
        <v>2.9</v>
      </c>
      <c r="Q3585">
        <v>0.18</v>
      </c>
    </row>
    <row r="3586" spans="1:17" x14ac:dyDescent="0.25">
      <c r="A3586">
        <v>732513</v>
      </c>
      <c r="B3586" t="s">
        <v>4898</v>
      </c>
      <c r="C3586">
        <v>0.49</v>
      </c>
      <c r="D3586">
        <v>0.04</v>
      </c>
      <c r="E3586">
        <v>0.45</v>
      </c>
      <c r="F3586">
        <v>0.49</v>
      </c>
      <c r="G3586">
        <v>0.45</v>
      </c>
      <c r="H3586">
        <v>0.45</v>
      </c>
      <c r="I3586" s="1">
        <v>452000</v>
      </c>
      <c r="J3586" s="1">
        <v>205050</v>
      </c>
      <c r="K3586">
        <v>5</v>
      </c>
      <c r="L3586">
        <v>0.47</v>
      </c>
      <c r="M3586">
        <v>0.48</v>
      </c>
      <c r="N3586" s="1">
        <v>10000000</v>
      </c>
      <c r="O3586">
        <v>0.49</v>
      </c>
      <c r="P3586">
        <v>1.45</v>
      </c>
      <c r="Q3586">
        <v>0.01</v>
      </c>
    </row>
    <row r="3587" spans="1:17" x14ac:dyDescent="0.25">
      <c r="A3587">
        <v>732514</v>
      </c>
      <c r="B3587" t="s">
        <v>4899</v>
      </c>
      <c r="C3587">
        <v>0.75</v>
      </c>
      <c r="D3587">
        <v>-0.06</v>
      </c>
      <c r="E3587">
        <v>0.81</v>
      </c>
      <c r="F3587">
        <v>0.82</v>
      </c>
      <c r="G3587">
        <v>0.75</v>
      </c>
      <c r="H3587">
        <v>0.78</v>
      </c>
      <c r="I3587" s="1">
        <v>328000</v>
      </c>
      <c r="J3587" s="1">
        <v>256630</v>
      </c>
      <c r="K3587">
        <v>13</v>
      </c>
      <c r="L3587">
        <v>0.74</v>
      </c>
      <c r="M3587">
        <v>0.75</v>
      </c>
      <c r="N3587" s="1">
        <v>5000000</v>
      </c>
      <c r="O3587">
        <v>0.75</v>
      </c>
      <c r="P3587">
        <v>1.51</v>
      </c>
      <c r="Q3587">
        <v>0.01</v>
      </c>
    </row>
    <row r="3588" spans="1:17" x14ac:dyDescent="0.25">
      <c r="A3588">
        <v>732515</v>
      </c>
      <c r="B3588" t="s">
        <v>4900</v>
      </c>
      <c r="C3588">
        <v>1.26</v>
      </c>
      <c r="D3588">
        <v>0.09</v>
      </c>
      <c r="E3588">
        <v>1.22</v>
      </c>
      <c r="F3588">
        <v>1.31</v>
      </c>
      <c r="G3588">
        <v>1.21</v>
      </c>
      <c r="H3588">
        <v>1.27</v>
      </c>
      <c r="I3588" s="1">
        <v>194000</v>
      </c>
      <c r="J3588" s="1">
        <v>245580</v>
      </c>
      <c r="K3588">
        <v>15</v>
      </c>
      <c r="L3588">
        <v>1.24</v>
      </c>
      <c r="M3588">
        <v>1.27</v>
      </c>
      <c r="N3588" s="1">
        <v>10000000</v>
      </c>
      <c r="O3588">
        <v>1.26</v>
      </c>
      <c r="P3588">
        <v>2.29</v>
      </c>
      <c r="Q3588">
        <v>0.23</v>
      </c>
    </row>
    <row r="3589" spans="1:17" x14ac:dyDescent="0.25">
      <c r="A3589">
        <v>732516</v>
      </c>
      <c r="B3589" t="s">
        <v>4901</v>
      </c>
      <c r="C3589">
        <v>0.35</v>
      </c>
      <c r="D3589">
        <v>-0.03</v>
      </c>
      <c r="E3589">
        <v>0.35</v>
      </c>
      <c r="F3589">
        <v>0.35</v>
      </c>
      <c r="G3589">
        <v>0.35</v>
      </c>
      <c r="H3589">
        <v>0.35</v>
      </c>
      <c r="I3589" s="1">
        <v>4000</v>
      </c>
      <c r="J3589" s="1">
        <v>1400</v>
      </c>
      <c r="K3589">
        <v>2</v>
      </c>
      <c r="L3589">
        <v>0.33</v>
      </c>
      <c r="M3589">
        <v>0.34</v>
      </c>
      <c r="N3589" s="1">
        <v>10000000</v>
      </c>
      <c r="O3589">
        <v>0.35</v>
      </c>
      <c r="P3589">
        <v>1.1599999999999999</v>
      </c>
      <c r="Q3589">
        <v>0.01</v>
      </c>
    </row>
    <row r="3590" spans="1:17" x14ac:dyDescent="0.25">
      <c r="A3590">
        <v>732517</v>
      </c>
      <c r="B3590" t="s">
        <v>4902</v>
      </c>
      <c r="C3590">
        <v>0.28999999999999998</v>
      </c>
      <c r="D3590">
        <v>0.02</v>
      </c>
      <c r="E3590">
        <v>0.28999999999999998</v>
      </c>
      <c r="F3590">
        <v>0.28999999999999998</v>
      </c>
      <c r="G3590">
        <v>0.28999999999999998</v>
      </c>
      <c r="H3590">
        <v>0.28999999999999998</v>
      </c>
      <c r="I3590" s="1">
        <v>34000</v>
      </c>
      <c r="J3590" s="1">
        <v>9860</v>
      </c>
      <c r="K3590">
        <v>2</v>
      </c>
      <c r="L3590">
        <v>0.26</v>
      </c>
      <c r="M3590">
        <v>0.27</v>
      </c>
      <c r="N3590" s="1">
        <v>5000000</v>
      </c>
      <c r="O3590">
        <v>0.28999999999999998</v>
      </c>
      <c r="P3590">
        <v>0.85</v>
      </c>
      <c r="Q3590">
        <v>0.01</v>
      </c>
    </row>
    <row r="3591" spans="1:17" x14ac:dyDescent="0.25">
      <c r="A3591">
        <v>732518</v>
      </c>
      <c r="B3591" t="s">
        <v>4903</v>
      </c>
      <c r="C3591">
        <v>0.43</v>
      </c>
      <c r="D3591">
        <v>0.01</v>
      </c>
      <c r="E3591">
        <v>0.43</v>
      </c>
      <c r="F3591">
        <v>0.43</v>
      </c>
      <c r="G3591">
        <v>0.42</v>
      </c>
      <c r="H3591">
        <v>0.43</v>
      </c>
      <c r="I3591" s="1">
        <v>495000</v>
      </c>
      <c r="J3591" s="1">
        <v>210800</v>
      </c>
      <c r="K3591">
        <v>6</v>
      </c>
      <c r="L3591">
        <v>0.43</v>
      </c>
      <c r="M3591">
        <v>0.44</v>
      </c>
      <c r="N3591" s="1">
        <v>5000000</v>
      </c>
      <c r="O3591">
        <v>0.43</v>
      </c>
      <c r="P3591">
        <v>1.18</v>
      </c>
      <c r="Q3591">
        <v>0.01</v>
      </c>
    </row>
    <row r="3592" spans="1:17" x14ac:dyDescent="0.25">
      <c r="A3592">
        <v>732519</v>
      </c>
      <c r="B3592" t="s">
        <v>4904</v>
      </c>
      <c r="C3592">
        <v>0.74</v>
      </c>
      <c r="D3592">
        <v>7.0000000000000007E-2</v>
      </c>
      <c r="E3592">
        <v>0.73</v>
      </c>
      <c r="F3592">
        <v>0.74</v>
      </c>
      <c r="G3592">
        <v>0.73</v>
      </c>
      <c r="H3592">
        <v>0.73</v>
      </c>
      <c r="I3592" s="1">
        <v>175000</v>
      </c>
      <c r="J3592" s="1">
        <v>128250</v>
      </c>
      <c r="K3592">
        <v>4</v>
      </c>
      <c r="L3592">
        <v>0.72</v>
      </c>
      <c r="M3592">
        <v>0.73</v>
      </c>
      <c r="N3592" s="1">
        <v>10000000</v>
      </c>
      <c r="O3592">
        <v>0.74</v>
      </c>
      <c r="P3592">
        <v>1.84</v>
      </c>
      <c r="Q3592">
        <v>0.01</v>
      </c>
    </row>
    <row r="3593" spans="1:17" x14ac:dyDescent="0.25">
      <c r="A3593">
        <v>732520</v>
      </c>
      <c r="B3593" t="s">
        <v>4905</v>
      </c>
      <c r="C3593" t="s">
        <v>78</v>
      </c>
      <c r="D3593" t="s">
        <v>78</v>
      </c>
      <c r="E3593" t="s">
        <v>78</v>
      </c>
      <c r="F3593" t="s">
        <v>78</v>
      </c>
      <c r="G3593" t="s">
        <v>78</v>
      </c>
      <c r="H3593">
        <v>1.33</v>
      </c>
      <c r="I3593" s="1">
        <v>0</v>
      </c>
      <c r="J3593" s="1">
        <v>0</v>
      </c>
      <c r="K3593">
        <v>0</v>
      </c>
      <c r="L3593">
        <v>1.1200000000000001</v>
      </c>
      <c r="M3593">
        <v>1.1599999999999999</v>
      </c>
      <c r="N3593" s="1">
        <v>10000000</v>
      </c>
      <c r="O3593">
        <v>1.1599999999999999</v>
      </c>
      <c r="P3593">
        <v>1.88</v>
      </c>
      <c r="Q3593">
        <v>0.44</v>
      </c>
    </row>
    <row r="3594" spans="1:17" x14ac:dyDescent="0.25">
      <c r="A3594">
        <v>732521</v>
      </c>
      <c r="B3594" t="s">
        <v>4906</v>
      </c>
      <c r="C3594" t="s">
        <v>78</v>
      </c>
      <c r="D3594" t="s">
        <v>78</v>
      </c>
      <c r="E3594" t="s">
        <v>78</v>
      </c>
      <c r="F3594" t="s">
        <v>78</v>
      </c>
      <c r="G3594" t="s">
        <v>78</v>
      </c>
      <c r="H3594">
        <v>0.56000000000000005</v>
      </c>
      <c r="I3594" s="1">
        <v>0</v>
      </c>
      <c r="J3594" s="1">
        <v>0</v>
      </c>
      <c r="K3594">
        <v>0</v>
      </c>
      <c r="L3594">
        <v>0.57999999999999996</v>
      </c>
      <c r="M3594">
        <v>0.59</v>
      </c>
      <c r="N3594" s="1">
        <v>10000000</v>
      </c>
      <c r="O3594">
        <v>0.57999999999999996</v>
      </c>
      <c r="P3594">
        <v>1.4</v>
      </c>
      <c r="Q3594">
        <v>0.01</v>
      </c>
    </row>
    <row r="3595" spans="1:17" x14ac:dyDescent="0.25">
      <c r="A3595">
        <v>732522</v>
      </c>
      <c r="B3595" t="s">
        <v>4907</v>
      </c>
      <c r="C3595">
        <v>0.99</v>
      </c>
      <c r="D3595">
        <v>-0.01</v>
      </c>
      <c r="E3595">
        <v>0.97</v>
      </c>
      <c r="F3595">
        <v>0.99</v>
      </c>
      <c r="G3595">
        <v>0.97</v>
      </c>
      <c r="H3595">
        <v>0.98</v>
      </c>
      <c r="I3595" s="1">
        <v>63000</v>
      </c>
      <c r="J3595" s="1">
        <v>61610</v>
      </c>
      <c r="K3595">
        <v>2</v>
      </c>
      <c r="L3595">
        <v>1</v>
      </c>
      <c r="M3595">
        <v>1.02</v>
      </c>
      <c r="N3595" s="1">
        <v>5000000</v>
      </c>
      <c r="O3595">
        <v>0.99</v>
      </c>
      <c r="P3595">
        <v>1.62</v>
      </c>
      <c r="Q3595">
        <v>0.36</v>
      </c>
    </row>
    <row r="3596" spans="1:17" x14ac:dyDescent="0.25">
      <c r="A3596">
        <v>732523</v>
      </c>
      <c r="B3596" t="s">
        <v>4908</v>
      </c>
      <c r="C3596">
        <v>0.97</v>
      </c>
      <c r="D3596">
        <v>-0.02</v>
      </c>
      <c r="E3596">
        <v>0.92</v>
      </c>
      <c r="F3596">
        <v>1.01</v>
      </c>
      <c r="G3596">
        <v>0.92</v>
      </c>
      <c r="H3596">
        <v>0.95</v>
      </c>
      <c r="I3596" s="1">
        <v>65000</v>
      </c>
      <c r="J3596" s="1">
        <v>61670</v>
      </c>
      <c r="K3596">
        <v>10</v>
      </c>
      <c r="L3596">
        <v>0.94</v>
      </c>
      <c r="M3596">
        <v>0.95</v>
      </c>
      <c r="N3596" s="1">
        <v>5000000</v>
      </c>
      <c r="O3596">
        <v>0.97</v>
      </c>
      <c r="P3596">
        <v>1.44</v>
      </c>
      <c r="Q3596">
        <v>0.5</v>
      </c>
    </row>
    <row r="3597" spans="1:17" x14ac:dyDescent="0.25">
      <c r="A3597">
        <v>732524</v>
      </c>
      <c r="B3597" t="s">
        <v>4909</v>
      </c>
      <c r="C3597" t="s">
        <v>78</v>
      </c>
      <c r="D3597" t="s">
        <v>78</v>
      </c>
      <c r="E3597" t="s">
        <v>78</v>
      </c>
      <c r="F3597" t="s">
        <v>78</v>
      </c>
      <c r="G3597" t="s">
        <v>78</v>
      </c>
      <c r="H3597">
        <v>0.21</v>
      </c>
      <c r="I3597" s="1">
        <v>0</v>
      </c>
      <c r="J3597" s="1">
        <v>0</v>
      </c>
      <c r="K3597">
        <v>0</v>
      </c>
      <c r="L3597">
        <v>0.18</v>
      </c>
      <c r="M3597">
        <v>0.19</v>
      </c>
      <c r="N3597" s="1">
        <v>5000000</v>
      </c>
      <c r="O3597">
        <v>0.19</v>
      </c>
      <c r="P3597">
        <v>0.74</v>
      </c>
      <c r="Q3597">
        <v>0.01</v>
      </c>
    </row>
    <row r="3598" spans="1:17" x14ac:dyDescent="0.25">
      <c r="A3598">
        <v>732525</v>
      </c>
      <c r="B3598" t="s">
        <v>4910</v>
      </c>
      <c r="C3598">
        <v>1.63</v>
      </c>
      <c r="D3598">
        <v>-0.06</v>
      </c>
      <c r="E3598">
        <v>1.7</v>
      </c>
      <c r="F3598">
        <v>1.77</v>
      </c>
      <c r="G3598">
        <v>1.58</v>
      </c>
      <c r="H3598">
        <v>1.71</v>
      </c>
      <c r="I3598" s="1">
        <v>94000</v>
      </c>
      <c r="J3598" s="1">
        <v>161170</v>
      </c>
      <c r="K3598">
        <v>11</v>
      </c>
      <c r="L3598">
        <v>1.62</v>
      </c>
      <c r="M3598">
        <v>1.64</v>
      </c>
      <c r="N3598" s="1">
        <v>5000000</v>
      </c>
      <c r="O3598">
        <v>1.63</v>
      </c>
      <c r="P3598">
        <v>2.4</v>
      </c>
      <c r="Q3598">
        <v>0.86</v>
      </c>
    </row>
    <row r="3599" spans="1:17" x14ac:dyDescent="0.25">
      <c r="A3599">
        <v>732526</v>
      </c>
      <c r="B3599" t="s">
        <v>4911</v>
      </c>
      <c r="C3599">
        <v>0.51</v>
      </c>
      <c r="D3599">
        <v>0.06</v>
      </c>
      <c r="E3599">
        <v>0.43</v>
      </c>
      <c r="F3599">
        <v>0.53</v>
      </c>
      <c r="G3599">
        <v>0.43</v>
      </c>
      <c r="H3599">
        <v>0.44</v>
      </c>
      <c r="I3599" s="1">
        <v>196000</v>
      </c>
      <c r="J3599" s="1">
        <v>86900</v>
      </c>
      <c r="K3599">
        <v>9</v>
      </c>
      <c r="L3599">
        <v>0.48</v>
      </c>
      <c r="M3599">
        <v>0.49</v>
      </c>
      <c r="N3599" s="1">
        <v>5000000</v>
      </c>
      <c r="O3599">
        <v>0.51</v>
      </c>
      <c r="P3599">
        <v>1.91</v>
      </c>
      <c r="Q3599">
        <v>0.01</v>
      </c>
    </row>
    <row r="3600" spans="1:17" x14ac:dyDescent="0.25">
      <c r="A3600">
        <v>732527</v>
      </c>
      <c r="B3600" t="s">
        <v>4912</v>
      </c>
      <c r="C3600">
        <v>0.68</v>
      </c>
      <c r="D3600">
        <v>-0.05</v>
      </c>
      <c r="E3600">
        <v>0.71</v>
      </c>
      <c r="F3600">
        <v>0.71</v>
      </c>
      <c r="G3600">
        <v>0.68</v>
      </c>
      <c r="H3600">
        <v>0.7</v>
      </c>
      <c r="I3600" s="1">
        <v>201000</v>
      </c>
      <c r="J3600" s="1">
        <v>139710</v>
      </c>
      <c r="K3600">
        <v>4</v>
      </c>
      <c r="L3600">
        <v>0.69</v>
      </c>
      <c r="M3600">
        <v>0.7</v>
      </c>
      <c r="N3600" s="1">
        <v>6000000</v>
      </c>
      <c r="O3600">
        <v>0.68</v>
      </c>
      <c r="P3600">
        <v>1.43</v>
      </c>
      <c r="Q3600">
        <v>0.01</v>
      </c>
    </row>
    <row r="3601" spans="1:17" x14ac:dyDescent="0.25">
      <c r="A3601">
        <v>732528</v>
      </c>
      <c r="B3601" t="s">
        <v>4913</v>
      </c>
      <c r="C3601">
        <v>0.94</v>
      </c>
      <c r="D3601">
        <v>-0.01</v>
      </c>
      <c r="E3601">
        <v>0.97</v>
      </c>
      <c r="F3601">
        <v>0.98</v>
      </c>
      <c r="G3601">
        <v>0.94</v>
      </c>
      <c r="H3601">
        <v>0.97</v>
      </c>
      <c r="I3601" s="1">
        <v>240000</v>
      </c>
      <c r="J3601" s="1">
        <v>232070</v>
      </c>
      <c r="K3601">
        <v>4</v>
      </c>
      <c r="L3601">
        <v>0.88</v>
      </c>
      <c r="M3601">
        <v>0.89</v>
      </c>
      <c r="N3601" s="1">
        <v>5000000</v>
      </c>
      <c r="O3601">
        <v>0.94</v>
      </c>
      <c r="P3601">
        <v>2.08</v>
      </c>
      <c r="Q3601">
        <v>0.01</v>
      </c>
    </row>
    <row r="3602" spans="1:17" x14ac:dyDescent="0.25">
      <c r="A3602">
        <v>732529</v>
      </c>
      <c r="B3602" t="s">
        <v>4914</v>
      </c>
      <c r="C3602">
        <v>0.95</v>
      </c>
      <c r="D3602">
        <v>-0.08</v>
      </c>
      <c r="E3602">
        <v>0.95</v>
      </c>
      <c r="F3602">
        <v>0.95</v>
      </c>
      <c r="G3602">
        <v>0.95</v>
      </c>
      <c r="H3602">
        <v>0.95</v>
      </c>
      <c r="I3602" s="1">
        <v>200000</v>
      </c>
      <c r="J3602" s="1">
        <v>190000</v>
      </c>
      <c r="K3602">
        <v>2</v>
      </c>
      <c r="L3602">
        <v>0.94</v>
      </c>
      <c r="M3602">
        <v>0.95</v>
      </c>
      <c r="N3602" s="1">
        <v>5000000</v>
      </c>
      <c r="O3602">
        <v>0.95</v>
      </c>
      <c r="P3602">
        <v>3.23</v>
      </c>
      <c r="Q3602">
        <v>0.01</v>
      </c>
    </row>
    <row r="3603" spans="1:17" x14ac:dyDescent="0.25">
      <c r="A3603">
        <v>732531</v>
      </c>
      <c r="B3603" t="s">
        <v>4915</v>
      </c>
      <c r="C3603">
        <v>0.81</v>
      </c>
      <c r="D3603">
        <v>0.04</v>
      </c>
      <c r="E3603">
        <v>0.81</v>
      </c>
      <c r="F3603">
        <v>0.81</v>
      </c>
      <c r="G3603">
        <v>0.81</v>
      </c>
      <c r="H3603">
        <v>0.81</v>
      </c>
      <c r="I3603" s="1">
        <v>3000</v>
      </c>
      <c r="J3603" s="1">
        <v>2430</v>
      </c>
      <c r="K3603">
        <v>1</v>
      </c>
      <c r="L3603">
        <v>0.79</v>
      </c>
      <c r="M3603">
        <v>0.84</v>
      </c>
      <c r="N3603" s="1">
        <v>5000000</v>
      </c>
      <c r="O3603">
        <v>0.81</v>
      </c>
      <c r="P3603">
        <v>1.72</v>
      </c>
      <c r="Q3603">
        <v>0.01</v>
      </c>
    </row>
    <row r="3604" spans="1:17" x14ac:dyDescent="0.25">
      <c r="A3604">
        <v>732532</v>
      </c>
      <c r="B3604" t="s">
        <v>4916</v>
      </c>
      <c r="C3604">
        <v>0.64</v>
      </c>
      <c r="D3604">
        <v>-0.08</v>
      </c>
      <c r="E3604">
        <v>0.64</v>
      </c>
      <c r="F3604">
        <v>0.64</v>
      </c>
      <c r="G3604">
        <v>0.64</v>
      </c>
      <c r="H3604">
        <v>0.64</v>
      </c>
      <c r="I3604" s="1">
        <v>13000</v>
      </c>
      <c r="J3604" s="1">
        <v>8320</v>
      </c>
      <c r="K3604">
        <v>1</v>
      </c>
      <c r="L3604">
        <v>0.62</v>
      </c>
      <c r="M3604">
        <v>0.63</v>
      </c>
      <c r="N3604" s="1">
        <v>10000000</v>
      </c>
      <c r="O3604">
        <v>0.64</v>
      </c>
      <c r="P3604">
        <v>1.36</v>
      </c>
      <c r="Q3604">
        <v>0.01</v>
      </c>
    </row>
    <row r="3605" spans="1:17" x14ac:dyDescent="0.25">
      <c r="A3605">
        <v>732533</v>
      </c>
      <c r="B3605" t="s">
        <v>4917</v>
      </c>
      <c r="C3605">
        <v>0.6</v>
      </c>
      <c r="D3605">
        <v>0.01</v>
      </c>
      <c r="E3605">
        <v>0.59</v>
      </c>
      <c r="F3605">
        <v>0.6</v>
      </c>
      <c r="G3605">
        <v>0.56999999999999995</v>
      </c>
      <c r="H3605">
        <v>0.57999999999999996</v>
      </c>
      <c r="I3605" s="1">
        <v>225000</v>
      </c>
      <c r="J3605" s="1">
        <v>129900</v>
      </c>
      <c r="K3605">
        <v>7</v>
      </c>
      <c r="L3605">
        <v>0.57999999999999996</v>
      </c>
      <c r="M3605">
        <v>0.59</v>
      </c>
      <c r="N3605" s="1">
        <v>5000000</v>
      </c>
      <c r="O3605">
        <v>0.6</v>
      </c>
      <c r="P3605">
        <v>1.27</v>
      </c>
      <c r="Q3605">
        <v>0.01</v>
      </c>
    </row>
    <row r="3606" spans="1:17" x14ac:dyDescent="0.25">
      <c r="A3606">
        <v>732534</v>
      </c>
      <c r="B3606" t="s">
        <v>4918</v>
      </c>
      <c r="C3606" t="s">
        <v>78</v>
      </c>
      <c r="D3606" t="s">
        <v>78</v>
      </c>
      <c r="E3606" t="s">
        <v>78</v>
      </c>
      <c r="F3606" t="s">
        <v>78</v>
      </c>
      <c r="G3606" t="s">
        <v>78</v>
      </c>
      <c r="H3606">
        <v>2.92</v>
      </c>
      <c r="I3606" s="1">
        <v>0</v>
      </c>
      <c r="J3606" s="1">
        <v>0</v>
      </c>
      <c r="K3606">
        <v>0</v>
      </c>
      <c r="L3606">
        <v>2.95</v>
      </c>
      <c r="M3606">
        <v>3.05</v>
      </c>
      <c r="N3606" s="1">
        <v>5000000</v>
      </c>
      <c r="O3606">
        <v>3.05</v>
      </c>
      <c r="P3606">
        <v>4.28</v>
      </c>
      <c r="Q3606">
        <v>1.82</v>
      </c>
    </row>
    <row r="3607" spans="1:17" x14ac:dyDescent="0.25">
      <c r="A3607">
        <v>732535</v>
      </c>
      <c r="B3607" t="s">
        <v>4919</v>
      </c>
      <c r="C3607">
        <v>0.72</v>
      </c>
      <c r="D3607">
        <v>0.11</v>
      </c>
      <c r="E3607">
        <v>0.56999999999999995</v>
      </c>
      <c r="F3607">
        <v>0.72</v>
      </c>
      <c r="G3607">
        <v>0.56999999999999995</v>
      </c>
      <c r="H3607">
        <v>0.6</v>
      </c>
      <c r="I3607" s="1">
        <v>1031000</v>
      </c>
      <c r="J3607" s="1">
        <v>620190</v>
      </c>
      <c r="K3607">
        <v>14</v>
      </c>
      <c r="L3607">
        <v>0.65</v>
      </c>
      <c r="M3607">
        <v>0.66</v>
      </c>
      <c r="N3607" s="1">
        <v>10000000</v>
      </c>
      <c r="O3607">
        <v>0.72</v>
      </c>
      <c r="P3607">
        <v>1.9</v>
      </c>
      <c r="Q3607">
        <v>0.01</v>
      </c>
    </row>
    <row r="3608" spans="1:17" x14ac:dyDescent="0.25">
      <c r="A3608">
        <v>732536</v>
      </c>
      <c r="B3608" t="s">
        <v>4920</v>
      </c>
      <c r="C3608">
        <v>1.07</v>
      </c>
      <c r="D3608">
        <v>-0.03</v>
      </c>
      <c r="E3608">
        <v>1.1100000000000001</v>
      </c>
      <c r="F3608">
        <v>1.1399999999999999</v>
      </c>
      <c r="G3608">
        <v>1.07</v>
      </c>
      <c r="H3608">
        <v>1.1000000000000001</v>
      </c>
      <c r="I3608" s="1">
        <v>341000</v>
      </c>
      <c r="J3608" s="1">
        <v>375090</v>
      </c>
      <c r="K3608">
        <v>13</v>
      </c>
      <c r="L3608">
        <v>1.04</v>
      </c>
      <c r="M3608">
        <v>1.05</v>
      </c>
      <c r="N3608" s="1">
        <v>10000000</v>
      </c>
      <c r="O3608">
        <v>1.07</v>
      </c>
      <c r="P3608">
        <v>2.21</v>
      </c>
      <c r="Q3608">
        <v>0.01</v>
      </c>
    </row>
    <row r="3609" spans="1:17" x14ac:dyDescent="0.25">
      <c r="A3609">
        <v>732537</v>
      </c>
      <c r="B3609" t="s">
        <v>4921</v>
      </c>
      <c r="C3609">
        <v>1.1499999999999999</v>
      </c>
      <c r="D3609">
        <v>0.11</v>
      </c>
      <c r="E3609">
        <v>1.1499999999999999</v>
      </c>
      <c r="F3609">
        <v>1.17</v>
      </c>
      <c r="G3609">
        <v>1.1499999999999999</v>
      </c>
      <c r="H3609">
        <v>1.1599999999999999</v>
      </c>
      <c r="I3609" s="1">
        <v>334000</v>
      </c>
      <c r="J3609" s="1">
        <v>388380</v>
      </c>
      <c r="K3609">
        <v>7</v>
      </c>
      <c r="L3609">
        <v>1.1399999999999999</v>
      </c>
      <c r="M3609">
        <v>1.1499999999999999</v>
      </c>
      <c r="N3609" s="1">
        <v>10000000</v>
      </c>
      <c r="O3609">
        <v>1.1499999999999999</v>
      </c>
      <c r="P3609">
        <v>1.97</v>
      </c>
      <c r="Q3609">
        <v>0.33</v>
      </c>
    </row>
    <row r="3610" spans="1:17" x14ac:dyDescent="0.25">
      <c r="A3610">
        <v>732538</v>
      </c>
      <c r="B3610" t="s">
        <v>4922</v>
      </c>
      <c r="C3610">
        <v>0.45</v>
      </c>
      <c r="D3610">
        <v>0.05</v>
      </c>
      <c r="E3610">
        <v>0.41</v>
      </c>
      <c r="F3610">
        <v>0.45</v>
      </c>
      <c r="G3610">
        <v>0.4</v>
      </c>
      <c r="H3610">
        <v>0.44</v>
      </c>
      <c r="I3610" s="1">
        <v>388000</v>
      </c>
      <c r="J3610" s="1">
        <v>169470</v>
      </c>
      <c r="K3610">
        <v>8</v>
      </c>
      <c r="L3610">
        <v>0.44</v>
      </c>
      <c r="M3610">
        <v>0.5</v>
      </c>
      <c r="N3610" s="1">
        <v>10000000</v>
      </c>
      <c r="O3610">
        <v>0.45</v>
      </c>
      <c r="P3610">
        <v>1</v>
      </c>
      <c r="Q3610">
        <v>0.01</v>
      </c>
    </row>
    <row r="3611" spans="1:17" x14ac:dyDescent="0.25">
      <c r="A3611">
        <v>732539</v>
      </c>
      <c r="B3611" t="s">
        <v>4923</v>
      </c>
      <c r="C3611">
        <v>1.44</v>
      </c>
      <c r="D3611">
        <v>-0.14000000000000001</v>
      </c>
      <c r="E3611">
        <v>1.6</v>
      </c>
      <c r="F3611">
        <v>1.66</v>
      </c>
      <c r="G3611">
        <v>1.41</v>
      </c>
      <c r="H3611">
        <v>1.55</v>
      </c>
      <c r="I3611" s="1">
        <v>732000</v>
      </c>
      <c r="J3611" s="1">
        <v>1134470</v>
      </c>
      <c r="K3611">
        <v>24</v>
      </c>
      <c r="L3611">
        <v>1.45</v>
      </c>
      <c r="M3611">
        <v>1.46</v>
      </c>
      <c r="N3611" s="1">
        <v>5000000</v>
      </c>
      <c r="O3611">
        <v>1.44</v>
      </c>
      <c r="P3611">
        <v>2.42</v>
      </c>
      <c r="Q3611">
        <v>0.46</v>
      </c>
    </row>
    <row r="3612" spans="1:17" x14ac:dyDescent="0.25">
      <c r="A3612">
        <v>732540</v>
      </c>
      <c r="B3612" t="s">
        <v>4924</v>
      </c>
      <c r="C3612">
        <v>1.48</v>
      </c>
      <c r="D3612">
        <v>-0.13</v>
      </c>
      <c r="E3612">
        <v>1.6</v>
      </c>
      <c r="F3612">
        <v>1.68</v>
      </c>
      <c r="G3612">
        <v>1.1499999999999999</v>
      </c>
      <c r="H3612">
        <v>1.56</v>
      </c>
      <c r="I3612" s="1">
        <v>1968000</v>
      </c>
      <c r="J3612" s="1">
        <v>3071170</v>
      </c>
      <c r="K3612">
        <v>94</v>
      </c>
      <c r="L3612">
        <v>1.47</v>
      </c>
      <c r="M3612">
        <v>1.48</v>
      </c>
      <c r="N3612" s="1">
        <v>5000000</v>
      </c>
      <c r="O3612">
        <v>1.48</v>
      </c>
      <c r="P3612">
        <v>2.6</v>
      </c>
      <c r="Q3612">
        <v>0.36</v>
      </c>
    </row>
    <row r="3613" spans="1:17" x14ac:dyDescent="0.25">
      <c r="A3613">
        <v>732541</v>
      </c>
      <c r="B3613" t="s">
        <v>4925</v>
      </c>
      <c r="C3613">
        <v>0.66</v>
      </c>
      <c r="D3613">
        <v>0.01</v>
      </c>
      <c r="E3613">
        <v>0.66</v>
      </c>
      <c r="F3613">
        <v>0.67</v>
      </c>
      <c r="G3613">
        <v>0.66</v>
      </c>
      <c r="H3613">
        <v>0.66</v>
      </c>
      <c r="I3613" s="1">
        <v>116000</v>
      </c>
      <c r="J3613" s="1">
        <v>76860</v>
      </c>
      <c r="K3613">
        <v>7</v>
      </c>
      <c r="L3613">
        <v>0.63</v>
      </c>
      <c r="M3613">
        <v>0.64</v>
      </c>
      <c r="N3613" s="1">
        <v>10000000</v>
      </c>
      <c r="O3613">
        <v>0.66</v>
      </c>
      <c r="P3613">
        <v>1.88</v>
      </c>
      <c r="Q3613">
        <v>0.01</v>
      </c>
    </row>
    <row r="3614" spans="1:17" x14ac:dyDescent="0.25">
      <c r="A3614">
        <v>732542</v>
      </c>
      <c r="B3614" t="s">
        <v>4926</v>
      </c>
      <c r="C3614">
        <v>0.48</v>
      </c>
      <c r="D3614">
        <v>0.01</v>
      </c>
      <c r="E3614">
        <v>0.48</v>
      </c>
      <c r="F3614">
        <v>0.48</v>
      </c>
      <c r="G3614">
        <v>0.48</v>
      </c>
      <c r="H3614">
        <v>0.48</v>
      </c>
      <c r="I3614" s="1">
        <v>110000</v>
      </c>
      <c r="J3614" s="1">
        <v>52800</v>
      </c>
      <c r="K3614">
        <v>2</v>
      </c>
      <c r="L3614">
        <v>0.46</v>
      </c>
      <c r="M3614">
        <v>0.47</v>
      </c>
      <c r="N3614" s="1">
        <v>10000000</v>
      </c>
      <c r="O3614">
        <v>0.48</v>
      </c>
      <c r="P3614">
        <v>1.35</v>
      </c>
      <c r="Q3614">
        <v>0.01</v>
      </c>
    </row>
    <row r="3615" spans="1:17" x14ac:dyDescent="0.25">
      <c r="A3615">
        <v>732543</v>
      </c>
      <c r="B3615" t="s">
        <v>4927</v>
      </c>
      <c r="C3615">
        <v>0.62</v>
      </c>
      <c r="D3615">
        <v>0.13</v>
      </c>
      <c r="E3615">
        <v>0.48</v>
      </c>
      <c r="F3615">
        <v>0.62</v>
      </c>
      <c r="G3615">
        <v>0.48</v>
      </c>
      <c r="H3615">
        <v>0.56000000000000005</v>
      </c>
      <c r="I3615" s="1">
        <v>1166000</v>
      </c>
      <c r="J3615" s="1">
        <v>649970</v>
      </c>
      <c r="K3615">
        <v>22</v>
      </c>
      <c r="L3615">
        <v>0.61</v>
      </c>
      <c r="M3615">
        <v>0.62</v>
      </c>
      <c r="N3615" s="1">
        <v>10000000</v>
      </c>
      <c r="O3615">
        <v>0.62</v>
      </c>
      <c r="P3615">
        <v>1.17</v>
      </c>
      <c r="Q3615">
        <v>7.0000000000000007E-2</v>
      </c>
    </row>
    <row r="3616" spans="1:17" x14ac:dyDescent="0.25">
      <c r="A3616">
        <v>732544</v>
      </c>
      <c r="B3616" t="s">
        <v>4928</v>
      </c>
      <c r="C3616">
        <v>0.44</v>
      </c>
      <c r="D3616">
        <v>-0.01</v>
      </c>
      <c r="E3616">
        <v>0.46</v>
      </c>
      <c r="F3616">
        <v>0.46</v>
      </c>
      <c r="G3616">
        <v>0.44</v>
      </c>
      <c r="H3616">
        <v>0.46</v>
      </c>
      <c r="I3616" s="1">
        <v>239000</v>
      </c>
      <c r="J3616" s="1">
        <v>109330</v>
      </c>
      <c r="K3616">
        <v>3</v>
      </c>
      <c r="L3616">
        <v>0.42</v>
      </c>
      <c r="M3616">
        <v>0.43</v>
      </c>
      <c r="N3616" s="1">
        <v>15000000</v>
      </c>
      <c r="O3616">
        <v>0.44</v>
      </c>
      <c r="P3616">
        <v>1.03</v>
      </c>
      <c r="Q3616">
        <v>0.01</v>
      </c>
    </row>
    <row r="3617" spans="1:17" x14ac:dyDescent="0.25">
      <c r="A3617">
        <v>732545</v>
      </c>
      <c r="B3617" t="s">
        <v>4929</v>
      </c>
      <c r="C3617">
        <v>0.52</v>
      </c>
      <c r="D3617">
        <v>0</v>
      </c>
      <c r="E3617">
        <v>0.53</v>
      </c>
      <c r="F3617">
        <v>0.54</v>
      </c>
      <c r="G3617">
        <v>0.52</v>
      </c>
      <c r="H3617">
        <v>0.52</v>
      </c>
      <c r="I3617" s="1">
        <v>278000</v>
      </c>
      <c r="J3617" s="1">
        <v>145770</v>
      </c>
      <c r="K3617">
        <v>3</v>
      </c>
      <c r="L3617">
        <v>0.49</v>
      </c>
      <c r="M3617">
        <v>0.5</v>
      </c>
      <c r="N3617" s="1">
        <v>15000000</v>
      </c>
      <c r="O3617">
        <v>0.52</v>
      </c>
      <c r="P3617">
        <v>1.1399999999999999</v>
      </c>
      <c r="Q3617">
        <v>0.01</v>
      </c>
    </row>
    <row r="3618" spans="1:17" x14ac:dyDescent="0.25">
      <c r="A3618">
        <v>732546</v>
      </c>
      <c r="B3618" t="s">
        <v>4930</v>
      </c>
      <c r="C3618">
        <v>0.88</v>
      </c>
      <c r="D3618">
        <v>-0.03</v>
      </c>
      <c r="E3618">
        <v>0.93</v>
      </c>
      <c r="F3618">
        <v>0.97</v>
      </c>
      <c r="G3618">
        <v>0.88</v>
      </c>
      <c r="H3618">
        <v>0.93</v>
      </c>
      <c r="I3618" s="1">
        <v>1656000</v>
      </c>
      <c r="J3618" s="1">
        <v>1538870</v>
      </c>
      <c r="K3618">
        <v>30</v>
      </c>
      <c r="L3618">
        <v>0.88</v>
      </c>
      <c r="M3618">
        <v>0.9</v>
      </c>
      <c r="N3618" s="1">
        <v>15000000</v>
      </c>
      <c r="O3618">
        <v>0.88</v>
      </c>
      <c r="P3618">
        <v>1.55</v>
      </c>
      <c r="Q3618">
        <v>0.21</v>
      </c>
    </row>
    <row r="3619" spans="1:17" x14ac:dyDescent="0.25">
      <c r="A3619">
        <v>732547</v>
      </c>
      <c r="B3619" t="s">
        <v>4931</v>
      </c>
      <c r="C3619" t="s">
        <v>78</v>
      </c>
      <c r="D3619" t="s">
        <v>78</v>
      </c>
      <c r="E3619" t="s">
        <v>78</v>
      </c>
      <c r="F3619" t="s">
        <v>78</v>
      </c>
      <c r="G3619" t="s">
        <v>78</v>
      </c>
      <c r="H3619">
        <v>1.2</v>
      </c>
      <c r="I3619" s="1">
        <v>0</v>
      </c>
      <c r="J3619" s="1">
        <v>0</v>
      </c>
      <c r="K3619">
        <v>0</v>
      </c>
      <c r="L3619">
        <v>1.24</v>
      </c>
      <c r="M3619">
        <v>1.31</v>
      </c>
      <c r="N3619" s="1">
        <v>15000000</v>
      </c>
      <c r="O3619">
        <v>1.31</v>
      </c>
      <c r="P3619">
        <v>2.57</v>
      </c>
      <c r="Q3619">
        <v>0.05</v>
      </c>
    </row>
    <row r="3620" spans="1:17" x14ac:dyDescent="0.25">
      <c r="A3620">
        <v>732548</v>
      </c>
      <c r="B3620" t="s">
        <v>4932</v>
      </c>
      <c r="C3620">
        <v>0.82</v>
      </c>
      <c r="D3620">
        <v>0</v>
      </c>
      <c r="E3620">
        <v>0.85</v>
      </c>
      <c r="F3620">
        <v>0.87</v>
      </c>
      <c r="G3620">
        <v>0.81</v>
      </c>
      <c r="H3620">
        <v>0.83</v>
      </c>
      <c r="I3620" s="1">
        <v>467000</v>
      </c>
      <c r="J3620" s="1">
        <v>388500</v>
      </c>
      <c r="K3620">
        <v>10</v>
      </c>
      <c r="L3620">
        <v>0.77</v>
      </c>
      <c r="M3620">
        <v>0.78</v>
      </c>
      <c r="N3620" s="1">
        <v>5000000</v>
      </c>
      <c r="O3620">
        <v>0.82</v>
      </c>
      <c r="P3620">
        <v>1.58</v>
      </c>
      <c r="Q3620">
        <v>0.06</v>
      </c>
    </row>
    <row r="3621" spans="1:17" x14ac:dyDescent="0.25">
      <c r="A3621">
        <v>732549</v>
      </c>
      <c r="B3621" t="s">
        <v>4933</v>
      </c>
      <c r="C3621">
        <v>1.94</v>
      </c>
      <c r="D3621">
        <v>-0.24</v>
      </c>
      <c r="E3621">
        <v>2.25</v>
      </c>
      <c r="F3621">
        <v>2.25</v>
      </c>
      <c r="G3621">
        <v>1.9</v>
      </c>
      <c r="H3621">
        <v>2.1</v>
      </c>
      <c r="I3621" s="1">
        <v>119000</v>
      </c>
      <c r="J3621" s="1">
        <v>249800</v>
      </c>
      <c r="K3621">
        <v>8</v>
      </c>
      <c r="L3621">
        <v>1.97</v>
      </c>
      <c r="M3621">
        <v>2</v>
      </c>
      <c r="N3621" s="1">
        <v>5000000</v>
      </c>
      <c r="O3621">
        <v>1.94</v>
      </c>
      <c r="P3621">
        <v>3.34</v>
      </c>
      <c r="Q3621">
        <v>0.54</v>
      </c>
    </row>
    <row r="3622" spans="1:17" x14ac:dyDescent="0.25">
      <c r="A3622">
        <v>732550</v>
      </c>
      <c r="B3622" t="s">
        <v>4934</v>
      </c>
      <c r="C3622" t="s">
        <v>78</v>
      </c>
      <c r="D3622" t="s">
        <v>78</v>
      </c>
      <c r="E3622" t="s">
        <v>78</v>
      </c>
      <c r="F3622" t="s">
        <v>78</v>
      </c>
      <c r="G3622" t="s">
        <v>78</v>
      </c>
      <c r="H3622">
        <v>2.2999999999999998</v>
      </c>
      <c r="I3622" s="1">
        <v>0</v>
      </c>
      <c r="J3622" s="1">
        <v>0</v>
      </c>
      <c r="K3622">
        <v>0</v>
      </c>
      <c r="L3622">
        <v>2.46</v>
      </c>
      <c r="M3622">
        <v>2.56</v>
      </c>
      <c r="N3622" s="1">
        <v>5000000</v>
      </c>
      <c r="O3622">
        <v>2.46</v>
      </c>
      <c r="P3622">
        <v>3.31</v>
      </c>
      <c r="Q3622">
        <v>1.61</v>
      </c>
    </row>
    <row r="3623" spans="1:17" x14ac:dyDescent="0.25">
      <c r="A3623">
        <v>732551</v>
      </c>
      <c r="B3623" t="s">
        <v>4935</v>
      </c>
      <c r="C3623">
        <v>2.0699999999999998</v>
      </c>
      <c r="D3623">
        <v>0.11</v>
      </c>
      <c r="E3623">
        <v>2.12</v>
      </c>
      <c r="F3623">
        <v>2.1800000000000002</v>
      </c>
      <c r="G3623">
        <v>2.0299999999999998</v>
      </c>
      <c r="H3623">
        <v>2.11</v>
      </c>
      <c r="I3623" s="1">
        <v>1019000</v>
      </c>
      <c r="J3623" s="1">
        <v>2151330</v>
      </c>
      <c r="K3623">
        <v>52</v>
      </c>
      <c r="L3623">
        <v>2.0699999999999998</v>
      </c>
      <c r="M3623">
        <v>2.08</v>
      </c>
      <c r="N3623" s="1">
        <v>5000000</v>
      </c>
      <c r="O3623">
        <v>2.0699999999999998</v>
      </c>
      <c r="P3623">
        <v>3.13</v>
      </c>
      <c r="Q3623">
        <v>1.01</v>
      </c>
    </row>
    <row r="3624" spans="1:17" x14ac:dyDescent="0.25">
      <c r="A3624">
        <v>732552</v>
      </c>
      <c r="B3624" t="s">
        <v>4936</v>
      </c>
      <c r="C3624" t="s">
        <v>78</v>
      </c>
      <c r="D3624" t="s">
        <v>78</v>
      </c>
      <c r="E3624" t="s">
        <v>78</v>
      </c>
      <c r="F3624" t="s">
        <v>78</v>
      </c>
      <c r="G3624" t="s">
        <v>78</v>
      </c>
      <c r="H3624">
        <v>0.39</v>
      </c>
      <c r="I3624" s="1">
        <v>0</v>
      </c>
      <c r="J3624" s="1">
        <v>0</v>
      </c>
      <c r="K3624">
        <v>0</v>
      </c>
      <c r="L3624">
        <v>0.38</v>
      </c>
      <c r="M3624">
        <v>0.39</v>
      </c>
      <c r="N3624" s="1">
        <v>10000000</v>
      </c>
      <c r="O3624">
        <v>0.39</v>
      </c>
      <c r="P3624">
        <v>0.9</v>
      </c>
      <c r="Q3624">
        <v>0.01</v>
      </c>
    </row>
    <row r="3625" spans="1:17" x14ac:dyDescent="0.25">
      <c r="A3625">
        <v>732553</v>
      </c>
      <c r="B3625" t="s">
        <v>4937</v>
      </c>
      <c r="C3625">
        <v>0.34</v>
      </c>
      <c r="D3625">
        <v>-0.03</v>
      </c>
      <c r="E3625">
        <v>0.37</v>
      </c>
      <c r="F3625">
        <v>0.37</v>
      </c>
      <c r="G3625">
        <v>0.34</v>
      </c>
      <c r="H3625">
        <v>0.37</v>
      </c>
      <c r="I3625" s="1">
        <v>22000</v>
      </c>
      <c r="J3625" s="1">
        <v>8080</v>
      </c>
      <c r="K3625">
        <v>2</v>
      </c>
      <c r="L3625">
        <v>0.32</v>
      </c>
      <c r="M3625">
        <v>0.33</v>
      </c>
      <c r="N3625" s="1">
        <v>5000000</v>
      </c>
      <c r="O3625">
        <v>0.34</v>
      </c>
      <c r="P3625">
        <v>0.94</v>
      </c>
      <c r="Q3625">
        <v>0.01</v>
      </c>
    </row>
    <row r="3626" spans="1:17" x14ac:dyDescent="0.25">
      <c r="A3626">
        <v>732554</v>
      </c>
      <c r="B3626" t="s">
        <v>4938</v>
      </c>
      <c r="C3626" t="s">
        <v>78</v>
      </c>
      <c r="D3626" t="s">
        <v>78</v>
      </c>
      <c r="E3626" t="s">
        <v>78</v>
      </c>
      <c r="F3626" t="s">
        <v>78</v>
      </c>
      <c r="G3626" t="s">
        <v>78</v>
      </c>
      <c r="H3626">
        <v>0.19</v>
      </c>
      <c r="I3626" s="1">
        <v>0</v>
      </c>
      <c r="J3626" s="1">
        <v>0</v>
      </c>
      <c r="K3626">
        <v>0</v>
      </c>
      <c r="L3626">
        <v>0.19</v>
      </c>
      <c r="M3626">
        <v>0.2</v>
      </c>
      <c r="N3626" s="1">
        <v>5000000</v>
      </c>
      <c r="O3626">
        <v>0.2</v>
      </c>
      <c r="P3626">
        <v>0.76</v>
      </c>
      <c r="Q3626">
        <v>0.01</v>
      </c>
    </row>
    <row r="3627" spans="1:17" x14ac:dyDescent="0.25">
      <c r="A3627">
        <v>732555</v>
      </c>
      <c r="B3627" t="s">
        <v>4939</v>
      </c>
      <c r="C3627">
        <v>0.94</v>
      </c>
      <c r="D3627">
        <v>0.34</v>
      </c>
      <c r="E3627">
        <v>0.83</v>
      </c>
      <c r="F3627">
        <v>0.94</v>
      </c>
      <c r="G3627">
        <v>0.83</v>
      </c>
      <c r="H3627">
        <v>0.87</v>
      </c>
      <c r="I3627" s="1">
        <v>606000</v>
      </c>
      <c r="J3627" s="1">
        <v>525650</v>
      </c>
      <c r="K3627">
        <v>7</v>
      </c>
      <c r="L3627">
        <v>0.96</v>
      </c>
      <c r="M3627">
        <v>0.99</v>
      </c>
      <c r="N3627" s="1">
        <v>10000000</v>
      </c>
      <c r="O3627">
        <v>0.94</v>
      </c>
      <c r="P3627">
        <v>2.59</v>
      </c>
      <c r="Q3627">
        <v>0.01</v>
      </c>
    </row>
    <row r="3628" spans="1:17" x14ac:dyDescent="0.25">
      <c r="A3628">
        <v>732556</v>
      </c>
      <c r="B3628" t="s">
        <v>4940</v>
      </c>
      <c r="C3628">
        <v>0.91</v>
      </c>
      <c r="D3628">
        <v>0.32</v>
      </c>
      <c r="E3628">
        <v>0.81</v>
      </c>
      <c r="F3628">
        <v>0.91</v>
      </c>
      <c r="G3628">
        <v>0.74</v>
      </c>
      <c r="H3628">
        <v>0.8</v>
      </c>
      <c r="I3628" s="1">
        <v>952000</v>
      </c>
      <c r="J3628" s="1">
        <v>762820</v>
      </c>
      <c r="K3628">
        <v>12</v>
      </c>
      <c r="L3628">
        <v>0.89</v>
      </c>
      <c r="M3628">
        <v>0.91</v>
      </c>
      <c r="N3628" s="1">
        <v>5000000</v>
      </c>
      <c r="O3628">
        <v>0.91</v>
      </c>
      <c r="P3628">
        <v>2.0099999999999998</v>
      </c>
      <c r="Q3628">
        <v>0.01</v>
      </c>
    </row>
    <row r="3629" spans="1:17" x14ac:dyDescent="0.25">
      <c r="A3629">
        <v>732557</v>
      </c>
      <c r="B3629" t="s">
        <v>4941</v>
      </c>
      <c r="C3629" t="s">
        <v>78</v>
      </c>
      <c r="D3629" t="s">
        <v>78</v>
      </c>
      <c r="E3629" t="s">
        <v>78</v>
      </c>
      <c r="F3629" t="s">
        <v>78</v>
      </c>
      <c r="G3629" t="s">
        <v>78</v>
      </c>
      <c r="H3629">
        <v>0.36</v>
      </c>
      <c r="I3629" s="1">
        <v>0</v>
      </c>
      <c r="J3629" s="1">
        <v>0</v>
      </c>
      <c r="K3629">
        <v>0</v>
      </c>
      <c r="L3629">
        <v>0.37</v>
      </c>
      <c r="M3629">
        <v>0.4</v>
      </c>
      <c r="N3629" s="1">
        <v>5000000</v>
      </c>
      <c r="O3629">
        <v>0.4</v>
      </c>
      <c r="P3629">
        <v>1.08</v>
      </c>
      <c r="Q3629">
        <v>0.01</v>
      </c>
    </row>
    <row r="3630" spans="1:17" x14ac:dyDescent="0.25">
      <c r="A3630">
        <v>732558</v>
      </c>
      <c r="B3630" t="s">
        <v>4942</v>
      </c>
      <c r="C3630">
        <v>1.68</v>
      </c>
      <c r="D3630">
        <v>-0.06</v>
      </c>
      <c r="E3630">
        <v>1.68</v>
      </c>
      <c r="F3630">
        <v>1.68</v>
      </c>
      <c r="G3630">
        <v>1.68</v>
      </c>
      <c r="H3630">
        <v>1.68</v>
      </c>
      <c r="I3630" s="1">
        <v>310000</v>
      </c>
      <c r="J3630" s="1">
        <v>520800</v>
      </c>
      <c r="K3630">
        <v>4</v>
      </c>
      <c r="L3630">
        <v>1.67</v>
      </c>
      <c r="M3630">
        <v>1.7</v>
      </c>
      <c r="N3630" s="1">
        <v>5000000</v>
      </c>
      <c r="O3630">
        <v>1.68</v>
      </c>
      <c r="P3630">
        <v>2.63</v>
      </c>
      <c r="Q3630">
        <v>0.72</v>
      </c>
    </row>
    <row r="3631" spans="1:17" x14ac:dyDescent="0.25">
      <c r="A3631">
        <v>732559</v>
      </c>
      <c r="B3631" t="s">
        <v>4943</v>
      </c>
      <c r="C3631">
        <v>0.43</v>
      </c>
      <c r="D3631">
        <v>0</v>
      </c>
      <c r="E3631">
        <v>0.43</v>
      </c>
      <c r="F3631">
        <v>0.43</v>
      </c>
      <c r="G3631">
        <v>0.42</v>
      </c>
      <c r="H3631">
        <v>0.43</v>
      </c>
      <c r="I3631" s="1">
        <v>3000</v>
      </c>
      <c r="J3631" s="1">
        <v>1280</v>
      </c>
      <c r="K3631">
        <v>3</v>
      </c>
      <c r="L3631">
        <v>0.42</v>
      </c>
      <c r="M3631">
        <v>0.43</v>
      </c>
      <c r="N3631" s="1">
        <v>5000000</v>
      </c>
      <c r="O3631">
        <v>0.43</v>
      </c>
      <c r="P3631">
        <v>0.85</v>
      </c>
      <c r="Q3631">
        <v>0.01</v>
      </c>
    </row>
    <row r="3632" spans="1:17" x14ac:dyDescent="0.25">
      <c r="A3632">
        <v>732560</v>
      </c>
      <c r="B3632" t="s">
        <v>4944</v>
      </c>
      <c r="C3632">
        <v>0.26</v>
      </c>
      <c r="D3632">
        <v>-0.01</v>
      </c>
      <c r="E3632">
        <v>0.26</v>
      </c>
      <c r="F3632">
        <v>0.26</v>
      </c>
      <c r="G3632">
        <v>0.26</v>
      </c>
      <c r="H3632">
        <v>0.26</v>
      </c>
      <c r="I3632" s="1">
        <v>105000</v>
      </c>
      <c r="J3632" s="1">
        <v>27300</v>
      </c>
      <c r="K3632">
        <v>3</v>
      </c>
      <c r="L3632">
        <v>0.24</v>
      </c>
      <c r="M3632">
        <v>0.26</v>
      </c>
      <c r="N3632" s="1">
        <v>5000000</v>
      </c>
      <c r="O3632">
        <v>0.26</v>
      </c>
      <c r="P3632">
        <v>0.96</v>
      </c>
      <c r="Q3632">
        <v>0.01</v>
      </c>
    </row>
    <row r="3633" spans="1:17" x14ac:dyDescent="0.25">
      <c r="A3633">
        <v>732561</v>
      </c>
      <c r="B3633" t="s">
        <v>4945</v>
      </c>
      <c r="C3633">
        <v>0.59</v>
      </c>
      <c r="D3633">
        <v>0</v>
      </c>
      <c r="E3633">
        <v>0.59</v>
      </c>
      <c r="F3633">
        <v>0.59</v>
      </c>
      <c r="G3633">
        <v>0.57999999999999996</v>
      </c>
      <c r="H3633">
        <v>0.59</v>
      </c>
      <c r="I3633" s="1">
        <v>200000</v>
      </c>
      <c r="J3633" s="1">
        <v>117400</v>
      </c>
      <c r="K3633">
        <v>8</v>
      </c>
      <c r="L3633">
        <v>0.59</v>
      </c>
      <c r="M3633">
        <v>0.6</v>
      </c>
      <c r="N3633" s="1">
        <v>5000000</v>
      </c>
      <c r="O3633">
        <v>0.59</v>
      </c>
      <c r="P3633">
        <v>1.52</v>
      </c>
      <c r="Q3633">
        <v>0.01</v>
      </c>
    </row>
    <row r="3634" spans="1:17" x14ac:dyDescent="0.25">
      <c r="A3634">
        <v>732562</v>
      </c>
      <c r="B3634" t="s">
        <v>4946</v>
      </c>
      <c r="C3634" t="s">
        <v>78</v>
      </c>
      <c r="D3634" t="s">
        <v>78</v>
      </c>
      <c r="E3634" t="s">
        <v>78</v>
      </c>
      <c r="F3634" t="s">
        <v>78</v>
      </c>
      <c r="G3634" t="s">
        <v>78</v>
      </c>
      <c r="H3634">
        <v>2.91</v>
      </c>
      <c r="I3634" s="1">
        <v>0</v>
      </c>
      <c r="J3634" s="1">
        <v>0</v>
      </c>
      <c r="K3634">
        <v>0</v>
      </c>
      <c r="L3634">
        <v>2.76</v>
      </c>
      <c r="M3634">
        <v>2.81</v>
      </c>
      <c r="N3634" s="1">
        <v>10000000</v>
      </c>
      <c r="O3634">
        <v>2.81</v>
      </c>
      <c r="P3634">
        <v>3.82</v>
      </c>
      <c r="Q3634">
        <v>1.8</v>
      </c>
    </row>
    <row r="3635" spans="1:17" x14ac:dyDescent="0.25">
      <c r="A3635">
        <v>732563</v>
      </c>
      <c r="B3635" t="s">
        <v>4947</v>
      </c>
      <c r="C3635" t="s">
        <v>78</v>
      </c>
      <c r="D3635" t="s">
        <v>78</v>
      </c>
      <c r="E3635" t="s">
        <v>78</v>
      </c>
      <c r="F3635" t="s">
        <v>78</v>
      </c>
      <c r="G3635" t="s">
        <v>78</v>
      </c>
      <c r="H3635">
        <v>0.48</v>
      </c>
      <c r="I3635" s="1">
        <v>0</v>
      </c>
      <c r="J3635" s="1">
        <v>0</v>
      </c>
      <c r="K3635">
        <v>0</v>
      </c>
      <c r="L3635">
        <v>0.47</v>
      </c>
      <c r="M3635">
        <v>0.48</v>
      </c>
      <c r="N3635" s="1">
        <v>10000000</v>
      </c>
      <c r="O3635">
        <v>0.48</v>
      </c>
      <c r="P3635">
        <v>1.36</v>
      </c>
      <c r="Q3635">
        <v>0.01</v>
      </c>
    </row>
    <row r="3636" spans="1:17" x14ac:dyDescent="0.25">
      <c r="A3636">
        <v>732564</v>
      </c>
      <c r="B3636" t="s">
        <v>4948</v>
      </c>
      <c r="C3636" t="s">
        <v>78</v>
      </c>
      <c r="D3636" t="s">
        <v>78</v>
      </c>
      <c r="E3636" t="s">
        <v>78</v>
      </c>
      <c r="F3636" t="s">
        <v>78</v>
      </c>
      <c r="G3636" t="s">
        <v>78</v>
      </c>
      <c r="H3636">
        <v>0.23</v>
      </c>
      <c r="I3636" s="1">
        <v>0</v>
      </c>
      <c r="J3636" s="1">
        <v>0</v>
      </c>
      <c r="K3636">
        <v>0</v>
      </c>
      <c r="L3636">
        <v>0.22</v>
      </c>
      <c r="M3636">
        <v>0.23</v>
      </c>
      <c r="N3636" s="1">
        <v>10000000</v>
      </c>
      <c r="O3636">
        <v>0.23</v>
      </c>
      <c r="P3636">
        <v>0.57999999999999996</v>
      </c>
      <c r="Q3636">
        <v>0.01</v>
      </c>
    </row>
    <row r="3637" spans="1:17" x14ac:dyDescent="0.25">
      <c r="A3637">
        <v>732565</v>
      </c>
      <c r="B3637" t="s">
        <v>4949</v>
      </c>
      <c r="C3637">
        <v>1.82</v>
      </c>
      <c r="D3637">
        <v>0.1</v>
      </c>
      <c r="E3637">
        <v>1.84</v>
      </c>
      <c r="F3637">
        <v>1.87</v>
      </c>
      <c r="G3637">
        <v>1.78</v>
      </c>
      <c r="H3637">
        <v>1.83</v>
      </c>
      <c r="I3637" s="1">
        <v>787000</v>
      </c>
      <c r="J3637" s="1">
        <v>1442340</v>
      </c>
      <c r="K3637">
        <v>27</v>
      </c>
      <c r="L3637">
        <v>1.81</v>
      </c>
      <c r="M3637">
        <v>1.82</v>
      </c>
      <c r="N3637" s="1">
        <v>10000000</v>
      </c>
      <c r="O3637">
        <v>1.82</v>
      </c>
      <c r="P3637">
        <v>3.12</v>
      </c>
      <c r="Q3637">
        <v>0.52</v>
      </c>
    </row>
    <row r="3638" spans="1:17" x14ac:dyDescent="0.25">
      <c r="A3638">
        <v>732566</v>
      </c>
      <c r="B3638" t="s">
        <v>4950</v>
      </c>
      <c r="C3638" t="s">
        <v>78</v>
      </c>
      <c r="D3638" t="s">
        <v>78</v>
      </c>
      <c r="E3638" t="s">
        <v>78</v>
      </c>
      <c r="F3638" t="s">
        <v>78</v>
      </c>
      <c r="G3638" t="s">
        <v>78</v>
      </c>
      <c r="H3638">
        <v>0.59</v>
      </c>
      <c r="I3638" s="1">
        <v>0</v>
      </c>
      <c r="J3638" s="1">
        <v>0</v>
      </c>
      <c r="K3638">
        <v>0</v>
      </c>
      <c r="L3638">
        <v>0.59</v>
      </c>
      <c r="M3638">
        <v>0.6</v>
      </c>
      <c r="N3638" s="1">
        <v>10000000</v>
      </c>
      <c r="O3638">
        <v>0.6</v>
      </c>
      <c r="P3638">
        <v>1.41</v>
      </c>
      <c r="Q3638">
        <v>0.01</v>
      </c>
    </row>
    <row r="3639" spans="1:17" x14ac:dyDescent="0.25">
      <c r="A3639">
        <v>732567</v>
      </c>
      <c r="B3639" t="s">
        <v>4951</v>
      </c>
      <c r="C3639">
        <v>3.21</v>
      </c>
      <c r="D3639">
        <v>-0.18</v>
      </c>
      <c r="E3639">
        <v>3.37</v>
      </c>
      <c r="F3639">
        <v>3.37</v>
      </c>
      <c r="G3639">
        <v>3.21</v>
      </c>
      <c r="H3639">
        <v>3.27</v>
      </c>
      <c r="I3639" s="1">
        <v>16000</v>
      </c>
      <c r="J3639" s="1">
        <v>52360</v>
      </c>
      <c r="K3639">
        <v>4</v>
      </c>
      <c r="L3639">
        <v>3.21</v>
      </c>
      <c r="M3639">
        <v>3.29</v>
      </c>
      <c r="N3639" s="1">
        <v>5000000</v>
      </c>
      <c r="O3639">
        <v>3.21</v>
      </c>
      <c r="P3639">
        <v>5.3</v>
      </c>
      <c r="Q3639">
        <v>1.08</v>
      </c>
    </row>
    <row r="3640" spans="1:17" x14ac:dyDescent="0.25">
      <c r="A3640">
        <v>732568</v>
      </c>
      <c r="B3640" t="s">
        <v>4952</v>
      </c>
      <c r="C3640">
        <v>1.01</v>
      </c>
      <c r="D3640">
        <v>0.04</v>
      </c>
      <c r="E3640">
        <v>1.01</v>
      </c>
      <c r="F3640">
        <v>1.02</v>
      </c>
      <c r="G3640">
        <v>1.01</v>
      </c>
      <c r="H3640">
        <v>1.01</v>
      </c>
      <c r="I3640" s="1">
        <v>27000</v>
      </c>
      <c r="J3640" s="1">
        <v>27370</v>
      </c>
      <c r="K3640">
        <v>4</v>
      </c>
      <c r="L3640">
        <v>0.95</v>
      </c>
      <c r="M3640">
        <v>0.96</v>
      </c>
      <c r="N3640" s="1">
        <v>10000000</v>
      </c>
      <c r="O3640">
        <v>1.01</v>
      </c>
      <c r="P3640">
        <v>1.88</v>
      </c>
      <c r="Q3640">
        <v>0.14000000000000001</v>
      </c>
    </row>
    <row r="3641" spans="1:17" x14ac:dyDescent="0.25">
      <c r="A3641">
        <v>732569</v>
      </c>
      <c r="B3641" t="s">
        <v>4953</v>
      </c>
      <c r="C3641" t="s">
        <v>78</v>
      </c>
      <c r="D3641" t="s">
        <v>78</v>
      </c>
      <c r="E3641" t="s">
        <v>78</v>
      </c>
      <c r="F3641" t="s">
        <v>78</v>
      </c>
      <c r="G3641" t="s">
        <v>78</v>
      </c>
      <c r="H3641">
        <v>0.15</v>
      </c>
      <c r="I3641" s="1">
        <v>0</v>
      </c>
      <c r="J3641" s="1">
        <v>0</v>
      </c>
      <c r="K3641">
        <v>0</v>
      </c>
      <c r="L3641">
        <v>0.09</v>
      </c>
      <c r="M3641">
        <v>0.12</v>
      </c>
      <c r="N3641" s="1">
        <v>5000000</v>
      </c>
      <c r="O3641">
        <v>0.11</v>
      </c>
      <c r="P3641">
        <v>0.56000000000000005</v>
      </c>
      <c r="Q3641">
        <v>0.01</v>
      </c>
    </row>
    <row r="3642" spans="1:17" x14ac:dyDescent="0.25">
      <c r="A3642">
        <v>732570</v>
      </c>
      <c r="B3642" t="s">
        <v>4954</v>
      </c>
      <c r="C3642">
        <v>0.24</v>
      </c>
      <c r="D3642">
        <v>0</v>
      </c>
      <c r="E3642">
        <v>0.24</v>
      </c>
      <c r="F3642">
        <v>0.24</v>
      </c>
      <c r="G3642">
        <v>0.24</v>
      </c>
      <c r="H3642">
        <v>0.24</v>
      </c>
      <c r="I3642" s="1">
        <v>200000</v>
      </c>
      <c r="J3642" s="1">
        <v>48000</v>
      </c>
      <c r="K3642">
        <v>1</v>
      </c>
      <c r="L3642">
        <v>0.23</v>
      </c>
      <c r="M3642">
        <v>0.24</v>
      </c>
      <c r="N3642" s="1">
        <v>10000000</v>
      </c>
      <c r="O3642">
        <v>0.24</v>
      </c>
      <c r="P3642">
        <v>0.65</v>
      </c>
      <c r="Q3642">
        <v>0.01</v>
      </c>
    </row>
    <row r="3643" spans="1:17" x14ac:dyDescent="0.25">
      <c r="A3643">
        <v>732571</v>
      </c>
      <c r="B3643" t="s">
        <v>4955</v>
      </c>
      <c r="C3643">
        <v>0.14000000000000001</v>
      </c>
      <c r="D3643">
        <v>-0.02</v>
      </c>
      <c r="E3643">
        <v>0.15</v>
      </c>
      <c r="F3643">
        <v>0.15</v>
      </c>
      <c r="G3643">
        <v>0.14000000000000001</v>
      </c>
      <c r="H3643">
        <v>0.14000000000000001</v>
      </c>
      <c r="I3643" s="1">
        <v>130000</v>
      </c>
      <c r="J3643" s="1">
        <v>18400</v>
      </c>
      <c r="K3643">
        <v>3</v>
      </c>
      <c r="L3643">
        <v>0.14000000000000001</v>
      </c>
      <c r="M3643">
        <v>0.15</v>
      </c>
      <c r="N3643" s="1">
        <v>10000000</v>
      </c>
      <c r="O3643">
        <v>0.14000000000000001</v>
      </c>
      <c r="P3643">
        <v>0.47</v>
      </c>
      <c r="Q3643">
        <v>0.01</v>
      </c>
    </row>
    <row r="3644" spans="1:17" x14ac:dyDescent="0.25">
      <c r="A3644">
        <v>732572</v>
      </c>
      <c r="B3644" t="s">
        <v>4956</v>
      </c>
      <c r="C3644">
        <v>0.64</v>
      </c>
      <c r="D3644">
        <v>-0.04</v>
      </c>
      <c r="E3644">
        <v>0.56999999999999995</v>
      </c>
      <c r="F3644">
        <v>0.69</v>
      </c>
      <c r="G3644">
        <v>0.52</v>
      </c>
      <c r="H3644">
        <v>0.56000000000000005</v>
      </c>
      <c r="I3644" s="1">
        <v>973000</v>
      </c>
      <c r="J3644" s="1">
        <v>544950</v>
      </c>
      <c r="K3644">
        <v>53</v>
      </c>
      <c r="L3644">
        <v>0.59</v>
      </c>
      <c r="M3644">
        <v>0.6</v>
      </c>
      <c r="N3644" s="1">
        <v>10000000</v>
      </c>
      <c r="O3644">
        <v>0.64</v>
      </c>
      <c r="P3644">
        <v>1.37</v>
      </c>
      <c r="Q3644">
        <v>0.01</v>
      </c>
    </row>
    <row r="3645" spans="1:17" x14ac:dyDescent="0.25">
      <c r="A3645">
        <v>732573</v>
      </c>
      <c r="B3645" t="s">
        <v>4957</v>
      </c>
      <c r="C3645">
        <v>0.4</v>
      </c>
      <c r="D3645">
        <v>0.08</v>
      </c>
      <c r="E3645">
        <v>0.4</v>
      </c>
      <c r="F3645">
        <v>0.4</v>
      </c>
      <c r="G3645">
        <v>0.4</v>
      </c>
      <c r="H3645">
        <v>0.4</v>
      </c>
      <c r="I3645" s="1">
        <v>20000</v>
      </c>
      <c r="J3645" s="1">
        <v>8000</v>
      </c>
      <c r="K3645">
        <v>1</v>
      </c>
      <c r="L3645">
        <v>0.35</v>
      </c>
      <c r="M3645">
        <v>0.36</v>
      </c>
      <c r="N3645" s="1">
        <v>12000000</v>
      </c>
      <c r="O3645">
        <v>0.4</v>
      </c>
      <c r="P3645">
        <v>1.22</v>
      </c>
      <c r="Q3645">
        <v>0.01</v>
      </c>
    </row>
    <row r="3646" spans="1:17" x14ac:dyDescent="0.25">
      <c r="A3646">
        <v>732574</v>
      </c>
      <c r="B3646" t="s">
        <v>4958</v>
      </c>
      <c r="C3646">
        <v>0.93</v>
      </c>
      <c r="D3646">
        <v>-0.05</v>
      </c>
      <c r="E3646">
        <v>0.98</v>
      </c>
      <c r="F3646">
        <v>0.98</v>
      </c>
      <c r="G3646">
        <v>0.93</v>
      </c>
      <c r="H3646">
        <v>0.97</v>
      </c>
      <c r="I3646" s="1">
        <v>223000</v>
      </c>
      <c r="J3646" s="1">
        <v>216010</v>
      </c>
      <c r="K3646">
        <v>8</v>
      </c>
      <c r="L3646">
        <v>0.93</v>
      </c>
      <c r="M3646">
        <v>0.94</v>
      </c>
      <c r="N3646" s="1">
        <v>5000000</v>
      </c>
      <c r="O3646">
        <v>0.93</v>
      </c>
      <c r="P3646">
        <v>1.78</v>
      </c>
      <c r="Q3646">
        <v>0.08</v>
      </c>
    </row>
    <row r="3647" spans="1:17" x14ac:dyDescent="0.25">
      <c r="A3647">
        <v>732575</v>
      </c>
      <c r="B3647" t="s">
        <v>4959</v>
      </c>
      <c r="C3647">
        <v>2.4300000000000002</v>
      </c>
      <c r="D3647">
        <v>0.03</v>
      </c>
      <c r="E3647">
        <v>2.44</v>
      </c>
      <c r="F3647">
        <v>2.44</v>
      </c>
      <c r="G3647">
        <v>2.42</v>
      </c>
      <c r="H3647">
        <v>2.4300000000000002</v>
      </c>
      <c r="I3647" s="1">
        <v>261000</v>
      </c>
      <c r="J3647" s="1">
        <v>634970</v>
      </c>
      <c r="K3647">
        <v>5</v>
      </c>
      <c r="L3647">
        <v>2.2799999999999998</v>
      </c>
      <c r="M3647">
        <v>2.29</v>
      </c>
      <c r="N3647" s="1">
        <v>5000000</v>
      </c>
      <c r="O3647">
        <v>2.4300000000000002</v>
      </c>
      <c r="P3647">
        <v>7.35</v>
      </c>
      <c r="Q3647">
        <v>0.01</v>
      </c>
    </row>
    <row r="3648" spans="1:17" x14ac:dyDescent="0.25">
      <c r="A3648">
        <v>732576</v>
      </c>
      <c r="B3648" t="s">
        <v>4960</v>
      </c>
      <c r="C3648">
        <v>1.5</v>
      </c>
      <c r="D3648">
        <v>-7.0000000000000007E-2</v>
      </c>
      <c r="E3648">
        <v>1.47</v>
      </c>
      <c r="F3648">
        <v>1.5</v>
      </c>
      <c r="G3648">
        <v>1.47</v>
      </c>
      <c r="H3648">
        <v>1.49</v>
      </c>
      <c r="I3648" s="1">
        <v>111000</v>
      </c>
      <c r="J3648" s="1">
        <v>164910</v>
      </c>
      <c r="K3648">
        <v>3</v>
      </c>
      <c r="L3648">
        <v>1.47</v>
      </c>
      <c r="M3648">
        <v>1.49</v>
      </c>
      <c r="N3648" s="1">
        <v>5000000</v>
      </c>
      <c r="O3648">
        <v>1.5</v>
      </c>
      <c r="P3648">
        <v>2.2599999999999998</v>
      </c>
      <c r="Q3648">
        <v>0.74</v>
      </c>
    </row>
    <row r="3649" spans="1:17" x14ac:dyDescent="0.25">
      <c r="A3649">
        <v>732577</v>
      </c>
      <c r="B3649" t="s">
        <v>4961</v>
      </c>
      <c r="C3649">
        <v>0.59</v>
      </c>
      <c r="D3649">
        <v>-0.01</v>
      </c>
      <c r="E3649">
        <v>0.56999999999999995</v>
      </c>
      <c r="F3649">
        <v>0.59</v>
      </c>
      <c r="G3649">
        <v>0.55000000000000004</v>
      </c>
      <c r="H3649">
        <v>0.56999999999999995</v>
      </c>
      <c r="I3649" s="1">
        <v>594000</v>
      </c>
      <c r="J3649" s="1">
        <v>338650</v>
      </c>
      <c r="K3649">
        <v>8</v>
      </c>
      <c r="L3649">
        <v>0.59</v>
      </c>
      <c r="M3649">
        <v>0.6</v>
      </c>
      <c r="N3649" s="1">
        <v>10000000</v>
      </c>
      <c r="O3649">
        <v>0.59</v>
      </c>
      <c r="P3649">
        <v>0.91</v>
      </c>
      <c r="Q3649">
        <v>0.27</v>
      </c>
    </row>
    <row r="3650" spans="1:17" x14ac:dyDescent="0.25">
      <c r="A3650">
        <v>732578</v>
      </c>
      <c r="B3650" t="s">
        <v>4962</v>
      </c>
      <c r="C3650">
        <v>0.93</v>
      </c>
      <c r="D3650">
        <v>0.17</v>
      </c>
      <c r="E3650">
        <v>0.71</v>
      </c>
      <c r="F3650">
        <v>0.93</v>
      </c>
      <c r="G3650">
        <v>0.71</v>
      </c>
      <c r="H3650">
        <v>0.87</v>
      </c>
      <c r="I3650" s="1">
        <v>1116000</v>
      </c>
      <c r="J3650" s="1">
        <v>975230</v>
      </c>
      <c r="K3650">
        <v>8</v>
      </c>
      <c r="L3650">
        <v>1</v>
      </c>
      <c r="M3650">
        <v>1.02</v>
      </c>
      <c r="N3650" s="1">
        <v>10000000</v>
      </c>
      <c r="O3650">
        <v>0.93</v>
      </c>
      <c r="P3650">
        <v>3.13</v>
      </c>
      <c r="Q3650">
        <v>0.01</v>
      </c>
    </row>
    <row r="3651" spans="1:17" x14ac:dyDescent="0.25">
      <c r="A3651">
        <v>732579</v>
      </c>
      <c r="B3651" t="s">
        <v>4963</v>
      </c>
      <c r="C3651" t="s">
        <v>78</v>
      </c>
      <c r="D3651" t="s">
        <v>78</v>
      </c>
      <c r="E3651" t="s">
        <v>78</v>
      </c>
      <c r="F3651" t="s">
        <v>78</v>
      </c>
      <c r="G3651" t="s">
        <v>78</v>
      </c>
      <c r="H3651">
        <v>0.32</v>
      </c>
      <c r="I3651" s="1">
        <v>0</v>
      </c>
      <c r="J3651" s="1">
        <v>0</v>
      </c>
      <c r="K3651">
        <v>0</v>
      </c>
      <c r="L3651">
        <v>0.25</v>
      </c>
      <c r="M3651">
        <v>0.26</v>
      </c>
      <c r="N3651" s="1">
        <v>10000000</v>
      </c>
      <c r="O3651">
        <v>0.26</v>
      </c>
      <c r="P3651">
        <v>0.85</v>
      </c>
      <c r="Q3651">
        <v>0.01</v>
      </c>
    </row>
    <row r="3652" spans="1:17" x14ac:dyDescent="0.25">
      <c r="A3652">
        <v>732580</v>
      </c>
      <c r="B3652" t="s">
        <v>4964</v>
      </c>
      <c r="C3652" t="s">
        <v>78</v>
      </c>
      <c r="D3652" t="s">
        <v>78</v>
      </c>
      <c r="E3652" t="s">
        <v>78</v>
      </c>
      <c r="F3652" t="s">
        <v>78</v>
      </c>
      <c r="G3652" t="s">
        <v>78</v>
      </c>
      <c r="H3652">
        <v>2.34</v>
      </c>
      <c r="I3652" s="1">
        <v>0</v>
      </c>
      <c r="J3652" s="1">
        <v>0</v>
      </c>
      <c r="K3652">
        <v>0</v>
      </c>
      <c r="L3652">
        <v>2.2799999999999998</v>
      </c>
      <c r="M3652">
        <v>2.3199999999999998</v>
      </c>
      <c r="N3652" s="1">
        <v>10000000</v>
      </c>
      <c r="O3652">
        <v>2.2799999999999998</v>
      </c>
      <c r="P3652">
        <v>3.26</v>
      </c>
      <c r="Q3652">
        <v>1.3</v>
      </c>
    </row>
    <row r="3653" spans="1:17" x14ac:dyDescent="0.25">
      <c r="A3653">
        <v>732581</v>
      </c>
      <c r="B3653" t="s">
        <v>4965</v>
      </c>
      <c r="C3653">
        <v>0.68</v>
      </c>
      <c r="D3653">
        <v>0.04</v>
      </c>
      <c r="E3653">
        <v>0.72</v>
      </c>
      <c r="F3653">
        <v>0.72</v>
      </c>
      <c r="G3653">
        <v>0.66</v>
      </c>
      <c r="H3653">
        <v>0.7</v>
      </c>
      <c r="I3653" s="1">
        <v>231000</v>
      </c>
      <c r="J3653" s="1">
        <v>162460</v>
      </c>
      <c r="K3653">
        <v>10</v>
      </c>
      <c r="L3653">
        <v>0.65</v>
      </c>
      <c r="M3653">
        <v>0.66</v>
      </c>
      <c r="N3653" s="1">
        <v>10000000</v>
      </c>
      <c r="O3653">
        <v>0.68</v>
      </c>
      <c r="P3653">
        <v>1.25</v>
      </c>
      <c r="Q3653">
        <v>0.11</v>
      </c>
    </row>
    <row r="3654" spans="1:17" x14ac:dyDescent="0.25">
      <c r="A3654">
        <v>732582</v>
      </c>
      <c r="B3654" t="s">
        <v>4966</v>
      </c>
      <c r="C3654" t="s">
        <v>78</v>
      </c>
      <c r="D3654" t="s">
        <v>78</v>
      </c>
      <c r="E3654" t="s">
        <v>78</v>
      </c>
      <c r="F3654" t="s">
        <v>78</v>
      </c>
      <c r="G3654" t="s">
        <v>78</v>
      </c>
      <c r="H3654">
        <v>0.28000000000000003</v>
      </c>
      <c r="I3654" s="1">
        <v>0</v>
      </c>
      <c r="J3654" s="1">
        <v>0</v>
      </c>
      <c r="K3654">
        <v>0</v>
      </c>
      <c r="L3654">
        <v>0.26</v>
      </c>
      <c r="M3654">
        <v>0.28000000000000003</v>
      </c>
      <c r="N3654" s="1">
        <v>5000000</v>
      </c>
      <c r="O3654">
        <v>0.28000000000000003</v>
      </c>
      <c r="P3654">
        <v>0.98</v>
      </c>
      <c r="Q3654">
        <v>0.01</v>
      </c>
    </row>
    <row r="3655" spans="1:17" x14ac:dyDescent="0.25">
      <c r="A3655">
        <v>732583</v>
      </c>
      <c r="B3655" t="s">
        <v>4967</v>
      </c>
      <c r="C3655" t="s">
        <v>78</v>
      </c>
      <c r="D3655" t="s">
        <v>78</v>
      </c>
      <c r="E3655" t="s">
        <v>78</v>
      </c>
      <c r="F3655" t="s">
        <v>78</v>
      </c>
      <c r="G3655" t="s">
        <v>78</v>
      </c>
      <c r="H3655">
        <v>2.48</v>
      </c>
      <c r="I3655" s="1">
        <v>0</v>
      </c>
      <c r="J3655" s="1">
        <v>0</v>
      </c>
      <c r="K3655">
        <v>0</v>
      </c>
      <c r="L3655">
        <v>2.5299999999999998</v>
      </c>
      <c r="M3655">
        <v>2.54</v>
      </c>
      <c r="N3655" s="1">
        <v>5000000</v>
      </c>
      <c r="O3655">
        <v>2.54</v>
      </c>
      <c r="P3655">
        <v>4.51</v>
      </c>
      <c r="Q3655">
        <v>0.56999999999999995</v>
      </c>
    </row>
    <row r="3656" spans="1:17" x14ac:dyDescent="0.25">
      <c r="A3656">
        <v>732584</v>
      </c>
      <c r="B3656" t="s">
        <v>4968</v>
      </c>
      <c r="C3656">
        <v>0.54</v>
      </c>
      <c r="D3656">
        <v>-0.01</v>
      </c>
      <c r="E3656">
        <v>0.56000000000000005</v>
      </c>
      <c r="F3656">
        <v>0.56999999999999995</v>
      </c>
      <c r="G3656">
        <v>0.54</v>
      </c>
      <c r="H3656">
        <v>0.55000000000000004</v>
      </c>
      <c r="I3656" s="1">
        <v>161000</v>
      </c>
      <c r="J3656" s="1">
        <v>88020</v>
      </c>
      <c r="K3656">
        <v>5</v>
      </c>
      <c r="L3656">
        <v>0.51</v>
      </c>
      <c r="M3656">
        <v>0.52</v>
      </c>
      <c r="N3656" s="1">
        <v>13000000</v>
      </c>
      <c r="O3656">
        <v>0.54</v>
      </c>
      <c r="P3656">
        <v>1.07</v>
      </c>
      <c r="Q3656">
        <v>0.01</v>
      </c>
    </row>
    <row r="3657" spans="1:17" x14ac:dyDescent="0.25">
      <c r="A3657">
        <v>732585</v>
      </c>
      <c r="B3657" t="s">
        <v>4969</v>
      </c>
      <c r="C3657" t="s">
        <v>78</v>
      </c>
      <c r="D3657" t="s">
        <v>78</v>
      </c>
      <c r="E3657" t="s">
        <v>78</v>
      </c>
      <c r="F3657" t="s">
        <v>78</v>
      </c>
      <c r="G3657" t="s">
        <v>78</v>
      </c>
      <c r="H3657">
        <v>0.94</v>
      </c>
      <c r="I3657" s="1">
        <v>0</v>
      </c>
      <c r="J3657" s="1">
        <v>0</v>
      </c>
      <c r="K3657">
        <v>0</v>
      </c>
      <c r="L3657">
        <v>0.85</v>
      </c>
      <c r="M3657">
        <v>0.86</v>
      </c>
      <c r="N3657" s="1">
        <v>5000000</v>
      </c>
      <c r="O3657">
        <v>0.86</v>
      </c>
      <c r="P3657">
        <v>2</v>
      </c>
      <c r="Q3657">
        <v>0.01</v>
      </c>
    </row>
    <row r="3658" spans="1:17" x14ac:dyDescent="0.25">
      <c r="A3658">
        <v>732586</v>
      </c>
      <c r="B3658" t="s">
        <v>4970</v>
      </c>
      <c r="C3658">
        <v>2.83</v>
      </c>
      <c r="D3658">
        <v>-0.33</v>
      </c>
      <c r="E3658">
        <v>3.24</v>
      </c>
      <c r="F3658">
        <v>3.26</v>
      </c>
      <c r="G3658">
        <v>2.83</v>
      </c>
      <c r="H3658">
        <v>3.19</v>
      </c>
      <c r="I3658" s="1">
        <v>80000</v>
      </c>
      <c r="J3658" s="1">
        <v>255100</v>
      </c>
      <c r="K3658">
        <v>4</v>
      </c>
      <c r="L3658">
        <v>2.94</v>
      </c>
      <c r="M3658">
        <v>2.98</v>
      </c>
      <c r="N3658" s="1">
        <v>5000000</v>
      </c>
      <c r="O3658">
        <v>2.83</v>
      </c>
      <c r="P3658">
        <v>4.79</v>
      </c>
      <c r="Q3658">
        <v>0.87</v>
      </c>
    </row>
    <row r="3659" spans="1:17" x14ac:dyDescent="0.25">
      <c r="A3659">
        <v>732587</v>
      </c>
      <c r="B3659" t="s">
        <v>4971</v>
      </c>
      <c r="C3659" t="s">
        <v>78</v>
      </c>
      <c r="D3659" t="s">
        <v>78</v>
      </c>
      <c r="E3659" t="s">
        <v>78</v>
      </c>
      <c r="F3659" t="s">
        <v>78</v>
      </c>
      <c r="G3659" t="s">
        <v>78</v>
      </c>
      <c r="H3659">
        <v>0.36</v>
      </c>
      <c r="I3659" s="1">
        <v>0</v>
      </c>
      <c r="J3659" s="1">
        <v>0</v>
      </c>
      <c r="K3659">
        <v>0</v>
      </c>
      <c r="L3659">
        <v>0.33</v>
      </c>
      <c r="M3659">
        <v>0.34</v>
      </c>
      <c r="N3659" s="1">
        <v>5000000</v>
      </c>
      <c r="O3659">
        <v>0.34</v>
      </c>
      <c r="P3659">
        <v>1</v>
      </c>
      <c r="Q3659">
        <v>0.01</v>
      </c>
    </row>
    <row r="3660" spans="1:17" x14ac:dyDescent="0.25">
      <c r="A3660">
        <v>732588</v>
      </c>
      <c r="B3660" t="s">
        <v>4972</v>
      </c>
      <c r="C3660">
        <v>0.82</v>
      </c>
      <c r="D3660">
        <v>-0.03</v>
      </c>
      <c r="E3660">
        <v>0.88</v>
      </c>
      <c r="F3660">
        <v>0.88</v>
      </c>
      <c r="G3660">
        <v>0.8</v>
      </c>
      <c r="H3660">
        <v>0.87</v>
      </c>
      <c r="I3660" s="1">
        <v>475000</v>
      </c>
      <c r="J3660" s="1">
        <v>412820</v>
      </c>
      <c r="K3660">
        <v>10</v>
      </c>
      <c r="L3660">
        <v>0.8</v>
      </c>
      <c r="M3660">
        <v>0.81</v>
      </c>
      <c r="N3660" s="1">
        <v>5000000</v>
      </c>
      <c r="O3660">
        <v>0.82</v>
      </c>
      <c r="P3660">
        <v>2.04</v>
      </c>
      <c r="Q3660">
        <v>0.01</v>
      </c>
    </row>
    <row r="3661" spans="1:17" x14ac:dyDescent="0.25">
      <c r="A3661">
        <v>732589</v>
      </c>
      <c r="B3661" t="s">
        <v>4973</v>
      </c>
      <c r="C3661">
        <v>2.33</v>
      </c>
      <c r="D3661">
        <v>0.18</v>
      </c>
      <c r="E3661">
        <v>2.33</v>
      </c>
      <c r="F3661">
        <v>2.33</v>
      </c>
      <c r="G3661">
        <v>2.33</v>
      </c>
      <c r="H3661">
        <v>2.33</v>
      </c>
      <c r="I3661" s="1">
        <v>10000</v>
      </c>
      <c r="J3661" s="1">
        <v>23300</v>
      </c>
      <c r="K3661">
        <v>1</v>
      </c>
      <c r="L3661">
        <v>2.0499999999999998</v>
      </c>
      <c r="M3661">
        <v>2.11</v>
      </c>
      <c r="N3661" s="1">
        <v>5000000</v>
      </c>
      <c r="O3661">
        <v>2.33</v>
      </c>
      <c r="P3661">
        <v>3.73</v>
      </c>
      <c r="Q3661">
        <v>0.93</v>
      </c>
    </row>
    <row r="3662" spans="1:17" x14ac:dyDescent="0.25">
      <c r="A3662">
        <v>732590</v>
      </c>
      <c r="B3662" t="s">
        <v>4974</v>
      </c>
      <c r="C3662" t="s">
        <v>78</v>
      </c>
      <c r="D3662" t="s">
        <v>78</v>
      </c>
      <c r="E3662" t="s">
        <v>78</v>
      </c>
      <c r="F3662" t="s">
        <v>78</v>
      </c>
      <c r="G3662" t="s">
        <v>78</v>
      </c>
      <c r="H3662">
        <v>2.69</v>
      </c>
      <c r="I3662" s="1">
        <v>0</v>
      </c>
      <c r="J3662" s="1">
        <v>0</v>
      </c>
      <c r="K3662">
        <v>0</v>
      </c>
      <c r="L3662">
        <v>2.93</v>
      </c>
      <c r="M3662">
        <v>2.97</v>
      </c>
      <c r="N3662" s="1">
        <v>5000000</v>
      </c>
      <c r="O3662">
        <v>2.93</v>
      </c>
      <c r="P3662">
        <v>4.01</v>
      </c>
      <c r="Q3662">
        <v>1.85</v>
      </c>
    </row>
    <row r="3663" spans="1:17" x14ac:dyDescent="0.25">
      <c r="A3663">
        <v>732591</v>
      </c>
      <c r="B3663" t="s">
        <v>4975</v>
      </c>
      <c r="C3663">
        <v>1.55</v>
      </c>
      <c r="D3663">
        <v>-0.05</v>
      </c>
      <c r="E3663">
        <v>1.69</v>
      </c>
      <c r="F3663">
        <v>1.69</v>
      </c>
      <c r="G3663">
        <v>1.53</v>
      </c>
      <c r="H3663">
        <v>1.61</v>
      </c>
      <c r="I3663" s="1">
        <v>178000</v>
      </c>
      <c r="J3663" s="1">
        <v>285760</v>
      </c>
      <c r="K3663">
        <v>10</v>
      </c>
      <c r="L3663">
        <v>1.54</v>
      </c>
      <c r="M3663">
        <v>1.55</v>
      </c>
      <c r="N3663" s="1">
        <v>10000000</v>
      </c>
      <c r="O3663">
        <v>1.55</v>
      </c>
      <c r="P3663">
        <v>2.5299999999999998</v>
      </c>
      <c r="Q3663">
        <v>0.56999999999999995</v>
      </c>
    </row>
    <row r="3664" spans="1:17" x14ac:dyDescent="0.25">
      <c r="A3664">
        <v>732592</v>
      </c>
      <c r="B3664" t="s">
        <v>4976</v>
      </c>
      <c r="C3664">
        <v>1.4</v>
      </c>
      <c r="D3664">
        <v>0.03</v>
      </c>
      <c r="E3664">
        <v>1.39</v>
      </c>
      <c r="F3664">
        <v>1.42</v>
      </c>
      <c r="G3664">
        <v>1.39</v>
      </c>
      <c r="H3664">
        <v>1.4</v>
      </c>
      <c r="I3664" s="1">
        <v>19000</v>
      </c>
      <c r="J3664" s="1">
        <v>26660</v>
      </c>
      <c r="K3664">
        <v>3</v>
      </c>
      <c r="L3664">
        <v>1.39</v>
      </c>
      <c r="M3664">
        <v>1.41</v>
      </c>
      <c r="N3664" s="1">
        <v>10000000</v>
      </c>
      <c r="O3664">
        <v>1.4</v>
      </c>
      <c r="P3664">
        <v>2.19</v>
      </c>
      <c r="Q3664">
        <v>0.61</v>
      </c>
    </row>
    <row r="3665" spans="1:17" x14ac:dyDescent="0.25">
      <c r="A3665">
        <v>732593</v>
      </c>
      <c r="B3665" t="s">
        <v>4977</v>
      </c>
      <c r="C3665">
        <v>0.96</v>
      </c>
      <c r="D3665">
        <v>0.03</v>
      </c>
      <c r="E3665">
        <v>1</v>
      </c>
      <c r="F3665">
        <v>1.0900000000000001</v>
      </c>
      <c r="G3665">
        <v>0.96</v>
      </c>
      <c r="H3665">
        <v>1.03</v>
      </c>
      <c r="I3665" s="1">
        <v>1465000</v>
      </c>
      <c r="J3665" s="1">
        <v>1515880</v>
      </c>
      <c r="K3665">
        <v>45</v>
      </c>
      <c r="L3665">
        <v>0.96</v>
      </c>
      <c r="M3665">
        <v>0.97</v>
      </c>
      <c r="N3665" s="1">
        <v>10000000</v>
      </c>
      <c r="O3665">
        <v>0.96</v>
      </c>
      <c r="P3665">
        <v>1.72</v>
      </c>
      <c r="Q3665">
        <v>0.2</v>
      </c>
    </row>
    <row r="3666" spans="1:17" x14ac:dyDescent="0.25">
      <c r="A3666">
        <v>732594</v>
      </c>
      <c r="B3666" t="s">
        <v>4978</v>
      </c>
      <c r="C3666">
        <v>0.78</v>
      </c>
      <c r="D3666">
        <v>-0.06</v>
      </c>
      <c r="E3666">
        <v>0.84</v>
      </c>
      <c r="F3666">
        <v>0.86</v>
      </c>
      <c r="G3666">
        <v>0.78</v>
      </c>
      <c r="H3666">
        <v>0.83</v>
      </c>
      <c r="I3666" s="1">
        <v>306000</v>
      </c>
      <c r="J3666" s="1">
        <v>253210</v>
      </c>
      <c r="K3666">
        <v>12</v>
      </c>
      <c r="L3666">
        <v>0.78</v>
      </c>
      <c r="M3666">
        <v>0.79</v>
      </c>
      <c r="N3666" s="1">
        <v>10000000</v>
      </c>
      <c r="O3666">
        <v>0.78</v>
      </c>
      <c r="P3666">
        <v>1.54</v>
      </c>
      <c r="Q3666">
        <v>0.02</v>
      </c>
    </row>
    <row r="3667" spans="1:17" x14ac:dyDescent="0.25">
      <c r="A3667">
        <v>732595</v>
      </c>
      <c r="B3667" t="s">
        <v>4979</v>
      </c>
      <c r="C3667">
        <v>0.78</v>
      </c>
      <c r="D3667">
        <v>-0.03</v>
      </c>
      <c r="E3667">
        <v>0.81</v>
      </c>
      <c r="F3667">
        <v>0.83</v>
      </c>
      <c r="G3667">
        <v>0.78</v>
      </c>
      <c r="H3667">
        <v>0.8</v>
      </c>
      <c r="I3667" s="1">
        <v>181000</v>
      </c>
      <c r="J3667" s="1">
        <v>144890</v>
      </c>
      <c r="K3667">
        <v>8</v>
      </c>
      <c r="L3667">
        <v>0.75</v>
      </c>
      <c r="M3667">
        <v>0.76</v>
      </c>
      <c r="N3667" s="1">
        <v>10000000</v>
      </c>
      <c r="O3667">
        <v>0.78</v>
      </c>
      <c r="P3667">
        <v>1.92</v>
      </c>
      <c r="Q3667">
        <v>0.01</v>
      </c>
    </row>
    <row r="3668" spans="1:17" x14ac:dyDescent="0.25">
      <c r="A3668">
        <v>732596</v>
      </c>
      <c r="B3668" t="s">
        <v>4980</v>
      </c>
      <c r="C3668">
        <v>0.7</v>
      </c>
      <c r="D3668">
        <v>0.01</v>
      </c>
      <c r="E3668">
        <v>0.7</v>
      </c>
      <c r="F3668">
        <v>0.7</v>
      </c>
      <c r="G3668">
        <v>0.7</v>
      </c>
      <c r="H3668">
        <v>0.7</v>
      </c>
      <c r="I3668" s="1">
        <v>11000</v>
      </c>
      <c r="J3668" s="1">
        <v>7700</v>
      </c>
      <c r="K3668">
        <v>2</v>
      </c>
      <c r="L3668">
        <v>0.68</v>
      </c>
      <c r="M3668">
        <v>0.69</v>
      </c>
      <c r="N3668" s="1">
        <v>5000000</v>
      </c>
      <c r="O3668">
        <v>0.7</v>
      </c>
      <c r="P3668">
        <v>1.4</v>
      </c>
      <c r="Q3668">
        <v>0.01</v>
      </c>
    </row>
    <row r="3669" spans="1:17" x14ac:dyDescent="0.25">
      <c r="A3669">
        <v>732597</v>
      </c>
      <c r="B3669" t="s">
        <v>4981</v>
      </c>
      <c r="C3669">
        <v>0.37</v>
      </c>
      <c r="D3669">
        <v>-0.01</v>
      </c>
      <c r="E3669">
        <v>0.37</v>
      </c>
      <c r="F3669">
        <v>0.37</v>
      </c>
      <c r="G3669">
        <v>0.37</v>
      </c>
      <c r="H3669">
        <v>0.37</v>
      </c>
      <c r="I3669" s="1">
        <v>50000</v>
      </c>
      <c r="J3669" s="1">
        <v>18500</v>
      </c>
      <c r="K3669">
        <v>1</v>
      </c>
      <c r="L3669">
        <v>0.37</v>
      </c>
      <c r="M3669">
        <v>0.38</v>
      </c>
      <c r="N3669" s="1">
        <v>5000000</v>
      </c>
      <c r="O3669">
        <v>0.37</v>
      </c>
      <c r="P3669">
        <v>1.1200000000000001</v>
      </c>
      <c r="Q3669">
        <v>0.01</v>
      </c>
    </row>
    <row r="3670" spans="1:17" x14ac:dyDescent="0.25">
      <c r="A3670">
        <v>732598</v>
      </c>
      <c r="B3670" t="s">
        <v>4982</v>
      </c>
      <c r="C3670">
        <v>0.7</v>
      </c>
      <c r="D3670">
        <v>-0.01</v>
      </c>
      <c r="E3670">
        <v>0.71</v>
      </c>
      <c r="F3670">
        <v>0.72</v>
      </c>
      <c r="G3670">
        <v>0.7</v>
      </c>
      <c r="H3670">
        <v>0.7</v>
      </c>
      <c r="I3670" s="1">
        <v>119000</v>
      </c>
      <c r="J3670" s="1">
        <v>83510</v>
      </c>
      <c r="K3670">
        <v>4</v>
      </c>
      <c r="L3670">
        <v>0.65</v>
      </c>
      <c r="M3670">
        <v>0.66</v>
      </c>
      <c r="N3670" s="1">
        <v>5000000</v>
      </c>
      <c r="O3670">
        <v>0.7</v>
      </c>
      <c r="P3670">
        <v>1.3</v>
      </c>
      <c r="Q3670">
        <v>0.1</v>
      </c>
    </row>
    <row r="3671" spans="1:17" x14ac:dyDescent="0.25">
      <c r="A3671">
        <v>732599</v>
      </c>
      <c r="B3671" t="s">
        <v>4983</v>
      </c>
      <c r="C3671">
        <v>1.87</v>
      </c>
      <c r="D3671">
        <v>-0.2</v>
      </c>
      <c r="E3671">
        <v>2.17</v>
      </c>
      <c r="F3671">
        <v>2.17</v>
      </c>
      <c r="G3671">
        <v>1.87</v>
      </c>
      <c r="H3671">
        <v>1.96</v>
      </c>
      <c r="I3671" s="1">
        <v>116000</v>
      </c>
      <c r="J3671" s="1">
        <v>227530</v>
      </c>
      <c r="K3671">
        <v>9</v>
      </c>
      <c r="L3671">
        <v>1.89</v>
      </c>
      <c r="M3671">
        <v>1.99</v>
      </c>
      <c r="N3671" s="1">
        <v>5000000</v>
      </c>
      <c r="O3671">
        <v>1.87</v>
      </c>
      <c r="P3671">
        <v>2.99</v>
      </c>
      <c r="Q3671">
        <v>0.75</v>
      </c>
    </row>
    <row r="3672" spans="1:17" x14ac:dyDescent="0.25">
      <c r="A3672">
        <v>732600</v>
      </c>
      <c r="B3672" t="s">
        <v>4984</v>
      </c>
      <c r="C3672" t="s">
        <v>78</v>
      </c>
      <c r="D3672" t="s">
        <v>78</v>
      </c>
      <c r="E3672" t="s">
        <v>78</v>
      </c>
      <c r="F3672" t="s">
        <v>78</v>
      </c>
      <c r="G3672" t="s">
        <v>78</v>
      </c>
      <c r="H3672">
        <v>1.9</v>
      </c>
      <c r="I3672" s="1">
        <v>0</v>
      </c>
      <c r="J3672" s="1">
        <v>0</v>
      </c>
      <c r="K3672">
        <v>0</v>
      </c>
      <c r="L3672">
        <v>1.76</v>
      </c>
      <c r="M3672">
        <v>1.86</v>
      </c>
      <c r="N3672" s="1">
        <v>5000000</v>
      </c>
      <c r="O3672">
        <v>1.86</v>
      </c>
      <c r="P3672">
        <v>2.7</v>
      </c>
      <c r="Q3672">
        <v>1.02</v>
      </c>
    </row>
    <row r="3673" spans="1:17" x14ac:dyDescent="0.25">
      <c r="A3673">
        <v>732601</v>
      </c>
      <c r="B3673" t="s">
        <v>4985</v>
      </c>
      <c r="C3673">
        <v>2.84</v>
      </c>
      <c r="D3673">
        <v>-0.24</v>
      </c>
      <c r="E3673">
        <v>2.9</v>
      </c>
      <c r="F3673">
        <v>2.9</v>
      </c>
      <c r="G3673">
        <v>2.84</v>
      </c>
      <c r="H3673">
        <v>2.87</v>
      </c>
      <c r="I3673" s="1">
        <v>11000</v>
      </c>
      <c r="J3673" s="1">
        <v>31590</v>
      </c>
      <c r="K3673">
        <v>4</v>
      </c>
      <c r="L3673">
        <v>2.87</v>
      </c>
      <c r="M3673">
        <v>2.93</v>
      </c>
      <c r="N3673" s="1">
        <v>10000000</v>
      </c>
      <c r="O3673">
        <v>2.84</v>
      </c>
      <c r="P3673">
        <v>4</v>
      </c>
      <c r="Q3673">
        <v>1.68</v>
      </c>
    </row>
    <row r="3674" spans="1:17" x14ac:dyDescent="0.25">
      <c r="A3674">
        <v>732602</v>
      </c>
      <c r="B3674" t="s">
        <v>4986</v>
      </c>
      <c r="C3674">
        <v>1.24</v>
      </c>
      <c r="D3674">
        <v>0.1</v>
      </c>
      <c r="E3674">
        <v>1.1399999999999999</v>
      </c>
      <c r="F3674">
        <v>1.24</v>
      </c>
      <c r="G3674">
        <v>1.1000000000000001</v>
      </c>
      <c r="H3674">
        <v>1.1499999999999999</v>
      </c>
      <c r="I3674" s="1">
        <v>832000</v>
      </c>
      <c r="J3674" s="1">
        <v>954670</v>
      </c>
      <c r="K3674">
        <v>30</v>
      </c>
      <c r="L3674">
        <v>1.2</v>
      </c>
      <c r="M3674">
        <v>1.24</v>
      </c>
      <c r="N3674" s="1">
        <v>10000000</v>
      </c>
      <c r="O3674">
        <v>1.24</v>
      </c>
      <c r="P3674">
        <v>2.2400000000000002</v>
      </c>
      <c r="Q3674">
        <v>0.24</v>
      </c>
    </row>
    <row r="3675" spans="1:17" x14ac:dyDescent="0.25">
      <c r="A3675">
        <v>732603</v>
      </c>
      <c r="B3675" t="s">
        <v>4987</v>
      </c>
      <c r="C3675">
        <v>0.62</v>
      </c>
      <c r="D3675">
        <v>0</v>
      </c>
      <c r="E3675">
        <v>0.62</v>
      </c>
      <c r="F3675">
        <v>0.62</v>
      </c>
      <c r="G3675">
        <v>0.62</v>
      </c>
      <c r="H3675">
        <v>0.62</v>
      </c>
      <c r="I3675" s="1">
        <v>45000</v>
      </c>
      <c r="J3675" s="1">
        <v>27900</v>
      </c>
      <c r="K3675">
        <v>1</v>
      </c>
      <c r="L3675">
        <v>0.56000000000000005</v>
      </c>
      <c r="M3675">
        <v>0.56999999999999995</v>
      </c>
      <c r="N3675" s="1">
        <v>5000000</v>
      </c>
      <c r="O3675">
        <v>0.62</v>
      </c>
      <c r="P3675">
        <v>1.76</v>
      </c>
      <c r="Q3675">
        <v>0.01</v>
      </c>
    </row>
    <row r="3676" spans="1:17" x14ac:dyDescent="0.25">
      <c r="A3676">
        <v>732604</v>
      </c>
      <c r="B3676" t="s">
        <v>4988</v>
      </c>
      <c r="C3676">
        <v>0.34</v>
      </c>
      <c r="D3676">
        <v>-0.02</v>
      </c>
      <c r="E3676">
        <v>0.36</v>
      </c>
      <c r="F3676">
        <v>0.36</v>
      </c>
      <c r="G3676">
        <v>0.32</v>
      </c>
      <c r="H3676">
        <v>0.33</v>
      </c>
      <c r="I3676" s="1">
        <v>908000</v>
      </c>
      <c r="J3676" s="1">
        <v>301650</v>
      </c>
      <c r="K3676">
        <v>22</v>
      </c>
      <c r="L3676">
        <v>0.34</v>
      </c>
      <c r="M3676">
        <v>0.35</v>
      </c>
      <c r="N3676" s="1">
        <v>10000000</v>
      </c>
      <c r="O3676">
        <v>0.34</v>
      </c>
      <c r="P3676">
        <v>0.69</v>
      </c>
      <c r="Q3676">
        <v>0.01</v>
      </c>
    </row>
    <row r="3677" spans="1:17" x14ac:dyDescent="0.25">
      <c r="A3677">
        <v>732605</v>
      </c>
      <c r="B3677" t="s">
        <v>4989</v>
      </c>
      <c r="C3677" t="s">
        <v>78</v>
      </c>
      <c r="D3677" t="s">
        <v>78</v>
      </c>
      <c r="E3677" t="s">
        <v>78</v>
      </c>
      <c r="F3677" t="s">
        <v>78</v>
      </c>
      <c r="G3677" t="s">
        <v>78</v>
      </c>
      <c r="H3677">
        <v>0.51</v>
      </c>
      <c r="I3677" s="1">
        <v>0</v>
      </c>
      <c r="J3677" s="1">
        <v>0</v>
      </c>
      <c r="K3677">
        <v>0</v>
      </c>
      <c r="L3677">
        <v>0.49</v>
      </c>
      <c r="M3677">
        <v>0.5</v>
      </c>
      <c r="N3677" s="1">
        <v>10000000</v>
      </c>
      <c r="O3677">
        <v>0.49</v>
      </c>
      <c r="P3677">
        <v>0.88</v>
      </c>
      <c r="Q3677">
        <v>0.1</v>
      </c>
    </row>
    <row r="3678" spans="1:17" x14ac:dyDescent="0.25">
      <c r="A3678">
        <v>732606</v>
      </c>
      <c r="B3678" t="s">
        <v>4990</v>
      </c>
      <c r="C3678">
        <v>2.38</v>
      </c>
      <c r="D3678">
        <v>-0.17</v>
      </c>
      <c r="E3678">
        <v>2.67</v>
      </c>
      <c r="F3678">
        <v>2.68</v>
      </c>
      <c r="G3678">
        <v>2.38</v>
      </c>
      <c r="H3678">
        <v>2.5299999999999998</v>
      </c>
      <c r="I3678" s="1">
        <v>346000</v>
      </c>
      <c r="J3678" s="1">
        <v>876800</v>
      </c>
      <c r="K3678">
        <v>27</v>
      </c>
      <c r="L3678">
        <v>2.39</v>
      </c>
      <c r="M3678">
        <v>2.4</v>
      </c>
      <c r="N3678" s="1">
        <v>5000000</v>
      </c>
      <c r="O3678">
        <v>2.38</v>
      </c>
      <c r="P3678">
        <v>4.3499999999999996</v>
      </c>
      <c r="Q3678">
        <v>0.41</v>
      </c>
    </row>
    <row r="3679" spans="1:17" x14ac:dyDescent="0.25">
      <c r="A3679">
        <v>732607</v>
      </c>
      <c r="B3679" t="s">
        <v>4991</v>
      </c>
      <c r="C3679">
        <v>4.92</v>
      </c>
      <c r="D3679">
        <v>-0.28000000000000003</v>
      </c>
      <c r="E3679">
        <v>5.5</v>
      </c>
      <c r="F3679">
        <v>5.5</v>
      </c>
      <c r="G3679">
        <v>4.92</v>
      </c>
      <c r="H3679">
        <v>5.3</v>
      </c>
      <c r="I3679" s="1">
        <v>104000</v>
      </c>
      <c r="J3679" s="1">
        <v>550810</v>
      </c>
      <c r="K3679">
        <v>8</v>
      </c>
      <c r="L3679">
        <v>4.88</v>
      </c>
      <c r="M3679">
        <v>4.8899999999999997</v>
      </c>
      <c r="N3679" s="1">
        <v>5000000</v>
      </c>
      <c r="O3679">
        <v>4.92</v>
      </c>
      <c r="P3679">
        <v>12.8</v>
      </c>
      <c r="Q3679">
        <v>0.01</v>
      </c>
    </row>
    <row r="3680" spans="1:17" x14ac:dyDescent="0.25">
      <c r="A3680">
        <v>732608</v>
      </c>
      <c r="B3680" t="s">
        <v>4992</v>
      </c>
      <c r="C3680" t="s">
        <v>78</v>
      </c>
      <c r="D3680" t="s">
        <v>78</v>
      </c>
      <c r="E3680" t="s">
        <v>78</v>
      </c>
      <c r="F3680" t="s">
        <v>78</v>
      </c>
      <c r="G3680" t="s">
        <v>78</v>
      </c>
      <c r="H3680">
        <v>0.23</v>
      </c>
      <c r="I3680" s="1">
        <v>0</v>
      </c>
      <c r="J3680" s="1">
        <v>0</v>
      </c>
      <c r="K3680">
        <v>0</v>
      </c>
      <c r="L3680">
        <v>0.17</v>
      </c>
      <c r="M3680">
        <v>0.18</v>
      </c>
      <c r="N3680" s="1">
        <v>5000000</v>
      </c>
      <c r="O3680">
        <v>0.17</v>
      </c>
      <c r="P3680">
        <v>0.72</v>
      </c>
      <c r="Q3680">
        <v>0.01</v>
      </c>
    </row>
    <row r="3681" spans="1:17" x14ac:dyDescent="0.25">
      <c r="A3681">
        <v>732609</v>
      </c>
      <c r="B3681" t="s">
        <v>4993</v>
      </c>
      <c r="C3681">
        <v>0.83</v>
      </c>
      <c r="D3681">
        <v>0.17</v>
      </c>
      <c r="E3681">
        <v>0.65</v>
      </c>
      <c r="F3681">
        <v>0.83</v>
      </c>
      <c r="G3681">
        <v>0.64</v>
      </c>
      <c r="H3681">
        <v>0.74</v>
      </c>
      <c r="I3681" s="1">
        <v>327000</v>
      </c>
      <c r="J3681" s="1">
        <v>243440</v>
      </c>
      <c r="K3681">
        <v>8</v>
      </c>
      <c r="L3681">
        <v>0.81</v>
      </c>
      <c r="M3681">
        <v>0.84</v>
      </c>
      <c r="N3681" s="1">
        <v>10000000</v>
      </c>
      <c r="O3681">
        <v>0.83</v>
      </c>
      <c r="P3681">
        <v>1.6</v>
      </c>
      <c r="Q3681">
        <v>0.06</v>
      </c>
    </row>
    <row r="3682" spans="1:17" x14ac:dyDescent="0.25">
      <c r="A3682">
        <v>732610</v>
      </c>
      <c r="B3682" t="s">
        <v>4994</v>
      </c>
      <c r="C3682" t="s">
        <v>78</v>
      </c>
      <c r="D3682" t="s">
        <v>78</v>
      </c>
      <c r="E3682" t="s">
        <v>78</v>
      </c>
      <c r="F3682" t="s">
        <v>78</v>
      </c>
      <c r="G3682" t="s">
        <v>78</v>
      </c>
      <c r="H3682">
        <v>0.28999999999999998</v>
      </c>
      <c r="I3682" s="1">
        <v>0</v>
      </c>
      <c r="J3682" s="1">
        <v>0</v>
      </c>
      <c r="K3682">
        <v>0</v>
      </c>
      <c r="L3682">
        <v>0.28000000000000003</v>
      </c>
      <c r="M3682">
        <v>0.28999999999999998</v>
      </c>
      <c r="N3682" s="1">
        <v>10000000</v>
      </c>
      <c r="O3682">
        <v>0.28999999999999998</v>
      </c>
      <c r="P3682">
        <v>0.74</v>
      </c>
      <c r="Q3682">
        <v>0.01</v>
      </c>
    </row>
    <row r="3683" spans="1:17" x14ac:dyDescent="0.25">
      <c r="A3683">
        <v>732611</v>
      </c>
      <c r="B3683" t="s">
        <v>4995</v>
      </c>
      <c r="C3683">
        <v>0.19</v>
      </c>
      <c r="D3683">
        <v>0</v>
      </c>
      <c r="E3683">
        <v>0.19</v>
      </c>
      <c r="F3683">
        <v>0.19</v>
      </c>
      <c r="G3683">
        <v>0.19</v>
      </c>
      <c r="H3683">
        <v>0.19</v>
      </c>
      <c r="I3683" s="1">
        <v>50000</v>
      </c>
      <c r="J3683" s="1">
        <v>9500</v>
      </c>
      <c r="K3683">
        <v>1</v>
      </c>
      <c r="L3683">
        <v>0.18</v>
      </c>
      <c r="M3683">
        <v>0.19</v>
      </c>
      <c r="N3683" s="1">
        <v>5000000</v>
      </c>
      <c r="O3683">
        <v>0.19</v>
      </c>
      <c r="P3683">
        <v>0.66</v>
      </c>
      <c r="Q3683">
        <v>0.01</v>
      </c>
    </row>
    <row r="3684" spans="1:17" x14ac:dyDescent="0.25">
      <c r="A3684">
        <v>732612</v>
      </c>
      <c r="B3684" t="s">
        <v>4996</v>
      </c>
      <c r="C3684">
        <v>0.68</v>
      </c>
      <c r="D3684">
        <v>-7.0000000000000007E-2</v>
      </c>
      <c r="E3684">
        <v>0.81</v>
      </c>
      <c r="F3684">
        <v>0.81</v>
      </c>
      <c r="G3684">
        <v>0.68</v>
      </c>
      <c r="H3684">
        <v>0.77</v>
      </c>
      <c r="I3684" s="1">
        <v>143000</v>
      </c>
      <c r="J3684" s="1">
        <v>109890</v>
      </c>
      <c r="K3684">
        <v>14</v>
      </c>
      <c r="L3684">
        <v>0.63</v>
      </c>
      <c r="M3684">
        <v>0.64</v>
      </c>
      <c r="N3684" s="1">
        <v>5000000</v>
      </c>
      <c r="O3684">
        <v>0.68</v>
      </c>
      <c r="P3684">
        <v>1.43</v>
      </c>
      <c r="Q3684">
        <v>0.01</v>
      </c>
    </row>
    <row r="3685" spans="1:17" x14ac:dyDescent="0.25">
      <c r="A3685">
        <v>732613</v>
      </c>
      <c r="B3685" t="s">
        <v>4997</v>
      </c>
      <c r="C3685">
        <v>0.38</v>
      </c>
      <c r="D3685">
        <v>0</v>
      </c>
      <c r="E3685">
        <v>0.34</v>
      </c>
      <c r="F3685">
        <v>0.38</v>
      </c>
      <c r="G3685">
        <v>0.32</v>
      </c>
      <c r="H3685">
        <v>0.34</v>
      </c>
      <c r="I3685" s="1">
        <v>365000</v>
      </c>
      <c r="J3685" s="1">
        <v>122500</v>
      </c>
      <c r="K3685">
        <v>17</v>
      </c>
      <c r="L3685">
        <v>0.35</v>
      </c>
      <c r="M3685">
        <v>0.36</v>
      </c>
      <c r="N3685" s="1">
        <v>5123000</v>
      </c>
      <c r="O3685">
        <v>0.38</v>
      </c>
      <c r="P3685">
        <v>1.25</v>
      </c>
      <c r="Q3685">
        <v>0.01</v>
      </c>
    </row>
    <row r="3686" spans="1:17" x14ac:dyDescent="0.25">
      <c r="A3686">
        <v>732614</v>
      </c>
      <c r="B3686" t="s">
        <v>4998</v>
      </c>
      <c r="C3686">
        <v>0.86</v>
      </c>
      <c r="D3686">
        <v>-0.01</v>
      </c>
      <c r="E3686">
        <v>0.86</v>
      </c>
      <c r="F3686">
        <v>0.86</v>
      </c>
      <c r="G3686">
        <v>0.86</v>
      </c>
      <c r="H3686">
        <v>0.86</v>
      </c>
      <c r="I3686" s="1">
        <v>10000</v>
      </c>
      <c r="J3686" s="1">
        <v>8600</v>
      </c>
      <c r="K3686">
        <v>1</v>
      </c>
      <c r="L3686">
        <v>0.83</v>
      </c>
      <c r="M3686">
        <v>0.87</v>
      </c>
      <c r="N3686" s="1">
        <v>5000000</v>
      </c>
      <c r="O3686">
        <v>0.86</v>
      </c>
      <c r="P3686">
        <v>1.55</v>
      </c>
      <c r="Q3686">
        <v>0.17</v>
      </c>
    </row>
    <row r="3687" spans="1:17" x14ac:dyDescent="0.25">
      <c r="A3687">
        <v>732615</v>
      </c>
      <c r="B3687" t="s">
        <v>4999</v>
      </c>
      <c r="C3687">
        <v>1</v>
      </c>
      <c r="D3687">
        <v>0.2</v>
      </c>
      <c r="E3687">
        <v>0.8</v>
      </c>
      <c r="F3687">
        <v>1</v>
      </c>
      <c r="G3687">
        <v>0.8</v>
      </c>
      <c r="H3687">
        <v>0.85</v>
      </c>
      <c r="I3687" s="1">
        <v>754000</v>
      </c>
      <c r="J3687" s="1">
        <v>644540</v>
      </c>
      <c r="K3687">
        <v>19</v>
      </c>
      <c r="L3687">
        <v>0.95</v>
      </c>
      <c r="M3687">
        <v>0.97</v>
      </c>
      <c r="N3687" s="1">
        <v>10000000</v>
      </c>
      <c r="O3687">
        <v>1</v>
      </c>
      <c r="P3687">
        <v>1.88</v>
      </c>
      <c r="Q3687">
        <v>0.12</v>
      </c>
    </row>
    <row r="3688" spans="1:17" x14ac:dyDescent="0.25">
      <c r="A3688">
        <v>732616</v>
      </c>
      <c r="B3688" t="s">
        <v>5000</v>
      </c>
      <c r="C3688" t="s">
        <v>78</v>
      </c>
      <c r="D3688" t="s">
        <v>78</v>
      </c>
      <c r="E3688" t="s">
        <v>78</v>
      </c>
      <c r="F3688" t="s">
        <v>78</v>
      </c>
      <c r="G3688" t="s">
        <v>78</v>
      </c>
      <c r="H3688">
        <v>0.42</v>
      </c>
      <c r="I3688" s="1">
        <v>0</v>
      </c>
      <c r="J3688" s="1">
        <v>0</v>
      </c>
      <c r="K3688">
        <v>0</v>
      </c>
      <c r="L3688">
        <v>0.3</v>
      </c>
      <c r="M3688">
        <v>0.36</v>
      </c>
      <c r="N3688" s="1">
        <v>20000000</v>
      </c>
      <c r="O3688">
        <v>0.36</v>
      </c>
      <c r="P3688">
        <v>1.1200000000000001</v>
      </c>
      <c r="Q3688">
        <v>0.01</v>
      </c>
    </row>
    <row r="3689" spans="1:17" x14ac:dyDescent="0.25">
      <c r="A3689">
        <v>732617</v>
      </c>
      <c r="B3689" t="s">
        <v>5001</v>
      </c>
      <c r="C3689" t="s">
        <v>78</v>
      </c>
      <c r="D3689" t="s">
        <v>78</v>
      </c>
      <c r="E3689" t="s">
        <v>78</v>
      </c>
      <c r="F3689" t="s">
        <v>78</v>
      </c>
      <c r="G3689" t="s">
        <v>78</v>
      </c>
      <c r="H3689">
        <v>2.6</v>
      </c>
      <c r="I3689" s="1">
        <v>0</v>
      </c>
      <c r="J3689" s="1">
        <v>0</v>
      </c>
      <c r="K3689">
        <v>0</v>
      </c>
      <c r="L3689">
        <v>2.35</v>
      </c>
      <c r="M3689">
        <v>2.42</v>
      </c>
      <c r="N3689" s="1">
        <v>10000000</v>
      </c>
      <c r="O3689">
        <v>2.35</v>
      </c>
      <c r="P3689">
        <v>3.61</v>
      </c>
      <c r="Q3689">
        <v>1.0900000000000001</v>
      </c>
    </row>
    <row r="3690" spans="1:17" x14ac:dyDescent="0.25">
      <c r="A3690">
        <v>732618</v>
      </c>
      <c r="B3690" t="s">
        <v>5002</v>
      </c>
      <c r="C3690">
        <v>0.51</v>
      </c>
      <c r="D3690">
        <v>0</v>
      </c>
      <c r="E3690">
        <v>0.51</v>
      </c>
      <c r="F3690">
        <v>0.51</v>
      </c>
      <c r="G3690">
        <v>0.51</v>
      </c>
      <c r="H3690">
        <v>0.51</v>
      </c>
      <c r="I3690" s="1">
        <v>206000</v>
      </c>
      <c r="J3690" s="1">
        <v>105060</v>
      </c>
      <c r="K3690">
        <v>2</v>
      </c>
      <c r="L3690">
        <v>0.5</v>
      </c>
      <c r="M3690">
        <v>0.51</v>
      </c>
      <c r="N3690" s="1">
        <v>10000000</v>
      </c>
      <c r="O3690">
        <v>0.51</v>
      </c>
      <c r="P3690">
        <v>1.0900000000000001</v>
      </c>
      <c r="Q3690">
        <v>0.01</v>
      </c>
    </row>
    <row r="3691" spans="1:17" x14ac:dyDescent="0.25">
      <c r="A3691">
        <v>732619</v>
      </c>
      <c r="B3691" t="s">
        <v>5003</v>
      </c>
      <c r="C3691">
        <v>1.05</v>
      </c>
      <c r="D3691">
        <v>-0.04</v>
      </c>
      <c r="E3691">
        <v>1.05</v>
      </c>
      <c r="F3691">
        <v>1.06</v>
      </c>
      <c r="G3691">
        <v>1.03</v>
      </c>
      <c r="H3691">
        <v>1.05</v>
      </c>
      <c r="I3691" s="1">
        <v>2009000</v>
      </c>
      <c r="J3691" s="1">
        <v>2103970</v>
      </c>
      <c r="K3691">
        <v>29</v>
      </c>
      <c r="L3691">
        <v>1.04</v>
      </c>
      <c r="M3691">
        <v>1.05</v>
      </c>
      <c r="N3691" s="1">
        <v>6000000</v>
      </c>
      <c r="O3691">
        <v>1.05</v>
      </c>
      <c r="P3691">
        <v>2.95</v>
      </c>
      <c r="Q3691">
        <v>0.01</v>
      </c>
    </row>
    <row r="3692" spans="1:17" x14ac:dyDescent="0.25">
      <c r="A3692">
        <v>732620</v>
      </c>
      <c r="B3692" t="s">
        <v>5004</v>
      </c>
      <c r="C3692" t="s">
        <v>78</v>
      </c>
      <c r="D3692" t="s">
        <v>78</v>
      </c>
      <c r="E3692" t="s">
        <v>78</v>
      </c>
      <c r="F3692" t="s">
        <v>78</v>
      </c>
      <c r="G3692" t="s">
        <v>78</v>
      </c>
      <c r="H3692">
        <v>1.84</v>
      </c>
      <c r="I3692" s="1">
        <v>0</v>
      </c>
      <c r="J3692" s="1">
        <v>0</v>
      </c>
      <c r="K3692">
        <v>0</v>
      </c>
      <c r="L3692">
        <v>1.87</v>
      </c>
      <c r="M3692">
        <v>1.93</v>
      </c>
      <c r="N3692" s="1">
        <v>10000000</v>
      </c>
      <c r="O3692">
        <v>1.87</v>
      </c>
      <c r="P3692">
        <v>2.54</v>
      </c>
      <c r="Q3692">
        <v>1.2</v>
      </c>
    </row>
    <row r="3693" spans="1:17" x14ac:dyDescent="0.25">
      <c r="A3693">
        <v>732621</v>
      </c>
      <c r="B3693" t="s">
        <v>5005</v>
      </c>
      <c r="C3693">
        <v>0.48</v>
      </c>
      <c r="D3693">
        <v>0.01</v>
      </c>
      <c r="E3693">
        <v>0.48</v>
      </c>
      <c r="F3693">
        <v>0.48</v>
      </c>
      <c r="G3693">
        <v>0.48</v>
      </c>
      <c r="H3693">
        <v>0.48</v>
      </c>
      <c r="I3693" s="1">
        <v>102000</v>
      </c>
      <c r="J3693" s="1">
        <v>48960</v>
      </c>
      <c r="K3693">
        <v>2</v>
      </c>
      <c r="L3693">
        <v>0.46</v>
      </c>
      <c r="M3693">
        <v>0.47</v>
      </c>
      <c r="N3693" s="1">
        <v>10000000</v>
      </c>
      <c r="O3693">
        <v>0.48</v>
      </c>
      <c r="P3693">
        <v>1.19</v>
      </c>
      <c r="Q3693">
        <v>0.01</v>
      </c>
    </row>
    <row r="3694" spans="1:17" x14ac:dyDescent="0.25">
      <c r="A3694">
        <v>732622</v>
      </c>
      <c r="B3694" t="s">
        <v>5006</v>
      </c>
      <c r="C3694">
        <v>0.57999999999999996</v>
      </c>
      <c r="D3694">
        <v>0.01</v>
      </c>
      <c r="E3694">
        <v>0.57999999999999996</v>
      </c>
      <c r="F3694">
        <v>0.57999999999999996</v>
      </c>
      <c r="G3694">
        <v>0.57999999999999996</v>
      </c>
      <c r="H3694">
        <v>0.57999999999999996</v>
      </c>
      <c r="I3694" s="1">
        <v>100000</v>
      </c>
      <c r="J3694" s="1">
        <v>58000</v>
      </c>
      <c r="K3694">
        <v>1</v>
      </c>
      <c r="L3694">
        <v>0.57999999999999996</v>
      </c>
      <c r="M3694">
        <v>0.59</v>
      </c>
      <c r="N3694" s="1">
        <v>10000000</v>
      </c>
      <c r="O3694">
        <v>0.57999999999999996</v>
      </c>
      <c r="P3694">
        <v>1.1100000000000001</v>
      </c>
      <c r="Q3694">
        <v>0.05</v>
      </c>
    </row>
    <row r="3695" spans="1:17" x14ac:dyDescent="0.25">
      <c r="A3695">
        <v>732623</v>
      </c>
      <c r="B3695" t="s">
        <v>5007</v>
      </c>
      <c r="C3695" t="s">
        <v>78</v>
      </c>
      <c r="D3695" t="s">
        <v>78</v>
      </c>
      <c r="E3695" t="s">
        <v>78</v>
      </c>
      <c r="F3695" t="s">
        <v>78</v>
      </c>
      <c r="G3695" t="s">
        <v>78</v>
      </c>
      <c r="H3695">
        <v>2.1800000000000002</v>
      </c>
      <c r="I3695" s="1">
        <v>0</v>
      </c>
      <c r="J3695" s="1">
        <v>0</v>
      </c>
      <c r="K3695">
        <v>0</v>
      </c>
      <c r="L3695">
        <v>2.2799999999999998</v>
      </c>
      <c r="M3695">
        <v>2.38</v>
      </c>
      <c r="N3695" s="1">
        <v>10000000</v>
      </c>
      <c r="O3695">
        <v>2.2799999999999998</v>
      </c>
      <c r="P3695">
        <v>3.8</v>
      </c>
      <c r="Q3695">
        <v>0.76</v>
      </c>
    </row>
    <row r="3696" spans="1:17" x14ac:dyDescent="0.25">
      <c r="A3696">
        <v>732624</v>
      </c>
      <c r="B3696" t="s">
        <v>5008</v>
      </c>
      <c r="C3696" t="s">
        <v>78</v>
      </c>
      <c r="D3696" t="s">
        <v>78</v>
      </c>
      <c r="E3696" t="s">
        <v>78</v>
      </c>
      <c r="F3696" t="s">
        <v>78</v>
      </c>
      <c r="G3696" t="s">
        <v>78</v>
      </c>
      <c r="H3696">
        <v>0.51</v>
      </c>
      <c r="I3696" s="1">
        <v>0</v>
      </c>
      <c r="J3696" s="1">
        <v>0</v>
      </c>
      <c r="K3696">
        <v>0</v>
      </c>
      <c r="L3696">
        <v>0.36</v>
      </c>
      <c r="M3696">
        <v>0.37</v>
      </c>
      <c r="N3696" s="1">
        <v>6900000</v>
      </c>
      <c r="O3696">
        <v>0.37</v>
      </c>
      <c r="P3696">
        <v>1.1000000000000001</v>
      </c>
      <c r="Q3696">
        <v>0.01</v>
      </c>
    </row>
    <row r="3697" spans="1:17" x14ac:dyDescent="0.25">
      <c r="A3697">
        <v>732625</v>
      </c>
      <c r="B3697" t="s">
        <v>5009</v>
      </c>
      <c r="C3697">
        <v>0.74</v>
      </c>
      <c r="D3697">
        <v>-0.05</v>
      </c>
      <c r="E3697">
        <v>0.79</v>
      </c>
      <c r="F3697">
        <v>0.8</v>
      </c>
      <c r="G3697">
        <v>0.74</v>
      </c>
      <c r="H3697">
        <v>0.77</v>
      </c>
      <c r="I3697" s="1">
        <v>467000</v>
      </c>
      <c r="J3697" s="1">
        <v>359120</v>
      </c>
      <c r="K3697">
        <v>11</v>
      </c>
      <c r="L3697">
        <v>0.73</v>
      </c>
      <c r="M3697">
        <v>0.74</v>
      </c>
      <c r="N3697" s="1">
        <v>5000000</v>
      </c>
      <c r="O3697">
        <v>0.74</v>
      </c>
      <c r="P3697">
        <v>1.27</v>
      </c>
      <c r="Q3697">
        <v>0.21</v>
      </c>
    </row>
    <row r="3698" spans="1:17" x14ac:dyDescent="0.25">
      <c r="A3698">
        <v>732626</v>
      </c>
      <c r="B3698" t="s">
        <v>5010</v>
      </c>
      <c r="C3698" t="s">
        <v>78</v>
      </c>
      <c r="D3698" t="s">
        <v>78</v>
      </c>
      <c r="E3698" t="s">
        <v>78</v>
      </c>
      <c r="F3698" t="s">
        <v>78</v>
      </c>
      <c r="G3698" t="s">
        <v>78</v>
      </c>
      <c r="H3698">
        <v>0.38</v>
      </c>
      <c r="I3698" s="1">
        <v>0</v>
      </c>
      <c r="J3698" s="1">
        <v>0</v>
      </c>
      <c r="K3698">
        <v>0</v>
      </c>
      <c r="L3698">
        <v>0.38</v>
      </c>
      <c r="M3698">
        <v>0.39</v>
      </c>
      <c r="N3698" s="1">
        <v>5000000</v>
      </c>
      <c r="O3698">
        <v>0.39</v>
      </c>
      <c r="P3698">
        <v>0.9</v>
      </c>
      <c r="Q3698">
        <v>0.01</v>
      </c>
    </row>
    <row r="3699" spans="1:17" x14ac:dyDescent="0.25">
      <c r="A3699">
        <v>732627</v>
      </c>
      <c r="B3699" t="s">
        <v>5011</v>
      </c>
      <c r="C3699">
        <v>0.51</v>
      </c>
      <c r="D3699">
        <v>-0.01</v>
      </c>
      <c r="E3699">
        <v>0.53</v>
      </c>
      <c r="F3699">
        <v>0.54</v>
      </c>
      <c r="G3699">
        <v>0.51</v>
      </c>
      <c r="H3699">
        <v>0.52</v>
      </c>
      <c r="I3699" s="1">
        <v>258000</v>
      </c>
      <c r="J3699" s="1">
        <v>134690</v>
      </c>
      <c r="K3699">
        <v>7</v>
      </c>
      <c r="L3699">
        <v>0.5</v>
      </c>
      <c r="M3699">
        <v>0.51</v>
      </c>
      <c r="N3699" s="1">
        <v>5000000</v>
      </c>
      <c r="O3699">
        <v>0.51</v>
      </c>
      <c r="P3699">
        <v>1.01</v>
      </c>
      <c r="Q3699">
        <v>0.01</v>
      </c>
    </row>
    <row r="3700" spans="1:17" x14ac:dyDescent="0.25">
      <c r="A3700">
        <v>732628</v>
      </c>
      <c r="B3700" t="s">
        <v>5012</v>
      </c>
      <c r="C3700">
        <v>1.88</v>
      </c>
      <c r="D3700">
        <v>0.11</v>
      </c>
      <c r="E3700">
        <v>1.75</v>
      </c>
      <c r="F3700">
        <v>1.88</v>
      </c>
      <c r="G3700">
        <v>1.75</v>
      </c>
      <c r="H3700">
        <v>1.87</v>
      </c>
      <c r="I3700" s="1">
        <v>241000</v>
      </c>
      <c r="J3700" s="1">
        <v>449700</v>
      </c>
      <c r="K3700">
        <v>4</v>
      </c>
      <c r="L3700">
        <v>1.72</v>
      </c>
      <c r="M3700">
        <v>1.82</v>
      </c>
      <c r="N3700" s="1">
        <v>5000000</v>
      </c>
      <c r="O3700">
        <v>1.88</v>
      </c>
      <c r="P3700">
        <v>2.86</v>
      </c>
      <c r="Q3700">
        <v>0.9</v>
      </c>
    </row>
    <row r="3701" spans="1:17" x14ac:dyDescent="0.25">
      <c r="A3701">
        <v>732629</v>
      </c>
      <c r="B3701" t="s">
        <v>5013</v>
      </c>
      <c r="C3701">
        <v>2.73</v>
      </c>
      <c r="D3701">
        <v>-0.28999999999999998</v>
      </c>
      <c r="E3701">
        <v>2.83</v>
      </c>
      <c r="F3701">
        <v>2.83</v>
      </c>
      <c r="G3701">
        <v>2.73</v>
      </c>
      <c r="H3701">
        <v>2.81</v>
      </c>
      <c r="I3701" s="1">
        <v>17000</v>
      </c>
      <c r="J3701" s="1">
        <v>47750</v>
      </c>
      <c r="K3701">
        <v>7</v>
      </c>
      <c r="L3701">
        <v>2.8</v>
      </c>
      <c r="M3701">
        <v>2.86</v>
      </c>
      <c r="N3701" s="1">
        <v>10000000</v>
      </c>
      <c r="O3701">
        <v>2.73</v>
      </c>
      <c r="P3701">
        <v>3.89</v>
      </c>
      <c r="Q3701">
        <v>1.57</v>
      </c>
    </row>
    <row r="3702" spans="1:17" x14ac:dyDescent="0.25">
      <c r="A3702">
        <v>732630</v>
      </c>
      <c r="B3702" t="s">
        <v>5014</v>
      </c>
      <c r="C3702" t="s">
        <v>78</v>
      </c>
      <c r="D3702" t="s">
        <v>78</v>
      </c>
      <c r="E3702" t="s">
        <v>78</v>
      </c>
      <c r="F3702" t="s">
        <v>78</v>
      </c>
      <c r="G3702" t="s">
        <v>78</v>
      </c>
      <c r="H3702">
        <v>0.55000000000000004</v>
      </c>
      <c r="I3702" s="1">
        <v>0</v>
      </c>
      <c r="J3702" s="1">
        <v>0</v>
      </c>
      <c r="K3702">
        <v>0</v>
      </c>
      <c r="L3702">
        <v>0.54</v>
      </c>
      <c r="M3702">
        <v>0.56000000000000005</v>
      </c>
      <c r="N3702" s="1">
        <v>5000000</v>
      </c>
      <c r="O3702">
        <v>0.55000000000000004</v>
      </c>
      <c r="P3702">
        <v>1.32</v>
      </c>
      <c r="Q3702">
        <v>0.01</v>
      </c>
    </row>
    <row r="3703" spans="1:17" x14ac:dyDescent="0.25">
      <c r="A3703">
        <v>732631</v>
      </c>
      <c r="B3703" t="s">
        <v>5015</v>
      </c>
      <c r="C3703" t="s">
        <v>78</v>
      </c>
      <c r="D3703" t="s">
        <v>78</v>
      </c>
      <c r="E3703" t="s">
        <v>78</v>
      </c>
      <c r="F3703" t="s">
        <v>78</v>
      </c>
      <c r="G3703" t="s">
        <v>78</v>
      </c>
      <c r="H3703">
        <v>0.16</v>
      </c>
      <c r="I3703" s="1">
        <v>0</v>
      </c>
      <c r="J3703" s="1">
        <v>0</v>
      </c>
      <c r="K3703">
        <v>0</v>
      </c>
      <c r="L3703">
        <v>0.14000000000000001</v>
      </c>
      <c r="M3703">
        <v>0.16</v>
      </c>
      <c r="N3703" s="1">
        <v>10000000</v>
      </c>
      <c r="O3703">
        <v>0.16</v>
      </c>
      <c r="P3703">
        <v>0.5</v>
      </c>
      <c r="Q3703">
        <v>0.01</v>
      </c>
    </row>
    <row r="3704" spans="1:17" x14ac:dyDescent="0.25">
      <c r="A3704">
        <v>732632</v>
      </c>
      <c r="B3704" t="s">
        <v>5016</v>
      </c>
      <c r="C3704">
        <v>0.56000000000000005</v>
      </c>
      <c r="D3704">
        <v>0.12</v>
      </c>
      <c r="E3704">
        <v>0.5</v>
      </c>
      <c r="F3704">
        <v>0.56000000000000005</v>
      </c>
      <c r="G3704">
        <v>0.5</v>
      </c>
      <c r="H3704">
        <v>0.52</v>
      </c>
      <c r="I3704" s="1">
        <v>1535000</v>
      </c>
      <c r="J3704" s="1">
        <v>797880</v>
      </c>
      <c r="K3704">
        <v>22</v>
      </c>
      <c r="L3704">
        <v>0.57999999999999996</v>
      </c>
      <c r="M3704">
        <v>0.6</v>
      </c>
      <c r="N3704" s="1">
        <v>10000000</v>
      </c>
      <c r="O3704">
        <v>0.56000000000000005</v>
      </c>
      <c r="P3704">
        <v>1</v>
      </c>
      <c r="Q3704">
        <v>0.12</v>
      </c>
    </row>
    <row r="3705" spans="1:17" x14ac:dyDescent="0.25">
      <c r="A3705">
        <v>732633</v>
      </c>
      <c r="B3705" t="s">
        <v>5017</v>
      </c>
      <c r="C3705">
        <v>0.82</v>
      </c>
      <c r="D3705">
        <v>0.02</v>
      </c>
      <c r="E3705">
        <v>0.82</v>
      </c>
      <c r="F3705">
        <v>0.82</v>
      </c>
      <c r="G3705">
        <v>0.82</v>
      </c>
      <c r="H3705">
        <v>0.82</v>
      </c>
      <c r="I3705" s="1">
        <v>17000</v>
      </c>
      <c r="J3705" s="1">
        <v>13940</v>
      </c>
      <c r="K3705">
        <v>2</v>
      </c>
      <c r="L3705">
        <v>0.8</v>
      </c>
      <c r="M3705">
        <v>0.81</v>
      </c>
      <c r="N3705" s="1">
        <v>10000000</v>
      </c>
      <c r="O3705">
        <v>0.82</v>
      </c>
      <c r="P3705">
        <v>1.56</v>
      </c>
      <c r="Q3705">
        <v>0.08</v>
      </c>
    </row>
    <row r="3706" spans="1:17" x14ac:dyDescent="0.25">
      <c r="A3706">
        <v>732634</v>
      </c>
      <c r="B3706" t="s">
        <v>5018</v>
      </c>
      <c r="C3706" t="s">
        <v>78</v>
      </c>
      <c r="D3706" t="s">
        <v>78</v>
      </c>
      <c r="E3706" t="s">
        <v>78</v>
      </c>
      <c r="F3706" t="s">
        <v>78</v>
      </c>
      <c r="G3706" t="s">
        <v>78</v>
      </c>
      <c r="H3706">
        <v>0.4</v>
      </c>
      <c r="I3706" s="1">
        <v>0</v>
      </c>
      <c r="J3706" s="1">
        <v>0</v>
      </c>
      <c r="K3706">
        <v>0</v>
      </c>
      <c r="L3706">
        <v>0.37</v>
      </c>
      <c r="M3706">
        <v>0.38</v>
      </c>
      <c r="N3706" s="1">
        <v>5000000</v>
      </c>
      <c r="O3706">
        <v>0.38</v>
      </c>
      <c r="P3706">
        <v>0.98</v>
      </c>
      <c r="Q3706">
        <v>0.01</v>
      </c>
    </row>
    <row r="3707" spans="1:17" x14ac:dyDescent="0.25">
      <c r="A3707">
        <v>732635</v>
      </c>
      <c r="B3707" t="s">
        <v>5019</v>
      </c>
      <c r="C3707" t="s">
        <v>78</v>
      </c>
      <c r="D3707" t="s">
        <v>78</v>
      </c>
      <c r="E3707" t="s">
        <v>78</v>
      </c>
      <c r="F3707" t="s">
        <v>78</v>
      </c>
      <c r="G3707" t="s">
        <v>78</v>
      </c>
      <c r="H3707">
        <v>1.34</v>
      </c>
      <c r="I3707" s="1">
        <v>0</v>
      </c>
      <c r="J3707" s="1">
        <v>0</v>
      </c>
      <c r="K3707">
        <v>0</v>
      </c>
      <c r="L3707">
        <v>1.21</v>
      </c>
      <c r="M3707">
        <v>1.22</v>
      </c>
      <c r="N3707" s="1">
        <v>10000000</v>
      </c>
      <c r="O3707">
        <v>1.22</v>
      </c>
      <c r="P3707">
        <v>2.2000000000000002</v>
      </c>
      <c r="Q3707">
        <v>0.24</v>
      </c>
    </row>
    <row r="3708" spans="1:17" x14ac:dyDescent="0.25">
      <c r="A3708">
        <v>732636</v>
      </c>
      <c r="B3708" t="s">
        <v>5020</v>
      </c>
      <c r="C3708">
        <v>1.08</v>
      </c>
      <c r="D3708">
        <v>0.02</v>
      </c>
      <c r="E3708">
        <v>1.1000000000000001</v>
      </c>
      <c r="F3708">
        <v>1.1000000000000001</v>
      </c>
      <c r="G3708">
        <v>1.08</v>
      </c>
      <c r="H3708">
        <v>1.0900000000000001</v>
      </c>
      <c r="I3708" s="1">
        <v>257000</v>
      </c>
      <c r="J3708" s="1">
        <v>279230</v>
      </c>
      <c r="K3708">
        <v>7</v>
      </c>
      <c r="L3708">
        <v>1.05</v>
      </c>
      <c r="M3708">
        <v>1.06</v>
      </c>
      <c r="N3708" s="1">
        <v>10000000</v>
      </c>
      <c r="O3708">
        <v>1.08</v>
      </c>
      <c r="P3708">
        <v>2.09</v>
      </c>
      <c r="Q3708">
        <v>7.0000000000000007E-2</v>
      </c>
    </row>
    <row r="3709" spans="1:17" x14ac:dyDescent="0.25">
      <c r="A3709">
        <v>732637</v>
      </c>
      <c r="B3709" t="s">
        <v>5021</v>
      </c>
      <c r="C3709">
        <v>1.25</v>
      </c>
      <c r="D3709">
        <v>-0.01</v>
      </c>
      <c r="E3709">
        <v>1.31</v>
      </c>
      <c r="F3709">
        <v>1.31</v>
      </c>
      <c r="G3709">
        <v>1.25</v>
      </c>
      <c r="H3709">
        <v>1.3</v>
      </c>
      <c r="I3709" s="1">
        <v>168000</v>
      </c>
      <c r="J3709" s="1">
        <v>217850</v>
      </c>
      <c r="K3709">
        <v>5</v>
      </c>
      <c r="L3709">
        <v>1.23</v>
      </c>
      <c r="M3709">
        <v>1.24</v>
      </c>
      <c r="N3709" s="1">
        <v>10000000</v>
      </c>
      <c r="O3709">
        <v>1.25</v>
      </c>
      <c r="P3709">
        <v>1.88</v>
      </c>
      <c r="Q3709">
        <v>0.62</v>
      </c>
    </row>
    <row r="3710" spans="1:17" x14ac:dyDescent="0.25">
      <c r="A3710">
        <v>732638</v>
      </c>
      <c r="B3710" t="s">
        <v>5022</v>
      </c>
      <c r="C3710">
        <v>0.9</v>
      </c>
      <c r="D3710">
        <v>0.31</v>
      </c>
      <c r="E3710">
        <v>0.77</v>
      </c>
      <c r="F3710">
        <v>0.9</v>
      </c>
      <c r="G3710">
        <v>0.73</v>
      </c>
      <c r="H3710">
        <v>0.81</v>
      </c>
      <c r="I3710" s="1">
        <v>1662000</v>
      </c>
      <c r="J3710" s="1">
        <v>1342380</v>
      </c>
      <c r="K3710">
        <v>42</v>
      </c>
      <c r="L3710">
        <v>0.85</v>
      </c>
      <c r="M3710">
        <v>0.95</v>
      </c>
      <c r="N3710" s="1">
        <v>5000000</v>
      </c>
      <c r="O3710">
        <v>0.9</v>
      </c>
      <c r="P3710">
        <v>1.67</v>
      </c>
      <c r="Q3710">
        <v>0.13</v>
      </c>
    </row>
    <row r="3711" spans="1:17" x14ac:dyDescent="0.25">
      <c r="A3711">
        <v>732639</v>
      </c>
      <c r="B3711" t="s">
        <v>5023</v>
      </c>
      <c r="C3711">
        <v>0.41</v>
      </c>
      <c r="D3711">
        <v>-0.02</v>
      </c>
      <c r="E3711">
        <v>0.45</v>
      </c>
      <c r="F3711">
        <v>0.45</v>
      </c>
      <c r="G3711">
        <v>0.41</v>
      </c>
      <c r="H3711">
        <v>0.42</v>
      </c>
      <c r="I3711" s="1">
        <v>760000</v>
      </c>
      <c r="J3711" s="1">
        <v>318600</v>
      </c>
      <c r="K3711">
        <v>19</v>
      </c>
      <c r="L3711">
        <v>0.4</v>
      </c>
      <c r="M3711">
        <v>0.41</v>
      </c>
      <c r="N3711" s="1">
        <v>7000000</v>
      </c>
      <c r="O3711">
        <v>0.41</v>
      </c>
      <c r="P3711">
        <v>1.17</v>
      </c>
      <c r="Q3711">
        <v>0.01</v>
      </c>
    </row>
    <row r="3712" spans="1:17" x14ac:dyDescent="0.25">
      <c r="A3712">
        <v>732640</v>
      </c>
      <c r="B3712" t="s">
        <v>5024</v>
      </c>
      <c r="C3712" t="s">
        <v>78</v>
      </c>
      <c r="D3712" t="s">
        <v>78</v>
      </c>
      <c r="E3712" t="s">
        <v>78</v>
      </c>
      <c r="F3712" t="s">
        <v>78</v>
      </c>
      <c r="G3712" t="s">
        <v>78</v>
      </c>
      <c r="H3712">
        <v>0.38</v>
      </c>
      <c r="I3712" s="1">
        <v>0</v>
      </c>
      <c r="J3712" s="1">
        <v>0</v>
      </c>
      <c r="K3712">
        <v>0</v>
      </c>
      <c r="L3712">
        <v>0.36</v>
      </c>
      <c r="M3712">
        <v>0.37</v>
      </c>
      <c r="N3712" s="1">
        <v>5000000</v>
      </c>
      <c r="O3712">
        <v>0.37</v>
      </c>
      <c r="P3712">
        <v>0.97</v>
      </c>
      <c r="Q3712">
        <v>0.01</v>
      </c>
    </row>
    <row r="3713" spans="1:17" x14ac:dyDescent="0.25">
      <c r="A3713">
        <v>732641</v>
      </c>
      <c r="B3713" t="s">
        <v>5025</v>
      </c>
      <c r="C3713">
        <v>3.11</v>
      </c>
      <c r="D3713">
        <v>-0.74</v>
      </c>
      <c r="E3713">
        <v>3.21</v>
      </c>
      <c r="F3713">
        <v>3.21</v>
      </c>
      <c r="G3713">
        <v>3.11</v>
      </c>
      <c r="H3713">
        <v>3.17</v>
      </c>
      <c r="I3713" s="1">
        <v>5000</v>
      </c>
      <c r="J3713" s="1">
        <v>15850</v>
      </c>
      <c r="K3713">
        <v>2</v>
      </c>
      <c r="L3713">
        <v>3.23</v>
      </c>
      <c r="M3713">
        <v>3.33</v>
      </c>
      <c r="N3713" s="1">
        <v>10000000</v>
      </c>
      <c r="O3713">
        <v>3.11</v>
      </c>
      <c r="P3713">
        <v>4.3</v>
      </c>
      <c r="Q3713">
        <v>1.92</v>
      </c>
    </row>
    <row r="3714" spans="1:17" x14ac:dyDescent="0.25">
      <c r="A3714">
        <v>732642</v>
      </c>
      <c r="B3714" t="s">
        <v>5026</v>
      </c>
      <c r="C3714">
        <v>1.08</v>
      </c>
      <c r="D3714">
        <v>0.2</v>
      </c>
      <c r="E3714">
        <v>0.88</v>
      </c>
      <c r="F3714">
        <v>1.1200000000000001</v>
      </c>
      <c r="G3714">
        <v>0.88</v>
      </c>
      <c r="H3714">
        <v>0.98</v>
      </c>
      <c r="I3714" s="1">
        <v>2800000</v>
      </c>
      <c r="J3714" s="1">
        <v>2754270</v>
      </c>
      <c r="K3714">
        <v>56</v>
      </c>
      <c r="L3714">
        <v>1.07</v>
      </c>
      <c r="M3714">
        <v>1.08</v>
      </c>
      <c r="N3714" s="1">
        <v>10000000</v>
      </c>
      <c r="O3714">
        <v>1.08</v>
      </c>
      <c r="P3714">
        <v>1.74</v>
      </c>
      <c r="Q3714">
        <v>0.42</v>
      </c>
    </row>
    <row r="3715" spans="1:17" x14ac:dyDescent="0.25">
      <c r="A3715">
        <v>732643</v>
      </c>
      <c r="B3715" t="s">
        <v>5027</v>
      </c>
      <c r="C3715" t="s">
        <v>78</v>
      </c>
      <c r="D3715" t="s">
        <v>78</v>
      </c>
      <c r="E3715" t="s">
        <v>78</v>
      </c>
      <c r="F3715" t="s">
        <v>78</v>
      </c>
      <c r="G3715" t="s">
        <v>78</v>
      </c>
      <c r="H3715">
        <v>0.68</v>
      </c>
      <c r="I3715" s="1">
        <v>0</v>
      </c>
      <c r="J3715" s="1">
        <v>0</v>
      </c>
      <c r="K3715">
        <v>0</v>
      </c>
      <c r="L3715">
        <v>0.47</v>
      </c>
      <c r="M3715">
        <v>0.49</v>
      </c>
      <c r="N3715" s="1">
        <v>5000000</v>
      </c>
      <c r="O3715">
        <v>0.47</v>
      </c>
      <c r="P3715">
        <v>1.3</v>
      </c>
      <c r="Q3715">
        <v>0.01</v>
      </c>
    </row>
    <row r="3716" spans="1:17" x14ac:dyDescent="0.25">
      <c r="A3716">
        <v>732644</v>
      </c>
      <c r="B3716" t="s">
        <v>5028</v>
      </c>
      <c r="C3716" t="s">
        <v>78</v>
      </c>
      <c r="D3716" t="s">
        <v>78</v>
      </c>
      <c r="E3716" t="s">
        <v>78</v>
      </c>
      <c r="F3716" t="s">
        <v>78</v>
      </c>
      <c r="G3716" t="s">
        <v>78</v>
      </c>
      <c r="H3716">
        <v>0.37</v>
      </c>
      <c r="I3716" s="1">
        <v>0</v>
      </c>
      <c r="J3716" s="1">
        <v>0</v>
      </c>
      <c r="K3716">
        <v>0</v>
      </c>
      <c r="L3716">
        <v>0.36</v>
      </c>
      <c r="M3716">
        <v>0.37</v>
      </c>
      <c r="N3716" s="1">
        <v>5000000</v>
      </c>
      <c r="O3716">
        <v>0.37</v>
      </c>
      <c r="P3716">
        <v>0.82</v>
      </c>
      <c r="Q3716">
        <v>0.01</v>
      </c>
    </row>
    <row r="3717" spans="1:17" x14ac:dyDescent="0.25">
      <c r="A3717">
        <v>732645</v>
      </c>
      <c r="B3717" t="s">
        <v>5029</v>
      </c>
      <c r="C3717">
        <v>0.82</v>
      </c>
      <c r="D3717">
        <v>0</v>
      </c>
      <c r="E3717">
        <v>0.8</v>
      </c>
      <c r="F3717">
        <v>0.83</v>
      </c>
      <c r="G3717">
        <v>0.8</v>
      </c>
      <c r="H3717">
        <v>0.82</v>
      </c>
      <c r="I3717" s="1">
        <v>318000</v>
      </c>
      <c r="J3717" s="1">
        <v>261720</v>
      </c>
      <c r="K3717">
        <v>8</v>
      </c>
      <c r="L3717">
        <v>0.81</v>
      </c>
      <c r="M3717">
        <v>0.82</v>
      </c>
      <c r="N3717" s="1">
        <v>5000000</v>
      </c>
      <c r="O3717">
        <v>0.82</v>
      </c>
      <c r="P3717">
        <v>1.66</v>
      </c>
      <c r="Q3717">
        <v>0.01</v>
      </c>
    </row>
    <row r="3718" spans="1:17" x14ac:dyDescent="0.25">
      <c r="A3718">
        <v>732646</v>
      </c>
      <c r="B3718" t="s">
        <v>5030</v>
      </c>
      <c r="C3718">
        <v>0.12</v>
      </c>
      <c r="D3718">
        <v>-0.02</v>
      </c>
      <c r="E3718">
        <v>0.12</v>
      </c>
      <c r="F3718">
        <v>0.12</v>
      </c>
      <c r="G3718">
        <v>0.12</v>
      </c>
      <c r="H3718">
        <v>0.12</v>
      </c>
      <c r="I3718" s="1">
        <v>207000</v>
      </c>
      <c r="J3718" s="1">
        <v>24840</v>
      </c>
      <c r="K3718">
        <v>1</v>
      </c>
      <c r="L3718">
        <v>0.12</v>
      </c>
      <c r="M3718">
        <v>0.13</v>
      </c>
      <c r="N3718" s="1">
        <v>5000000</v>
      </c>
      <c r="O3718">
        <v>0.12</v>
      </c>
      <c r="P3718">
        <v>0.69</v>
      </c>
      <c r="Q3718">
        <v>0.01</v>
      </c>
    </row>
    <row r="3719" spans="1:17" x14ac:dyDescent="0.25">
      <c r="A3719">
        <v>732647</v>
      </c>
      <c r="B3719" t="s">
        <v>5031</v>
      </c>
      <c r="C3719">
        <v>0.3</v>
      </c>
      <c r="D3719">
        <v>-0.01</v>
      </c>
      <c r="E3719">
        <v>0.32</v>
      </c>
      <c r="F3719">
        <v>0.32</v>
      </c>
      <c r="G3719">
        <v>0.3</v>
      </c>
      <c r="H3719">
        <v>0.3</v>
      </c>
      <c r="I3719" s="1">
        <v>412000</v>
      </c>
      <c r="J3719" s="1">
        <v>125640</v>
      </c>
      <c r="K3719">
        <v>8</v>
      </c>
      <c r="L3719">
        <v>0.28999999999999998</v>
      </c>
      <c r="M3719">
        <v>0.3</v>
      </c>
      <c r="N3719" s="1">
        <v>5000000</v>
      </c>
      <c r="O3719">
        <v>0.3</v>
      </c>
      <c r="P3719">
        <v>0.76</v>
      </c>
      <c r="Q3719">
        <v>0.01</v>
      </c>
    </row>
    <row r="3720" spans="1:17" x14ac:dyDescent="0.25">
      <c r="A3720">
        <v>732648</v>
      </c>
      <c r="B3720" t="s">
        <v>5032</v>
      </c>
      <c r="C3720">
        <v>0.46</v>
      </c>
      <c r="D3720">
        <v>0</v>
      </c>
      <c r="E3720">
        <v>0.45</v>
      </c>
      <c r="F3720">
        <v>0.46</v>
      </c>
      <c r="G3720">
        <v>0.45</v>
      </c>
      <c r="H3720">
        <v>0.45</v>
      </c>
      <c r="I3720" s="1">
        <v>115000</v>
      </c>
      <c r="J3720" s="1">
        <v>51800</v>
      </c>
      <c r="K3720">
        <v>3</v>
      </c>
      <c r="L3720">
        <v>0.42</v>
      </c>
      <c r="M3720">
        <v>0.43</v>
      </c>
      <c r="N3720" s="1">
        <v>10000000</v>
      </c>
      <c r="O3720">
        <v>0.46</v>
      </c>
      <c r="P3720">
        <v>1.77</v>
      </c>
      <c r="Q3720">
        <v>0.01</v>
      </c>
    </row>
    <row r="3721" spans="1:17" x14ac:dyDescent="0.25">
      <c r="A3721">
        <v>732649</v>
      </c>
      <c r="B3721" t="s">
        <v>5033</v>
      </c>
      <c r="C3721" t="s">
        <v>78</v>
      </c>
      <c r="D3721" t="s">
        <v>78</v>
      </c>
      <c r="E3721" t="s">
        <v>78</v>
      </c>
      <c r="F3721" t="s">
        <v>78</v>
      </c>
      <c r="G3721" t="s">
        <v>78</v>
      </c>
      <c r="H3721">
        <v>0.35</v>
      </c>
      <c r="I3721" s="1">
        <v>0</v>
      </c>
      <c r="J3721" s="1">
        <v>0</v>
      </c>
      <c r="K3721">
        <v>0</v>
      </c>
      <c r="L3721">
        <v>0.32</v>
      </c>
      <c r="M3721">
        <v>0.33</v>
      </c>
      <c r="N3721" s="1">
        <v>5000000</v>
      </c>
      <c r="O3721">
        <v>0.33</v>
      </c>
      <c r="P3721">
        <v>0.93</v>
      </c>
      <c r="Q3721">
        <v>0.01</v>
      </c>
    </row>
    <row r="3722" spans="1:17" x14ac:dyDescent="0.25">
      <c r="A3722">
        <v>732650</v>
      </c>
      <c r="B3722" t="s">
        <v>5034</v>
      </c>
      <c r="C3722" t="s">
        <v>78</v>
      </c>
      <c r="D3722" t="s">
        <v>78</v>
      </c>
      <c r="E3722" t="s">
        <v>78</v>
      </c>
      <c r="F3722" t="s">
        <v>78</v>
      </c>
      <c r="G3722" t="s">
        <v>78</v>
      </c>
      <c r="H3722">
        <v>0.4</v>
      </c>
      <c r="I3722" s="1">
        <v>0</v>
      </c>
      <c r="J3722" s="1">
        <v>0</v>
      </c>
      <c r="K3722">
        <v>0</v>
      </c>
      <c r="L3722">
        <v>0.14000000000000001</v>
      </c>
      <c r="M3722">
        <v>0.19</v>
      </c>
      <c r="N3722" s="1">
        <v>5000000</v>
      </c>
      <c r="O3722">
        <v>0.18</v>
      </c>
      <c r="P3722">
        <v>0.73</v>
      </c>
      <c r="Q3722">
        <v>0.01</v>
      </c>
    </row>
    <row r="3723" spans="1:17" x14ac:dyDescent="0.25">
      <c r="A3723">
        <v>732651</v>
      </c>
      <c r="B3723" t="s">
        <v>5035</v>
      </c>
      <c r="C3723">
        <v>1.1499999999999999</v>
      </c>
      <c r="D3723">
        <v>0.02</v>
      </c>
      <c r="E3723">
        <v>1.1100000000000001</v>
      </c>
      <c r="F3723">
        <v>1.17</v>
      </c>
      <c r="G3723">
        <v>1.05</v>
      </c>
      <c r="H3723">
        <v>1.1299999999999999</v>
      </c>
      <c r="I3723" s="1">
        <v>975000</v>
      </c>
      <c r="J3723" s="1">
        <v>1099130</v>
      </c>
      <c r="K3723">
        <v>40</v>
      </c>
      <c r="L3723">
        <v>1.1499999999999999</v>
      </c>
      <c r="M3723">
        <v>1.17</v>
      </c>
      <c r="N3723" s="1">
        <v>5000000</v>
      </c>
      <c r="O3723">
        <v>1.1499999999999999</v>
      </c>
      <c r="P3723">
        <v>2.02</v>
      </c>
      <c r="Q3723">
        <v>0.28000000000000003</v>
      </c>
    </row>
    <row r="3724" spans="1:17" x14ac:dyDescent="0.25">
      <c r="A3724">
        <v>732652</v>
      </c>
      <c r="B3724" t="s">
        <v>5036</v>
      </c>
      <c r="C3724">
        <v>1.51</v>
      </c>
      <c r="D3724">
        <v>-0.08</v>
      </c>
      <c r="E3724">
        <v>1.66</v>
      </c>
      <c r="F3724">
        <v>1.68</v>
      </c>
      <c r="G3724">
        <v>1.51</v>
      </c>
      <c r="H3724">
        <v>1.64</v>
      </c>
      <c r="I3724" s="1">
        <v>292000</v>
      </c>
      <c r="J3724" s="1">
        <v>478740</v>
      </c>
      <c r="K3724">
        <v>35</v>
      </c>
      <c r="L3724">
        <v>1.48</v>
      </c>
      <c r="M3724">
        <v>1.51</v>
      </c>
      <c r="N3724" s="1">
        <v>10000000</v>
      </c>
      <c r="O3724">
        <v>1.51</v>
      </c>
      <c r="P3724">
        <v>2.69</v>
      </c>
      <c r="Q3724">
        <v>0.33</v>
      </c>
    </row>
    <row r="3725" spans="1:17" x14ac:dyDescent="0.25">
      <c r="A3725">
        <v>732653</v>
      </c>
      <c r="B3725" t="s">
        <v>5037</v>
      </c>
      <c r="C3725">
        <v>0.53</v>
      </c>
      <c r="D3725">
        <v>0</v>
      </c>
      <c r="E3725">
        <v>0.53</v>
      </c>
      <c r="F3725">
        <v>0.53</v>
      </c>
      <c r="G3725">
        <v>0.53</v>
      </c>
      <c r="H3725">
        <v>0.53</v>
      </c>
      <c r="I3725" s="1">
        <v>5000</v>
      </c>
      <c r="J3725" s="1">
        <v>2650</v>
      </c>
      <c r="K3725">
        <v>1</v>
      </c>
      <c r="L3725">
        <v>0.52</v>
      </c>
      <c r="M3725">
        <v>0.53</v>
      </c>
      <c r="N3725" s="1">
        <v>5000000</v>
      </c>
      <c r="O3725">
        <v>0.53</v>
      </c>
      <c r="P3725">
        <v>0.98</v>
      </c>
      <c r="Q3725">
        <v>0.08</v>
      </c>
    </row>
    <row r="3726" spans="1:17" x14ac:dyDescent="0.25">
      <c r="A3726">
        <v>732654</v>
      </c>
      <c r="B3726" t="s">
        <v>5038</v>
      </c>
      <c r="C3726">
        <v>1.63</v>
      </c>
      <c r="D3726">
        <v>-0.06</v>
      </c>
      <c r="E3726">
        <v>1.83</v>
      </c>
      <c r="F3726">
        <v>1.83</v>
      </c>
      <c r="G3726">
        <v>1.56</v>
      </c>
      <c r="H3726">
        <v>1.59</v>
      </c>
      <c r="I3726" s="1">
        <v>60000</v>
      </c>
      <c r="J3726" s="1">
        <v>95500</v>
      </c>
      <c r="K3726">
        <v>7</v>
      </c>
      <c r="L3726">
        <v>1.45</v>
      </c>
      <c r="M3726">
        <v>1.55</v>
      </c>
      <c r="N3726" s="1">
        <v>5000000</v>
      </c>
      <c r="O3726">
        <v>1.63</v>
      </c>
      <c r="P3726">
        <v>2.75</v>
      </c>
      <c r="Q3726">
        <v>0.51</v>
      </c>
    </row>
    <row r="3727" spans="1:17" x14ac:dyDescent="0.25">
      <c r="A3727">
        <v>732655</v>
      </c>
      <c r="B3727" t="s">
        <v>5039</v>
      </c>
      <c r="C3727">
        <v>0.66</v>
      </c>
      <c r="D3727">
        <v>-0.03</v>
      </c>
      <c r="E3727">
        <v>0.68</v>
      </c>
      <c r="F3727">
        <v>0.69</v>
      </c>
      <c r="G3727">
        <v>0.65</v>
      </c>
      <c r="H3727">
        <v>0.67</v>
      </c>
      <c r="I3727" s="1">
        <v>166000</v>
      </c>
      <c r="J3727" s="1">
        <v>110600</v>
      </c>
      <c r="K3727">
        <v>6</v>
      </c>
      <c r="L3727">
        <v>0.63</v>
      </c>
      <c r="M3727">
        <v>0.64</v>
      </c>
      <c r="N3727" s="1">
        <v>5000000</v>
      </c>
      <c r="O3727">
        <v>0.66</v>
      </c>
      <c r="P3727">
        <v>1.34</v>
      </c>
      <c r="Q3727">
        <v>0.01</v>
      </c>
    </row>
    <row r="3728" spans="1:17" x14ac:dyDescent="0.25">
      <c r="A3728">
        <v>732656</v>
      </c>
      <c r="B3728" t="s">
        <v>5040</v>
      </c>
      <c r="C3728">
        <v>0.6</v>
      </c>
      <c r="D3728">
        <v>-0.02</v>
      </c>
      <c r="E3728">
        <v>0.63</v>
      </c>
      <c r="F3728">
        <v>0.63</v>
      </c>
      <c r="G3728">
        <v>0.6</v>
      </c>
      <c r="H3728">
        <v>0.62</v>
      </c>
      <c r="I3728" s="1">
        <v>310000</v>
      </c>
      <c r="J3728" s="1">
        <v>192300</v>
      </c>
      <c r="K3728">
        <v>7</v>
      </c>
      <c r="L3728">
        <v>0.6</v>
      </c>
      <c r="M3728">
        <v>0.61</v>
      </c>
      <c r="N3728" s="1">
        <v>10000000</v>
      </c>
      <c r="O3728">
        <v>0.6</v>
      </c>
      <c r="P3728">
        <v>1.1100000000000001</v>
      </c>
      <c r="Q3728">
        <v>0.09</v>
      </c>
    </row>
    <row r="3729" spans="1:17" x14ac:dyDescent="0.25">
      <c r="A3729">
        <v>732657</v>
      </c>
      <c r="B3729" t="s">
        <v>5041</v>
      </c>
      <c r="C3729">
        <v>1.03</v>
      </c>
      <c r="D3729">
        <v>-0.01</v>
      </c>
      <c r="E3729">
        <v>1.1399999999999999</v>
      </c>
      <c r="F3729">
        <v>1.1399999999999999</v>
      </c>
      <c r="G3729">
        <v>1.03</v>
      </c>
      <c r="H3729">
        <v>1.0900000000000001</v>
      </c>
      <c r="I3729" s="1">
        <v>849000</v>
      </c>
      <c r="J3729" s="1">
        <v>923140</v>
      </c>
      <c r="K3729">
        <v>35</v>
      </c>
      <c r="L3729">
        <v>1.02</v>
      </c>
      <c r="M3729">
        <v>1.03</v>
      </c>
      <c r="N3729" s="1">
        <v>10000000</v>
      </c>
      <c r="O3729">
        <v>1.03</v>
      </c>
      <c r="P3729">
        <v>2</v>
      </c>
      <c r="Q3729">
        <v>0.05</v>
      </c>
    </row>
    <row r="3730" spans="1:17" x14ac:dyDescent="0.25">
      <c r="A3730">
        <v>732658</v>
      </c>
      <c r="B3730" t="s">
        <v>5042</v>
      </c>
      <c r="C3730">
        <v>1.4</v>
      </c>
      <c r="D3730">
        <v>0.02</v>
      </c>
      <c r="E3730">
        <v>1.38</v>
      </c>
      <c r="F3730">
        <v>1.47</v>
      </c>
      <c r="G3730">
        <v>1.38</v>
      </c>
      <c r="H3730">
        <v>1.43</v>
      </c>
      <c r="I3730" s="1">
        <v>815000</v>
      </c>
      <c r="J3730" s="1">
        <v>1166280</v>
      </c>
      <c r="K3730">
        <v>34</v>
      </c>
      <c r="L3730">
        <v>1.36</v>
      </c>
      <c r="M3730">
        <v>1.4</v>
      </c>
      <c r="N3730" s="1">
        <v>10000000</v>
      </c>
      <c r="O3730">
        <v>1.4</v>
      </c>
      <c r="P3730">
        <v>1.96</v>
      </c>
      <c r="Q3730">
        <v>0.84</v>
      </c>
    </row>
    <row r="3731" spans="1:17" x14ac:dyDescent="0.25">
      <c r="A3731">
        <v>732659</v>
      </c>
      <c r="B3731" t="s">
        <v>5043</v>
      </c>
      <c r="C3731">
        <v>2.52</v>
      </c>
      <c r="D3731">
        <v>0.01</v>
      </c>
      <c r="E3731">
        <v>2.68</v>
      </c>
      <c r="F3731">
        <v>2.68</v>
      </c>
      <c r="G3731">
        <v>2.52</v>
      </c>
      <c r="H3731">
        <v>2.6</v>
      </c>
      <c r="I3731" s="1">
        <v>100000</v>
      </c>
      <c r="J3731" s="1">
        <v>260000</v>
      </c>
      <c r="K3731">
        <v>3</v>
      </c>
      <c r="L3731">
        <v>2.4700000000000002</v>
      </c>
      <c r="M3731">
        <v>2.5</v>
      </c>
      <c r="N3731" s="1">
        <v>5000000</v>
      </c>
      <c r="O3731">
        <v>2.52</v>
      </c>
      <c r="P3731">
        <v>3.34</v>
      </c>
      <c r="Q3731">
        <v>1.7</v>
      </c>
    </row>
    <row r="3732" spans="1:17" x14ac:dyDescent="0.25">
      <c r="A3732">
        <v>732660</v>
      </c>
      <c r="B3732" t="s">
        <v>5044</v>
      </c>
      <c r="C3732">
        <v>2.34</v>
      </c>
      <c r="D3732">
        <v>7.0000000000000007E-2</v>
      </c>
      <c r="E3732">
        <v>2.3199999999999998</v>
      </c>
      <c r="F3732">
        <v>2.36</v>
      </c>
      <c r="G3732">
        <v>2.3199999999999998</v>
      </c>
      <c r="H3732">
        <v>2.35</v>
      </c>
      <c r="I3732" s="1">
        <v>35000</v>
      </c>
      <c r="J3732" s="1">
        <v>82180</v>
      </c>
      <c r="K3732">
        <v>3</v>
      </c>
      <c r="L3732">
        <v>2.23</v>
      </c>
      <c r="M3732">
        <v>2.25</v>
      </c>
      <c r="N3732" s="1">
        <v>5000000</v>
      </c>
      <c r="O3732">
        <v>2.34</v>
      </c>
      <c r="P3732">
        <v>2.99</v>
      </c>
      <c r="Q3732">
        <v>1.69</v>
      </c>
    </row>
    <row r="3733" spans="1:17" x14ac:dyDescent="0.25">
      <c r="A3733">
        <v>732661</v>
      </c>
      <c r="B3733" t="s">
        <v>5045</v>
      </c>
      <c r="C3733" t="s">
        <v>78</v>
      </c>
      <c r="D3733" t="s">
        <v>78</v>
      </c>
      <c r="E3733" t="s">
        <v>78</v>
      </c>
      <c r="F3733" t="s">
        <v>78</v>
      </c>
      <c r="G3733" t="s">
        <v>78</v>
      </c>
      <c r="H3733">
        <v>3.06</v>
      </c>
      <c r="I3733" s="1">
        <v>0</v>
      </c>
      <c r="J3733" s="1">
        <v>0</v>
      </c>
      <c r="K3733">
        <v>0</v>
      </c>
      <c r="L3733">
        <v>2.16</v>
      </c>
      <c r="M3733">
        <v>2.2599999999999998</v>
      </c>
      <c r="N3733" s="1">
        <v>5000000</v>
      </c>
      <c r="O3733">
        <v>2.2599999999999998</v>
      </c>
      <c r="P3733">
        <v>3.1</v>
      </c>
      <c r="Q3733">
        <v>1.42</v>
      </c>
    </row>
    <row r="3734" spans="1:17" x14ac:dyDescent="0.25">
      <c r="A3734">
        <v>732662</v>
      </c>
      <c r="B3734" t="s">
        <v>5046</v>
      </c>
      <c r="C3734">
        <v>0.95</v>
      </c>
      <c r="D3734">
        <v>-0.09</v>
      </c>
      <c r="E3734">
        <v>0.99</v>
      </c>
      <c r="F3734">
        <v>1.04</v>
      </c>
      <c r="G3734">
        <v>0.94</v>
      </c>
      <c r="H3734">
        <v>0.96</v>
      </c>
      <c r="I3734" s="1">
        <v>382000</v>
      </c>
      <c r="J3734" s="1">
        <v>368200</v>
      </c>
      <c r="K3734">
        <v>14</v>
      </c>
      <c r="L3734">
        <v>0.94</v>
      </c>
      <c r="M3734">
        <v>0.95</v>
      </c>
      <c r="N3734" s="1">
        <v>5000000</v>
      </c>
      <c r="O3734">
        <v>0.95</v>
      </c>
      <c r="P3734">
        <v>2.87</v>
      </c>
      <c r="Q3734">
        <v>0.01</v>
      </c>
    </row>
    <row r="3735" spans="1:17" x14ac:dyDescent="0.25">
      <c r="A3735">
        <v>732663</v>
      </c>
      <c r="B3735" t="s">
        <v>5047</v>
      </c>
      <c r="C3735" t="s">
        <v>78</v>
      </c>
      <c r="D3735" t="s">
        <v>78</v>
      </c>
      <c r="E3735" t="s">
        <v>78</v>
      </c>
      <c r="F3735" t="s">
        <v>78</v>
      </c>
      <c r="G3735" t="s">
        <v>78</v>
      </c>
      <c r="H3735">
        <v>0.73</v>
      </c>
      <c r="I3735" s="1">
        <v>0</v>
      </c>
      <c r="J3735" s="1">
        <v>0</v>
      </c>
      <c r="K3735">
        <v>0</v>
      </c>
      <c r="L3735">
        <v>0.68</v>
      </c>
      <c r="M3735">
        <v>0.69</v>
      </c>
      <c r="N3735" s="1">
        <v>10000000</v>
      </c>
      <c r="O3735">
        <v>0.69</v>
      </c>
      <c r="P3735">
        <v>1.25</v>
      </c>
      <c r="Q3735">
        <v>0.13</v>
      </c>
    </row>
    <row r="3736" spans="1:17" x14ac:dyDescent="0.25">
      <c r="A3736">
        <v>732664</v>
      </c>
      <c r="B3736" t="s">
        <v>5048</v>
      </c>
      <c r="C3736" t="s">
        <v>78</v>
      </c>
      <c r="D3736" t="s">
        <v>78</v>
      </c>
      <c r="E3736" t="s">
        <v>78</v>
      </c>
      <c r="F3736" t="s">
        <v>78</v>
      </c>
      <c r="G3736" t="s">
        <v>78</v>
      </c>
      <c r="H3736">
        <v>0.37</v>
      </c>
      <c r="I3736" s="1">
        <v>0</v>
      </c>
      <c r="J3736" s="1">
        <v>0</v>
      </c>
      <c r="K3736">
        <v>0</v>
      </c>
      <c r="L3736">
        <v>0.36</v>
      </c>
      <c r="M3736">
        <v>0.37</v>
      </c>
      <c r="N3736" s="1">
        <v>10000000</v>
      </c>
      <c r="O3736">
        <v>0.37</v>
      </c>
      <c r="P3736">
        <v>1.07</v>
      </c>
      <c r="Q3736">
        <v>0.01</v>
      </c>
    </row>
    <row r="3737" spans="1:17" x14ac:dyDescent="0.25">
      <c r="A3737">
        <v>732665</v>
      </c>
      <c r="B3737" t="s">
        <v>5049</v>
      </c>
      <c r="C3737">
        <v>0.32</v>
      </c>
      <c r="D3737">
        <v>0</v>
      </c>
      <c r="E3737">
        <v>0.31</v>
      </c>
      <c r="F3737">
        <v>0.32</v>
      </c>
      <c r="G3737">
        <v>0.31</v>
      </c>
      <c r="H3737">
        <v>0.31</v>
      </c>
      <c r="I3737" s="1">
        <v>434000</v>
      </c>
      <c r="J3737" s="1">
        <v>135920</v>
      </c>
      <c r="K3737">
        <v>3</v>
      </c>
      <c r="L3737">
        <v>0.31</v>
      </c>
      <c r="M3737">
        <v>0.32</v>
      </c>
      <c r="N3737" s="1">
        <v>5000000</v>
      </c>
      <c r="O3737">
        <v>0.32</v>
      </c>
      <c r="P3737">
        <v>1.22</v>
      </c>
      <c r="Q3737">
        <v>0.01</v>
      </c>
    </row>
    <row r="3738" spans="1:17" x14ac:dyDescent="0.25">
      <c r="A3738">
        <v>732666</v>
      </c>
      <c r="B3738" t="s">
        <v>5050</v>
      </c>
      <c r="C3738">
        <v>0.44</v>
      </c>
      <c r="D3738">
        <v>0.04</v>
      </c>
      <c r="E3738">
        <v>0.45</v>
      </c>
      <c r="F3738">
        <v>0.48</v>
      </c>
      <c r="G3738">
        <v>0.44</v>
      </c>
      <c r="H3738">
        <v>0.46</v>
      </c>
      <c r="I3738" s="1">
        <v>224000</v>
      </c>
      <c r="J3738" s="1">
        <v>103660</v>
      </c>
      <c r="K3738">
        <v>7</v>
      </c>
      <c r="L3738">
        <v>0.43</v>
      </c>
      <c r="M3738">
        <v>0.44</v>
      </c>
      <c r="N3738" s="1">
        <v>10000000</v>
      </c>
      <c r="O3738">
        <v>0.44</v>
      </c>
      <c r="P3738">
        <v>1.43</v>
      </c>
      <c r="Q3738">
        <v>0.01</v>
      </c>
    </row>
    <row r="3739" spans="1:17" x14ac:dyDescent="0.25">
      <c r="A3739">
        <v>732667</v>
      </c>
      <c r="B3739" t="s">
        <v>5051</v>
      </c>
      <c r="C3739">
        <v>1.18</v>
      </c>
      <c r="D3739">
        <v>7.0000000000000007E-2</v>
      </c>
      <c r="E3739">
        <v>1.1499999999999999</v>
      </c>
      <c r="F3739">
        <v>1.18</v>
      </c>
      <c r="G3739">
        <v>1.1499999999999999</v>
      </c>
      <c r="H3739">
        <v>1.1599999999999999</v>
      </c>
      <c r="I3739" s="1">
        <v>110000</v>
      </c>
      <c r="J3739" s="1">
        <v>127800</v>
      </c>
      <c r="K3739">
        <v>4</v>
      </c>
      <c r="L3739">
        <v>1.07</v>
      </c>
      <c r="M3739">
        <v>1.08</v>
      </c>
      <c r="N3739" s="1">
        <v>10000000</v>
      </c>
      <c r="O3739">
        <v>1.18</v>
      </c>
      <c r="P3739">
        <v>1.85</v>
      </c>
      <c r="Q3739">
        <v>0.51</v>
      </c>
    </row>
    <row r="3740" spans="1:17" x14ac:dyDescent="0.25">
      <c r="A3740">
        <v>732668</v>
      </c>
      <c r="B3740" t="s">
        <v>5052</v>
      </c>
      <c r="C3740">
        <v>1.73</v>
      </c>
      <c r="D3740">
        <v>0.26</v>
      </c>
      <c r="E3740">
        <v>1.61</v>
      </c>
      <c r="F3740">
        <v>1.73</v>
      </c>
      <c r="G3740">
        <v>1.61</v>
      </c>
      <c r="H3740">
        <v>1.66</v>
      </c>
      <c r="I3740" s="1">
        <v>80000</v>
      </c>
      <c r="J3740" s="1">
        <v>133000</v>
      </c>
      <c r="K3740">
        <v>7</v>
      </c>
      <c r="L3740">
        <v>1.49</v>
      </c>
      <c r="M3740">
        <v>1.5</v>
      </c>
      <c r="N3740" s="1">
        <v>10000000</v>
      </c>
      <c r="O3740">
        <v>1.73</v>
      </c>
      <c r="P3740">
        <v>2.68</v>
      </c>
      <c r="Q3740">
        <v>0.78</v>
      </c>
    </row>
    <row r="3741" spans="1:17" x14ac:dyDescent="0.25">
      <c r="A3741">
        <v>732669</v>
      </c>
      <c r="B3741" t="s">
        <v>5053</v>
      </c>
      <c r="C3741">
        <v>1.97</v>
      </c>
      <c r="D3741">
        <v>-0.19</v>
      </c>
      <c r="E3741">
        <v>2.1800000000000002</v>
      </c>
      <c r="F3741">
        <v>2.19</v>
      </c>
      <c r="G3741">
        <v>1.97</v>
      </c>
      <c r="H3741">
        <v>2.17</v>
      </c>
      <c r="I3741" s="1">
        <v>50000</v>
      </c>
      <c r="J3741" s="1">
        <v>108520</v>
      </c>
      <c r="K3741">
        <v>6</v>
      </c>
      <c r="L3741">
        <v>1.95</v>
      </c>
      <c r="M3741">
        <v>1.96</v>
      </c>
      <c r="N3741" s="1">
        <v>5000000</v>
      </c>
      <c r="O3741">
        <v>1.97</v>
      </c>
      <c r="P3741">
        <v>2.95</v>
      </c>
      <c r="Q3741">
        <v>0.99</v>
      </c>
    </row>
    <row r="3742" spans="1:17" x14ac:dyDescent="0.25">
      <c r="A3742">
        <v>732670</v>
      </c>
      <c r="B3742" t="s">
        <v>5054</v>
      </c>
      <c r="C3742">
        <v>0.71</v>
      </c>
      <c r="D3742">
        <v>0.05</v>
      </c>
      <c r="E3742">
        <v>0.7</v>
      </c>
      <c r="F3742">
        <v>0.76</v>
      </c>
      <c r="G3742">
        <v>0.67</v>
      </c>
      <c r="H3742">
        <v>0.69</v>
      </c>
      <c r="I3742" s="1">
        <v>114000</v>
      </c>
      <c r="J3742" s="1">
        <v>79140</v>
      </c>
      <c r="K3742">
        <v>7</v>
      </c>
      <c r="L3742">
        <v>0.71</v>
      </c>
      <c r="M3742">
        <v>0.72</v>
      </c>
      <c r="N3742" s="1">
        <v>10000000</v>
      </c>
      <c r="O3742">
        <v>0.71</v>
      </c>
      <c r="P3742">
        <v>1.95</v>
      </c>
      <c r="Q3742">
        <v>0.01</v>
      </c>
    </row>
    <row r="3743" spans="1:17" x14ac:dyDescent="0.25">
      <c r="A3743">
        <v>732671</v>
      </c>
      <c r="B3743" t="s">
        <v>5055</v>
      </c>
      <c r="C3743">
        <v>0.43</v>
      </c>
      <c r="D3743">
        <v>-0.02</v>
      </c>
      <c r="E3743">
        <v>0.49</v>
      </c>
      <c r="F3743">
        <v>0.49</v>
      </c>
      <c r="G3743">
        <v>0.43</v>
      </c>
      <c r="H3743">
        <v>0.48</v>
      </c>
      <c r="I3743" s="1">
        <v>284000</v>
      </c>
      <c r="J3743" s="1">
        <v>134920</v>
      </c>
      <c r="K3743">
        <v>9</v>
      </c>
      <c r="L3743">
        <v>0.37</v>
      </c>
      <c r="M3743">
        <v>0.38</v>
      </c>
      <c r="N3743" s="1">
        <v>10000000</v>
      </c>
      <c r="O3743">
        <v>0.43</v>
      </c>
      <c r="P3743">
        <v>1.31</v>
      </c>
      <c r="Q3743">
        <v>0.01</v>
      </c>
    </row>
    <row r="3744" spans="1:17" x14ac:dyDescent="0.25">
      <c r="A3744">
        <v>732672</v>
      </c>
      <c r="B3744" t="s">
        <v>5056</v>
      </c>
      <c r="C3744">
        <v>1.82</v>
      </c>
      <c r="D3744">
        <v>-0.08</v>
      </c>
      <c r="E3744">
        <v>1.82</v>
      </c>
      <c r="F3744">
        <v>1.82</v>
      </c>
      <c r="G3744">
        <v>1.82</v>
      </c>
      <c r="H3744">
        <v>1.82</v>
      </c>
      <c r="I3744" s="1">
        <v>5000</v>
      </c>
      <c r="J3744" s="1">
        <v>9100</v>
      </c>
      <c r="K3744">
        <v>2</v>
      </c>
      <c r="L3744">
        <v>1.79</v>
      </c>
      <c r="M3744">
        <v>1.8</v>
      </c>
      <c r="N3744" s="1">
        <v>5000000</v>
      </c>
      <c r="O3744">
        <v>1.82</v>
      </c>
      <c r="P3744">
        <v>4.1900000000000004</v>
      </c>
      <c r="Q3744">
        <v>0.01</v>
      </c>
    </row>
    <row r="3745" spans="1:17" x14ac:dyDescent="0.25">
      <c r="A3745">
        <v>732673</v>
      </c>
      <c r="B3745" t="s">
        <v>5057</v>
      </c>
      <c r="C3745" t="s">
        <v>78</v>
      </c>
      <c r="D3745" t="s">
        <v>78</v>
      </c>
      <c r="E3745" t="s">
        <v>78</v>
      </c>
      <c r="F3745" t="s">
        <v>78</v>
      </c>
      <c r="G3745" t="s">
        <v>78</v>
      </c>
      <c r="H3745">
        <v>0.65</v>
      </c>
      <c r="I3745" s="1">
        <v>0</v>
      </c>
      <c r="J3745" s="1">
        <v>0</v>
      </c>
      <c r="K3745">
        <v>0</v>
      </c>
      <c r="L3745">
        <v>0.59</v>
      </c>
      <c r="M3745">
        <v>0.6</v>
      </c>
      <c r="N3745" s="1">
        <v>5000000</v>
      </c>
      <c r="O3745">
        <v>0.6</v>
      </c>
      <c r="P3745">
        <v>1.74</v>
      </c>
      <c r="Q3745">
        <v>0.01</v>
      </c>
    </row>
    <row r="3746" spans="1:17" x14ac:dyDescent="0.25">
      <c r="A3746">
        <v>732674</v>
      </c>
      <c r="B3746" t="s">
        <v>5058</v>
      </c>
      <c r="C3746">
        <v>0.51</v>
      </c>
      <c r="D3746">
        <v>-0.04</v>
      </c>
      <c r="E3746">
        <v>0.53</v>
      </c>
      <c r="F3746">
        <v>0.54</v>
      </c>
      <c r="G3746">
        <v>0.49</v>
      </c>
      <c r="H3746">
        <v>0.5</v>
      </c>
      <c r="I3746" s="1">
        <v>670000</v>
      </c>
      <c r="J3746" s="1">
        <v>337400</v>
      </c>
      <c r="K3746">
        <v>13</v>
      </c>
      <c r="L3746">
        <v>0.5</v>
      </c>
      <c r="M3746">
        <v>0.51</v>
      </c>
      <c r="N3746" s="1">
        <v>10000000</v>
      </c>
      <c r="O3746">
        <v>0.51</v>
      </c>
      <c r="P3746">
        <v>1.66</v>
      </c>
      <c r="Q3746">
        <v>0.01</v>
      </c>
    </row>
    <row r="3747" spans="1:17" x14ac:dyDescent="0.25">
      <c r="A3747">
        <v>732675</v>
      </c>
      <c r="B3747" t="s">
        <v>5059</v>
      </c>
      <c r="C3747" t="s">
        <v>78</v>
      </c>
      <c r="D3747" t="s">
        <v>78</v>
      </c>
      <c r="E3747" t="s">
        <v>78</v>
      </c>
      <c r="F3747" t="s">
        <v>78</v>
      </c>
      <c r="G3747" t="s">
        <v>78</v>
      </c>
      <c r="H3747">
        <v>0.71</v>
      </c>
      <c r="I3747" s="1">
        <v>0</v>
      </c>
      <c r="J3747" s="1">
        <v>0</v>
      </c>
      <c r="K3747">
        <v>0</v>
      </c>
      <c r="L3747">
        <v>0.69</v>
      </c>
      <c r="M3747">
        <v>0.7</v>
      </c>
      <c r="N3747" s="1">
        <v>10000000</v>
      </c>
      <c r="O3747">
        <v>0.7</v>
      </c>
      <c r="P3747">
        <v>1.75</v>
      </c>
      <c r="Q3747">
        <v>0.01</v>
      </c>
    </row>
    <row r="3748" spans="1:17" x14ac:dyDescent="0.25">
      <c r="A3748">
        <v>732676</v>
      </c>
      <c r="B3748" t="s">
        <v>5060</v>
      </c>
      <c r="C3748">
        <v>0.95</v>
      </c>
      <c r="D3748">
        <v>-0.06</v>
      </c>
      <c r="E3748">
        <v>1.1499999999999999</v>
      </c>
      <c r="F3748">
        <v>1.17</v>
      </c>
      <c r="G3748">
        <v>0.95</v>
      </c>
      <c r="H3748">
        <v>1.1299999999999999</v>
      </c>
      <c r="I3748" s="1">
        <v>156000</v>
      </c>
      <c r="J3748" s="1">
        <v>175590</v>
      </c>
      <c r="K3748">
        <v>18</v>
      </c>
      <c r="L3748">
        <v>0.94</v>
      </c>
      <c r="M3748">
        <v>0.96</v>
      </c>
      <c r="N3748" s="1">
        <v>10000000</v>
      </c>
      <c r="O3748">
        <v>0.95</v>
      </c>
      <c r="P3748">
        <v>1.91</v>
      </c>
      <c r="Q3748">
        <v>0.01</v>
      </c>
    </row>
    <row r="3749" spans="1:17" x14ac:dyDescent="0.25">
      <c r="A3749">
        <v>732677</v>
      </c>
      <c r="B3749" t="s">
        <v>5061</v>
      </c>
      <c r="C3749">
        <v>3.13</v>
      </c>
      <c r="D3749">
        <v>-0.19</v>
      </c>
      <c r="E3749">
        <v>3.21</v>
      </c>
      <c r="F3749">
        <v>3.21</v>
      </c>
      <c r="G3749">
        <v>3.13</v>
      </c>
      <c r="H3749">
        <v>3.18</v>
      </c>
      <c r="I3749" s="1">
        <v>32000</v>
      </c>
      <c r="J3749" s="1">
        <v>101920</v>
      </c>
      <c r="K3749">
        <v>2</v>
      </c>
      <c r="L3749">
        <v>3.13</v>
      </c>
      <c r="M3749">
        <v>3.19</v>
      </c>
      <c r="N3749" s="1">
        <v>10000000</v>
      </c>
      <c r="O3749">
        <v>3.13</v>
      </c>
      <c r="P3749">
        <v>4.87</v>
      </c>
      <c r="Q3749">
        <v>1.39</v>
      </c>
    </row>
    <row r="3750" spans="1:17" x14ac:dyDescent="0.25">
      <c r="A3750">
        <v>732678</v>
      </c>
      <c r="B3750" t="s">
        <v>5062</v>
      </c>
      <c r="C3750" t="s">
        <v>78</v>
      </c>
      <c r="D3750" t="s">
        <v>78</v>
      </c>
      <c r="E3750" t="s">
        <v>78</v>
      </c>
      <c r="F3750" t="s">
        <v>78</v>
      </c>
      <c r="G3750" t="s">
        <v>78</v>
      </c>
      <c r="H3750">
        <v>0.43</v>
      </c>
      <c r="I3750" s="1">
        <v>0</v>
      </c>
      <c r="J3750" s="1">
        <v>0</v>
      </c>
      <c r="K3750">
        <v>0</v>
      </c>
      <c r="L3750">
        <v>0.38</v>
      </c>
      <c r="M3750">
        <v>0.39</v>
      </c>
      <c r="N3750" s="1">
        <v>10000000</v>
      </c>
      <c r="O3750">
        <v>0.39</v>
      </c>
      <c r="P3750">
        <v>1.1100000000000001</v>
      </c>
      <c r="Q3750">
        <v>0.01</v>
      </c>
    </row>
    <row r="3751" spans="1:17" x14ac:dyDescent="0.25">
      <c r="A3751">
        <v>732679</v>
      </c>
      <c r="B3751" t="s">
        <v>5063</v>
      </c>
      <c r="C3751">
        <v>0.9</v>
      </c>
      <c r="D3751">
        <v>-0.03</v>
      </c>
      <c r="E3751">
        <v>0.98</v>
      </c>
      <c r="F3751">
        <v>0.98</v>
      </c>
      <c r="G3751">
        <v>0.89</v>
      </c>
      <c r="H3751">
        <v>0.93</v>
      </c>
      <c r="I3751" s="1">
        <v>212000</v>
      </c>
      <c r="J3751" s="1">
        <v>196680</v>
      </c>
      <c r="K3751">
        <v>14</v>
      </c>
      <c r="L3751">
        <v>0.86</v>
      </c>
      <c r="M3751">
        <v>0.87</v>
      </c>
      <c r="N3751" s="1">
        <v>5000000</v>
      </c>
      <c r="O3751">
        <v>0.9</v>
      </c>
      <c r="P3751">
        <v>1.69</v>
      </c>
      <c r="Q3751">
        <v>0.11</v>
      </c>
    </row>
    <row r="3752" spans="1:17" x14ac:dyDescent="0.25">
      <c r="A3752">
        <v>732680</v>
      </c>
      <c r="B3752" t="s">
        <v>5064</v>
      </c>
      <c r="C3752" t="s">
        <v>78</v>
      </c>
      <c r="D3752" t="s">
        <v>78</v>
      </c>
      <c r="E3752" t="s">
        <v>78</v>
      </c>
      <c r="F3752" t="s">
        <v>78</v>
      </c>
      <c r="G3752" t="s">
        <v>78</v>
      </c>
      <c r="H3752">
        <v>0.22</v>
      </c>
      <c r="I3752" s="1">
        <v>0</v>
      </c>
      <c r="J3752" s="1">
        <v>0</v>
      </c>
      <c r="K3752">
        <v>0</v>
      </c>
      <c r="L3752">
        <v>0.21</v>
      </c>
      <c r="M3752">
        <v>0.22</v>
      </c>
      <c r="N3752" s="1">
        <v>5000000</v>
      </c>
      <c r="O3752">
        <v>0.22</v>
      </c>
      <c r="P3752">
        <v>0.98</v>
      </c>
      <c r="Q3752">
        <v>0.01</v>
      </c>
    </row>
    <row r="3753" spans="1:17" x14ac:dyDescent="0.25">
      <c r="A3753">
        <v>732681</v>
      </c>
      <c r="B3753" t="s">
        <v>5065</v>
      </c>
      <c r="C3753">
        <v>0.42</v>
      </c>
      <c r="D3753">
        <v>0.04</v>
      </c>
      <c r="E3753">
        <v>0.42</v>
      </c>
      <c r="F3753">
        <v>0.42</v>
      </c>
      <c r="G3753">
        <v>0.42</v>
      </c>
      <c r="H3753">
        <v>0.42</v>
      </c>
      <c r="I3753" s="1">
        <v>215000</v>
      </c>
      <c r="J3753" s="1">
        <v>90300</v>
      </c>
      <c r="K3753">
        <v>2</v>
      </c>
      <c r="L3753">
        <v>0.41</v>
      </c>
      <c r="M3753">
        <v>0.42</v>
      </c>
      <c r="N3753" s="1">
        <v>10000000</v>
      </c>
      <c r="O3753">
        <v>0.42</v>
      </c>
      <c r="P3753">
        <v>1.37</v>
      </c>
      <c r="Q3753">
        <v>0.01</v>
      </c>
    </row>
    <row r="3754" spans="1:17" x14ac:dyDescent="0.25">
      <c r="A3754">
        <v>732682</v>
      </c>
      <c r="B3754" t="s">
        <v>5066</v>
      </c>
      <c r="C3754" t="s">
        <v>78</v>
      </c>
      <c r="D3754" t="s">
        <v>78</v>
      </c>
      <c r="E3754" t="s">
        <v>78</v>
      </c>
      <c r="F3754" t="s">
        <v>78</v>
      </c>
      <c r="G3754" t="s">
        <v>78</v>
      </c>
      <c r="H3754">
        <v>0.3</v>
      </c>
      <c r="I3754" s="1">
        <v>0</v>
      </c>
      <c r="J3754" s="1">
        <v>0</v>
      </c>
      <c r="K3754">
        <v>0</v>
      </c>
      <c r="L3754">
        <v>0.27</v>
      </c>
      <c r="M3754">
        <v>0.28000000000000003</v>
      </c>
      <c r="N3754" s="1">
        <v>10000000</v>
      </c>
      <c r="O3754">
        <v>0.28000000000000003</v>
      </c>
      <c r="P3754">
        <v>1.19</v>
      </c>
      <c r="Q3754">
        <v>0.01</v>
      </c>
    </row>
    <row r="3755" spans="1:17" x14ac:dyDescent="0.25">
      <c r="A3755">
        <v>732683</v>
      </c>
      <c r="B3755" t="s">
        <v>5067</v>
      </c>
      <c r="C3755" t="s">
        <v>78</v>
      </c>
      <c r="D3755" t="s">
        <v>78</v>
      </c>
      <c r="E3755" t="s">
        <v>78</v>
      </c>
      <c r="F3755" t="s">
        <v>78</v>
      </c>
      <c r="G3755" t="s">
        <v>78</v>
      </c>
      <c r="H3755">
        <v>0.43</v>
      </c>
      <c r="I3755" s="1">
        <v>0</v>
      </c>
      <c r="J3755" s="1">
        <v>0</v>
      </c>
      <c r="K3755">
        <v>0</v>
      </c>
      <c r="L3755">
        <v>7.0000000000000007E-2</v>
      </c>
      <c r="M3755">
        <v>0.08</v>
      </c>
      <c r="N3755" s="1">
        <v>10000000</v>
      </c>
      <c r="O3755">
        <v>0.08</v>
      </c>
      <c r="P3755">
        <v>1.74</v>
      </c>
      <c r="Q3755">
        <v>0.01</v>
      </c>
    </row>
    <row r="3756" spans="1:17" x14ac:dyDescent="0.25">
      <c r="A3756">
        <v>732684</v>
      </c>
      <c r="B3756" t="s">
        <v>5068</v>
      </c>
      <c r="C3756">
        <v>0.75</v>
      </c>
      <c r="D3756">
        <v>0</v>
      </c>
      <c r="E3756">
        <v>0.77</v>
      </c>
      <c r="F3756">
        <v>0.82</v>
      </c>
      <c r="G3756">
        <v>0.75</v>
      </c>
      <c r="H3756">
        <v>0.78</v>
      </c>
      <c r="I3756" s="1">
        <v>949000</v>
      </c>
      <c r="J3756" s="1">
        <v>739840</v>
      </c>
      <c r="K3756">
        <v>26</v>
      </c>
      <c r="L3756">
        <v>0.75</v>
      </c>
      <c r="M3756">
        <v>0.76</v>
      </c>
      <c r="N3756" s="1">
        <v>10000000</v>
      </c>
      <c r="O3756">
        <v>0.75</v>
      </c>
      <c r="P3756">
        <v>1.28</v>
      </c>
      <c r="Q3756">
        <v>0.22</v>
      </c>
    </row>
    <row r="3757" spans="1:17" x14ac:dyDescent="0.25">
      <c r="A3757">
        <v>732685</v>
      </c>
      <c r="B3757" t="s">
        <v>5069</v>
      </c>
      <c r="C3757">
        <v>0.74</v>
      </c>
      <c r="D3757">
        <v>0.01</v>
      </c>
      <c r="E3757">
        <v>0.72</v>
      </c>
      <c r="F3757">
        <v>0.75</v>
      </c>
      <c r="G3757">
        <v>0.72</v>
      </c>
      <c r="H3757">
        <v>0.73</v>
      </c>
      <c r="I3757" s="1">
        <v>85000</v>
      </c>
      <c r="J3757" s="1">
        <v>62400</v>
      </c>
      <c r="K3757">
        <v>7</v>
      </c>
      <c r="L3757">
        <v>0.73</v>
      </c>
      <c r="M3757">
        <v>0.74</v>
      </c>
      <c r="N3757" s="1">
        <v>5000000</v>
      </c>
      <c r="O3757">
        <v>0.74</v>
      </c>
      <c r="P3757">
        <v>1.36</v>
      </c>
      <c r="Q3757">
        <v>0.12</v>
      </c>
    </row>
    <row r="3758" spans="1:17" x14ac:dyDescent="0.25">
      <c r="A3758">
        <v>732686</v>
      </c>
      <c r="B3758" t="s">
        <v>5070</v>
      </c>
      <c r="C3758" t="s">
        <v>78</v>
      </c>
      <c r="D3758" t="s">
        <v>78</v>
      </c>
      <c r="E3758" t="s">
        <v>78</v>
      </c>
      <c r="F3758" t="s">
        <v>78</v>
      </c>
      <c r="G3758" t="s">
        <v>78</v>
      </c>
      <c r="H3758">
        <v>0.18</v>
      </c>
      <c r="I3758" s="1">
        <v>0</v>
      </c>
      <c r="J3758" s="1">
        <v>0</v>
      </c>
      <c r="K3758">
        <v>0</v>
      </c>
      <c r="L3758">
        <v>0.19</v>
      </c>
      <c r="M3758">
        <v>0.2</v>
      </c>
      <c r="N3758" s="1">
        <v>5000000</v>
      </c>
      <c r="O3758">
        <v>0.19</v>
      </c>
      <c r="P3758">
        <v>0.9</v>
      </c>
      <c r="Q3758">
        <v>0.01</v>
      </c>
    </row>
    <row r="3759" spans="1:17" x14ac:dyDescent="0.25">
      <c r="A3759">
        <v>732687</v>
      </c>
      <c r="B3759" t="s">
        <v>5071</v>
      </c>
      <c r="C3759" t="s">
        <v>78</v>
      </c>
      <c r="D3759" t="s">
        <v>78</v>
      </c>
      <c r="E3759" t="s">
        <v>78</v>
      </c>
      <c r="F3759" t="s">
        <v>78</v>
      </c>
      <c r="G3759" t="s">
        <v>78</v>
      </c>
      <c r="H3759">
        <v>0.55000000000000004</v>
      </c>
      <c r="I3759" s="1">
        <v>0</v>
      </c>
      <c r="J3759" s="1">
        <v>0</v>
      </c>
      <c r="K3759">
        <v>0</v>
      </c>
      <c r="L3759">
        <v>0.28999999999999998</v>
      </c>
      <c r="M3759">
        <v>0.3</v>
      </c>
      <c r="N3759" s="1">
        <v>5000000</v>
      </c>
      <c r="O3759">
        <v>0.28999999999999998</v>
      </c>
      <c r="P3759">
        <v>0.95</v>
      </c>
      <c r="Q3759">
        <v>0.01</v>
      </c>
    </row>
    <row r="3760" spans="1:17" x14ac:dyDescent="0.25">
      <c r="A3760">
        <v>732688</v>
      </c>
      <c r="B3760" t="s">
        <v>5072</v>
      </c>
      <c r="C3760" t="s">
        <v>78</v>
      </c>
      <c r="D3760" t="s">
        <v>78</v>
      </c>
      <c r="E3760" t="s">
        <v>78</v>
      </c>
      <c r="F3760" t="s">
        <v>78</v>
      </c>
      <c r="G3760" t="s">
        <v>78</v>
      </c>
      <c r="H3760">
        <v>0.23</v>
      </c>
      <c r="I3760" s="1">
        <v>0</v>
      </c>
      <c r="J3760" s="1">
        <v>0</v>
      </c>
      <c r="K3760">
        <v>0</v>
      </c>
      <c r="L3760">
        <v>0.25</v>
      </c>
      <c r="M3760">
        <v>0.26</v>
      </c>
      <c r="N3760" s="1">
        <v>5000000</v>
      </c>
      <c r="O3760">
        <v>0.25</v>
      </c>
      <c r="P3760">
        <v>0.97</v>
      </c>
      <c r="Q3760">
        <v>0.01</v>
      </c>
    </row>
    <row r="3761" spans="1:17" x14ac:dyDescent="0.25">
      <c r="A3761">
        <v>732689</v>
      </c>
      <c r="B3761" t="s">
        <v>5073</v>
      </c>
      <c r="C3761">
        <v>1.1000000000000001</v>
      </c>
      <c r="D3761">
        <v>0.05</v>
      </c>
      <c r="E3761">
        <v>1.2</v>
      </c>
      <c r="F3761">
        <v>1.2</v>
      </c>
      <c r="G3761">
        <v>1.07</v>
      </c>
      <c r="H3761">
        <v>1.1499999999999999</v>
      </c>
      <c r="I3761" s="1">
        <v>541000</v>
      </c>
      <c r="J3761" s="1">
        <v>620010</v>
      </c>
      <c r="K3761">
        <v>8</v>
      </c>
      <c r="L3761">
        <v>1.1499999999999999</v>
      </c>
      <c r="M3761">
        <v>1.18</v>
      </c>
      <c r="N3761" s="1">
        <v>10000000</v>
      </c>
      <c r="O3761">
        <v>1.1000000000000001</v>
      </c>
      <c r="P3761">
        <v>2.09</v>
      </c>
      <c r="Q3761">
        <v>0.11</v>
      </c>
    </row>
    <row r="3762" spans="1:17" x14ac:dyDescent="0.25">
      <c r="A3762">
        <v>732690</v>
      </c>
      <c r="B3762" t="s">
        <v>5074</v>
      </c>
      <c r="C3762">
        <v>0.56000000000000005</v>
      </c>
      <c r="D3762">
        <v>0.01</v>
      </c>
      <c r="E3762">
        <v>0.56999999999999995</v>
      </c>
      <c r="F3762">
        <v>0.56999999999999995</v>
      </c>
      <c r="G3762">
        <v>0.56000000000000005</v>
      </c>
      <c r="H3762">
        <v>0.56000000000000005</v>
      </c>
      <c r="I3762" s="1">
        <v>30000</v>
      </c>
      <c r="J3762" s="1">
        <v>16900</v>
      </c>
      <c r="K3762">
        <v>5</v>
      </c>
      <c r="L3762">
        <v>0.55000000000000004</v>
      </c>
      <c r="M3762">
        <v>0.56000000000000005</v>
      </c>
      <c r="N3762" s="1">
        <v>5127000</v>
      </c>
      <c r="O3762">
        <v>0.56000000000000005</v>
      </c>
      <c r="P3762">
        <v>1.1000000000000001</v>
      </c>
      <c r="Q3762">
        <v>0.02</v>
      </c>
    </row>
    <row r="3763" spans="1:17" x14ac:dyDescent="0.25">
      <c r="A3763">
        <v>732691</v>
      </c>
      <c r="B3763" t="s">
        <v>5075</v>
      </c>
      <c r="C3763">
        <v>2.48</v>
      </c>
      <c r="D3763">
        <v>0.31</v>
      </c>
      <c r="E3763">
        <v>2.39</v>
      </c>
      <c r="F3763">
        <v>2.48</v>
      </c>
      <c r="G3763">
        <v>2.35</v>
      </c>
      <c r="H3763">
        <v>2.36</v>
      </c>
      <c r="I3763" s="1">
        <v>177000</v>
      </c>
      <c r="J3763" s="1">
        <v>418600</v>
      </c>
      <c r="K3763">
        <v>4</v>
      </c>
      <c r="L3763">
        <v>2.39</v>
      </c>
      <c r="M3763">
        <v>2.44</v>
      </c>
      <c r="N3763" s="1">
        <v>10000000</v>
      </c>
      <c r="O3763">
        <v>2.48</v>
      </c>
      <c r="P3763">
        <v>3.85</v>
      </c>
      <c r="Q3763">
        <v>1.1100000000000001</v>
      </c>
    </row>
    <row r="3764" spans="1:17" x14ac:dyDescent="0.25">
      <c r="A3764">
        <v>732692</v>
      </c>
      <c r="B3764" t="s">
        <v>5076</v>
      </c>
      <c r="C3764">
        <v>0.64</v>
      </c>
      <c r="D3764">
        <v>0</v>
      </c>
      <c r="E3764">
        <v>0.64</v>
      </c>
      <c r="F3764">
        <v>0.64</v>
      </c>
      <c r="G3764">
        <v>0.62</v>
      </c>
      <c r="H3764">
        <v>0.64</v>
      </c>
      <c r="I3764" s="1">
        <v>34000</v>
      </c>
      <c r="J3764" s="1">
        <v>21720</v>
      </c>
      <c r="K3764">
        <v>6</v>
      </c>
      <c r="L3764">
        <v>0.63</v>
      </c>
      <c r="M3764">
        <v>0.64</v>
      </c>
      <c r="N3764" s="1">
        <v>10000000</v>
      </c>
      <c r="O3764">
        <v>0.64</v>
      </c>
      <c r="P3764">
        <v>1.05</v>
      </c>
      <c r="Q3764">
        <v>0.23</v>
      </c>
    </row>
    <row r="3765" spans="1:17" x14ac:dyDescent="0.25">
      <c r="A3765">
        <v>732693</v>
      </c>
      <c r="B3765" t="s">
        <v>5077</v>
      </c>
      <c r="C3765">
        <v>0.52</v>
      </c>
      <c r="D3765">
        <v>-0.05</v>
      </c>
      <c r="E3765">
        <v>0.56000000000000005</v>
      </c>
      <c r="F3765">
        <v>0.56000000000000005</v>
      </c>
      <c r="G3765">
        <v>0.52</v>
      </c>
      <c r="H3765">
        <v>0.54</v>
      </c>
      <c r="I3765" s="1">
        <v>288000</v>
      </c>
      <c r="J3765" s="1">
        <v>156960</v>
      </c>
      <c r="K3765">
        <v>9</v>
      </c>
      <c r="L3765">
        <v>0.51</v>
      </c>
      <c r="M3765">
        <v>0.52</v>
      </c>
      <c r="N3765" s="1">
        <v>10000000</v>
      </c>
      <c r="O3765">
        <v>0.52</v>
      </c>
      <c r="P3765">
        <v>1.26</v>
      </c>
      <c r="Q3765">
        <v>0.01</v>
      </c>
    </row>
    <row r="3766" spans="1:17" x14ac:dyDescent="0.25">
      <c r="A3766">
        <v>732694</v>
      </c>
      <c r="B3766" t="s">
        <v>5078</v>
      </c>
      <c r="C3766" t="s">
        <v>78</v>
      </c>
      <c r="D3766" t="s">
        <v>78</v>
      </c>
      <c r="E3766" t="s">
        <v>78</v>
      </c>
      <c r="F3766" t="s">
        <v>78</v>
      </c>
      <c r="G3766" t="s">
        <v>78</v>
      </c>
      <c r="H3766">
        <v>0.7</v>
      </c>
      <c r="I3766" s="1">
        <v>0</v>
      </c>
      <c r="J3766" s="1">
        <v>0</v>
      </c>
      <c r="K3766">
        <v>0</v>
      </c>
      <c r="L3766">
        <v>0.63</v>
      </c>
      <c r="M3766">
        <v>0.95</v>
      </c>
      <c r="N3766" s="1">
        <v>5000000</v>
      </c>
      <c r="O3766">
        <v>0.7</v>
      </c>
      <c r="P3766">
        <v>1.32</v>
      </c>
      <c r="Q3766">
        <v>0.08</v>
      </c>
    </row>
    <row r="3767" spans="1:17" x14ac:dyDescent="0.25">
      <c r="A3767">
        <v>732695</v>
      </c>
      <c r="B3767" t="s">
        <v>5079</v>
      </c>
      <c r="C3767" t="s">
        <v>78</v>
      </c>
      <c r="D3767" t="s">
        <v>78</v>
      </c>
      <c r="E3767" t="s">
        <v>78</v>
      </c>
      <c r="F3767" t="s">
        <v>78</v>
      </c>
      <c r="G3767" t="s">
        <v>78</v>
      </c>
      <c r="H3767">
        <v>0.55000000000000004</v>
      </c>
      <c r="I3767" s="1">
        <v>0</v>
      </c>
      <c r="J3767" s="1">
        <v>0</v>
      </c>
      <c r="K3767">
        <v>0</v>
      </c>
      <c r="L3767">
        <v>0.56000000000000005</v>
      </c>
      <c r="M3767">
        <v>0.56999999999999995</v>
      </c>
      <c r="N3767" s="1">
        <v>6862000</v>
      </c>
      <c r="O3767">
        <v>0.56999999999999995</v>
      </c>
      <c r="P3767">
        <v>2.0699999999999998</v>
      </c>
      <c r="Q3767">
        <v>0.01</v>
      </c>
    </row>
    <row r="3768" spans="1:17" x14ac:dyDescent="0.25">
      <c r="A3768">
        <v>732696</v>
      </c>
      <c r="B3768" t="s">
        <v>5080</v>
      </c>
      <c r="C3768">
        <v>0.77</v>
      </c>
      <c r="D3768">
        <v>-0.03</v>
      </c>
      <c r="E3768">
        <v>0.77</v>
      </c>
      <c r="F3768">
        <v>0.79</v>
      </c>
      <c r="G3768">
        <v>0.77</v>
      </c>
      <c r="H3768">
        <v>0.78</v>
      </c>
      <c r="I3768" s="1">
        <v>201000</v>
      </c>
      <c r="J3768" s="1">
        <v>156770</v>
      </c>
      <c r="K3768">
        <v>3</v>
      </c>
      <c r="L3768">
        <v>0.76</v>
      </c>
      <c r="M3768">
        <v>0.77</v>
      </c>
      <c r="N3768" s="1">
        <v>5171000</v>
      </c>
      <c r="O3768">
        <v>0.77</v>
      </c>
      <c r="P3768">
        <v>1.47</v>
      </c>
      <c r="Q3768">
        <v>7.0000000000000007E-2</v>
      </c>
    </row>
    <row r="3769" spans="1:17" x14ac:dyDescent="0.25">
      <c r="A3769">
        <v>732697</v>
      </c>
      <c r="B3769" t="s">
        <v>5081</v>
      </c>
      <c r="C3769">
        <v>0.72</v>
      </c>
      <c r="D3769">
        <v>-0.05</v>
      </c>
      <c r="E3769">
        <v>0.74</v>
      </c>
      <c r="F3769">
        <v>0.74</v>
      </c>
      <c r="G3769">
        <v>0.72</v>
      </c>
      <c r="H3769">
        <v>0.73</v>
      </c>
      <c r="I3769" s="1">
        <v>113000</v>
      </c>
      <c r="J3769" s="1">
        <v>82580</v>
      </c>
      <c r="K3769">
        <v>3</v>
      </c>
      <c r="L3769">
        <v>0.72</v>
      </c>
      <c r="M3769">
        <v>0.73</v>
      </c>
      <c r="N3769" s="1">
        <v>10000000</v>
      </c>
      <c r="O3769">
        <v>0.72</v>
      </c>
      <c r="P3769">
        <v>1.47</v>
      </c>
      <c r="Q3769">
        <v>0.01</v>
      </c>
    </row>
    <row r="3770" spans="1:17" x14ac:dyDescent="0.25">
      <c r="A3770">
        <v>732698</v>
      </c>
      <c r="B3770" t="s">
        <v>5082</v>
      </c>
      <c r="C3770">
        <v>0.66</v>
      </c>
      <c r="D3770">
        <v>0.01</v>
      </c>
      <c r="E3770">
        <v>0.68</v>
      </c>
      <c r="F3770">
        <v>0.68</v>
      </c>
      <c r="G3770">
        <v>0.66</v>
      </c>
      <c r="H3770">
        <v>0.68</v>
      </c>
      <c r="I3770" s="1">
        <v>31000</v>
      </c>
      <c r="J3770" s="1">
        <v>21000</v>
      </c>
      <c r="K3770">
        <v>3</v>
      </c>
      <c r="L3770">
        <v>0.65</v>
      </c>
      <c r="M3770">
        <v>0.66</v>
      </c>
      <c r="N3770" s="1">
        <v>5000000</v>
      </c>
      <c r="O3770">
        <v>0.66</v>
      </c>
      <c r="P3770">
        <v>1.1100000000000001</v>
      </c>
      <c r="Q3770">
        <v>0.21</v>
      </c>
    </row>
    <row r="3771" spans="1:17" x14ac:dyDescent="0.25">
      <c r="A3771">
        <v>732699</v>
      </c>
      <c r="B3771" t="s">
        <v>5083</v>
      </c>
      <c r="C3771">
        <v>0.41</v>
      </c>
      <c r="D3771">
        <v>-0.01</v>
      </c>
      <c r="E3771">
        <v>0.42</v>
      </c>
      <c r="F3771">
        <v>0.42</v>
      </c>
      <c r="G3771">
        <v>0.41</v>
      </c>
      <c r="H3771">
        <v>0.41</v>
      </c>
      <c r="I3771" s="1">
        <v>45000</v>
      </c>
      <c r="J3771" s="1">
        <v>18550</v>
      </c>
      <c r="K3771">
        <v>2</v>
      </c>
      <c r="L3771">
        <v>0.42</v>
      </c>
      <c r="M3771">
        <v>0.43</v>
      </c>
      <c r="N3771" s="1">
        <v>5000000</v>
      </c>
      <c r="O3771">
        <v>0.41</v>
      </c>
      <c r="P3771">
        <v>0.98</v>
      </c>
      <c r="Q3771">
        <v>0.01</v>
      </c>
    </row>
    <row r="3772" spans="1:17" x14ac:dyDescent="0.25">
      <c r="A3772">
        <v>732700</v>
      </c>
      <c r="B3772" t="s">
        <v>5084</v>
      </c>
      <c r="C3772">
        <v>3.81</v>
      </c>
      <c r="D3772">
        <v>-0.28000000000000003</v>
      </c>
      <c r="E3772">
        <v>3.81</v>
      </c>
      <c r="F3772">
        <v>3.86</v>
      </c>
      <c r="G3772">
        <v>3.81</v>
      </c>
      <c r="H3772">
        <v>3.82</v>
      </c>
      <c r="I3772" s="1">
        <v>17000</v>
      </c>
      <c r="J3772" s="1">
        <v>64950</v>
      </c>
      <c r="K3772">
        <v>4</v>
      </c>
      <c r="L3772">
        <v>3.76</v>
      </c>
      <c r="M3772">
        <v>3.81</v>
      </c>
      <c r="N3772" s="1">
        <v>5000000</v>
      </c>
      <c r="O3772">
        <v>3.81</v>
      </c>
      <c r="P3772">
        <v>5.2</v>
      </c>
      <c r="Q3772">
        <v>2.36</v>
      </c>
    </row>
    <row r="3773" spans="1:17" x14ac:dyDescent="0.25">
      <c r="A3773">
        <v>732701</v>
      </c>
      <c r="B3773" t="s">
        <v>5085</v>
      </c>
      <c r="C3773">
        <v>1.36</v>
      </c>
      <c r="D3773">
        <v>0</v>
      </c>
      <c r="E3773">
        <v>1.4</v>
      </c>
      <c r="F3773">
        <v>1.46</v>
      </c>
      <c r="G3773">
        <v>1.34</v>
      </c>
      <c r="H3773">
        <v>1.4</v>
      </c>
      <c r="I3773" s="1">
        <v>640000</v>
      </c>
      <c r="J3773" s="1">
        <v>896910</v>
      </c>
      <c r="K3773">
        <v>15</v>
      </c>
      <c r="L3773">
        <v>1.35</v>
      </c>
      <c r="M3773">
        <v>1.36</v>
      </c>
      <c r="N3773" s="1">
        <v>10000000</v>
      </c>
      <c r="O3773">
        <v>1.36</v>
      </c>
      <c r="P3773">
        <v>2.11</v>
      </c>
      <c r="Q3773">
        <v>0.61</v>
      </c>
    </row>
    <row r="3774" spans="1:17" x14ac:dyDescent="0.25">
      <c r="A3774">
        <v>732702</v>
      </c>
      <c r="B3774" t="s">
        <v>5086</v>
      </c>
      <c r="C3774">
        <v>1.05</v>
      </c>
      <c r="D3774">
        <v>-0.04</v>
      </c>
      <c r="E3774">
        <v>1.1200000000000001</v>
      </c>
      <c r="F3774">
        <v>1.1299999999999999</v>
      </c>
      <c r="G3774">
        <v>1.04</v>
      </c>
      <c r="H3774">
        <v>1.1100000000000001</v>
      </c>
      <c r="I3774" s="1">
        <v>925000</v>
      </c>
      <c r="J3774" s="1">
        <v>1024360</v>
      </c>
      <c r="K3774">
        <v>28</v>
      </c>
      <c r="L3774">
        <v>1.02</v>
      </c>
      <c r="M3774">
        <v>1.03</v>
      </c>
      <c r="N3774" s="1">
        <v>5000000</v>
      </c>
      <c r="O3774">
        <v>1.05</v>
      </c>
      <c r="P3774">
        <v>1.64</v>
      </c>
      <c r="Q3774">
        <v>0.46</v>
      </c>
    </row>
    <row r="3775" spans="1:17" x14ac:dyDescent="0.25">
      <c r="A3775">
        <v>732703</v>
      </c>
      <c r="B3775" t="s">
        <v>5087</v>
      </c>
      <c r="C3775">
        <v>1</v>
      </c>
      <c r="D3775">
        <v>-0.06</v>
      </c>
      <c r="E3775">
        <v>1.08</v>
      </c>
      <c r="F3775">
        <v>1.1200000000000001</v>
      </c>
      <c r="G3775">
        <v>1</v>
      </c>
      <c r="H3775">
        <v>1.06</v>
      </c>
      <c r="I3775" s="1">
        <v>983000</v>
      </c>
      <c r="J3775" s="1">
        <v>1040750</v>
      </c>
      <c r="K3775">
        <v>38</v>
      </c>
      <c r="L3775">
        <v>0.99</v>
      </c>
      <c r="M3775">
        <v>1</v>
      </c>
      <c r="N3775" s="1">
        <v>5000000</v>
      </c>
      <c r="O3775">
        <v>1</v>
      </c>
      <c r="P3775">
        <v>1.59</v>
      </c>
      <c r="Q3775">
        <v>0.41</v>
      </c>
    </row>
    <row r="3776" spans="1:17" x14ac:dyDescent="0.25">
      <c r="A3776">
        <v>732704</v>
      </c>
      <c r="B3776" t="s">
        <v>5088</v>
      </c>
      <c r="C3776" t="s">
        <v>78</v>
      </c>
      <c r="D3776" t="s">
        <v>78</v>
      </c>
      <c r="E3776" t="s">
        <v>78</v>
      </c>
      <c r="F3776" t="s">
        <v>78</v>
      </c>
      <c r="G3776" t="s">
        <v>78</v>
      </c>
      <c r="H3776">
        <v>0.23</v>
      </c>
      <c r="I3776" s="1">
        <v>0</v>
      </c>
      <c r="J3776" s="1">
        <v>0</v>
      </c>
      <c r="K3776">
        <v>0</v>
      </c>
      <c r="L3776">
        <v>0.22</v>
      </c>
      <c r="M3776">
        <v>0.23</v>
      </c>
      <c r="N3776" s="1">
        <v>5000000</v>
      </c>
      <c r="O3776">
        <v>0.22</v>
      </c>
      <c r="P3776">
        <v>0.77</v>
      </c>
      <c r="Q3776">
        <v>0.01</v>
      </c>
    </row>
    <row r="3777" spans="1:17" x14ac:dyDescent="0.25">
      <c r="A3777">
        <v>732705</v>
      </c>
      <c r="B3777" t="s">
        <v>5089</v>
      </c>
      <c r="C3777" t="s">
        <v>78</v>
      </c>
      <c r="D3777" t="s">
        <v>78</v>
      </c>
      <c r="E3777" t="s">
        <v>78</v>
      </c>
      <c r="F3777" t="s">
        <v>78</v>
      </c>
      <c r="G3777" t="s">
        <v>78</v>
      </c>
      <c r="H3777">
        <v>0.94</v>
      </c>
      <c r="I3777" s="1">
        <v>0</v>
      </c>
      <c r="J3777" s="1">
        <v>0</v>
      </c>
      <c r="K3777">
        <v>0</v>
      </c>
      <c r="L3777">
        <v>0.87</v>
      </c>
      <c r="M3777">
        <v>0.88</v>
      </c>
      <c r="N3777" s="1">
        <v>5000000</v>
      </c>
      <c r="O3777">
        <v>0.88</v>
      </c>
      <c r="P3777">
        <v>2.02</v>
      </c>
      <c r="Q3777">
        <v>0.01</v>
      </c>
    </row>
    <row r="3778" spans="1:17" x14ac:dyDescent="0.25">
      <c r="A3778">
        <v>732706</v>
      </c>
      <c r="B3778" t="s">
        <v>5090</v>
      </c>
      <c r="C3778">
        <v>0.35</v>
      </c>
      <c r="D3778">
        <v>0.01</v>
      </c>
      <c r="E3778">
        <v>0.36</v>
      </c>
      <c r="F3778">
        <v>0.36</v>
      </c>
      <c r="G3778">
        <v>0.35</v>
      </c>
      <c r="H3778">
        <v>0.35</v>
      </c>
      <c r="I3778" s="1">
        <v>100000</v>
      </c>
      <c r="J3778" s="1">
        <v>35350</v>
      </c>
      <c r="K3778">
        <v>2</v>
      </c>
      <c r="L3778">
        <v>0.32</v>
      </c>
      <c r="M3778">
        <v>0.33</v>
      </c>
      <c r="N3778" s="1">
        <v>5000000</v>
      </c>
      <c r="O3778">
        <v>0.35</v>
      </c>
      <c r="P3778">
        <v>1.49</v>
      </c>
      <c r="Q3778">
        <v>0.01</v>
      </c>
    </row>
    <row r="3779" spans="1:17" x14ac:dyDescent="0.25">
      <c r="A3779">
        <v>732707</v>
      </c>
      <c r="B3779" t="s">
        <v>5091</v>
      </c>
      <c r="C3779">
        <v>0.68</v>
      </c>
      <c r="D3779">
        <v>-0.03</v>
      </c>
      <c r="E3779">
        <v>0.69</v>
      </c>
      <c r="F3779">
        <v>0.69</v>
      </c>
      <c r="G3779">
        <v>0.68</v>
      </c>
      <c r="H3779">
        <v>0.69</v>
      </c>
      <c r="I3779" s="1">
        <v>455000</v>
      </c>
      <c r="J3779" s="1">
        <v>313900</v>
      </c>
      <c r="K3779">
        <v>7</v>
      </c>
      <c r="L3779">
        <v>0.69</v>
      </c>
      <c r="M3779">
        <v>0.7</v>
      </c>
      <c r="N3779" s="1">
        <v>10000000</v>
      </c>
      <c r="O3779">
        <v>0.68</v>
      </c>
      <c r="P3779">
        <v>1.46</v>
      </c>
      <c r="Q3779">
        <v>0.01</v>
      </c>
    </row>
    <row r="3780" spans="1:17" x14ac:dyDescent="0.25">
      <c r="A3780">
        <v>732708</v>
      </c>
      <c r="B3780" t="s">
        <v>5092</v>
      </c>
      <c r="C3780">
        <v>1.02</v>
      </c>
      <c r="D3780">
        <v>0.05</v>
      </c>
      <c r="E3780">
        <v>0.97</v>
      </c>
      <c r="F3780">
        <v>1.06</v>
      </c>
      <c r="G3780">
        <v>0.97</v>
      </c>
      <c r="H3780">
        <v>1.03</v>
      </c>
      <c r="I3780" s="1">
        <v>631000</v>
      </c>
      <c r="J3780" s="1">
        <v>649870</v>
      </c>
      <c r="K3780">
        <v>10</v>
      </c>
      <c r="L3780">
        <v>1.03</v>
      </c>
      <c r="M3780">
        <v>1.05</v>
      </c>
      <c r="N3780" s="1">
        <v>5000000</v>
      </c>
      <c r="O3780">
        <v>1.02</v>
      </c>
      <c r="P3780">
        <v>2.0499999999999998</v>
      </c>
      <c r="Q3780">
        <v>0.01</v>
      </c>
    </row>
    <row r="3781" spans="1:17" x14ac:dyDescent="0.25">
      <c r="A3781">
        <v>732709</v>
      </c>
      <c r="B3781" t="s">
        <v>5093</v>
      </c>
      <c r="C3781">
        <v>0.62</v>
      </c>
      <c r="D3781">
        <v>0.06</v>
      </c>
      <c r="E3781">
        <v>0.55000000000000004</v>
      </c>
      <c r="F3781">
        <v>0.63</v>
      </c>
      <c r="G3781">
        <v>0.55000000000000004</v>
      </c>
      <c r="H3781">
        <v>0.59</v>
      </c>
      <c r="I3781" s="1">
        <v>222000</v>
      </c>
      <c r="J3781" s="1">
        <v>132020</v>
      </c>
      <c r="K3781">
        <v>5</v>
      </c>
      <c r="L3781">
        <v>0.62</v>
      </c>
      <c r="M3781">
        <v>0.63</v>
      </c>
      <c r="N3781" s="1">
        <v>5000000</v>
      </c>
      <c r="O3781">
        <v>0.62</v>
      </c>
      <c r="P3781">
        <v>1.62</v>
      </c>
      <c r="Q3781">
        <v>0.01</v>
      </c>
    </row>
    <row r="3782" spans="1:17" x14ac:dyDescent="0.25">
      <c r="A3782">
        <v>732710</v>
      </c>
      <c r="B3782" t="s">
        <v>5094</v>
      </c>
      <c r="C3782">
        <v>1.08</v>
      </c>
      <c r="D3782">
        <v>0</v>
      </c>
      <c r="E3782">
        <v>1.25</v>
      </c>
      <c r="F3782">
        <v>1.26</v>
      </c>
      <c r="G3782">
        <v>1.07</v>
      </c>
      <c r="H3782">
        <v>1.19</v>
      </c>
      <c r="I3782" s="1">
        <v>1425000</v>
      </c>
      <c r="J3782" s="1">
        <v>1689150</v>
      </c>
      <c r="K3782">
        <v>31</v>
      </c>
      <c r="L3782">
        <v>1.1000000000000001</v>
      </c>
      <c r="M3782">
        <v>1.1100000000000001</v>
      </c>
      <c r="N3782" s="1">
        <v>5000000</v>
      </c>
      <c r="O3782">
        <v>1.08</v>
      </c>
      <c r="P3782">
        <v>2.69</v>
      </c>
      <c r="Q3782">
        <v>0.01</v>
      </c>
    </row>
    <row r="3783" spans="1:17" x14ac:dyDescent="0.25">
      <c r="A3783">
        <v>732711</v>
      </c>
      <c r="B3783" t="s">
        <v>5095</v>
      </c>
      <c r="C3783">
        <v>0.33</v>
      </c>
      <c r="D3783">
        <v>-0.01</v>
      </c>
      <c r="E3783">
        <v>0.33</v>
      </c>
      <c r="F3783">
        <v>0.33</v>
      </c>
      <c r="G3783">
        <v>0.33</v>
      </c>
      <c r="H3783">
        <v>0.33</v>
      </c>
      <c r="I3783" s="1">
        <v>200000</v>
      </c>
      <c r="J3783" s="1">
        <v>66000</v>
      </c>
      <c r="K3783">
        <v>2</v>
      </c>
      <c r="L3783">
        <v>0.33</v>
      </c>
      <c r="M3783">
        <v>0.34</v>
      </c>
      <c r="N3783" s="1">
        <v>5000000</v>
      </c>
      <c r="O3783">
        <v>0.33</v>
      </c>
      <c r="P3783">
        <v>1.44</v>
      </c>
      <c r="Q3783">
        <v>0.01</v>
      </c>
    </row>
    <row r="3784" spans="1:17" x14ac:dyDescent="0.25">
      <c r="A3784">
        <v>732712</v>
      </c>
      <c r="B3784" t="s">
        <v>5096</v>
      </c>
      <c r="C3784">
        <v>0.08</v>
      </c>
      <c r="D3784">
        <v>-0.01</v>
      </c>
      <c r="E3784">
        <v>0.08</v>
      </c>
      <c r="F3784">
        <v>0.08</v>
      </c>
      <c r="G3784">
        <v>0.08</v>
      </c>
      <c r="H3784">
        <v>0.08</v>
      </c>
      <c r="I3784" s="1">
        <v>180000</v>
      </c>
      <c r="J3784" s="1">
        <v>14400</v>
      </c>
      <c r="K3784">
        <v>2</v>
      </c>
      <c r="L3784">
        <v>0.08</v>
      </c>
      <c r="M3784">
        <v>0.09</v>
      </c>
      <c r="N3784" s="1">
        <v>10000000</v>
      </c>
      <c r="O3784">
        <v>0.08</v>
      </c>
      <c r="P3784">
        <v>5.85</v>
      </c>
      <c r="Q3784">
        <v>0.01</v>
      </c>
    </row>
    <row r="3785" spans="1:17" x14ac:dyDescent="0.25">
      <c r="A3785">
        <v>732713</v>
      </c>
      <c r="B3785" t="s">
        <v>5097</v>
      </c>
      <c r="C3785">
        <v>0.92</v>
      </c>
      <c r="D3785">
        <v>0</v>
      </c>
      <c r="E3785">
        <v>0.93</v>
      </c>
      <c r="F3785">
        <v>1</v>
      </c>
      <c r="G3785">
        <v>0.9</v>
      </c>
      <c r="H3785">
        <v>0.94</v>
      </c>
      <c r="I3785" s="1">
        <v>751000</v>
      </c>
      <c r="J3785" s="1">
        <v>704480</v>
      </c>
      <c r="K3785">
        <v>12</v>
      </c>
      <c r="L3785">
        <v>0.9</v>
      </c>
      <c r="M3785">
        <v>0.92</v>
      </c>
      <c r="N3785" s="1">
        <v>10000000</v>
      </c>
      <c r="O3785">
        <v>0.92</v>
      </c>
      <c r="P3785">
        <v>1.78</v>
      </c>
      <c r="Q3785">
        <v>0.06</v>
      </c>
    </row>
    <row r="3786" spans="1:17" x14ac:dyDescent="0.25">
      <c r="A3786">
        <v>732714</v>
      </c>
      <c r="B3786" t="s">
        <v>5098</v>
      </c>
      <c r="C3786" t="s">
        <v>78</v>
      </c>
      <c r="D3786" t="s">
        <v>78</v>
      </c>
      <c r="E3786" t="s">
        <v>78</v>
      </c>
      <c r="F3786" t="s">
        <v>78</v>
      </c>
      <c r="G3786" t="s">
        <v>78</v>
      </c>
      <c r="H3786">
        <v>3.13</v>
      </c>
      <c r="I3786" s="1">
        <v>0</v>
      </c>
      <c r="J3786" s="1">
        <v>0</v>
      </c>
      <c r="K3786">
        <v>0</v>
      </c>
      <c r="L3786">
        <v>2.88</v>
      </c>
      <c r="M3786">
        <v>2.93</v>
      </c>
      <c r="N3786" s="1">
        <v>5000000</v>
      </c>
      <c r="O3786">
        <v>2.93</v>
      </c>
      <c r="P3786">
        <v>4.07</v>
      </c>
      <c r="Q3786">
        <v>1.77</v>
      </c>
    </row>
    <row r="3787" spans="1:17" x14ac:dyDescent="0.25">
      <c r="A3787">
        <v>732715</v>
      </c>
      <c r="B3787" t="s">
        <v>5099</v>
      </c>
      <c r="C3787">
        <v>0.52</v>
      </c>
      <c r="D3787">
        <v>0</v>
      </c>
      <c r="E3787">
        <v>0.53</v>
      </c>
      <c r="F3787">
        <v>0.53</v>
      </c>
      <c r="G3787">
        <v>0.52</v>
      </c>
      <c r="H3787">
        <v>0.52</v>
      </c>
      <c r="I3787" s="1">
        <v>160000</v>
      </c>
      <c r="J3787" s="1">
        <v>83400</v>
      </c>
      <c r="K3787">
        <v>16</v>
      </c>
      <c r="L3787">
        <v>0.52</v>
      </c>
      <c r="M3787">
        <v>0.54</v>
      </c>
      <c r="N3787" s="1">
        <v>7000000</v>
      </c>
      <c r="O3787">
        <v>0.52</v>
      </c>
      <c r="P3787">
        <v>1.18</v>
      </c>
      <c r="Q3787">
        <v>0.01</v>
      </c>
    </row>
    <row r="3788" spans="1:17" x14ac:dyDescent="0.25">
      <c r="A3788">
        <v>732716</v>
      </c>
      <c r="B3788" t="s">
        <v>5100</v>
      </c>
      <c r="C3788" t="s">
        <v>78</v>
      </c>
      <c r="D3788" t="s">
        <v>78</v>
      </c>
      <c r="E3788" t="s">
        <v>78</v>
      </c>
      <c r="F3788" t="s">
        <v>78</v>
      </c>
      <c r="G3788" t="s">
        <v>78</v>
      </c>
      <c r="H3788">
        <v>0.39</v>
      </c>
      <c r="I3788" s="1">
        <v>0</v>
      </c>
      <c r="J3788" s="1">
        <v>0</v>
      </c>
      <c r="K3788">
        <v>0</v>
      </c>
      <c r="L3788">
        <v>0.4</v>
      </c>
      <c r="M3788">
        <v>0.43</v>
      </c>
      <c r="N3788" s="1">
        <v>10000000</v>
      </c>
      <c r="O3788">
        <v>0.4</v>
      </c>
      <c r="P3788">
        <v>0.86</v>
      </c>
      <c r="Q3788">
        <v>0.01</v>
      </c>
    </row>
    <row r="3789" spans="1:17" x14ac:dyDescent="0.25">
      <c r="A3789">
        <v>732717</v>
      </c>
      <c r="B3789" t="s">
        <v>5101</v>
      </c>
      <c r="C3789" t="s">
        <v>78</v>
      </c>
      <c r="D3789" t="s">
        <v>78</v>
      </c>
      <c r="E3789" t="s">
        <v>78</v>
      </c>
      <c r="F3789" t="s">
        <v>78</v>
      </c>
      <c r="G3789" t="s">
        <v>78</v>
      </c>
      <c r="H3789">
        <v>0.48</v>
      </c>
      <c r="I3789" s="1">
        <v>0</v>
      </c>
      <c r="J3789" s="1">
        <v>0</v>
      </c>
      <c r="K3789">
        <v>0</v>
      </c>
      <c r="L3789">
        <v>0.35</v>
      </c>
      <c r="M3789">
        <v>0.36</v>
      </c>
      <c r="N3789" s="1">
        <v>10000000</v>
      </c>
      <c r="O3789">
        <v>0.35</v>
      </c>
      <c r="P3789">
        <v>0.81</v>
      </c>
      <c r="Q3789">
        <v>0.01</v>
      </c>
    </row>
    <row r="3790" spans="1:17" x14ac:dyDescent="0.25">
      <c r="A3790">
        <v>732718</v>
      </c>
      <c r="B3790" t="s">
        <v>5102</v>
      </c>
      <c r="C3790" t="s">
        <v>78</v>
      </c>
      <c r="D3790" t="s">
        <v>78</v>
      </c>
      <c r="E3790" t="s">
        <v>78</v>
      </c>
      <c r="F3790" t="s">
        <v>78</v>
      </c>
      <c r="G3790" t="s">
        <v>78</v>
      </c>
      <c r="H3790">
        <v>0.57999999999999996</v>
      </c>
      <c r="I3790" s="1">
        <v>0</v>
      </c>
      <c r="J3790" s="1">
        <v>0</v>
      </c>
      <c r="K3790">
        <v>0</v>
      </c>
      <c r="L3790">
        <v>0.5</v>
      </c>
      <c r="M3790">
        <v>0.51</v>
      </c>
      <c r="N3790" s="1">
        <v>10000000</v>
      </c>
      <c r="O3790">
        <v>0.51</v>
      </c>
      <c r="P3790">
        <v>1.4</v>
      </c>
      <c r="Q3790">
        <v>0.01</v>
      </c>
    </row>
    <row r="3791" spans="1:17" x14ac:dyDescent="0.25">
      <c r="A3791">
        <v>732719</v>
      </c>
      <c r="B3791" t="s">
        <v>5103</v>
      </c>
      <c r="C3791">
        <v>0.18</v>
      </c>
      <c r="D3791">
        <v>-0.02</v>
      </c>
      <c r="E3791">
        <v>0.18</v>
      </c>
      <c r="F3791">
        <v>0.18</v>
      </c>
      <c r="G3791">
        <v>0.18</v>
      </c>
      <c r="H3791">
        <v>0.18</v>
      </c>
      <c r="I3791" s="1">
        <v>198000</v>
      </c>
      <c r="J3791" s="1">
        <v>35640</v>
      </c>
      <c r="K3791">
        <v>2</v>
      </c>
      <c r="L3791">
        <v>0.18</v>
      </c>
      <c r="M3791">
        <v>0.19</v>
      </c>
      <c r="N3791" s="1">
        <v>10000000</v>
      </c>
      <c r="O3791">
        <v>0.18</v>
      </c>
      <c r="P3791">
        <v>1.1299999999999999</v>
      </c>
      <c r="Q3791">
        <v>0.01</v>
      </c>
    </row>
    <row r="3792" spans="1:17" x14ac:dyDescent="0.25">
      <c r="A3792">
        <v>732720</v>
      </c>
      <c r="B3792" t="s">
        <v>5104</v>
      </c>
      <c r="C3792">
        <v>0.34</v>
      </c>
      <c r="D3792">
        <v>0</v>
      </c>
      <c r="E3792">
        <v>0.34</v>
      </c>
      <c r="F3792">
        <v>0.34</v>
      </c>
      <c r="G3792">
        <v>0.34</v>
      </c>
      <c r="H3792">
        <v>0.34</v>
      </c>
      <c r="I3792" s="1">
        <v>4000</v>
      </c>
      <c r="J3792" s="1">
        <v>1360</v>
      </c>
      <c r="K3792">
        <v>1</v>
      </c>
      <c r="L3792">
        <v>0.34</v>
      </c>
      <c r="M3792">
        <v>0.35</v>
      </c>
      <c r="N3792" s="1">
        <v>10000000</v>
      </c>
      <c r="O3792">
        <v>0.34</v>
      </c>
      <c r="P3792">
        <v>0.92</v>
      </c>
      <c r="Q3792">
        <v>0.01</v>
      </c>
    </row>
    <row r="3793" spans="1:17" x14ac:dyDescent="0.25">
      <c r="A3793">
        <v>732721</v>
      </c>
      <c r="B3793" t="s">
        <v>5105</v>
      </c>
      <c r="C3793" t="s">
        <v>78</v>
      </c>
      <c r="D3793" t="s">
        <v>78</v>
      </c>
      <c r="E3793" t="s">
        <v>78</v>
      </c>
      <c r="F3793" t="s">
        <v>78</v>
      </c>
      <c r="G3793" t="s">
        <v>78</v>
      </c>
      <c r="H3793">
        <v>0.45</v>
      </c>
      <c r="I3793" s="1">
        <v>0</v>
      </c>
      <c r="J3793" s="1">
        <v>0</v>
      </c>
      <c r="K3793">
        <v>0</v>
      </c>
      <c r="L3793">
        <v>0.38</v>
      </c>
      <c r="M3793">
        <v>0.39</v>
      </c>
      <c r="N3793" s="1">
        <v>10000000</v>
      </c>
      <c r="O3793">
        <v>0.38</v>
      </c>
      <c r="P3793">
        <v>0.78</v>
      </c>
      <c r="Q3793">
        <v>0.01</v>
      </c>
    </row>
    <row r="3794" spans="1:17" x14ac:dyDescent="0.25">
      <c r="A3794">
        <v>732722</v>
      </c>
      <c r="B3794" t="s">
        <v>5106</v>
      </c>
      <c r="C3794" t="s">
        <v>78</v>
      </c>
      <c r="D3794" t="s">
        <v>78</v>
      </c>
      <c r="E3794" t="s">
        <v>78</v>
      </c>
      <c r="F3794" t="s">
        <v>78</v>
      </c>
      <c r="G3794" t="s">
        <v>78</v>
      </c>
      <c r="H3794">
        <v>0.25</v>
      </c>
      <c r="I3794" s="1">
        <v>0</v>
      </c>
      <c r="J3794" s="1">
        <v>0</v>
      </c>
      <c r="K3794">
        <v>0</v>
      </c>
      <c r="L3794">
        <v>0.24</v>
      </c>
      <c r="M3794">
        <v>0.25</v>
      </c>
      <c r="N3794" s="1">
        <v>5021000</v>
      </c>
      <c r="O3794">
        <v>0.25</v>
      </c>
      <c r="P3794">
        <v>1.07</v>
      </c>
      <c r="Q3794">
        <v>0.01</v>
      </c>
    </row>
    <row r="3795" spans="1:17" x14ac:dyDescent="0.25">
      <c r="A3795">
        <v>732723</v>
      </c>
      <c r="B3795" t="s">
        <v>5107</v>
      </c>
      <c r="C3795">
        <v>3.91</v>
      </c>
      <c r="D3795">
        <v>-0.13</v>
      </c>
      <c r="E3795">
        <v>3.54</v>
      </c>
      <c r="F3795">
        <v>3.91</v>
      </c>
      <c r="G3795">
        <v>3.54</v>
      </c>
      <c r="H3795">
        <v>3.8</v>
      </c>
      <c r="I3795" s="1">
        <v>14000</v>
      </c>
      <c r="J3795" s="1">
        <v>53260</v>
      </c>
      <c r="K3795">
        <v>2</v>
      </c>
      <c r="L3795">
        <v>0</v>
      </c>
      <c r="M3795">
        <v>4.05</v>
      </c>
      <c r="N3795" s="1">
        <v>5000000</v>
      </c>
      <c r="O3795">
        <v>3.91</v>
      </c>
      <c r="P3795">
        <v>5</v>
      </c>
      <c r="Q3795">
        <v>2.78</v>
      </c>
    </row>
    <row r="3796" spans="1:17" x14ac:dyDescent="0.25">
      <c r="A3796">
        <v>732724</v>
      </c>
      <c r="B3796" t="s">
        <v>5108</v>
      </c>
      <c r="C3796" t="s">
        <v>78</v>
      </c>
      <c r="D3796" t="s">
        <v>78</v>
      </c>
      <c r="E3796" t="s">
        <v>78</v>
      </c>
      <c r="F3796" t="s">
        <v>78</v>
      </c>
      <c r="G3796" t="s">
        <v>78</v>
      </c>
      <c r="H3796">
        <v>0.35</v>
      </c>
      <c r="I3796" s="1">
        <v>0</v>
      </c>
      <c r="J3796" s="1">
        <v>0</v>
      </c>
      <c r="K3796">
        <v>0</v>
      </c>
      <c r="L3796">
        <v>0.32</v>
      </c>
      <c r="M3796">
        <v>0.33</v>
      </c>
      <c r="N3796" s="1">
        <v>10000000</v>
      </c>
      <c r="O3796">
        <v>0.33</v>
      </c>
      <c r="P3796">
        <v>1.43</v>
      </c>
      <c r="Q3796">
        <v>0.01</v>
      </c>
    </row>
    <row r="3797" spans="1:17" x14ac:dyDescent="0.25">
      <c r="A3797">
        <v>732725</v>
      </c>
      <c r="B3797" t="s">
        <v>5109</v>
      </c>
      <c r="C3797">
        <v>0.15</v>
      </c>
      <c r="D3797">
        <v>-0.01</v>
      </c>
      <c r="E3797">
        <v>0.15</v>
      </c>
      <c r="F3797">
        <v>0.15</v>
      </c>
      <c r="G3797">
        <v>0.15</v>
      </c>
      <c r="H3797">
        <v>0.15</v>
      </c>
      <c r="I3797" s="1">
        <v>20000</v>
      </c>
      <c r="J3797" s="1">
        <v>3000</v>
      </c>
      <c r="K3797">
        <v>1</v>
      </c>
      <c r="L3797">
        <v>0.14000000000000001</v>
      </c>
      <c r="M3797">
        <v>0.15</v>
      </c>
      <c r="N3797" s="1">
        <v>10000000</v>
      </c>
      <c r="O3797">
        <v>0.15</v>
      </c>
      <c r="P3797">
        <v>1.31</v>
      </c>
      <c r="Q3797">
        <v>0.01</v>
      </c>
    </row>
    <row r="3798" spans="1:17" x14ac:dyDescent="0.25">
      <c r="A3798">
        <v>732726</v>
      </c>
      <c r="B3798" t="s">
        <v>5110</v>
      </c>
      <c r="C3798">
        <v>2.46</v>
      </c>
      <c r="D3798">
        <v>-0.09</v>
      </c>
      <c r="E3798">
        <v>2.4700000000000002</v>
      </c>
      <c r="F3798">
        <v>2.6</v>
      </c>
      <c r="G3798">
        <v>2.46</v>
      </c>
      <c r="H3798">
        <v>2.5299999999999998</v>
      </c>
      <c r="I3798" s="1">
        <v>31000</v>
      </c>
      <c r="J3798" s="1">
        <v>78560</v>
      </c>
      <c r="K3798">
        <v>4</v>
      </c>
      <c r="L3798">
        <v>1</v>
      </c>
      <c r="M3798">
        <v>2.7</v>
      </c>
      <c r="N3798" s="1">
        <v>5000000</v>
      </c>
      <c r="O3798">
        <v>2.46</v>
      </c>
      <c r="P3798">
        <v>4.74</v>
      </c>
      <c r="Q3798">
        <v>0.14000000000000001</v>
      </c>
    </row>
    <row r="3799" spans="1:17" x14ac:dyDescent="0.25">
      <c r="A3799">
        <v>732727</v>
      </c>
      <c r="B3799" t="s">
        <v>5111</v>
      </c>
      <c r="C3799">
        <v>0.26</v>
      </c>
      <c r="D3799">
        <v>0.03</v>
      </c>
      <c r="E3799">
        <v>0.23</v>
      </c>
      <c r="F3799">
        <v>0.26</v>
      </c>
      <c r="G3799">
        <v>0.23</v>
      </c>
      <c r="H3799">
        <v>0.23</v>
      </c>
      <c r="I3799" s="1">
        <v>104000</v>
      </c>
      <c r="J3799" s="1">
        <v>24040</v>
      </c>
      <c r="K3799">
        <v>3</v>
      </c>
      <c r="L3799">
        <v>0.25</v>
      </c>
      <c r="M3799">
        <v>0.28000000000000003</v>
      </c>
      <c r="N3799" s="1">
        <v>5000000</v>
      </c>
      <c r="O3799">
        <v>0.26</v>
      </c>
      <c r="P3799">
        <v>1.91</v>
      </c>
      <c r="Q3799">
        <v>0.01</v>
      </c>
    </row>
    <row r="3800" spans="1:17" x14ac:dyDescent="0.25">
      <c r="A3800">
        <v>732728</v>
      </c>
      <c r="B3800" t="s">
        <v>5112</v>
      </c>
      <c r="C3800" t="s">
        <v>78</v>
      </c>
      <c r="D3800" t="s">
        <v>78</v>
      </c>
      <c r="E3800" t="s">
        <v>78</v>
      </c>
      <c r="F3800" t="s">
        <v>78</v>
      </c>
      <c r="G3800" t="s">
        <v>78</v>
      </c>
      <c r="H3800">
        <v>1.87</v>
      </c>
      <c r="I3800" s="1">
        <v>0</v>
      </c>
      <c r="J3800" s="1">
        <v>0</v>
      </c>
      <c r="K3800">
        <v>0</v>
      </c>
      <c r="L3800">
        <v>0.82</v>
      </c>
      <c r="M3800">
        <v>0</v>
      </c>
      <c r="N3800" s="1">
        <v>5000000</v>
      </c>
      <c r="O3800">
        <v>1.9</v>
      </c>
      <c r="P3800">
        <v>3.08</v>
      </c>
      <c r="Q3800">
        <v>0.72</v>
      </c>
    </row>
    <row r="3801" spans="1:17" x14ac:dyDescent="0.25">
      <c r="A3801">
        <v>732729</v>
      </c>
      <c r="B3801" t="s">
        <v>5113</v>
      </c>
      <c r="C3801">
        <v>0.71</v>
      </c>
      <c r="D3801">
        <v>-0.04</v>
      </c>
      <c r="E3801">
        <v>0.75</v>
      </c>
      <c r="F3801">
        <v>0.75</v>
      </c>
      <c r="G3801">
        <v>0.71</v>
      </c>
      <c r="H3801">
        <v>0.72</v>
      </c>
      <c r="I3801" s="1">
        <v>106000</v>
      </c>
      <c r="J3801" s="1">
        <v>76460</v>
      </c>
      <c r="K3801">
        <v>4</v>
      </c>
      <c r="L3801">
        <v>0.71</v>
      </c>
      <c r="M3801">
        <v>0.72</v>
      </c>
      <c r="N3801" s="1">
        <v>10000000</v>
      </c>
      <c r="O3801">
        <v>0.71</v>
      </c>
      <c r="P3801">
        <v>1.23</v>
      </c>
      <c r="Q3801">
        <v>0.19</v>
      </c>
    </row>
    <row r="3802" spans="1:17" x14ac:dyDescent="0.25">
      <c r="A3802">
        <v>732730</v>
      </c>
      <c r="B3802" t="s">
        <v>5114</v>
      </c>
      <c r="C3802" t="s">
        <v>78</v>
      </c>
      <c r="D3802" t="s">
        <v>78</v>
      </c>
      <c r="E3802" t="s">
        <v>78</v>
      </c>
      <c r="F3802" t="s">
        <v>78</v>
      </c>
      <c r="G3802" t="s">
        <v>78</v>
      </c>
      <c r="H3802">
        <v>0.17</v>
      </c>
      <c r="I3802" s="1">
        <v>0</v>
      </c>
      <c r="J3802" s="1">
        <v>0</v>
      </c>
      <c r="K3802">
        <v>0</v>
      </c>
      <c r="L3802">
        <v>0.15</v>
      </c>
      <c r="M3802">
        <v>0.16</v>
      </c>
      <c r="N3802" s="1">
        <v>10000000</v>
      </c>
      <c r="O3802">
        <v>0.16</v>
      </c>
      <c r="P3802">
        <v>1.32</v>
      </c>
      <c r="Q3802">
        <v>0.01</v>
      </c>
    </row>
    <row r="3803" spans="1:17" x14ac:dyDescent="0.25">
      <c r="A3803">
        <v>732731</v>
      </c>
      <c r="B3803" t="s">
        <v>5115</v>
      </c>
      <c r="C3803">
        <v>0.47</v>
      </c>
      <c r="D3803">
        <v>0.01</v>
      </c>
      <c r="E3803">
        <v>0.49</v>
      </c>
      <c r="F3803">
        <v>0.49</v>
      </c>
      <c r="G3803">
        <v>0.47</v>
      </c>
      <c r="H3803">
        <v>0.48</v>
      </c>
      <c r="I3803" s="1">
        <v>123000</v>
      </c>
      <c r="J3803" s="1">
        <v>59340</v>
      </c>
      <c r="K3803">
        <v>4</v>
      </c>
      <c r="L3803">
        <v>0.46</v>
      </c>
      <c r="M3803">
        <v>0.47</v>
      </c>
      <c r="N3803" s="1">
        <v>10000000</v>
      </c>
      <c r="O3803">
        <v>0.47</v>
      </c>
      <c r="P3803">
        <v>0.94</v>
      </c>
      <c r="Q3803">
        <v>0.01</v>
      </c>
    </row>
    <row r="3804" spans="1:17" x14ac:dyDescent="0.25">
      <c r="A3804">
        <v>732732</v>
      </c>
      <c r="B3804" t="s">
        <v>5116</v>
      </c>
      <c r="C3804">
        <v>0.96</v>
      </c>
      <c r="D3804">
        <v>0.13</v>
      </c>
      <c r="E3804">
        <v>0.82</v>
      </c>
      <c r="F3804">
        <v>0.97</v>
      </c>
      <c r="G3804">
        <v>0.82</v>
      </c>
      <c r="H3804">
        <v>0.88</v>
      </c>
      <c r="I3804" s="1">
        <v>2889000</v>
      </c>
      <c r="J3804" s="1">
        <v>2547140</v>
      </c>
      <c r="K3804">
        <v>81</v>
      </c>
      <c r="L3804">
        <v>0.94</v>
      </c>
      <c r="M3804">
        <v>0.96</v>
      </c>
      <c r="N3804" s="1">
        <v>10000000</v>
      </c>
      <c r="O3804">
        <v>0.96</v>
      </c>
      <c r="P3804">
        <v>1.51</v>
      </c>
      <c r="Q3804">
        <v>0.41</v>
      </c>
    </row>
    <row r="3805" spans="1:17" x14ac:dyDescent="0.25">
      <c r="A3805">
        <v>732733</v>
      </c>
      <c r="B3805" t="s">
        <v>5117</v>
      </c>
      <c r="C3805">
        <v>1.5</v>
      </c>
      <c r="D3805">
        <v>-0.11</v>
      </c>
      <c r="E3805">
        <v>1.64</v>
      </c>
      <c r="F3805">
        <v>1.64</v>
      </c>
      <c r="G3805">
        <v>1.5</v>
      </c>
      <c r="H3805">
        <v>1.55</v>
      </c>
      <c r="I3805" s="1">
        <v>30000</v>
      </c>
      <c r="J3805" s="1">
        <v>46400</v>
      </c>
      <c r="K3805">
        <v>2</v>
      </c>
      <c r="L3805">
        <v>1.46</v>
      </c>
      <c r="M3805">
        <v>1.47</v>
      </c>
      <c r="N3805" s="1">
        <v>10000000</v>
      </c>
      <c r="O3805">
        <v>1.5</v>
      </c>
      <c r="P3805">
        <v>2.35</v>
      </c>
      <c r="Q3805">
        <v>0.65</v>
      </c>
    </row>
    <row r="3806" spans="1:17" x14ac:dyDescent="0.25">
      <c r="A3806">
        <v>732734</v>
      </c>
      <c r="B3806" t="s">
        <v>5118</v>
      </c>
      <c r="C3806">
        <v>1.21</v>
      </c>
      <c r="D3806">
        <v>0.04</v>
      </c>
      <c r="E3806">
        <v>1.31</v>
      </c>
      <c r="F3806">
        <v>1.34</v>
      </c>
      <c r="G3806">
        <v>1.21</v>
      </c>
      <c r="H3806">
        <v>1.28</v>
      </c>
      <c r="I3806" s="1">
        <v>215000</v>
      </c>
      <c r="J3806" s="1">
        <v>275470</v>
      </c>
      <c r="K3806">
        <v>13</v>
      </c>
      <c r="L3806">
        <v>1.19</v>
      </c>
      <c r="M3806">
        <v>1.22</v>
      </c>
      <c r="N3806" s="1">
        <v>10000000</v>
      </c>
      <c r="O3806">
        <v>1.21</v>
      </c>
      <c r="P3806">
        <v>2.1800000000000002</v>
      </c>
      <c r="Q3806">
        <v>0.23</v>
      </c>
    </row>
    <row r="3807" spans="1:17" x14ac:dyDescent="0.25">
      <c r="A3807">
        <v>732735</v>
      </c>
      <c r="B3807" t="s">
        <v>5119</v>
      </c>
      <c r="C3807">
        <v>0.53</v>
      </c>
      <c r="D3807">
        <v>0.04</v>
      </c>
      <c r="E3807">
        <v>0.53</v>
      </c>
      <c r="F3807">
        <v>0.53</v>
      </c>
      <c r="G3807">
        <v>0.53</v>
      </c>
      <c r="H3807">
        <v>0.53</v>
      </c>
      <c r="I3807" s="1">
        <v>123000</v>
      </c>
      <c r="J3807" s="1">
        <v>65190</v>
      </c>
      <c r="K3807">
        <v>1</v>
      </c>
      <c r="L3807">
        <v>0.54</v>
      </c>
      <c r="M3807">
        <v>0.55000000000000004</v>
      </c>
      <c r="N3807" s="1">
        <v>5000000</v>
      </c>
      <c r="O3807">
        <v>0.53</v>
      </c>
      <c r="P3807">
        <v>1.33</v>
      </c>
      <c r="Q3807">
        <v>0.01</v>
      </c>
    </row>
    <row r="3808" spans="1:17" x14ac:dyDescent="0.25">
      <c r="A3808">
        <v>732736</v>
      </c>
      <c r="B3808" t="s">
        <v>5120</v>
      </c>
      <c r="C3808">
        <v>0.55000000000000004</v>
      </c>
      <c r="D3808">
        <v>-0.03</v>
      </c>
      <c r="E3808">
        <v>0.56000000000000005</v>
      </c>
      <c r="F3808">
        <v>0.56000000000000005</v>
      </c>
      <c r="G3808">
        <v>0.55000000000000004</v>
      </c>
      <c r="H3808">
        <v>0.56000000000000005</v>
      </c>
      <c r="I3808" s="1">
        <v>15000</v>
      </c>
      <c r="J3808" s="1">
        <v>8350</v>
      </c>
      <c r="K3808">
        <v>2</v>
      </c>
      <c r="L3808">
        <v>0.55000000000000004</v>
      </c>
      <c r="M3808">
        <v>0.56000000000000005</v>
      </c>
      <c r="N3808" s="1">
        <v>10000000</v>
      </c>
      <c r="O3808">
        <v>0.55000000000000004</v>
      </c>
      <c r="P3808">
        <v>1.35</v>
      </c>
      <c r="Q3808">
        <v>0.01</v>
      </c>
    </row>
    <row r="3809" spans="1:17" x14ac:dyDescent="0.25">
      <c r="A3809">
        <v>732737</v>
      </c>
      <c r="B3809" t="s">
        <v>5121</v>
      </c>
      <c r="C3809">
        <v>0.13</v>
      </c>
      <c r="D3809">
        <v>0</v>
      </c>
      <c r="E3809">
        <v>0.13</v>
      </c>
      <c r="F3809">
        <v>0.13</v>
      </c>
      <c r="G3809">
        <v>0.13</v>
      </c>
      <c r="H3809">
        <v>0.13</v>
      </c>
      <c r="I3809" s="1">
        <v>10000</v>
      </c>
      <c r="J3809" s="1">
        <v>1300</v>
      </c>
      <c r="K3809">
        <v>1</v>
      </c>
      <c r="L3809">
        <v>0.12</v>
      </c>
      <c r="M3809">
        <v>0.13</v>
      </c>
      <c r="N3809" s="1">
        <v>10000000</v>
      </c>
      <c r="O3809">
        <v>0.13</v>
      </c>
      <c r="P3809">
        <v>0.71</v>
      </c>
      <c r="Q3809">
        <v>0.01</v>
      </c>
    </row>
    <row r="3810" spans="1:17" x14ac:dyDescent="0.25">
      <c r="A3810">
        <v>732738</v>
      </c>
      <c r="B3810" t="s">
        <v>5122</v>
      </c>
      <c r="C3810">
        <v>0.79</v>
      </c>
      <c r="D3810">
        <v>0.11</v>
      </c>
      <c r="E3810">
        <v>0.76</v>
      </c>
      <c r="F3810">
        <v>0.79</v>
      </c>
      <c r="G3810">
        <v>0.73</v>
      </c>
      <c r="H3810">
        <v>0.77</v>
      </c>
      <c r="I3810" s="1">
        <v>152000</v>
      </c>
      <c r="J3810" s="1">
        <v>117650</v>
      </c>
      <c r="K3810">
        <v>8</v>
      </c>
      <c r="L3810">
        <v>0.76</v>
      </c>
      <c r="M3810">
        <v>0.77</v>
      </c>
      <c r="N3810" s="1">
        <v>5000000</v>
      </c>
      <c r="O3810">
        <v>0.79</v>
      </c>
      <c r="P3810">
        <v>1.82</v>
      </c>
      <c r="Q3810">
        <v>0.01</v>
      </c>
    </row>
    <row r="3811" spans="1:17" x14ac:dyDescent="0.25">
      <c r="A3811">
        <v>732739</v>
      </c>
      <c r="B3811" t="s">
        <v>5123</v>
      </c>
      <c r="C3811">
        <v>0.38</v>
      </c>
      <c r="D3811">
        <v>-0.02</v>
      </c>
      <c r="E3811">
        <v>0.38</v>
      </c>
      <c r="F3811">
        <v>0.38</v>
      </c>
      <c r="G3811">
        <v>0.38</v>
      </c>
      <c r="H3811">
        <v>0.38</v>
      </c>
      <c r="I3811" s="1">
        <v>20000</v>
      </c>
      <c r="J3811" s="1">
        <v>7600</v>
      </c>
      <c r="K3811">
        <v>1</v>
      </c>
      <c r="L3811">
        <v>0.37</v>
      </c>
      <c r="M3811">
        <v>0.38</v>
      </c>
      <c r="N3811" s="1">
        <v>5000000</v>
      </c>
      <c r="O3811">
        <v>0.38</v>
      </c>
      <c r="P3811">
        <v>1.1200000000000001</v>
      </c>
      <c r="Q3811">
        <v>0.01</v>
      </c>
    </row>
    <row r="3812" spans="1:17" x14ac:dyDescent="0.25">
      <c r="A3812">
        <v>732740</v>
      </c>
      <c r="B3812" t="s">
        <v>5124</v>
      </c>
      <c r="C3812">
        <v>0.45</v>
      </c>
      <c r="D3812">
        <v>0</v>
      </c>
      <c r="E3812">
        <v>0.43</v>
      </c>
      <c r="F3812">
        <v>0.45</v>
      </c>
      <c r="G3812">
        <v>0.43</v>
      </c>
      <c r="H3812">
        <v>0.44</v>
      </c>
      <c r="I3812" s="1">
        <v>300000</v>
      </c>
      <c r="J3812" s="1">
        <v>133200</v>
      </c>
      <c r="K3812">
        <v>15</v>
      </c>
      <c r="L3812">
        <v>0.44</v>
      </c>
      <c r="M3812">
        <v>0.45</v>
      </c>
      <c r="N3812" s="1">
        <v>5000000</v>
      </c>
      <c r="O3812">
        <v>0.45</v>
      </c>
      <c r="P3812">
        <v>1.0900000000000001</v>
      </c>
      <c r="Q3812">
        <v>0.01</v>
      </c>
    </row>
    <row r="3813" spans="1:17" x14ac:dyDescent="0.25">
      <c r="A3813">
        <v>732741</v>
      </c>
      <c r="B3813" t="s">
        <v>5125</v>
      </c>
      <c r="C3813" t="s">
        <v>78</v>
      </c>
      <c r="D3813" t="s">
        <v>78</v>
      </c>
      <c r="E3813" t="s">
        <v>78</v>
      </c>
      <c r="F3813" t="s">
        <v>78</v>
      </c>
      <c r="G3813" t="s">
        <v>78</v>
      </c>
      <c r="H3813">
        <v>0.11</v>
      </c>
      <c r="I3813" s="1">
        <v>0</v>
      </c>
      <c r="J3813" s="1">
        <v>0</v>
      </c>
      <c r="K3813">
        <v>0</v>
      </c>
      <c r="L3813">
        <v>0.12</v>
      </c>
      <c r="M3813">
        <v>0.13</v>
      </c>
      <c r="N3813" s="1">
        <v>5000000</v>
      </c>
      <c r="O3813">
        <v>0.12</v>
      </c>
      <c r="P3813">
        <v>0.99</v>
      </c>
      <c r="Q3813">
        <v>0.01</v>
      </c>
    </row>
    <row r="3814" spans="1:17" x14ac:dyDescent="0.25">
      <c r="A3814">
        <v>732742</v>
      </c>
      <c r="B3814" t="s">
        <v>5126</v>
      </c>
      <c r="C3814" t="s">
        <v>78</v>
      </c>
      <c r="D3814" t="s">
        <v>78</v>
      </c>
      <c r="E3814" t="s">
        <v>78</v>
      </c>
      <c r="F3814" t="s">
        <v>78</v>
      </c>
      <c r="G3814" t="s">
        <v>78</v>
      </c>
      <c r="H3814">
        <v>0.12</v>
      </c>
      <c r="I3814" s="1">
        <v>0</v>
      </c>
      <c r="J3814" s="1">
        <v>0</v>
      </c>
      <c r="K3814">
        <v>0</v>
      </c>
      <c r="L3814">
        <v>0.04</v>
      </c>
      <c r="M3814">
        <v>0.06</v>
      </c>
      <c r="N3814" s="1">
        <v>10000000</v>
      </c>
      <c r="O3814">
        <v>0.06</v>
      </c>
      <c r="P3814">
        <v>2.84</v>
      </c>
      <c r="Q3814">
        <v>0.01</v>
      </c>
    </row>
    <row r="3815" spans="1:17" x14ac:dyDescent="0.25">
      <c r="A3815">
        <v>732743</v>
      </c>
      <c r="B3815" t="s">
        <v>5127</v>
      </c>
      <c r="C3815">
        <v>0.77</v>
      </c>
      <c r="D3815">
        <v>-0.09</v>
      </c>
      <c r="E3815">
        <v>0.9</v>
      </c>
      <c r="F3815">
        <v>0.9</v>
      </c>
      <c r="G3815">
        <v>0.74</v>
      </c>
      <c r="H3815">
        <v>0.84</v>
      </c>
      <c r="I3815" s="1">
        <v>384000</v>
      </c>
      <c r="J3815" s="1">
        <v>321100</v>
      </c>
      <c r="K3815">
        <v>21</v>
      </c>
      <c r="L3815">
        <v>0.77</v>
      </c>
      <c r="M3815">
        <v>0.78</v>
      </c>
      <c r="N3815" s="1">
        <v>5000000</v>
      </c>
      <c r="O3815">
        <v>0.77</v>
      </c>
      <c r="P3815">
        <v>2.2200000000000002</v>
      </c>
      <c r="Q3815">
        <v>0.01</v>
      </c>
    </row>
    <row r="3816" spans="1:17" x14ac:dyDescent="0.25">
      <c r="A3816">
        <v>732744</v>
      </c>
      <c r="B3816" t="s">
        <v>5128</v>
      </c>
      <c r="C3816">
        <v>0.57999999999999996</v>
      </c>
      <c r="D3816">
        <v>-0.05</v>
      </c>
      <c r="E3816">
        <v>0.63</v>
      </c>
      <c r="F3816">
        <v>0.63</v>
      </c>
      <c r="G3816">
        <v>0.57999999999999996</v>
      </c>
      <c r="H3816">
        <v>0.6</v>
      </c>
      <c r="I3816" s="1">
        <v>380000</v>
      </c>
      <c r="J3816" s="1">
        <v>228050</v>
      </c>
      <c r="K3816">
        <v>18</v>
      </c>
      <c r="L3816">
        <v>0.56999999999999995</v>
      </c>
      <c r="M3816">
        <v>0.57999999999999996</v>
      </c>
      <c r="N3816" s="1">
        <v>7000000</v>
      </c>
      <c r="O3816">
        <v>0.57999999999999996</v>
      </c>
      <c r="P3816">
        <v>1.34</v>
      </c>
      <c r="Q3816">
        <v>0.01</v>
      </c>
    </row>
    <row r="3817" spans="1:17" x14ac:dyDescent="0.25">
      <c r="A3817">
        <v>732745</v>
      </c>
      <c r="B3817" t="s">
        <v>5129</v>
      </c>
      <c r="C3817">
        <v>1.1499999999999999</v>
      </c>
      <c r="D3817">
        <v>-0.12</v>
      </c>
      <c r="E3817">
        <v>1.26</v>
      </c>
      <c r="F3817">
        <v>1.33</v>
      </c>
      <c r="G3817">
        <v>1.0900000000000001</v>
      </c>
      <c r="H3817">
        <v>1.23</v>
      </c>
      <c r="I3817" s="1">
        <v>2008000</v>
      </c>
      <c r="J3817" s="1">
        <v>2475750</v>
      </c>
      <c r="K3817">
        <v>124</v>
      </c>
      <c r="L3817">
        <v>1.1299999999999999</v>
      </c>
      <c r="M3817">
        <v>1.1499999999999999</v>
      </c>
      <c r="N3817" s="1">
        <v>5000000</v>
      </c>
      <c r="O3817">
        <v>1.1499999999999999</v>
      </c>
      <c r="P3817">
        <v>2.27</v>
      </c>
      <c r="Q3817">
        <v>0.03</v>
      </c>
    </row>
    <row r="3818" spans="1:17" x14ac:dyDescent="0.25">
      <c r="A3818">
        <v>732746</v>
      </c>
      <c r="B3818" t="s">
        <v>5130</v>
      </c>
      <c r="C3818" t="s">
        <v>78</v>
      </c>
      <c r="D3818" t="s">
        <v>78</v>
      </c>
      <c r="E3818" t="s">
        <v>78</v>
      </c>
      <c r="F3818" t="s">
        <v>78</v>
      </c>
      <c r="G3818" t="s">
        <v>78</v>
      </c>
      <c r="H3818">
        <v>0.52</v>
      </c>
      <c r="I3818" s="1">
        <v>0</v>
      </c>
      <c r="J3818" s="1">
        <v>0</v>
      </c>
      <c r="K3818">
        <v>0</v>
      </c>
      <c r="L3818">
        <v>0.52</v>
      </c>
      <c r="M3818">
        <v>0.54</v>
      </c>
      <c r="N3818" s="1">
        <v>10000000</v>
      </c>
      <c r="O3818">
        <v>0.52</v>
      </c>
      <c r="P3818">
        <v>0.94</v>
      </c>
      <c r="Q3818">
        <v>0.1</v>
      </c>
    </row>
    <row r="3819" spans="1:17" x14ac:dyDescent="0.25">
      <c r="A3819">
        <v>732747</v>
      </c>
      <c r="B3819" t="s">
        <v>5131</v>
      </c>
      <c r="C3819">
        <v>0.34</v>
      </c>
      <c r="D3819">
        <v>0.01</v>
      </c>
      <c r="E3819">
        <v>0.33</v>
      </c>
      <c r="F3819">
        <v>0.34</v>
      </c>
      <c r="G3819">
        <v>0.33</v>
      </c>
      <c r="H3819">
        <v>0.33</v>
      </c>
      <c r="I3819" s="1">
        <v>64000</v>
      </c>
      <c r="J3819" s="1">
        <v>21260</v>
      </c>
      <c r="K3819">
        <v>2</v>
      </c>
      <c r="L3819">
        <v>0.32</v>
      </c>
      <c r="M3819">
        <v>0.33</v>
      </c>
      <c r="N3819" s="1">
        <v>10000000</v>
      </c>
      <c r="O3819">
        <v>0.34</v>
      </c>
      <c r="P3819">
        <v>1.1200000000000001</v>
      </c>
      <c r="Q3819">
        <v>0.01</v>
      </c>
    </row>
    <row r="3820" spans="1:17" x14ac:dyDescent="0.25">
      <c r="A3820">
        <v>732748</v>
      </c>
      <c r="B3820" t="s">
        <v>5132</v>
      </c>
      <c r="C3820">
        <v>0.98</v>
      </c>
      <c r="D3820">
        <v>7.0000000000000007E-2</v>
      </c>
      <c r="E3820">
        <v>0.93</v>
      </c>
      <c r="F3820">
        <v>0.98</v>
      </c>
      <c r="G3820">
        <v>0.92</v>
      </c>
      <c r="H3820">
        <v>0.95</v>
      </c>
      <c r="I3820" s="1">
        <v>274000</v>
      </c>
      <c r="J3820" s="1">
        <v>259110</v>
      </c>
      <c r="K3820">
        <v>9</v>
      </c>
      <c r="L3820">
        <v>0.96</v>
      </c>
      <c r="M3820">
        <v>0.98</v>
      </c>
      <c r="N3820" s="1">
        <v>10000000</v>
      </c>
      <c r="O3820">
        <v>0.98</v>
      </c>
      <c r="P3820">
        <v>1.56</v>
      </c>
      <c r="Q3820">
        <v>0.39</v>
      </c>
    </row>
    <row r="3821" spans="1:17" x14ac:dyDescent="0.25">
      <c r="A3821">
        <v>732749</v>
      </c>
      <c r="B3821" t="s">
        <v>5133</v>
      </c>
      <c r="C3821">
        <v>0.42</v>
      </c>
      <c r="D3821">
        <v>-0.01</v>
      </c>
      <c r="E3821">
        <v>0.42</v>
      </c>
      <c r="F3821">
        <v>0.42</v>
      </c>
      <c r="G3821">
        <v>0.42</v>
      </c>
      <c r="H3821">
        <v>0.42</v>
      </c>
      <c r="I3821" s="1">
        <v>20000</v>
      </c>
      <c r="J3821" s="1">
        <v>8400</v>
      </c>
      <c r="K3821">
        <v>1</v>
      </c>
      <c r="L3821">
        <v>0.41</v>
      </c>
      <c r="M3821">
        <v>0.42</v>
      </c>
      <c r="N3821" s="1">
        <v>5000000</v>
      </c>
      <c r="O3821">
        <v>0.42</v>
      </c>
      <c r="P3821">
        <v>1.22</v>
      </c>
      <c r="Q3821">
        <v>0.01</v>
      </c>
    </row>
    <row r="3822" spans="1:17" x14ac:dyDescent="0.25">
      <c r="A3822">
        <v>732750</v>
      </c>
      <c r="B3822" t="s">
        <v>5134</v>
      </c>
      <c r="C3822" t="s">
        <v>78</v>
      </c>
      <c r="D3822" t="s">
        <v>78</v>
      </c>
      <c r="E3822" t="s">
        <v>78</v>
      </c>
      <c r="F3822" t="s">
        <v>78</v>
      </c>
      <c r="G3822" t="s">
        <v>78</v>
      </c>
      <c r="H3822">
        <v>0.42</v>
      </c>
      <c r="I3822" s="1">
        <v>0</v>
      </c>
      <c r="J3822" s="1">
        <v>0</v>
      </c>
      <c r="K3822">
        <v>0</v>
      </c>
      <c r="L3822">
        <v>0.2</v>
      </c>
      <c r="M3822">
        <v>0.21</v>
      </c>
      <c r="N3822" s="1">
        <v>5000000</v>
      </c>
      <c r="O3822">
        <v>0.2</v>
      </c>
      <c r="P3822">
        <v>1.04</v>
      </c>
      <c r="Q3822">
        <v>0.01</v>
      </c>
    </row>
    <row r="3823" spans="1:17" x14ac:dyDescent="0.25">
      <c r="A3823">
        <v>732751</v>
      </c>
      <c r="B3823" t="s">
        <v>5135</v>
      </c>
      <c r="C3823">
        <v>1.01</v>
      </c>
      <c r="D3823">
        <v>-0.18</v>
      </c>
      <c r="E3823">
        <v>1.08</v>
      </c>
      <c r="F3823">
        <v>1.08</v>
      </c>
      <c r="G3823">
        <v>0.98</v>
      </c>
      <c r="H3823">
        <v>1.03</v>
      </c>
      <c r="I3823" s="1">
        <v>48000</v>
      </c>
      <c r="J3823" s="1">
        <v>49210</v>
      </c>
      <c r="K3823">
        <v>6</v>
      </c>
      <c r="L3823">
        <v>0.98</v>
      </c>
      <c r="M3823">
        <v>1.01</v>
      </c>
      <c r="N3823" s="1">
        <v>5000000</v>
      </c>
      <c r="O3823">
        <v>1.01</v>
      </c>
      <c r="P3823">
        <v>2.5099999999999998</v>
      </c>
      <c r="Q3823">
        <v>0.01</v>
      </c>
    </row>
    <row r="3824" spans="1:17" x14ac:dyDescent="0.25">
      <c r="A3824">
        <v>732752</v>
      </c>
      <c r="B3824" t="s">
        <v>5136</v>
      </c>
      <c r="C3824">
        <v>0.92</v>
      </c>
      <c r="D3824">
        <v>-0.03</v>
      </c>
      <c r="E3824">
        <v>0.9</v>
      </c>
      <c r="F3824">
        <v>0.97</v>
      </c>
      <c r="G3824">
        <v>0.9</v>
      </c>
      <c r="H3824">
        <v>0.92</v>
      </c>
      <c r="I3824" s="1">
        <v>1196000</v>
      </c>
      <c r="J3824" s="1">
        <v>1104490</v>
      </c>
      <c r="K3824">
        <v>25</v>
      </c>
      <c r="L3824">
        <v>0.91</v>
      </c>
      <c r="M3824">
        <v>0.92</v>
      </c>
      <c r="N3824" s="1">
        <v>5000000</v>
      </c>
      <c r="O3824">
        <v>0.92</v>
      </c>
      <c r="P3824">
        <v>1.71</v>
      </c>
      <c r="Q3824">
        <v>0.13</v>
      </c>
    </row>
    <row r="3825" spans="1:17" x14ac:dyDescent="0.25">
      <c r="A3825">
        <v>732753</v>
      </c>
      <c r="B3825" t="s">
        <v>5137</v>
      </c>
      <c r="C3825">
        <v>0.47</v>
      </c>
      <c r="D3825">
        <v>0.04</v>
      </c>
      <c r="E3825">
        <v>0.45</v>
      </c>
      <c r="F3825">
        <v>0.53</v>
      </c>
      <c r="G3825">
        <v>0.45</v>
      </c>
      <c r="H3825">
        <v>0.49</v>
      </c>
      <c r="I3825" s="1">
        <v>1279000</v>
      </c>
      <c r="J3825" s="1">
        <v>623160</v>
      </c>
      <c r="K3825">
        <v>17</v>
      </c>
      <c r="L3825">
        <v>0.45</v>
      </c>
      <c r="M3825">
        <v>0.46</v>
      </c>
      <c r="N3825" s="1">
        <v>5000000</v>
      </c>
      <c r="O3825">
        <v>0.47</v>
      </c>
      <c r="P3825">
        <v>2.78</v>
      </c>
      <c r="Q3825">
        <v>0.01</v>
      </c>
    </row>
    <row r="3826" spans="1:17" x14ac:dyDescent="0.25">
      <c r="A3826">
        <v>732754</v>
      </c>
      <c r="B3826" t="s">
        <v>5138</v>
      </c>
      <c r="C3826" t="s">
        <v>78</v>
      </c>
      <c r="D3826" t="s">
        <v>78</v>
      </c>
      <c r="E3826" t="s">
        <v>78</v>
      </c>
      <c r="F3826" t="s">
        <v>78</v>
      </c>
      <c r="G3826" t="s">
        <v>78</v>
      </c>
      <c r="H3826">
        <v>3.83</v>
      </c>
      <c r="I3826" s="1">
        <v>0</v>
      </c>
      <c r="J3826" s="1">
        <v>0</v>
      </c>
      <c r="K3826">
        <v>0</v>
      </c>
      <c r="L3826">
        <v>2.27</v>
      </c>
      <c r="M3826">
        <v>0</v>
      </c>
      <c r="N3826" s="1">
        <v>5000000</v>
      </c>
      <c r="O3826">
        <v>3.83</v>
      </c>
      <c r="P3826">
        <v>8</v>
      </c>
      <c r="Q3826">
        <v>0.01</v>
      </c>
    </row>
    <row r="3827" spans="1:17" x14ac:dyDescent="0.25">
      <c r="A3827">
        <v>732755</v>
      </c>
      <c r="B3827" t="s">
        <v>5139</v>
      </c>
      <c r="C3827" t="s">
        <v>78</v>
      </c>
      <c r="D3827" t="s">
        <v>78</v>
      </c>
      <c r="E3827" t="s">
        <v>78</v>
      </c>
      <c r="F3827" t="s">
        <v>78</v>
      </c>
      <c r="G3827" t="s">
        <v>78</v>
      </c>
      <c r="H3827">
        <v>0.26</v>
      </c>
      <c r="I3827" s="1">
        <v>0</v>
      </c>
      <c r="J3827" s="1">
        <v>0</v>
      </c>
      <c r="K3827">
        <v>0</v>
      </c>
      <c r="L3827">
        <v>0.28000000000000003</v>
      </c>
      <c r="M3827">
        <v>0.28999999999999998</v>
      </c>
      <c r="N3827" s="1">
        <v>5000000</v>
      </c>
      <c r="O3827">
        <v>0.28000000000000003</v>
      </c>
      <c r="P3827">
        <v>1.38</v>
      </c>
      <c r="Q3827">
        <v>0.01</v>
      </c>
    </row>
    <row r="3828" spans="1:17" x14ac:dyDescent="0.25">
      <c r="A3828">
        <v>732756</v>
      </c>
      <c r="B3828" t="s">
        <v>5140</v>
      </c>
      <c r="C3828" t="s">
        <v>78</v>
      </c>
      <c r="D3828" t="s">
        <v>78</v>
      </c>
      <c r="E3828" t="s">
        <v>78</v>
      </c>
      <c r="F3828" t="s">
        <v>78</v>
      </c>
      <c r="G3828" t="s">
        <v>78</v>
      </c>
      <c r="H3828">
        <v>0.37</v>
      </c>
      <c r="I3828" s="1">
        <v>0</v>
      </c>
      <c r="J3828" s="1">
        <v>0</v>
      </c>
      <c r="K3828">
        <v>0</v>
      </c>
      <c r="L3828">
        <v>0.17</v>
      </c>
      <c r="M3828">
        <v>0.18</v>
      </c>
      <c r="N3828" s="1">
        <v>10000000</v>
      </c>
      <c r="O3828">
        <v>0.18</v>
      </c>
      <c r="P3828">
        <v>0.77</v>
      </c>
      <c r="Q3828">
        <v>0.01</v>
      </c>
    </row>
    <row r="3829" spans="1:17" x14ac:dyDescent="0.25">
      <c r="A3829">
        <v>732757</v>
      </c>
      <c r="B3829" t="s">
        <v>5141</v>
      </c>
      <c r="C3829">
        <v>0.81</v>
      </c>
      <c r="D3829">
        <v>0.06</v>
      </c>
      <c r="E3829">
        <v>0.82</v>
      </c>
      <c r="F3829">
        <v>0.85</v>
      </c>
      <c r="G3829">
        <v>0.76</v>
      </c>
      <c r="H3829">
        <v>0.79</v>
      </c>
      <c r="I3829" s="1">
        <v>1169000</v>
      </c>
      <c r="J3829" s="1">
        <v>924070</v>
      </c>
      <c r="K3829">
        <v>60</v>
      </c>
      <c r="L3829">
        <v>0.81</v>
      </c>
      <c r="M3829">
        <v>0.82</v>
      </c>
      <c r="N3829" s="1">
        <v>5000000</v>
      </c>
      <c r="O3829">
        <v>0.81</v>
      </c>
      <c r="P3829">
        <v>1.39</v>
      </c>
      <c r="Q3829">
        <v>0.23</v>
      </c>
    </row>
    <row r="3830" spans="1:17" x14ac:dyDescent="0.25">
      <c r="A3830">
        <v>732758</v>
      </c>
      <c r="B3830" t="s">
        <v>5142</v>
      </c>
      <c r="C3830">
        <v>0.48</v>
      </c>
      <c r="D3830">
        <v>-0.02</v>
      </c>
      <c r="E3830">
        <v>0.49</v>
      </c>
      <c r="F3830">
        <v>0.49</v>
      </c>
      <c r="G3830">
        <v>0.47</v>
      </c>
      <c r="H3830">
        <v>0.49</v>
      </c>
      <c r="I3830" s="1">
        <v>618000</v>
      </c>
      <c r="J3830" s="1">
        <v>300470</v>
      </c>
      <c r="K3830">
        <v>7</v>
      </c>
      <c r="L3830">
        <v>0.47</v>
      </c>
      <c r="M3830">
        <v>0.48</v>
      </c>
      <c r="N3830" s="1">
        <v>5000000</v>
      </c>
      <c r="O3830">
        <v>0.48</v>
      </c>
      <c r="P3830">
        <v>1.07</v>
      </c>
      <c r="Q3830">
        <v>0.01</v>
      </c>
    </row>
    <row r="3831" spans="1:17" x14ac:dyDescent="0.25">
      <c r="A3831">
        <v>732759</v>
      </c>
      <c r="B3831" t="s">
        <v>5143</v>
      </c>
      <c r="C3831">
        <v>0.21</v>
      </c>
      <c r="D3831">
        <v>-0.03</v>
      </c>
      <c r="E3831">
        <v>0.23</v>
      </c>
      <c r="F3831">
        <v>0.23</v>
      </c>
      <c r="G3831">
        <v>0.21</v>
      </c>
      <c r="H3831">
        <v>0.22</v>
      </c>
      <c r="I3831" s="1">
        <v>25000</v>
      </c>
      <c r="J3831" s="1">
        <v>5500</v>
      </c>
      <c r="K3831">
        <v>4</v>
      </c>
      <c r="L3831">
        <v>0.21</v>
      </c>
      <c r="M3831">
        <v>0.22</v>
      </c>
      <c r="N3831" s="1">
        <v>5000000</v>
      </c>
      <c r="O3831">
        <v>0.21</v>
      </c>
      <c r="P3831">
        <v>0.83</v>
      </c>
      <c r="Q3831">
        <v>0.01</v>
      </c>
    </row>
    <row r="3832" spans="1:17" x14ac:dyDescent="0.25">
      <c r="A3832">
        <v>732760</v>
      </c>
      <c r="B3832" t="s">
        <v>5144</v>
      </c>
      <c r="C3832">
        <v>0.81</v>
      </c>
      <c r="D3832">
        <v>0.03</v>
      </c>
      <c r="E3832">
        <v>0.82</v>
      </c>
      <c r="F3832">
        <v>0.83</v>
      </c>
      <c r="G3832">
        <v>0.81</v>
      </c>
      <c r="H3832">
        <v>0.82</v>
      </c>
      <c r="I3832" s="1">
        <v>478000</v>
      </c>
      <c r="J3832" s="1">
        <v>390910</v>
      </c>
      <c r="K3832">
        <v>8</v>
      </c>
      <c r="L3832">
        <v>0.78</v>
      </c>
      <c r="M3832">
        <v>0.79</v>
      </c>
      <c r="N3832" s="1">
        <v>5000000</v>
      </c>
      <c r="O3832">
        <v>0.81</v>
      </c>
      <c r="P3832">
        <v>1.3</v>
      </c>
      <c r="Q3832">
        <v>0.32</v>
      </c>
    </row>
    <row r="3833" spans="1:17" x14ac:dyDescent="0.25">
      <c r="A3833">
        <v>732761</v>
      </c>
      <c r="B3833" t="s">
        <v>5145</v>
      </c>
      <c r="C3833">
        <v>0.32</v>
      </c>
      <c r="D3833">
        <v>0</v>
      </c>
      <c r="E3833">
        <v>0.32</v>
      </c>
      <c r="F3833">
        <v>0.32</v>
      </c>
      <c r="G3833">
        <v>0.32</v>
      </c>
      <c r="H3833">
        <v>0.32</v>
      </c>
      <c r="I3833" s="1">
        <v>100000</v>
      </c>
      <c r="J3833" s="1">
        <v>32000</v>
      </c>
      <c r="K3833">
        <v>1</v>
      </c>
      <c r="L3833">
        <v>0.3</v>
      </c>
      <c r="M3833">
        <v>0.31</v>
      </c>
      <c r="N3833" s="1">
        <v>5000000</v>
      </c>
      <c r="O3833">
        <v>0.32</v>
      </c>
      <c r="P3833">
        <v>1.19</v>
      </c>
      <c r="Q3833">
        <v>0.01</v>
      </c>
    </row>
    <row r="3834" spans="1:17" x14ac:dyDescent="0.25">
      <c r="A3834">
        <v>732762</v>
      </c>
      <c r="B3834" t="s">
        <v>5146</v>
      </c>
      <c r="C3834">
        <v>0.52</v>
      </c>
      <c r="D3834">
        <v>0</v>
      </c>
      <c r="E3834">
        <v>0.51</v>
      </c>
      <c r="F3834">
        <v>0.52</v>
      </c>
      <c r="G3834">
        <v>0.51</v>
      </c>
      <c r="H3834">
        <v>0.51</v>
      </c>
      <c r="I3834" s="1">
        <v>130000</v>
      </c>
      <c r="J3834" s="1">
        <v>66450</v>
      </c>
      <c r="K3834">
        <v>5</v>
      </c>
      <c r="L3834">
        <v>0.51</v>
      </c>
      <c r="M3834">
        <v>0.52</v>
      </c>
      <c r="N3834" s="1">
        <v>10000000</v>
      </c>
      <c r="O3834">
        <v>0.52</v>
      </c>
      <c r="P3834">
        <v>1.1000000000000001</v>
      </c>
      <c r="Q3834">
        <v>0.01</v>
      </c>
    </row>
    <row r="3835" spans="1:17" x14ac:dyDescent="0.25">
      <c r="A3835">
        <v>732763</v>
      </c>
      <c r="B3835" t="s">
        <v>5147</v>
      </c>
      <c r="C3835">
        <v>0.45</v>
      </c>
      <c r="D3835">
        <v>-0.01</v>
      </c>
      <c r="E3835">
        <v>0.45</v>
      </c>
      <c r="F3835">
        <v>0.45</v>
      </c>
      <c r="G3835">
        <v>0.45</v>
      </c>
      <c r="H3835">
        <v>0.45</v>
      </c>
      <c r="I3835" s="1">
        <v>103000</v>
      </c>
      <c r="J3835" s="1">
        <v>46350</v>
      </c>
      <c r="K3835">
        <v>2</v>
      </c>
      <c r="L3835">
        <v>0.44</v>
      </c>
      <c r="M3835">
        <v>0.45</v>
      </c>
      <c r="N3835" s="1">
        <v>5000000</v>
      </c>
      <c r="O3835">
        <v>0.45</v>
      </c>
      <c r="P3835">
        <v>1.45</v>
      </c>
      <c r="Q3835">
        <v>0.01</v>
      </c>
    </row>
    <row r="3836" spans="1:17" x14ac:dyDescent="0.25">
      <c r="A3836">
        <v>732764</v>
      </c>
      <c r="B3836" t="s">
        <v>5148</v>
      </c>
      <c r="C3836" t="s">
        <v>78</v>
      </c>
      <c r="D3836" t="s">
        <v>78</v>
      </c>
      <c r="E3836" t="s">
        <v>78</v>
      </c>
      <c r="F3836" t="s">
        <v>78</v>
      </c>
      <c r="G3836" t="s">
        <v>78</v>
      </c>
      <c r="H3836">
        <v>0.51</v>
      </c>
      <c r="I3836" s="1">
        <v>0</v>
      </c>
      <c r="J3836" s="1">
        <v>0</v>
      </c>
      <c r="K3836">
        <v>0</v>
      </c>
      <c r="L3836">
        <v>0.49</v>
      </c>
      <c r="M3836">
        <v>0.5</v>
      </c>
      <c r="N3836" s="1">
        <v>5350000</v>
      </c>
      <c r="O3836">
        <v>0.5</v>
      </c>
      <c r="P3836">
        <v>1.25</v>
      </c>
      <c r="Q3836">
        <v>0.01</v>
      </c>
    </row>
    <row r="3837" spans="1:17" x14ac:dyDescent="0.25">
      <c r="A3837">
        <v>732765</v>
      </c>
      <c r="B3837" t="s">
        <v>5149</v>
      </c>
      <c r="C3837" t="s">
        <v>78</v>
      </c>
      <c r="D3837" t="s">
        <v>78</v>
      </c>
      <c r="E3837" t="s">
        <v>78</v>
      </c>
      <c r="F3837" t="s">
        <v>78</v>
      </c>
      <c r="G3837" t="s">
        <v>78</v>
      </c>
      <c r="H3837">
        <v>3.3</v>
      </c>
      <c r="I3837" s="1">
        <v>0</v>
      </c>
      <c r="J3837" s="1">
        <v>0</v>
      </c>
      <c r="K3837">
        <v>0</v>
      </c>
      <c r="L3837">
        <v>2.27</v>
      </c>
      <c r="M3837">
        <v>2.33</v>
      </c>
      <c r="N3837" s="1">
        <v>10000000</v>
      </c>
      <c r="O3837">
        <v>2.27</v>
      </c>
      <c r="P3837">
        <v>3.39</v>
      </c>
      <c r="Q3837">
        <v>1.1499999999999999</v>
      </c>
    </row>
    <row r="3838" spans="1:17" x14ac:dyDescent="0.25">
      <c r="A3838">
        <v>732766</v>
      </c>
      <c r="B3838" t="s">
        <v>5150</v>
      </c>
      <c r="C3838">
        <v>0.35</v>
      </c>
      <c r="D3838">
        <v>0.01</v>
      </c>
      <c r="E3838">
        <v>0.35</v>
      </c>
      <c r="F3838">
        <v>0.35</v>
      </c>
      <c r="G3838">
        <v>0.35</v>
      </c>
      <c r="H3838">
        <v>0.35</v>
      </c>
      <c r="I3838" s="1">
        <v>100000</v>
      </c>
      <c r="J3838" s="1">
        <v>35000</v>
      </c>
      <c r="K3838">
        <v>1</v>
      </c>
      <c r="L3838">
        <v>0.33</v>
      </c>
      <c r="M3838">
        <v>0.34</v>
      </c>
      <c r="N3838" s="1">
        <v>10000000</v>
      </c>
      <c r="O3838">
        <v>0.35</v>
      </c>
      <c r="P3838">
        <v>1.22</v>
      </c>
      <c r="Q3838">
        <v>0.01</v>
      </c>
    </row>
    <row r="3839" spans="1:17" x14ac:dyDescent="0.25">
      <c r="A3839">
        <v>732767</v>
      </c>
      <c r="B3839" t="s">
        <v>5151</v>
      </c>
      <c r="C3839" t="s">
        <v>78</v>
      </c>
      <c r="D3839" t="s">
        <v>78</v>
      </c>
      <c r="E3839" t="s">
        <v>78</v>
      </c>
      <c r="F3839" t="s">
        <v>78</v>
      </c>
      <c r="G3839" t="s">
        <v>78</v>
      </c>
      <c r="H3839">
        <v>0.24</v>
      </c>
      <c r="I3839" s="1">
        <v>0</v>
      </c>
      <c r="J3839" s="1">
        <v>0</v>
      </c>
      <c r="K3839">
        <v>0</v>
      </c>
      <c r="L3839">
        <v>0.24</v>
      </c>
      <c r="M3839">
        <v>0.25</v>
      </c>
      <c r="N3839" s="1">
        <v>10000000</v>
      </c>
      <c r="O3839">
        <v>0.25</v>
      </c>
      <c r="P3839">
        <v>1.41</v>
      </c>
      <c r="Q3839">
        <v>0.01</v>
      </c>
    </row>
    <row r="3840" spans="1:17" x14ac:dyDescent="0.25">
      <c r="A3840">
        <v>732768</v>
      </c>
      <c r="B3840" t="s">
        <v>5152</v>
      </c>
      <c r="C3840" t="s">
        <v>78</v>
      </c>
      <c r="D3840" t="s">
        <v>78</v>
      </c>
      <c r="E3840" t="s">
        <v>78</v>
      </c>
      <c r="F3840" t="s">
        <v>78</v>
      </c>
      <c r="G3840" t="s">
        <v>78</v>
      </c>
      <c r="H3840">
        <v>0.26</v>
      </c>
      <c r="I3840" s="1">
        <v>0</v>
      </c>
      <c r="J3840" s="1">
        <v>0</v>
      </c>
      <c r="K3840">
        <v>0</v>
      </c>
      <c r="L3840">
        <v>0.16</v>
      </c>
      <c r="M3840">
        <v>0.17</v>
      </c>
      <c r="N3840" s="1">
        <v>10000000</v>
      </c>
      <c r="O3840">
        <v>0.17</v>
      </c>
      <c r="P3840">
        <v>1.62</v>
      </c>
      <c r="Q3840">
        <v>0.01</v>
      </c>
    </row>
    <row r="3841" spans="1:17" x14ac:dyDescent="0.25">
      <c r="A3841">
        <v>732769</v>
      </c>
      <c r="B3841" t="s">
        <v>5153</v>
      </c>
      <c r="C3841">
        <v>0.6</v>
      </c>
      <c r="D3841">
        <v>-0.06</v>
      </c>
      <c r="E3841">
        <v>0.6</v>
      </c>
      <c r="F3841">
        <v>0.6</v>
      </c>
      <c r="G3841">
        <v>0.6</v>
      </c>
      <c r="H3841">
        <v>0.6</v>
      </c>
      <c r="I3841" s="1">
        <v>10000</v>
      </c>
      <c r="J3841" s="1">
        <v>6000</v>
      </c>
      <c r="K3841">
        <v>1</v>
      </c>
      <c r="L3841">
        <v>0.61</v>
      </c>
      <c r="M3841">
        <v>0.62</v>
      </c>
      <c r="N3841" s="1">
        <v>5000000</v>
      </c>
      <c r="O3841">
        <v>0.6</v>
      </c>
      <c r="P3841">
        <v>1.44</v>
      </c>
      <c r="Q3841">
        <v>0.01</v>
      </c>
    </row>
    <row r="3842" spans="1:17" x14ac:dyDescent="0.25">
      <c r="A3842">
        <v>732770</v>
      </c>
      <c r="B3842" t="s">
        <v>5154</v>
      </c>
      <c r="C3842">
        <v>0.35</v>
      </c>
      <c r="D3842">
        <v>-0.01</v>
      </c>
      <c r="E3842">
        <v>0.35</v>
      </c>
      <c r="F3842">
        <v>0.35</v>
      </c>
      <c r="G3842">
        <v>0.35</v>
      </c>
      <c r="H3842">
        <v>0.35</v>
      </c>
      <c r="I3842" s="1">
        <v>106000</v>
      </c>
      <c r="J3842" s="1">
        <v>37100</v>
      </c>
      <c r="K3842">
        <v>2</v>
      </c>
      <c r="L3842">
        <v>0.33</v>
      </c>
      <c r="M3842">
        <v>0.34</v>
      </c>
      <c r="N3842" s="1">
        <v>10000000</v>
      </c>
      <c r="O3842">
        <v>0.35</v>
      </c>
      <c r="P3842">
        <v>1.1100000000000001</v>
      </c>
      <c r="Q3842">
        <v>0.01</v>
      </c>
    </row>
    <row r="3843" spans="1:17" x14ac:dyDescent="0.25">
      <c r="A3843">
        <v>732771</v>
      </c>
      <c r="B3843" t="s">
        <v>5155</v>
      </c>
      <c r="C3843">
        <v>0.61</v>
      </c>
      <c r="D3843">
        <v>0</v>
      </c>
      <c r="E3843">
        <v>0.61</v>
      </c>
      <c r="F3843">
        <v>0.61</v>
      </c>
      <c r="G3843">
        <v>0.61</v>
      </c>
      <c r="H3843">
        <v>0.61</v>
      </c>
      <c r="I3843" s="1">
        <v>338000</v>
      </c>
      <c r="J3843" s="1">
        <v>206180</v>
      </c>
      <c r="K3843">
        <v>13</v>
      </c>
      <c r="L3843">
        <v>0.56000000000000005</v>
      </c>
      <c r="M3843">
        <v>0.56999999999999995</v>
      </c>
      <c r="N3843" s="1">
        <v>10000000</v>
      </c>
      <c r="O3843">
        <v>0.61</v>
      </c>
      <c r="P3843">
        <v>1.52</v>
      </c>
      <c r="Q3843">
        <v>0.01</v>
      </c>
    </row>
    <row r="3844" spans="1:17" x14ac:dyDescent="0.25">
      <c r="A3844">
        <v>732772</v>
      </c>
      <c r="B3844" t="s">
        <v>5156</v>
      </c>
      <c r="C3844">
        <v>0.51</v>
      </c>
      <c r="D3844">
        <v>0.01</v>
      </c>
      <c r="E3844">
        <v>0.52</v>
      </c>
      <c r="F3844">
        <v>0.52</v>
      </c>
      <c r="G3844">
        <v>0.51</v>
      </c>
      <c r="H3844">
        <v>0.52</v>
      </c>
      <c r="I3844" s="1">
        <v>114000</v>
      </c>
      <c r="J3844" s="1">
        <v>59230</v>
      </c>
      <c r="K3844">
        <v>3</v>
      </c>
      <c r="L3844">
        <v>0.5</v>
      </c>
      <c r="M3844">
        <v>0.51</v>
      </c>
      <c r="N3844" s="1">
        <v>10000000</v>
      </c>
      <c r="O3844">
        <v>0.51</v>
      </c>
      <c r="P3844">
        <v>1.03</v>
      </c>
      <c r="Q3844">
        <v>0.01</v>
      </c>
    </row>
    <row r="3845" spans="1:17" x14ac:dyDescent="0.25">
      <c r="A3845">
        <v>732773</v>
      </c>
      <c r="B3845" t="s">
        <v>5157</v>
      </c>
      <c r="C3845" t="s">
        <v>78</v>
      </c>
      <c r="D3845" t="s">
        <v>78</v>
      </c>
      <c r="E3845" t="s">
        <v>78</v>
      </c>
      <c r="F3845" t="s">
        <v>78</v>
      </c>
      <c r="G3845" t="s">
        <v>78</v>
      </c>
      <c r="H3845">
        <v>0.45</v>
      </c>
      <c r="I3845" s="1">
        <v>0</v>
      </c>
      <c r="J3845" s="1">
        <v>0</v>
      </c>
      <c r="K3845">
        <v>0</v>
      </c>
      <c r="L3845">
        <v>0.41</v>
      </c>
      <c r="M3845">
        <v>0.42</v>
      </c>
      <c r="N3845" s="1">
        <v>10000000</v>
      </c>
      <c r="O3845">
        <v>0.41</v>
      </c>
      <c r="P3845">
        <v>0.98</v>
      </c>
      <c r="Q3845">
        <v>0.01</v>
      </c>
    </row>
    <row r="3846" spans="1:17" x14ac:dyDescent="0.25">
      <c r="A3846">
        <v>732774</v>
      </c>
      <c r="B3846" t="s">
        <v>5158</v>
      </c>
      <c r="C3846" t="s">
        <v>78</v>
      </c>
      <c r="D3846" t="s">
        <v>78</v>
      </c>
      <c r="E3846" t="s">
        <v>78</v>
      </c>
      <c r="F3846" t="s">
        <v>78</v>
      </c>
      <c r="G3846" t="s">
        <v>78</v>
      </c>
      <c r="H3846">
        <v>1.23</v>
      </c>
      <c r="I3846" s="1">
        <v>0</v>
      </c>
      <c r="J3846" s="1">
        <v>0</v>
      </c>
      <c r="K3846">
        <v>0</v>
      </c>
      <c r="L3846">
        <v>1.17</v>
      </c>
      <c r="M3846">
        <v>1.18</v>
      </c>
      <c r="N3846" s="1">
        <v>10000000</v>
      </c>
      <c r="O3846">
        <v>1.18</v>
      </c>
      <c r="P3846">
        <v>1.74</v>
      </c>
      <c r="Q3846">
        <v>0.62</v>
      </c>
    </row>
    <row r="3847" spans="1:17" x14ac:dyDescent="0.25">
      <c r="A3847">
        <v>732775</v>
      </c>
      <c r="B3847" t="s">
        <v>5159</v>
      </c>
      <c r="C3847">
        <v>0.56999999999999995</v>
      </c>
      <c r="D3847">
        <v>0.13</v>
      </c>
      <c r="E3847">
        <v>0.47</v>
      </c>
      <c r="F3847">
        <v>0.57999999999999996</v>
      </c>
      <c r="G3847">
        <v>0.43</v>
      </c>
      <c r="H3847">
        <v>0.52</v>
      </c>
      <c r="I3847" s="1">
        <v>277000</v>
      </c>
      <c r="J3847" s="1">
        <v>142760</v>
      </c>
      <c r="K3847">
        <v>12</v>
      </c>
      <c r="L3847">
        <v>0.56000000000000005</v>
      </c>
      <c r="M3847">
        <v>0.56999999999999995</v>
      </c>
      <c r="N3847" s="1">
        <v>10000000</v>
      </c>
      <c r="O3847">
        <v>0.56999999999999995</v>
      </c>
      <c r="P3847">
        <v>1.01</v>
      </c>
      <c r="Q3847">
        <v>0.13</v>
      </c>
    </row>
    <row r="3848" spans="1:17" x14ac:dyDescent="0.25">
      <c r="A3848">
        <v>732776</v>
      </c>
      <c r="B3848" t="s">
        <v>5160</v>
      </c>
      <c r="C3848" t="s">
        <v>78</v>
      </c>
      <c r="D3848" t="s">
        <v>78</v>
      </c>
      <c r="E3848" t="s">
        <v>78</v>
      </c>
      <c r="F3848" t="s">
        <v>78</v>
      </c>
      <c r="G3848" t="s">
        <v>78</v>
      </c>
      <c r="H3848">
        <v>0.43</v>
      </c>
      <c r="I3848" s="1">
        <v>0</v>
      </c>
      <c r="J3848" s="1">
        <v>0</v>
      </c>
      <c r="K3848">
        <v>0</v>
      </c>
      <c r="L3848">
        <v>0.38</v>
      </c>
      <c r="M3848">
        <v>0.39</v>
      </c>
      <c r="N3848" s="1">
        <v>5000000</v>
      </c>
      <c r="O3848">
        <v>0.39</v>
      </c>
      <c r="P3848">
        <v>1.1499999999999999</v>
      </c>
      <c r="Q3848">
        <v>0.01</v>
      </c>
    </row>
    <row r="3849" spans="1:17" x14ac:dyDescent="0.25">
      <c r="A3849">
        <v>732777</v>
      </c>
      <c r="B3849" t="s">
        <v>5161</v>
      </c>
      <c r="C3849" t="s">
        <v>78</v>
      </c>
      <c r="D3849" t="s">
        <v>78</v>
      </c>
      <c r="E3849" t="s">
        <v>78</v>
      </c>
      <c r="F3849" t="s">
        <v>78</v>
      </c>
      <c r="G3849" t="s">
        <v>78</v>
      </c>
      <c r="H3849">
        <v>0.39</v>
      </c>
      <c r="I3849" s="1">
        <v>0</v>
      </c>
      <c r="J3849" s="1">
        <v>0</v>
      </c>
      <c r="K3849">
        <v>0</v>
      </c>
      <c r="L3849">
        <v>0.32</v>
      </c>
      <c r="M3849">
        <v>0.33</v>
      </c>
      <c r="N3849" s="1">
        <v>5000000</v>
      </c>
      <c r="O3849">
        <v>0.32</v>
      </c>
      <c r="P3849">
        <v>1.07</v>
      </c>
      <c r="Q3849">
        <v>0.01</v>
      </c>
    </row>
    <row r="3850" spans="1:17" x14ac:dyDescent="0.25">
      <c r="A3850">
        <v>732778</v>
      </c>
      <c r="B3850" t="s">
        <v>5162</v>
      </c>
      <c r="C3850">
        <v>0.94</v>
      </c>
      <c r="D3850">
        <v>0.09</v>
      </c>
      <c r="E3850">
        <v>0.87</v>
      </c>
      <c r="F3850">
        <v>0.94</v>
      </c>
      <c r="G3850">
        <v>0.87</v>
      </c>
      <c r="H3850">
        <v>0.9</v>
      </c>
      <c r="I3850" s="1">
        <v>110000</v>
      </c>
      <c r="J3850" s="1">
        <v>99150</v>
      </c>
      <c r="K3850">
        <v>9</v>
      </c>
      <c r="L3850">
        <v>0.9</v>
      </c>
      <c r="M3850">
        <v>0.91</v>
      </c>
      <c r="N3850" s="1">
        <v>6000000</v>
      </c>
      <c r="O3850">
        <v>0.94</v>
      </c>
      <c r="P3850">
        <v>1.76</v>
      </c>
      <c r="Q3850">
        <v>0.12</v>
      </c>
    </row>
    <row r="3851" spans="1:17" x14ac:dyDescent="0.25">
      <c r="A3851">
        <v>732779</v>
      </c>
      <c r="B3851" t="s">
        <v>5163</v>
      </c>
      <c r="C3851">
        <v>1.1399999999999999</v>
      </c>
      <c r="D3851">
        <v>0.03</v>
      </c>
      <c r="E3851">
        <v>1.2</v>
      </c>
      <c r="F3851">
        <v>1.2</v>
      </c>
      <c r="G3851">
        <v>1.1200000000000001</v>
      </c>
      <c r="H3851">
        <v>1.1599999999999999</v>
      </c>
      <c r="I3851" s="1">
        <v>976000</v>
      </c>
      <c r="J3851" s="1">
        <v>1135520</v>
      </c>
      <c r="K3851">
        <v>26</v>
      </c>
      <c r="L3851">
        <v>1.1200000000000001</v>
      </c>
      <c r="M3851">
        <v>1.1399999999999999</v>
      </c>
      <c r="N3851" s="1">
        <v>10000000</v>
      </c>
      <c r="O3851">
        <v>1.1399999999999999</v>
      </c>
      <c r="P3851">
        <v>1.78</v>
      </c>
      <c r="Q3851">
        <v>0.5</v>
      </c>
    </row>
    <row r="3852" spans="1:17" x14ac:dyDescent="0.25">
      <c r="A3852">
        <v>732780</v>
      </c>
      <c r="B3852" t="s">
        <v>5164</v>
      </c>
      <c r="C3852">
        <v>1.71</v>
      </c>
      <c r="D3852">
        <v>-0.1</v>
      </c>
      <c r="E3852">
        <v>1.86</v>
      </c>
      <c r="F3852">
        <v>1.95</v>
      </c>
      <c r="G3852">
        <v>1.71</v>
      </c>
      <c r="H3852">
        <v>1.88</v>
      </c>
      <c r="I3852" s="1">
        <v>1465000</v>
      </c>
      <c r="J3852" s="1">
        <v>2756120</v>
      </c>
      <c r="K3852">
        <v>38</v>
      </c>
      <c r="L3852">
        <v>1.72</v>
      </c>
      <c r="M3852">
        <v>1.74</v>
      </c>
      <c r="N3852" s="1">
        <v>5000000</v>
      </c>
      <c r="O3852">
        <v>1.71</v>
      </c>
      <c r="P3852">
        <v>2.83</v>
      </c>
      <c r="Q3852">
        <v>0.59</v>
      </c>
    </row>
    <row r="3853" spans="1:17" x14ac:dyDescent="0.25">
      <c r="A3853">
        <v>732781</v>
      </c>
      <c r="B3853" t="s">
        <v>5165</v>
      </c>
      <c r="C3853">
        <v>0.83</v>
      </c>
      <c r="D3853">
        <v>0.05</v>
      </c>
      <c r="E3853">
        <v>0.8</v>
      </c>
      <c r="F3853">
        <v>0.83</v>
      </c>
      <c r="G3853">
        <v>0.8</v>
      </c>
      <c r="H3853">
        <v>0.82</v>
      </c>
      <c r="I3853" s="1">
        <v>120000</v>
      </c>
      <c r="J3853" s="1">
        <v>99000</v>
      </c>
      <c r="K3853">
        <v>2</v>
      </c>
      <c r="L3853">
        <v>0.79</v>
      </c>
      <c r="M3853">
        <v>0.8</v>
      </c>
      <c r="N3853" s="1">
        <v>10000000</v>
      </c>
      <c r="O3853">
        <v>0.83</v>
      </c>
      <c r="P3853">
        <v>1.4</v>
      </c>
      <c r="Q3853">
        <v>0.26</v>
      </c>
    </row>
    <row r="3854" spans="1:17" x14ac:dyDescent="0.25">
      <c r="A3854">
        <v>732782</v>
      </c>
      <c r="B3854" t="s">
        <v>5166</v>
      </c>
      <c r="C3854">
        <v>4.08</v>
      </c>
      <c r="D3854">
        <v>0.05</v>
      </c>
      <c r="E3854">
        <v>4.08</v>
      </c>
      <c r="F3854">
        <v>4.08</v>
      </c>
      <c r="G3854">
        <v>4.08</v>
      </c>
      <c r="H3854">
        <v>4.08</v>
      </c>
      <c r="I3854" s="1">
        <v>7000</v>
      </c>
      <c r="J3854" s="1">
        <v>28560</v>
      </c>
      <c r="K3854">
        <v>2</v>
      </c>
      <c r="L3854">
        <v>4.08</v>
      </c>
      <c r="M3854">
        <v>4.18</v>
      </c>
      <c r="N3854" s="1">
        <v>5000000</v>
      </c>
      <c r="O3854">
        <v>4.08</v>
      </c>
      <c r="P3854">
        <v>5.45</v>
      </c>
      <c r="Q3854">
        <v>2.7</v>
      </c>
    </row>
    <row r="3855" spans="1:17" x14ac:dyDescent="0.25">
      <c r="A3855">
        <v>732783</v>
      </c>
      <c r="B3855" t="s">
        <v>5167</v>
      </c>
      <c r="C3855">
        <v>1.31</v>
      </c>
      <c r="D3855">
        <v>-0.11</v>
      </c>
      <c r="E3855">
        <v>1.37</v>
      </c>
      <c r="F3855">
        <v>1.38</v>
      </c>
      <c r="G3855">
        <v>1.27</v>
      </c>
      <c r="H3855">
        <v>1.33</v>
      </c>
      <c r="I3855" s="1">
        <v>130000</v>
      </c>
      <c r="J3855" s="1">
        <v>173500</v>
      </c>
      <c r="K3855">
        <v>6</v>
      </c>
      <c r="L3855">
        <v>1.26</v>
      </c>
      <c r="M3855">
        <v>1.31</v>
      </c>
      <c r="N3855" s="1">
        <v>5000000</v>
      </c>
      <c r="O3855">
        <v>1.31</v>
      </c>
      <c r="P3855">
        <v>2.71</v>
      </c>
      <c r="Q3855">
        <v>0.01</v>
      </c>
    </row>
    <row r="3856" spans="1:17" x14ac:dyDescent="0.25">
      <c r="A3856">
        <v>732784</v>
      </c>
      <c r="B3856" t="s">
        <v>5168</v>
      </c>
      <c r="C3856">
        <v>1.03</v>
      </c>
      <c r="D3856">
        <v>-0.01</v>
      </c>
      <c r="E3856">
        <v>1.1000000000000001</v>
      </c>
      <c r="F3856">
        <v>1.1000000000000001</v>
      </c>
      <c r="G3856">
        <v>1</v>
      </c>
      <c r="H3856">
        <v>1.04</v>
      </c>
      <c r="I3856" s="1">
        <v>207000</v>
      </c>
      <c r="J3856" s="1">
        <v>215720</v>
      </c>
      <c r="K3856">
        <v>13</v>
      </c>
      <c r="L3856">
        <v>1.02</v>
      </c>
      <c r="M3856">
        <v>1.03</v>
      </c>
      <c r="N3856" s="1">
        <v>5000000</v>
      </c>
      <c r="O3856">
        <v>1.03</v>
      </c>
      <c r="P3856">
        <v>2.08</v>
      </c>
      <c r="Q3856">
        <v>0.01</v>
      </c>
    </row>
    <row r="3857" spans="1:17" x14ac:dyDescent="0.25">
      <c r="A3857">
        <v>732785</v>
      </c>
      <c r="B3857" t="s">
        <v>5169</v>
      </c>
      <c r="C3857">
        <v>0.56000000000000005</v>
      </c>
      <c r="D3857">
        <v>-0.02</v>
      </c>
      <c r="E3857">
        <v>0.6</v>
      </c>
      <c r="F3857">
        <v>0.6</v>
      </c>
      <c r="G3857">
        <v>0.56000000000000005</v>
      </c>
      <c r="H3857">
        <v>0.59</v>
      </c>
      <c r="I3857" s="1">
        <v>480000</v>
      </c>
      <c r="J3857" s="1">
        <v>281300</v>
      </c>
      <c r="K3857">
        <v>7</v>
      </c>
      <c r="L3857">
        <v>0.55000000000000004</v>
      </c>
      <c r="M3857">
        <v>0.56000000000000005</v>
      </c>
      <c r="N3857" s="1">
        <v>5000000</v>
      </c>
      <c r="O3857">
        <v>0.56000000000000005</v>
      </c>
      <c r="P3857">
        <v>2.84</v>
      </c>
      <c r="Q3857">
        <v>0.01</v>
      </c>
    </row>
    <row r="3858" spans="1:17" x14ac:dyDescent="0.25">
      <c r="A3858">
        <v>732786</v>
      </c>
      <c r="B3858" t="s">
        <v>5170</v>
      </c>
      <c r="C3858">
        <v>1.9</v>
      </c>
      <c r="D3858">
        <v>-0.25</v>
      </c>
      <c r="E3858">
        <v>1.9</v>
      </c>
      <c r="F3858">
        <v>1.9</v>
      </c>
      <c r="G3858">
        <v>1.9</v>
      </c>
      <c r="H3858">
        <v>1.9</v>
      </c>
      <c r="I3858" s="1">
        <v>11000</v>
      </c>
      <c r="J3858" s="1">
        <v>20900</v>
      </c>
      <c r="K3858">
        <v>1</v>
      </c>
      <c r="L3858">
        <v>1.91</v>
      </c>
      <c r="M3858">
        <v>1.93</v>
      </c>
      <c r="N3858" s="1">
        <v>5000000</v>
      </c>
      <c r="O3858">
        <v>1.9</v>
      </c>
      <c r="P3858">
        <v>3.1</v>
      </c>
      <c r="Q3858">
        <v>0.7</v>
      </c>
    </row>
    <row r="3859" spans="1:17" x14ac:dyDescent="0.25">
      <c r="A3859">
        <v>732787</v>
      </c>
      <c r="B3859" t="s">
        <v>5171</v>
      </c>
      <c r="C3859">
        <v>1.71</v>
      </c>
      <c r="D3859">
        <v>0.1</v>
      </c>
      <c r="E3859">
        <v>1.74</v>
      </c>
      <c r="F3859">
        <v>1.79</v>
      </c>
      <c r="G3859">
        <v>1.67</v>
      </c>
      <c r="H3859">
        <v>1.72</v>
      </c>
      <c r="I3859" s="1">
        <v>3517000</v>
      </c>
      <c r="J3859" s="1">
        <v>6061050</v>
      </c>
      <c r="K3859">
        <v>97</v>
      </c>
      <c r="L3859">
        <v>1.7</v>
      </c>
      <c r="M3859">
        <v>1.71</v>
      </c>
      <c r="N3859" s="1">
        <v>10000000</v>
      </c>
      <c r="O3859">
        <v>1.71</v>
      </c>
      <c r="P3859">
        <v>2.79</v>
      </c>
      <c r="Q3859">
        <v>0.63</v>
      </c>
    </row>
    <row r="3860" spans="1:17" x14ac:dyDescent="0.25">
      <c r="A3860">
        <v>732788</v>
      </c>
      <c r="B3860" t="s">
        <v>5172</v>
      </c>
      <c r="C3860">
        <v>0.79</v>
      </c>
      <c r="D3860">
        <v>0</v>
      </c>
      <c r="E3860">
        <v>0.81</v>
      </c>
      <c r="F3860">
        <v>0.82</v>
      </c>
      <c r="G3860">
        <v>0.79</v>
      </c>
      <c r="H3860">
        <v>0.8</v>
      </c>
      <c r="I3860" s="1">
        <v>632000</v>
      </c>
      <c r="J3860" s="1">
        <v>503760</v>
      </c>
      <c r="K3860">
        <v>8</v>
      </c>
      <c r="L3860">
        <v>0.79</v>
      </c>
      <c r="M3860">
        <v>0.8</v>
      </c>
      <c r="N3860" s="1">
        <v>10000000</v>
      </c>
      <c r="O3860">
        <v>0.79</v>
      </c>
      <c r="P3860">
        <v>1.68</v>
      </c>
      <c r="Q3860">
        <v>0.01</v>
      </c>
    </row>
    <row r="3861" spans="1:17" x14ac:dyDescent="0.25">
      <c r="A3861">
        <v>732789</v>
      </c>
      <c r="B3861" t="s">
        <v>5173</v>
      </c>
      <c r="C3861">
        <v>1.56</v>
      </c>
      <c r="D3861">
        <v>-0.16</v>
      </c>
      <c r="E3861">
        <v>1.77</v>
      </c>
      <c r="F3861">
        <v>1.78</v>
      </c>
      <c r="G3861">
        <v>1.56</v>
      </c>
      <c r="H3861">
        <v>1.69</v>
      </c>
      <c r="I3861" s="1">
        <v>379000</v>
      </c>
      <c r="J3861" s="1">
        <v>639260</v>
      </c>
      <c r="K3861">
        <v>21</v>
      </c>
      <c r="L3861">
        <v>1.54</v>
      </c>
      <c r="M3861">
        <v>1.56</v>
      </c>
      <c r="N3861" s="1">
        <v>5000000</v>
      </c>
      <c r="O3861">
        <v>1.56</v>
      </c>
      <c r="P3861">
        <v>2.96</v>
      </c>
      <c r="Q3861">
        <v>0.16</v>
      </c>
    </row>
    <row r="3862" spans="1:17" x14ac:dyDescent="0.25">
      <c r="A3862">
        <v>732790</v>
      </c>
      <c r="B3862" t="s">
        <v>5174</v>
      </c>
      <c r="C3862">
        <v>1.02</v>
      </c>
      <c r="D3862">
        <v>0.05</v>
      </c>
      <c r="E3862">
        <v>1.02</v>
      </c>
      <c r="F3862">
        <v>1.02</v>
      </c>
      <c r="G3862">
        <v>1.02</v>
      </c>
      <c r="H3862">
        <v>1.02</v>
      </c>
      <c r="I3862" s="1">
        <v>1000</v>
      </c>
      <c r="J3862" s="1">
        <v>1020</v>
      </c>
      <c r="K3862">
        <v>1</v>
      </c>
      <c r="L3862">
        <v>1.01</v>
      </c>
      <c r="M3862">
        <v>1.07</v>
      </c>
      <c r="N3862" s="1">
        <v>10000000</v>
      </c>
      <c r="O3862">
        <v>1.02</v>
      </c>
      <c r="P3862">
        <v>1.65</v>
      </c>
      <c r="Q3862">
        <v>0.39</v>
      </c>
    </row>
    <row r="3863" spans="1:17" x14ac:dyDescent="0.25">
      <c r="A3863">
        <v>732791</v>
      </c>
      <c r="B3863" t="s">
        <v>5175</v>
      </c>
      <c r="C3863" t="s">
        <v>78</v>
      </c>
      <c r="D3863" t="s">
        <v>78</v>
      </c>
      <c r="E3863" t="s">
        <v>78</v>
      </c>
      <c r="F3863" t="s">
        <v>78</v>
      </c>
      <c r="G3863" t="s">
        <v>78</v>
      </c>
      <c r="H3863">
        <v>0.51</v>
      </c>
      <c r="I3863" s="1">
        <v>0</v>
      </c>
      <c r="J3863" s="1">
        <v>0</v>
      </c>
      <c r="K3863">
        <v>0</v>
      </c>
      <c r="L3863">
        <v>0.47</v>
      </c>
      <c r="M3863">
        <v>0.48</v>
      </c>
      <c r="N3863" s="1">
        <v>5000000</v>
      </c>
      <c r="O3863">
        <v>0.48</v>
      </c>
      <c r="P3863">
        <v>0.9</v>
      </c>
      <c r="Q3863">
        <v>0.06</v>
      </c>
    </row>
    <row r="3864" spans="1:17" x14ac:dyDescent="0.25">
      <c r="A3864">
        <v>732792</v>
      </c>
      <c r="B3864" t="s">
        <v>5176</v>
      </c>
      <c r="C3864">
        <v>0.7</v>
      </c>
      <c r="D3864">
        <v>0.04</v>
      </c>
      <c r="E3864">
        <v>0.72</v>
      </c>
      <c r="F3864">
        <v>0.73</v>
      </c>
      <c r="G3864">
        <v>0.7</v>
      </c>
      <c r="H3864">
        <v>0.71</v>
      </c>
      <c r="I3864" s="1">
        <v>1467000</v>
      </c>
      <c r="J3864" s="1">
        <v>1044490</v>
      </c>
      <c r="K3864">
        <v>29</v>
      </c>
      <c r="L3864">
        <v>0.7</v>
      </c>
      <c r="M3864">
        <v>0.71</v>
      </c>
      <c r="N3864" s="1">
        <v>10000000</v>
      </c>
      <c r="O3864">
        <v>0.7</v>
      </c>
      <c r="P3864">
        <v>1.5</v>
      </c>
      <c r="Q3864">
        <v>0.01</v>
      </c>
    </row>
    <row r="3865" spans="1:17" x14ac:dyDescent="0.25">
      <c r="A3865">
        <v>732793</v>
      </c>
      <c r="B3865" t="s">
        <v>5177</v>
      </c>
      <c r="C3865">
        <v>0.77</v>
      </c>
      <c r="D3865">
        <v>0.06</v>
      </c>
      <c r="E3865">
        <v>0.77</v>
      </c>
      <c r="F3865">
        <v>0.78</v>
      </c>
      <c r="G3865">
        <v>0.73</v>
      </c>
      <c r="H3865">
        <v>0.77</v>
      </c>
      <c r="I3865" s="1">
        <v>276000</v>
      </c>
      <c r="J3865" s="1">
        <v>212990</v>
      </c>
      <c r="K3865">
        <v>10</v>
      </c>
      <c r="L3865">
        <v>0.74</v>
      </c>
      <c r="M3865">
        <v>0.75</v>
      </c>
      <c r="N3865" s="1">
        <v>5000000</v>
      </c>
      <c r="O3865">
        <v>0.77</v>
      </c>
      <c r="P3865">
        <v>1.36</v>
      </c>
      <c r="Q3865">
        <v>0.18</v>
      </c>
    </row>
    <row r="3866" spans="1:17" x14ac:dyDescent="0.25">
      <c r="A3866">
        <v>732794</v>
      </c>
      <c r="B3866" t="s">
        <v>5178</v>
      </c>
      <c r="C3866">
        <v>2.23</v>
      </c>
      <c r="D3866">
        <v>-0.02</v>
      </c>
      <c r="E3866">
        <v>2.23</v>
      </c>
      <c r="F3866">
        <v>2.23</v>
      </c>
      <c r="G3866">
        <v>2.23</v>
      </c>
      <c r="H3866">
        <v>2.23</v>
      </c>
      <c r="I3866" s="1">
        <v>20000</v>
      </c>
      <c r="J3866" s="1">
        <v>44600</v>
      </c>
      <c r="K3866">
        <v>2</v>
      </c>
      <c r="L3866">
        <v>2.15</v>
      </c>
      <c r="M3866">
        <v>2.19</v>
      </c>
      <c r="N3866" s="1">
        <v>10000000</v>
      </c>
      <c r="O3866">
        <v>2.23</v>
      </c>
      <c r="P3866">
        <v>3.66</v>
      </c>
      <c r="Q3866">
        <v>0.8</v>
      </c>
    </row>
    <row r="3867" spans="1:17" x14ac:dyDescent="0.25">
      <c r="A3867">
        <v>732795</v>
      </c>
      <c r="B3867" t="s">
        <v>5179</v>
      </c>
      <c r="C3867">
        <v>0.52</v>
      </c>
      <c r="D3867">
        <v>-0.02</v>
      </c>
      <c r="E3867">
        <v>0.55000000000000004</v>
      </c>
      <c r="F3867">
        <v>0.56000000000000005</v>
      </c>
      <c r="G3867">
        <v>0.52</v>
      </c>
      <c r="H3867">
        <v>0.54</v>
      </c>
      <c r="I3867" s="1">
        <v>256000</v>
      </c>
      <c r="J3867" s="1">
        <v>138820</v>
      </c>
      <c r="K3867">
        <v>8</v>
      </c>
      <c r="L3867">
        <v>0.5</v>
      </c>
      <c r="M3867">
        <v>0.51</v>
      </c>
      <c r="N3867" s="1">
        <v>5000000</v>
      </c>
      <c r="O3867">
        <v>0.52</v>
      </c>
      <c r="P3867">
        <v>1.28</v>
      </c>
      <c r="Q3867">
        <v>0.01</v>
      </c>
    </row>
    <row r="3868" spans="1:17" x14ac:dyDescent="0.25">
      <c r="A3868">
        <v>732796</v>
      </c>
      <c r="B3868" t="s">
        <v>5180</v>
      </c>
      <c r="C3868">
        <v>1.6</v>
      </c>
      <c r="D3868">
        <v>0.04</v>
      </c>
      <c r="E3868">
        <v>1.61</v>
      </c>
      <c r="F3868">
        <v>1.69</v>
      </c>
      <c r="G3868">
        <v>1.58</v>
      </c>
      <c r="H3868">
        <v>1.63</v>
      </c>
      <c r="I3868" s="1">
        <v>3004000</v>
      </c>
      <c r="J3868" s="1">
        <v>4895830</v>
      </c>
      <c r="K3868">
        <v>146</v>
      </c>
      <c r="L3868">
        <v>1.59</v>
      </c>
      <c r="M3868">
        <v>1.6</v>
      </c>
      <c r="N3868" s="1">
        <v>10000000</v>
      </c>
      <c r="O3868">
        <v>1.6</v>
      </c>
      <c r="P3868">
        <v>2.4500000000000002</v>
      </c>
      <c r="Q3868">
        <v>0.75</v>
      </c>
    </row>
    <row r="3869" spans="1:17" x14ac:dyDescent="0.25">
      <c r="A3869">
        <v>732797</v>
      </c>
      <c r="B3869" t="s">
        <v>5181</v>
      </c>
      <c r="C3869">
        <v>0.92</v>
      </c>
      <c r="D3869">
        <v>0.01</v>
      </c>
      <c r="E3869">
        <v>0.92</v>
      </c>
      <c r="F3869">
        <v>0.92</v>
      </c>
      <c r="G3869">
        <v>0.9</v>
      </c>
      <c r="H3869">
        <v>0.92</v>
      </c>
      <c r="I3869" s="1">
        <v>1604000</v>
      </c>
      <c r="J3869" s="1">
        <v>1470040</v>
      </c>
      <c r="K3869">
        <v>30</v>
      </c>
      <c r="L3869">
        <v>0.9</v>
      </c>
      <c r="M3869">
        <v>0.92</v>
      </c>
      <c r="N3869" s="1">
        <v>5000000</v>
      </c>
      <c r="O3869">
        <v>0.92</v>
      </c>
      <c r="P3869">
        <v>2.12</v>
      </c>
      <c r="Q3869">
        <v>0.01</v>
      </c>
    </row>
    <row r="3870" spans="1:17" x14ac:dyDescent="0.25">
      <c r="A3870">
        <v>732798</v>
      </c>
      <c r="B3870" t="s">
        <v>5182</v>
      </c>
      <c r="C3870">
        <v>1.5</v>
      </c>
      <c r="D3870">
        <v>0.15</v>
      </c>
      <c r="E3870">
        <v>1.32</v>
      </c>
      <c r="F3870">
        <v>1.53</v>
      </c>
      <c r="G3870">
        <v>1.25</v>
      </c>
      <c r="H3870">
        <v>1.36</v>
      </c>
      <c r="I3870" s="1">
        <v>1734000</v>
      </c>
      <c r="J3870" s="1">
        <v>2357840</v>
      </c>
      <c r="K3870">
        <v>76</v>
      </c>
      <c r="L3870">
        <v>1.49</v>
      </c>
      <c r="M3870">
        <v>1.52</v>
      </c>
      <c r="N3870" s="1">
        <v>5000000</v>
      </c>
      <c r="O3870">
        <v>1.5</v>
      </c>
      <c r="P3870">
        <v>2.5</v>
      </c>
      <c r="Q3870">
        <v>0.5</v>
      </c>
    </row>
    <row r="3871" spans="1:17" x14ac:dyDescent="0.25">
      <c r="A3871">
        <v>732799</v>
      </c>
      <c r="B3871" t="s">
        <v>5183</v>
      </c>
      <c r="C3871">
        <v>0.34</v>
      </c>
      <c r="D3871">
        <v>-0.05</v>
      </c>
      <c r="E3871">
        <v>0.37</v>
      </c>
      <c r="F3871">
        <v>0.38</v>
      </c>
      <c r="G3871">
        <v>0.34</v>
      </c>
      <c r="H3871">
        <v>0.37</v>
      </c>
      <c r="I3871" s="1">
        <v>110000</v>
      </c>
      <c r="J3871" s="1">
        <v>40900</v>
      </c>
      <c r="K3871">
        <v>6</v>
      </c>
      <c r="L3871">
        <v>0.33</v>
      </c>
      <c r="M3871">
        <v>0.34</v>
      </c>
      <c r="N3871" s="1">
        <v>5000000</v>
      </c>
      <c r="O3871">
        <v>0.34</v>
      </c>
      <c r="P3871">
        <v>0.84</v>
      </c>
      <c r="Q3871">
        <v>0.01</v>
      </c>
    </row>
    <row r="3872" spans="1:17" x14ac:dyDescent="0.25">
      <c r="A3872">
        <v>732800</v>
      </c>
      <c r="B3872" t="s">
        <v>5184</v>
      </c>
      <c r="C3872" t="s">
        <v>78</v>
      </c>
      <c r="D3872" t="s">
        <v>78</v>
      </c>
      <c r="E3872" t="s">
        <v>78</v>
      </c>
      <c r="F3872" t="s">
        <v>78</v>
      </c>
      <c r="G3872" t="s">
        <v>78</v>
      </c>
      <c r="H3872">
        <v>0.44</v>
      </c>
      <c r="I3872" s="1">
        <v>0</v>
      </c>
      <c r="J3872" s="1">
        <v>0</v>
      </c>
      <c r="K3872">
        <v>0</v>
      </c>
      <c r="L3872">
        <v>0.41</v>
      </c>
      <c r="M3872">
        <v>0.42</v>
      </c>
      <c r="N3872" s="1">
        <v>5000000</v>
      </c>
      <c r="O3872">
        <v>0.41</v>
      </c>
      <c r="P3872">
        <v>1.3</v>
      </c>
      <c r="Q3872">
        <v>0.01</v>
      </c>
    </row>
    <row r="3873" spans="1:17" x14ac:dyDescent="0.25">
      <c r="A3873">
        <v>732801</v>
      </c>
      <c r="B3873" t="s">
        <v>5185</v>
      </c>
      <c r="C3873">
        <v>2.59</v>
      </c>
      <c r="D3873">
        <v>0.13</v>
      </c>
      <c r="E3873">
        <v>2.63</v>
      </c>
      <c r="F3873">
        <v>2.63</v>
      </c>
      <c r="G3873">
        <v>2.59</v>
      </c>
      <c r="H3873">
        <v>2.6</v>
      </c>
      <c r="I3873" s="1">
        <v>11000</v>
      </c>
      <c r="J3873" s="1">
        <v>28610</v>
      </c>
      <c r="K3873">
        <v>2</v>
      </c>
      <c r="L3873">
        <v>2.42</v>
      </c>
      <c r="M3873">
        <v>2.4500000000000002</v>
      </c>
      <c r="N3873" s="1">
        <v>5000000</v>
      </c>
      <c r="O3873">
        <v>2.59</v>
      </c>
      <c r="P3873">
        <v>3.41</v>
      </c>
      <c r="Q3873">
        <v>1.77</v>
      </c>
    </row>
    <row r="3874" spans="1:17" x14ac:dyDescent="0.25">
      <c r="A3874">
        <v>732802</v>
      </c>
      <c r="B3874" t="s">
        <v>5186</v>
      </c>
      <c r="C3874" t="s">
        <v>78</v>
      </c>
      <c r="D3874" t="s">
        <v>78</v>
      </c>
      <c r="E3874" t="s">
        <v>78</v>
      </c>
      <c r="F3874" t="s">
        <v>78</v>
      </c>
      <c r="G3874" t="s">
        <v>78</v>
      </c>
      <c r="H3874">
        <v>0.47</v>
      </c>
      <c r="I3874" s="1">
        <v>0</v>
      </c>
      <c r="J3874" s="1">
        <v>0</v>
      </c>
      <c r="K3874">
        <v>0</v>
      </c>
      <c r="L3874">
        <v>0.4</v>
      </c>
      <c r="M3874">
        <v>0.41</v>
      </c>
      <c r="N3874" s="1">
        <v>10000000</v>
      </c>
      <c r="O3874">
        <v>0.4</v>
      </c>
      <c r="P3874">
        <v>0.98</v>
      </c>
      <c r="Q3874">
        <v>0.01</v>
      </c>
    </row>
    <row r="3875" spans="1:17" x14ac:dyDescent="0.25">
      <c r="A3875">
        <v>732803</v>
      </c>
      <c r="B3875" t="s">
        <v>5187</v>
      </c>
      <c r="C3875" t="s">
        <v>78</v>
      </c>
      <c r="D3875" t="s">
        <v>78</v>
      </c>
      <c r="E3875" t="s">
        <v>78</v>
      </c>
      <c r="F3875" t="s">
        <v>78</v>
      </c>
      <c r="G3875" t="s">
        <v>78</v>
      </c>
      <c r="H3875">
        <v>0.35</v>
      </c>
      <c r="I3875" s="1">
        <v>0</v>
      </c>
      <c r="J3875" s="1">
        <v>0</v>
      </c>
      <c r="K3875">
        <v>0</v>
      </c>
      <c r="L3875">
        <v>0.21</v>
      </c>
      <c r="M3875">
        <v>0.22</v>
      </c>
      <c r="N3875" s="1">
        <v>10000000</v>
      </c>
      <c r="O3875">
        <v>0.22</v>
      </c>
      <c r="P3875">
        <v>1.23</v>
      </c>
      <c r="Q3875">
        <v>0.01</v>
      </c>
    </row>
    <row r="3876" spans="1:17" x14ac:dyDescent="0.25">
      <c r="A3876">
        <v>732804</v>
      </c>
      <c r="B3876" t="s">
        <v>5188</v>
      </c>
      <c r="C3876">
        <v>0.84</v>
      </c>
      <c r="D3876">
        <v>0.05</v>
      </c>
      <c r="E3876">
        <v>0.86</v>
      </c>
      <c r="F3876">
        <v>0.88</v>
      </c>
      <c r="G3876">
        <v>0.82</v>
      </c>
      <c r="H3876">
        <v>0.85</v>
      </c>
      <c r="I3876" s="1">
        <v>1748000</v>
      </c>
      <c r="J3876" s="1">
        <v>1487320</v>
      </c>
      <c r="K3876">
        <v>45</v>
      </c>
      <c r="L3876">
        <v>0.83</v>
      </c>
      <c r="M3876">
        <v>0.84</v>
      </c>
      <c r="N3876" s="1">
        <v>10000000</v>
      </c>
      <c r="O3876">
        <v>0.84</v>
      </c>
      <c r="P3876">
        <v>1.32</v>
      </c>
      <c r="Q3876">
        <v>0.36</v>
      </c>
    </row>
    <row r="3877" spans="1:17" x14ac:dyDescent="0.25">
      <c r="A3877">
        <v>732805</v>
      </c>
      <c r="B3877" t="s">
        <v>5189</v>
      </c>
      <c r="C3877" t="s">
        <v>78</v>
      </c>
      <c r="D3877" t="s">
        <v>78</v>
      </c>
      <c r="E3877" t="s">
        <v>78</v>
      </c>
      <c r="F3877" t="s">
        <v>78</v>
      </c>
      <c r="G3877" t="s">
        <v>78</v>
      </c>
      <c r="H3877">
        <v>0.22</v>
      </c>
      <c r="I3877" s="1">
        <v>0</v>
      </c>
      <c r="J3877" s="1">
        <v>0</v>
      </c>
      <c r="K3877">
        <v>0</v>
      </c>
      <c r="L3877">
        <v>0.21</v>
      </c>
      <c r="M3877">
        <v>0.28999999999999998</v>
      </c>
      <c r="N3877" s="1">
        <v>10000000</v>
      </c>
      <c r="O3877">
        <v>0.22</v>
      </c>
      <c r="P3877">
        <v>0.66</v>
      </c>
      <c r="Q3877">
        <v>0.01</v>
      </c>
    </row>
    <row r="3878" spans="1:17" x14ac:dyDescent="0.25">
      <c r="A3878">
        <v>732806</v>
      </c>
      <c r="B3878" t="s">
        <v>5190</v>
      </c>
      <c r="C3878">
        <v>1.06</v>
      </c>
      <c r="D3878">
        <v>0.08</v>
      </c>
      <c r="E3878">
        <v>0.98</v>
      </c>
      <c r="F3878">
        <v>1.0900000000000001</v>
      </c>
      <c r="G3878">
        <v>0.98</v>
      </c>
      <c r="H3878">
        <v>1.03</v>
      </c>
      <c r="I3878" s="1">
        <v>305000</v>
      </c>
      <c r="J3878" s="1">
        <v>315620</v>
      </c>
      <c r="K3878">
        <v>12</v>
      </c>
      <c r="L3878">
        <v>1.03</v>
      </c>
      <c r="M3878">
        <v>1.05</v>
      </c>
      <c r="N3878" s="1">
        <v>10000000</v>
      </c>
      <c r="O3878">
        <v>1.06</v>
      </c>
      <c r="P3878">
        <v>2.0299999999999998</v>
      </c>
      <c r="Q3878">
        <v>0.09</v>
      </c>
    </row>
    <row r="3879" spans="1:17" x14ac:dyDescent="0.25">
      <c r="A3879">
        <v>732807</v>
      </c>
      <c r="B3879" t="s">
        <v>5191</v>
      </c>
      <c r="C3879">
        <v>1.67</v>
      </c>
      <c r="D3879">
        <v>0.1</v>
      </c>
      <c r="E3879">
        <v>1.7</v>
      </c>
      <c r="F3879">
        <v>1.74</v>
      </c>
      <c r="G3879">
        <v>1.64</v>
      </c>
      <c r="H3879">
        <v>1.68</v>
      </c>
      <c r="I3879" s="1">
        <v>185000</v>
      </c>
      <c r="J3879" s="1">
        <v>310420</v>
      </c>
      <c r="K3879">
        <v>17</v>
      </c>
      <c r="L3879">
        <v>1.64</v>
      </c>
      <c r="M3879">
        <v>1.65</v>
      </c>
      <c r="N3879" s="1">
        <v>10000000</v>
      </c>
      <c r="O3879">
        <v>1.67</v>
      </c>
      <c r="P3879">
        <v>2.73</v>
      </c>
      <c r="Q3879">
        <v>0.61</v>
      </c>
    </row>
    <row r="3880" spans="1:17" x14ac:dyDescent="0.25">
      <c r="A3880">
        <v>732808</v>
      </c>
      <c r="B3880" t="s">
        <v>5192</v>
      </c>
      <c r="C3880">
        <v>0.4</v>
      </c>
      <c r="D3880">
        <v>-0.01</v>
      </c>
      <c r="E3880">
        <v>0.4</v>
      </c>
      <c r="F3880">
        <v>0.4</v>
      </c>
      <c r="G3880">
        <v>0.39</v>
      </c>
      <c r="H3880">
        <v>0.4</v>
      </c>
      <c r="I3880" s="1">
        <v>130000</v>
      </c>
      <c r="J3880" s="1">
        <v>51900</v>
      </c>
      <c r="K3880">
        <v>5</v>
      </c>
      <c r="L3880">
        <v>0.4</v>
      </c>
      <c r="M3880">
        <v>0.41</v>
      </c>
      <c r="N3880" s="1">
        <v>10000000</v>
      </c>
      <c r="O3880">
        <v>0.4</v>
      </c>
      <c r="P3880">
        <v>0.79</v>
      </c>
      <c r="Q3880">
        <v>0.01</v>
      </c>
    </row>
    <row r="3881" spans="1:17" x14ac:dyDescent="0.25">
      <c r="A3881">
        <v>732809</v>
      </c>
      <c r="B3881" t="s">
        <v>5193</v>
      </c>
      <c r="C3881">
        <v>1.54</v>
      </c>
      <c r="D3881">
        <v>-0.15</v>
      </c>
      <c r="E3881">
        <v>1.71</v>
      </c>
      <c r="F3881">
        <v>1.72</v>
      </c>
      <c r="G3881">
        <v>1.54</v>
      </c>
      <c r="H3881">
        <v>1.7</v>
      </c>
      <c r="I3881" s="1">
        <v>64000</v>
      </c>
      <c r="J3881" s="1">
        <v>109080</v>
      </c>
      <c r="K3881">
        <v>3</v>
      </c>
      <c r="L3881">
        <v>1.52</v>
      </c>
      <c r="M3881">
        <v>1.53</v>
      </c>
      <c r="N3881" s="1">
        <v>5000000</v>
      </c>
      <c r="O3881">
        <v>1.54</v>
      </c>
      <c r="P3881">
        <v>2.4900000000000002</v>
      </c>
      <c r="Q3881">
        <v>0.59</v>
      </c>
    </row>
    <row r="3882" spans="1:17" x14ac:dyDescent="0.25">
      <c r="A3882">
        <v>732810</v>
      </c>
      <c r="B3882" t="s">
        <v>5194</v>
      </c>
      <c r="C3882">
        <v>1.99</v>
      </c>
      <c r="D3882">
        <v>0.05</v>
      </c>
      <c r="E3882">
        <v>1.99</v>
      </c>
      <c r="F3882">
        <v>1.99</v>
      </c>
      <c r="G3882">
        <v>1.98</v>
      </c>
      <c r="H3882">
        <v>1.99</v>
      </c>
      <c r="I3882" s="1">
        <v>150000</v>
      </c>
      <c r="J3882" s="1">
        <v>298000</v>
      </c>
      <c r="K3882">
        <v>6</v>
      </c>
      <c r="L3882">
        <v>1.94</v>
      </c>
      <c r="M3882">
        <v>1.97</v>
      </c>
      <c r="N3882" s="1">
        <v>5000000</v>
      </c>
      <c r="O3882">
        <v>1.99</v>
      </c>
      <c r="P3882">
        <v>2.71</v>
      </c>
      <c r="Q3882">
        <v>1.27</v>
      </c>
    </row>
    <row r="3883" spans="1:17" x14ac:dyDescent="0.25">
      <c r="A3883">
        <v>732811</v>
      </c>
      <c r="B3883" t="s">
        <v>5195</v>
      </c>
      <c r="C3883">
        <v>1.73</v>
      </c>
      <c r="D3883">
        <v>0.01</v>
      </c>
      <c r="E3883">
        <v>1.8</v>
      </c>
      <c r="F3883">
        <v>1.86</v>
      </c>
      <c r="G3883">
        <v>1.73</v>
      </c>
      <c r="H3883">
        <v>1.78</v>
      </c>
      <c r="I3883" s="1">
        <v>1283000</v>
      </c>
      <c r="J3883" s="1">
        <v>2280290</v>
      </c>
      <c r="K3883">
        <v>45</v>
      </c>
      <c r="L3883">
        <v>1.73</v>
      </c>
      <c r="M3883">
        <v>1.74</v>
      </c>
      <c r="N3883" s="1">
        <v>5000000</v>
      </c>
      <c r="O3883">
        <v>1.73</v>
      </c>
      <c r="P3883">
        <v>2.6</v>
      </c>
      <c r="Q3883">
        <v>0.86</v>
      </c>
    </row>
    <row r="3884" spans="1:17" x14ac:dyDescent="0.25">
      <c r="A3884">
        <v>732812</v>
      </c>
      <c r="B3884" t="s">
        <v>5196</v>
      </c>
      <c r="C3884">
        <v>1.48</v>
      </c>
      <c r="D3884">
        <v>0.02</v>
      </c>
      <c r="E3884">
        <v>1.55</v>
      </c>
      <c r="F3884">
        <v>1.61</v>
      </c>
      <c r="G3884">
        <v>1.46</v>
      </c>
      <c r="H3884">
        <v>1.53</v>
      </c>
      <c r="I3884" s="1">
        <v>749000</v>
      </c>
      <c r="J3884" s="1">
        <v>1145710</v>
      </c>
      <c r="K3884">
        <v>40</v>
      </c>
      <c r="L3884">
        <v>1.48</v>
      </c>
      <c r="M3884">
        <v>1.5</v>
      </c>
      <c r="N3884" s="1">
        <v>5000000</v>
      </c>
      <c r="O3884">
        <v>1.48</v>
      </c>
      <c r="P3884">
        <v>2.4900000000000002</v>
      </c>
      <c r="Q3884">
        <v>0.47</v>
      </c>
    </row>
    <row r="3885" spans="1:17" x14ac:dyDescent="0.25">
      <c r="A3885">
        <v>732813</v>
      </c>
      <c r="B3885" t="s">
        <v>5197</v>
      </c>
      <c r="C3885">
        <v>0.85</v>
      </c>
      <c r="D3885">
        <v>-0.04</v>
      </c>
      <c r="E3885">
        <v>0.9</v>
      </c>
      <c r="F3885">
        <v>0.9</v>
      </c>
      <c r="G3885">
        <v>0.84</v>
      </c>
      <c r="H3885">
        <v>0.87</v>
      </c>
      <c r="I3885" s="1">
        <v>156000</v>
      </c>
      <c r="J3885" s="1">
        <v>136420</v>
      </c>
      <c r="K3885">
        <v>12</v>
      </c>
      <c r="L3885">
        <v>0.84</v>
      </c>
      <c r="M3885">
        <v>0.85</v>
      </c>
      <c r="N3885" s="1">
        <v>5000000</v>
      </c>
      <c r="O3885">
        <v>0.85</v>
      </c>
      <c r="P3885">
        <v>1.42</v>
      </c>
      <c r="Q3885">
        <v>0.28000000000000003</v>
      </c>
    </row>
    <row r="3886" spans="1:17" x14ac:dyDescent="0.25">
      <c r="A3886">
        <v>732814</v>
      </c>
      <c r="B3886" t="s">
        <v>5198</v>
      </c>
      <c r="C3886">
        <v>0.56999999999999995</v>
      </c>
      <c r="D3886">
        <v>0.02</v>
      </c>
      <c r="E3886">
        <v>0.57999999999999996</v>
      </c>
      <c r="F3886">
        <v>0.57999999999999996</v>
      </c>
      <c r="G3886">
        <v>0.56999999999999995</v>
      </c>
      <c r="H3886">
        <v>0.57999999999999996</v>
      </c>
      <c r="I3886" s="1">
        <v>20000</v>
      </c>
      <c r="J3886" s="1">
        <v>11500</v>
      </c>
      <c r="K3886">
        <v>2</v>
      </c>
      <c r="L3886">
        <v>0.54</v>
      </c>
      <c r="M3886">
        <v>0.55000000000000004</v>
      </c>
      <c r="N3886" s="1">
        <v>5000000</v>
      </c>
      <c r="O3886">
        <v>0.56999999999999995</v>
      </c>
      <c r="P3886">
        <v>1.0900000000000001</v>
      </c>
      <c r="Q3886">
        <v>0.04</v>
      </c>
    </row>
    <row r="3887" spans="1:17" x14ac:dyDescent="0.25">
      <c r="A3887">
        <v>732815</v>
      </c>
      <c r="B3887" t="s">
        <v>5199</v>
      </c>
      <c r="C3887">
        <v>0.74</v>
      </c>
      <c r="D3887">
        <v>-0.03</v>
      </c>
      <c r="E3887">
        <v>0.75</v>
      </c>
      <c r="F3887">
        <v>0.75</v>
      </c>
      <c r="G3887">
        <v>0.7</v>
      </c>
      <c r="H3887">
        <v>0.72</v>
      </c>
      <c r="I3887" s="1">
        <v>2275000</v>
      </c>
      <c r="J3887" s="1">
        <v>1630640</v>
      </c>
      <c r="K3887">
        <v>40</v>
      </c>
      <c r="L3887">
        <v>0.73</v>
      </c>
      <c r="M3887">
        <v>0.74</v>
      </c>
      <c r="N3887" s="1">
        <v>10000000</v>
      </c>
      <c r="O3887">
        <v>0.74</v>
      </c>
      <c r="P3887">
        <v>1.54</v>
      </c>
      <c r="Q3887">
        <v>0.01</v>
      </c>
    </row>
    <row r="3888" spans="1:17" x14ac:dyDescent="0.25">
      <c r="A3888">
        <v>732816</v>
      </c>
      <c r="B3888" t="s">
        <v>5200</v>
      </c>
      <c r="C3888">
        <v>0.84</v>
      </c>
      <c r="D3888">
        <v>0.02</v>
      </c>
      <c r="E3888">
        <v>0.87</v>
      </c>
      <c r="F3888">
        <v>0.87</v>
      </c>
      <c r="G3888">
        <v>0.84</v>
      </c>
      <c r="H3888">
        <v>0.86</v>
      </c>
      <c r="I3888" s="1">
        <v>11000</v>
      </c>
      <c r="J3888" s="1">
        <v>9450</v>
      </c>
      <c r="K3888">
        <v>2</v>
      </c>
      <c r="L3888">
        <v>0.83</v>
      </c>
      <c r="M3888">
        <v>0.84</v>
      </c>
      <c r="N3888" s="1">
        <v>5000000</v>
      </c>
      <c r="O3888">
        <v>0.84</v>
      </c>
      <c r="P3888">
        <v>1.66</v>
      </c>
      <c r="Q3888">
        <v>0.02</v>
      </c>
    </row>
    <row r="3889" spans="1:17" x14ac:dyDescent="0.25">
      <c r="A3889">
        <v>732817</v>
      </c>
      <c r="B3889" t="s">
        <v>5201</v>
      </c>
      <c r="C3889">
        <v>0.35</v>
      </c>
      <c r="D3889">
        <v>0</v>
      </c>
      <c r="E3889">
        <v>0.35</v>
      </c>
      <c r="F3889">
        <v>0.35</v>
      </c>
      <c r="G3889">
        <v>0.35</v>
      </c>
      <c r="H3889">
        <v>0.35</v>
      </c>
      <c r="I3889" s="1">
        <v>30000</v>
      </c>
      <c r="J3889" s="1">
        <v>10500</v>
      </c>
      <c r="K3889">
        <v>1</v>
      </c>
      <c r="L3889">
        <v>0.34</v>
      </c>
      <c r="M3889">
        <v>0.35</v>
      </c>
      <c r="N3889" s="1">
        <v>5000000</v>
      </c>
      <c r="O3889">
        <v>0.35</v>
      </c>
      <c r="P3889">
        <v>1.05</v>
      </c>
      <c r="Q3889">
        <v>0.01</v>
      </c>
    </row>
    <row r="3890" spans="1:17" x14ac:dyDescent="0.25">
      <c r="A3890">
        <v>732818</v>
      </c>
      <c r="B3890" t="s">
        <v>5202</v>
      </c>
      <c r="C3890">
        <v>0.54</v>
      </c>
      <c r="D3890">
        <v>-0.03</v>
      </c>
      <c r="E3890">
        <v>0.55000000000000004</v>
      </c>
      <c r="F3890">
        <v>0.56000000000000005</v>
      </c>
      <c r="G3890">
        <v>0.54</v>
      </c>
      <c r="H3890">
        <v>0.55000000000000004</v>
      </c>
      <c r="I3890" s="1">
        <v>970000</v>
      </c>
      <c r="J3890" s="1">
        <v>531020</v>
      </c>
      <c r="K3890">
        <v>10</v>
      </c>
      <c r="L3890">
        <v>0.52</v>
      </c>
      <c r="M3890">
        <v>0.53</v>
      </c>
      <c r="N3890" s="1">
        <v>5001000</v>
      </c>
      <c r="O3890">
        <v>0.54</v>
      </c>
      <c r="P3890">
        <v>1.47</v>
      </c>
      <c r="Q3890">
        <v>0.01</v>
      </c>
    </row>
    <row r="3891" spans="1:17" x14ac:dyDescent="0.25">
      <c r="A3891">
        <v>732819</v>
      </c>
      <c r="B3891" t="s">
        <v>5203</v>
      </c>
      <c r="C3891">
        <v>0.97</v>
      </c>
      <c r="D3891">
        <v>0</v>
      </c>
      <c r="E3891">
        <v>0.97</v>
      </c>
      <c r="F3891">
        <v>0.98</v>
      </c>
      <c r="G3891">
        <v>0.95</v>
      </c>
      <c r="H3891">
        <v>0.96</v>
      </c>
      <c r="I3891" s="1">
        <v>275000</v>
      </c>
      <c r="J3891" s="1">
        <v>264670</v>
      </c>
      <c r="K3891">
        <v>5</v>
      </c>
      <c r="L3891">
        <v>0.95</v>
      </c>
      <c r="M3891">
        <v>0.96</v>
      </c>
      <c r="N3891" s="1">
        <v>5000000</v>
      </c>
      <c r="O3891">
        <v>0.97</v>
      </c>
      <c r="P3891">
        <v>2</v>
      </c>
      <c r="Q3891">
        <v>0.01</v>
      </c>
    </row>
    <row r="3892" spans="1:17" x14ac:dyDescent="0.25">
      <c r="A3892">
        <v>732820</v>
      </c>
      <c r="B3892" t="s">
        <v>5204</v>
      </c>
      <c r="C3892">
        <v>0.3</v>
      </c>
      <c r="D3892">
        <v>-0.02</v>
      </c>
      <c r="E3892">
        <v>0.33</v>
      </c>
      <c r="F3892">
        <v>0.33</v>
      </c>
      <c r="G3892">
        <v>0.28999999999999998</v>
      </c>
      <c r="H3892">
        <v>0.31</v>
      </c>
      <c r="I3892" s="1">
        <v>440000</v>
      </c>
      <c r="J3892" s="1">
        <v>137400</v>
      </c>
      <c r="K3892">
        <v>10</v>
      </c>
      <c r="L3892">
        <v>0.28999999999999998</v>
      </c>
      <c r="M3892">
        <v>0.3</v>
      </c>
      <c r="N3892" s="1">
        <v>5204000</v>
      </c>
      <c r="O3892">
        <v>0.3</v>
      </c>
      <c r="P3892">
        <v>1.23</v>
      </c>
      <c r="Q3892">
        <v>0.01</v>
      </c>
    </row>
    <row r="3893" spans="1:17" x14ac:dyDescent="0.25">
      <c r="A3893">
        <v>732821</v>
      </c>
      <c r="B3893" t="s">
        <v>5205</v>
      </c>
      <c r="C3893">
        <v>0.34</v>
      </c>
      <c r="D3893">
        <v>0.01</v>
      </c>
      <c r="E3893">
        <v>0.33</v>
      </c>
      <c r="F3893">
        <v>0.34</v>
      </c>
      <c r="G3893">
        <v>0.33</v>
      </c>
      <c r="H3893">
        <v>0.34</v>
      </c>
      <c r="I3893" s="1">
        <v>20000</v>
      </c>
      <c r="J3893" s="1">
        <v>6700</v>
      </c>
      <c r="K3893">
        <v>2</v>
      </c>
      <c r="L3893">
        <v>0.33</v>
      </c>
      <c r="M3893">
        <v>0.34</v>
      </c>
      <c r="N3893" s="1">
        <v>10000000</v>
      </c>
      <c r="O3893">
        <v>0.34</v>
      </c>
      <c r="P3893">
        <v>1.39</v>
      </c>
      <c r="Q3893">
        <v>0.01</v>
      </c>
    </row>
    <row r="3894" spans="1:17" x14ac:dyDescent="0.25">
      <c r="A3894">
        <v>732822</v>
      </c>
      <c r="B3894" t="s">
        <v>5206</v>
      </c>
      <c r="C3894">
        <v>2.27</v>
      </c>
      <c r="D3894">
        <v>0.02</v>
      </c>
      <c r="E3894">
        <v>2.27</v>
      </c>
      <c r="F3894">
        <v>2.27</v>
      </c>
      <c r="G3894">
        <v>2.27</v>
      </c>
      <c r="H3894">
        <v>2.27</v>
      </c>
      <c r="I3894" s="1">
        <v>7000</v>
      </c>
      <c r="J3894" s="1">
        <v>15890</v>
      </c>
      <c r="K3894">
        <v>1</v>
      </c>
      <c r="L3894">
        <v>2.1800000000000002</v>
      </c>
      <c r="M3894">
        <v>2.25</v>
      </c>
      <c r="N3894" s="1">
        <v>10000000</v>
      </c>
      <c r="O3894">
        <v>2.27</v>
      </c>
      <c r="P3894">
        <v>3.17</v>
      </c>
      <c r="Q3894">
        <v>1.37</v>
      </c>
    </row>
    <row r="3895" spans="1:17" x14ac:dyDescent="0.25">
      <c r="A3895">
        <v>732823</v>
      </c>
      <c r="B3895" t="s">
        <v>5207</v>
      </c>
      <c r="C3895">
        <v>0.5</v>
      </c>
      <c r="D3895">
        <v>0.03</v>
      </c>
      <c r="E3895">
        <v>0.5</v>
      </c>
      <c r="F3895">
        <v>0.5</v>
      </c>
      <c r="G3895">
        <v>0.5</v>
      </c>
      <c r="H3895">
        <v>0.5</v>
      </c>
      <c r="I3895" s="1">
        <v>10000</v>
      </c>
      <c r="J3895" s="1">
        <v>5000</v>
      </c>
      <c r="K3895">
        <v>1</v>
      </c>
      <c r="L3895">
        <v>0.52</v>
      </c>
      <c r="M3895">
        <v>0.53</v>
      </c>
      <c r="N3895" s="1">
        <v>10000000</v>
      </c>
      <c r="O3895">
        <v>0.5</v>
      </c>
      <c r="P3895">
        <v>1.46</v>
      </c>
      <c r="Q3895">
        <v>0.01</v>
      </c>
    </row>
    <row r="3896" spans="1:17" x14ac:dyDescent="0.25">
      <c r="A3896">
        <v>732824</v>
      </c>
      <c r="B3896" t="s">
        <v>5208</v>
      </c>
      <c r="C3896">
        <v>1.49</v>
      </c>
      <c r="D3896">
        <v>0.02</v>
      </c>
      <c r="E3896">
        <v>1.52</v>
      </c>
      <c r="F3896">
        <v>1.54</v>
      </c>
      <c r="G3896">
        <v>1.46</v>
      </c>
      <c r="H3896">
        <v>1.49</v>
      </c>
      <c r="I3896" s="1">
        <v>208000</v>
      </c>
      <c r="J3896" s="1">
        <v>308980</v>
      </c>
      <c r="K3896">
        <v>20</v>
      </c>
      <c r="L3896">
        <v>1.49</v>
      </c>
      <c r="M3896">
        <v>1.51</v>
      </c>
      <c r="N3896" s="1">
        <v>10000000</v>
      </c>
      <c r="O3896">
        <v>1.49</v>
      </c>
      <c r="P3896">
        <v>2.72</v>
      </c>
      <c r="Q3896">
        <v>0.26</v>
      </c>
    </row>
    <row r="3897" spans="1:17" x14ac:dyDescent="0.25">
      <c r="A3897">
        <v>732825</v>
      </c>
      <c r="B3897" t="s">
        <v>5209</v>
      </c>
      <c r="C3897">
        <v>0.68</v>
      </c>
      <c r="D3897">
        <v>0</v>
      </c>
      <c r="E3897">
        <v>0.72</v>
      </c>
      <c r="F3897">
        <v>0.72</v>
      </c>
      <c r="G3897">
        <v>0.68</v>
      </c>
      <c r="H3897">
        <v>0.69</v>
      </c>
      <c r="I3897" s="1">
        <v>300000</v>
      </c>
      <c r="J3897" s="1">
        <v>208000</v>
      </c>
      <c r="K3897">
        <v>3</v>
      </c>
      <c r="L3897">
        <v>0.67</v>
      </c>
      <c r="M3897">
        <v>0.68</v>
      </c>
      <c r="N3897" s="1">
        <v>10000000</v>
      </c>
      <c r="O3897">
        <v>0.68</v>
      </c>
      <c r="P3897">
        <v>1.2</v>
      </c>
      <c r="Q3897">
        <v>0.15</v>
      </c>
    </row>
    <row r="3898" spans="1:17" x14ac:dyDescent="0.25">
      <c r="A3898">
        <v>732826</v>
      </c>
      <c r="B3898" t="s">
        <v>5210</v>
      </c>
      <c r="C3898">
        <v>0.83</v>
      </c>
      <c r="D3898">
        <v>0.05</v>
      </c>
      <c r="E3898">
        <v>0.82</v>
      </c>
      <c r="F3898">
        <v>0.87</v>
      </c>
      <c r="G3898">
        <v>0.81</v>
      </c>
      <c r="H3898">
        <v>0.85</v>
      </c>
      <c r="I3898" s="1">
        <v>103000</v>
      </c>
      <c r="J3898" s="1">
        <v>87400</v>
      </c>
      <c r="K3898">
        <v>13</v>
      </c>
      <c r="L3898">
        <v>0.82</v>
      </c>
      <c r="M3898">
        <v>0.84</v>
      </c>
      <c r="N3898" s="1">
        <v>5000000</v>
      </c>
      <c r="O3898">
        <v>0.83</v>
      </c>
      <c r="P3898">
        <v>1.52</v>
      </c>
      <c r="Q3898">
        <v>0.14000000000000001</v>
      </c>
    </row>
    <row r="3899" spans="1:17" x14ac:dyDescent="0.25">
      <c r="A3899">
        <v>732827</v>
      </c>
      <c r="B3899" t="s">
        <v>5211</v>
      </c>
      <c r="C3899">
        <v>0.9</v>
      </c>
      <c r="D3899">
        <v>0</v>
      </c>
      <c r="E3899">
        <v>0.93</v>
      </c>
      <c r="F3899">
        <v>0.93</v>
      </c>
      <c r="G3899">
        <v>0.9</v>
      </c>
      <c r="H3899">
        <v>0.92</v>
      </c>
      <c r="I3899" s="1">
        <v>896000</v>
      </c>
      <c r="J3899" s="1">
        <v>822570</v>
      </c>
      <c r="K3899">
        <v>24</v>
      </c>
      <c r="L3899">
        <v>0.9</v>
      </c>
      <c r="M3899">
        <v>0.91</v>
      </c>
      <c r="N3899" s="1">
        <v>10000000</v>
      </c>
      <c r="O3899">
        <v>0.9</v>
      </c>
      <c r="P3899">
        <v>1.67</v>
      </c>
      <c r="Q3899">
        <v>0.13</v>
      </c>
    </row>
    <row r="3900" spans="1:17" x14ac:dyDescent="0.25">
      <c r="A3900">
        <v>732828</v>
      </c>
      <c r="B3900" t="s">
        <v>5212</v>
      </c>
      <c r="C3900">
        <v>2.37</v>
      </c>
      <c r="D3900">
        <v>-0.11</v>
      </c>
      <c r="E3900">
        <v>2.52</v>
      </c>
      <c r="F3900">
        <v>2.63</v>
      </c>
      <c r="G3900">
        <v>2.37</v>
      </c>
      <c r="H3900">
        <v>2.57</v>
      </c>
      <c r="I3900" s="1">
        <v>270000</v>
      </c>
      <c r="J3900" s="1">
        <v>693980</v>
      </c>
      <c r="K3900">
        <v>8</v>
      </c>
      <c r="L3900">
        <v>2.4</v>
      </c>
      <c r="M3900">
        <v>2.4300000000000002</v>
      </c>
      <c r="N3900" s="1">
        <v>10000000</v>
      </c>
      <c r="O3900">
        <v>2.37</v>
      </c>
      <c r="P3900">
        <v>3.35</v>
      </c>
      <c r="Q3900">
        <v>1.39</v>
      </c>
    </row>
    <row r="3901" spans="1:17" x14ac:dyDescent="0.25">
      <c r="A3901">
        <v>732829</v>
      </c>
      <c r="B3901" t="s">
        <v>5213</v>
      </c>
      <c r="C3901">
        <v>1.21</v>
      </c>
      <c r="D3901">
        <v>0.05</v>
      </c>
      <c r="E3901">
        <v>1.26</v>
      </c>
      <c r="F3901">
        <v>1.33</v>
      </c>
      <c r="G3901">
        <v>1.21</v>
      </c>
      <c r="H3901">
        <v>1.28</v>
      </c>
      <c r="I3901" s="1">
        <v>315000</v>
      </c>
      <c r="J3901" s="1">
        <v>404450</v>
      </c>
      <c r="K3901">
        <v>8</v>
      </c>
      <c r="L3901">
        <v>1.19</v>
      </c>
      <c r="M3901">
        <v>1.2</v>
      </c>
      <c r="N3901" s="1">
        <v>10000000</v>
      </c>
      <c r="O3901">
        <v>1.21</v>
      </c>
      <c r="P3901">
        <v>1.89</v>
      </c>
      <c r="Q3901">
        <v>0.53</v>
      </c>
    </row>
    <row r="3902" spans="1:17" x14ac:dyDescent="0.25">
      <c r="A3902">
        <v>732830</v>
      </c>
      <c r="B3902" t="s">
        <v>5214</v>
      </c>
      <c r="C3902">
        <v>1.55</v>
      </c>
      <c r="D3902">
        <v>-0.2</v>
      </c>
      <c r="E3902">
        <v>1.6</v>
      </c>
      <c r="F3902">
        <v>1.64</v>
      </c>
      <c r="G3902">
        <v>1.55</v>
      </c>
      <c r="H3902">
        <v>1.57</v>
      </c>
      <c r="I3902" s="1">
        <v>14000</v>
      </c>
      <c r="J3902" s="1">
        <v>21940</v>
      </c>
      <c r="K3902">
        <v>3</v>
      </c>
      <c r="L3902">
        <v>1.56</v>
      </c>
      <c r="M3902">
        <v>1.66</v>
      </c>
      <c r="N3902" s="1">
        <v>10000000</v>
      </c>
      <c r="O3902">
        <v>1.55</v>
      </c>
      <c r="P3902">
        <v>2.95</v>
      </c>
      <c r="Q3902">
        <v>0.15</v>
      </c>
    </row>
    <row r="3903" spans="1:17" x14ac:dyDescent="0.25">
      <c r="A3903">
        <v>732831</v>
      </c>
      <c r="B3903" t="s">
        <v>5215</v>
      </c>
      <c r="C3903" t="s">
        <v>78</v>
      </c>
      <c r="D3903" t="s">
        <v>78</v>
      </c>
      <c r="E3903" t="s">
        <v>78</v>
      </c>
      <c r="F3903" t="s">
        <v>78</v>
      </c>
      <c r="G3903" t="s">
        <v>78</v>
      </c>
      <c r="H3903">
        <v>1.65</v>
      </c>
      <c r="I3903" s="1">
        <v>0</v>
      </c>
      <c r="J3903" s="1">
        <v>0</v>
      </c>
      <c r="K3903">
        <v>0</v>
      </c>
      <c r="L3903">
        <v>1.73</v>
      </c>
      <c r="M3903">
        <v>1.79</v>
      </c>
      <c r="N3903" s="1">
        <v>15000000</v>
      </c>
      <c r="O3903">
        <v>1.73</v>
      </c>
      <c r="P3903">
        <v>2.72</v>
      </c>
      <c r="Q3903">
        <v>0.74</v>
      </c>
    </row>
    <row r="3904" spans="1:17" x14ac:dyDescent="0.25">
      <c r="A3904">
        <v>732832</v>
      </c>
      <c r="B3904" t="s">
        <v>5216</v>
      </c>
      <c r="C3904">
        <v>0.2</v>
      </c>
      <c r="D3904">
        <v>-0.01</v>
      </c>
      <c r="E3904">
        <v>0.2</v>
      </c>
      <c r="F3904">
        <v>0.2</v>
      </c>
      <c r="G3904">
        <v>0.2</v>
      </c>
      <c r="H3904">
        <v>0.2</v>
      </c>
      <c r="I3904" s="1">
        <v>5000</v>
      </c>
      <c r="J3904" s="1">
        <v>1000</v>
      </c>
      <c r="K3904">
        <v>1</v>
      </c>
      <c r="L3904">
        <v>0.19</v>
      </c>
      <c r="M3904">
        <v>0.2</v>
      </c>
      <c r="N3904" s="1">
        <v>10000000</v>
      </c>
      <c r="O3904">
        <v>0.2</v>
      </c>
      <c r="P3904">
        <v>0.4</v>
      </c>
      <c r="Q3904">
        <v>0.01</v>
      </c>
    </row>
    <row r="3905" spans="1:17" x14ac:dyDescent="0.25">
      <c r="A3905">
        <v>732833</v>
      </c>
      <c r="B3905" t="s">
        <v>5217</v>
      </c>
      <c r="C3905">
        <v>0.62</v>
      </c>
      <c r="D3905">
        <v>0.09</v>
      </c>
      <c r="E3905">
        <v>0.54</v>
      </c>
      <c r="F3905">
        <v>0.62</v>
      </c>
      <c r="G3905">
        <v>0.54</v>
      </c>
      <c r="H3905">
        <v>0.6</v>
      </c>
      <c r="I3905" s="1">
        <v>211000</v>
      </c>
      <c r="J3905" s="1">
        <v>126000</v>
      </c>
      <c r="K3905">
        <v>5</v>
      </c>
      <c r="L3905">
        <v>0.62</v>
      </c>
      <c r="M3905">
        <v>0.63</v>
      </c>
      <c r="N3905" s="1">
        <v>10000000</v>
      </c>
      <c r="O3905">
        <v>0.62</v>
      </c>
      <c r="P3905">
        <v>2.2999999999999998</v>
      </c>
      <c r="Q3905">
        <v>0.01</v>
      </c>
    </row>
    <row r="3906" spans="1:17" x14ac:dyDescent="0.25">
      <c r="A3906">
        <v>732834</v>
      </c>
      <c r="B3906" t="s">
        <v>5218</v>
      </c>
      <c r="C3906">
        <v>0.69</v>
      </c>
      <c r="D3906">
        <v>0.04</v>
      </c>
      <c r="E3906">
        <v>0.69</v>
      </c>
      <c r="F3906">
        <v>0.7</v>
      </c>
      <c r="G3906">
        <v>0.67</v>
      </c>
      <c r="H3906">
        <v>0.69</v>
      </c>
      <c r="I3906" s="1">
        <v>115000</v>
      </c>
      <c r="J3906" s="1">
        <v>79670</v>
      </c>
      <c r="K3906">
        <v>12</v>
      </c>
      <c r="L3906">
        <v>0.68</v>
      </c>
      <c r="M3906">
        <v>0.69</v>
      </c>
      <c r="N3906" s="1">
        <v>7000000</v>
      </c>
      <c r="O3906">
        <v>0.69</v>
      </c>
      <c r="P3906">
        <v>1.31</v>
      </c>
      <c r="Q3906">
        <v>7.0000000000000007E-2</v>
      </c>
    </row>
    <row r="3907" spans="1:17" x14ac:dyDescent="0.25">
      <c r="A3907">
        <v>732835</v>
      </c>
      <c r="B3907" t="s">
        <v>5219</v>
      </c>
      <c r="C3907">
        <v>0.48</v>
      </c>
      <c r="D3907">
        <v>0.03</v>
      </c>
      <c r="E3907">
        <v>0.49</v>
      </c>
      <c r="F3907">
        <v>0.5</v>
      </c>
      <c r="G3907">
        <v>0.48</v>
      </c>
      <c r="H3907">
        <v>0.5</v>
      </c>
      <c r="I3907" s="1">
        <v>875000</v>
      </c>
      <c r="J3907" s="1">
        <v>433460</v>
      </c>
      <c r="K3907">
        <v>15</v>
      </c>
      <c r="L3907">
        <v>0.48</v>
      </c>
      <c r="M3907">
        <v>0.49</v>
      </c>
      <c r="N3907" s="1">
        <v>10000000</v>
      </c>
      <c r="O3907">
        <v>0.48</v>
      </c>
      <c r="P3907">
        <v>1.05</v>
      </c>
      <c r="Q3907">
        <v>0.01</v>
      </c>
    </row>
    <row r="3908" spans="1:17" x14ac:dyDescent="0.25">
      <c r="A3908">
        <v>732836</v>
      </c>
      <c r="B3908" t="s">
        <v>5220</v>
      </c>
      <c r="C3908">
        <v>4.25</v>
      </c>
      <c r="D3908">
        <v>0</v>
      </c>
      <c r="E3908">
        <v>4.45</v>
      </c>
      <c r="F3908">
        <v>4.47</v>
      </c>
      <c r="G3908">
        <v>4.25</v>
      </c>
      <c r="H3908">
        <v>4.38</v>
      </c>
      <c r="I3908" s="1">
        <v>291000</v>
      </c>
      <c r="J3908" s="1">
        <v>1273920</v>
      </c>
      <c r="K3908">
        <v>11</v>
      </c>
      <c r="L3908">
        <v>4.1399999999999997</v>
      </c>
      <c r="M3908">
        <v>4.18</v>
      </c>
      <c r="N3908" s="1">
        <v>5000000</v>
      </c>
      <c r="O3908">
        <v>4.25</v>
      </c>
      <c r="P3908">
        <v>6.2</v>
      </c>
      <c r="Q3908">
        <v>2.2799999999999998</v>
      </c>
    </row>
    <row r="3909" spans="1:17" x14ac:dyDescent="0.25">
      <c r="A3909">
        <v>732837</v>
      </c>
      <c r="B3909" t="s">
        <v>5221</v>
      </c>
      <c r="C3909">
        <v>2.33</v>
      </c>
      <c r="D3909">
        <v>-0.14000000000000001</v>
      </c>
      <c r="E3909">
        <v>2.33</v>
      </c>
      <c r="F3909">
        <v>2.33</v>
      </c>
      <c r="G3909">
        <v>2.33</v>
      </c>
      <c r="H3909">
        <v>2.33</v>
      </c>
      <c r="I3909" s="1">
        <v>10000</v>
      </c>
      <c r="J3909" s="1">
        <v>23300</v>
      </c>
      <c r="K3909">
        <v>1</v>
      </c>
      <c r="L3909">
        <v>2.54</v>
      </c>
      <c r="M3909">
        <v>2.6</v>
      </c>
      <c r="N3909" s="1">
        <v>5000000</v>
      </c>
      <c r="O3909">
        <v>2.33</v>
      </c>
      <c r="P3909">
        <v>3.14</v>
      </c>
      <c r="Q3909">
        <v>1.52</v>
      </c>
    </row>
    <row r="3910" spans="1:17" x14ac:dyDescent="0.25">
      <c r="A3910">
        <v>732838</v>
      </c>
      <c r="B3910" t="s">
        <v>5222</v>
      </c>
      <c r="C3910" t="s">
        <v>78</v>
      </c>
      <c r="D3910" t="s">
        <v>78</v>
      </c>
      <c r="E3910" t="s">
        <v>78</v>
      </c>
      <c r="F3910" t="s">
        <v>78</v>
      </c>
      <c r="G3910" t="s">
        <v>78</v>
      </c>
      <c r="H3910">
        <v>0.24</v>
      </c>
      <c r="I3910" s="1">
        <v>0</v>
      </c>
      <c r="J3910" s="1">
        <v>0</v>
      </c>
      <c r="K3910">
        <v>0</v>
      </c>
      <c r="L3910">
        <v>0.22</v>
      </c>
      <c r="M3910">
        <v>0.23</v>
      </c>
      <c r="N3910" s="1">
        <v>5000000</v>
      </c>
      <c r="O3910">
        <v>0.23</v>
      </c>
      <c r="P3910">
        <v>0.51</v>
      </c>
      <c r="Q3910">
        <v>0.01</v>
      </c>
    </row>
    <row r="3911" spans="1:17" x14ac:dyDescent="0.25">
      <c r="A3911">
        <v>732839</v>
      </c>
      <c r="B3911" t="s">
        <v>5223</v>
      </c>
      <c r="C3911">
        <v>0.93</v>
      </c>
      <c r="D3911">
        <v>-0.04</v>
      </c>
      <c r="E3911">
        <v>0.93</v>
      </c>
      <c r="F3911">
        <v>0.93</v>
      </c>
      <c r="G3911">
        <v>0.93</v>
      </c>
      <c r="H3911">
        <v>0.93</v>
      </c>
      <c r="I3911" s="1">
        <v>28000</v>
      </c>
      <c r="J3911" s="1">
        <v>26040</v>
      </c>
      <c r="K3911">
        <v>1</v>
      </c>
      <c r="L3911">
        <v>0.92</v>
      </c>
      <c r="M3911">
        <v>0.93</v>
      </c>
      <c r="N3911" s="1">
        <v>10000000</v>
      </c>
      <c r="O3911">
        <v>0.93</v>
      </c>
      <c r="P3911">
        <v>1.65</v>
      </c>
      <c r="Q3911">
        <v>0.21</v>
      </c>
    </row>
    <row r="3912" spans="1:17" x14ac:dyDescent="0.25">
      <c r="A3912">
        <v>732840</v>
      </c>
      <c r="B3912" t="s">
        <v>5224</v>
      </c>
      <c r="C3912">
        <v>0.84</v>
      </c>
      <c r="D3912">
        <v>0</v>
      </c>
      <c r="E3912">
        <v>0.87</v>
      </c>
      <c r="F3912">
        <v>0.87</v>
      </c>
      <c r="G3912">
        <v>0.83</v>
      </c>
      <c r="H3912">
        <v>0.86</v>
      </c>
      <c r="I3912" s="1">
        <v>333000</v>
      </c>
      <c r="J3912" s="1">
        <v>285830</v>
      </c>
      <c r="K3912">
        <v>5</v>
      </c>
      <c r="L3912">
        <v>0.82</v>
      </c>
      <c r="M3912">
        <v>0.83</v>
      </c>
      <c r="N3912" s="1">
        <v>5000000</v>
      </c>
      <c r="O3912">
        <v>0.84</v>
      </c>
      <c r="P3912">
        <v>1.89</v>
      </c>
      <c r="Q3912">
        <v>0.01</v>
      </c>
    </row>
    <row r="3913" spans="1:17" x14ac:dyDescent="0.25">
      <c r="A3913">
        <v>732841</v>
      </c>
      <c r="B3913" t="s">
        <v>5225</v>
      </c>
      <c r="C3913">
        <v>2.25</v>
      </c>
      <c r="D3913">
        <v>0.09</v>
      </c>
      <c r="E3913">
        <v>2.39</v>
      </c>
      <c r="F3913">
        <v>2.62</v>
      </c>
      <c r="G3913">
        <v>2.25</v>
      </c>
      <c r="H3913">
        <v>2.48</v>
      </c>
      <c r="I3913" s="1">
        <v>740000</v>
      </c>
      <c r="J3913" s="1">
        <v>1836100</v>
      </c>
      <c r="K3913">
        <v>38</v>
      </c>
      <c r="L3913">
        <v>2.23</v>
      </c>
      <c r="M3913">
        <v>2.2400000000000002</v>
      </c>
      <c r="N3913" s="1">
        <v>10000000</v>
      </c>
      <c r="O3913">
        <v>2.25</v>
      </c>
      <c r="P3913">
        <v>5.25</v>
      </c>
      <c r="Q3913">
        <v>0.01</v>
      </c>
    </row>
    <row r="3914" spans="1:17" x14ac:dyDescent="0.25">
      <c r="A3914">
        <v>732842</v>
      </c>
      <c r="B3914" t="s">
        <v>5226</v>
      </c>
      <c r="C3914" t="s">
        <v>78</v>
      </c>
      <c r="D3914" t="s">
        <v>78</v>
      </c>
      <c r="E3914" t="s">
        <v>78</v>
      </c>
      <c r="F3914" t="s">
        <v>78</v>
      </c>
      <c r="G3914" t="s">
        <v>78</v>
      </c>
      <c r="H3914">
        <v>0.39</v>
      </c>
      <c r="I3914" s="1">
        <v>0</v>
      </c>
      <c r="J3914" s="1">
        <v>0</v>
      </c>
      <c r="K3914">
        <v>0</v>
      </c>
      <c r="L3914">
        <v>0.39</v>
      </c>
      <c r="M3914">
        <v>0.4</v>
      </c>
      <c r="N3914" s="1">
        <v>5000000</v>
      </c>
      <c r="O3914">
        <v>0.4</v>
      </c>
      <c r="P3914">
        <v>1.4</v>
      </c>
      <c r="Q3914">
        <v>0.01</v>
      </c>
    </row>
    <row r="3915" spans="1:17" x14ac:dyDescent="0.25">
      <c r="A3915">
        <v>732843</v>
      </c>
      <c r="B3915" t="s">
        <v>5227</v>
      </c>
      <c r="C3915">
        <v>1.1299999999999999</v>
      </c>
      <c r="D3915">
        <v>-0.05</v>
      </c>
      <c r="E3915">
        <v>1.17</v>
      </c>
      <c r="F3915">
        <v>1.17</v>
      </c>
      <c r="G3915">
        <v>1.1299999999999999</v>
      </c>
      <c r="H3915">
        <v>1.1499999999999999</v>
      </c>
      <c r="I3915" s="1">
        <v>312000</v>
      </c>
      <c r="J3915" s="1">
        <v>359900</v>
      </c>
      <c r="K3915">
        <v>13</v>
      </c>
      <c r="L3915">
        <v>1.1499999999999999</v>
      </c>
      <c r="M3915">
        <v>1.17</v>
      </c>
      <c r="N3915" s="1">
        <v>10000000</v>
      </c>
      <c r="O3915">
        <v>1.1299999999999999</v>
      </c>
      <c r="P3915">
        <v>1.93</v>
      </c>
      <c r="Q3915">
        <v>0.33</v>
      </c>
    </row>
    <row r="3916" spans="1:17" x14ac:dyDescent="0.25">
      <c r="A3916">
        <v>732844</v>
      </c>
      <c r="B3916" t="s">
        <v>5228</v>
      </c>
      <c r="C3916">
        <v>2.0699999999999998</v>
      </c>
      <c r="D3916">
        <v>0.32</v>
      </c>
      <c r="E3916">
        <v>2.0299999999999998</v>
      </c>
      <c r="F3916">
        <v>2.1</v>
      </c>
      <c r="G3916">
        <v>1.99</v>
      </c>
      <c r="H3916">
        <v>2.06</v>
      </c>
      <c r="I3916" s="1">
        <v>43000</v>
      </c>
      <c r="J3916" s="1">
        <v>88590</v>
      </c>
      <c r="K3916">
        <v>7</v>
      </c>
      <c r="L3916">
        <v>2.0099999999999998</v>
      </c>
      <c r="M3916">
        <v>2.0499999999999998</v>
      </c>
      <c r="N3916" s="1">
        <v>5000000</v>
      </c>
      <c r="O3916">
        <v>2.0699999999999998</v>
      </c>
      <c r="P3916">
        <v>2.82</v>
      </c>
      <c r="Q3916">
        <v>1.32</v>
      </c>
    </row>
    <row r="3917" spans="1:17" x14ac:dyDescent="0.25">
      <c r="A3917">
        <v>732845</v>
      </c>
      <c r="B3917" t="s">
        <v>5229</v>
      </c>
      <c r="C3917">
        <v>0.37</v>
      </c>
      <c r="D3917">
        <v>0.01</v>
      </c>
      <c r="E3917">
        <v>0.37</v>
      </c>
      <c r="F3917">
        <v>0.38</v>
      </c>
      <c r="G3917">
        <v>0.37</v>
      </c>
      <c r="H3917">
        <v>0.37</v>
      </c>
      <c r="I3917" s="1">
        <v>353000</v>
      </c>
      <c r="J3917" s="1">
        <v>130910</v>
      </c>
      <c r="K3917">
        <v>7</v>
      </c>
      <c r="L3917">
        <v>0.36</v>
      </c>
      <c r="M3917">
        <v>0.37</v>
      </c>
      <c r="N3917" s="1">
        <v>10000000</v>
      </c>
      <c r="O3917">
        <v>0.37</v>
      </c>
      <c r="P3917">
        <v>0.74</v>
      </c>
      <c r="Q3917">
        <v>0.01</v>
      </c>
    </row>
    <row r="3918" spans="1:17" x14ac:dyDescent="0.25">
      <c r="A3918">
        <v>732846</v>
      </c>
      <c r="B3918" t="s">
        <v>5230</v>
      </c>
      <c r="C3918">
        <v>0.55000000000000004</v>
      </c>
      <c r="D3918">
        <v>0.01</v>
      </c>
      <c r="E3918">
        <v>0.55000000000000004</v>
      </c>
      <c r="F3918">
        <v>0.63</v>
      </c>
      <c r="G3918">
        <v>0.52</v>
      </c>
      <c r="H3918">
        <v>0.57999999999999996</v>
      </c>
      <c r="I3918" s="1">
        <v>2881000</v>
      </c>
      <c r="J3918" s="1">
        <v>1669150</v>
      </c>
      <c r="K3918">
        <v>101</v>
      </c>
      <c r="L3918">
        <v>0.54</v>
      </c>
      <c r="M3918">
        <v>0.55000000000000004</v>
      </c>
      <c r="N3918" s="1">
        <v>10000000</v>
      </c>
      <c r="O3918">
        <v>0.55000000000000004</v>
      </c>
      <c r="P3918">
        <v>1.19</v>
      </c>
      <c r="Q3918">
        <v>0.01</v>
      </c>
    </row>
    <row r="3919" spans="1:17" x14ac:dyDescent="0.25">
      <c r="A3919">
        <v>732847</v>
      </c>
      <c r="B3919" t="s">
        <v>5231</v>
      </c>
      <c r="C3919">
        <v>1.03</v>
      </c>
      <c r="D3919">
        <v>-0.05</v>
      </c>
      <c r="E3919">
        <v>1.0900000000000001</v>
      </c>
      <c r="F3919">
        <v>1.0900000000000001</v>
      </c>
      <c r="G3919">
        <v>1.03</v>
      </c>
      <c r="H3919">
        <v>1.04</v>
      </c>
      <c r="I3919" s="1">
        <v>145000</v>
      </c>
      <c r="J3919" s="1">
        <v>151450</v>
      </c>
      <c r="K3919">
        <v>4</v>
      </c>
      <c r="L3919">
        <v>0.94</v>
      </c>
      <c r="M3919">
        <v>0.96</v>
      </c>
      <c r="N3919" s="1">
        <v>10000000</v>
      </c>
      <c r="O3919">
        <v>1.03</v>
      </c>
      <c r="P3919">
        <v>1.66</v>
      </c>
      <c r="Q3919">
        <v>0.4</v>
      </c>
    </row>
    <row r="3920" spans="1:17" x14ac:dyDescent="0.25">
      <c r="A3920">
        <v>732848</v>
      </c>
      <c r="B3920" t="s">
        <v>5232</v>
      </c>
      <c r="C3920" t="s">
        <v>78</v>
      </c>
      <c r="D3920" t="s">
        <v>78</v>
      </c>
      <c r="E3920" t="s">
        <v>78</v>
      </c>
      <c r="F3920" t="s">
        <v>78</v>
      </c>
      <c r="G3920" t="s">
        <v>78</v>
      </c>
      <c r="H3920">
        <v>0.67</v>
      </c>
      <c r="I3920" s="1">
        <v>0</v>
      </c>
      <c r="J3920" s="1">
        <v>0</v>
      </c>
      <c r="K3920">
        <v>0</v>
      </c>
      <c r="L3920">
        <v>0.7</v>
      </c>
      <c r="M3920">
        <v>0.71</v>
      </c>
      <c r="N3920" s="1">
        <v>5000000</v>
      </c>
      <c r="O3920">
        <v>0.71</v>
      </c>
      <c r="P3920">
        <v>1.47</v>
      </c>
      <c r="Q3920">
        <v>0.01</v>
      </c>
    </row>
    <row r="3921" spans="1:17" x14ac:dyDescent="0.25">
      <c r="A3921">
        <v>732849</v>
      </c>
      <c r="B3921" t="s">
        <v>5233</v>
      </c>
      <c r="C3921">
        <v>1.1000000000000001</v>
      </c>
      <c r="D3921">
        <v>-0.1</v>
      </c>
      <c r="E3921">
        <v>1.24</v>
      </c>
      <c r="F3921">
        <v>1.24</v>
      </c>
      <c r="G3921">
        <v>1.1000000000000001</v>
      </c>
      <c r="H3921">
        <v>1.1200000000000001</v>
      </c>
      <c r="I3921" s="1">
        <v>181000</v>
      </c>
      <c r="J3921" s="1">
        <v>203440</v>
      </c>
      <c r="K3921">
        <v>6</v>
      </c>
      <c r="L3921">
        <v>1.1000000000000001</v>
      </c>
      <c r="M3921">
        <v>1.24</v>
      </c>
      <c r="N3921" s="1">
        <v>10000000</v>
      </c>
      <c r="O3921">
        <v>1.1000000000000001</v>
      </c>
      <c r="P3921">
        <v>1.93</v>
      </c>
      <c r="Q3921">
        <v>0.27</v>
      </c>
    </row>
    <row r="3922" spans="1:17" x14ac:dyDescent="0.25">
      <c r="A3922">
        <v>732850</v>
      </c>
      <c r="B3922" t="s">
        <v>5234</v>
      </c>
      <c r="C3922" t="s">
        <v>78</v>
      </c>
      <c r="D3922" t="s">
        <v>78</v>
      </c>
      <c r="E3922" t="s">
        <v>78</v>
      </c>
      <c r="F3922" t="s">
        <v>78</v>
      </c>
      <c r="G3922" t="s">
        <v>78</v>
      </c>
      <c r="H3922">
        <v>0.38</v>
      </c>
      <c r="I3922" s="1">
        <v>0</v>
      </c>
      <c r="J3922" s="1">
        <v>0</v>
      </c>
      <c r="K3922">
        <v>0</v>
      </c>
      <c r="L3922">
        <v>0.35</v>
      </c>
      <c r="M3922">
        <v>0.36</v>
      </c>
      <c r="N3922" s="1">
        <v>5000000</v>
      </c>
      <c r="O3922">
        <v>0.35</v>
      </c>
      <c r="P3922">
        <v>0.9</v>
      </c>
      <c r="Q3922">
        <v>0.01</v>
      </c>
    </row>
    <row r="3923" spans="1:17" x14ac:dyDescent="0.25">
      <c r="A3923">
        <v>732851</v>
      </c>
      <c r="B3923" t="s">
        <v>5235</v>
      </c>
      <c r="C3923" t="s">
        <v>78</v>
      </c>
      <c r="D3923" t="s">
        <v>78</v>
      </c>
      <c r="E3923" t="s">
        <v>78</v>
      </c>
      <c r="F3923" t="s">
        <v>78</v>
      </c>
      <c r="G3923" t="s">
        <v>78</v>
      </c>
      <c r="H3923">
        <v>0.53</v>
      </c>
      <c r="I3923" s="1">
        <v>0</v>
      </c>
      <c r="J3923" s="1">
        <v>0</v>
      </c>
      <c r="K3923">
        <v>0</v>
      </c>
      <c r="L3923">
        <v>0.56000000000000005</v>
      </c>
      <c r="M3923">
        <v>0.57999999999999996</v>
      </c>
      <c r="N3923" s="1">
        <v>5000000</v>
      </c>
      <c r="O3923">
        <v>0.56000000000000005</v>
      </c>
      <c r="P3923">
        <v>1.26</v>
      </c>
      <c r="Q3923">
        <v>0.01</v>
      </c>
    </row>
    <row r="3924" spans="1:17" x14ac:dyDescent="0.25">
      <c r="A3924">
        <v>732852</v>
      </c>
      <c r="B3924" t="s">
        <v>5236</v>
      </c>
      <c r="C3924">
        <v>0.56999999999999995</v>
      </c>
      <c r="D3924">
        <v>-0.02</v>
      </c>
      <c r="E3924">
        <v>0.59</v>
      </c>
      <c r="F3924">
        <v>0.59</v>
      </c>
      <c r="G3924">
        <v>0.56999999999999995</v>
      </c>
      <c r="H3924">
        <v>0.57999999999999996</v>
      </c>
      <c r="I3924" s="1">
        <v>395000</v>
      </c>
      <c r="J3924" s="1">
        <v>227140</v>
      </c>
      <c r="K3924">
        <v>5</v>
      </c>
      <c r="L3924">
        <v>0.54</v>
      </c>
      <c r="M3924">
        <v>0.55000000000000004</v>
      </c>
      <c r="N3924" s="1">
        <v>10000000</v>
      </c>
      <c r="O3924">
        <v>0.56999999999999995</v>
      </c>
      <c r="P3924">
        <v>1.1299999999999999</v>
      </c>
      <c r="Q3924">
        <v>0.01</v>
      </c>
    </row>
    <row r="3925" spans="1:17" x14ac:dyDescent="0.25">
      <c r="A3925">
        <v>732853</v>
      </c>
      <c r="B3925" t="s">
        <v>5237</v>
      </c>
      <c r="C3925">
        <v>3.26</v>
      </c>
      <c r="D3925">
        <v>-0.28000000000000003</v>
      </c>
      <c r="E3925">
        <v>3.09</v>
      </c>
      <c r="F3925">
        <v>3.26</v>
      </c>
      <c r="G3925">
        <v>2.98</v>
      </c>
      <c r="H3925">
        <v>3.05</v>
      </c>
      <c r="I3925" s="1">
        <v>710000</v>
      </c>
      <c r="J3925" s="1">
        <v>2167600</v>
      </c>
      <c r="K3925">
        <v>12</v>
      </c>
      <c r="L3925">
        <v>3.28</v>
      </c>
      <c r="M3925">
        <v>0</v>
      </c>
      <c r="N3925" s="1">
        <v>5000000</v>
      </c>
      <c r="O3925">
        <v>3.26</v>
      </c>
      <c r="P3925">
        <v>4.49</v>
      </c>
      <c r="Q3925">
        <v>2.0299999999999998</v>
      </c>
    </row>
    <row r="3926" spans="1:17" x14ac:dyDescent="0.25">
      <c r="A3926">
        <v>732854</v>
      </c>
      <c r="B3926" t="s">
        <v>5238</v>
      </c>
      <c r="C3926">
        <v>0.75</v>
      </c>
      <c r="D3926">
        <v>0.03</v>
      </c>
      <c r="E3926">
        <v>0.72</v>
      </c>
      <c r="F3926">
        <v>0.76</v>
      </c>
      <c r="G3926">
        <v>0.71</v>
      </c>
      <c r="H3926">
        <v>0.74</v>
      </c>
      <c r="I3926" s="1">
        <v>832000</v>
      </c>
      <c r="J3926" s="1">
        <v>615600</v>
      </c>
      <c r="K3926">
        <v>22</v>
      </c>
      <c r="L3926">
        <v>0.74</v>
      </c>
      <c r="M3926">
        <v>1.18</v>
      </c>
      <c r="N3926" s="1">
        <v>5000000</v>
      </c>
      <c r="O3926">
        <v>0.75</v>
      </c>
      <c r="P3926">
        <v>1.4</v>
      </c>
      <c r="Q3926">
        <v>0.1</v>
      </c>
    </row>
    <row r="3927" spans="1:17" x14ac:dyDescent="0.25">
      <c r="A3927">
        <v>732855</v>
      </c>
      <c r="B3927" t="s">
        <v>5239</v>
      </c>
      <c r="C3927">
        <v>0.67</v>
      </c>
      <c r="D3927">
        <v>7.0000000000000007E-2</v>
      </c>
      <c r="E3927">
        <v>0.55000000000000004</v>
      </c>
      <c r="F3927">
        <v>0.71</v>
      </c>
      <c r="G3927">
        <v>0.55000000000000004</v>
      </c>
      <c r="H3927">
        <v>0.63</v>
      </c>
      <c r="I3927" s="1">
        <v>1685000</v>
      </c>
      <c r="J3927" s="1">
        <v>1064710</v>
      </c>
      <c r="K3927">
        <v>30</v>
      </c>
      <c r="L3927">
        <v>0.64</v>
      </c>
      <c r="M3927">
        <v>0.65</v>
      </c>
      <c r="N3927" s="1">
        <v>5000000</v>
      </c>
      <c r="O3927">
        <v>0.67</v>
      </c>
      <c r="P3927">
        <v>1.79</v>
      </c>
      <c r="Q3927">
        <v>0.01</v>
      </c>
    </row>
    <row r="3928" spans="1:17" x14ac:dyDescent="0.25">
      <c r="A3928">
        <v>732856</v>
      </c>
      <c r="B3928" t="s">
        <v>5240</v>
      </c>
      <c r="C3928">
        <v>0.78</v>
      </c>
      <c r="D3928">
        <v>-0.11</v>
      </c>
      <c r="E3928">
        <v>0.78</v>
      </c>
      <c r="F3928">
        <v>0.78</v>
      </c>
      <c r="G3928">
        <v>0.76</v>
      </c>
      <c r="H3928">
        <v>0.78</v>
      </c>
      <c r="I3928" s="1">
        <v>68000</v>
      </c>
      <c r="J3928" s="1">
        <v>52820</v>
      </c>
      <c r="K3928">
        <v>4</v>
      </c>
      <c r="L3928">
        <v>0.77</v>
      </c>
      <c r="M3928">
        <v>0.79</v>
      </c>
      <c r="N3928" s="1">
        <v>10000000</v>
      </c>
      <c r="O3928">
        <v>0.78</v>
      </c>
      <c r="P3928">
        <v>1.47</v>
      </c>
      <c r="Q3928">
        <v>0.09</v>
      </c>
    </row>
    <row r="3929" spans="1:17" x14ac:dyDescent="0.25">
      <c r="A3929">
        <v>732857</v>
      </c>
      <c r="B3929" t="s">
        <v>5241</v>
      </c>
      <c r="C3929">
        <v>0.79</v>
      </c>
      <c r="D3929">
        <v>0.19</v>
      </c>
      <c r="E3929">
        <v>0.86</v>
      </c>
      <c r="F3929">
        <v>0.86</v>
      </c>
      <c r="G3929">
        <v>0.78</v>
      </c>
      <c r="H3929">
        <v>0.82</v>
      </c>
      <c r="I3929" s="1">
        <v>864000</v>
      </c>
      <c r="J3929" s="1">
        <v>707430</v>
      </c>
      <c r="K3929">
        <v>16</v>
      </c>
      <c r="L3929">
        <v>0.78</v>
      </c>
      <c r="M3929">
        <v>0.79</v>
      </c>
      <c r="N3929" s="1">
        <v>5204000</v>
      </c>
      <c r="O3929">
        <v>0.79</v>
      </c>
      <c r="P3929">
        <v>1.72</v>
      </c>
      <c r="Q3929">
        <v>0.01</v>
      </c>
    </row>
    <row r="3930" spans="1:17" x14ac:dyDescent="0.25">
      <c r="A3930">
        <v>732858</v>
      </c>
      <c r="B3930" t="s">
        <v>5242</v>
      </c>
      <c r="C3930">
        <v>1.92</v>
      </c>
      <c r="D3930">
        <v>-0.1</v>
      </c>
      <c r="E3930">
        <v>1.93</v>
      </c>
      <c r="F3930">
        <v>1.93</v>
      </c>
      <c r="G3930">
        <v>1.92</v>
      </c>
      <c r="H3930">
        <v>1.92</v>
      </c>
      <c r="I3930" s="1">
        <v>194000</v>
      </c>
      <c r="J3930" s="1">
        <v>372630</v>
      </c>
      <c r="K3930">
        <v>3</v>
      </c>
      <c r="L3930">
        <v>1.76</v>
      </c>
      <c r="M3930">
        <v>1.79</v>
      </c>
      <c r="N3930" s="1">
        <v>10000000</v>
      </c>
      <c r="O3930">
        <v>1.92</v>
      </c>
      <c r="P3930">
        <v>2.8</v>
      </c>
      <c r="Q3930">
        <v>1.04</v>
      </c>
    </row>
    <row r="3931" spans="1:17" x14ac:dyDescent="0.25">
      <c r="A3931">
        <v>732859</v>
      </c>
      <c r="B3931" t="s">
        <v>5243</v>
      </c>
      <c r="C3931">
        <v>0.78</v>
      </c>
      <c r="D3931">
        <v>-0.01</v>
      </c>
      <c r="E3931">
        <v>0.8</v>
      </c>
      <c r="F3931">
        <v>0.8</v>
      </c>
      <c r="G3931">
        <v>0.78</v>
      </c>
      <c r="H3931">
        <v>0.79</v>
      </c>
      <c r="I3931" s="1">
        <v>19000</v>
      </c>
      <c r="J3931" s="1">
        <v>15020</v>
      </c>
      <c r="K3931">
        <v>5</v>
      </c>
      <c r="L3931">
        <v>0.77</v>
      </c>
      <c r="M3931">
        <v>0.78</v>
      </c>
      <c r="N3931" s="1">
        <v>5000000</v>
      </c>
      <c r="O3931">
        <v>0.78</v>
      </c>
      <c r="P3931">
        <v>1.3</v>
      </c>
      <c r="Q3931">
        <v>0.24</v>
      </c>
    </row>
    <row r="3932" spans="1:17" x14ac:dyDescent="0.25">
      <c r="A3932">
        <v>732860</v>
      </c>
      <c r="B3932" t="s">
        <v>5244</v>
      </c>
      <c r="C3932">
        <v>0.65</v>
      </c>
      <c r="D3932">
        <v>0.03</v>
      </c>
      <c r="E3932">
        <v>0.65</v>
      </c>
      <c r="F3932">
        <v>0.65</v>
      </c>
      <c r="G3932">
        <v>0.65</v>
      </c>
      <c r="H3932">
        <v>0.65</v>
      </c>
      <c r="I3932" s="1">
        <v>10000</v>
      </c>
      <c r="J3932" s="1">
        <v>6500</v>
      </c>
      <c r="K3932">
        <v>1</v>
      </c>
      <c r="L3932">
        <v>0.6</v>
      </c>
      <c r="M3932">
        <v>0.62</v>
      </c>
      <c r="N3932" s="1">
        <v>10000000</v>
      </c>
      <c r="O3932">
        <v>0.65</v>
      </c>
      <c r="P3932">
        <v>1.32</v>
      </c>
      <c r="Q3932">
        <v>0.01</v>
      </c>
    </row>
    <row r="3933" spans="1:17" x14ac:dyDescent="0.25">
      <c r="A3933">
        <v>732861</v>
      </c>
      <c r="B3933" t="s">
        <v>5245</v>
      </c>
      <c r="C3933">
        <v>0.75</v>
      </c>
      <c r="D3933">
        <v>0.06</v>
      </c>
      <c r="E3933">
        <v>0.75</v>
      </c>
      <c r="F3933">
        <v>0.75</v>
      </c>
      <c r="G3933">
        <v>0.69</v>
      </c>
      <c r="H3933">
        <v>0.72</v>
      </c>
      <c r="I3933" s="1">
        <v>130000</v>
      </c>
      <c r="J3933" s="1">
        <v>94100</v>
      </c>
      <c r="K3933">
        <v>6</v>
      </c>
      <c r="L3933">
        <v>0.69</v>
      </c>
      <c r="M3933">
        <v>0.72</v>
      </c>
      <c r="N3933" s="1">
        <v>5000000</v>
      </c>
      <c r="O3933">
        <v>0.75</v>
      </c>
      <c r="P3933">
        <v>1.78</v>
      </c>
      <c r="Q3933">
        <v>0.01</v>
      </c>
    </row>
    <row r="3934" spans="1:17" x14ac:dyDescent="0.25">
      <c r="A3934">
        <v>732862</v>
      </c>
      <c r="B3934" t="s">
        <v>5246</v>
      </c>
      <c r="C3934">
        <v>0.59</v>
      </c>
      <c r="D3934">
        <v>0.01</v>
      </c>
      <c r="E3934">
        <v>0.59</v>
      </c>
      <c r="F3934">
        <v>0.59</v>
      </c>
      <c r="G3934">
        <v>0.59</v>
      </c>
      <c r="H3934">
        <v>0.59</v>
      </c>
      <c r="I3934" s="1">
        <v>200000</v>
      </c>
      <c r="J3934" s="1">
        <v>118000</v>
      </c>
      <c r="K3934">
        <v>1</v>
      </c>
      <c r="L3934">
        <v>0.55000000000000004</v>
      </c>
      <c r="M3934">
        <v>0.56000000000000005</v>
      </c>
      <c r="N3934" s="1">
        <v>10000000</v>
      </c>
      <c r="O3934">
        <v>0.59</v>
      </c>
      <c r="P3934">
        <v>1.18</v>
      </c>
      <c r="Q3934">
        <v>0.01</v>
      </c>
    </row>
    <row r="3935" spans="1:17" x14ac:dyDescent="0.25">
      <c r="A3935">
        <v>732863</v>
      </c>
      <c r="B3935" t="s">
        <v>5247</v>
      </c>
      <c r="C3935" t="s">
        <v>78</v>
      </c>
      <c r="D3935" t="s">
        <v>78</v>
      </c>
      <c r="E3935" t="s">
        <v>78</v>
      </c>
      <c r="F3935" t="s">
        <v>78</v>
      </c>
      <c r="G3935" t="s">
        <v>78</v>
      </c>
      <c r="H3935">
        <v>2.96</v>
      </c>
      <c r="I3935" s="1">
        <v>0</v>
      </c>
      <c r="J3935" s="1">
        <v>0</v>
      </c>
      <c r="K3935">
        <v>0</v>
      </c>
      <c r="L3935">
        <v>3.01</v>
      </c>
      <c r="M3935">
        <v>0</v>
      </c>
      <c r="N3935" s="1">
        <v>5000000</v>
      </c>
      <c r="O3935">
        <v>3.01</v>
      </c>
      <c r="P3935">
        <v>3.87</v>
      </c>
      <c r="Q3935">
        <v>2.15</v>
      </c>
    </row>
    <row r="3936" spans="1:17" x14ac:dyDescent="0.25">
      <c r="A3936">
        <v>732864</v>
      </c>
      <c r="B3936" t="s">
        <v>5248</v>
      </c>
      <c r="C3936">
        <v>0.82</v>
      </c>
      <c r="D3936">
        <v>-0.04</v>
      </c>
      <c r="E3936">
        <v>0.82</v>
      </c>
      <c r="F3936">
        <v>0.85</v>
      </c>
      <c r="G3936">
        <v>0.79</v>
      </c>
      <c r="H3936">
        <v>0.82</v>
      </c>
      <c r="I3936" s="1">
        <v>657000</v>
      </c>
      <c r="J3936" s="1">
        <v>536220</v>
      </c>
      <c r="K3936">
        <v>45</v>
      </c>
      <c r="L3936">
        <v>0.8</v>
      </c>
      <c r="M3936">
        <v>0.81</v>
      </c>
      <c r="N3936" s="1">
        <v>5000000</v>
      </c>
      <c r="O3936">
        <v>0.82</v>
      </c>
      <c r="P3936">
        <v>1.31</v>
      </c>
      <c r="Q3936">
        <v>0.33</v>
      </c>
    </row>
    <row r="3937" spans="1:17" x14ac:dyDescent="0.25">
      <c r="A3937">
        <v>732865</v>
      </c>
      <c r="B3937" t="s">
        <v>5249</v>
      </c>
      <c r="C3937">
        <v>0.84</v>
      </c>
      <c r="D3937">
        <v>-0.15</v>
      </c>
      <c r="E3937">
        <v>0.8</v>
      </c>
      <c r="F3937">
        <v>0.88</v>
      </c>
      <c r="G3937">
        <v>0.76</v>
      </c>
      <c r="H3937">
        <v>0.81</v>
      </c>
      <c r="I3937" s="1">
        <v>493000</v>
      </c>
      <c r="J3937" s="1">
        <v>400520</v>
      </c>
      <c r="K3937">
        <v>17</v>
      </c>
      <c r="L3937">
        <v>0.8</v>
      </c>
      <c r="M3937">
        <v>0.81</v>
      </c>
      <c r="N3937" s="1">
        <v>5000000</v>
      </c>
      <c r="O3937">
        <v>0.84</v>
      </c>
      <c r="P3937">
        <v>1.25</v>
      </c>
      <c r="Q3937">
        <v>0.43</v>
      </c>
    </row>
    <row r="3938" spans="1:17" x14ac:dyDescent="0.25">
      <c r="A3938">
        <v>732866</v>
      </c>
      <c r="B3938" t="s">
        <v>5250</v>
      </c>
      <c r="C3938">
        <v>1.64</v>
      </c>
      <c r="D3938">
        <v>-0.05</v>
      </c>
      <c r="E3938">
        <v>1.73</v>
      </c>
      <c r="F3938">
        <v>1.83</v>
      </c>
      <c r="G3938">
        <v>1.64</v>
      </c>
      <c r="H3938">
        <v>1.79</v>
      </c>
      <c r="I3938" s="1">
        <v>507000</v>
      </c>
      <c r="J3938" s="1">
        <v>908910</v>
      </c>
      <c r="K3938">
        <v>20</v>
      </c>
      <c r="L3938">
        <v>1.65</v>
      </c>
      <c r="M3938">
        <v>1.75</v>
      </c>
      <c r="N3938" s="1">
        <v>5000000</v>
      </c>
      <c r="O3938">
        <v>1.64</v>
      </c>
      <c r="P3938">
        <v>2.82</v>
      </c>
      <c r="Q3938">
        <v>0.46</v>
      </c>
    </row>
    <row r="3939" spans="1:17" x14ac:dyDescent="0.25">
      <c r="A3939">
        <v>732867</v>
      </c>
      <c r="B3939" t="s">
        <v>5251</v>
      </c>
      <c r="C3939" t="s">
        <v>78</v>
      </c>
      <c r="D3939" t="s">
        <v>78</v>
      </c>
      <c r="E3939" t="s">
        <v>78</v>
      </c>
      <c r="F3939" t="s">
        <v>78</v>
      </c>
      <c r="G3939" t="s">
        <v>78</v>
      </c>
      <c r="H3939">
        <v>0.32</v>
      </c>
      <c r="I3939" s="1">
        <v>0</v>
      </c>
      <c r="J3939" s="1">
        <v>0</v>
      </c>
      <c r="K3939">
        <v>0</v>
      </c>
      <c r="L3939">
        <v>0.3</v>
      </c>
      <c r="M3939">
        <v>0.31</v>
      </c>
      <c r="N3939" s="1">
        <v>5000000</v>
      </c>
      <c r="O3939">
        <v>0.31</v>
      </c>
      <c r="P3939">
        <v>0.77</v>
      </c>
      <c r="Q3939">
        <v>0.01</v>
      </c>
    </row>
    <row r="3940" spans="1:17" x14ac:dyDescent="0.25">
      <c r="A3940">
        <v>732868</v>
      </c>
      <c r="B3940" t="s">
        <v>5252</v>
      </c>
      <c r="C3940">
        <v>2.39</v>
      </c>
      <c r="D3940">
        <v>0.03</v>
      </c>
      <c r="E3940">
        <v>2.4500000000000002</v>
      </c>
      <c r="F3940">
        <v>2.4500000000000002</v>
      </c>
      <c r="G3940">
        <v>2.39</v>
      </c>
      <c r="H3940">
        <v>2.42</v>
      </c>
      <c r="I3940" s="1">
        <v>23000</v>
      </c>
      <c r="J3940" s="1">
        <v>55750</v>
      </c>
      <c r="K3940">
        <v>2</v>
      </c>
      <c r="L3940">
        <v>2.4700000000000002</v>
      </c>
      <c r="M3940">
        <v>2.5</v>
      </c>
      <c r="N3940" s="1">
        <v>5000000</v>
      </c>
      <c r="O3940">
        <v>2.39</v>
      </c>
      <c r="P3940">
        <v>4.18</v>
      </c>
      <c r="Q3940">
        <v>0.6</v>
      </c>
    </row>
    <row r="3941" spans="1:17" x14ac:dyDescent="0.25">
      <c r="A3941">
        <v>732869</v>
      </c>
      <c r="B3941" t="s">
        <v>5253</v>
      </c>
      <c r="C3941">
        <v>0.61</v>
      </c>
      <c r="D3941">
        <v>0.02</v>
      </c>
      <c r="E3941">
        <v>0.6</v>
      </c>
      <c r="F3941">
        <v>0.61</v>
      </c>
      <c r="G3941">
        <v>0.6</v>
      </c>
      <c r="H3941">
        <v>0.6</v>
      </c>
      <c r="I3941" s="1">
        <v>154000</v>
      </c>
      <c r="J3941" s="1">
        <v>92840</v>
      </c>
      <c r="K3941">
        <v>5</v>
      </c>
      <c r="L3941">
        <v>0.6</v>
      </c>
      <c r="M3941">
        <v>0.61</v>
      </c>
      <c r="N3941" s="1">
        <v>5000000</v>
      </c>
      <c r="O3941">
        <v>0.61</v>
      </c>
      <c r="P3941">
        <v>1.1299999999999999</v>
      </c>
      <c r="Q3941">
        <v>0.09</v>
      </c>
    </row>
    <row r="3942" spans="1:17" x14ac:dyDescent="0.25">
      <c r="A3942">
        <v>732870</v>
      </c>
      <c r="B3942" t="s">
        <v>5254</v>
      </c>
      <c r="C3942">
        <v>0.56000000000000005</v>
      </c>
      <c r="D3942">
        <v>-0.09</v>
      </c>
      <c r="E3942">
        <v>0.59</v>
      </c>
      <c r="F3942">
        <v>0.59</v>
      </c>
      <c r="G3942">
        <v>0.56000000000000005</v>
      </c>
      <c r="H3942">
        <v>0.56999999999999995</v>
      </c>
      <c r="I3942" s="1">
        <v>205000</v>
      </c>
      <c r="J3942" s="1">
        <v>117400</v>
      </c>
      <c r="K3942">
        <v>6</v>
      </c>
      <c r="L3942">
        <v>0.54</v>
      </c>
      <c r="M3942">
        <v>0.55000000000000004</v>
      </c>
      <c r="N3942" s="1">
        <v>5000000</v>
      </c>
      <c r="O3942">
        <v>0.56000000000000005</v>
      </c>
      <c r="P3942">
        <v>1.2</v>
      </c>
      <c r="Q3942">
        <v>0.01</v>
      </c>
    </row>
    <row r="3943" spans="1:17" x14ac:dyDescent="0.25">
      <c r="A3943">
        <v>732871</v>
      </c>
      <c r="B3943" t="s">
        <v>5255</v>
      </c>
      <c r="C3943" t="s">
        <v>78</v>
      </c>
      <c r="D3943" t="s">
        <v>78</v>
      </c>
      <c r="E3943" t="s">
        <v>78</v>
      </c>
      <c r="F3943" t="s">
        <v>78</v>
      </c>
      <c r="G3943" t="s">
        <v>78</v>
      </c>
      <c r="H3943">
        <v>0.52</v>
      </c>
      <c r="I3943" s="1">
        <v>0</v>
      </c>
      <c r="J3943" s="1">
        <v>0</v>
      </c>
      <c r="K3943">
        <v>0</v>
      </c>
      <c r="L3943">
        <v>0.47</v>
      </c>
      <c r="M3943">
        <v>0.48</v>
      </c>
      <c r="N3943" s="1">
        <v>5000000</v>
      </c>
      <c r="O3943">
        <v>0.48</v>
      </c>
      <c r="P3943">
        <v>0.98</v>
      </c>
      <c r="Q3943">
        <v>0.01</v>
      </c>
    </row>
    <row r="3944" spans="1:17" x14ac:dyDescent="0.25">
      <c r="A3944">
        <v>732872</v>
      </c>
      <c r="B3944" t="s">
        <v>5256</v>
      </c>
      <c r="C3944">
        <v>0.45</v>
      </c>
      <c r="D3944">
        <v>-0.01</v>
      </c>
      <c r="E3944">
        <v>0.45</v>
      </c>
      <c r="F3944">
        <v>0.45</v>
      </c>
      <c r="G3944">
        <v>0.45</v>
      </c>
      <c r="H3944">
        <v>0.45</v>
      </c>
      <c r="I3944" s="1">
        <v>10000</v>
      </c>
      <c r="J3944" s="1">
        <v>4500</v>
      </c>
      <c r="K3944">
        <v>1</v>
      </c>
      <c r="L3944">
        <v>0.44</v>
      </c>
      <c r="M3944">
        <v>0.45</v>
      </c>
      <c r="N3944" s="1">
        <v>15000000</v>
      </c>
      <c r="O3944">
        <v>0.45</v>
      </c>
      <c r="P3944">
        <v>0.84</v>
      </c>
      <c r="Q3944">
        <v>0.06</v>
      </c>
    </row>
    <row r="3945" spans="1:17" x14ac:dyDescent="0.25">
      <c r="A3945">
        <v>732873</v>
      </c>
      <c r="B3945" t="s">
        <v>5257</v>
      </c>
      <c r="C3945" t="s">
        <v>78</v>
      </c>
      <c r="D3945" t="s">
        <v>78</v>
      </c>
      <c r="E3945" t="s">
        <v>78</v>
      </c>
      <c r="F3945" t="s">
        <v>78</v>
      </c>
      <c r="G3945" t="s">
        <v>78</v>
      </c>
      <c r="H3945">
        <v>1.69</v>
      </c>
      <c r="I3945" s="1">
        <v>0</v>
      </c>
      <c r="J3945" s="1">
        <v>0</v>
      </c>
      <c r="K3945">
        <v>0</v>
      </c>
      <c r="L3945">
        <v>1.56</v>
      </c>
      <c r="M3945">
        <v>1.58</v>
      </c>
      <c r="N3945" s="1">
        <v>10000000</v>
      </c>
      <c r="O3945">
        <v>1.58</v>
      </c>
      <c r="P3945">
        <v>2.27</v>
      </c>
      <c r="Q3945">
        <v>0.89</v>
      </c>
    </row>
    <row r="3946" spans="1:17" x14ac:dyDescent="0.25">
      <c r="A3946">
        <v>732874</v>
      </c>
      <c r="B3946" t="s">
        <v>5258</v>
      </c>
      <c r="C3946">
        <v>0.5</v>
      </c>
      <c r="D3946">
        <v>-0.02</v>
      </c>
      <c r="E3946">
        <v>0.52</v>
      </c>
      <c r="F3946">
        <v>0.52</v>
      </c>
      <c r="G3946">
        <v>0.5</v>
      </c>
      <c r="H3946">
        <v>0.51</v>
      </c>
      <c r="I3946" s="1">
        <v>120000</v>
      </c>
      <c r="J3946" s="1">
        <v>61400</v>
      </c>
      <c r="K3946">
        <v>3</v>
      </c>
      <c r="L3946">
        <v>0.51</v>
      </c>
      <c r="M3946">
        <v>0.52</v>
      </c>
      <c r="N3946" s="1">
        <v>5000000</v>
      </c>
      <c r="O3946">
        <v>0.5</v>
      </c>
      <c r="P3946">
        <v>1.33</v>
      </c>
      <c r="Q3946">
        <v>0.01</v>
      </c>
    </row>
    <row r="3947" spans="1:17" x14ac:dyDescent="0.25">
      <c r="A3947">
        <v>732875</v>
      </c>
      <c r="B3947" t="s">
        <v>5259</v>
      </c>
      <c r="C3947">
        <v>1.34</v>
      </c>
      <c r="D3947">
        <v>0.01</v>
      </c>
      <c r="E3947">
        <v>1.36</v>
      </c>
      <c r="F3947">
        <v>1.41</v>
      </c>
      <c r="G3947">
        <v>1.33</v>
      </c>
      <c r="H3947">
        <v>1.38</v>
      </c>
      <c r="I3947" s="1">
        <v>1163000</v>
      </c>
      <c r="J3947" s="1">
        <v>1606140</v>
      </c>
      <c r="K3947">
        <v>38</v>
      </c>
      <c r="L3947">
        <v>1.33</v>
      </c>
      <c r="M3947">
        <v>1.34</v>
      </c>
      <c r="N3947" s="1">
        <v>10000000</v>
      </c>
      <c r="O3947">
        <v>1.34</v>
      </c>
      <c r="P3947">
        <v>2.06</v>
      </c>
      <c r="Q3947">
        <v>0.62</v>
      </c>
    </row>
    <row r="3948" spans="1:17" x14ac:dyDescent="0.25">
      <c r="A3948">
        <v>732876</v>
      </c>
      <c r="B3948" t="s">
        <v>5260</v>
      </c>
      <c r="C3948">
        <v>1.44</v>
      </c>
      <c r="D3948">
        <v>-0.01</v>
      </c>
      <c r="E3948">
        <v>1.48</v>
      </c>
      <c r="F3948">
        <v>1.48</v>
      </c>
      <c r="G3948">
        <v>1.39</v>
      </c>
      <c r="H3948">
        <v>1.44</v>
      </c>
      <c r="I3948" s="1">
        <v>216000</v>
      </c>
      <c r="J3948" s="1">
        <v>311460</v>
      </c>
      <c r="K3948">
        <v>5</v>
      </c>
      <c r="L3948">
        <v>1.39</v>
      </c>
      <c r="M3948">
        <v>1.41</v>
      </c>
      <c r="N3948" s="1">
        <v>5000000</v>
      </c>
      <c r="O3948">
        <v>1.44</v>
      </c>
      <c r="P3948">
        <v>2.23</v>
      </c>
      <c r="Q3948">
        <v>0.65</v>
      </c>
    </row>
    <row r="3949" spans="1:17" x14ac:dyDescent="0.25">
      <c r="A3949">
        <v>732877</v>
      </c>
      <c r="B3949" t="s">
        <v>5261</v>
      </c>
      <c r="C3949">
        <v>3.36</v>
      </c>
      <c r="D3949">
        <v>0.03</v>
      </c>
      <c r="E3949">
        <v>3.24</v>
      </c>
      <c r="F3949">
        <v>3.36</v>
      </c>
      <c r="G3949">
        <v>3.18</v>
      </c>
      <c r="H3949">
        <v>3.25</v>
      </c>
      <c r="I3949" s="1">
        <v>26000</v>
      </c>
      <c r="J3949" s="1">
        <v>84540</v>
      </c>
      <c r="K3949">
        <v>4</v>
      </c>
      <c r="L3949">
        <v>3.36</v>
      </c>
      <c r="M3949">
        <v>3.41</v>
      </c>
      <c r="N3949" s="1">
        <v>5000000</v>
      </c>
      <c r="O3949">
        <v>3.36</v>
      </c>
      <c r="P3949">
        <v>4.43</v>
      </c>
      <c r="Q3949">
        <v>2.29</v>
      </c>
    </row>
    <row r="3950" spans="1:17" x14ac:dyDescent="0.25">
      <c r="A3950">
        <v>732878</v>
      </c>
      <c r="B3950" t="s">
        <v>5262</v>
      </c>
      <c r="C3950">
        <v>0.68</v>
      </c>
      <c r="D3950">
        <v>0.01</v>
      </c>
      <c r="E3950">
        <v>0.66</v>
      </c>
      <c r="F3950">
        <v>0.68</v>
      </c>
      <c r="G3950">
        <v>0.65</v>
      </c>
      <c r="H3950">
        <v>0.66</v>
      </c>
      <c r="I3950" s="1">
        <v>1179000</v>
      </c>
      <c r="J3950" s="1">
        <v>781580</v>
      </c>
      <c r="K3950">
        <v>20</v>
      </c>
      <c r="L3950">
        <v>0.67</v>
      </c>
      <c r="M3950">
        <v>0.68</v>
      </c>
      <c r="N3950" s="1">
        <v>5000000</v>
      </c>
      <c r="O3950">
        <v>0.68</v>
      </c>
      <c r="P3950">
        <v>1.73</v>
      </c>
      <c r="Q3950">
        <v>0.01</v>
      </c>
    </row>
    <row r="3951" spans="1:17" x14ac:dyDescent="0.25">
      <c r="A3951">
        <v>732879</v>
      </c>
      <c r="B3951" t="s">
        <v>5263</v>
      </c>
      <c r="C3951">
        <v>1.47</v>
      </c>
      <c r="D3951">
        <v>7.0000000000000007E-2</v>
      </c>
      <c r="E3951">
        <v>1.45</v>
      </c>
      <c r="F3951">
        <v>1.51</v>
      </c>
      <c r="G3951">
        <v>1.41</v>
      </c>
      <c r="H3951">
        <v>1.44</v>
      </c>
      <c r="I3951" s="1">
        <v>156000</v>
      </c>
      <c r="J3951" s="1">
        <v>225120</v>
      </c>
      <c r="K3951">
        <v>12</v>
      </c>
      <c r="L3951">
        <v>1.47</v>
      </c>
      <c r="M3951">
        <v>1.5</v>
      </c>
      <c r="N3951" s="1">
        <v>5000000</v>
      </c>
      <c r="O3951">
        <v>1.47</v>
      </c>
      <c r="P3951">
        <v>2.41</v>
      </c>
      <c r="Q3951">
        <v>0.53</v>
      </c>
    </row>
    <row r="3952" spans="1:17" x14ac:dyDescent="0.25">
      <c r="A3952">
        <v>732880</v>
      </c>
      <c r="B3952" t="s">
        <v>5264</v>
      </c>
      <c r="C3952">
        <v>0.52</v>
      </c>
      <c r="D3952">
        <v>0</v>
      </c>
      <c r="E3952">
        <v>0.52</v>
      </c>
      <c r="F3952">
        <v>0.52</v>
      </c>
      <c r="G3952">
        <v>0.52</v>
      </c>
      <c r="H3952">
        <v>0.52</v>
      </c>
      <c r="I3952" s="1">
        <v>20000</v>
      </c>
      <c r="J3952" s="1">
        <v>10400</v>
      </c>
      <c r="K3952">
        <v>2</v>
      </c>
      <c r="L3952">
        <v>0.52</v>
      </c>
      <c r="M3952">
        <v>0.53</v>
      </c>
      <c r="N3952" s="1">
        <v>10000000</v>
      </c>
      <c r="O3952">
        <v>0.52</v>
      </c>
      <c r="P3952">
        <v>0.87</v>
      </c>
      <c r="Q3952">
        <v>0.17</v>
      </c>
    </row>
    <row r="3953" spans="1:17" x14ac:dyDescent="0.25">
      <c r="A3953">
        <v>732881</v>
      </c>
      <c r="B3953" t="s">
        <v>5265</v>
      </c>
      <c r="C3953">
        <v>0.75</v>
      </c>
      <c r="D3953">
        <v>0.01</v>
      </c>
      <c r="E3953">
        <v>0.76</v>
      </c>
      <c r="F3953">
        <v>0.79</v>
      </c>
      <c r="G3953">
        <v>0.75</v>
      </c>
      <c r="H3953">
        <v>0.77</v>
      </c>
      <c r="I3953" s="1">
        <v>878000</v>
      </c>
      <c r="J3953" s="1">
        <v>674810</v>
      </c>
      <c r="K3953">
        <v>22</v>
      </c>
      <c r="L3953">
        <v>0.74</v>
      </c>
      <c r="M3953">
        <v>0.75</v>
      </c>
      <c r="N3953" s="1">
        <v>10000000</v>
      </c>
      <c r="O3953">
        <v>0.75</v>
      </c>
      <c r="P3953">
        <v>1.48</v>
      </c>
      <c r="Q3953">
        <v>0.02</v>
      </c>
    </row>
    <row r="3954" spans="1:17" x14ac:dyDescent="0.25">
      <c r="A3954">
        <v>732882</v>
      </c>
      <c r="B3954" t="s">
        <v>5266</v>
      </c>
      <c r="C3954">
        <v>2.4700000000000002</v>
      </c>
      <c r="D3954">
        <v>-0.55000000000000004</v>
      </c>
      <c r="E3954">
        <v>2.36</v>
      </c>
      <c r="F3954">
        <v>2.4700000000000002</v>
      </c>
      <c r="G3954">
        <v>2.36</v>
      </c>
      <c r="H3954">
        <v>2.41</v>
      </c>
      <c r="I3954" s="1">
        <v>28000</v>
      </c>
      <c r="J3954" s="1">
        <v>67510</v>
      </c>
      <c r="K3954">
        <v>2</v>
      </c>
      <c r="L3954">
        <v>2.4700000000000002</v>
      </c>
      <c r="M3954">
        <v>2.54</v>
      </c>
      <c r="N3954" s="1">
        <v>10000000</v>
      </c>
      <c r="O3954">
        <v>2.4700000000000002</v>
      </c>
      <c r="P3954">
        <v>3.39</v>
      </c>
      <c r="Q3954">
        <v>1.55</v>
      </c>
    </row>
    <row r="3955" spans="1:17" x14ac:dyDescent="0.25">
      <c r="A3955">
        <v>732883</v>
      </c>
      <c r="B3955" t="s">
        <v>5267</v>
      </c>
      <c r="C3955">
        <v>0.68</v>
      </c>
      <c r="D3955">
        <v>0.14000000000000001</v>
      </c>
      <c r="E3955">
        <v>0.63</v>
      </c>
      <c r="F3955">
        <v>0.68</v>
      </c>
      <c r="G3955">
        <v>0.63</v>
      </c>
      <c r="H3955">
        <v>0.65</v>
      </c>
      <c r="I3955" s="1">
        <v>289000</v>
      </c>
      <c r="J3955" s="1">
        <v>187740</v>
      </c>
      <c r="K3955">
        <v>5</v>
      </c>
      <c r="L3955">
        <v>0.57999999999999996</v>
      </c>
      <c r="M3955">
        <v>0.59</v>
      </c>
      <c r="N3955" s="1">
        <v>5000000</v>
      </c>
      <c r="O3955">
        <v>0.68</v>
      </c>
      <c r="P3955">
        <v>1.93</v>
      </c>
      <c r="Q3955">
        <v>0.01</v>
      </c>
    </row>
    <row r="3956" spans="1:17" x14ac:dyDescent="0.25">
      <c r="A3956">
        <v>732884</v>
      </c>
      <c r="B3956" t="s">
        <v>5268</v>
      </c>
      <c r="C3956" t="s">
        <v>78</v>
      </c>
      <c r="D3956" t="s">
        <v>78</v>
      </c>
      <c r="E3956" t="s">
        <v>78</v>
      </c>
      <c r="F3956" t="s">
        <v>78</v>
      </c>
      <c r="G3956" t="s">
        <v>78</v>
      </c>
      <c r="H3956">
        <v>1.36</v>
      </c>
      <c r="I3956" s="1">
        <v>0</v>
      </c>
      <c r="J3956" s="1">
        <v>0</v>
      </c>
      <c r="K3956">
        <v>0</v>
      </c>
      <c r="L3956">
        <v>1.17</v>
      </c>
      <c r="M3956">
        <v>1.26</v>
      </c>
      <c r="N3956" s="1">
        <v>10000000</v>
      </c>
      <c r="O3956">
        <v>1.17</v>
      </c>
      <c r="P3956">
        <v>1.63</v>
      </c>
      <c r="Q3956">
        <v>0.71</v>
      </c>
    </row>
    <row r="3957" spans="1:17" x14ac:dyDescent="0.25">
      <c r="A3957">
        <v>732885</v>
      </c>
      <c r="B3957" t="s">
        <v>5269</v>
      </c>
      <c r="C3957">
        <v>1.66</v>
      </c>
      <c r="D3957">
        <v>-0.08</v>
      </c>
      <c r="E3957">
        <v>1.69</v>
      </c>
      <c r="F3957">
        <v>1.69</v>
      </c>
      <c r="G3957">
        <v>1.66</v>
      </c>
      <c r="H3957">
        <v>1.69</v>
      </c>
      <c r="I3957" s="1">
        <v>114000</v>
      </c>
      <c r="J3957" s="1">
        <v>192240</v>
      </c>
      <c r="K3957">
        <v>2</v>
      </c>
      <c r="L3957">
        <v>1.66</v>
      </c>
      <c r="M3957">
        <v>1.7</v>
      </c>
      <c r="N3957" s="1">
        <v>13500000</v>
      </c>
      <c r="O3957">
        <v>1.66</v>
      </c>
      <c r="P3957">
        <v>2.5099999999999998</v>
      </c>
      <c r="Q3957">
        <v>0.79</v>
      </c>
    </row>
    <row r="3958" spans="1:17" x14ac:dyDescent="0.25">
      <c r="A3958">
        <v>732886</v>
      </c>
      <c r="B3958" t="s">
        <v>5270</v>
      </c>
      <c r="C3958" t="s">
        <v>78</v>
      </c>
      <c r="D3958" t="s">
        <v>78</v>
      </c>
      <c r="E3958" t="s">
        <v>78</v>
      </c>
      <c r="F3958" t="s">
        <v>78</v>
      </c>
      <c r="G3958" t="s">
        <v>78</v>
      </c>
      <c r="H3958">
        <v>2.77</v>
      </c>
      <c r="I3958" s="1">
        <v>0</v>
      </c>
      <c r="J3958" s="1">
        <v>0</v>
      </c>
      <c r="K3958">
        <v>0</v>
      </c>
      <c r="L3958">
        <v>2.85</v>
      </c>
      <c r="M3958">
        <v>2.9</v>
      </c>
      <c r="N3958" s="1">
        <v>10000000</v>
      </c>
      <c r="O3958">
        <v>2.85</v>
      </c>
      <c r="P3958">
        <v>3.84</v>
      </c>
      <c r="Q3958">
        <v>1.86</v>
      </c>
    </row>
    <row r="3959" spans="1:17" x14ac:dyDescent="0.25">
      <c r="A3959">
        <v>732887</v>
      </c>
      <c r="B3959" t="s">
        <v>5271</v>
      </c>
      <c r="C3959">
        <v>0.76</v>
      </c>
      <c r="D3959">
        <v>-0.04</v>
      </c>
      <c r="E3959">
        <v>0.8</v>
      </c>
      <c r="F3959">
        <v>0.81</v>
      </c>
      <c r="G3959">
        <v>0.76</v>
      </c>
      <c r="H3959">
        <v>0.79</v>
      </c>
      <c r="I3959" s="1">
        <v>371000</v>
      </c>
      <c r="J3959" s="1">
        <v>294030</v>
      </c>
      <c r="K3959">
        <v>15</v>
      </c>
      <c r="L3959">
        <v>0.75</v>
      </c>
      <c r="M3959">
        <v>0.76</v>
      </c>
      <c r="N3959" s="1">
        <v>10000000</v>
      </c>
      <c r="O3959">
        <v>0.76</v>
      </c>
      <c r="P3959">
        <v>1.25</v>
      </c>
      <c r="Q3959">
        <v>0.27</v>
      </c>
    </row>
    <row r="3960" spans="1:17" x14ac:dyDescent="0.25">
      <c r="A3960">
        <v>732888</v>
      </c>
      <c r="B3960" t="s">
        <v>5272</v>
      </c>
      <c r="C3960" t="s">
        <v>78</v>
      </c>
      <c r="D3960" t="s">
        <v>78</v>
      </c>
      <c r="E3960" t="s">
        <v>78</v>
      </c>
      <c r="F3960" t="s">
        <v>78</v>
      </c>
      <c r="G3960" t="s">
        <v>78</v>
      </c>
      <c r="H3960">
        <v>0.67</v>
      </c>
      <c r="I3960" s="1">
        <v>0</v>
      </c>
      <c r="J3960" s="1">
        <v>0</v>
      </c>
      <c r="K3960">
        <v>0</v>
      </c>
      <c r="L3960">
        <v>0.64</v>
      </c>
      <c r="M3960">
        <v>0.65</v>
      </c>
      <c r="N3960" s="1">
        <v>5000000</v>
      </c>
      <c r="O3960">
        <v>0.65</v>
      </c>
      <c r="P3960">
        <v>1.25</v>
      </c>
      <c r="Q3960">
        <v>0.05</v>
      </c>
    </row>
    <row r="3961" spans="1:17" x14ac:dyDescent="0.25">
      <c r="A3961">
        <v>732889</v>
      </c>
      <c r="B3961" t="s">
        <v>5273</v>
      </c>
      <c r="C3961">
        <v>0.89</v>
      </c>
      <c r="D3961">
        <v>-0.1</v>
      </c>
      <c r="E3961">
        <v>1.04</v>
      </c>
      <c r="F3961">
        <v>1.06</v>
      </c>
      <c r="G3961">
        <v>0.87</v>
      </c>
      <c r="H3961">
        <v>0.98</v>
      </c>
      <c r="I3961" s="1">
        <v>2121000</v>
      </c>
      <c r="J3961" s="1">
        <v>2084670</v>
      </c>
      <c r="K3961">
        <v>97</v>
      </c>
      <c r="L3961">
        <v>0.87</v>
      </c>
      <c r="M3961">
        <v>0.89</v>
      </c>
      <c r="N3961" s="1">
        <v>5000000</v>
      </c>
      <c r="O3961">
        <v>0.89</v>
      </c>
      <c r="P3961">
        <v>1.64</v>
      </c>
      <c r="Q3961">
        <v>0.14000000000000001</v>
      </c>
    </row>
    <row r="3962" spans="1:17" x14ac:dyDescent="0.25">
      <c r="A3962">
        <v>732890</v>
      </c>
      <c r="B3962" t="s">
        <v>5274</v>
      </c>
      <c r="C3962">
        <v>0.85</v>
      </c>
      <c r="D3962">
        <v>-0.02</v>
      </c>
      <c r="E3962">
        <v>0.82</v>
      </c>
      <c r="F3962">
        <v>0.87</v>
      </c>
      <c r="G3962">
        <v>0.8</v>
      </c>
      <c r="H3962">
        <v>0.84</v>
      </c>
      <c r="I3962" s="1">
        <v>642000</v>
      </c>
      <c r="J3962" s="1">
        <v>536530</v>
      </c>
      <c r="K3962">
        <v>29</v>
      </c>
      <c r="L3962">
        <v>0.84</v>
      </c>
      <c r="M3962">
        <v>0.85</v>
      </c>
      <c r="N3962" s="1">
        <v>5000000</v>
      </c>
      <c r="O3962">
        <v>0.85</v>
      </c>
      <c r="P3962">
        <v>1.37</v>
      </c>
      <c r="Q3962">
        <v>0.33</v>
      </c>
    </row>
    <row r="3963" spans="1:17" x14ac:dyDescent="0.25">
      <c r="A3963">
        <v>732891</v>
      </c>
      <c r="B3963" t="s">
        <v>5275</v>
      </c>
      <c r="C3963">
        <v>1.06</v>
      </c>
      <c r="D3963">
        <v>-0.03</v>
      </c>
      <c r="E3963">
        <v>1.04</v>
      </c>
      <c r="F3963">
        <v>1.1100000000000001</v>
      </c>
      <c r="G3963">
        <v>1.04</v>
      </c>
      <c r="H3963">
        <v>1.07</v>
      </c>
      <c r="I3963" s="1">
        <v>211000</v>
      </c>
      <c r="J3963" s="1">
        <v>226110</v>
      </c>
      <c r="K3963">
        <v>6</v>
      </c>
      <c r="L3963">
        <v>1.07</v>
      </c>
      <c r="M3963">
        <v>1.0900000000000001</v>
      </c>
      <c r="N3963" s="1">
        <v>5000000</v>
      </c>
      <c r="O3963">
        <v>1.06</v>
      </c>
      <c r="P3963">
        <v>1.63</v>
      </c>
      <c r="Q3963">
        <v>0.49</v>
      </c>
    </row>
    <row r="3964" spans="1:17" x14ac:dyDescent="0.25">
      <c r="A3964">
        <v>732892</v>
      </c>
      <c r="B3964" t="s">
        <v>5276</v>
      </c>
      <c r="C3964">
        <v>0.45</v>
      </c>
      <c r="D3964">
        <v>0.01</v>
      </c>
      <c r="E3964">
        <v>0.47</v>
      </c>
      <c r="F3964">
        <v>0.47</v>
      </c>
      <c r="G3964">
        <v>0.45</v>
      </c>
      <c r="H3964">
        <v>0.46</v>
      </c>
      <c r="I3964" s="1">
        <v>217000</v>
      </c>
      <c r="J3964" s="1">
        <v>99770</v>
      </c>
      <c r="K3964">
        <v>4</v>
      </c>
      <c r="L3964">
        <v>0.44</v>
      </c>
      <c r="M3964">
        <v>0.45</v>
      </c>
      <c r="N3964" s="1">
        <v>5000000</v>
      </c>
      <c r="O3964">
        <v>0.45</v>
      </c>
      <c r="P3964">
        <v>0.98</v>
      </c>
      <c r="Q3964">
        <v>0.01</v>
      </c>
    </row>
    <row r="3965" spans="1:17" x14ac:dyDescent="0.25">
      <c r="A3965">
        <v>732893</v>
      </c>
      <c r="B3965" t="s">
        <v>5277</v>
      </c>
      <c r="C3965">
        <v>0.78</v>
      </c>
      <c r="D3965">
        <v>0.06</v>
      </c>
      <c r="E3965">
        <v>0.71</v>
      </c>
      <c r="F3965">
        <v>0.8</v>
      </c>
      <c r="G3965">
        <v>0.68</v>
      </c>
      <c r="H3965">
        <v>0.74</v>
      </c>
      <c r="I3965" s="1">
        <v>894000</v>
      </c>
      <c r="J3965" s="1">
        <v>659190</v>
      </c>
      <c r="K3965">
        <v>22</v>
      </c>
      <c r="L3965">
        <v>0.76</v>
      </c>
      <c r="M3965">
        <v>0.8</v>
      </c>
      <c r="N3965" s="1">
        <v>5000000</v>
      </c>
      <c r="O3965">
        <v>0.78</v>
      </c>
      <c r="P3965">
        <v>1.62</v>
      </c>
      <c r="Q3965">
        <v>0.01</v>
      </c>
    </row>
    <row r="3966" spans="1:17" x14ac:dyDescent="0.25">
      <c r="A3966">
        <v>732894</v>
      </c>
      <c r="B3966" t="s">
        <v>5278</v>
      </c>
      <c r="C3966">
        <v>4.04</v>
      </c>
      <c r="D3966">
        <v>0.14000000000000001</v>
      </c>
      <c r="E3966">
        <v>3.79</v>
      </c>
      <c r="F3966">
        <v>4.04</v>
      </c>
      <c r="G3966">
        <v>3.79</v>
      </c>
      <c r="H3966">
        <v>3.92</v>
      </c>
      <c r="I3966" s="1">
        <v>6000</v>
      </c>
      <c r="J3966" s="1">
        <v>23490</v>
      </c>
      <c r="K3966">
        <v>3</v>
      </c>
      <c r="L3966">
        <v>4.01</v>
      </c>
      <c r="M3966">
        <v>0</v>
      </c>
      <c r="N3966" s="1">
        <v>5000000</v>
      </c>
      <c r="O3966">
        <v>4.04</v>
      </c>
      <c r="P3966">
        <v>5.0999999999999996</v>
      </c>
      <c r="Q3966">
        <v>2.97</v>
      </c>
    </row>
    <row r="3967" spans="1:17" x14ac:dyDescent="0.25">
      <c r="A3967">
        <v>732895</v>
      </c>
      <c r="B3967" t="s">
        <v>5279</v>
      </c>
      <c r="C3967">
        <v>0.28999999999999998</v>
      </c>
      <c r="D3967">
        <v>-0.02</v>
      </c>
      <c r="E3967">
        <v>0.3</v>
      </c>
      <c r="F3967">
        <v>0.3</v>
      </c>
      <c r="G3967">
        <v>0.28999999999999998</v>
      </c>
      <c r="H3967">
        <v>0.28999999999999998</v>
      </c>
      <c r="I3967" s="1">
        <v>280000</v>
      </c>
      <c r="J3967" s="1">
        <v>82200</v>
      </c>
      <c r="K3967">
        <v>3</v>
      </c>
      <c r="L3967">
        <v>0.28999999999999998</v>
      </c>
      <c r="M3967">
        <v>0.3</v>
      </c>
      <c r="N3967" s="1">
        <v>10000000</v>
      </c>
      <c r="O3967">
        <v>0.28999999999999998</v>
      </c>
      <c r="P3967">
        <v>1.62</v>
      </c>
      <c r="Q3967">
        <v>0.01</v>
      </c>
    </row>
    <row r="3968" spans="1:17" x14ac:dyDescent="0.25">
      <c r="A3968">
        <v>732896</v>
      </c>
      <c r="B3968" t="s">
        <v>5280</v>
      </c>
      <c r="C3968">
        <v>0.9</v>
      </c>
      <c r="D3968">
        <v>0.17</v>
      </c>
      <c r="E3968">
        <v>0.71</v>
      </c>
      <c r="F3968">
        <v>0.9</v>
      </c>
      <c r="G3968">
        <v>0.71</v>
      </c>
      <c r="H3968">
        <v>0.78</v>
      </c>
      <c r="I3968" s="1">
        <v>171000</v>
      </c>
      <c r="J3968" s="1">
        <v>133600</v>
      </c>
      <c r="K3968">
        <v>7</v>
      </c>
      <c r="L3968">
        <v>0.88</v>
      </c>
      <c r="M3968">
        <v>0.9</v>
      </c>
      <c r="N3968" s="1">
        <v>10000000</v>
      </c>
      <c r="O3968">
        <v>0.9</v>
      </c>
      <c r="P3968">
        <v>1.89</v>
      </c>
      <c r="Q3968">
        <v>0.01</v>
      </c>
    </row>
    <row r="3969" spans="1:17" x14ac:dyDescent="0.25">
      <c r="A3969">
        <v>732897</v>
      </c>
      <c r="B3969" t="s">
        <v>5281</v>
      </c>
      <c r="C3969">
        <v>0.32</v>
      </c>
      <c r="D3969">
        <v>-0.02</v>
      </c>
      <c r="E3969">
        <v>0.36</v>
      </c>
      <c r="F3969">
        <v>0.36</v>
      </c>
      <c r="G3969">
        <v>0.32</v>
      </c>
      <c r="H3969">
        <v>0.33</v>
      </c>
      <c r="I3969" s="1">
        <v>13000</v>
      </c>
      <c r="J3969" s="1">
        <v>4280</v>
      </c>
      <c r="K3969">
        <v>2</v>
      </c>
      <c r="L3969">
        <v>0.32</v>
      </c>
      <c r="M3969">
        <v>0.37</v>
      </c>
      <c r="N3969" s="1">
        <v>10000000</v>
      </c>
      <c r="O3969">
        <v>0.32</v>
      </c>
      <c r="P3969">
        <v>1.1599999999999999</v>
      </c>
      <c r="Q3969">
        <v>0.01</v>
      </c>
    </row>
    <row r="3970" spans="1:17" x14ac:dyDescent="0.25">
      <c r="A3970">
        <v>732898</v>
      </c>
      <c r="B3970" t="s">
        <v>5282</v>
      </c>
      <c r="C3970">
        <v>1.85</v>
      </c>
      <c r="D3970">
        <v>0.28000000000000003</v>
      </c>
      <c r="E3970">
        <v>1.83</v>
      </c>
      <c r="F3970">
        <v>1.85</v>
      </c>
      <c r="G3970">
        <v>1.8</v>
      </c>
      <c r="H3970">
        <v>1.83</v>
      </c>
      <c r="I3970" s="1">
        <v>105000</v>
      </c>
      <c r="J3970" s="1">
        <v>191650</v>
      </c>
      <c r="K3970">
        <v>6</v>
      </c>
      <c r="L3970">
        <v>1.82</v>
      </c>
      <c r="M3970">
        <v>1.85</v>
      </c>
      <c r="N3970" s="1">
        <v>5000000</v>
      </c>
      <c r="O3970">
        <v>1.85</v>
      </c>
      <c r="P3970">
        <v>2.56</v>
      </c>
      <c r="Q3970">
        <v>1.1399999999999999</v>
      </c>
    </row>
    <row r="3971" spans="1:17" x14ac:dyDescent="0.25">
      <c r="A3971">
        <v>732899</v>
      </c>
      <c r="B3971" t="s">
        <v>5283</v>
      </c>
      <c r="C3971">
        <v>0.57999999999999996</v>
      </c>
      <c r="D3971">
        <v>-0.03</v>
      </c>
      <c r="E3971">
        <v>0.61</v>
      </c>
      <c r="F3971">
        <v>0.61</v>
      </c>
      <c r="G3971">
        <v>0.55000000000000004</v>
      </c>
      <c r="H3971">
        <v>0.56999999999999995</v>
      </c>
      <c r="I3971" s="1">
        <v>811000</v>
      </c>
      <c r="J3971" s="1">
        <v>465510</v>
      </c>
      <c r="K3971">
        <v>17</v>
      </c>
      <c r="L3971">
        <v>0.56000000000000005</v>
      </c>
      <c r="M3971">
        <v>0.56999999999999995</v>
      </c>
      <c r="N3971" s="1">
        <v>5000000</v>
      </c>
      <c r="O3971">
        <v>0.57999999999999996</v>
      </c>
      <c r="P3971">
        <v>1.18</v>
      </c>
      <c r="Q3971">
        <v>0.01</v>
      </c>
    </row>
    <row r="3972" spans="1:17" x14ac:dyDescent="0.25">
      <c r="A3972">
        <v>732900</v>
      </c>
      <c r="B3972" t="s">
        <v>5284</v>
      </c>
      <c r="C3972">
        <v>1.5</v>
      </c>
      <c r="D3972">
        <v>0.11</v>
      </c>
      <c r="E3972">
        <v>1.57</v>
      </c>
      <c r="F3972">
        <v>1.57</v>
      </c>
      <c r="G3972">
        <v>1.44</v>
      </c>
      <c r="H3972">
        <v>1.48</v>
      </c>
      <c r="I3972" s="1">
        <v>752000</v>
      </c>
      <c r="J3972" s="1">
        <v>1116400</v>
      </c>
      <c r="K3972">
        <v>42</v>
      </c>
      <c r="L3972">
        <v>1.5</v>
      </c>
      <c r="M3972">
        <v>1.51</v>
      </c>
      <c r="N3972" s="1">
        <v>10000000</v>
      </c>
      <c r="O3972">
        <v>1.5</v>
      </c>
      <c r="P3972">
        <v>2.66</v>
      </c>
      <c r="Q3972">
        <v>0.34</v>
      </c>
    </row>
    <row r="3973" spans="1:17" x14ac:dyDescent="0.25">
      <c r="A3973">
        <v>732901</v>
      </c>
      <c r="B3973" t="s">
        <v>5285</v>
      </c>
      <c r="C3973">
        <v>0.15</v>
      </c>
      <c r="D3973">
        <v>0</v>
      </c>
      <c r="E3973">
        <v>0.15</v>
      </c>
      <c r="F3973">
        <v>0.15</v>
      </c>
      <c r="G3973">
        <v>0.15</v>
      </c>
      <c r="H3973">
        <v>0.15</v>
      </c>
      <c r="I3973" s="1">
        <v>10000</v>
      </c>
      <c r="J3973" s="1">
        <v>1500</v>
      </c>
      <c r="K3973">
        <v>1</v>
      </c>
      <c r="L3973">
        <v>0.14000000000000001</v>
      </c>
      <c r="M3973">
        <v>0.15</v>
      </c>
      <c r="N3973" s="1">
        <v>10000000</v>
      </c>
      <c r="O3973">
        <v>0.15</v>
      </c>
      <c r="P3973">
        <v>1.02</v>
      </c>
      <c r="Q3973">
        <v>0.01</v>
      </c>
    </row>
    <row r="3974" spans="1:17" x14ac:dyDescent="0.25">
      <c r="A3974">
        <v>732902</v>
      </c>
      <c r="B3974" t="s">
        <v>5286</v>
      </c>
      <c r="C3974">
        <v>0.37</v>
      </c>
      <c r="D3974">
        <v>0.03</v>
      </c>
      <c r="E3974">
        <v>0.39</v>
      </c>
      <c r="F3974">
        <v>0.4</v>
      </c>
      <c r="G3974">
        <v>0.37</v>
      </c>
      <c r="H3974">
        <v>0.39</v>
      </c>
      <c r="I3974" s="1">
        <v>220000</v>
      </c>
      <c r="J3974" s="1">
        <v>85350</v>
      </c>
      <c r="K3974">
        <v>5</v>
      </c>
      <c r="L3974">
        <v>0.35</v>
      </c>
      <c r="M3974">
        <v>0.36</v>
      </c>
      <c r="N3974" s="1">
        <v>10000000</v>
      </c>
      <c r="O3974">
        <v>0.37</v>
      </c>
      <c r="P3974">
        <v>1.1299999999999999</v>
      </c>
      <c r="Q3974">
        <v>0.01</v>
      </c>
    </row>
    <row r="3975" spans="1:17" x14ac:dyDescent="0.25">
      <c r="A3975">
        <v>732903</v>
      </c>
      <c r="B3975" t="s">
        <v>5287</v>
      </c>
      <c r="C3975">
        <v>2.2200000000000002</v>
      </c>
      <c r="D3975">
        <v>0.12</v>
      </c>
      <c r="E3975">
        <v>2.15</v>
      </c>
      <c r="F3975">
        <v>2.2200000000000002</v>
      </c>
      <c r="G3975">
        <v>2.15</v>
      </c>
      <c r="H3975">
        <v>2.17</v>
      </c>
      <c r="I3975" s="1">
        <v>4000</v>
      </c>
      <c r="J3975" s="1">
        <v>8670</v>
      </c>
      <c r="K3975">
        <v>2</v>
      </c>
      <c r="L3975">
        <v>2.17</v>
      </c>
      <c r="M3975">
        <v>2.2200000000000002</v>
      </c>
      <c r="N3975" s="1">
        <v>5000000</v>
      </c>
      <c r="O3975">
        <v>2.2200000000000002</v>
      </c>
      <c r="P3975">
        <v>3.16</v>
      </c>
      <c r="Q3975">
        <v>1.28</v>
      </c>
    </row>
    <row r="3976" spans="1:17" x14ac:dyDescent="0.25">
      <c r="A3976">
        <v>732904</v>
      </c>
      <c r="B3976" t="s">
        <v>5288</v>
      </c>
      <c r="C3976" t="s">
        <v>78</v>
      </c>
      <c r="D3976" t="s">
        <v>78</v>
      </c>
      <c r="E3976" t="s">
        <v>78</v>
      </c>
      <c r="F3976" t="s">
        <v>78</v>
      </c>
      <c r="G3976" t="s">
        <v>78</v>
      </c>
      <c r="H3976">
        <v>0.53</v>
      </c>
      <c r="I3976" s="1">
        <v>0</v>
      </c>
      <c r="J3976" s="1">
        <v>0</v>
      </c>
      <c r="K3976">
        <v>0</v>
      </c>
      <c r="L3976">
        <v>0.52</v>
      </c>
      <c r="M3976">
        <v>0.53</v>
      </c>
      <c r="N3976" s="1">
        <v>10000000</v>
      </c>
      <c r="O3976">
        <v>0.53</v>
      </c>
      <c r="P3976">
        <v>1.4</v>
      </c>
      <c r="Q3976">
        <v>0.01</v>
      </c>
    </row>
    <row r="3977" spans="1:17" x14ac:dyDescent="0.25">
      <c r="A3977">
        <v>732905</v>
      </c>
      <c r="B3977" t="s">
        <v>5289</v>
      </c>
      <c r="C3977">
        <v>0.85</v>
      </c>
      <c r="D3977">
        <v>-0.09</v>
      </c>
      <c r="E3977">
        <v>0.93</v>
      </c>
      <c r="F3977">
        <v>0.93</v>
      </c>
      <c r="G3977">
        <v>0.85</v>
      </c>
      <c r="H3977">
        <v>0.91</v>
      </c>
      <c r="I3977" s="1">
        <v>550000</v>
      </c>
      <c r="J3977" s="1">
        <v>500820</v>
      </c>
      <c r="K3977">
        <v>9</v>
      </c>
      <c r="L3977">
        <v>0.83</v>
      </c>
      <c r="M3977">
        <v>0.84</v>
      </c>
      <c r="N3977" s="1">
        <v>10000000</v>
      </c>
      <c r="O3977">
        <v>0.85</v>
      </c>
      <c r="P3977">
        <v>1.51</v>
      </c>
      <c r="Q3977">
        <v>0.19</v>
      </c>
    </row>
    <row r="3978" spans="1:17" x14ac:dyDescent="0.25">
      <c r="A3978">
        <v>732906</v>
      </c>
      <c r="B3978" t="s">
        <v>5290</v>
      </c>
      <c r="C3978">
        <v>1.58</v>
      </c>
      <c r="D3978">
        <v>0.02</v>
      </c>
      <c r="E3978">
        <v>1.62</v>
      </c>
      <c r="F3978">
        <v>1.67</v>
      </c>
      <c r="G3978">
        <v>1.58</v>
      </c>
      <c r="H3978">
        <v>1.62</v>
      </c>
      <c r="I3978" s="1">
        <v>1088000</v>
      </c>
      <c r="J3978" s="1">
        <v>1761960</v>
      </c>
      <c r="K3978">
        <v>47</v>
      </c>
      <c r="L3978">
        <v>1.54</v>
      </c>
      <c r="M3978">
        <v>1.56</v>
      </c>
      <c r="N3978" s="1">
        <v>5000000</v>
      </c>
      <c r="O3978">
        <v>1.58</v>
      </c>
      <c r="P3978">
        <v>2.23</v>
      </c>
      <c r="Q3978">
        <v>0.93</v>
      </c>
    </row>
    <row r="3979" spans="1:17" x14ac:dyDescent="0.25">
      <c r="A3979">
        <v>732907</v>
      </c>
      <c r="B3979" t="s">
        <v>5291</v>
      </c>
      <c r="C3979">
        <v>5.65</v>
      </c>
      <c r="D3979">
        <v>0.2</v>
      </c>
      <c r="E3979">
        <v>5.3</v>
      </c>
      <c r="F3979">
        <v>5.65</v>
      </c>
      <c r="G3979">
        <v>5.3</v>
      </c>
      <c r="H3979">
        <v>5.3</v>
      </c>
      <c r="I3979" s="1">
        <v>72000</v>
      </c>
      <c r="J3979" s="1">
        <v>381950</v>
      </c>
      <c r="K3979">
        <v>4</v>
      </c>
      <c r="L3979">
        <v>5.75</v>
      </c>
      <c r="M3979">
        <v>0</v>
      </c>
      <c r="N3979" s="1">
        <v>5000000</v>
      </c>
      <c r="O3979">
        <v>5.65</v>
      </c>
      <c r="P3979">
        <v>6.9</v>
      </c>
      <c r="Q3979">
        <v>4.3899999999999997</v>
      </c>
    </row>
    <row r="3980" spans="1:17" x14ac:dyDescent="0.25">
      <c r="A3980">
        <v>732908</v>
      </c>
      <c r="B3980" t="s">
        <v>5292</v>
      </c>
      <c r="C3980">
        <v>1.03</v>
      </c>
      <c r="D3980">
        <v>-0.1</v>
      </c>
      <c r="E3980">
        <v>1.18</v>
      </c>
      <c r="F3980">
        <v>1.19</v>
      </c>
      <c r="G3980">
        <v>1.03</v>
      </c>
      <c r="H3980">
        <v>1.1100000000000001</v>
      </c>
      <c r="I3980" s="1">
        <v>400000</v>
      </c>
      <c r="J3980" s="1">
        <v>445730</v>
      </c>
      <c r="K3980">
        <v>28</v>
      </c>
      <c r="L3980">
        <v>1.03</v>
      </c>
      <c r="M3980">
        <v>1.04</v>
      </c>
      <c r="N3980" s="1">
        <v>5000000</v>
      </c>
      <c r="O3980">
        <v>1.03</v>
      </c>
      <c r="P3980">
        <v>1.66</v>
      </c>
      <c r="Q3980">
        <v>0.4</v>
      </c>
    </row>
    <row r="3981" spans="1:17" x14ac:dyDescent="0.25">
      <c r="A3981">
        <v>732909</v>
      </c>
      <c r="B3981" t="s">
        <v>5293</v>
      </c>
      <c r="C3981">
        <v>0.32</v>
      </c>
      <c r="D3981">
        <v>-0.01</v>
      </c>
      <c r="E3981">
        <v>0.33</v>
      </c>
      <c r="F3981">
        <v>0.33</v>
      </c>
      <c r="G3981">
        <v>0.31</v>
      </c>
      <c r="H3981">
        <v>0.33</v>
      </c>
      <c r="I3981" s="1">
        <v>339000</v>
      </c>
      <c r="J3981" s="1">
        <v>110190</v>
      </c>
      <c r="K3981">
        <v>8</v>
      </c>
      <c r="L3981">
        <v>0.31</v>
      </c>
      <c r="M3981">
        <v>0.32</v>
      </c>
      <c r="N3981" s="1">
        <v>10000000</v>
      </c>
      <c r="O3981">
        <v>0.32</v>
      </c>
      <c r="P3981">
        <v>2.6</v>
      </c>
      <c r="Q3981">
        <v>0.01</v>
      </c>
    </row>
    <row r="3982" spans="1:17" x14ac:dyDescent="0.25">
      <c r="A3982">
        <v>732910</v>
      </c>
      <c r="B3982" t="s">
        <v>5294</v>
      </c>
      <c r="C3982">
        <v>3.61</v>
      </c>
      <c r="D3982">
        <v>-0.21</v>
      </c>
      <c r="E3982">
        <v>3.94</v>
      </c>
      <c r="F3982">
        <v>4</v>
      </c>
      <c r="G3982">
        <v>3.6</v>
      </c>
      <c r="H3982">
        <v>3.74</v>
      </c>
      <c r="I3982" s="1">
        <v>1055000</v>
      </c>
      <c r="J3982" s="1">
        <v>3943990</v>
      </c>
      <c r="K3982">
        <v>46</v>
      </c>
      <c r="L3982">
        <v>3.61</v>
      </c>
      <c r="M3982">
        <v>3.62</v>
      </c>
      <c r="N3982" s="1">
        <v>5000000</v>
      </c>
      <c r="O3982">
        <v>3.61</v>
      </c>
      <c r="P3982">
        <v>6.75</v>
      </c>
      <c r="Q3982">
        <v>0.45</v>
      </c>
    </row>
    <row r="3983" spans="1:17" x14ac:dyDescent="0.25">
      <c r="A3983">
        <v>732911</v>
      </c>
      <c r="B3983" t="s">
        <v>5295</v>
      </c>
      <c r="C3983">
        <v>2.04</v>
      </c>
      <c r="D3983">
        <v>-0.24</v>
      </c>
      <c r="E3983">
        <v>2.2999999999999998</v>
      </c>
      <c r="F3983">
        <v>2.42</v>
      </c>
      <c r="G3983">
        <v>2.0299999999999998</v>
      </c>
      <c r="H3983">
        <v>2.1800000000000002</v>
      </c>
      <c r="I3983" s="1">
        <v>2020000</v>
      </c>
      <c r="J3983" s="1">
        <v>4411540</v>
      </c>
      <c r="K3983">
        <v>44</v>
      </c>
      <c r="L3983">
        <v>2.06</v>
      </c>
      <c r="M3983">
        <v>2.0699999999999998</v>
      </c>
      <c r="N3983" s="1">
        <v>5000000</v>
      </c>
      <c r="O3983">
        <v>2.04</v>
      </c>
      <c r="P3983">
        <v>4.84</v>
      </c>
      <c r="Q3983">
        <v>0.01</v>
      </c>
    </row>
    <row r="3984" spans="1:17" x14ac:dyDescent="0.25">
      <c r="A3984">
        <v>732912</v>
      </c>
      <c r="B3984" t="s">
        <v>5296</v>
      </c>
      <c r="C3984" t="s">
        <v>78</v>
      </c>
      <c r="D3984" t="s">
        <v>78</v>
      </c>
      <c r="E3984" t="s">
        <v>78</v>
      </c>
      <c r="F3984" t="s">
        <v>78</v>
      </c>
      <c r="G3984" t="s">
        <v>78</v>
      </c>
      <c r="H3984">
        <v>0.3</v>
      </c>
      <c r="I3984" s="1">
        <v>0</v>
      </c>
      <c r="J3984" s="1">
        <v>0</v>
      </c>
      <c r="K3984">
        <v>0</v>
      </c>
      <c r="L3984">
        <v>0.3</v>
      </c>
      <c r="M3984">
        <v>0.31</v>
      </c>
      <c r="N3984" s="1">
        <v>5000000</v>
      </c>
      <c r="O3984">
        <v>0.3</v>
      </c>
      <c r="P3984">
        <v>1.1200000000000001</v>
      </c>
      <c r="Q3984">
        <v>0.01</v>
      </c>
    </row>
    <row r="3985" spans="1:17" x14ac:dyDescent="0.25">
      <c r="A3985">
        <v>732913</v>
      </c>
      <c r="B3985" t="s">
        <v>5297</v>
      </c>
      <c r="C3985" t="s">
        <v>78</v>
      </c>
      <c r="D3985" t="s">
        <v>78</v>
      </c>
      <c r="E3985" t="s">
        <v>78</v>
      </c>
      <c r="F3985" t="s">
        <v>78</v>
      </c>
      <c r="G3985" t="s">
        <v>78</v>
      </c>
      <c r="H3985">
        <v>0.51</v>
      </c>
      <c r="I3985" s="1">
        <v>0</v>
      </c>
      <c r="J3985" s="1">
        <v>0</v>
      </c>
      <c r="K3985">
        <v>0</v>
      </c>
      <c r="L3985">
        <v>0.5</v>
      </c>
      <c r="M3985">
        <v>0.51</v>
      </c>
      <c r="N3985" s="1">
        <v>5000000</v>
      </c>
      <c r="O3985">
        <v>0.51</v>
      </c>
      <c r="P3985">
        <v>1.44</v>
      </c>
      <c r="Q3985">
        <v>0.01</v>
      </c>
    </row>
    <row r="3986" spans="1:17" x14ac:dyDescent="0.25">
      <c r="A3986">
        <v>732914</v>
      </c>
      <c r="B3986" t="s">
        <v>5298</v>
      </c>
      <c r="C3986">
        <v>1.39</v>
      </c>
      <c r="D3986">
        <v>0.19</v>
      </c>
      <c r="E3986">
        <v>1.23</v>
      </c>
      <c r="F3986">
        <v>1.49</v>
      </c>
      <c r="G3986">
        <v>1.23</v>
      </c>
      <c r="H3986">
        <v>1.35</v>
      </c>
      <c r="I3986" s="1">
        <v>796000</v>
      </c>
      <c r="J3986" s="1">
        <v>1073300</v>
      </c>
      <c r="K3986">
        <v>28</v>
      </c>
      <c r="L3986">
        <v>1.34</v>
      </c>
      <c r="M3986">
        <v>1.35</v>
      </c>
      <c r="N3986" s="1">
        <v>5000000</v>
      </c>
      <c r="O3986">
        <v>1.39</v>
      </c>
      <c r="P3986">
        <v>2.81</v>
      </c>
      <c r="Q3986">
        <v>0.01</v>
      </c>
    </row>
    <row r="3987" spans="1:17" x14ac:dyDescent="0.25">
      <c r="A3987">
        <v>732915</v>
      </c>
      <c r="B3987" t="s">
        <v>5299</v>
      </c>
      <c r="C3987">
        <v>0.56000000000000005</v>
      </c>
      <c r="D3987">
        <v>-0.1</v>
      </c>
      <c r="E3987">
        <v>0.56000000000000005</v>
      </c>
      <c r="F3987">
        <v>0.56000000000000005</v>
      </c>
      <c r="G3987">
        <v>0.56000000000000005</v>
      </c>
      <c r="H3987">
        <v>0.56000000000000005</v>
      </c>
      <c r="I3987" s="1">
        <v>264000</v>
      </c>
      <c r="J3987" s="1">
        <v>147840</v>
      </c>
      <c r="K3987">
        <v>4</v>
      </c>
      <c r="L3987">
        <v>0.53</v>
      </c>
      <c r="M3987">
        <v>0.54</v>
      </c>
      <c r="N3987" s="1">
        <v>10000000</v>
      </c>
      <c r="O3987">
        <v>0.56000000000000005</v>
      </c>
      <c r="P3987">
        <v>1.89</v>
      </c>
      <c r="Q3987">
        <v>0.01</v>
      </c>
    </row>
    <row r="3988" spans="1:17" x14ac:dyDescent="0.25">
      <c r="A3988">
        <v>732916</v>
      </c>
      <c r="B3988" t="s">
        <v>5300</v>
      </c>
      <c r="C3988">
        <v>0.97</v>
      </c>
      <c r="D3988">
        <v>-0.09</v>
      </c>
      <c r="E3988">
        <v>1.05</v>
      </c>
      <c r="F3988">
        <v>1.0900000000000001</v>
      </c>
      <c r="G3988">
        <v>0.95</v>
      </c>
      <c r="H3988">
        <v>1.04</v>
      </c>
      <c r="I3988" s="1">
        <v>265000</v>
      </c>
      <c r="J3988" s="1">
        <v>276450</v>
      </c>
      <c r="K3988">
        <v>21</v>
      </c>
      <c r="L3988">
        <v>0.96</v>
      </c>
      <c r="M3988">
        <v>0.97</v>
      </c>
      <c r="N3988" s="1">
        <v>5000000</v>
      </c>
      <c r="O3988">
        <v>0.97</v>
      </c>
      <c r="P3988">
        <v>1.75</v>
      </c>
      <c r="Q3988">
        <v>0.19</v>
      </c>
    </row>
    <row r="3989" spans="1:17" x14ac:dyDescent="0.25">
      <c r="A3989">
        <v>732917</v>
      </c>
      <c r="B3989" t="s">
        <v>5301</v>
      </c>
      <c r="C3989">
        <v>0.67</v>
      </c>
      <c r="D3989">
        <v>-0.04</v>
      </c>
      <c r="E3989">
        <v>0.69</v>
      </c>
      <c r="F3989">
        <v>0.69</v>
      </c>
      <c r="G3989">
        <v>0.67</v>
      </c>
      <c r="H3989">
        <v>0.68</v>
      </c>
      <c r="I3989" s="1">
        <v>350000</v>
      </c>
      <c r="J3989" s="1">
        <v>239500</v>
      </c>
      <c r="K3989">
        <v>4</v>
      </c>
      <c r="L3989">
        <v>0.67</v>
      </c>
      <c r="M3989">
        <v>0.68</v>
      </c>
      <c r="N3989" s="1">
        <v>10000000</v>
      </c>
      <c r="O3989">
        <v>0.67</v>
      </c>
      <c r="P3989">
        <v>2.0499999999999998</v>
      </c>
      <c r="Q3989">
        <v>0.01</v>
      </c>
    </row>
    <row r="3990" spans="1:17" x14ac:dyDescent="0.25">
      <c r="A3990">
        <v>732918</v>
      </c>
      <c r="B3990" t="s">
        <v>5302</v>
      </c>
      <c r="C3990" t="s">
        <v>78</v>
      </c>
      <c r="D3990" t="s">
        <v>78</v>
      </c>
      <c r="E3990" t="s">
        <v>78</v>
      </c>
      <c r="F3990" t="s">
        <v>78</v>
      </c>
      <c r="G3990" t="s">
        <v>78</v>
      </c>
      <c r="H3990">
        <v>0.3</v>
      </c>
      <c r="I3990" s="1">
        <v>0</v>
      </c>
      <c r="J3990" s="1">
        <v>0</v>
      </c>
      <c r="K3990">
        <v>0</v>
      </c>
      <c r="L3990">
        <v>0.28000000000000003</v>
      </c>
      <c r="M3990">
        <v>0.28999999999999998</v>
      </c>
      <c r="N3990" s="1">
        <v>10000000</v>
      </c>
      <c r="O3990">
        <v>0.28999999999999998</v>
      </c>
      <c r="P3990">
        <v>1.04</v>
      </c>
      <c r="Q3990">
        <v>0.01</v>
      </c>
    </row>
    <row r="3991" spans="1:17" x14ac:dyDescent="0.25">
      <c r="A3991">
        <v>732919</v>
      </c>
      <c r="B3991" t="s">
        <v>5303</v>
      </c>
      <c r="C3991">
        <v>1.47</v>
      </c>
      <c r="D3991">
        <v>7.0000000000000007E-2</v>
      </c>
      <c r="E3991">
        <v>1.46</v>
      </c>
      <c r="F3991">
        <v>1.47</v>
      </c>
      <c r="G3991">
        <v>1.41</v>
      </c>
      <c r="H3991">
        <v>1.44</v>
      </c>
      <c r="I3991" s="1">
        <v>129000</v>
      </c>
      <c r="J3991" s="1">
        <v>186030</v>
      </c>
      <c r="K3991">
        <v>3</v>
      </c>
      <c r="L3991">
        <v>1.47</v>
      </c>
      <c r="M3991">
        <v>1.49</v>
      </c>
      <c r="N3991" s="1">
        <v>10000000</v>
      </c>
      <c r="O3991">
        <v>1.47</v>
      </c>
      <c r="P3991">
        <v>2.89</v>
      </c>
      <c r="Q3991">
        <v>0.05</v>
      </c>
    </row>
    <row r="3992" spans="1:17" x14ac:dyDescent="0.25">
      <c r="A3992">
        <v>732920</v>
      </c>
      <c r="B3992" t="s">
        <v>5304</v>
      </c>
      <c r="C3992">
        <v>0.93</v>
      </c>
      <c r="D3992">
        <v>0.06</v>
      </c>
      <c r="E3992">
        <v>0.9</v>
      </c>
      <c r="F3992">
        <v>0.95</v>
      </c>
      <c r="G3992">
        <v>0.89</v>
      </c>
      <c r="H3992">
        <v>0.92</v>
      </c>
      <c r="I3992" s="1">
        <v>1112000</v>
      </c>
      <c r="J3992" s="1">
        <v>1023680</v>
      </c>
      <c r="K3992">
        <v>19</v>
      </c>
      <c r="L3992">
        <v>0.9</v>
      </c>
      <c r="M3992">
        <v>0.91</v>
      </c>
      <c r="N3992" s="1">
        <v>5000000</v>
      </c>
      <c r="O3992">
        <v>0.93</v>
      </c>
      <c r="P3992">
        <v>1.58</v>
      </c>
      <c r="Q3992">
        <v>0.28000000000000003</v>
      </c>
    </row>
    <row r="3993" spans="1:17" x14ac:dyDescent="0.25">
      <c r="A3993">
        <v>732921</v>
      </c>
      <c r="B3993" t="s">
        <v>5305</v>
      </c>
      <c r="C3993">
        <v>0.6</v>
      </c>
      <c r="D3993">
        <v>-7.0000000000000007E-2</v>
      </c>
      <c r="E3993">
        <v>0.68</v>
      </c>
      <c r="F3993">
        <v>0.68</v>
      </c>
      <c r="G3993">
        <v>0.6</v>
      </c>
      <c r="H3993">
        <v>0.65</v>
      </c>
      <c r="I3993" s="1">
        <v>251000</v>
      </c>
      <c r="J3993" s="1">
        <v>163100</v>
      </c>
      <c r="K3993">
        <v>15</v>
      </c>
      <c r="L3993">
        <v>0.59</v>
      </c>
      <c r="M3993">
        <v>0.6</v>
      </c>
      <c r="N3993" s="1">
        <v>5000000</v>
      </c>
      <c r="O3993">
        <v>0.6</v>
      </c>
      <c r="P3993">
        <v>1.72</v>
      </c>
      <c r="Q3993">
        <v>0.01</v>
      </c>
    </row>
    <row r="3994" spans="1:17" x14ac:dyDescent="0.25">
      <c r="A3994">
        <v>732922</v>
      </c>
      <c r="B3994" t="s">
        <v>5306</v>
      </c>
      <c r="C3994">
        <v>1.49</v>
      </c>
      <c r="D3994">
        <v>0.05</v>
      </c>
      <c r="E3994">
        <v>1.52</v>
      </c>
      <c r="F3994">
        <v>1.52</v>
      </c>
      <c r="G3994">
        <v>1.49</v>
      </c>
      <c r="H3994">
        <v>1.52</v>
      </c>
      <c r="I3994" s="1">
        <v>24000</v>
      </c>
      <c r="J3994" s="1">
        <v>36390</v>
      </c>
      <c r="K3994">
        <v>4</v>
      </c>
      <c r="L3994">
        <v>1.41</v>
      </c>
      <c r="M3994">
        <v>1.43</v>
      </c>
      <c r="N3994" s="1">
        <v>7000000</v>
      </c>
      <c r="O3994">
        <v>1.49</v>
      </c>
      <c r="P3994">
        <v>2.63</v>
      </c>
      <c r="Q3994">
        <v>0.35</v>
      </c>
    </row>
    <row r="3995" spans="1:17" x14ac:dyDescent="0.25">
      <c r="A3995">
        <v>732923</v>
      </c>
      <c r="B3995" t="s">
        <v>5307</v>
      </c>
      <c r="C3995">
        <v>0.68</v>
      </c>
      <c r="D3995">
        <v>-0.06</v>
      </c>
      <c r="E3995">
        <v>0.69</v>
      </c>
      <c r="F3995">
        <v>0.71</v>
      </c>
      <c r="G3995">
        <v>0.68</v>
      </c>
      <c r="H3995">
        <v>0.69</v>
      </c>
      <c r="I3995" s="1">
        <v>1088000</v>
      </c>
      <c r="J3995" s="1">
        <v>755890</v>
      </c>
      <c r="K3995">
        <v>17</v>
      </c>
      <c r="L3995">
        <v>0.67</v>
      </c>
      <c r="M3995">
        <v>0.68</v>
      </c>
      <c r="N3995" s="1">
        <v>5000000</v>
      </c>
      <c r="O3995">
        <v>0.68</v>
      </c>
      <c r="P3995">
        <v>1.27</v>
      </c>
      <c r="Q3995">
        <v>0.09</v>
      </c>
    </row>
    <row r="3996" spans="1:17" x14ac:dyDescent="0.25">
      <c r="A3996">
        <v>732924</v>
      </c>
      <c r="B3996" t="s">
        <v>5308</v>
      </c>
      <c r="C3996" t="s">
        <v>78</v>
      </c>
      <c r="D3996" t="s">
        <v>78</v>
      </c>
      <c r="E3996" t="s">
        <v>78</v>
      </c>
      <c r="F3996" t="s">
        <v>78</v>
      </c>
      <c r="G3996" t="s">
        <v>78</v>
      </c>
      <c r="H3996">
        <v>0.17</v>
      </c>
      <c r="I3996" s="1">
        <v>0</v>
      </c>
      <c r="J3996" s="1">
        <v>0</v>
      </c>
      <c r="K3996">
        <v>0</v>
      </c>
      <c r="L3996">
        <v>0.15</v>
      </c>
      <c r="M3996">
        <v>0.16</v>
      </c>
      <c r="N3996" s="1">
        <v>10000000</v>
      </c>
      <c r="O3996">
        <v>0.16</v>
      </c>
      <c r="P3996">
        <v>1.32</v>
      </c>
      <c r="Q3996">
        <v>0.01</v>
      </c>
    </row>
    <row r="3997" spans="1:17" x14ac:dyDescent="0.25">
      <c r="A3997">
        <v>732925</v>
      </c>
      <c r="B3997" t="s">
        <v>5309</v>
      </c>
      <c r="C3997">
        <v>0.59</v>
      </c>
      <c r="D3997">
        <v>0.01</v>
      </c>
      <c r="E3997">
        <v>0.59</v>
      </c>
      <c r="F3997">
        <v>0.6</v>
      </c>
      <c r="G3997">
        <v>0.59</v>
      </c>
      <c r="H3997">
        <v>0.59</v>
      </c>
      <c r="I3997" s="1">
        <v>366000</v>
      </c>
      <c r="J3997" s="1">
        <v>216170</v>
      </c>
      <c r="K3997">
        <v>11</v>
      </c>
      <c r="L3997">
        <v>0.56999999999999995</v>
      </c>
      <c r="M3997">
        <v>0.57999999999999996</v>
      </c>
      <c r="N3997" s="1">
        <v>10000000</v>
      </c>
      <c r="O3997">
        <v>0.59</v>
      </c>
      <c r="P3997">
        <v>1.25</v>
      </c>
      <c r="Q3997">
        <v>0.01</v>
      </c>
    </row>
    <row r="3998" spans="1:17" x14ac:dyDescent="0.25">
      <c r="A3998">
        <v>732926</v>
      </c>
      <c r="B3998" t="s">
        <v>5310</v>
      </c>
      <c r="C3998">
        <v>0.87</v>
      </c>
      <c r="D3998">
        <v>-0.09</v>
      </c>
      <c r="E3998">
        <v>1</v>
      </c>
      <c r="F3998">
        <v>1</v>
      </c>
      <c r="G3998">
        <v>0.84</v>
      </c>
      <c r="H3998">
        <v>0.91</v>
      </c>
      <c r="I3998" s="1">
        <v>1044000</v>
      </c>
      <c r="J3998" s="1">
        <v>949510</v>
      </c>
      <c r="K3998">
        <v>27</v>
      </c>
      <c r="L3998">
        <v>0.87</v>
      </c>
      <c r="M3998">
        <v>0.88</v>
      </c>
      <c r="N3998" s="1">
        <v>10000000</v>
      </c>
      <c r="O3998">
        <v>0.87</v>
      </c>
      <c r="P3998">
        <v>1.71</v>
      </c>
      <c r="Q3998">
        <v>0.03</v>
      </c>
    </row>
    <row r="3999" spans="1:17" x14ac:dyDescent="0.25">
      <c r="A3999">
        <v>732927</v>
      </c>
      <c r="B3999" t="s">
        <v>5311</v>
      </c>
      <c r="C3999">
        <v>0.35</v>
      </c>
      <c r="D3999">
        <v>-0.01</v>
      </c>
      <c r="E3999">
        <v>0.35</v>
      </c>
      <c r="F3999">
        <v>0.35</v>
      </c>
      <c r="G3999">
        <v>0.35</v>
      </c>
      <c r="H3999">
        <v>0.35</v>
      </c>
      <c r="I3999" s="1">
        <v>5000</v>
      </c>
      <c r="J3999" s="1">
        <v>1750</v>
      </c>
      <c r="K3999">
        <v>1</v>
      </c>
      <c r="L3999">
        <v>0.35</v>
      </c>
      <c r="M3999">
        <v>0.36</v>
      </c>
      <c r="N3999" s="1">
        <v>10000000</v>
      </c>
      <c r="O3999">
        <v>0.35</v>
      </c>
      <c r="P3999">
        <v>1.1100000000000001</v>
      </c>
      <c r="Q3999">
        <v>0.01</v>
      </c>
    </row>
    <row r="4000" spans="1:17" x14ac:dyDescent="0.25">
      <c r="A4000">
        <v>732928</v>
      </c>
      <c r="B4000" t="s">
        <v>5312</v>
      </c>
      <c r="C4000">
        <v>0.57999999999999996</v>
      </c>
      <c r="D4000">
        <v>0.04</v>
      </c>
      <c r="E4000">
        <v>0.57999999999999996</v>
      </c>
      <c r="F4000">
        <v>0.57999999999999996</v>
      </c>
      <c r="G4000">
        <v>0.57999999999999996</v>
      </c>
      <c r="H4000">
        <v>0.57999999999999996</v>
      </c>
      <c r="I4000" s="1">
        <v>100000</v>
      </c>
      <c r="J4000" s="1">
        <v>58000</v>
      </c>
      <c r="K4000">
        <v>1</v>
      </c>
      <c r="L4000">
        <v>0.62</v>
      </c>
      <c r="M4000">
        <v>0.63</v>
      </c>
      <c r="N4000" s="1">
        <v>10000000</v>
      </c>
      <c r="O4000">
        <v>0.57999999999999996</v>
      </c>
      <c r="P4000">
        <v>1.58</v>
      </c>
      <c r="Q4000">
        <v>0.01</v>
      </c>
    </row>
    <row r="4001" spans="1:17" x14ac:dyDescent="0.25">
      <c r="A4001">
        <v>732929</v>
      </c>
      <c r="B4001" t="s">
        <v>5313</v>
      </c>
      <c r="C4001">
        <v>2.2999999999999998</v>
      </c>
      <c r="D4001">
        <v>0.01</v>
      </c>
      <c r="E4001">
        <v>2.37</v>
      </c>
      <c r="F4001">
        <v>2.42</v>
      </c>
      <c r="G4001">
        <v>2.2999999999999998</v>
      </c>
      <c r="H4001">
        <v>2.34</v>
      </c>
      <c r="I4001" s="1">
        <v>630000</v>
      </c>
      <c r="J4001" s="1">
        <v>1473820</v>
      </c>
      <c r="K4001">
        <v>30</v>
      </c>
      <c r="L4001">
        <v>2.2599999999999998</v>
      </c>
      <c r="M4001">
        <v>2.2799999999999998</v>
      </c>
      <c r="N4001" s="1">
        <v>5000000</v>
      </c>
      <c r="O4001">
        <v>2.2999999999999998</v>
      </c>
      <c r="P4001">
        <v>3.02</v>
      </c>
      <c r="Q4001">
        <v>1.58</v>
      </c>
    </row>
    <row r="4002" spans="1:17" x14ac:dyDescent="0.25">
      <c r="A4002">
        <v>732930</v>
      </c>
      <c r="B4002" t="s">
        <v>5314</v>
      </c>
      <c r="C4002">
        <v>0.65</v>
      </c>
      <c r="D4002">
        <v>-0.03</v>
      </c>
      <c r="E4002">
        <v>0.73</v>
      </c>
      <c r="F4002">
        <v>0.73</v>
      </c>
      <c r="G4002">
        <v>0.6</v>
      </c>
      <c r="H4002">
        <v>0.67</v>
      </c>
      <c r="I4002" s="1">
        <v>406000</v>
      </c>
      <c r="J4002" s="1">
        <v>270850</v>
      </c>
      <c r="K4002">
        <v>24</v>
      </c>
      <c r="L4002">
        <v>0.63</v>
      </c>
      <c r="M4002">
        <v>0.67</v>
      </c>
      <c r="N4002" s="1">
        <v>5000000</v>
      </c>
      <c r="O4002">
        <v>0.65</v>
      </c>
      <c r="P4002">
        <v>1.37</v>
      </c>
      <c r="Q4002">
        <v>0.01</v>
      </c>
    </row>
    <row r="4003" spans="1:17" x14ac:dyDescent="0.25">
      <c r="A4003">
        <v>732931</v>
      </c>
      <c r="B4003" t="s">
        <v>5315</v>
      </c>
      <c r="C4003">
        <v>0.76</v>
      </c>
      <c r="D4003">
        <v>-0.02</v>
      </c>
      <c r="E4003">
        <v>0.78</v>
      </c>
      <c r="F4003">
        <v>0.79</v>
      </c>
      <c r="G4003">
        <v>0.76</v>
      </c>
      <c r="H4003">
        <v>0.78</v>
      </c>
      <c r="I4003" s="1">
        <v>308000</v>
      </c>
      <c r="J4003" s="1">
        <v>241340</v>
      </c>
      <c r="K4003">
        <v>5</v>
      </c>
      <c r="L4003">
        <v>0.77</v>
      </c>
      <c r="M4003">
        <v>0.78</v>
      </c>
      <c r="N4003" s="1">
        <v>10000000</v>
      </c>
      <c r="O4003">
        <v>0.76</v>
      </c>
      <c r="P4003">
        <v>1.36</v>
      </c>
      <c r="Q4003">
        <v>0.16</v>
      </c>
    </row>
    <row r="4004" spans="1:17" x14ac:dyDescent="0.25">
      <c r="A4004">
        <v>732932</v>
      </c>
      <c r="B4004" t="s">
        <v>5316</v>
      </c>
      <c r="C4004">
        <v>1.02</v>
      </c>
      <c r="D4004">
        <v>0.04</v>
      </c>
      <c r="E4004">
        <v>1.08</v>
      </c>
      <c r="F4004">
        <v>1.1299999999999999</v>
      </c>
      <c r="G4004">
        <v>1.02</v>
      </c>
      <c r="H4004">
        <v>1.0900000000000001</v>
      </c>
      <c r="I4004" s="1">
        <v>798000</v>
      </c>
      <c r="J4004" s="1">
        <v>866570</v>
      </c>
      <c r="K4004">
        <v>25</v>
      </c>
      <c r="L4004">
        <v>1.01</v>
      </c>
      <c r="M4004">
        <v>1.02</v>
      </c>
      <c r="N4004" s="1">
        <v>5000000</v>
      </c>
      <c r="O4004">
        <v>1.02</v>
      </c>
      <c r="P4004">
        <v>1.7</v>
      </c>
      <c r="Q4004">
        <v>0.34</v>
      </c>
    </row>
    <row r="4005" spans="1:17" x14ac:dyDescent="0.25">
      <c r="A4005">
        <v>732933</v>
      </c>
      <c r="B4005" t="s">
        <v>5317</v>
      </c>
      <c r="C4005">
        <v>1.57</v>
      </c>
      <c r="D4005">
        <v>0.05</v>
      </c>
      <c r="E4005">
        <v>1.57</v>
      </c>
      <c r="F4005">
        <v>1.57</v>
      </c>
      <c r="G4005">
        <v>1.57</v>
      </c>
      <c r="H4005">
        <v>1.57</v>
      </c>
      <c r="I4005" s="1">
        <v>15000</v>
      </c>
      <c r="J4005" s="1">
        <v>23550</v>
      </c>
      <c r="K4005">
        <v>2</v>
      </c>
      <c r="L4005">
        <v>1.49</v>
      </c>
      <c r="M4005">
        <v>1.59</v>
      </c>
      <c r="N4005" s="1">
        <v>10000000</v>
      </c>
      <c r="O4005">
        <v>1.57</v>
      </c>
      <c r="P4005">
        <v>2.97</v>
      </c>
      <c r="Q4005">
        <v>0.17</v>
      </c>
    </row>
    <row r="4006" spans="1:17" x14ac:dyDescent="0.25">
      <c r="A4006">
        <v>732934</v>
      </c>
      <c r="B4006" t="s">
        <v>5318</v>
      </c>
      <c r="C4006" t="s">
        <v>78</v>
      </c>
      <c r="D4006" t="s">
        <v>78</v>
      </c>
      <c r="E4006" t="s">
        <v>78</v>
      </c>
      <c r="F4006" t="s">
        <v>78</v>
      </c>
      <c r="G4006" t="s">
        <v>78</v>
      </c>
      <c r="H4006">
        <v>2.17</v>
      </c>
      <c r="I4006" s="1">
        <v>0</v>
      </c>
      <c r="J4006" s="1">
        <v>0</v>
      </c>
      <c r="K4006">
        <v>0</v>
      </c>
      <c r="L4006">
        <v>1.66</v>
      </c>
      <c r="M4006">
        <v>1.68</v>
      </c>
      <c r="N4006" s="1">
        <v>10000000</v>
      </c>
      <c r="O4006">
        <v>1.68</v>
      </c>
      <c r="P4006">
        <v>2.64</v>
      </c>
      <c r="Q4006">
        <v>0.72</v>
      </c>
    </row>
    <row r="4007" spans="1:17" x14ac:dyDescent="0.25">
      <c r="A4007">
        <v>732935</v>
      </c>
      <c r="B4007" t="s">
        <v>5319</v>
      </c>
      <c r="C4007">
        <v>0.52</v>
      </c>
      <c r="D4007">
        <v>0.09</v>
      </c>
      <c r="E4007">
        <v>0.45</v>
      </c>
      <c r="F4007">
        <v>0.52</v>
      </c>
      <c r="G4007">
        <v>0.44</v>
      </c>
      <c r="H4007">
        <v>0.45</v>
      </c>
      <c r="I4007" s="1">
        <v>1280000</v>
      </c>
      <c r="J4007" s="1">
        <v>578160</v>
      </c>
      <c r="K4007">
        <v>18</v>
      </c>
      <c r="L4007">
        <v>0.5</v>
      </c>
      <c r="M4007">
        <v>0.52</v>
      </c>
      <c r="N4007" s="1">
        <v>10000000</v>
      </c>
      <c r="O4007">
        <v>0.52</v>
      </c>
      <c r="P4007">
        <v>0.96</v>
      </c>
      <c r="Q4007">
        <v>0.08</v>
      </c>
    </row>
    <row r="4008" spans="1:17" x14ac:dyDescent="0.25">
      <c r="A4008">
        <v>732936</v>
      </c>
      <c r="B4008" t="s">
        <v>5320</v>
      </c>
      <c r="C4008" t="s">
        <v>78</v>
      </c>
      <c r="D4008" t="s">
        <v>78</v>
      </c>
      <c r="E4008" t="s">
        <v>78</v>
      </c>
      <c r="F4008" t="s">
        <v>78</v>
      </c>
      <c r="G4008" t="s">
        <v>78</v>
      </c>
      <c r="H4008">
        <v>0.36</v>
      </c>
      <c r="I4008" s="1">
        <v>0</v>
      </c>
      <c r="J4008" s="1">
        <v>0</v>
      </c>
      <c r="K4008">
        <v>0</v>
      </c>
      <c r="L4008">
        <v>0.38</v>
      </c>
      <c r="M4008">
        <v>0.39</v>
      </c>
      <c r="N4008" s="1">
        <v>5000000</v>
      </c>
      <c r="O4008">
        <v>0.39</v>
      </c>
      <c r="P4008">
        <v>1.0900000000000001</v>
      </c>
      <c r="Q4008">
        <v>0.01</v>
      </c>
    </row>
    <row r="4009" spans="1:17" x14ac:dyDescent="0.25">
      <c r="A4009">
        <v>732937</v>
      </c>
      <c r="B4009" t="s">
        <v>5321</v>
      </c>
      <c r="C4009">
        <v>1.59</v>
      </c>
      <c r="D4009">
        <v>0.05</v>
      </c>
      <c r="E4009">
        <v>1.59</v>
      </c>
      <c r="F4009">
        <v>1.59</v>
      </c>
      <c r="G4009">
        <v>1.59</v>
      </c>
      <c r="H4009">
        <v>1.59</v>
      </c>
      <c r="I4009" s="1">
        <v>1000</v>
      </c>
      <c r="J4009" s="1">
        <v>1590</v>
      </c>
      <c r="K4009">
        <v>1</v>
      </c>
      <c r="L4009">
        <v>1.51</v>
      </c>
      <c r="M4009">
        <v>1.52</v>
      </c>
      <c r="N4009" s="1">
        <v>10000000</v>
      </c>
      <c r="O4009">
        <v>1.59</v>
      </c>
      <c r="P4009">
        <v>2.2400000000000002</v>
      </c>
      <c r="Q4009">
        <v>0.94</v>
      </c>
    </row>
    <row r="4010" spans="1:17" x14ac:dyDescent="0.25">
      <c r="A4010">
        <v>732938</v>
      </c>
      <c r="B4010" t="s">
        <v>5322</v>
      </c>
      <c r="C4010">
        <v>1.1499999999999999</v>
      </c>
      <c r="D4010">
        <v>-0.16</v>
      </c>
      <c r="E4010">
        <v>1.35</v>
      </c>
      <c r="F4010">
        <v>1.35</v>
      </c>
      <c r="G4010">
        <v>1.1100000000000001</v>
      </c>
      <c r="H4010">
        <v>1.2</v>
      </c>
      <c r="I4010" s="1">
        <v>78000</v>
      </c>
      <c r="J4010" s="1">
        <v>93540</v>
      </c>
      <c r="K4010">
        <v>11</v>
      </c>
      <c r="L4010">
        <v>1.1499999999999999</v>
      </c>
      <c r="M4010">
        <v>1.1599999999999999</v>
      </c>
      <c r="N4010" s="1">
        <v>5000000</v>
      </c>
      <c r="O4010">
        <v>1.1499999999999999</v>
      </c>
      <c r="P4010">
        <v>2.27</v>
      </c>
      <c r="Q4010">
        <v>0.03</v>
      </c>
    </row>
    <row r="4011" spans="1:17" x14ac:dyDescent="0.25">
      <c r="A4011">
        <v>732939</v>
      </c>
      <c r="B4011" t="s">
        <v>5323</v>
      </c>
      <c r="C4011">
        <v>1.28</v>
      </c>
      <c r="D4011">
        <v>0.05</v>
      </c>
      <c r="E4011">
        <v>1.23</v>
      </c>
      <c r="F4011">
        <v>1.35</v>
      </c>
      <c r="G4011">
        <v>1.21</v>
      </c>
      <c r="H4011">
        <v>1.3</v>
      </c>
      <c r="I4011" s="1">
        <v>201000</v>
      </c>
      <c r="J4011" s="1">
        <v>260730</v>
      </c>
      <c r="K4011">
        <v>21</v>
      </c>
      <c r="L4011">
        <v>1.25</v>
      </c>
      <c r="M4011">
        <v>1.26</v>
      </c>
      <c r="N4011" s="1">
        <v>10000000</v>
      </c>
      <c r="O4011">
        <v>1.28</v>
      </c>
      <c r="P4011">
        <v>2.3199999999999998</v>
      </c>
      <c r="Q4011">
        <v>0.24</v>
      </c>
    </row>
    <row r="4012" spans="1:17" x14ac:dyDescent="0.25">
      <c r="A4012">
        <v>732940</v>
      </c>
      <c r="B4012" t="s">
        <v>5324</v>
      </c>
      <c r="C4012" t="s">
        <v>78</v>
      </c>
      <c r="D4012" t="s">
        <v>78</v>
      </c>
      <c r="E4012" t="s">
        <v>78</v>
      </c>
      <c r="F4012" t="s">
        <v>78</v>
      </c>
      <c r="G4012" t="s">
        <v>78</v>
      </c>
      <c r="H4012">
        <v>1.17</v>
      </c>
      <c r="I4012" s="1">
        <v>0</v>
      </c>
      <c r="J4012" s="1">
        <v>0</v>
      </c>
      <c r="K4012">
        <v>0</v>
      </c>
      <c r="L4012">
        <v>1.56</v>
      </c>
      <c r="M4012">
        <v>1.66</v>
      </c>
      <c r="N4012" s="1">
        <v>5000000</v>
      </c>
      <c r="O4012">
        <v>1.56</v>
      </c>
      <c r="P4012">
        <v>2.5499999999999998</v>
      </c>
      <c r="Q4012">
        <v>0.56999999999999995</v>
      </c>
    </row>
    <row r="4013" spans="1:17" x14ac:dyDescent="0.25">
      <c r="A4013">
        <v>732941</v>
      </c>
      <c r="B4013" t="s">
        <v>5325</v>
      </c>
      <c r="C4013" t="s">
        <v>78</v>
      </c>
      <c r="D4013" t="s">
        <v>78</v>
      </c>
      <c r="E4013" t="s">
        <v>78</v>
      </c>
      <c r="F4013" t="s">
        <v>78</v>
      </c>
      <c r="G4013" t="s">
        <v>78</v>
      </c>
      <c r="H4013">
        <v>0.35</v>
      </c>
      <c r="I4013" s="1">
        <v>0</v>
      </c>
      <c r="J4013" s="1">
        <v>0</v>
      </c>
      <c r="K4013">
        <v>0</v>
      </c>
      <c r="L4013">
        <v>0.3</v>
      </c>
      <c r="M4013">
        <v>0.31</v>
      </c>
      <c r="N4013" s="1">
        <v>5000000</v>
      </c>
      <c r="O4013">
        <v>0.31</v>
      </c>
      <c r="P4013">
        <v>0.93</v>
      </c>
      <c r="Q4013">
        <v>0.01</v>
      </c>
    </row>
    <row r="4014" spans="1:17" x14ac:dyDescent="0.25">
      <c r="A4014">
        <v>732942</v>
      </c>
      <c r="B4014" t="s">
        <v>5326</v>
      </c>
      <c r="C4014">
        <v>0.22</v>
      </c>
      <c r="D4014">
        <v>0.01</v>
      </c>
      <c r="E4014">
        <v>0.22</v>
      </c>
      <c r="F4014">
        <v>0.22</v>
      </c>
      <c r="G4014">
        <v>0.22</v>
      </c>
      <c r="H4014">
        <v>0.22</v>
      </c>
      <c r="I4014" s="1">
        <v>200000</v>
      </c>
      <c r="J4014" s="1">
        <v>44000</v>
      </c>
      <c r="K4014">
        <v>1</v>
      </c>
      <c r="L4014">
        <v>0.21</v>
      </c>
      <c r="M4014">
        <v>0.22</v>
      </c>
      <c r="N4014" s="1">
        <v>5000000</v>
      </c>
      <c r="O4014">
        <v>0.22</v>
      </c>
      <c r="P4014">
        <v>0.76</v>
      </c>
      <c r="Q4014">
        <v>0.01</v>
      </c>
    </row>
    <row r="4015" spans="1:17" x14ac:dyDescent="0.25">
      <c r="A4015">
        <v>732943</v>
      </c>
      <c r="B4015" t="s">
        <v>5327</v>
      </c>
      <c r="C4015">
        <v>0.14000000000000001</v>
      </c>
      <c r="D4015">
        <v>0.01</v>
      </c>
      <c r="E4015">
        <v>0.13</v>
      </c>
      <c r="F4015">
        <v>0.14000000000000001</v>
      </c>
      <c r="G4015">
        <v>0.13</v>
      </c>
      <c r="H4015">
        <v>0.14000000000000001</v>
      </c>
      <c r="I4015" s="1">
        <v>100000</v>
      </c>
      <c r="J4015" s="1">
        <v>13700</v>
      </c>
      <c r="K4015">
        <v>4</v>
      </c>
      <c r="L4015">
        <v>0.11</v>
      </c>
      <c r="M4015">
        <v>0.12</v>
      </c>
      <c r="N4015" s="1">
        <v>5000000</v>
      </c>
      <c r="O4015">
        <v>0.14000000000000001</v>
      </c>
      <c r="P4015">
        <v>0.95</v>
      </c>
      <c r="Q4015">
        <v>0.01</v>
      </c>
    </row>
    <row r="4016" spans="1:17" x14ac:dyDescent="0.25">
      <c r="A4016">
        <v>732944</v>
      </c>
      <c r="B4016" t="s">
        <v>5328</v>
      </c>
      <c r="C4016" t="s">
        <v>78</v>
      </c>
      <c r="D4016" t="s">
        <v>78</v>
      </c>
      <c r="E4016" t="s">
        <v>78</v>
      </c>
      <c r="F4016" t="s">
        <v>78</v>
      </c>
      <c r="G4016" t="s">
        <v>78</v>
      </c>
      <c r="H4016">
        <v>0.65</v>
      </c>
      <c r="I4016" s="1">
        <v>0</v>
      </c>
      <c r="J4016" s="1">
        <v>0</v>
      </c>
      <c r="K4016">
        <v>0</v>
      </c>
      <c r="L4016">
        <v>0.64</v>
      </c>
      <c r="M4016">
        <v>0.67</v>
      </c>
      <c r="N4016" s="1">
        <v>5000000</v>
      </c>
      <c r="O4016">
        <v>0.64</v>
      </c>
      <c r="P4016">
        <v>0.95</v>
      </c>
      <c r="Q4016">
        <v>0.33</v>
      </c>
    </row>
    <row r="4017" spans="1:17" x14ac:dyDescent="0.25">
      <c r="A4017">
        <v>732945</v>
      </c>
      <c r="B4017" t="s">
        <v>5329</v>
      </c>
      <c r="C4017">
        <v>0.53</v>
      </c>
      <c r="D4017">
        <v>-7.0000000000000007E-2</v>
      </c>
      <c r="E4017">
        <v>0.45</v>
      </c>
      <c r="F4017">
        <v>0.53</v>
      </c>
      <c r="G4017">
        <v>0.45</v>
      </c>
      <c r="H4017">
        <v>0.49</v>
      </c>
      <c r="I4017" s="1">
        <v>40000</v>
      </c>
      <c r="J4017" s="1">
        <v>19600</v>
      </c>
      <c r="K4017">
        <v>2</v>
      </c>
      <c r="L4017">
        <v>0.47</v>
      </c>
      <c r="M4017">
        <v>0.51</v>
      </c>
      <c r="N4017" s="1">
        <v>5000000</v>
      </c>
      <c r="O4017">
        <v>0.53</v>
      </c>
      <c r="P4017">
        <v>1.41</v>
      </c>
      <c r="Q4017">
        <v>0.01</v>
      </c>
    </row>
    <row r="4018" spans="1:17" x14ac:dyDescent="0.25">
      <c r="A4018">
        <v>732946</v>
      </c>
      <c r="B4018" t="s">
        <v>5330</v>
      </c>
      <c r="C4018">
        <v>1.53</v>
      </c>
      <c r="D4018">
        <v>-0.1</v>
      </c>
      <c r="E4018">
        <v>1.53</v>
      </c>
      <c r="F4018">
        <v>1.53</v>
      </c>
      <c r="G4018">
        <v>1.53</v>
      </c>
      <c r="H4018">
        <v>1.53</v>
      </c>
      <c r="I4018" s="1">
        <v>49000</v>
      </c>
      <c r="J4018" s="1">
        <v>74970</v>
      </c>
      <c r="K4018">
        <v>2</v>
      </c>
      <c r="L4018">
        <v>1.53</v>
      </c>
      <c r="M4018">
        <v>1.57</v>
      </c>
      <c r="N4018" s="1">
        <v>10000000</v>
      </c>
      <c r="O4018">
        <v>1.53</v>
      </c>
      <c r="P4018">
        <v>3.27</v>
      </c>
      <c r="Q4018">
        <v>0.01</v>
      </c>
    </row>
    <row r="4019" spans="1:17" x14ac:dyDescent="0.25">
      <c r="A4019">
        <v>732947</v>
      </c>
      <c r="B4019" t="s">
        <v>5331</v>
      </c>
      <c r="C4019">
        <v>1.9</v>
      </c>
      <c r="D4019">
        <v>0.41</v>
      </c>
      <c r="E4019">
        <v>1.96</v>
      </c>
      <c r="F4019">
        <v>1.96</v>
      </c>
      <c r="G4019">
        <v>1.9</v>
      </c>
      <c r="H4019">
        <v>1.96</v>
      </c>
      <c r="I4019" s="1">
        <v>21000</v>
      </c>
      <c r="J4019" s="1">
        <v>41100</v>
      </c>
      <c r="K4019">
        <v>2</v>
      </c>
      <c r="L4019">
        <v>1.86</v>
      </c>
      <c r="M4019">
        <v>1.89</v>
      </c>
      <c r="N4019" s="1">
        <v>5000000</v>
      </c>
      <c r="O4019">
        <v>1.9</v>
      </c>
      <c r="P4019">
        <v>2.8</v>
      </c>
      <c r="Q4019">
        <v>1</v>
      </c>
    </row>
    <row r="4020" spans="1:17" x14ac:dyDescent="0.25">
      <c r="A4020">
        <v>732948</v>
      </c>
      <c r="B4020" t="s">
        <v>5332</v>
      </c>
      <c r="C4020">
        <v>0.87</v>
      </c>
      <c r="D4020">
        <v>0.28999999999999998</v>
      </c>
      <c r="E4020">
        <v>0.8</v>
      </c>
      <c r="F4020">
        <v>0.87</v>
      </c>
      <c r="G4020">
        <v>0.8</v>
      </c>
      <c r="H4020">
        <v>0.83</v>
      </c>
      <c r="I4020" s="1">
        <v>727000</v>
      </c>
      <c r="J4020" s="1">
        <v>605490</v>
      </c>
      <c r="K4020">
        <v>8</v>
      </c>
      <c r="L4020">
        <v>0.89</v>
      </c>
      <c r="M4020">
        <v>0.91</v>
      </c>
      <c r="N4020" s="1">
        <v>10000000</v>
      </c>
      <c r="O4020">
        <v>0.87</v>
      </c>
      <c r="P4020">
        <v>1.97</v>
      </c>
      <c r="Q4020">
        <v>0.01</v>
      </c>
    </row>
    <row r="4021" spans="1:17" x14ac:dyDescent="0.25">
      <c r="A4021">
        <v>732949</v>
      </c>
      <c r="B4021" t="s">
        <v>5333</v>
      </c>
      <c r="C4021">
        <v>2.27</v>
      </c>
      <c r="D4021">
        <v>-0.11</v>
      </c>
      <c r="E4021">
        <v>2.37</v>
      </c>
      <c r="F4021">
        <v>2.37</v>
      </c>
      <c r="G4021">
        <v>2.27</v>
      </c>
      <c r="H4021">
        <v>2.2799999999999998</v>
      </c>
      <c r="I4021" s="1">
        <v>37000</v>
      </c>
      <c r="J4021" s="1">
        <v>84480</v>
      </c>
      <c r="K4021">
        <v>6</v>
      </c>
      <c r="L4021">
        <v>2.2400000000000002</v>
      </c>
      <c r="M4021">
        <v>2.29</v>
      </c>
      <c r="N4021" s="1">
        <v>5000000</v>
      </c>
      <c r="O4021">
        <v>2.27</v>
      </c>
      <c r="P4021">
        <v>3.41</v>
      </c>
      <c r="Q4021">
        <v>1.1100000000000001</v>
      </c>
    </row>
    <row r="4022" spans="1:17" x14ac:dyDescent="0.25">
      <c r="A4022">
        <v>732950</v>
      </c>
      <c r="B4022" t="s">
        <v>5334</v>
      </c>
      <c r="C4022">
        <v>0.87</v>
      </c>
      <c r="D4022">
        <v>0.25</v>
      </c>
      <c r="E4022">
        <v>0.72</v>
      </c>
      <c r="F4022">
        <v>0.87</v>
      </c>
      <c r="G4022">
        <v>0.72</v>
      </c>
      <c r="H4022">
        <v>0.78</v>
      </c>
      <c r="I4022" s="1">
        <v>1387000</v>
      </c>
      <c r="J4022" s="1">
        <v>1077920</v>
      </c>
      <c r="K4022">
        <v>32</v>
      </c>
      <c r="L4022">
        <v>0.86</v>
      </c>
      <c r="M4022">
        <v>0.87</v>
      </c>
      <c r="N4022" s="1">
        <v>10000000</v>
      </c>
      <c r="O4022">
        <v>0.87</v>
      </c>
      <c r="P4022">
        <v>1.42</v>
      </c>
      <c r="Q4022">
        <v>0.32</v>
      </c>
    </row>
    <row r="4023" spans="1:17" x14ac:dyDescent="0.25">
      <c r="A4023">
        <v>732951</v>
      </c>
      <c r="B4023" t="s">
        <v>5335</v>
      </c>
      <c r="C4023">
        <v>1.45</v>
      </c>
      <c r="D4023">
        <v>-0.06</v>
      </c>
      <c r="E4023">
        <v>1.56</v>
      </c>
      <c r="F4023">
        <v>1.57</v>
      </c>
      <c r="G4023">
        <v>1.45</v>
      </c>
      <c r="H4023">
        <v>1.53</v>
      </c>
      <c r="I4023" s="1">
        <v>277000</v>
      </c>
      <c r="J4023" s="1">
        <v>424510</v>
      </c>
      <c r="K4023">
        <v>11</v>
      </c>
      <c r="L4023">
        <v>1.45</v>
      </c>
      <c r="M4023">
        <v>1.46</v>
      </c>
      <c r="N4023" s="1">
        <v>5000000</v>
      </c>
      <c r="O4023">
        <v>1.45</v>
      </c>
      <c r="P4023">
        <v>2.59</v>
      </c>
      <c r="Q4023">
        <v>0.31</v>
      </c>
    </row>
    <row r="4024" spans="1:17" x14ac:dyDescent="0.25">
      <c r="A4024">
        <v>732952</v>
      </c>
      <c r="B4024" t="s">
        <v>5336</v>
      </c>
      <c r="C4024">
        <v>1.17</v>
      </c>
      <c r="D4024">
        <v>-0.11</v>
      </c>
      <c r="E4024">
        <v>1.37</v>
      </c>
      <c r="F4024">
        <v>1.38</v>
      </c>
      <c r="G4024">
        <v>1.1200000000000001</v>
      </c>
      <c r="H4024">
        <v>1.26</v>
      </c>
      <c r="I4024" s="1">
        <v>232000</v>
      </c>
      <c r="J4024" s="1">
        <v>292730</v>
      </c>
      <c r="K4024">
        <v>18</v>
      </c>
      <c r="L4024">
        <v>1.1499999999999999</v>
      </c>
      <c r="M4024">
        <v>1.1599999999999999</v>
      </c>
      <c r="N4024" s="1">
        <v>5000000</v>
      </c>
      <c r="O4024">
        <v>1.17</v>
      </c>
      <c r="P4024">
        <v>3.97</v>
      </c>
      <c r="Q4024">
        <v>0.01</v>
      </c>
    </row>
    <row r="4025" spans="1:17" x14ac:dyDescent="0.25">
      <c r="A4025">
        <v>732953</v>
      </c>
      <c r="B4025" t="s">
        <v>5337</v>
      </c>
      <c r="C4025">
        <v>1.6</v>
      </c>
      <c r="D4025">
        <v>-0.15</v>
      </c>
      <c r="E4025">
        <v>1.55</v>
      </c>
      <c r="F4025">
        <v>1.6</v>
      </c>
      <c r="G4025">
        <v>1.48</v>
      </c>
      <c r="H4025">
        <v>1.54</v>
      </c>
      <c r="I4025" s="1">
        <v>40000</v>
      </c>
      <c r="J4025" s="1">
        <v>61780</v>
      </c>
      <c r="K4025">
        <v>5</v>
      </c>
      <c r="L4025">
        <v>1.55</v>
      </c>
      <c r="M4025">
        <v>1.6</v>
      </c>
      <c r="N4025" s="1">
        <v>10000000</v>
      </c>
      <c r="O4025">
        <v>1.6</v>
      </c>
      <c r="P4025">
        <v>5.35</v>
      </c>
      <c r="Q4025">
        <v>0.01</v>
      </c>
    </row>
    <row r="4026" spans="1:17" x14ac:dyDescent="0.25">
      <c r="A4026">
        <v>732954</v>
      </c>
      <c r="B4026" t="s">
        <v>5338</v>
      </c>
      <c r="C4026">
        <v>2.98</v>
      </c>
      <c r="D4026">
        <v>0.09</v>
      </c>
      <c r="E4026">
        <v>2.89</v>
      </c>
      <c r="F4026">
        <v>2.98</v>
      </c>
      <c r="G4026">
        <v>2.89</v>
      </c>
      <c r="H4026">
        <v>2.97</v>
      </c>
      <c r="I4026" s="1">
        <v>55000</v>
      </c>
      <c r="J4026" s="1">
        <v>163450</v>
      </c>
      <c r="K4026">
        <v>2</v>
      </c>
      <c r="L4026">
        <v>2.95</v>
      </c>
      <c r="M4026">
        <v>3.03</v>
      </c>
      <c r="N4026" s="1">
        <v>10000000</v>
      </c>
      <c r="O4026">
        <v>2.98</v>
      </c>
      <c r="P4026">
        <v>4.4000000000000004</v>
      </c>
      <c r="Q4026">
        <v>1.56</v>
      </c>
    </row>
    <row r="4027" spans="1:17" x14ac:dyDescent="0.25">
      <c r="A4027">
        <v>732955</v>
      </c>
      <c r="B4027" t="s">
        <v>5339</v>
      </c>
      <c r="C4027">
        <v>0.91</v>
      </c>
      <c r="D4027">
        <v>0.06</v>
      </c>
      <c r="E4027">
        <v>0.89</v>
      </c>
      <c r="F4027">
        <v>0.93</v>
      </c>
      <c r="G4027">
        <v>0.89</v>
      </c>
      <c r="H4027">
        <v>0.9</v>
      </c>
      <c r="I4027" s="1">
        <v>212000</v>
      </c>
      <c r="J4027" s="1">
        <v>190880</v>
      </c>
      <c r="K4027">
        <v>8</v>
      </c>
      <c r="L4027">
        <v>0.91</v>
      </c>
      <c r="M4027">
        <v>0.93</v>
      </c>
      <c r="N4027" s="1">
        <v>5000000</v>
      </c>
      <c r="O4027">
        <v>0.91</v>
      </c>
      <c r="P4027">
        <v>2.06</v>
      </c>
      <c r="Q4027">
        <v>0.01</v>
      </c>
    </row>
    <row r="4028" spans="1:17" x14ac:dyDescent="0.25">
      <c r="A4028">
        <v>732956</v>
      </c>
      <c r="B4028" t="s">
        <v>5340</v>
      </c>
      <c r="C4028">
        <v>2.4500000000000002</v>
      </c>
      <c r="D4028">
        <v>0.21</v>
      </c>
      <c r="E4028">
        <v>2.46</v>
      </c>
      <c r="F4028">
        <v>2.4700000000000002</v>
      </c>
      <c r="G4028">
        <v>2.4500000000000002</v>
      </c>
      <c r="H4028">
        <v>2.46</v>
      </c>
      <c r="I4028" s="1">
        <v>24000</v>
      </c>
      <c r="J4028" s="1">
        <v>59020</v>
      </c>
      <c r="K4028">
        <v>4</v>
      </c>
      <c r="L4028">
        <v>2.33</v>
      </c>
      <c r="M4028">
        <v>2.41</v>
      </c>
      <c r="N4028" s="1">
        <v>10000000</v>
      </c>
      <c r="O4028">
        <v>2.4500000000000002</v>
      </c>
      <c r="P4028">
        <v>3.57</v>
      </c>
      <c r="Q4028">
        <v>1.33</v>
      </c>
    </row>
    <row r="4029" spans="1:17" x14ac:dyDescent="0.25">
      <c r="A4029">
        <v>732957</v>
      </c>
      <c r="B4029" t="s">
        <v>5341</v>
      </c>
      <c r="C4029">
        <v>1.06</v>
      </c>
      <c r="D4029">
        <v>-0.03</v>
      </c>
      <c r="E4029">
        <v>1.0900000000000001</v>
      </c>
      <c r="F4029">
        <v>1.0900000000000001</v>
      </c>
      <c r="G4029">
        <v>1.05</v>
      </c>
      <c r="H4029">
        <v>1.07</v>
      </c>
      <c r="I4029" s="1">
        <v>803000</v>
      </c>
      <c r="J4029" s="1">
        <v>857800</v>
      </c>
      <c r="K4029">
        <v>14</v>
      </c>
      <c r="L4029">
        <v>1.05</v>
      </c>
      <c r="M4029">
        <v>1.06</v>
      </c>
      <c r="N4029" s="1">
        <v>5000000</v>
      </c>
      <c r="O4029">
        <v>1.06</v>
      </c>
      <c r="P4029">
        <v>1.55</v>
      </c>
      <c r="Q4029">
        <v>0.56999999999999995</v>
      </c>
    </row>
    <row r="4030" spans="1:17" x14ac:dyDescent="0.25">
      <c r="A4030">
        <v>732958</v>
      </c>
      <c r="B4030" t="s">
        <v>5342</v>
      </c>
      <c r="C4030" t="s">
        <v>78</v>
      </c>
      <c r="D4030" t="s">
        <v>78</v>
      </c>
      <c r="E4030" t="s">
        <v>78</v>
      </c>
      <c r="F4030" t="s">
        <v>78</v>
      </c>
      <c r="G4030" t="s">
        <v>78</v>
      </c>
      <c r="H4030">
        <v>0.87</v>
      </c>
      <c r="I4030" s="1">
        <v>0</v>
      </c>
      <c r="J4030" s="1">
        <v>0</v>
      </c>
      <c r="K4030">
        <v>0</v>
      </c>
      <c r="L4030">
        <v>0.94</v>
      </c>
      <c r="M4030">
        <v>0.96</v>
      </c>
      <c r="N4030" s="1">
        <v>5000000</v>
      </c>
      <c r="O4030">
        <v>0.94</v>
      </c>
      <c r="P4030">
        <v>1.72</v>
      </c>
      <c r="Q4030">
        <v>0.16</v>
      </c>
    </row>
    <row r="4031" spans="1:17" x14ac:dyDescent="0.25">
      <c r="A4031">
        <v>732959</v>
      </c>
      <c r="B4031" t="s">
        <v>5343</v>
      </c>
      <c r="C4031">
        <v>1.91</v>
      </c>
      <c r="D4031">
        <v>-0.12</v>
      </c>
      <c r="E4031">
        <v>1.88</v>
      </c>
      <c r="F4031">
        <v>1.95</v>
      </c>
      <c r="G4031">
        <v>1.77</v>
      </c>
      <c r="H4031">
        <v>1.86</v>
      </c>
      <c r="I4031" s="1">
        <v>325000</v>
      </c>
      <c r="J4031" s="1">
        <v>603310</v>
      </c>
      <c r="K4031">
        <v>28</v>
      </c>
      <c r="L4031">
        <v>1.85</v>
      </c>
      <c r="M4031">
        <v>1.88</v>
      </c>
      <c r="N4031" s="1">
        <v>10000000</v>
      </c>
      <c r="O4031">
        <v>1.91</v>
      </c>
      <c r="P4031">
        <v>3.18</v>
      </c>
      <c r="Q4031">
        <v>0.64</v>
      </c>
    </row>
    <row r="4032" spans="1:17" x14ac:dyDescent="0.25">
      <c r="A4032">
        <v>732960</v>
      </c>
      <c r="B4032" t="s">
        <v>5344</v>
      </c>
      <c r="C4032">
        <v>0.35</v>
      </c>
      <c r="D4032">
        <v>0.02</v>
      </c>
      <c r="E4032">
        <v>0.35</v>
      </c>
      <c r="F4032">
        <v>0.35</v>
      </c>
      <c r="G4032">
        <v>0.35</v>
      </c>
      <c r="H4032">
        <v>0.35</v>
      </c>
      <c r="I4032" s="1">
        <v>200000</v>
      </c>
      <c r="J4032" s="1">
        <v>70000</v>
      </c>
      <c r="K4032">
        <v>1</v>
      </c>
      <c r="L4032">
        <v>0.34</v>
      </c>
      <c r="M4032">
        <v>0.35</v>
      </c>
      <c r="N4032" s="1">
        <v>10000000</v>
      </c>
      <c r="O4032">
        <v>0.35</v>
      </c>
      <c r="P4032">
        <v>1.01</v>
      </c>
      <c r="Q4032">
        <v>0.01</v>
      </c>
    </row>
    <row r="4033" spans="1:17" x14ac:dyDescent="0.25">
      <c r="A4033">
        <v>732961</v>
      </c>
      <c r="B4033" t="s">
        <v>5345</v>
      </c>
      <c r="C4033" t="s">
        <v>78</v>
      </c>
      <c r="D4033" t="s">
        <v>78</v>
      </c>
      <c r="E4033" t="s">
        <v>78</v>
      </c>
      <c r="F4033" t="s">
        <v>78</v>
      </c>
      <c r="G4033" t="s">
        <v>78</v>
      </c>
      <c r="H4033">
        <v>2.6</v>
      </c>
      <c r="I4033" s="1">
        <v>0</v>
      </c>
      <c r="J4033" s="1">
        <v>0</v>
      </c>
      <c r="K4033">
        <v>0</v>
      </c>
      <c r="L4033">
        <v>2.95</v>
      </c>
      <c r="M4033">
        <v>3.05</v>
      </c>
      <c r="N4033" s="1">
        <v>5000000</v>
      </c>
      <c r="O4033">
        <v>2.95</v>
      </c>
      <c r="P4033">
        <v>4.09</v>
      </c>
      <c r="Q4033">
        <v>1.81</v>
      </c>
    </row>
    <row r="4034" spans="1:17" x14ac:dyDescent="0.25">
      <c r="A4034">
        <v>732962</v>
      </c>
      <c r="B4034" t="s">
        <v>5346</v>
      </c>
      <c r="C4034">
        <v>2.44</v>
      </c>
      <c r="D4034">
        <v>0.03</v>
      </c>
      <c r="E4034">
        <v>2.4700000000000002</v>
      </c>
      <c r="F4034">
        <v>2.4700000000000002</v>
      </c>
      <c r="G4034">
        <v>2.4300000000000002</v>
      </c>
      <c r="H4034">
        <v>2.4500000000000002</v>
      </c>
      <c r="I4034" s="1">
        <v>280000</v>
      </c>
      <c r="J4034" s="1">
        <v>686840</v>
      </c>
      <c r="K4034">
        <v>14</v>
      </c>
      <c r="L4034">
        <v>2.4900000000000002</v>
      </c>
      <c r="M4034">
        <v>2.5099999999999998</v>
      </c>
      <c r="N4034" s="1">
        <v>10000000</v>
      </c>
      <c r="O4034">
        <v>2.44</v>
      </c>
      <c r="P4034">
        <v>3.86</v>
      </c>
      <c r="Q4034">
        <v>1.02</v>
      </c>
    </row>
    <row r="4035" spans="1:17" x14ac:dyDescent="0.25">
      <c r="A4035">
        <v>732963</v>
      </c>
      <c r="B4035" t="s">
        <v>5347</v>
      </c>
      <c r="C4035" t="s">
        <v>78</v>
      </c>
      <c r="D4035" t="s">
        <v>78</v>
      </c>
      <c r="E4035" t="s">
        <v>78</v>
      </c>
      <c r="F4035" t="s">
        <v>78</v>
      </c>
      <c r="G4035" t="s">
        <v>78</v>
      </c>
      <c r="H4035">
        <v>0.41</v>
      </c>
      <c r="I4035" s="1">
        <v>0</v>
      </c>
      <c r="J4035" s="1">
        <v>0</v>
      </c>
      <c r="K4035">
        <v>0</v>
      </c>
      <c r="L4035">
        <v>0.42</v>
      </c>
      <c r="M4035">
        <v>0.43</v>
      </c>
      <c r="N4035" s="1">
        <v>5000000</v>
      </c>
      <c r="O4035">
        <v>0.42</v>
      </c>
      <c r="P4035">
        <v>1.45</v>
      </c>
      <c r="Q4035">
        <v>0.01</v>
      </c>
    </row>
    <row r="4036" spans="1:17" x14ac:dyDescent="0.25">
      <c r="A4036">
        <v>732964</v>
      </c>
      <c r="B4036" t="s">
        <v>5348</v>
      </c>
      <c r="C4036">
        <v>0.94</v>
      </c>
      <c r="D4036">
        <v>-0.08</v>
      </c>
      <c r="E4036">
        <v>1</v>
      </c>
      <c r="F4036">
        <v>1</v>
      </c>
      <c r="G4036">
        <v>0.94</v>
      </c>
      <c r="H4036">
        <v>0.95</v>
      </c>
      <c r="I4036" s="1">
        <v>221000</v>
      </c>
      <c r="J4036" s="1">
        <v>210100</v>
      </c>
      <c r="K4036">
        <v>5</v>
      </c>
      <c r="L4036">
        <v>0.92</v>
      </c>
      <c r="M4036">
        <v>0.96</v>
      </c>
      <c r="N4036" s="1">
        <v>5000000</v>
      </c>
      <c r="O4036">
        <v>0.94</v>
      </c>
      <c r="P4036">
        <v>1.78</v>
      </c>
      <c r="Q4036">
        <v>0.1</v>
      </c>
    </row>
    <row r="4037" spans="1:17" x14ac:dyDescent="0.25">
      <c r="A4037">
        <v>732965</v>
      </c>
      <c r="B4037" t="s">
        <v>5349</v>
      </c>
      <c r="C4037">
        <v>0.86</v>
      </c>
      <c r="D4037">
        <v>-0.03</v>
      </c>
      <c r="E4037">
        <v>0.86</v>
      </c>
      <c r="F4037">
        <v>0.91</v>
      </c>
      <c r="G4037">
        <v>0.85</v>
      </c>
      <c r="H4037">
        <v>0.87</v>
      </c>
      <c r="I4037" s="1">
        <v>1649000</v>
      </c>
      <c r="J4037" s="1">
        <v>1427480</v>
      </c>
      <c r="K4037">
        <v>65</v>
      </c>
      <c r="L4037">
        <v>0.86</v>
      </c>
      <c r="M4037">
        <v>0.87</v>
      </c>
      <c r="N4037" s="1">
        <v>5000000</v>
      </c>
      <c r="O4037">
        <v>0.86</v>
      </c>
      <c r="P4037">
        <v>1.29</v>
      </c>
      <c r="Q4037">
        <v>0.43</v>
      </c>
    </row>
    <row r="4038" spans="1:17" x14ac:dyDescent="0.25">
      <c r="A4038">
        <v>732966</v>
      </c>
      <c r="B4038" t="s">
        <v>5350</v>
      </c>
      <c r="C4038">
        <v>0.99</v>
      </c>
      <c r="D4038">
        <v>-0.06</v>
      </c>
      <c r="E4038">
        <v>1.07</v>
      </c>
      <c r="F4038">
        <v>1.07</v>
      </c>
      <c r="G4038">
        <v>0.99</v>
      </c>
      <c r="H4038">
        <v>1.01</v>
      </c>
      <c r="I4038" s="1">
        <v>639000</v>
      </c>
      <c r="J4038" s="1">
        <v>647490</v>
      </c>
      <c r="K4038">
        <v>24</v>
      </c>
      <c r="L4038">
        <v>0.99</v>
      </c>
      <c r="M4038">
        <v>1</v>
      </c>
      <c r="N4038" s="1">
        <v>5000000</v>
      </c>
      <c r="O4038">
        <v>0.99</v>
      </c>
      <c r="P4038">
        <v>1.59</v>
      </c>
      <c r="Q4038">
        <v>0.39</v>
      </c>
    </row>
    <row r="4039" spans="1:17" x14ac:dyDescent="0.25">
      <c r="A4039">
        <v>732967</v>
      </c>
      <c r="B4039" t="s">
        <v>5351</v>
      </c>
      <c r="C4039">
        <v>0.93</v>
      </c>
      <c r="D4039">
        <v>0.1</v>
      </c>
      <c r="E4039">
        <v>0.82</v>
      </c>
      <c r="F4039">
        <v>0.96</v>
      </c>
      <c r="G4039">
        <v>0.79</v>
      </c>
      <c r="H4039">
        <v>0.91</v>
      </c>
      <c r="I4039" s="1">
        <v>805000</v>
      </c>
      <c r="J4039" s="1">
        <v>733020</v>
      </c>
      <c r="K4039">
        <v>22</v>
      </c>
      <c r="L4039">
        <v>0.89</v>
      </c>
      <c r="M4039">
        <v>0.91</v>
      </c>
      <c r="N4039" s="1">
        <v>5000000</v>
      </c>
      <c r="O4039">
        <v>0.93</v>
      </c>
      <c r="P4039">
        <v>2.33</v>
      </c>
      <c r="Q4039">
        <v>0.01</v>
      </c>
    </row>
    <row r="4040" spans="1:17" x14ac:dyDescent="0.25">
      <c r="A4040">
        <v>732968</v>
      </c>
      <c r="B4040" t="s">
        <v>5352</v>
      </c>
      <c r="C4040">
        <v>0.75</v>
      </c>
      <c r="D4040">
        <v>-0.03</v>
      </c>
      <c r="E4040">
        <v>0.8</v>
      </c>
      <c r="F4040">
        <v>0.8</v>
      </c>
      <c r="G4040">
        <v>0.75</v>
      </c>
      <c r="H4040">
        <v>0.78</v>
      </c>
      <c r="I4040" s="1">
        <v>213000</v>
      </c>
      <c r="J4040" s="1">
        <v>165850</v>
      </c>
      <c r="K4040">
        <v>9</v>
      </c>
      <c r="L4040">
        <v>0.75</v>
      </c>
      <c r="M4040">
        <v>0.78</v>
      </c>
      <c r="N4040" s="1">
        <v>15000000</v>
      </c>
      <c r="O4040">
        <v>0.75</v>
      </c>
      <c r="P4040">
        <v>1.75</v>
      </c>
      <c r="Q4040">
        <v>0.01</v>
      </c>
    </row>
    <row r="4041" spans="1:17" x14ac:dyDescent="0.25">
      <c r="A4041">
        <v>732969</v>
      </c>
      <c r="B4041" t="s">
        <v>5353</v>
      </c>
      <c r="C4041">
        <v>0.41</v>
      </c>
      <c r="D4041">
        <v>0.02</v>
      </c>
      <c r="E4041">
        <v>0.41</v>
      </c>
      <c r="F4041">
        <v>0.41</v>
      </c>
      <c r="G4041">
        <v>0.39</v>
      </c>
      <c r="H4041">
        <v>0.41</v>
      </c>
      <c r="I4041" s="1">
        <v>584000</v>
      </c>
      <c r="J4041" s="1">
        <v>238090</v>
      </c>
      <c r="K4041">
        <v>14</v>
      </c>
      <c r="L4041">
        <v>0.4</v>
      </c>
      <c r="M4041">
        <v>0.41</v>
      </c>
      <c r="N4041" s="1">
        <v>15000000</v>
      </c>
      <c r="O4041">
        <v>0.41</v>
      </c>
      <c r="P4041">
        <v>0.93</v>
      </c>
      <c r="Q4041">
        <v>0.01</v>
      </c>
    </row>
    <row r="4042" spans="1:17" x14ac:dyDescent="0.25">
      <c r="A4042">
        <v>732970</v>
      </c>
      <c r="B4042" t="s">
        <v>5354</v>
      </c>
      <c r="C4042">
        <v>0.38</v>
      </c>
      <c r="D4042">
        <v>0</v>
      </c>
      <c r="E4042">
        <v>0.38</v>
      </c>
      <c r="F4042">
        <v>0.38</v>
      </c>
      <c r="G4042">
        <v>0.38</v>
      </c>
      <c r="H4042">
        <v>0.38</v>
      </c>
      <c r="I4042" s="1">
        <v>2000</v>
      </c>
      <c r="J4042" s="1">
        <v>760</v>
      </c>
      <c r="K4042">
        <v>1</v>
      </c>
      <c r="L4042">
        <v>0.36</v>
      </c>
      <c r="M4042">
        <v>0.37</v>
      </c>
      <c r="N4042" s="1">
        <v>10000000</v>
      </c>
      <c r="O4042">
        <v>0.38</v>
      </c>
      <c r="P4042">
        <v>0.62</v>
      </c>
      <c r="Q4042">
        <v>0.14000000000000001</v>
      </c>
    </row>
    <row r="4043" spans="1:17" x14ac:dyDescent="0.25">
      <c r="A4043">
        <v>732971</v>
      </c>
      <c r="B4043" t="s">
        <v>5355</v>
      </c>
      <c r="C4043">
        <v>2.46</v>
      </c>
      <c r="D4043">
        <v>0.05</v>
      </c>
      <c r="E4043">
        <v>2.48</v>
      </c>
      <c r="F4043">
        <v>2.48</v>
      </c>
      <c r="G4043">
        <v>2.4500000000000002</v>
      </c>
      <c r="H4043">
        <v>2.46</v>
      </c>
      <c r="I4043" s="1">
        <v>138000</v>
      </c>
      <c r="J4043" s="1">
        <v>339700</v>
      </c>
      <c r="K4043">
        <v>7</v>
      </c>
      <c r="L4043">
        <v>2.4900000000000002</v>
      </c>
      <c r="M4043">
        <v>2.58</v>
      </c>
      <c r="N4043" s="1">
        <v>5000000</v>
      </c>
      <c r="O4043">
        <v>2.46</v>
      </c>
      <c r="P4043">
        <v>3.6</v>
      </c>
      <c r="Q4043">
        <v>1.32</v>
      </c>
    </row>
    <row r="4044" spans="1:17" x14ac:dyDescent="0.25">
      <c r="A4044">
        <v>732972</v>
      </c>
      <c r="B4044" t="s">
        <v>5356</v>
      </c>
      <c r="C4044">
        <v>0.43</v>
      </c>
      <c r="D4044">
        <v>-0.01</v>
      </c>
      <c r="E4044">
        <v>0.43</v>
      </c>
      <c r="F4044">
        <v>0.43</v>
      </c>
      <c r="G4044">
        <v>0.43</v>
      </c>
      <c r="H4044">
        <v>0.43</v>
      </c>
      <c r="I4044" s="1">
        <v>100000</v>
      </c>
      <c r="J4044" s="1">
        <v>43000</v>
      </c>
      <c r="K4044">
        <v>1</v>
      </c>
      <c r="L4044">
        <v>0.41</v>
      </c>
      <c r="M4044">
        <v>0.42</v>
      </c>
      <c r="N4044" s="1">
        <v>5000000</v>
      </c>
      <c r="O4044">
        <v>0.43</v>
      </c>
      <c r="P4044">
        <v>1.1299999999999999</v>
      </c>
      <c r="Q4044">
        <v>0.01</v>
      </c>
    </row>
    <row r="4045" spans="1:17" x14ac:dyDescent="0.25">
      <c r="A4045">
        <v>732973</v>
      </c>
      <c r="B4045" t="s">
        <v>5357</v>
      </c>
      <c r="C4045" t="s">
        <v>78</v>
      </c>
      <c r="D4045" t="s">
        <v>78</v>
      </c>
      <c r="E4045" t="s">
        <v>78</v>
      </c>
      <c r="F4045" t="s">
        <v>78</v>
      </c>
      <c r="G4045" t="s">
        <v>78</v>
      </c>
      <c r="H4045">
        <v>0.32</v>
      </c>
      <c r="I4045" s="1">
        <v>0</v>
      </c>
      <c r="J4045" s="1">
        <v>0</v>
      </c>
      <c r="K4045">
        <v>0</v>
      </c>
      <c r="L4045">
        <v>0.32</v>
      </c>
      <c r="M4045">
        <v>0.33</v>
      </c>
      <c r="N4045" s="1">
        <v>5000000</v>
      </c>
      <c r="O4045">
        <v>0.32</v>
      </c>
      <c r="P4045">
        <v>1.3</v>
      </c>
      <c r="Q4045">
        <v>0.01</v>
      </c>
    </row>
    <row r="4046" spans="1:17" x14ac:dyDescent="0.25">
      <c r="A4046">
        <v>732974</v>
      </c>
      <c r="B4046" t="s">
        <v>5358</v>
      </c>
      <c r="C4046">
        <v>0.78</v>
      </c>
      <c r="D4046">
        <v>-0.03</v>
      </c>
      <c r="E4046">
        <v>0.77</v>
      </c>
      <c r="F4046">
        <v>0.78</v>
      </c>
      <c r="G4046">
        <v>0.77</v>
      </c>
      <c r="H4046">
        <v>0.78</v>
      </c>
      <c r="I4046" s="1">
        <v>45000</v>
      </c>
      <c r="J4046" s="1">
        <v>35020</v>
      </c>
      <c r="K4046">
        <v>3</v>
      </c>
      <c r="L4046">
        <v>0.77</v>
      </c>
      <c r="M4046">
        <v>0.79</v>
      </c>
      <c r="N4046" s="1">
        <v>5000000</v>
      </c>
      <c r="O4046">
        <v>0.78</v>
      </c>
      <c r="P4046">
        <v>2.46</v>
      </c>
      <c r="Q4046">
        <v>0.01</v>
      </c>
    </row>
    <row r="4047" spans="1:17" x14ac:dyDescent="0.25">
      <c r="A4047">
        <v>732975</v>
      </c>
      <c r="B4047" t="s">
        <v>5359</v>
      </c>
      <c r="C4047">
        <v>0.88</v>
      </c>
      <c r="D4047">
        <v>-0.01</v>
      </c>
      <c r="E4047">
        <v>0.91</v>
      </c>
      <c r="F4047">
        <v>0.94</v>
      </c>
      <c r="G4047">
        <v>0.88</v>
      </c>
      <c r="H4047">
        <v>0.9</v>
      </c>
      <c r="I4047" s="1">
        <v>179000</v>
      </c>
      <c r="J4047" s="1">
        <v>161860</v>
      </c>
      <c r="K4047">
        <v>10</v>
      </c>
      <c r="L4047">
        <v>0.82</v>
      </c>
      <c r="M4047">
        <v>0.83</v>
      </c>
      <c r="N4047" s="1">
        <v>5000000</v>
      </c>
      <c r="O4047">
        <v>0.88</v>
      </c>
      <c r="P4047">
        <v>1.64</v>
      </c>
      <c r="Q4047">
        <v>0.12</v>
      </c>
    </row>
    <row r="4048" spans="1:17" x14ac:dyDescent="0.25">
      <c r="A4048">
        <v>732976</v>
      </c>
      <c r="B4048" t="s">
        <v>5360</v>
      </c>
      <c r="C4048">
        <v>0.98</v>
      </c>
      <c r="D4048">
        <v>0.02</v>
      </c>
      <c r="E4048">
        <v>1</v>
      </c>
      <c r="F4048">
        <v>1</v>
      </c>
      <c r="G4048">
        <v>0.98</v>
      </c>
      <c r="H4048">
        <v>1</v>
      </c>
      <c r="I4048" s="1">
        <v>32000</v>
      </c>
      <c r="J4048" s="1">
        <v>31960</v>
      </c>
      <c r="K4048">
        <v>2</v>
      </c>
      <c r="L4048">
        <v>0.97</v>
      </c>
      <c r="M4048">
        <v>0.98</v>
      </c>
      <c r="N4048" s="1">
        <v>10000000</v>
      </c>
      <c r="O4048">
        <v>0.98</v>
      </c>
      <c r="P4048">
        <v>1.51</v>
      </c>
      <c r="Q4048">
        <v>0.45</v>
      </c>
    </row>
    <row r="4049" spans="1:17" x14ac:dyDescent="0.25">
      <c r="A4049">
        <v>732977</v>
      </c>
      <c r="B4049" t="s">
        <v>5361</v>
      </c>
      <c r="C4049">
        <v>0.83</v>
      </c>
      <c r="D4049">
        <v>-7.0000000000000007E-2</v>
      </c>
      <c r="E4049">
        <v>0.84</v>
      </c>
      <c r="F4049">
        <v>0.84</v>
      </c>
      <c r="G4049">
        <v>0.83</v>
      </c>
      <c r="H4049">
        <v>0.84</v>
      </c>
      <c r="I4049" s="1">
        <v>51000</v>
      </c>
      <c r="J4049" s="1">
        <v>42830</v>
      </c>
      <c r="K4049">
        <v>2</v>
      </c>
      <c r="L4049">
        <v>0.83</v>
      </c>
      <c r="M4049">
        <v>0.84</v>
      </c>
      <c r="N4049" s="1">
        <v>5000000</v>
      </c>
      <c r="O4049">
        <v>0.83</v>
      </c>
      <c r="P4049">
        <v>1.69</v>
      </c>
      <c r="Q4049">
        <v>0.01</v>
      </c>
    </row>
    <row r="4050" spans="1:17" x14ac:dyDescent="0.25">
      <c r="A4050">
        <v>732978</v>
      </c>
      <c r="B4050" t="s">
        <v>5362</v>
      </c>
      <c r="C4050">
        <v>0.63</v>
      </c>
      <c r="D4050">
        <v>0</v>
      </c>
      <c r="E4050">
        <v>0.63</v>
      </c>
      <c r="F4050">
        <v>0.64</v>
      </c>
      <c r="G4050">
        <v>0.63</v>
      </c>
      <c r="H4050">
        <v>0.63</v>
      </c>
      <c r="I4050" s="1">
        <v>116000</v>
      </c>
      <c r="J4050" s="1">
        <v>73180</v>
      </c>
      <c r="K4050">
        <v>3</v>
      </c>
      <c r="L4050">
        <v>0.61</v>
      </c>
      <c r="M4050">
        <v>0.62</v>
      </c>
      <c r="N4050" s="1">
        <v>5000000</v>
      </c>
      <c r="O4050">
        <v>0.63</v>
      </c>
      <c r="P4050">
        <v>1.1599999999999999</v>
      </c>
      <c r="Q4050">
        <v>0.1</v>
      </c>
    </row>
    <row r="4051" spans="1:17" x14ac:dyDescent="0.25">
      <c r="A4051">
        <v>732979</v>
      </c>
      <c r="B4051" t="s">
        <v>5363</v>
      </c>
      <c r="C4051">
        <v>0.56000000000000005</v>
      </c>
      <c r="D4051">
        <v>0.01</v>
      </c>
      <c r="E4051">
        <v>0.56999999999999995</v>
      </c>
      <c r="F4051">
        <v>0.56999999999999995</v>
      </c>
      <c r="G4051">
        <v>0.56000000000000005</v>
      </c>
      <c r="H4051">
        <v>0.56000000000000005</v>
      </c>
      <c r="I4051" s="1">
        <v>40000</v>
      </c>
      <c r="J4051" s="1">
        <v>22500</v>
      </c>
      <c r="K4051">
        <v>3</v>
      </c>
      <c r="L4051">
        <v>0.54</v>
      </c>
      <c r="M4051">
        <v>0.55000000000000004</v>
      </c>
      <c r="N4051" s="1">
        <v>5000000</v>
      </c>
      <c r="O4051">
        <v>0.56000000000000005</v>
      </c>
      <c r="P4051">
        <v>1.0900000000000001</v>
      </c>
      <c r="Q4051">
        <v>0.03</v>
      </c>
    </row>
    <row r="4052" spans="1:17" x14ac:dyDescent="0.25">
      <c r="A4052">
        <v>732980</v>
      </c>
      <c r="B4052" t="s">
        <v>5364</v>
      </c>
      <c r="C4052">
        <v>1.1000000000000001</v>
      </c>
      <c r="D4052">
        <v>0.05</v>
      </c>
      <c r="E4052">
        <v>1.1000000000000001</v>
      </c>
      <c r="F4052">
        <v>1.1299999999999999</v>
      </c>
      <c r="G4052">
        <v>1.07</v>
      </c>
      <c r="H4052">
        <v>1.0900000000000001</v>
      </c>
      <c r="I4052" s="1">
        <v>455000</v>
      </c>
      <c r="J4052" s="1">
        <v>496300</v>
      </c>
      <c r="K4052">
        <v>16</v>
      </c>
      <c r="L4052">
        <v>1.08</v>
      </c>
      <c r="M4052">
        <v>1.1000000000000001</v>
      </c>
      <c r="N4052" s="1">
        <v>10000000</v>
      </c>
      <c r="O4052">
        <v>1.1000000000000001</v>
      </c>
      <c r="P4052">
        <v>2.6</v>
      </c>
      <c r="Q4052">
        <v>0.01</v>
      </c>
    </row>
    <row r="4053" spans="1:17" x14ac:dyDescent="0.25">
      <c r="A4053">
        <v>732981</v>
      </c>
      <c r="B4053" t="s">
        <v>5365</v>
      </c>
      <c r="C4053">
        <v>1.82</v>
      </c>
      <c r="D4053">
        <v>0.05</v>
      </c>
      <c r="E4053">
        <v>1.82</v>
      </c>
      <c r="F4053">
        <v>1.82</v>
      </c>
      <c r="G4053">
        <v>1.73</v>
      </c>
      <c r="H4053">
        <v>1.81</v>
      </c>
      <c r="I4053" s="1">
        <v>94000</v>
      </c>
      <c r="J4053" s="1">
        <v>169910</v>
      </c>
      <c r="K4053">
        <v>9</v>
      </c>
      <c r="L4053">
        <v>1.79</v>
      </c>
      <c r="M4053">
        <v>1.82</v>
      </c>
      <c r="N4053" s="1">
        <v>10000000</v>
      </c>
      <c r="O4053">
        <v>1.82</v>
      </c>
      <c r="P4053">
        <v>2.96</v>
      </c>
      <c r="Q4053">
        <v>0.68</v>
      </c>
    </row>
    <row r="4054" spans="1:17" x14ac:dyDescent="0.25">
      <c r="A4054">
        <v>732982</v>
      </c>
      <c r="B4054" t="s">
        <v>5366</v>
      </c>
      <c r="C4054">
        <v>1.36</v>
      </c>
      <c r="D4054">
        <v>0.09</v>
      </c>
      <c r="E4054">
        <v>1.3</v>
      </c>
      <c r="F4054">
        <v>1.36</v>
      </c>
      <c r="G4054">
        <v>1.3</v>
      </c>
      <c r="H4054">
        <v>1.33</v>
      </c>
      <c r="I4054" s="1">
        <v>165000</v>
      </c>
      <c r="J4054" s="1">
        <v>219650</v>
      </c>
      <c r="K4054">
        <v>6</v>
      </c>
      <c r="L4054">
        <v>1.31</v>
      </c>
      <c r="M4054">
        <v>1.33</v>
      </c>
      <c r="N4054" s="1">
        <v>10000000</v>
      </c>
      <c r="O4054">
        <v>1.36</v>
      </c>
      <c r="P4054">
        <v>2.15</v>
      </c>
      <c r="Q4054">
        <v>0.56999999999999995</v>
      </c>
    </row>
    <row r="4055" spans="1:17" x14ac:dyDescent="0.25">
      <c r="A4055">
        <v>732983</v>
      </c>
      <c r="B4055" t="s">
        <v>5367</v>
      </c>
      <c r="C4055">
        <v>0.93</v>
      </c>
      <c r="D4055">
        <v>-0.08</v>
      </c>
      <c r="E4055">
        <v>0.95</v>
      </c>
      <c r="F4055">
        <v>0.96</v>
      </c>
      <c r="G4055">
        <v>0.93</v>
      </c>
      <c r="H4055">
        <v>0.95</v>
      </c>
      <c r="I4055" s="1">
        <v>28000</v>
      </c>
      <c r="J4055" s="1">
        <v>26540</v>
      </c>
      <c r="K4055">
        <v>3</v>
      </c>
      <c r="L4055">
        <v>0.92</v>
      </c>
      <c r="M4055">
        <v>0.93</v>
      </c>
      <c r="N4055" s="1">
        <v>10000000</v>
      </c>
      <c r="O4055">
        <v>0.93</v>
      </c>
      <c r="P4055">
        <v>2.67</v>
      </c>
      <c r="Q4055">
        <v>0.01</v>
      </c>
    </row>
    <row r="4056" spans="1:17" x14ac:dyDescent="0.25">
      <c r="A4056">
        <v>732984</v>
      </c>
      <c r="B4056" t="s">
        <v>5368</v>
      </c>
      <c r="C4056">
        <v>1.71</v>
      </c>
      <c r="D4056">
        <v>0.28999999999999998</v>
      </c>
      <c r="E4056">
        <v>1.59</v>
      </c>
      <c r="F4056">
        <v>1.85</v>
      </c>
      <c r="G4056">
        <v>1.59</v>
      </c>
      <c r="H4056">
        <v>1.68</v>
      </c>
      <c r="I4056" s="1">
        <v>109000</v>
      </c>
      <c r="J4056" s="1">
        <v>183590</v>
      </c>
      <c r="K4056">
        <v>10</v>
      </c>
      <c r="L4056">
        <v>1.64</v>
      </c>
      <c r="M4056">
        <v>1.74</v>
      </c>
      <c r="N4056" s="1">
        <v>10000000</v>
      </c>
      <c r="O4056">
        <v>1.71</v>
      </c>
      <c r="P4056">
        <v>3.58</v>
      </c>
      <c r="Q4056">
        <v>0.01</v>
      </c>
    </row>
    <row r="4057" spans="1:17" x14ac:dyDescent="0.25">
      <c r="A4057">
        <v>732985</v>
      </c>
      <c r="B4057" t="s">
        <v>5369</v>
      </c>
      <c r="C4057">
        <v>0.45</v>
      </c>
      <c r="D4057">
        <v>0.08</v>
      </c>
      <c r="E4057">
        <v>0.43</v>
      </c>
      <c r="F4057">
        <v>0.47</v>
      </c>
      <c r="G4057">
        <v>0.43</v>
      </c>
      <c r="H4057">
        <v>0.45</v>
      </c>
      <c r="I4057" s="1">
        <v>187000</v>
      </c>
      <c r="J4057" s="1">
        <v>84490</v>
      </c>
      <c r="K4057">
        <v>8</v>
      </c>
      <c r="L4057">
        <v>0.4</v>
      </c>
      <c r="M4057">
        <v>0.41</v>
      </c>
      <c r="N4057" s="1">
        <v>5000000</v>
      </c>
      <c r="O4057">
        <v>0.45</v>
      </c>
      <c r="P4057">
        <v>1.77</v>
      </c>
      <c r="Q4057">
        <v>0.01</v>
      </c>
    </row>
    <row r="4058" spans="1:17" x14ac:dyDescent="0.25">
      <c r="A4058">
        <v>732986</v>
      </c>
      <c r="B4058" t="s">
        <v>5370</v>
      </c>
      <c r="C4058">
        <v>0.55000000000000004</v>
      </c>
      <c r="D4058">
        <v>0.02</v>
      </c>
      <c r="E4058">
        <v>0.55000000000000004</v>
      </c>
      <c r="F4058">
        <v>0.55000000000000004</v>
      </c>
      <c r="G4058">
        <v>0.55000000000000004</v>
      </c>
      <c r="H4058">
        <v>0.55000000000000004</v>
      </c>
      <c r="I4058" s="1">
        <v>30000</v>
      </c>
      <c r="J4058" s="1">
        <v>16500</v>
      </c>
      <c r="K4058">
        <v>3</v>
      </c>
      <c r="L4058">
        <v>0.53</v>
      </c>
      <c r="M4058">
        <v>0.55000000000000004</v>
      </c>
      <c r="N4058" s="1">
        <v>10000000</v>
      </c>
      <c r="O4058">
        <v>0.55000000000000004</v>
      </c>
      <c r="P4058">
        <v>1.91</v>
      </c>
      <c r="Q4058">
        <v>0.01</v>
      </c>
    </row>
    <row r="4059" spans="1:17" x14ac:dyDescent="0.25">
      <c r="A4059">
        <v>732987</v>
      </c>
      <c r="B4059" t="s">
        <v>5371</v>
      </c>
      <c r="C4059" t="s">
        <v>78</v>
      </c>
      <c r="D4059" t="s">
        <v>78</v>
      </c>
      <c r="E4059" t="s">
        <v>78</v>
      </c>
      <c r="F4059" t="s">
        <v>78</v>
      </c>
      <c r="G4059" t="s">
        <v>78</v>
      </c>
      <c r="H4059">
        <v>0.46</v>
      </c>
      <c r="I4059" s="1">
        <v>0</v>
      </c>
      <c r="J4059" s="1">
        <v>0</v>
      </c>
      <c r="K4059">
        <v>0</v>
      </c>
      <c r="L4059">
        <v>0.46</v>
      </c>
      <c r="M4059">
        <v>0.47</v>
      </c>
      <c r="N4059" s="1">
        <v>10000000</v>
      </c>
      <c r="O4059">
        <v>0.47</v>
      </c>
      <c r="P4059">
        <v>1.0900000000000001</v>
      </c>
      <c r="Q4059">
        <v>0.01</v>
      </c>
    </row>
    <row r="4060" spans="1:17" x14ac:dyDescent="0.25">
      <c r="A4060">
        <v>732988</v>
      </c>
      <c r="B4060" t="s">
        <v>5372</v>
      </c>
      <c r="C4060" t="s">
        <v>78</v>
      </c>
      <c r="D4060" t="s">
        <v>78</v>
      </c>
      <c r="E4060" t="s">
        <v>78</v>
      </c>
      <c r="F4060" t="s">
        <v>78</v>
      </c>
      <c r="G4060" t="s">
        <v>78</v>
      </c>
      <c r="H4060">
        <v>0.46</v>
      </c>
      <c r="I4060" s="1">
        <v>0</v>
      </c>
      <c r="J4060" s="1">
        <v>0</v>
      </c>
      <c r="K4060">
        <v>0</v>
      </c>
      <c r="L4060">
        <v>0.5</v>
      </c>
      <c r="M4060">
        <v>0.51</v>
      </c>
      <c r="N4060" s="1">
        <v>10000000</v>
      </c>
      <c r="O4060">
        <v>0.5</v>
      </c>
      <c r="P4060">
        <v>2.91</v>
      </c>
      <c r="Q4060">
        <v>0.01</v>
      </c>
    </row>
    <row r="4061" spans="1:17" x14ac:dyDescent="0.25">
      <c r="A4061">
        <v>732989</v>
      </c>
      <c r="B4061" t="s">
        <v>5373</v>
      </c>
      <c r="C4061">
        <v>1.1200000000000001</v>
      </c>
      <c r="D4061">
        <v>0.03</v>
      </c>
      <c r="E4061">
        <v>1.1499999999999999</v>
      </c>
      <c r="F4061">
        <v>1.1499999999999999</v>
      </c>
      <c r="G4061">
        <v>1.1200000000000001</v>
      </c>
      <c r="H4061">
        <v>1.1200000000000001</v>
      </c>
      <c r="I4061" s="1">
        <v>125000</v>
      </c>
      <c r="J4061" s="1">
        <v>140300</v>
      </c>
      <c r="K4061">
        <v>5</v>
      </c>
      <c r="L4061">
        <v>1.1200000000000001</v>
      </c>
      <c r="M4061">
        <v>1.1499999999999999</v>
      </c>
      <c r="N4061" s="1">
        <v>5000000</v>
      </c>
      <c r="O4061">
        <v>1.1200000000000001</v>
      </c>
      <c r="P4061">
        <v>1.99</v>
      </c>
      <c r="Q4061">
        <v>0.25</v>
      </c>
    </row>
    <row r="4062" spans="1:17" x14ac:dyDescent="0.25">
      <c r="A4062">
        <v>732990</v>
      </c>
      <c r="B4062" t="s">
        <v>5374</v>
      </c>
      <c r="C4062">
        <v>3.8</v>
      </c>
      <c r="D4062">
        <v>-0.02</v>
      </c>
      <c r="E4062">
        <v>4.05</v>
      </c>
      <c r="F4062">
        <v>4.05</v>
      </c>
      <c r="G4062">
        <v>3.8</v>
      </c>
      <c r="H4062">
        <v>3.95</v>
      </c>
      <c r="I4062" s="1">
        <v>20000</v>
      </c>
      <c r="J4062" s="1">
        <v>79090</v>
      </c>
      <c r="K4062">
        <v>5</v>
      </c>
      <c r="L4062">
        <v>3.67</v>
      </c>
      <c r="M4062">
        <v>3.77</v>
      </c>
      <c r="N4062" s="1">
        <v>5000000</v>
      </c>
      <c r="O4062">
        <v>3.8</v>
      </c>
      <c r="P4062">
        <v>5.85</v>
      </c>
      <c r="Q4062">
        <v>1.75</v>
      </c>
    </row>
    <row r="4063" spans="1:17" x14ac:dyDescent="0.25">
      <c r="A4063">
        <v>732991</v>
      </c>
      <c r="B4063" t="s">
        <v>5375</v>
      </c>
      <c r="C4063" t="s">
        <v>78</v>
      </c>
      <c r="D4063" t="s">
        <v>78</v>
      </c>
      <c r="E4063" t="s">
        <v>78</v>
      </c>
      <c r="F4063" t="s">
        <v>78</v>
      </c>
      <c r="G4063" t="s">
        <v>78</v>
      </c>
      <c r="H4063">
        <v>0.97</v>
      </c>
      <c r="I4063" s="1">
        <v>0</v>
      </c>
      <c r="J4063" s="1">
        <v>0</v>
      </c>
      <c r="K4063">
        <v>0</v>
      </c>
      <c r="L4063">
        <v>0.81</v>
      </c>
      <c r="M4063">
        <v>0.83</v>
      </c>
      <c r="N4063" s="1">
        <v>10000000</v>
      </c>
      <c r="O4063">
        <v>0.83</v>
      </c>
      <c r="P4063">
        <v>1.17</v>
      </c>
      <c r="Q4063">
        <v>0.49</v>
      </c>
    </row>
    <row r="4064" spans="1:17" x14ac:dyDescent="0.25">
      <c r="A4064">
        <v>732992</v>
      </c>
      <c r="B4064" t="s">
        <v>5376</v>
      </c>
      <c r="C4064">
        <v>7.15</v>
      </c>
      <c r="D4064">
        <v>-0.4</v>
      </c>
      <c r="E4064">
        <v>7.7</v>
      </c>
      <c r="F4064">
        <v>7.9</v>
      </c>
      <c r="G4064">
        <v>7.1</v>
      </c>
      <c r="H4064">
        <v>7.56</v>
      </c>
      <c r="I4064" s="1">
        <v>54000</v>
      </c>
      <c r="J4064" s="1">
        <v>408300</v>
      </c>
      <c r="K4064">
        <v>15</v>
      </c>
      <c r="L4064">
        <v>7.1</v>
      </c>
      <c r="M4064">
        <v>7.15</v>
      </c>
      <c r="N4064" s="1">
        <v>5000000</v>
      </c>
      <c r="O4064">
        <v>7.15</v>
      </c>
      <c r="P4064">
        <v>15</v>
      </c>
      <c r="Q4064">
        <v>0.01</v>
      </c>
    </row>
    <row r="4065" spans="1:17" x14ac:dyDescent="0.25">
      <c r="A4065">
        <v>732993</v>
      </c>
      <c r="B4065" t="s">
        <v>5377</v>
      </c>
      <c r="C4065">
        <v>2.52</v>
      </c>
      <c r="D4065">
        <v>0.08</v>
      </c>
      <c r="E4065">
        <v>2.52</v>
      </c>
      <c r="F4065">
        <v>2.52</v>
      </c>
      <c r="G4065">
        <v>2.4500000000000002</v>
      </c>
      <c r="H4065">
        <v>2.4900000000000002</v>
      </c>
      <c r="I4065" s="1">
        <v>190000</v>
      </c>
      <c r="J4065" s="1">
        <v>473700</v>
      </c>
      <c r="K4065">
        <v>12</v>
      </c>
      <c r="L4065">
        <v>2.48</v>
      </c>
      <c r="M4065">
        <v>2.5</v>
      </c>
      <c r="N4065" s="1">
        <v>10000000</v>
      </c>
      <c r="O4065">
        <v>2.52</v>
      </c>
      <c r="P4065">
        <v>4.08</v>
      </c>
      <c r="Q4065">
        <v>0.96</v>
      </c>
    </row>
    <row r="4066" spans="1:17" x14ac:dyDescent="0.25">
      <c r="A4066">
        <v>732994</v>
      </c>
      <c r="B4066" t="s">
        <v>5378</v>
      </c>
      <c r="C4066">
        <v>0.51</v>
      </c>
      <c r="D4066">
        <v>0.04</v>
      </c>
      <c r="E4066">
        <v>0.51</v>
      </c>
      <c r="F4066">
        <v>0.51</v>
      </c>
      <c r="G4066">
        <v>0.51</v>
      </c>
      <c r="H4066">
        <v>0.51</v>
      </c>
      <c r="I4066" s="1">
        <v>10000</v>
      </c>
      <c r="J4066" s="1">
        <v>5100</v>
      </c>
      <c r="K4066">
        <v>1</v>
      </c>
      <c r="L4066">
        <v>0.51</v>
      </c>
      <c r="M4066">
        <v>0.53</v>
      </c>
      <c r="N4066" s="1">
        <v>5000000</v>
      </c>
      <c r="O4066">
        <v>0.51</v>
      </c>
      <c r="P4066">
        <v>1.54</v>
      </c>
      <c r="Q4066">
        <v>0.01</v>
      </c>
    </row>
    <row r="4067" spans="1:17" x14ac:dyDescent="0.25">
      <c r="A4067">
        <v>732995</v>
      </c>
      <c r="B4067" t="s">
        <v>5379</v>
      </c>
      <c r="C4067">
        <v>0.66</v>
      </c>
      <c r="D4067">
        <v>-0.04</v>
      </c>
      <c r="E4067">
        <v>0.69</v>
      </c>
      <c r="F4067">
        <v>0.69</v>
      </c>
      <c r="G4067">
        <v>0.66</v>
      </c>
      <c r="H4067">
        <v>0.69</v>
      </c>
      <c r="I4067" s="1">
        <v>105000</v>
      </c>
      <c r="J4067" s="1">
        <v>72190</v>
      </c>
      <c r="K4067">
        <v>3</v>
      </c>
      <c r="L4067">
        <v>0.65</v>
      </c>
      <c r="M4067">
        <v>0.66</v>
      </c>
      <c r="N4067" s="1">
        <v>10000000</v>
      </c>
      <c r="O4067">
        <v>0.66</v>
      </c>
      <c r="P4067">
        <v>0.98</v>
      </c>
      <c r="Q4067">
        <v>0.34</v>
      </c>
    </row>
    <row r="4068" spans="1:17" x14ac:dyDescent="0.25">
      <c r="A4068">
        <v>732996</v>
      </c>
      <c r="B4068" t="s">
        <v>5380</v>
      </c>
      <c r="C4068">
        <v>1.98</v>
      </c>
      <c r="D4068">
        <v>0</v>
      </c>
      <c r="E4068">
        <v>2.0499999999999998</v>
      </c>
      <c r="F4068">
        <v>2.1</v>
      </c>
      <c r="G4068">
        <v>1.98</v>
      </c>
      <c r="H4068">
        <v>2.02</v>
      </c>
      <c r="I4068" s="1">
        <v>261000</v>
      </c>
      <c r="J4068" s="1">
        <v>526610</v>
      </c>
      <c r="K4068">
        <v>13</v>
      </c>
      <c r="L4068">
        <v>1.95</v>
      </c>
      <c r="M4068">
        <v>1.98</v>
      </c>
      <c r="N4068" s="1">
        <v>10000000</v>
      </c>
      <c r="O4068">
        <v>1.98</v>
      </c>
      <c r="P4068">
        <v>2.58</v>
      </c>
      <c r="Q4068">
        <v>1.38</v>
      </c>
    </row>
    <row r="4069" spans="1:17" x14ac:dyDescent="0.25">
      <c r="A4069">
        <v>732997</v>
      </c>
      <c r="B4069" t="s">
        <v>5381</v>
      </c>
      <c r="C4069">
        <v>0.68</v>
      </c>
      <c r="D4069">
        <v>-0.31</v>
      </c>
      <c r="E4069">
        <v>0.62</v>
      </c>
      <c r="F4069">
        <v>0.72</v>
      </c>
      <c r="G4069">
        <v>0.62</v>
      </c>
      <c r="H4069">
        <v>0.63</v>
      </c>
      <c r="I4069" s="1">
        <v>40000</v>
      </c>
      <c r="J4069" s="1">
        <v>25390</v>
      </c>
      <c r="K4069">
        <v>4</v>
      </c>
      <c r="L4069">
        <v>0.63</v>
      </c>
      <c r="M4069">
        <v>0.67</v>
      </c>
      <c r="N4069" s="1">
        <v>5000000</v>
      </c>
      <c r="O4069">
        <v>0.68</v>
      </c>
      <c r="P4069">
        <v>1.1499999999999999</v>
      </c>
      <c r="Q4069">
        <v>0.21</v>
      </c>
    </row>
    <row r="4070" spans="1:17" x14ac:dyDescent="0.25">
      <c r="A4070">
        <v>732998</v>
      </c>
      <c r="B4070" t="s">
        <v>5382</v>
      </c>
      <c r="C4070">
        <v>0.61</v>
      </c>
      <c r="D4070">
        <v>-0.14000000000000001</v>
      </c>
      <c r="E4070">
        <v>0.61</v>
      </c>
      <c r="F4070">
        <v>0.65</v>
      </c>
      <c r="G4070">
        <v>0.56999999999999995</v>
      </c>
      <c r="H4070">
        <v>0.6</v>
      </c>
      <c r="I4070" s="1">
        <v>382000</v>
      </c>
      <c r="J4070" s="1">
        <v>228890</v>
      </c>
      <c r="K4070">
        <v>11</v>
      </c>
      <c r="L4070">
        <v>0.6</v>
      </c>
      <c r="M4070">
        <v>0.61</v>
      </c>
      <c r="N4070" s="1">
        <v>10000000</v>
      </c>
      <c r="O4070">
        <v>0.61</v>
      </c>
      <c r="P4070">
        <v>0.93</v>
      </c>
      <c r="Q4070">
        <v>0.28999999999999998</v>
      </c>
    </row>
    <row r="4071" spans="1:17" x14ac:dyDescent="0.25">
      <c r="A4071">
        <v>732999</v>
      </c>
      <c r="B4071" t="s">
        <v>5383</v>
      </c>
      <c r="C4071">
        <v>0.71</v>
      </c>
      <c r="D4071">
        <v>0.16</v>
      </c>
      <c r="E4071">
        <v>0.57999999999999996</v>
      </c>
      <c r="F4071">
        <v>0.71</v>
      </c>
      <c r="G4071">
        <v>0.57999999999999996</v>
      </c>
      <c r="H4071">
        <v>0.61</v>
      </c>
      <c r="I4071" s="1">
        <v>820000</v>
      </c>
      <c r="J4071" s="1">
        <v>503110</v>
      </c>
      <c r="K4071">
        <v>16</v>
      </c>
      <c r="L4071">
        <v>0.69</v>
      </c>
      <c r="M4071">
        <v>0.71</v>
      </c>
      <c r="N4071" s="1">
        <v>10000000</v>
      </c>
      <c r="O4071">
        <v>0.71</v>
      </c>
      <c r="P4071">
        <v>1.81</v>
      </c>
      <c r="Q4071">
        <v>0.01</v>
      </c>
    </row>
    <row r="4072" spans="1:17" x14ac:dyDescent="0.25">
      <c r="A4072">
        <v>733000</v>
      </c>
      <c r="B4072" t="s">
        <v>5384</v>
      </c>
      <c r="C4072" t="s">
        <v>78</v>
      </c>
      <c r="D4072" t="s">
        <v>78</v>
      </c>
      <c r="E4072" t="s">
        <v>78</v>
      </c>
      <c r="F4072" t="s">
        <v>78</v>
      </c>
      <c r="G4072" t="s">
        <v>78</v>
      </c>
      <c r="H4072">
        <v>2.91</v>
      </c>
      <c r="I4072" s="1">
        <v>0</v>
      </c>
      <c r="J4072" s="1">
        <v>0</v>
      </c>
      <c r="K4072">
        <v>0</v>
      </c>
      <c r="L4072">
        <v>2.64</v>
      </c>
      <c r="M4072">
        <v>2.68</v>
      </c>
      <c r="N4072" s="1">
        <v>5000000</v>
      </c>
      <c r="O4072">
        <v>2.68</v>
      </c>
      <c r="P4072">
        <v>3.82</v>
      </c>
      <c r="Q4072">
        <v>1.52</v>
      </c>
    </row>
    <row r="4073" spans="1:17" x14ac:dyDescent="0.25">
      <c r="A4073">
        <v>733001</v>
      </c>
      <c r="B4073" t="s">
        <v>5385</v>
      </c>
      <c r="C4073">
        <v>1.24</v>
      </c>
      <c r="D4073">
        <v>-0.06</v>
      </c>
      <c r="E4073">
        <v>1.31</v>
      </c>
      <c r="F4073">
        <v>1.32</v>
      </c>
      <c r="G4073">
        <v>1.2</v>
      </c>
      <c r="H4073">
        <v>1.25</v>
      </c>
      <c r="I4073" s="1">
        <v>89000</v>
      </c>
      <c r="J4073" s="1">
        <v>111370</v>
      </c>
      <c r="K4073">
        <v>10</v>
      </c>
      <c r="L4073">
        <v>1.21</v>
      </c>
      <c r="M4073">
        <v>1.25</v>
      </c>
      <c r="N4073" s="1">
        <v>10000000</v>
      </c>
      <c r="O4073">
        <v>1.24</v>
      </c>
      <c r="P4073">
        <v>1.94</v>
      </c>
      <c r="Q4073">
        <v>0.54</v>
      </c>
    </row>
    <row r="4074" spans="1:17" x14ac:dyDescent="0.25">
      <c r="A4074">
        <v>733002</v>
      </c>
      <c r="B4074" t="s">
        <v>5386</v>
      </c>
      <c r="C4074">
        <v>0.67</v>
      </c>
      <c r="D4074">
        <v>-0.03</v>
      </c>
      <c r="E4074">
        <v>0.68</v>
      </c>
      <c r="F4074">
        <v>0.69</v>
      </c>
      <c r="G4074">
        <v>0.67</v>
      </c>
      <c r="H4074">
        <v>0.68</v>
      </c>
      <c r="I4074" s="1">
        <v>664000</v>
      </c>
      <c r="J4074" s="1">
        <v>450930</v>
      </c>
      <c r="K4074">
        <v>18</v>
      </c>
      <c r="L4074">
        <v>0.66</v>
      </c>
      <c r="M4074">
        <v>0.67</v>
      </c>
      <c r="N4074" s="1">
        <v>5000000</v>
      </c>
      <c r="O4074">
        <v>0.67</v>
      </c>
      <c r="P4074">
        <v>1.25</v>
      </c>
      <c r="Q4074">
        <v>7.0000000000000007E-2</v>
      </c>
    </row>
    <row r="4075" spans="1:17" x14ac:dyDescent="0.25">
      <c r="A4075">
        <v>733003</v>
      </c>
      <c r="B4075" t="s">
        <v>5387</v>
      </c>
      <c r="C4075">
        <v>0.74</v>
      </c>
      <c r="D4075">
        <v>0.11</v>
      </c>
      <c r="E4075">
        <v>0.62</v>
      </c>
      <c r="F4075">
        <v>0.78</v>
      </c>
      <c r="G4075">
        <v>0.62</v>
      </c>
      <c r="H4075">
        <v>0.64</v>
      </c>
      <c r="I4075" s="1">
        <v>261000</v>
      </c>
      <c r="J4075" s="1">
        <v>168280</v>
      </c>
      <c r="K4075">
        <v>7</v>
      </c>
      <c r="L4075">
        <v>0.69</v>
      </c>
      <c r="M4075">
        <v>0.71</v>
      </c>
      <c r="N4075" s="1">
        <v>10000000</v>
      </c>
      <c r="O4075">
        <v>0.74</v>
      </c>
      <c r="P4075">
        <v>3.64</v>
      </c>
      <c r="Q4075">
        <v>0.01</v>
      </c>
    </row>
    <row r="4076" spans="1:17" x14ac:dyDescent="0.25">
      <c r="A4076">
        <v>733004</v>
      </c>
      <c r="B4076" t="s">
        <v>5388</v>
      </c>
      <c r="C4076">
        <v>0.91</v>
      </c>
      <c r="D4076">
        <v>-0.02</v>
      </c>
      <c r="E4076">
        <v>0.91</v>
      </c>
      <c r="F4076">
        <v>0.91</v>
      </c>
      <c r="G4076">
        <v>0.91</v>
      </c>
      <c r="H4076">
        <v>0.91</v>
      </c>
      <c r="I4076" s="1">
        <v>100000</v>
      </c>
      <c r="J4076" s="1">
        <v>91000</v>
      </c>
      <c r="K4076">
        <v>1</v>
      </c>
      <c r="L4076">
        <v>0.84</v>
      </c>
      <c r="M4076">
        <v>0.87</v>
      </c>
      <c r="N4076" s="1">
        <v>10000000</v>
      </c>
      <c r="O4076">
        <v>0.91</v>
      </c>
      <c r="P4076">
        <v>1.87</v>
      </c>
      <c r="Q4076">
        <v>0.01</v>
      </c>
    </row>
    <row r="4077" spans="1:17" x14ac:dyDescent="0.25">
      <c r="A4077">
        <v>733005</v>
      </c>
      <c r="B4077" t="s">
        <v>5389</v>
      </c>
      <c r="C4077">
        <v>0.39</v>
      </c>
      <c r="D4077">
        <v>0.01</v>
      </c>
      <c r="E4077">
        <v>0.38</v>
      </c>
      <c r="F4077">
        <v>0.39</v>
      </c>
      <c r="G4077">
        <v>0.38</v>
      </c>
      <c r="H4077">
        <v>0.38</v>
      </c>
      <c r="I4077" s="1">
        <v>118000</v>
      </c>
      <c r="J4077" s="1">
        <v>45020</v>
      </c>
      <c r="K4077">
        <v>3</v>
      </c>
      <c r="L4077">
        <v>0.4</v>
      </c>
      <c r="M4077">
        <v>0.41</v>
      </c>
      <c r="N4077" s="1">
        <v>5000000</v>
      </c>
      <c r="O4077">
        <v>0.39</v>
      </c>
      <c r="P4077">
        <v>1.67</v>
      </c>
      <c r="Q4077">
        <v>0.01</v>
      </c>
    </row>
    <row r="4078" spans="1:17" x14ac:dyDescent="0.25">
      <c r="A4078">
        <v>733006</v>
      </c>
      <c r="B4078" t="s">
        <v>5390</v>
      </c>
      <c r="C4078">
        <v>2.1800000000000002</v>
      </c>
      <c r="D4078">
        <v>-0.05</v>
      </c>
      <c r="E4078">
        <v>2.1800000000000002</v>
      </c>
      <c r="F4078">
        <v>2.21</v>
      </c>
      <c r="G4078">
        <v>2.09</v>
      </c>
      <c r="H4078">
        <v>2.14</v>
      </c>
      <c r="I4078" s="1">
        <v>1163000</v>
      </c>
      <c r="J4078" s="1">
        <v>2490790</v>
      </c>
      <c r="K4078">
        <v>56</v>
      </c>
      <c r="L4078">
        <v>2.19</v>
      </c>
      <c r="M4078">
        <v>2.2000000000000002</v>
      </c>
      <c r="N4078" s="1">
        <v>5000000</v>
      </c>
      <c r="O4078">
        <v>2.1800000000000002</v>
      </c>
      <c r="P4078">
        <v>3.45</v>
      </c>
      <c r="Q4078">
        <v>0.91</v>
      </c>
    </row>
    <row r="4079" spans="1:17" x14ac:dyDescent="0.25">
      <c r="A4079">
        <v>733007</v>
      </c>
      <c r="B4079" t="s">
        <v>5391</v>
      </c>
      <c r="C4079">
        <v>2.13</v>
      </c>
      <c r="D4079">
        <v>0.08</v>
      </c>
      <c r="E4079">
        <v>2.13</v>
      </c>
      <c r="F4079">
        <v>2.13</v>
      </c>
      <c r="G4079">
        <v>2.13</v>
      </c>
      <c r="H4079">
        <v>2.13</v>
      </c>
      <c r="I4079" s="1">
        <v>10000</v>
      </c>
      <c r="J4079" s="1">
        <v>21300</v>
      </c>
      <c r="K4079">
        <v>2</v>
      </c>
      <c r="L4079">
        <v>2.16</v>
      </c>
      <c r="M4079">
        <v>2.2000000000000002</v>
      </c>
      <c r="N4079" s="1">
        <v>10000000</v>
      </c>
      <c r="O4079">
        <v>2.13</v>
      </c>
      <c r="P4079">
        <v>3.12</v>
      </c>
      <c r="Q4079">
        <v>1.1399999999999999</v>
      </c>
    </row>
    <row r="4080" spans="1:17" x14ac:dyDescent="0.25">
      <c r="A4080">
        <v>733008</v>
      </c>
      <c r="B4080" t="s">
        <v>5392</v>
      </c>
      <c r="C4080">
        <v>1.18</v>
      </c>
      <c r="D4080">
        <v>-0.04</v>
      </c>
      <c r="E4080">
        <v>1.2</v>
      </c>
      <c r="F4080">
        <v>1.25</v>
      </c>
      <c r="G4080">
        <v>1.1399999999999999</v>
      </c>
      <c r="H4080">
        <v>1.18</v>
      </c>
      <c r="I4080" s="1">
        <v>1168000</v>
      </c>
      <c r="J4080" s="1">
        <v>1375670</v>
      </c>
      <c r="K4080">
        <v>34</v>
      </c>
      <c r="L4080">
        <v>1.19</v>
      </c>
      <c r="M4080">
        <v>1.2</v>
      </c>
      <c r="N4080" s="1">
        <v>10000000</v>
      </c>
      <c r="O4080">
        <v>1.18</v>
      </c>
      <c r="P4080">
        <v>2.0499999999999998</v>
      </c>
      <c r="Q4080">
        <v>0.31</v>
      </c>
    </row>
    <row r="4081" spans="1:17" x14ac:dyDescent="0.25">
      <c r="A4081">
        <v>733009</v>
      </c>
      <c r="B4081" t="s">
        <v>5393</v>
      </c>
      <c r="C4081" t="s">
        <v>78</v>
      </c>
      <c r="D4081" t="s">
        <v>78</v>
      </c>
      <c r="E4081" t="s">
        <v>78</v>
      </c>
      <c r="F4081" t="s">
        <v>78</v>
      </c>
      <c r="G4081" t="s">
        <v>78</v>
      </c>
      <c r="H4081">
        <v>0.62</v>
      </c>
      <c r="I4081" s="1">
        <v>0</v>
      </c>
      <c r="J4081" s="1">
        <v>0</v>
      </c>
      <c r="K4081">
        <v>0</v>
      </c>
      <c r="L4081">
        <v>0.64</v>
      </c>
      <c r="M4081">
        <v>0.65</v>
      </c>
      <c r="N4081" s="1">
        <v>5000000</v>
      </c>
      <c r="O4081">
        <v>0.64</v>
      </c>
      <c r="P4081">
        <v>1.19</v>
      </c>
      <c r="Q4081">
        <v>0.09</v>
      </c>
    </row>
    <row r="4082" spans="1:17" x14ac:dyDescent="0.25">
      <c r="A4082">
        <v>733010</v>
      </c>
      <c r="B4082" t="s">
        <v>5394</v>
      </c>
      <c r="C4082">
        <v>0.8</v>
      </c>
      <c r="D4082">
        <v>0.02</v>
      </c>
      <c r="E4082">
        <v>0.8</v>
      </c>
      <c r="F4082">
        <v>0.8</v>
      </c>
      <c r="G4082">
        <v>0.8</v>
      </c>
      <c r="H4082">
        <v>0.8</v>
      </c>
      <c r="I4082" s="1">
        <v>1000</v>
      </c>
      <c r="J4082" s="1">
        <v>800</v>
      </c>
      <c r="K4082">
        <v>1</v>
      </c>
      <c r="L4082">
        <v>0.78</v>
      </c>
      <c r="M4082">
        <v>0.79</v>
      </c>
      <c r="N4082" s="1">
        <v>5000000</v>
      </c>
      <c r="O4082">
        <v>0.8</v>
      </c>
      <c r="P4082">
        <v>1.59</v>
      </c>
      <c r="Q4082">
        <v>0.01</v>
      </c>
    </row>
    <row r="4083" spans="1:17" x14ac:dyDescent="0.25">
      <c r="A4083">
        <v>733011</v>
      </c>
      <c r="B4083" t="s">
        <v>5395</v>
      </c>
      <c r="C4083">
        <v>0.79</v>
      </c>
      <c r="D4083">
        <v>0.01</v>
      </c>
      <c r="E4083">
        <v>0.81</v>
      </c>
      <c r="F4083">
        <v>0.83</v>
      </c>
      <c r="G4083">
        <v>0.76</v>
      </c>
      <c r="H4083">
        <v>0.81</v>
      </c>
      <c r="I4083" s="1">
        <v>210000</v>
      </c>
      <c r="J4083" s="1">
        <v>170140</v>
      </c>
      <c r="K4083">
        <v>17</v>
      </c>
      <c r="L4083">
        <v>0.77</v>
      </c>
      <c r="M4083">
        <v>0.78</v>
      </c>
      <c r="N4083" s="1">
        <v>5000000</v>
      </c>
      <c r="O4083">
        <v>0.79</v>
      </c>
      <c r="P4083">
        <v>1.46</v>
      </c>
      <c r="Q4083">
        <v>0.12</v>
      </c>
    </row>
    <row r="4084" spans="1:17" x14ac:dyDescent="0.25">
      <c r="A4084">
        <v>733012</v>
      </c>
      <c r="B4084" t="s">
        <v>5396</v>
      </c>
      <c r="C4084">
        <v>1.58</v>
      </c>
      <c r="D4084">
        <v>-0.05</v>
      </c>
      <c r="E4084">
        <v>1.52</v>
      </c>
      <c r="F4084">
        <v>1.63</v>
      </c>
      <c r="G4084">
        <v>1.47</v>
      </c>
      <c r="H4084">
        <v>1.54</v>
      </c>
      <c r="I4084" s="1">
        <v>325000</v>
      </c>
      <c r="J4084" s="1">
        <v>501840</v>
      </c>
      <c r="K4084">
        <v>24</v>
      </c>
      <c r="L4084">
        <v>1.54</v>
      </c>
      <c r="M4084">
        <v>1.56</v>
      </c>
      <c r="N4084" s="1">
        <v>5000000</v>
      </c>
      <c r="O4084">
        <v>1.58</v>
      </c>
      <c r="P4084">
        <v>2.91</v>
      </c>
      <c r="Q4084">
        <v>0.25</v>
      </c>
    </row>
    <row r="4085" spans="1:17" x14ac:dyDescent="0.25">
      <c r="A4085">
        <v>733013</v>
      </c>
      <c r="B4085" t="s">
        <v>5397</v>
      </c>
      <c r="C4085" t="s">
        <v>78</v>
      </c>
      <c r="D4085" t="s">
        <v>78</v>
      </c>
      <c r="E4085" t="s">
        <v>78</v>
      </c>
      <c r="F4085" t="s">
        <v>78</v>
      </c>
      <c r="G4085" t="s">
        <v>78</v>
      </c>
      <c r="H4085">
        <v>2.61</v>
      </c>
      <c r="I4085" s="1">
        <v>0</v>
      </c>
      <c r="J4085" s="1">
        <v>0</v>
      </c>
      <c r="K4085">
        <v>0</v>
      </c>
      <c r="L4085">
        <v>2.5</v>
      </c>
      <c r="M4085">
        <v>2.5099999999999998</v>
      </c>
      <c r="N4085" s="1">
        <v>10000000</v>
      </c>
      <c r="O4085">
        <v>2.5</v>
      </c>
      <c r="P4085">
        <v>3.64</v>
      </c>
      <c r="Q4085">
        <v>1.36</v>
      </c>
    </row>
    <row r="4086" spans="1:17" x14ac:dyDescent="0.25">
      <c r="A4086">
        <v>733014</v>
      </c>
      <c r="B4086" t="s">
        <v>5398</v>
      </c>
      <c r="C4086">
        <v>1.2</v>
      </c>
      <c r="D4086">
        <v>0.2</v>
      </c>
      <c r="E4086">
        <v>1.02</v>
      </c>
      <c r="F4086">
        <v>1.2</v>
      </c>
      <c r="G4086">
        <v>1.02</v>
      </c>
      <c r="H4086">
        <v>1.06</v>
      </c>
      <c r="I4086" s="1">
        <v>340000</v>
      </c>
      <c r="J4086" s="1">
        <v>360420</v>
      </c>
      <c r="K4086">
        <v>9</v>
      </c>
      <c r="L4086">
        <v>1.1000000000000001</v>
      </c>
      <c r="M4086">
        <v>1.1100000000000001</v>
      </c>
      <c r="N4086" s="1">
        <v>5000000</v>
      </c>
      <c r="O4086">
        <v>1.2</v>
      </c>
      <c r="P4086">
        <v>2.2799999999999998</v>
      </c>
      <c r="Q4086">
        <v>0.12</v>
      </c>
    </row>
    <row r="4087" spans="1:17" x14ac:dyDescent="0.25">
      <c r="A4087">
        <v>733015</v>
      </c>
      <c r="B4087" t="s">
        <v>5399</v>
      </c>
      <c r="C4087">
        <v>0.7</v>
      </c>
      <c r="D4087">
        <v>0</v>
      </c>
      <c r="E4087">
        <v>0.7</v>
      </c>
      <c r="F4087">
        <v>0.73</v>
      </c>
      <c r="G4087">
        <v>0.69</v>
      </c>
      <c r="H4087">
        <v>0.71</v>
      </c>
      <c r="I4087" s="1">
        <v>736000</v>
      </c>
      <c r="J4087" s="1">
        <v>519510</v>
      </c>
      <c r="K4087">
        <v>9</v>
      </c>
      <c r="L4087">
        <v>0.68</v>
      </c>
      <c r="M4087">
        <v>0.69</v>
      </c>
      <c r="N4087" s="1">
        <v>5000000</v>
      </c>
      <c r="O4087">
        <v>0.7</v>
      </c>
      <c r="P4087">
        <v>1.3</v>
      </c>
      <c r="Q4087">
        <v>0.08</v>
      </c>
    </row>
    <row r="4088" spans="1:17" x14ac:dyDescent="0.25">
      <c r="A4088">
        <v>733016</v>
      </c>
      <c r="B4088" t="s">
        <v>5400</v>
      </c>
      <c r="C4088">
        <v>1.34</v>
      </c>
      <c r="D4088">
        <v>0.11</v>
      </c>
      <c r="E4088">
        <v>1.46</v>
      </c>
      <c r="F4088">
        <v>1.46</v>
      </c>
      <c r="G4088">
        <v>1.34</v>
      </c>
      <c r="H4088">
        <v>1.37</v>
      </c>
      <c r="I4088" s="1">
        <v>433000</v>
      </c>
      <c r="J4088" s="1">
        <v>591410</v>
      </c>
      <c r="K4088">
        <v>7</v>
      </c>
      <c r="L4088">
        <v>1.32</v>
      </c>
      <c r="M4088">
        <v>1.33</v>
      </c>
      <c r="N4088" s="1">
        <v>10000000</v>
      </c>
      <c r="O4088">
        <v>1.34</v>
      </c>
      <c r="P4088">
        <v>2.36</v>
      </c>
      <c r="Q4088">
        <v>0.32</v>
      </c>
    </row>
    <row r="4089" spans="1:17" x14ac:dyDescent="0.25">
      <c r="A4089">
        <v>733017</v>
      </c>
      <c r="B4089" t="s">
        <v>5401</v>
      </c>
      <c r="C4089">
        <v>1.45</v>
      </c>
      <c r="D4089">
        <v>-0.01</v>
      </c>
      <c r="E4089">
        <v>1.46</v>
      </c>
      <c r="F4089">
        <v>1.46</v>
      </c>
      <c r="G4089">
        <v>1.39</v>
      </c>
      <c r="H4089">
        <v>1.42</v>
      </c>
      <c r="I4089" s="1">
        <v>190000</v>
      </c>
      <c r="J4089" s="1">
        <v>270570</v>
      </c>
      <c r="K4089">
        <v>11</v>
      </c>
      <c r="L4089">
        <v>1.45</v>
      </c>
      <c r="M4089">
        <v>1.48</v>
      </c>
      <c r="N4089" s="1">
        <v>10000000</v>
      </c>
      <c r="O4089">
        <v>1.45</v>
      </c>
      <c r="P4089">
        <v>2.4900000000000002</v>
      </c>
      <c r="Q4089">
        <v>0.41</v>
      </c>
    </row>
    <row r="4090" spans="1:17" x14ac:dyDescent="0.25">
      <c r="A4090">
        <v>733018</v>
      </c>
      <c r="B4090" t="s">
        <v>5402</v>
      </c>
      <c r="C4090">
        <v>0.72</v>
      </c>
      <c r="D4090">
        <v>0.01</v>
      </c>
      <c r="E4090">
        <v>0.72</v>
      </c>
      <c r="F4090">
        <v>0.72</v>
      </c>
      <c r="G4090">
        <v>0.72</v>
      </c>
      <c r="H4090">
        <v>0.72</v>
      </c>
      <c r="I4090" s="1">
        <v>476000</v>
      </c>
      <c r="J4090" s="1">
        <v>342720</v>
      </c>
      <c r="K4090">
        <v>3</v>
      </c>
      <c r="L4090">
        <v>0.7</v>
      </c>
      <c r="M4090">
        <v>0.71</v>
      </c>
      <c r="N4090" s="1">
        <v>10000000</v>
      </c>
      <c r="O4090">
        <v>0.72</v>
      </c>
      <c r="P4090">
        <v>1.32</v>
      </c>
      <c r="Q4090">
        <v>0.1</v>
      </c>
    </row>
    <row r="4091" spans="1:17" x14ac:dyDescent="0.25">
      <c r="A4091">
        <v>733019</v>
      </c>
      <c r="B4091" t="s">
        <v>5403</v>
      </c>
      <c r="C4091">
        <v>0.9</v>
      </c>
      <c r="D4091">
        <v>0.1</v>
      </c>
      <c r="E4091">
        <v>0.89</v>
      </c>
      <c r="F4091">
        <v>0.99</v>
      </c>
      <c r="G4091">
        <v>0.86</v>
      </c>
      <c r="H4091">
        <v>0.94</v>
      </c>
      <c r="I4091" s="1">
        <v>194000</v>
      </c>
      <c r="J4091" s="1">
        <v>182960</v>
      </c>
      <c r="K4091">
        <v>20</v>
      </c>
      <c r="L4091">
        <v>0.87</v>
      </c>
      <c r="M4091">
        <v>0.89</v>
      </c>
      <c r="N4091" s="1">
        <v>5000000</v>
      </c>
      <c r="O4091">
        <v>0.9</v>
      </c>
      <c r="P4091">
        <v>2.02</v>
      </c>
      <c r="Q4091">
        <v>0.01</v>
      </c>
    </row>
    <row r="4092" spans="1:17" x14ac:dyDescent="0.25">
      <c r="A4092">
        <v>733020</v>
      </c>
      <c r="B4092" t="s">
        <v>5404</v>
      </c>
      <c r="C4092" t="s">
        <v>78</v>
      </c>
      <c r="D4092" t="s">
        <v>78</v>
      </c>
      <c r="E4092" t="s">
        <v>78</v>
      </c>
      <c r="F4092" t="s">
        <v>78</v>
      </c>
      <c r="G4092" t="s">
        <v>78</v>
      </c>
      <c r="H4092">
        <v>0.5</v>
      </c>
      <c r="I4092" s="1">
        <v>0</v>
      </c>
      <c r="J4092" s="1">
        <v>0</v>
      </c>
      <c r="K4092">
        <v>0</v>
      </c>
      <c r="L4092">
        <v>0.49</v>
      </c>
      <c r="M4092">
        <v>0.5</v>
      </c>
      <c r="N4092" s="1">
        <v>5000000</v>
      </c>
      <c r="O4092">
        <v>0.5</v>
      </c>
      <c r="P4092">
        <v>0.96</v>
      </c>
      <c r="Q4092">
        <v>0.04</v>
      </c>
    </row>
    <row r="4093" spans="1:17" x14ac:dyDescent="0.25">
      <c r="A4093">
        <v>733021</v>
      </c>
      <c r="B4093" t="s">
        <v>5405</v>
      </c>
      <c r="C4093">
        <v>0.97</v>
      </c>
      <c r="D4093">
        <v>0.02</v>
      </c>
      <c r="E4093">
        <v>0.97</v>
      </c>
      <c r="F4093">
        <v>0.97</v>
      </c>
      <c r="G4093">
        <v>0.97</v>
      </c>
      <c r="H4093">
        <v>0.97</v>
      </c>
      <c r="I4093" s="1">
        <v>20000</v>
      </c>
      <c r="J4093" s="1">
        <v>19400</v>
      </c>
      <c r="K4093">
        <v>2</v>
      </c>
      <c r="L4093">
        <v>0.92</v>
      </c>
      <c r="M4093">
        <v>0.94</v>
      </c>
      <c r="N4093" s="1">
        <v>10000000</v>
      </c>
      <c r="O4093">
        <v>0.97</v>
      </c>
      <c r="P4093">
        <v>1.78</v>
      </c>
      <c r="Q4093">
        <v>0.16</v>
      </c>
    </row>
    <row r="4094" spans="1:17" x14ac:dyDescent="0.25">
      <c r="A4094">
        <v>733022</v>
      </c>
      <c r="B4094" t="s">
        <v>5406</v>
      </c>
      <c r="C4094">
        <v>0.91</v>
      </c>
      <c r="D4094">
        <v>0.13</v>
      </c>
      <c r="E4094">
        <v>0.82</v>
      </c>
      <c r="F4094">
        <v>0.94</v>
      </c>
      <c r="G4094">
        <v>0.82</v>
      </c>
      <c r="H4094">
        <v>0.88</v>
      </c>
      <c r="I4094" s="1">
        <v>585000</v>
      </c>
      <c r="J4094" s="1">
        <v>515850</v>
      </c>
      <c r="K4094">
        <v>17</v>
      </c>
      <c r="L4094">
        <v>0.87</v>
      </c>
      <c r="M4094">
        <v>0.88</v>
      </c>
      <c r="N4094" s="1">
        <v>5000000</v>
      </c>
      <c r="O4094">
        <v>0.91</v>
      </c>
      <c r="P4094">
        <v>2.31</v>
      </c>
      <c r="Q4094">
        <v>0.01</v>
      </c>
    </row>
    <row r="4095" spans="1:17" x14ac:dyDescent="0.25">
      <c r="A4095">
        <v>733023</v>
      </c>
      <c r="B4095" t="s">
        <v>5407</v>
      </c>
      <c r="C4095">
        <v>0.98</v>
      </c>
      <c r="D4095">
        <v>-7.0000000000000007E-2</v>
      </c>
      <c r="E4095">
        <v>0.99</v>
      </c>
      <c r="F4095">
        <v>0.99</v>
      </c>
      <c r="G4095">
        <v>0.98</v>
      </c>
      <c r="H4095">
        <v>0.98</v>
      </c>
      <c r="I4095" s="1">
        <v>224000</v>
      </c>
      <c r="J4095" s="1">
        <v>219820</v>
      </c>
      <c r="K4095">
        <v>4</v>
      </c>
      <c r="L4095">
        <v>0.93</v>
      </c>
      <c r="M4095">
        <v>0.94</v>
      </c>
      <c r="N4095" s="1">
        <v>5000000</v>
      </c>
      <c r="O4095">
        <v>0.98</v>
      </c>
      <c r="P4095">
        <v>1.58</v>
      </c>
      <c r="Q4095">
        <v>0.38</v>
      </c>
    </row>
    <row r="4096" spans="1:17" x14ac:dyDescent="0.25">
      <c r="A4096">
        <v>733024</v>
      </c>
      <c r="B4096" t="s">
        <v>5408</v>
      </c>
      <c r="C4096">
        <v>0.64</v>
      </c>
      <c r="D4096">
        <v>0.06</v>
      </c>
      <c r="E4096">
        <v>0.6</v>
      </c>
      <c r="F4096">
        <v>0.64</v>
      </c>
      <c r="G4096">
        <v>0.6</v>
      </c>
      <c r="H4096">
        <v>0.61</v>
      </c>
      <c r="I4096" s="1">
        <v>150000</v>
      </c>
      <c r="J4096" s="1">
        <v>92000</v>
      </c>
      <c r="K4096">
        <v>2</v>
      </c>
      <c r="L4096">
        <v>0.62</v>
      </c>
      <c r="M4096">
        <v>0.63</v>
      </c>
      <c r="N4096" s="1">
        <v>5000000</v>
      </c>
      <c r="O4096">
        <v>0.64</v>
      </c>
      <c r="P4096">
        <v>1.4</v>
      </c>
      <c r="Q4096">
        <v>0.01</v>
      </c>
    </row>
    <row r="4097" spans="1:17" x14ac:dyDescent="0.25">
      <c r="A4097">
        <v>733025</v>
      </c>
      <c r="B4097" t="s">
        <v>5409</v>
      </c>
      <c r="C4097" t="s">
        <v>78</v>
      </c>
      <c r="D4097" t="s">
        <v>78</v>
      </c>
      <c r="E4097" t="s">
        <v>78</v>
      </c>
      <c r="F4097" t="s">
        <v>78</v>
      </c>
      <c r="G4097" t="s">
        <v>78</v>
      </c>
      <c r="H4097">
        <v>0.66</v>
      </c>
      <c r="I4097" s="1">
        <v>0</v>
      </c>
      <c r="J4097" s="1">
        <v>0</v>
      </c>
      <c r="K4097">
        <v>0</v>
      </c>
      <c r="L4097">
        <v>0.61</v>
      </c>
      <c r="M4097">
        <v>0.62</v>
      </c>
      <c r="N4097" s="1">
        <v>5000000</v>
      </c>
      <c r="O4097">
        <v>0.61</v>
      </c>
      <c r="P4097">
        <v>1.31</v>
      </c>
      <c r="Q4097">
        <v>0.01</v>
      </c>
    </row>
    <row r="4098" spans="1:17" x14ac:dyDescent="0.25">
      <c r="A4098">
        <v>733026</v>
      </c>
      <c r="B4098" t="s">
        <v>5410</v>
      </c>
      <c r="C4098">
        <v>0.43</v>
      </c>
      <c r="D4098">
        <v>0</v>
      </c>
      <c r="E4098">
        <v>0.43</v>
      </c>
      <c r="F4098">
        <v>0.43</v>
      </c>
      <c r="G4098">
        <v>0.43</v>
      </c>
      <c r="H4098">
        <v>0.43</v>
      </c>
      <c r="I4098" s="1">
        <v>10000</v>
      </c>
      <c r="J4098" s="1">
        <v>4300</v>
      </c>
      <c r="K4098">
        <v>1</v>
      </c>
      <c r="L4098">
        <v>0.39</v>
      </c>
      <c r="M4098">
        <v>0.42</v>
      </c>
      <c r="N4098" s="1">
        <v>10000000</v>
      </c>
      <c r="O4098">
        <v>0.43</v>
      </c>
      <c r="P4098">
        <v>1.07</v>
      </c>
      <c r="Q4098">
        <v>0.01</v>
      </c>
    </row>
    <row r="4099" spans="1:17" x14ac:dyDescent="0.25">
      <c r="A4099">
        <v>733027</v>
      </c>
      <c r="B4099" t="s">
        <v>5411</v>
      </c>
      <c r="C4099">
        <v>1.69</v>
      </c>
      <c r="D4099">
        <v>0.21</v>
      </c>
      <c r="E4099">
        <v>1.62</v>
      </c>
      <c r="F4099">
        <v>1.69</v>
      </c>
      <c r="G4099">
        <v>1.62</v>
      </c>
      <c r="H4099">
        <v>1.64</v>
      </c>
      <c r="I4099" s="1">
        <v>214000</v>
      </c>
      <c r="J4099" s="1">
        <v>351580</v>
      </c>
      <c r="K4099">
        <v>4</v>
      </c>
      <c r="L4099">
        <v>1.63</v>
      </c>
      <c r="M4099">
        <v>1.66</v>
      </c>
      <c r="N4099" s="1">
        <v>10000000</v>
      </c>
      <c r="O4099">
        <v>1.69</v>
      </c>
      <c r="P4099">
        <v>2.81</v>
      </c>
      <c r="Q4099">
        <v>0.56999999999999995</v>
      </c>
    </row>
    <row r="4100" spans="1:17" x14ac:dyDescent="0.25">
      <c r="A4100">
        <v>733028</v>
      </c>
      <c r="B4100" t="s">
        <v>5412</v>
      </c>
      <c r="C4100">
        <v>1.74</v>
      </c>
      <c r="D4100">
        <v>0.01</v>
      </c>
      <c r="E4100">
        <v>1.79</v>
      </c>
      <c r="F4100">
        <v>1.87</v>
      </c>
      <c r="G4100">
        <v>1.74</v>
      </c>
      <c r="H4100">
        <v>1.77</v>
      </c>
      <c r="I4100" s="1">
        <v>679000</v>
      </c>
      <c r="J4100" s="1">
        <v>1202300</v>
      </c>
      <c r="K4100">
        <v>20</v>
      </c>
      <c r="L4100">
        <v>1.74</v>
      </c>
      <c r="M4100">
        <v>1.77</v>
      </c>
      <c r="N4100" s="1">
        <v>10000000</v>
      </c>
      <c r="O4100">
        <v>1.74</v>
      </c>
      <c r="P4100">
        <v>2.46</v>
      </c>
      <c r="Q4100">
        <v>1.02</v>
      </c>
    </row>
    <row r="4101" spans="1:17" x14ac:dyDescent="0.25">
      <c r="A4101">
        <v>733029</v>
      </c>
      <c r="B4101" t="s">
        <v>5413</v>
      </c>
      <c r="C4101" t="s">
        <v>78</v>
      </c>
      <c r="D4101" t="s">
        <v>78</v>
      </c>
      <c r="E4101" t="s">
        <v>78</v>
      </c>
      <c r="F4101" t="s">
        <v>78</v>
      </c>
      <c r="G4101" t="s">
        <v>78</v>
      </c>
      <c r="H4101">
        <v>2.2400000000000002</v>
      </c>
      <c r="I4101" s="1">
        <v>0</v>
      </c>
      <c r="J4101" s="1">
        <v>0</v>
      </c>
      <c r="K4101">
        <v>0</v>
      </c>
      <c r="L4101">
        <v>2.0299999999999998</v>
      </c>
      <c r="M4101">
        <v>2.0699999999999998</v>
      </c>
      <c r="N4101" s="1">
        <v>5000000</v>
      </c>
      <c r="O4101">
        <v>2.0699999999999998</v>
      </c>
      <c r="P4101">
        <v>3.02</v>
      </c>
      <c r="Q4101">
        <v>1.1000000000000001</v>
      </c>
    </row>
    <row r="4102" spans="1:17" x14ac:dyDescent="0.25">
      <c r="A4102">
        <v>733030</v>
      </c>
      <c r="B4102" t="s">
        <v>5414</v>
      </c>
      <c r="C4102">
        <v>0.76</v>
      </c>
      <c r="D4102">
        <v>-0.03</v>
      </c>
      <c r="E4102">
        <v>0.73</v>
      </c>
      <c r="F4102">
        <v>0.78</v>
      </c>
      <c r="G4102">
        <v>0.7</v>
      </c>
      <c r="H4102">
        <v>0.72</v>
      </c>
      <c r="I4102" s="1">
        <v>365000</v>
      </c>
      <c r="J4102" s="1">
        <v>264360</v>
      </c>
      <c r="K4102">
        <v>21</v>
      </c>
      <c r="L4102">
        <v>0.73</v>
      </c>
      <c r="M4102">
        <v>0.75</v>
      </c>
      <c r="N4102" s="1">
        <v>5000000</v>
      </c>
      <c r="O4102">
        <v>0.76</v>
      </c>
      <c r="P4102">
        <v>1.34</v>
      </c>
      <c r="Q4102">
        <v>0.18</v>
      </c>
    </row>
    <row r="4103" spans="1:17" x14ac:dyDescent="0.25">
      <c r="A4103">
        <v>733031</v>
      </c>
      <c r="B4103" t="s">
        <v>5415</v>
      </c>
      <c r="C4103">
        <v>1.1399999999999999</v>
      </c>
      <c r="D4103">
        <v>0.04</v>
      </c>
      <c r="E4103">
        <v>1.07</v>
      </c>
      <c r="F4103">
        <v>1.19</v>
      </c>
      <c r="G4103">
        <v>1.07</v>
      </c>
      <c r="H4103">
        <v>1.1399999999999999</v>
      </c>
      <c r="I4103" s="1">
        <v>112000</v>
      </c>
      <c r="J4103" s="1">
        <v>127780</v>
      </c>
      <c r="K4103">
        <v>12</v>
      </c>
      <c r="L4103">
        <v>1.1399999999999999</v>
      </c>
      <c r="M4103">
        <v>1.1499999999999999</v>
      </c>
      <c r="N4103" s="1">
        <v>10000000</v>
      </c>
      <c r="O4103">
        <v>1.1399999999999999</v>
      </c>
      <c r="P4103">
        <v>1.81</v>
      </c>
      <c r="Q4103">
        <v>0.47</v>
      </c>
    </row>
    <row r="4104" spans="1:17" x14ac:dyDescent="0.25">
      <c r="A4104">
        <v>733032</v>
      </c>
      <c r="B4104" t="s">
        <v>5416</v>
      </c>
      <c r="C4104">
        <v>0.64</v>
      </c>
      <c r="D4104">
        <v>0.08</v>
      </c>
      <c r="E4104">
        <v>0.56000000000000005</v>
      </c>
      <c r="F4104">
        <v>0.64</v>
      </c>
      <c r="G4104">
        <v>0.54</v>
      </c>
      <c r="H4104">
        <v>0.57999999999999996</v>
      </c>
      <c r="I4104" s="1">
        <v>896000</v>
      </c>
      <c r="J4104" s="1">
        <v>519070</v>
      </c>
      <c r="K4104">
        <v>12</v>
      </c>
      <c r="L4104">
        <v>0.59</v>
      </c>
      <c r="M4104">
        <v>0.6</v>
      </c>
      <c r="N4104" s="1">
        <v>10000000</v>
      </c>
      <c r="O4104">
        <v>0.64</v>
      </c>
      <c r="P4104">
        <v>1.48</v>
      </c>
      <c r="Q4104">
        <v>0.01</v>
      </c>
    </row>
    <row r="4105" spans="1:17" x14ac:dyDescent="0.25">
      <c r="A4105">
        <v>733033</v>
      </c>
      <c r="B4105" t="s">
        <v>5417</v>
      </c>
      <c r="C4105" t="s">
        <v>78</v>
      </c>
      <c r="D4105" t="s">
        <v>78</v>
      </c>
      <c r="E4105" t="s">
        <v>78</v>
      </c>
      <c r="F4105" t="s">
        <v>78</v>
      </c>
      <c r="G4105" t="s">
        <v>78</v>
      </c>
      <c r="H4105">
        <v>0.43</v>
      </c>
      <c r="I4105" s="1">
        <v>0</v>
      </c>
      <c r="J4105" s="1">
        <v>0</v>
      </c>
      <c r="K4105">
        <v>0</v>
      </c>
      <c r="L4105">
        <v>0.4</v>
      </c>
      <c r="M4105">
        <v>0.41</v>
      </c>
      <c r="N4105" s="1">
        <v>5000000</v>
      </c>
      <c r="O4105">
        <v>0.41</v>
      </c>
      <c r="P4105">
        <v>1.17</v>
      </c>
      <c r="Q4105">
        <v>0.01</v>
      </c>
    </row>
    <row r="4106" spans="1:17" x14ac:dyDescent="0.25">
      <c r="A4106">
        <v>733034</v>
      </c>
      <c r="B4106" t="s">
        <v>5418</v>
      </c>
      <c r="C4106">
        <v>1.53</v>
      </c>
      <c r="D4106">
        <v>-0.1</v>
      </c>
      <c r="E4106">
        <v>1.63</v>
      </c>
      <c r="F4106">
        <v>1.63</v>
      </c>
      <c r="G4106">
        <v>1.5</v>
      </c>
      <c r="H4106">
        <v>1.6</v>
      </c>
      <c r="I4106" s="1">
        <v>264000</v>
      </c>
      <c r="J4106" s="1">
        <v>421760</v>
      </c>
      <c r="K4106">
        <v>17</v>
      </c>
      <c r="L4106">
        <v>1.5</v>
      </c>
      <c r="M4106">
        <v>1.51</v>
      </c>
      <c r="N4106" s="1">
        <v>5000000</v>
      </c>
      <c r="O4106">
        <v>1.53</v>
      </c>
      <c r="P4106">
        <v>2.4900000000000002</v>
      </c>
      <c r="Q4106">
        <v>0.56999999999999995</v>
      </c>
    </row>
    <row r="4107" spans="1:17" x14ac:dyDescent="0.25">
      <c r="A4107">
        <v>733035</v>
      </c>
      <c r="B4107" t="s">
        <v>5419</v>
      </c>
      <c r="C4107">
        <v>1.58</v>
      </c>
      <c r="D4107">
        <v>0</v>
      </c>
      <c r="E4107">
        <v>1.64</v>
      </c>
      <c r="F4107">
        <v>1.68</v>
      </c>
      <c r="G4107">
        <v>1.56</v>
      </c>
      <c r="H4107">
        <v>1.62</v>
      </c>
      <c r="I4107" s="1">
        <v>436000</v>
      </c>
      <c r="J4107" s="1">
        <v>706330</v>
      </c>
      <c r="K4107">
        <v>21</v>
      </c>
      <c r="L4107">
        <v>1.54</v>
      </c>
      <c r="M4107">
        <v>1.55</v>
      </c>
      <c r="N4107" s="1">
        <v>10000000</v>
      </c>
      <c r="O4107">
        <v>1.58</v>
      </c>
      <c r="P4107">
        <v>2.4500000000000002</v>
      </c>
      <c r="Q4107">
        <v>0.71</v>
      </c>
    </row>
    <row r="4108" spans="1:17" x14ac:dyDescent="0.25">
      <c r="A4108">
        <v>733036</v>
      </c>
      <c r="B4108" t="s">
        <v>5420</v>
      </c>
      <c r="C4108" t="s">
        <v>78</v>
      </c>
      <c r="D4108" t="s">
        <v>78</v>
      </c>
      <c r="E4108" t="s">
        <v>78</v>
      </c>
      <c r="F4108" t="s">
        <v>78</v>
      </c>
      <c r="G4108" t="s">
        <v>78</v>
      </c>
      <c r="H4108">
        <v>2.11</v>
      </c>
      <c r="I4108" s="1">
        <v>0</v>
      </c>
      <c r="J4108" s="1">
        <v>0</v>
      </c>
      <c r="K4108">
        <v>0</v>
      </c>
      <c r="L4108">
        <v>1.89</v>
      </c>
      <c r="M4108">
        <v>1.94</v>
      </c>
      <c r="N4108" s="1">
        <v>5000000</v>
      </c>
      <c r="O4108">
        <v>1.94</v>
      </c>
      <c r="P4108">
        <v>2.89</v>
      </c>
      <c r="Q4108">
        <v>0.97</v>
      </c>
    </row>
    <row r="4109" spans="1:17" x14ac:dyDescent="0.25">
      <c r="A4109">
        <v>733037</v>
      </c>
      <c r="B4109" t="s">
        <v>5421</v>
      </c>
      <c r="C4109">
        <v>1.36</v>
      </c>
      <c r="D4109">
        <v>-0.06</v>
      </c>
      <c r="E4109">
        <v>1.47</v>
      </c>
      <c r="F4109">
        <v>1.49</v>
      </c>
      <c r="G4109">
        <v>1.36</v>
      </c>
      <c r="H4109">
        <v>1.46</v>
      </c>
      <c r="I4109" s="1">
        <v>308000</v>
      </c>
      <c r="J4109" s="1">
        <v>450750</v>
      </c>
      <c r="K4109">
        <v>13</v>
      </c>
      <c r="L4109">
        <v>1.35</v>
      </c>
      <c r="M4109">
        <v>1.36</v>
      </c>
      <c r="N4109" s="1">
        <v>5000000</v>
      </c>
      <c r="O4109">
        <v>1.36</v>
      </c>
      <c r="P4109">
        <v>1.95</v>
      </c>
      <c r="Q4109">
        <v>0.77</v>
      </c>
    </row>
    <row r="4110" spans="1:17" x14ac:dyDescent="0.25">
      <c r="A4110">
        <v>733038</v>
      </c>
      <c r="B4110" t="s">
        <v>5422</v>
      </c>
      <c r="C4110">
        <v>0.74</v>
      </c>
      <c r="D4110">
        <v>0.1</v>
      </c>
      <c r="E4110">
        <v>0.66</v>
      </c>
      <c r="F4110">
        <v>0.74</v>
      </c>
      <c r="G4110">
        <v>0.66</v>
      </c>
      <c r="H4110">
        <v>0.73</v>
      </c>
      <c r="I4110" s="1">
        <v>195000</v>
      </c>
      <c r="J4110" s="1">
        <v>142000</v>
      </c>
      <c r="K4110" s="1">
        <v>4</v>
      </c>
      <c r="L4110">
        <v>0.72</v>
      </c>
      <c r="M4110">
        <v>0.73</v>
      </c>
      <c r="N4110" s="1">
        <v>10000000</v>
      </c>
      <c r="O4110">
        <v>0.74</v>
      </c>
      <c r="P4110">
        <v>1.58</v>
      </c>
      <c r="Q4110">
        <v>0.01</v>
      </c>
    </row>
    <row r="4111" spans="1:17" x14ac:dyDescent="0.25">
      <c r="A4111">
        <v>733039</v>
      </c>
      <c r="B4111" t="s">
        <v>5423</v>
      </c>
      <c r="C4111">
        <v>1.1299999999999999</v>
      </c>
      <c r="D4111">
        <v>-0.11</v>
      </c>
      <c r="E4111">
        <v>1.21</v>
      </c>
      <c r="F4111">
        <v>1.21</v>
      </c>
      <c r="G4111">
        <v>1.1100000000000001</v>
      </c>
      <c r="H4111">
        <v>1.17</v>
      </c>
      <c r="I4111" s="1">
        <v>878000</v>
      </c>
      <c r="J4111" s="1">
        <v>1027800</v>
      </c>
      <c r="K4111">
        <v>30</v>
      </c>
      <c r="L4111">
        <v>1.1299999999999999</v>
      </c>
      <c r="M4111">
        <v>0</v>
      </c>
      <c r="N4111" s="1">
        <v>10000000</v>
      </c>
      <c r="O4111">
        <v>1.1299999999999999</v>
      </c>
      <c r="P4111">
        <v>1.98</v>
      </c>
      <c r="Q4111">
        <v>0.28000000000000003</v>
      </c>
    </row>
    <row r="4112" spans="1:17" x14ac:dyDescent="0.25">
      <c r="A4112">
        <v>733040</v>
      </c>
      <c r="B4112" t="s">
        <v>5424</v>
      </c>
      <c r="C4112">
        <v>0.99</v>
      </c>
      <c r="D4112">
        <v>0</v>
      </c>
      <c r="E4112">
        <v>0.99</v>
      </c>
      <c r="F4112">
        <v>0.99</v>
      </c>
      <c r="G4112">
        <v>0.99</v>
      </c>
      <c r="H4112">
        <v>0.99</v>
      </c>
      <c r="I4112" s="1">
        <v>30000</v>
      </c>
      <c r="J4112" s="1">
        <v>29700</v>
      </c>
      <c r="K4112" s="1">
        <v>3</v>
      </c>
      <c r="L4112">
        <v>0.98</v>
      </c>
      <c r="M4112">
        <v>1.01</v>
      </c>
      <c r="N4112" s="1">
        <v>5000000</v>
      </c>
      <c r="O4112">
        <v>0.99</v>
      </c>
      <c r="P4112">
        <v>2.0099999999999998</v>
      </c>
      <c r="Q4112">
        <v>0.01</v>
      </c>
    </row>
    <row r="4113" spans="1:17" x14ac:dyDescent="0.25">
      <c r="A4113">
        <v>733041</v>
      </c>
      <c r="B4113" t="s">
        <v>5425</v>
      </c>
      <c r="C4113">
        <v>0.96</v>
      </c>
      <c r="D4113">
        <v>0.05</v>
      </c>
      <c r="E4113">
        <v>1</v>
      </c>
      <c r="F4113">
        <v>1.02</v>
      </c>
      <c r="G4113">
        <v>0.94</v>
      </c>
      <c r="H4113">
        <v>0.97</v>
      </c>
      <c r="I4113" s="1">
        <v>641000</v>
      </c>
      <c r="J4113" s="1">
        <v>624090</v>
      </c>
      <c r="K4113">
        <v>34</v>
      </c>
      <c r="L4113">
        <v>0.95</v>
      </c>
      <c r="M4113">
        <v>0.96</v>
      </c>
      <c r="N4113" s="1">
        <v>10000000</v>
      </c>
      <c r="O4113">
        <v>0.96</v>
      </c>
      <c r="P4113">
        <v>1.59</v>
      </c>
      <c r="Q4113">
        <v>0.33</v>
      </c>
    </row>
    <row r="4114" spans="1:17" x14ac:dyDescent="0.25">
      <c r="A4114">
        <v>733042</v>
      </c>
      <c r="B4114" t="s">
        <v>5426</v>
      </c>
      <c r="C4114">
        <v>0.95</v>
      </c>
      <c r="D4114">
        <v>0.03</v>
      </c>
      <c r="E4114">
        <v>0.95</v>
      </c>
      <c r="F4114">
        <v>1</v>
      </c>
      <c r="G4114">
        <v>0.93</v>
      </c>
      <c r="H4114">
        <v>0.96</v>
      </c>
      <c r="I4114" s="1">
        <v>935000</v>
      </c>
      <c r="J4114" s="1">
        <v>894010</v>
      </c>
      <c r="K4114">
        <v>22</v>
      </c>
      <c r="L4114">
        <v>0.94</v>
      </c>
      <c r="M4114">
        <v>0.95</v>
      </c>
      <c r="N4114" s="1">
        <v>5000000</v>
      </c>
      <c r="O4114">
        <v>0.95</v>
      </c>
      <c r="P4114">
        <v>1.8</v>
      </c>
      <c r="Q4114">
        <v>0.1</v>
      </c>
    </row>
    <row r="4115" spans="1:17" x14ac:dyDescent="0.25">
      <c r="A4115">
        <v>733043</v>
      </c>
      <c r="B4115" t="s">
        <v>5427</v>
      </c>
      <c r="C4115">
        <v>0.97</v>
      </c>
      <c r="D4115">
        <v>0.02</v>
      </c>
      <c r="E4115">
        <v>1</v>
      </c>
      <c r="F4115">
        <v>1</v>
      </c>
      <c r="G4115">
        <v>0.97</v>
      </c>
      <c r="H4115">
        <v>0.99</v>
      </c>
      <c r="I4115" s="1">
        <v>1400000</v>
      </c>
      <c r="J4115" s="1">
        <v>1387700</v>
      </c>
      <c r="K4115">
        <v>28</v>
      </c>
      <c r="L4115">
        <v>0.97</v>
      </c>
      <c r="M4115">
        <v>0.98</v>
      </c>
      <c r="N4115" s="1">
        <v>5000000</v>
      </c>
      <c r="O4115">
        <v>0.97</v>
      </c>
      <c r="P4115">
        <v>1.97</v>
      </c>
      <c r="Q4115">
        <v>0.01</v>
      </c>
    </row>
    <row r="4116" spans="1:17" x14ac:dyDescent="0.25">
      <c r="A4116">
        <v>733044</v>
      </c>
      <c r="B4116" t="s">
        <v>5428</v>
      </c>
      <c r="C4116">
        <v>0.86</v>
      </c>
      <c r="D4116">
        <v>-0.05</v>
      </c>
      <c r="E4116">
        <v>0.87</v>
      </c>
      <c r="F4116">
        <v>0.88</v>
      </c>
      <c r="G4116">
        <v>0.83</v>
      </c>
      <c r="H4116">
        <v>0.87</v>
      </c>
      <c r="I4116" s="1">
        <v>300000</v>
      </c>
      <c r="J4116" s="1">
        <v>259610</v>
      </c>
      <c r="K4116">
        <v>7</v>
      </c>
      <c r="L4116">
        <v>0.86</v>
      </c>
      <c r="M4116">
        <v>0.87</v>
      </c>
      <c r="N4116" s="1">
        <v>10000000</v>
      </c>
      <c r="O4116">
        <v>0.86</v>
      </c>
      <c r="P4116">
        <v>1.49</v>
      </c>
      <c r="Q4116">
        <v>0.23</v>
      </c>
    </row>
    <row r="4117" spans="1:17" x14ac:dyDescent="0.25">
      <c r="A4117">
        <v>733045</v>
      </c>
      <c r="B4117" t="s">
        <v>5429</v>
      </c>
      <c r="C4117">
        <v>0.85</v>
      </c>
      <c r="D4117">
        <v>-0.03</v>
      </c>
      <c r="E4117">
        <v>0.85</v>
      </c>
      <c r="F4117">
        <v>0.85</v>
      </c>
      <c r="G4117">
        <v>0.85</v>
      </c>
      <c r="H4117">
        <v>0.85</v>
      </c>
      <c r="I4117" s="1">
        <v>200000</v>
      </c>
      <c r="J4117" s="1">
        <v>170000</v>
      </c>
      <c r="K4117">
        <v>2</v>
      </c>
      <c r="L4117">
        <v>0.84</v>
      </c>
      <c r="M4117">
        <v>0.85</v>
      </c>
      <c r="N4117" s="1">
        <v>10000000</v>
      </c>
      <c r="O4117">
        <v>0.85</v>
      </c>
      <c r="P4117">
        <v>1.9</v>
      </c>
      <c r="Q4117">
        <v>0.01</v>
      </c>
    </row>
    <row r="4118" spans="1:17" x14ac:dyDescent="0.25">
      <c r="A4118">
        <v>733046</v>
      </c>
      <c r="B4118" t="s">
        <v>5430</v>
      </c>
      <c r="C4118" t="s">
        <v>78</v>
      </c>
      <c r="D4118" t="s">
        <v>78</v>
      </c>
      <c r="E4118" t="s">
        <v>78</v>
      </c>
      <c r="F4118" t="s">
        <v>78</v>
      </c>
      <c r="G4118" t="s">
        <v>78</v>
      </c>
      <c r="H4118">
        <v>0.82</v>
      </c>
      <c r="I4118" s="1">
        <v>0</v>
      </c>
      <c r="J4118" s="1">
        <v>0</v>
      </c>
      <c r="K4118">
        <v>0</v>
      </c>
      <c r="L4118">
        <v>0.68</v>
      </c>
      <c r="M4118">
        <v>0.69</v>
      </c>
      <c r="N4118" s="1">
        <v>10000000</v>
      </c>
      <c r="O4118">
        <v>0.69</v>
      </c>
      <c r="P4118">
        <v>1.71</v>
      </c>
      <c r="Q4118">
        <v>0.01</v>
      </c>
    </row>
    <row r="4119" spans="1:17" x14ac:dyDescent="0.25">
      <c r="A4119">
        <v>733047</v>
      </c>
      <c r="B4119" t="s">
        <v>5431</v>
      </c>
      <c r="C4119">
        <v>0.99</v>
      </c>
      <c r="D4119">
        <v>0.03</v>
      </c>
      <c r="E4119">
        <v>1.02</v>
      </c>
      <c r="F4119">
        <v>1.05</v>
      </c>
      <c r="G4119">
        <v>0.98</v>
      </c>
      <c r="H4119">
        <v>1.01</v>
      </c>
      <c r="I4119" s="1">
        <v>1034000</v>
      </c>
      <c r="J4119" s="1">
        <v>1041340</v>
      </c>
      <c r="K4119">
        <v>29</v>
      </c>
      <c r="L4119">
        <v>0.99</v>
      </c>
      <c r="M4119">
        <v>1</v>
      </c>
      <c r="N4119" s="1">
        <v>5000000</v>
      </c>
      <c r="O4119">
        <v>0.99</v>
      </c>
      <c r="P4119">
        <v>1.62</v>
      </c>
      <c r="Q4119">
        <v>0.36</v>
      </c>
    </row>
    <row r="4120" spans="1:17" x14ac:dyDescent="0.25">
      <c r="A4120">
        <v>733048</v>
      </c>
      <c r="B4120" t="s">
        <v>5432</v>
      </c>
      <c r="C4120">
        <v>0.97</v>
      </c>
      <c r="D4120">
        <v>0</v>
      </c>
      <c r="E4120">
        <v>1</v>
      </c>
      <c r="F4120">
        <v>1</v>
      </c>
      <c r="G4120">
        <v>0.97</v>
      </c>
      <c r="H4120">
        <v>0.99</v>
      </c>
      <c r="I4120" s="1">
        <v>150000</v>
      </c>
      <c r="J4120" s="1">
        <v>148900</v>
      </c>
      <c r="K4120">
        <v>3</v>
      </c>
      <c r="L4120">
        <v>0.95</v>
      </c>
      <c r="M4120">
        <v>0.96</v>
      </c>
      <c r="N4120" s="1">
        <v>10000000</v>
      </c>
      <c r="O4120">
        <v>0.97</v>
      </c>
      <c r="P4120">
        <v>1.57</v>
      </c>
      <c r="Q4120">
        <v>0.37</v>
      </c>
    </row>
    <row r="4121" spans="1:17" x14ac:dyDescent="0.25">
      <c r="A4121">
        <v>733049</v>
      </c>
      <c r="B4121" t="s">
        <v>5433</v>
      </c>
      <c r="C4121">
        <v>1.31</v>
      </c>
      <c r="D4121">
        <v>0.13</v>
      </c>
      <c r="E4121">
        <v>1.29</v>
      </c>
      <c r="F4121">
        <v>1.45</v>
      </c>
      <c r="G4121">
        <v>1.29</v>
      </c>
      <c r="H4121">
        <v>1.35</v>
      </c>
      <c r="I4121" s="1">
        <v>662000</v>
      </c>
      <c r="J4121" s="1">
        <v>894550</v>
      </c>
      <c r="K4121">
        <v>17</v>
      </c>
      <c r="L4121">
        <v>1.23</v>
      </c>
      <c r="M4121">
        <v>1.24</v>
      </c>
      <c r="N4121" s="1">
        <v>10000000</v>
      </c>
      <c r="O4121">
        <v>1.31</v>
      </c>
      <c r="P4121">
        <v>3.09</v>
      </c>
      <c r="Q4121">
        <v>0.01</v>
      </c>
    </row>
    <row r="4122" spans="1:17" x14ac:dyDescent="0.25">
      <c r="A4122">
        <v>733050</v>
      </c>
      <c r="B4122" t="s">
        <v>5434</v>
      </c>
      <c r="C4122">
        <v>1.28</v>
      </c>
      <c r="D4122">
        <v>0.05</v>
      </c>
      <c r="E4122">
        <v>1.28</v>
      </c>
      <c r="F4122">
        <v>1.34</v>
      </c>
      <c r="G4122">
        <v>1.25</v>
      </c>
      <c r="H4122">
        <v>1.3</v>
      </c>
      <c r="I4122" s="1">
        <v>420000</v>
      </c>
      <c r="J4122" s="1">
        <v>545090</v>
      </c>
      <c r="K4122">
        <v>30</v>
      </c>
      <c r="L4122">
        <v>1.27</v>
      </c>
      <c r="M4122">
        <v>1.28</v>
      </c>
      <c r="N4122" s="1">
        <v>10000000</v>
      </c>
      <c r="O4122">
        <v>1.28</v>
      </c>
      <c r="P4122">
        <v>2.13</v>
      </c>
      <c r="Q4122">
        <v>0.43</v>
      </c>
    </row>
    <row r="4123" spans="1:17" x14ac:dyDescent="0.25">
      <c r="A4123">
        <v>733051</v>
      </c>
      <c r="B4123" t="s">
        <v>5435</v>
      </c>
      <c r="C4123">
        <v>0.56999999999999995</v>
      </c>
      <c r="D4123">
        <v>0.09</v>
      </c>
      <c r="E4123">
        <v>0.45</v>
      </c>
      <c r="F4123">
        <v>0.56999999999999995</v>
      </c>
      <c r="G4123">
        <v>0.45</v>
      </c>
      <c r="H4123">
        <v>0.55000000000000004</v>
      </c>
      <c r="I4123" s="1">
        <v>201000</v>
      </c>
      <c r="J4123" s="1">
        <v>110580</v>
      </c>
      <c r="K4123">
        <v>4</v>
      </c>
      <c r="L4123">
        <v>0.52</v>
      </c>
      <c r="M4123">
        <v>0.53</v>
      </c>
      <c r="N4123" s="1">
        <v>10000000</v>
      </c>
      <c r="O4123">
        <v>0.56999999999999995</v>
      </c>
      <c r="P4123">
        <v>1.8</v>
      </c>
      <c r="Q4123">
        <v>0.01</v>
      </c>
    </row>
    <row r="4124" spans="1:17" x14ac:dyDescent="0.25">
      <c r="A4124">
        <v>733052</v>
      </c>
      <c r="B4124" t="s">
        <v>5436</v>
      </c>
      <c r="C4124">
        <v>2.8</v>
      </c>
      <c r="D4124">
        <v>0.03</v>
      </c>
      <c r="E4124">
        <v>2.81</v>
      </c>
      <c r="F4124">
        <v>2.81</v>
      </c>
      <c r="G4124">
        <v>2.73</v>
      </c>
      <c r="H4124">
        <v>2.78</v>
      </c>
      <c r="I4124" s="1">
        <v>14000</v>
      </c>
      <c r="J4124" s="1">
        <v>38890</v>
      </c>
      <c r="K4124" s="1">
        <v>6</v>
      </c>
      <c r="L4124">
        <v>2.76</v>
      </c>
      <c r="M4124">
        <v>2.83</v>
      </c>
      <c r="N4124" s="1">
        <v>10000000</v>
      </c>
      <c r="O4124">
        <v>2.8</v>
      </c>
      <c r="P4124">
        <v>4.22</v>
      </c>
      <c r="Q4124">
        <v>1.38</v>
      </c>
    </row>
    <row r="4125" spans="1:17" x14ac:dyDescent="0.25">
      <c r="A4125">
        <v>733053</v>
      </c>
      <c r="B4125" t="s">
        <v>5437</v>
      </c>
      <c r="C4125">
        <v>1.49</v>
      </c>
      <c r="D4125">
        <v>0.04</v>
      </c>
      <c r="E4125">
        <v>1.55</v>
      </c>
      <c r="F4125">
        <v>1.56</v>
      </c>
      <c r="G4125">
        <v>1.46</v>
      </c>
      <c r="H4125">
        <v>1.53</v>
      </c>
      <c r="I4125" s="1">
        <v>190000</v>
      </c>
      <c r="J4125" s="1">
        <v>290900</v>
      </c>
      <c r="K4125">
        <v>7</v>
      </c>
      <c r="L4125">
        <v>1.47</v>
      </c>
      <c r="M4125">
        <v>1.48</v>
      </c>
      <c r="N4125" s="1">
        <v>10000000</v>
      </c>
      <c r="O4125">
        <v>1.49</v>
      </c>
      <c r="P4125">
        <v>2.5499999999999998</v>
      </c>
      <c r="Q4125">
        <v>0.43</v>
      </c>
    </row>
    <row r="4126" spans="1:17" x14ac:dyDescent="0.25">
      <c r="A4126">
        <v>733054</v>
      </c>
      <c r="B4126" t="s">
        <v>5438</v>
      </c>
      <c r="C4126">
        <v>1.77</v>
      </c>
      <c r="D4126">
        <v>0.05</v>
      </c>
      <c r="E4126">
        <v>1.79</v>
      </c>
      <c r="F4126">
        <v>1.85</v>
      </c>
      <c r="G4126">
        <v>1.77</v>
      </c>
      <c r="H4126">
        <v>1.8</v>
      </c>
      <c r="I4126" s="1">
        <v>60000</v>
      </c>
      <c r="J4126" s="1">
        <v>108120</v>
      </c>
      <c r="K4126">
        <v>7</v>
      </c>
      <c r="L4126">
        <v>1.66</v>
      </c>
      <c r="M4126">
        <v>1.68</v>
      </c>
      <c r="N4126" s="1">
        <v>10000000</v>
      </c>
      <c r="O4126">
        <v>1.77</v>
      </c>
      <c r="P4126">
        <v>2.62</v>
      </c>
      <c r="Q4126">
        <v>0.92</v>
      </c>
    </row>
    <row r="4127" spans="1:17" x14ac:dyDescent="0.25">
      <c r="A4127">
        <v>733055</v>
      </c>
      <c r="B4127" t="s">
        <v>5439</v>
      </c>
      <c r="C4127">
        <v>1.24</v>
      </c>
      <c r="D4127">
        <v>-0.05</v>
      </c>
      <c r="E4127">
        <v>1.29</v>
      </c>
      <c r="F4127">
        <v>1.37</v>
      </c>
      <c r="G4127">
        <v>1.23</v>
      </c>
      <c r="H4127">
        <v>1.29</v>
      </c>
      <c r="I4127" s="1">
        <v>236000</v>
      </c>
      <c r="J4127" s="1">
        <v>305070</v>
      </c>
      <c r="K4127">
        <v>12</v>
      </c>
      <c r="L4127">
        <v>1.23</v>
      </c>
      <c r="M4127">
        <v>1.25</v>
      </c>
      <c r="N4127" s="1">
        <v>5000000</v>
      </c>
      <c r="O4127">
        <v>1.24</v>
      </c>
      <c r="P4127">
        <v>2.19</v>
      </c>
      <c r="Q4127">
        <v>0.27</v>
      </c>
    </row>
    <row r="4128" spans="1:17" x14ac:dyDescent="0.25">
      <c r="A4128">
        <v>733056</v>
      </c>
      <c r="B4128" t="s">
        <v>5440</v>
      </c>
      <c r="C4128">
        <v>1.39</v>
      </c>
      <c r="D4128">
        <v>0.05</v>
      </c>
      <c r="E4128">
        <v>1.4</v>
      </c>
      <c r="F4128">
        <v>1.45</v>
      </c>
      <c r="G4128">
        <v>1.36</v>
      </c>
      <c r="H4128">
        <v>1.41</v>
      </c>
      <c r="I4128" s="1">
        <v>598000</v>
      </c>
      <c r="J4128" s="1">
        <v>843050</v>
      </c>
      <c r="K4128" s="1">
        <v>22</v>
      </c>
      <c r="L4128">
        <v>1.37</v>
      </c>
      <c r="M4128">
        <v>1.38</v>
      </c>
      <c r="N4128" s="1">
        <v>10000000</v>
      </c>
      <c r="O4128">
        <v>1.39</v>
      </c>
      <c r="P4128">
        <v>2.2400000000000002</v>
      </c>
      <c r="Q4128">
        <v>0.54</v>
      </c>
    </row>
    <row r="4129" spans="1:17" x14ac:dyDescent="0.25">
      <c r="A4129">
        <v>733057</v>
      </c>
      <c r="B4129" t="s">
        <v>5441</v>
      </c>
      <c r="C4129">
        <v>1.68</v>
      </c>
      <c r="D4129">
        <v>0.05</v>
      </c>
      <c r="E4129">
        <v>1.69</v>
      </c>
      <c r="F4129">
        <v>1.75</v>
      </c>
      <c r="G4129">
        <v>1.67</v>
      </c>
      <c r="H4129">
        <v>1.7</v>
      </c>
      <c r="I4129" s="1">
        <v>1464000</v>
      </c>
      <c r="J4129" s="1">
        <v>2490580</v>
      </c>
      <c r="K4129">
        <v>50</v>
      </c>
      <c r="L4129">
        <v>1.67</v>
      </c>
      <c r="M4129">
        <v>1.68</v>
      </c>
      <c r="N4129" s="1">
        <v>5000000</v>
      </c>
      <c r="O4129">
        <v>1.68</v>
      </c>
      <c r="P4129">
        <v>2.33</v>
      </c>
      <c r="Q4129">
        <v>1.03</v>
      </c>
    </row>
    <row r="4130" spans="1:17" x14ac:dyDescent="0.25">
      <c r="A4130">
        <v>733058</v>
      </c>
      <c r="B4130" t="s">
        <v>5442</v>
      </c>
      <c r="C4130">
        <v>0.93</v>
      </c>
      <c r="D4130">
        <v>0.1</v>
      </c>
      <c r="E4130">
        <v>0.86</v>
      </c>
      <c r="F4130">
        <v>1.02</v>
      </c>
      <c r="G4130">
        <v>0.86</v>
      </c>
      <c r="H4130">
        <v>0.93</v>
      </c>
      <c r="I4130" s="1">
        <v>762000</v>
      </c>
      <c r="J4130" s="1">
        <v>706320</v>
      </c>
      <c r="K4130">
        <v>32</v>
      </c>
      <c r="L4130">
        <v>0.91</v>
      </c>
      <c r="M4130">
        <v>0.93</v>
      </c>
      <c r="N4130" s="1">
        <v>10000000</v>
      </c>
      <c r="O4130">
        <v>0.93</v>
      </c>
      <c r="P4130">
        <v>1.68</v>
      </c>
      <c r="Q4130">
        <v>0.18</v>
      </c>
    </row>
    <row r="4131" spans="1:17" x14ac:dyDescent="0.25">
      <c r="A4131">
        <v>733059</v>
      </c>
      <c r="B4131" t="s">
        <v>5443</v>
      </c>
      <c r="C4131">
        <v>1.72</v>
      </c>
      <c r="D4131">
        <v>0.06</v>
      </c>
      <c r="E4131">
        <v>1.74</v>
      </c>
      <c r="F4131">
        <v>1.78</v>
      </c>
      <c r="G4131">
        <v>1.72</v>
      </c>
      <c r="H4131">
        <v>1.76</v>
      </c>
      <c r="I4131" s="1">
        <v>91000</v>
      </c>
      <c r="J4131" s="1">
        <v>159850</v>
      </c>
      <c r="K4131">
        <v>6</v>
      </c>
      <c r="L4131">
        <v>1.7</v>
      </c>
      <c r="M4131">
        <v>1.71</v>
      </c>
      <c r="N4131" s="1">
        <v>10000000</v>
      </c>
      <c r="O4131">
        <v>1.72</v>
      </c>
      <c r="P4131">
        <v>2.4900000000000002</v>
      </c>
      <c r="Q4131">
        <v>0.95</v>
      </c>
    </row>
    <row r="4132" spans="1:17" x14ac:dyDescent="0.25">
      <c r="A4132">
        <v>733060</v>
      </c>
      <c r="B4132" t="s">
        <v>5444</v>
      </c>
      <c r="C4132">
        <v>2.23</v>
      </c>
      <c r="D4132">
        <v>-0.05</v>
      </c>
      <c r="E4132">
        <v>2.2000000000000002</v>
      </c>
      <c r="F4132">
        <v>2.38</v>
      </c>
      <c r="G4132">
        <v>2.2000000000000002</v>
      </c>
      <c r="H4132">
        <v>2.2799999999999998</v>
      </c>
      <c r="I4132" s="1">
        <v>588000</v>
      </c>
      <c r="J4132" s="1">
        <v>1342960</v>
      </c>
      <c r="K4132">
        <v>13</v>
      </c>
      <c r="L4132">
        <v>2.2000000000000002</v>
      </c>
      <c r="M4132">
        <v>2.21</v>
      </c>
      <c r="N4132" s="1">
        <v>5000000</v>
      </c>
      <c r="O4132">
        <v>2.23</v>
      </c>
      <c r="P4132">
        <v>3.65</v>
      </c>
      <c r="Q4132">
        <v>0.78</v>
      </c>
    </row>
    <row r="4133" spans="1:17" x14ac:dyDescent="0.25">
      <c r="A4133">
        <v>733061</v>
      </c>
      <c r="B4133" t="s">
        <v>5445</v>
      </c>
      <c r="C4133">
        <v>0.57999999999999996</v>
      </c>
      <c r="D4133">
        <v>0.04</v>
      </c>
      <c r="E4133">
        <v>0.54</v>
      </c>
      <c r="F4133">
        <v>0.59</v>
      </c>
      <c r="G4133">
        <v>0.54</v>
      </c>
      <c r="H4133">
        <v>0.56000000000000005</v>
      </c>
      <c r="I4133" s="1">
        <v>367000</v>
      </c>
      <c r="J4133" s="1">
        <v>206410</v>
      </c>
      <c r="K4133">
        <v>8</v>
      </c>
      <c r="L4133">
        <v>0.56999999999999995</v>
      </c>
      <c r="M4133">
        <v>0.57999999999999996</v>
      </c>
      <c r="N4133" s="1">
        <v>10000000</v>
      </c>
      <c r="O4133">
        <v>0.57999999999999996</v>
      </c>
      <c r="P4133">
        <v>1.41</v>
      </c>
      <c r="Q4133">
        <v>0.01</v>
      </c>
    </row>
    <row r="4134" spans="1:17" x14ac:dyDescent="0.25">
      <c r="A4134">
        <v>733062</v>
      </c>
      <c r="B4134" t="s">
        <v>5446</v>
      </c>
      <c r="C4134">
        <v>1.58</v>
      </c>
      <c r="D4134">
        <v>7.0000000000000007E-2</v>
      </c>
      <c r="E4134">
        <v>1.42</v>
      </c>
      <c r="F4134">
        <v>1.58</v>
      </c>
      <c r="G4134">
        <v>1.31</v>
      </c>
      <c r="H4134">
        <v>1.42</v>
      </c>
      <c r="I4134" s="1">
        <v>467000</v>
      </c>
      <c r="J4134" s="1">
        <v>661580</v>
      </c>
      <c r="K4134">
        <v>26</v>
      </c>
      <c r="L4134">
        <v>1.51</v>
      </c>
      <c r="M4134">
        <v>1.52</v>
      </c>
      <c r="N4134" s="1">
        <v>5000000</v>
      </c>
      <c r="O4134">
        <v>1.58</v>
      </c>
      <c r="P4134">
        <v>2.83</v>
      </c>
      <c r="Q4134">
        <v>0.33</v>
      </c>
    </row>
    <row r="4135" spans="1:17" x14ac:dyDescent="0.25">
      <c r="A4135">
        <v>733063</v>
      </c>
      <c r="B4135" t="s">
        <v>5447</v>
      </c>
      <c r="C4135" t="s">
        <v>78</v>
      </c>
      <c r="D4135" t="s">
        <v>78</v>
      </c>
      <c r="E4135" t="s">
        <v>78</v>
      </c>
      <c r="F4135" t="s">
        <v>78</v>
      </c>
      <c r="G4135" t="s">
        <v>78</v>
      </c>
      <c r="H4135">
        <v>0.81</v>
      </c>
      <c r="I4135" s="1">
        <v>0</v>
      </c>
      <c r="J4135" s="1">
        <v>0</v>
      </c>
      <c r="K4135">
        <v>0</v>
      </c>
      <c r="L4135">
        <v>0.71</v>
      </c>
      <c r="M4135">
        <v>0.72</v>
      </c>
      <c r="N4135" s="1">
        <v>10000000</v>
      </c>
      <c r="O4135">
        <v>0.72</v>
      </c>
      <c r="P4135">
        <v>1.17</v>
      </c>
      <c r="Q4135">
        <v>0.27</v>
      </c>
    </row>
    <row r="4136" spans="1:17" x14ac:dyDescent="0.25">
      <c r="A4136">
        <v>733064</v>
      </c>
      <c r="B4136" t="s">
        <v>5448</v>
      </c>
      <c r="C4136">
        <v>1.03</v>
      </c>
      <c r="D4136">
        <v>0.02</v>
      </c>
      <c r="E4136">
        <v>1.05</v>
      </c>
      <c r="F4136">
        <v>1.1000000000000001</v>
      </c>
      <c r="G4136">
        <v>1.03</v>
      </c>
      <c r="H4136">
        <v>1.0900000000000001</v>
      </c>
      <c r="I4136" s="1">
        <v>222000</v>
      </c>
      <c r="J4136" s="1">
        <v>241140</v>
      </c>
      <c r="K4136">
        <v>8</v>
      </c>
      <c r="L4136">
        <v>1.04</v>
      </c>
      <c r="M4136">
        <v>1.05</v>
      </c>
      <c r="N4136" s="1">
        <v>10000000</v>
      </c>
      <c r="O4136">
        <v>1.03</v>
      </c>
      <c r="P4136">
        <v>1.75</v>
      </c>
      <c r="Q4136">
        <v>0.31</v>
      </c>
    </row>
    <row r="4137" spans="1:17" x14ac:dyDescent="0.25">
      <c r="A4137">
        <v>733065</v>
      </c>
      <c r="B4137" t="s">
        <v>5449</v>
      </c>
      <c r="C4137">
        <v>0.89</v>
      </c>
      <c r="D4137">
        <v>0.02</v>
      </c>
      <c r="E4137">
        <v>0.88</v>
      </c>
      <c r="F4137">
        <v>0.89</v>
      </c>
      <c r="G4137">
        <v>0.88</v>
      </c>
      <c r="H4137">
        <v>0.88</v>
      </c>
      <c r="I4137" s="1">
        <v>69000</v>
      </c>
      <c r="J4137" s="1">
        <v>60910</v>
      </c>
      <c r="K4137" s="1">
        <v>2</v>
      </c>
      <c r="L4137">
        <v>0.88</v>
      </c>
      <c r="M4137">
        <v>0.89</v>
      </c>
      <c r="N4137" s="1">
        <v>10000000</v>
      </c>
      <c r="O4137">
        <v>0.89</v>
      </c>
      <c r="P4137">
        <v>1.6</v>
      </c>
      <c r="Q4137">
        <v>0.18</v>
      </c>
    </row>
    <row r="4138" spans="1:17" x14ac:dyDescent="0.25">
      <c r="A4138">
        <v>733066</v>
      </c>
      <c r="B4138" t="s">
        <v>5450</v>
      </c>
      <c r="C4138">
        <v>0.98</v>
      </c>
      <c r="D4138">
        <v>-0.06</v>
      </c>
      <c r="E4138">
        <v>0.97</v>
      </c>
      <c r="F4138">
        <v>1.04</v>
      </c>
      <c r="G4138">
        <v>0.91</v>
      </c>
      <c r="H4138">
        <v>0.94</v>
      </c>
      <c r="I4138" s="1">
        <v>103000</v>
      </c>
      <c r="J4138" s="1">
        <v>97180</v>
      </c>
      <c r="K4138">
        <v>21</v>
      </c>
      <c r="L4138">
        <v>0.95</v>
      </c>
      <c r="M4138">
        <v>0.96</v>
      </c>
      <c r="N4138" s="1">
        <v>10000000</v>
      </c>
      <c r="O4138">
        <v>0.98</v>
      </c>
      <c r="P4138">
        <v>1.9</v>
      </c>
      <c r="Q4138">
        <v>0.06</v>
      </c>
    </row>
    <row r="4139" spans="1:17" x14ac:dyDescent="0.25">
      <c r="A4139">
        <v>733067</v>
      </c>
      <c r="B4139" t="s">
        <v>5451</v>
      </c>
      <c r="C4139">
        <v>0.56999999999999995</v>
      </c>
      <c r="D4139">
        <v>0.01</v>
      </c>
      <c r="E4139">
        <v>0.57999999999999996</v>
      </c>
      <c r="F4139">
        <v>0.57999999999999996</v>
      </c>
      <c r="G4139">
        <v>0.56999999999999995</v>
      </c>
      <c r="H4139">
        <v>0.56999999999999995</v>
      </c>
      <c r="I4139" s="1">
        <v>260000</v>
      </c>
      <c r="J4139" s="1">
        <v>148800</v>
      </c>
      <c r="K4139" s="1">
        <v>3</v>
      </c>
      <c r="L4139">
        <v>0.56000000000000005</v>
      </c>
      <c r="M4139">
        <v>0.56999999999999995</v>
      </c>
      <c r="N4139" s="1">
        <v>5000000</v>
      </c>
      <c r="O4139">
        <v>0.56999999999999995</v>
      </c>
      <c r="P4139">
        <v>0.99</v>
      </c>
      <c r="Q4139">
        <v>0.15</v>
      </c>
    </row>
    <row r="4140" spans="1:17" x14ac:dyDescent="0.25">
      <c r="A4140">
        <v>733068</v>
      </c>
      <c r="B4140" t="s">
        <v>5452</v>
      </c>
      <c r="C4140">
        <v>1.43</v>
      </c>
      <c r="D4140">
        <v>0.05</v>
      </c>
      <c r="E4140">
        <v>1.46</v>
      </c>
      <c r="F4140">
        <v>1.5</v>
      </c>
      <c r="G4140">
        <v>1.4</v>
      </c>
      <c r="H4140">
        <v>1.47</v>
      </c>
      <c r="I4140" s="1">
        <v>310000</v>
      </c>
      <c r="J4140" s="1">
        <v>455270</v>
      </c>
      <c r="K4140">
        <v>29</v>
      </c>
      <c r="L4140">
        <v>1.42</v>
      </c>
      <c r="M4140">
        <v>1.43</v>
      </c>
      <c r="N4140" s="1">
        <v>5000000</v>
      </c>
      <c r="O4140">
        <v>1.43</v>
      </c>
      <c r="P4140">
        <v>2.2799999999999998</v>
      </c>
      <c r="Q4140">
        <v>0.57999999999999996</v>
      </c>
    </row>
    <row r="4141" spans="1:17" x14ac:dyDescent="0.25">
      <c r="A4141">
        <v>733069</v>
      </c>
      <c r="B4141" t="s">
        <v>5453</v>
      </c>
      <c r="C4141">
        <v>0.89</v>
      </c>
      <c r="D4141">
        <v>0.02</v>
      </c>
      <c r="E4141">
        <v>0.9</v>
      </c>
      <c r="F4141">
        <v>0.9</v>
      </c>
      <c r="G4141">
        <v>0.88</v>
      </c>
      <c r="H4141">
        <v>0.9</v>
      </c>
      <c r="I4141" s="1">
        <v>938000</v>
      </c>
      <c r="J4141" s="1">
        <v>841660</v>
      </c>
      <c r="K4141">
        <v>16</v>
      </c>
      <c r="L4141">
        <v>0.88</v>
      </c>
      <c r="M4141">
        <v>0.9</v>
      </c>
      <c r="N4141" s="1">
        <v>10000000</v>
      </c>
      <c r="O4141">
        <v>0.89</v>
      </c>
      <c r="P4141">
        <v>1.89</v>
      </c>
      <c r="Q4141">
        <v>0.01</v>
      </c>
    </row>
    <row r="4142" spans="1:17" x14ac:dyDescent="0.25">
      <c r="A4142">
        <v>733070</v>
      </c>
      <c r="B4142" t="s">
        <v>5454</v>
      </c>
      <c r="C4142">
        <v>1.7</v>
      </c>
      <c r="D4142">
        <v>-0.05</v>
      </c>
      <c r="E4142">
        <v>1.78</v>
      </c>
      <c r="F4142">
        <v>1.85</v>
      </c>
      <c r="G4142">
        <v>1.65</v>
      </c>
      <c r="H4142">
        <v>1.76</v>
      </c>
      <c r="I4142" s="1">
        <v>493000</v>
      </c>
      <c r="J4142" s="1">
        <v>869760</v>
      </c>
      <c r="K4142">
        <v>20</v>
      </c>
      <c r="L4142">
        <v>1.69</v>
      </c>
      <c r="M4142">
        <v>1.7</v>
      </c>
      <c r="N4142" s="1">
        <v>5000000</v>
      </c>
      <c r="O4142">
        <v>1.7</v>
      </c>
      <c r="P4142">
        <v>2.52</v>
      </c>
      <c r="Q4142">
        <v>0.88</v>
      </c>
    </row>
    <row r="4143" spans="1:17" x14ac:dyDescent="0.25">
      <c r="A4143">
        <v>733071</v>
      </c>
      <c r="B4143" t="s">
        <v>5455</v>
      </c>
      <c r="C4143">
        <v>0.71</v>
      </c>
      <c r="D4143">
        <v>-0.08</v>
      </c>
      <c r="E4143">
        <v>0.77</v>
      </c>
      <c r="F4143">
        <v>0.82</v>
      </c>
      <c r="G4143">
        <v>0.68</v>
      </c>
      <c r="H4143">
        <v>0.74</v>
      </c>
      <c r="I4143" s="1">
        <v>3388000</v>
      </c>
      <c r="J4143" s="1">
        <v>2507950</v>
      </c>
      <c r="K4143">
        <v>117</v>
      </c>
      <c r="L4143">
        <v>0.71</v>
      </c>
      <c r="M4143">
        <v>0.72</v>
      </c>
      <c r="N4143" s="1">
        <v>5000000</v>
      </c>
      <c r="O4143">
        <v>0.71</v>
      </c>
      <c r="P4143">
        <v>1.55</v>
      </c>
      <c r="Q4143">
        <v>0.01</v>
      </c>
    </row>
    <row r="4144" spans="1:17" x14ac:dyDescent="0.25">
      <c r="A4144">
        <v>733072</v>
      </c>
      <c r="B4144" t="s">
        <v>5456</v>
      </c>
      <c r="C4144">
        <v>0.68</v>
      </c>
      <c r="D4144">
        <v>-7.0000000000000007E-2</v>
      </c>
      <c r="E4144">
        <v>0.75</v>
      </c>
      <c r="F4144">
        <v>0.78</v>
      </c>
      <c r="G4144">
        <v>0.63</v>
      </c>
      <c r="H4144">
        <v>0.72</v>
      </c>
      <c r="I4144" s="1">
        <v>2815000</v>
      </c>
      <c r="J4144" s="1">
        <v>2021980</v>
      </c>
      <c r="K4144">
        <v>89</v>
      </c>
      <c r="L4144">
        <v>0.68</v>
      </c>
      <c r="M4144">
        <v>0.75</v>
      </c>
      <c r="N4144" s="1">
        <v>5000000</v>
      </c>
      <c r="O4144">
        <v>0.68</v>
      </c>
      <c r="P4144">
        <v>1.8</v>
      </c>
      <c r="Q4144">
        <v>0.01</v>
      </c>
    </row>
    <row r="4145" spans="1:17" x14ac:dyDescent="0.25">
      <c r="A4145">
        <v>733073</v>
      </c>
      <c r="B4145" t="s">
        <v>5457</v>
      </c>
      <c r="C4145">
        <v>0.65</v>
      </c>
      <c r="D4145">
        <v>-0.05</v>
      </c>
      <c r="E4145">
        <v>0.64</v>
      </c>
      <c r="F4145">
        <v>0.67</v>
      </c>
      <c r="G4145">
        <v>0.63</v>
      </c>
      <c r="H4145">
        <v>0.66</v>
      </c>
      <c r="I4145" s="1">
        <v>339000</v>
      </c>
      <c r="J4145" s="1">
        <v>223400</v>
      </c>
      <c r="K4145">
        <v>8</v>
      </c>
      <c r="L4145">
        <v>0.64</v>
      </c>
      <c r="M4145">
        <v>0.66</v>
      </c>
      <c r="N4145" s="1">
        <v>5000000</v>
      </c>
      <c r="O4145">
        <v>0.65</v>
      </c>
      <c r="P4145">
        <v>1.34</v>
      </c>
      <c r="Q4145">
        <v>0.01</v>
      </c>
    </row>
    <row r="4146" spans="1:17" x14ac:dyDescent="0.25">
      <c r="A4146">
        <v>733074</v>
      </c>
      <c r="B4146" t="s">
        <v>5458</v>
      </c>
      <c r="C4146">
        <v>0.4</v>
      </c>
      <c r="D4146">
        <v>0</v>
      </c>
      <c r="E4146">
        <v>0.41</v>
      </c>
      <c r="F4146">
        <v>0.41</v>
      </c>
      <c r="G4146">
        <v>0.39</v>
      </c>
      <c r="H4146">
        <v>0.4</v>
      </c>
      <c r="I4146" s="1">
        <v>70000</v>
      </c>
      <c r="J4146" s="1">
        <v>27900</v>
      </c>
      <c r="K4146">
        <v>5</v>
      </c>
      <c r="L4146">
        <v>0.4</v>
      </c>
      <c r="M4146">
        <v>0.41</v>
      </c>
      <c r="N4146" s="1">
        <v>10000000</v>
      </c>
      <c r="O4146">
        <v>0.4</v>
      </c>
      <c r="P4146">
        <v>1.31</v>
      </c>
      <c r="Q4146">
        <v>0.01</v>
      </c>
    </row>
    <row r="4147" spans="1:17" x14ac:dyDescent="0.25">
      <c r="A4147">
        <v>733075</v>
      </c>
      <c r="B4147" t="s">
        <v>5459</v>
      </c>
      <c r="C4147">
        <v>1.82</v>
      </c>
      <c r="D4147">
        <v>0.04</v>
      </c>
      <c r="E4147">
        <v>1.74</v>
      </c>
      <c r="F4147">
        <v>1.86</v>
      </c>
      <c r="G4147">
        <v>1.66</v>
      </c>
      <c r="H4147">
        <v>1.75</v>
      </c>
      <c r="I4147" s="1">
        <v>326000</v>
      </c>
      <c r="J4147" s="1">
        <v>569090</v>
      </c>
      <c r="K4147">
        <v>42</v>
      </c>
      <c r="L4147">
        <v>1.82</v>
      </c>
      <c r="M4147">
        <v>1.86</v>
      </c>
      <c r="N4147" s="1">
        <v>5000000</v>
      </c>
      <c r="O4147">
        <v>1.82</v>
      </c>
      <c r="P4147">
        <v>2.61</v>
      </c>
      <c r="Q4147">
        <v>1.03</v>
      </c>
    </row>
    <row r="4148" spans="1:17" x14ac:dyDescent="0.25">
      <c r="A4148">
        <v>733076</v>
      </c>
      <c r="B4148" t="s">
        <v>5460</v>
      </c>
      <c r="C4148">
        <v>1.02</v>
      </c>
      <c r="D4148">
        <v>-0.08</v>
      </c>
      <c r="E4148">
        <v>1.07</v>
      </c>
      <c r="F4148">
        <v>1.07</v>
      </c>
      <c r="G4148">
        <v>1.02</v>
      </c>
      <c r="H4148">
        <v>1.06</v>
      </c>
      <c r="I4148" s="1">
        <v>165000</v>
      </c>
      <c r="J4148" s="1">
        <v>174520</v>
      </c>
      <c r="K4148">
        <v>10</v>
      </c>
      <c r="L4148">
        <v>1.01</v>
      </c>
      <c r="M4148">
        <v>1.02</v>
      </c>
      <c r="N4148" s="1">
        <v>10000000</v>
      </c>
      <c r="O4148">
        <v>1.02</v>
      </c>
      <c r="P4148">
        <v>1.59</v>
      </c>
      <c r="Q4148">
        <v>0.45</v>
      </c>
    </row>
    <row r="4149" spans="1:17" x14ac:dyDescent="0.25">
      <c r="A4149">
        <v>733077</v>
      </c>
      <c r="B4149" t="s">
        <v>5461</v>
      </c>
      <c r="C4149">
        <v>1.0900000000000001</v>
      </c>
      <c r="D4149">
        <v>0.05</v>
      </c>
      <c r="E4149">
        <v>1.1100000000000001</v>
      </c>
      <c r="F4149">
        <v>1.1299999999999999</v>
      </c>
      <c r="G4149">
        <v>1.0900000000000001</v>
      </c>
      <c r="H4149">
        <v>1.1000000000000001</v>
      </c>
      <c r="I4149" s="1">
        <v>326000</v>
      </c>
      <c r="J4149" s="1">
        <v>358540</v>
      </c>
      <c r="K4149">
        <v>8</v>
      </c>
      <c r="L4149">
        <v>1.08</v>
      </c>
      <c r="M4149">
        <v>1.0900000000000001</v>
      </c>
      <c r="N4149" s="1">
        <v>10000000</v>
      </c>
      <c r="O4149">
        <v>1.0900000000000001</v>
      </c>
      <c r="P4149">
        <v>2.08</v>
      </c>
      <c r="Q4149">
        <v>0.1</v>
      </c>
    </row>
    <row r="4150" spans="1:17" x14ac:dyDescent="0.25">
      <c r="A4150">
        <v>733078</v>
      </c>
      <c r="B4150" t="s">
        <v>5462</v>
      </c>
      <c r="C4150" t="s">
        <v>78</v>
      </c>
      <c r="D4150" t="s">
        <v>78</v>
      </c>
      <c r="E4150" t="s">
        <v>78</v>
      </c>
      <c r="F4150" t="s">
        <v>78</v>
      </c>
      <c r="G4150" t="s">
        <v>78</v>
      </c>
      <c r="H4150">
        <v>0.45</v>
      </c>
      <c r="I4150" s="1">
        <v>0</v>
      </c>
      <c r="J4150" s="1">
        <v>0</v>
      </c>
      <c r="K4150">
        <v>0</v>
      </c>
      <c r="L4150">
        <v>0.41</v>
      </c>
      <c r="M4150">
        <v>0.42</v>
      </c>
      <c r="N4150" s="1">
        <v>5000000</v>
      </c>
      <c r="O4150">
        <v>0.42</v>
      </c>
      <c r="P4150">
        <v>0.92</v>
      </c>
      <c r="Q4150">
        <v>0.01</v>
      </c>
    </row>
    <row r="4151" spans="1:17" x14ac:dyDescent="0.25">
      <c r="A4151">
        <v>733079</v>
      </c>
      <c r="B4151" t="s">
        <v>5463</v>
      </c>
      <c r="C4151">
        <v>0.68</v>
      </c>
      <c r="D4151">
        <v>0.06</v>
      </c>
      <c r="E4151">
        <v>0.66</v>
      </c>
      <c r="F4151">
        <v>0.68</v>
      </c>
      <c r="G4151">
        <v>0.66</v>
      </c>
      <c r="H4151">
        <v>0.67</v>
      </c>
      <c r="I4151" s="1">
        <v>196000</v>
      </c>
      <c r="J4151" s="1">
        <v>131280</v>
      </c>
      <c r="K4151" s="1">
        <v>2</v>
      </c>
      <c r="L4151">
        <v>0.69</v>
      </c>
      <c r="M4151">
        <v>0.7</v>
      </c>
      <c r="N4151" s="1">
        <v>10000000</v>
      </c>
      <c r="O4151">
        <v>0.68</v>
      </c>
      <c r="P4151">
        <v>1.41</v>
      </c>
      <c r="Q4151">
        <v>0.01</v>
      </c>
    </row>
    <row r="4152" spans="1:17" x14ac:dyDescent="0.25">
      <c r="A4152">
        <v>733080</v>
      </c>
      <c r="B4152" t="s">
        <v>5464</v>
      </c>
      <c r="C4152">
        <v>1.19</v>
      </c>
      <c r="D4152">
        <v>0.02</v>
      </c>
      <c r="E4152">
        <v>1.19</v>
      </c>
      <c r="F4152">
        <v>1.19</v>
      </c>
      <c r="G4152">
        <v>1.19</v>
      </c>
      <c r="H4152">
        <v>1.19</v>
      </c>
      <c r="I4152" s="1">
        <v>10000</v>
      </c>
      <c r="J4152" s="1">
        <v>11900</v>
      </c>
      <c r="K4152">
        <v>1</v>
      </c>
      <c r="L4152">
        <v>1.2</v>
      </c>
      <c r="M4152">
        <v>1.21</v>
      </c>
      <c r="N4152" s="1">
        <v>10000000</v>
      </c>
      <c r="O4152">
        <v>1.19</v>
      </c>
      <c r="P4152">
        <v>2.0499999999999998</v>
      </c>
      <c r="Q4152">
        <v>0.33</v>
      </c>
    </row>
    <row r="4153" spans="1:17" x14ac:dyDescent="0.25">
      <c r="A4153">
        <v>733081</v>
      </c>
      <c r="B4153" t="s">
        <v>5465</v>
      </c>
      <c r="C4153" t="s">
        <v>78</v>
      </c>
      <c r="D4153" t="s">
        <v>78</v>
      </c>
      <c r="E4153" t="s">
        <v>78</v>
      </c>
      <c r="F4153" t="s">
        <v>78</v>
      </c>
      <c r="G4153" t="s">
        <v>78</v>
      </c>
      <c r="H4153">
        <v>0.2</v>
      </c>
      <c r="I4153" s="1">
        <v>0</v>
      </c>
      <c r="J4153" s="1">
        <v>0</v>
      </c>
      <c r="K4153">
        <v>0</v>
      </c>
      <c r="L4153">
        <v>0.19</v>
      </c>
      <c r="M4153">
        <v>0.2</v>
      </c>
      <c r="N4153" s="1">
        <v>5000000</v>
      </c>
      <c r="O4153">
        <v>0.2</v>
      </c>
      <c r="P4153">
        <v>0.49</v>
      </c>
      <c r="Q4153">
        <v>0.01</v>
      </c>
    </row>
    <row r="4154" spans="1:17" x14ac:dyDescent="0.25">
      <c r="A4154">
        <v>733082</v>
      </c>
      <c r="B4154" t="s">
        <v>5466</v>
      </c>
      <c r="C4154">
        <v>0.75</v>
      </c>
      <c r="D4154">
        <v>0.01</v>
      </c>
      <c r="E4154">
        <v>0.75</v>
      </c>
      <c r="F4154">
        <v>0.8</v>
      </c>
      <c r="G4154">
        <v>0.75</v>
      </c>
      <c r="H4154">
        <v>0.78</v>
      </c>
      <c r="I4154" s="1">
        <v>752000</v>
      </c>
      <c r="J4154" s="1">
        <v>582800</v>
      </c>
      <c r="K4154">
        <v>16</v>
      </c>
      <c r="L4154">
        <v>0.74</v>
      </c>
      <c r="M4154">
        <v>0.75</v>
      </c>
      <c r="N4154" s="1">
        <v>5000000</v>
      </c>
      <c r="O4154">
        <v>0.75</v>
      </c>
      <c r="P4154">
        <v>1.25</v>
      </c>
      <c r="Q4154">
        <v>0.25</v>
      </c>
    </row>
    <row r="4155" spans="1:17" x14ac:dyDescent="0.25">
      <c r="A4155">
        <v>733083</v>
      </c>
      <c r="B4155" t="s">
        <v>5467</v>
      </c>
      <c r="C4155">
        <v>0.31</v>
      </c>
      <c r="D4155">
        <v>0</v>
      </c>
      <c r="E4155">
        <v>0.28000000000000003</v>
      </c>
      <c r="F4155">
        <v>0.31</v>
      </c>
      <c r="G4155">
        <v>0.27</v>
      </c>
      <c r="H4155">
        <v>0.28000000000000003</v>
      </c>
      <c r="I4155" s="1">
        <v>620000</v>
      </c>
      <c r="J4155" s="1">
        <v>175620</v>
      </c>
      <c r="K4155">
        <v>8</v>
      </c>
      <c r="L4155">
        <v>0.28000000000000003</v>
      </c>
      <c r="M4155">
        <v>0.28999999999999998</v>
      </c>
      <c r="N4155" s="1">
        <v>10000000</v>
      </c>
      <c r="O4155">
        <v>0.31</v>
      </c>
      <c r="P4155">
        <v>1.06</v>
      </c>
      <c r="Q4155">
        <v>0.01</v>
      </c>
    </row>
    <row r="4156" spans="1:17" x14ac:dyDescent="0.25">
      <c r="A4156">
        <v>733084</v>
      </c>
      <c r="B4156" t="s">
        <v>5468</v>
      </c>
      <c r="C4156">
        <v>0.61</v>
      </c>
      <c r="D4156">
        <v>-0.05</v>
      </c>
      <c r="E4156">
        <v>0.61</v>
      </c>
      <c r="F4156">
        <v>0.61</v>
      </c>
      <c r="G4156">
        <v>0.61</v>
      </c>
      <c r="H4156">
        <v>0.61</v>
      </c>
      <c r="I4156" s="1">
        <v>58000</v>
      </c>
      <c r="J4156" s="1">
        <v>35380</v>
      </c>
      <c r="K4156">
        <v>1</v>
      </c>
      <c r="L4156">
        <v>0.61</v>
      </c>
      <c r="M4156">
        <v>0.62</v>
      </c>
      <c r="N4156" s="1">
        <v>10000000</v>
      </c>
      <c r="O4156">
        <v>0.61</v>
      </c>
      <c r="P4156">
        <v>1.29</v>
      </c>
      <c r="Q4156">
        <v>0.01</v>
      </c>
    </row>
    <row r="4157" spans="1:17" x14ac:dyDescent="0.25">
      <c r="A4157">
        <v>733085</v>
      </c>
      <c r="B4157" t="s">
        <v>5469</v>
      </c>
      <c r="C4157">
        <v>1.36</v>
      </c>
      <c r="D4157">
        <v>0.01</v>
      </c>
      <c r="E4157">
        <v>1.38</v>
      </c>
      <c r="F4157">
        <v>1.38</v>
      </c>
      <c r="G4157">
        <v>1.36</v>
      </c>
      <c r="H4157">
        <v>1.37</v>
      </c>
      <c r="I4157" s="1">
        <v>17000</v>
      </c>
      <c r="J4157" s="1">
        <v>23320</v>
      </c>
      <c r="K4157">
        <v>2</v>
      </c>
      <c r="L4157">
        <v>1.36</v>
      </c>
      <c r="M4157">
        <v>1.37</v>
      </c>
      <c r="N4157" s="1">
        <v>10000000</v>
      </c>
      <c r="O4157">
        <v>1.36</v>
      </c>
      <c r="P4157">
        <v>2.0299999999999998</v>
      </c>
      <c r="Q4157">
        <v>0.69</v>
      </c>
    </row>
    <row r="4158" spans="1:17" x14ac:dyDescent="0.25">
      <c r="A4158">
        <v>733086</v>
      </c>
      <c r="B4158" t="s">
        <v>5470</v>
      </c>
      <c r="C4158">
        <v>0.96</v>
      </c>
      <c r="D4158">
        <v>-0.05</v>
      </c>
      <c r="E4158">
        <v>0.96</v>
      </c>
      <c r="F4158">
        <v>1.02</v>
      </c>
      <c r="G4158">
        <v>0.95</v>
      </c>
      <c r="H4158">
        <v>0.97</v>
      </c>
      <c r="I4158" s="1">
        <v>631000</v>
      </c>
      <c r="J4158" s="1">
        <v>612210</v>
      </c>
      <c r="K4158">
        <v>24</v>
      </c>
      <c r="L4158">
        <v>0.94</v>
      </c>
      <c r="M4158">
        <v>0.96</v>
      </c>
      <c r="N4158" s="1">
        <v>5000000</v>
      </c>
      <c r="O4158">
        <v>0.96</v>
      </c>
      <c r="P4158">
        <v>2.19</v>
      </c>
      <c r="Q4158">
        <v>0.01</v>
      </c>
    </row>
    <row r="4159" spans="1:17" x14ac:dyDescent="0.25">
      <c r="A4159">
        <v>733087</v>
      </c>
      <c r="B4159" t="s">
        <v>5471</v>
      </c>
      <c r="C4159">
        <v>1.03</v>
      </c>
      <c r="D4159">
        <v>-0.06</v>
      </c>
      <c r="E4159">
        <v>1.03</v>
      </c>
      <c r="F4159">
        <v>1.03</v>
      </c>
      <c r="G4159">
        <v>1.03</v>
      </c>
      <c r="H4159">
        <v>1.03</v>
      </c>
      <c r="I4159" s="1">
        <v>20000</v>
      </c>
      <c r="J4159" s="1">
        <v>20600</v>
      </c>
      <c r="K4159">
        <v>2</v>
      </c>
      <c r="L4159">
        <v>1.01</v>
      </c>
      <c r="M4159">
        <v>1.02</v>
      </c>
      <c r="N4159" s="1">
        <v>5000000</v>
      </c>
      <c r="O4159">
        <v>1.03</v>
      </c>
      <c r="P4159">
        <v>1.75</v>
      </c>
      <c r="Q4159">
        <v>0.31</v>
      </c>
    </row>
    <row r="4160" spans="1:17" x14ac:dyDescent="0.25">
      <c r="A4160">
        <v>733088</v>
      </c>
      <c r="B4160" t="s">
        <v>5472</v>
      </c>
      <c r="C4160">
        <v>0.95</v>
      </c>
      <c r="D4160">
        <v>-0.04</v>
      </c>
      <c r="E4160">
        <v>1.03</v>
      </c>
      <c r="F4160">
        <v>1.05</v>
      </c>
      <c r="G4160">
        <v>0.95</v>
      </c>
      <c r="H4160">
        <v>0.99</v>
      </c>
      <c r="I4160" s="1">
        <v>465000</v>
      </c>
      <c r="J4160" s="1">
        <v>458670</v>
      </c>
      <c r="K4160">
        <v>32</v>
      </c>
      <c r="L4160">
        <v>0.94</v>
      </c>
      <c r="M4160">
        <v>0.95</v>
      </c>
      <c r="N4160" s="1">
        <v>5000000</v>
      </c>
      <c r="O4160">
        <v>0.95</v>
      </c>
      <c r="P4160">
        <v>1.58</v>
      </c>
      <c r="Q4160">
        <v>0.32</v>
      </c>
    </row>
    <row r="4161" spans="1:17" x14ac:dyDescent="0.25">
      <c r="A4161">
        <v>733089</v>
      </c>
      <c r="B4161" t="s">
        <v>5473</v>
      </c>
      <c r="C4161">
        <v>0.67</v>
      </c>
      <c r="D4161">
        <v>0</v>
      </c>
      <c r="E4161">
        <v>0.7</v>
      </c>
      <c r="F4161">
        <v>0.71</v>
      </c>
      <c r="G4161">
        <v>0.67</v>
      </c>
      <c r="H4161">
        <v>0.7</v>
      </c>
      <c r="I4161" s="1">
        <v>106000</v>
      </c>
      <c r="J4161" s="1">
        <v>74200</v>
      </c>
      <c r="K4161">
        <v>7</v>
      </c>
      <c r="L4161">
        <v>0.67</v>
      </c>
      <c r="M4161">
        <v>0.68</v>
      </c>
      <c r="N4161" s="1">
        <v>10000000</v>
      </c>
      <c r="O4161">
        <v>0.67</v>
      </c>
      <c r="P4161">
        <v>1.51</v>
      </c>
      <c r="Q4161">
        <v>0.01</v>
      </c>
    </row>
    <row r="4162" spans="1:17" x14ac:dyDescent="0.25">
      <c r="A4162">
        <v>733090</v>
      </c>
      <c r="B4162" t="s">
        <v>5474</v>
      </c>
      <c r="C4162">
        <v>1.38</v>
      </c>
      <c r="D4162">
        <v>0.02</v>
      </c>
      <c r="E4162">
        <v>1.37</v>
      </c>
      <c r="F4162">
        <v>1.38</v>
      </c>
      <c r="G4162">
        <v>1.37</v>
      </c>
      <c r="H4162">
        <v>1.38</v>
      </c>
      <c r="I4162" s="1">
        <v>115000</v>
      </c>
      <c r="J4162" s="1">
        <v>158600</v>
      </c>
      <c r="K4162">
        <v>3</v>
      </c>
      <c r="L4162">
        <v>1.39</v>
      </c>
      <c r="M4162">
        <v>1.44</v>
      </c>
      <c r="N4162" s="1">
        <v>10000000</v>
      </c>
      <c r="O4162">
        <v>1.38</v>
      </c>
      <c r="P4162">
        <v>2.2799999999999998</v>
      </c>
      <c r="Q4162">
        <v>0.48</v>
      </c>
    </row>
    <row r="4163" spans="1:17" x14ac:dyDescent="0.25">
      <c r="A4163">
        <v>733091</v>
      </c>
      <c r="B4163" t="s">
        <v>5475</v>
      </c>
      <c r="C4163">
        <v>2.27</v>
      </c>
      <c r="D4163">
        <v>-0.18</v>
      </c>
      <c r="E4163">
        <v>2.6</v>
      </c>
      <c r="F4163">
        <v>2.68</v>
      </c>
      <c r="G4163">
        <v>2.27</v>
      </c>
      <c r="H4163">
        <v>2.6</v>
      </c>
      <c r="I4163" s="1">
        <v>396000</v>
      </c>
      <c r="J4163" s="1">
        <v>1030590</v>
      </c>
      <c r="K4163">
        <v>33</v>
      </c>
      <c r="L4163">
        <v>2.27</v>
      </c>
      <c r="M4163">
        <v>2.31</v>
      </c>
      <c r="N4163" s="1">
        <v>10000000</v>
      </c>
      <c r="O4163">
        <v>2.27</v>
      </c>
      <c r="P4163">
        <v>3.34</v>
      </c>
      <c r="Q4163">
        <v>1.2</v>
      </c>
    </row>
    <row r="4164" spans="1:17" x14ac:dyDescent="0.25">
      <c r="A4164">
        <v>733092</v>
      </c>
      <c r="B4164" t="s">
        <v>5476</v>
      </c>
      <c r="C4164">
        <v>1.66</v>
      </c>
      <c r="D4164">
        <v>-0.01</v>
      </c>
      <c r="E4164">
        <v>1.89</v>
      </c>
      <c r="F4164">
        <v>1.89</v>
      </c>
      <c r="G4164">
        <v>1.66</v>
      </c>
      <c r="H4164">
        <v>1.69</v>
      </c>
      <c r="I4164" s="1">
        <v>241000</v>
      </c>
      <c r="J4164" s="1">
        <v>407290</v>
      </c>
      <c r="K4164" s="1">
        <v>4</v>
      </c>
      <c r="L4164">
        <v>1.65</v>
      </c>
      <c r="M4164">
        <v>1.66</v>
      </c>
      <c r="N4164" s="1">
        <v>20000000</v>
      </c>
      <c r="O4164">
        <v>1.66</v>
      </c>
      <c r="P4164">
        <v>3.14</v>
      </c>
      <c r="Q4164">
        <v>0.18</v>
      </c>
    </row>
    <row r="4165" spans="1:17" x14ac:dyDescent="0.25">
      <c r="A4165">
        <v>733093</v>
      </c>
      <c r="B4165" t="s">
        <v>5477</v>
      </c>
      <c r="C4165" t="s">
        <v>78</v>
      </c>
      <c r="D4165" t="s">
        <v>78</v>
      </c>
      <c r="E4165" t="s">
        <v>78</v>
      </c>
      <c r="F4165" t="s">
        <v>78</v>
      </c>
      <c r="G4165" t="s">
        <v>78</v>
      </c>
      <c r="H4165">
        <v>2.39</v>
      </c>
      <c r="I4165" s="1">
        <v>0</v>
      </c>
      <c r="J4165" s="1">
        <v>0</v>
      </c>
      <c r="K4165">
        <v>0</v>
      </c>
      <c r="L4165">
        <v>2.08</v>
      </c>
      <c r="M4165">
        <v>2.09</v>
      </c>
      <c r="N4165" s="1">
        <v>5000000</v>
      </c>
      <c r="O4165">
        <v>2.09</v>
      </c>
      <c r="P4165">
        <v>3.42</v>
      </c>
      <c r="Q4165">
        <v>0.74</v>
      </c>
    </row>
    <row r="4166" spans="1:17" x14ac:dyDescent="0.25">
      <c r="A4166">
        <v>733094</v>
      </c>
      <c r="B4166" t="s">
        <v>5478</v>
      </c>
      <c r="C4166">
        <v>1.56</v>
      </c>
      <c r="D4166">
        <v>-0.03</v>
      </c>
      <c r="E4166">
        <v>1.57</v>
      </c>
      <c r="F4166">
        <v>1.67</v>
      </c>
      <c r="G4166">
        <v>1.53</v>
      </c>
      <c r="H4166">
        <v>1.59</v>
      </c>
      <c r="I4166" s="1">
        <v>312000</v>
      </c>
      <c r="J4166" s="1">
        <v>496160</v>
      </c>
      <c r="K4166">
        <v>16</v>
      </c>
      <c r="L4166">
        <v>1.53</v>
      </c>
      <c r="M4166">
        <v>1.55</v>
      </c>
      <c r="N4166" s="1">
        <v>5000000</v>
      </c>
      <c r="O4166">
        <v>1.56</v>
      </c>
      <c r="P4166">
        <v>2.5099999999999998</v>
      </c>
      <c r="Q4166">
        <v>0.59</v>
      </c>
    </row>
    <row r="4167" spans="1:17" x14ac:dyDescent="0.25">
      <c r="A4167">
        <v>733095</v>
      </c>
      <c r="B4167" t="s">
        <v>5479</v>
      </c>
      <c r="C4167" t="s">
        <v>78</v>
      </c>
      <c r="D4167" t="s">
        <v>78</v>
      </c>
      <c r="E4167" t="s">
        <v>78</v>
      </c>
      <c r="F4167" t="s">
        <v>78</v>
      </c>
      <c r="G4167" t="s">
        <v>78</v>
      </c>
      <c r="H4167">
        <v>0.59</v>
      </c>
      <c r="I4167" s="1">
        <v>0</v>
      </c>
      <c r="J4167" s="1">
        <v>0</v>
      </c>
      <c r="K4167" s="1">
        <v>0</v>
      </c>
      <c r="L4167">
        <v>0.63</v>
      </c>
      <c r="M4167">
        <v>0.64</v>
      </c>
      <c r="N4167" s="1">
        <v>5000000</v>
      </c>
      <c r="O4167">
        <v>0.64</v>
      </c>
      <c r="P4167">
        <v>1.51</v>
      </c>
      <c r="Q4167">
        <v>0.01</v>
      </c>
    </row>
    <row r="4168" spans="1:17" x14ac:dyDescent="0.25">
      <c r="A4168">
        <v>733096</v>
      </c>
      <c r="B4168" t="s">
        <v>5480</v>
      </c>
      <c r="C4168">
        <v>0.99</v>
      </c>
      <c r="D4168">
        <v>0.03</v>
      </c>
      <c r="E4168">
        <v>0.95</v>
      </c>
      <c r="F4168">
        <v>1.07</v>
      </c>
      <c r="G4168">
        <v>0.94</v>
      </c>
      <c r="H4168">
        <v>0.99</v>
      </c>
      <c r="I4168" s="1">
        <v>103000</v>
      </c>
      <c r="J4168" s="1">
        <v>101530</v>
      </c>
      <c r="K4168" s="1">
        <v>14</v>
      </c>
      <c r="L4168">
        <v>0.98</v>
      </c>
      <c r="M4168">
        <v>0.99</v>
      </c>
      <c r="N4168" s="1">
        <v>5000000</v>
      </c>
      <c r="O4168">
        <v>0.99</v>
      </c>
      <c r="P4168">
        <v>2.54</v>
      </c>
      <c r="Q4168">
        <v>0.01</v>
      </c>
    </row>
    <row r="4169" spans="1:17" x14ac:dyDescent="0.25">
      <c r="A4169">
        <v>733097</v>
      </c>
      <c r="B4169" t="s">
        <v>5481</v>
      </c>
      <c r="C4169">
        <v>0.65</v>
      </c>
      <c r="D4169">
        <v>0.04</v>
      </c>
      <c r="E4169">
        <v>0.6</v>
      </c>
      <c r="F4169">
        <v>0.65</v>
      </c>
      <c r="G4169">
        <v>0.56999999999999995</v>
      </c>
      <c r="H4169">
        <v>0.59</v>
      </c>
      <c r="I4169" s="1">
        <v>768000</v>
      </c>
      <c r="J4169" s="1">
        <v>450580</v>
      </c>
      <c r="K4169">
        <v>26</v>
      </c>
      <c r="L4169">
        <v>0.64</v>
      </c>
      <c r="M4169">
        <v>0.65</v>
      </c>
      <c r="N4169" s="1">
        <v>5000000</v>
      </c>
      <c r="O4169">
        <v>0.65</v>
      </c>
      <c r="P4169">
        <v>1.21</v>
      </c>
      <c r="Q4169">
        <v>0.09</v>
      </c>
    </row>
    <row r="4170" spans="1:17" x14ac:dyDescent="0.25">
      <c r="A4170">
        <v>733098</v>
      </c>
      <c r="B4170" t="s">
        <v>5482</v>
      </c>
      <c r="C4170">
        <v>1.1000000000000001</v>
      </c>
      <c r="D4170">
        <v>0.04</v>
      </c>
      <c r="E4170">
        <v>1.1200000000000001</v>
      </c>
      <c r="F4170">
        <v>1.1399999999999999</v>
      </c>
      <c r="G4170">
        <v>1.1000000000000001</v>
      </c>
      <c r="H4170">
        <v>1.1100000000000001</v>
      </c>
      <c r="I4170" s="1">
        <v>244000</v>
      </c>
      <c r="J4170" s="1">
        <v>271700</v>
      </c>
      <c r="K4170">
        <v>9</v>
      </c>
      <c r="L4170">
        <v>1.0900000000000001</v>
      </c>
      <c r="M4170">
        <v>1.1000000000000001</v>
      </c>
      <c r="N4170" s="1">
        <v>10000000</v>
      </c>
      <c r="O4170">
        <v>1.1000000000000001</v>
      </c>
      <c r="P4170">
        <v>1.86</v>
      </c>
      <c r="Q4170">
        <v>0.34</v>
      </c>
    </row>
    <row r="4171" spans="1:17" x14ac:dyDescent="0.25">
      <c r="A4171">
        <v>733099</v>
      </c>
      <c r="B4171" t="s">
        <v>5483</v>
      </c>
      <c r="C4171">
        <v>0.45</v>
      </c>
      <c r="D4171">
        <v>0.03</v>
      </c>
      <c r="E4171">
        <v>0.47</v>
      </c>
      <c r="F4171">
        <v>0.47</v>
      </c>
      <c r="G4171">
        <v>0.45</v>
      </c>
      <c r="H4171">
        <v>0.47</v>
      </c>
      <c r="I4171" s="1">
        <v>605000</v>
      </c>
      <c r="J4171" s="1">
        <v>281950</v>
      </c>
      <c r="K4171">
        <v>6</v>
      </c>
      <c r="L4171">
        <v>0.44</v>
      </c>
      <c r="M4171">
        <v>0.45</v>
      </c>
      <c r="N4171" s="1">
        <v>5000000</v>
      </c>
      <c r="O4171">
        <v>0.45</v>
      </c>
      <c r="P4171">
        <v>0.85</v>
      </c>
      <c r="Q4171">
        <v>0.04</v>
      </c>
    </row>
    <row r="4172" spans="1:17" x14ac:dyDescent="0.25">
      <c r="A4172">
        <v>733100</v>
      </c>
      <c r="B4172" t="s">
        <v>5484</v>
      </c>
      <c r="C4172">
        <v>0.56000000000000005</v>
      </c>
      <c r="D4172">
        <v>0.03</v>
      </c>
      <c r="E4172">
        <v>0.54</v>
      </c>
      <c r="F4172">
        <v>0.56000000000000005</v>
      </c>
      <c r="G4172">
        <v>0.54</v>
      </c>
      <c r="H4172">
        <v>0.54</v>
      </c>
      <c r="I4172" s="1">
        <v>470000</v>
      </c>
      <c r="J4172" s="1">
        <v>255640</v>
      </c>
      <c r="K4172">
        <v>4</v>
      </c>
      <c r="L4172">
        <v>0.54</v>
      </c>
      <c r="M4172">
        <v>0.55000000000000004</v>
      </c>
      <c r="N4172" s="1">
        <v>5000000</v>
      </c>
      <c r="O4172">
        <v>0.56000000000000005</v>
      </c>
      <c r="P4172">
        <v>1.05</v>
      </c>
      <c r="Q4172">
        <v>7.0000000000000007E-2</v>
      </c>
    </row>
    <row r="4173" spans="1:17" x14ac:dyDescent="0.25">
      <c r="A4173">
        <v>733101</v>
      </c>
      <c r="B4173" t="s">
        <v>5485</v>
      </c>
      <c r="C4173">
        <v>0.36</v>
      </c>
      <c r="D4173">
        <v>-0.04</v>
      </c>
      <c r="E4173">
        <v>0.37</v>
      </c>
      <c r="F4173">
        <v>0.37</v>
      </c>
      <c r="G4173">
        <v>0.36</v>
      </c>
      <c r="H4173">
        <v>0.37</v>
      </c>
      <c r="I4173" s="1">
        <v>25000</v>
      </c>
      <c r="J4173" s="1">
        <v>9200</v>
      </c>
      <c r="K4173">
        <v>3</v>
      </c>
      <c r="L4173">
        <v>0.36</v>
      </c>
      <c r="M4173">
        <v>0.37</v>
      </c>
      <c r="N4173" s="1">
        <v>5000000</v>
      </c>
      <c r="O4173">
        <v>0.36</v>
      </c>
      <c r="P4173">
        <v>1.28</v>
      </c>
      <c r="Q4173">
        <v>0.01</v>
      </c>
    </row>
    <row r="4174" spans="1:17" x14ac:dyDescent="0.25">
      <c r="A4174">
        <v>733102</v>
      </c>
      <c r="B4174" t="s">
        <v>5486</v>
      </c>
      <c r="C4174" t="s">
        <v>78</v>
      </c>
      <c r="D4174" t="s">
        <v>78</v>
      </c>
      <c r="E4174" t="s">
        <v>78</v>
      </c>
      <c r="F4174" t="s">
        <v>78</v>
      </c>
      <c r="G4174" t="s">
        <v>78</v>
      </c>
      <c r="H4174">
        <v>0.68</v>
      </c>
      <c r="I4174" s="1">
        <v>0</v>
      </c>
      <c r="J4174" s="1">
        <v>0</v>
      </c>
      <c r="K4174">
        <v>0</v>
      </c>
      <c r="L4174">
        <v>0.64</v>
      </c>
      <c r="M4174">
        <v>0.65</v>
      </c>
      <c r="N4174" s="1">
        <v>5000000</v>
      </c>
      <c r="O4174">
        <v>0.65</v>
      </c>
      <c r="P4174">
        <v>1.19</v>
      </c>
      <c r="Q4174">
        <v>0.11</v>
      </c>
    </row>
    <row r="4175" spans="1:17" x14ac:dyDescent="0.25">
      <c r="A4175">
        <v>733103</v>
      </c>
      <c r="B4175" t="s">
        <v>5487</v>
      </c>
      <c r="C4175">
        <v>1.1599999999999999</v>
      </c>
      <c r="D4175">
        <v>-0.04</v>
      </c>
      <c r="E4175">
        <v>1.26</v>
      </c>
      <c r="F4175">
        <v>1.27</v>
      </c>
      <c r="G4175">
        <v>1.1599999999999999</v>
      </c>
      <c r="H4175">
        <v>1.23</v>
      </c>
      <c r="I4175" s="1">
        <v>621000</v>
      </c>
      <c r="J4175" s="1">
        <v>765320</v>
      </c>
      <c r="K4175">
        <v>9</v>
      </c>
      <c r="L4175">
        <v>1.1499999999999999</v>
      </c>
      <c r="M4175">
        <v>1.1599999999999999</v>
      </c>
      <c r="N4175" s="1">
        <v>5000000</v>
      </c>
      <c r="O4175">
        <v>1.1599999999999999</v>
      </c>
      <c r="P4175">
        <v>2.14</v>
      </c>
      <c r="Q4175">
        <v>0.18</v>
      </c>
    </row>
    <row r="4176" spans="1:17" x14ac:dyDescent="0.25">
      <c r="A4176">
        <v>733104</v>
      </c>
      <c r="B4176" t="s">
        <v>5488</v>
      </c>
      <c r="C4176">
        <v>1.02</v>
      </c>
      <c r="D4176">
        <v>-0.06</v>
      </c>
      <c r="E4176">
        <v>1.03</v>
      </c>
      <c r="F4176">
        <v>1.04</v>
      </c>
      <c r="G4176">
        <v>1.01</v>
      </c>
      <c r="H4176">
        <v>1.03</v>
      </c>
      <c r="I4176" s="1">
        <v>1234000</v>
      </c>
      <c r="J4176" s="1">
        <v>1264960</v>
      </c>
      <c r="K4176">
        <v>11</v>
      </c>
      <c r="L4176">
        <v>1.03</v>
      </c>
      <c r="M4176">
        <v>1.04</v>
      </c>
      <c r="N4176" s="1">
        <v>10000000</v>
      </c>
      <c r="O4176">
        <v>1.02</v>
      </c>
      <c r="P4176">
        <v>1.71</v>
      </c>
      <c r="Q4176">
        <v>0.33</v>
      </c>
    </row>
    <row r="4177" spans="1:17" x14ac:dyDescent="0.25">
      <c r="A4177">
        <v>733105</v>
      </c>
      <c r="B4177" t="s">
        <v>5489</v>
      </c>
      <c r="C4177">
        <v>1.29</v>
      </c>
      <c r="D4177">
        <v>-0.01</v>
      </c>
      <c r="E4177">
        <v>1.29</v>
      </c>
      <c r="F4177">
        <v>1.29</v>
      </c>
      <c r="G4177">
        <v>1.29</v>
      </c>
      <c r="H4177">
        <v>1.29</v>
      </c>
      <c r="I4177" s="1">
        <v>2000</v>
      </c>
      <c r="J4177" s="1">
        <v>2580</v>
      </c>
      <c r="K4177">
        <v>1</v>
      </c>
      <c r="L4177">
        <v>1.25</v>
      </c>
      <c r="M4177">
        <v>1.27</v>
      </c>
      <c r="N4177" s="1">
        <v>10000000</v>
      </c>
      <c r="O4177">
        <v>1.29</v>
      </c>
      <c r="P4177">
        <v>1.91</v>
      </c>
      <c r="Q4177">
        <v>0.67</v>
      </c>
    </row>
    <row r="4178" spans="1:17" x14ac:dyDescent="0.25">
      <c r="A4178">
        <v>733106</v>
      </c>
      <c r="B4178" t="s">
        <v>5490</v>
      </c>
      <c r="C4178">
        <v>1.21</v>
      </c>
      <c r="D4178">
        <v>-0.1</v>
      </c>
      <c r="E4178">
        <v>1.28</v>
      </c>
      <c r="F4178">
        <v>1.28</v>
      </c>
      <c r="G4178">
        <v>1.19</v>
      </c>
      <c r="H4178">
        <v>1.26</v>
      </c>
      <c r="I4178" s="1">
        <v>2155000</v>
      </c>
      <c r="J4178" s="1">
        <v>2707250</v>
      </c>
      <c r="K4178">
        <v>47</v>
      </c>
      <c r="L4178">
        <v>1.2</v>
      </c>
      <c r="M4178">
        <v>1.21</v>
      </c>
      <c r="N4178" s="1">
        <v>5191000</v>
      </c>
      <c r="O4178">
        <v>1.21</v>
      </c>
      <c r="P4178">
        <v>2.06</v>
      </c>
      <c r="Q4178">
        <v>0.36</v>
      </c>
    </row>
    <row r="4179" spans="1:17" x14ac:dyDescent="0.25">
      <c r="A4179">
        <v>733107</v>
      </c>
      <c r="B4179" t="s">
        <v>5491</v>
      </c>
      <c r="C4179">
        <v>1.52</v>
      </c>
      <c r="D4179">
        <v>7.0000000000000007E-2</v>
      </c>
      <c r="E4179">
        <v>1.54</v>
      </c>
      <c r="F4179">
        <v>1.59</v>
      </c>
      <c r="G4179">
        <v>1.48</v>
      </c>
      <c r="H4179">
        <v>1.54</v>
      </c>
      <c r="I4179" s="1">
        <v>1373000</v>
      </c>
      <c r="J4179" s="1">
        <v>2108630</v>
      </c>
      <c r="K4179">
        <v>25</v>
      </c>
      <c r="L4179">
        <v>1.51</v>
      </c>
      <c r="M4179">
        <v>1.52</v>
      </c>
      <c r="N4179" s="1">
        <v>10000000</v>
      </c>
      <c r="O4179">
        <v>1.52</v>
      </c>
      <c r="P4179">
        <v>3.64</v>
      </c>
      <c r="Q4179">
        <v>0.01</v>
      </c>
    </row>
    <row r="4180" spans="1:17" x14ac:dyDescent="0.25">
      <c r="A4180">
        <v>733108</v>
      </c>
      <c r="B4180" t="s">
        <v>5492</v>
      </c>
      <c r="C4180">
        <v>0.59</v>
      </c>
      <c r="D4180">
        <v>0.03</v>
      </c>
      <c r="E4180">
        <v>0.61</v>
      </c>
      <c r="F4180">
        <v>0.62</v>
      </c>
      <c r="G4180">
        <v>0.57999999999999996</v>
      </c>
      <c r="H4180">
        <v>0.6</v>
      </c>
      <c r="I4180" s="1">
        <v>921000</v>
      </c>
      <c r="J4180" s="1">
        <v>548580</v>
      </c>
      <c r="K4180">
        <v>30</v>
      </c>
      <c r="L4180">
        <v>0.57999999999999996</v>
      </c>
      <c r="M4180">
        <v>0.61</v>
      </c>
      <c r="N4180" s="1">
        <v>10000000</v>
      </c>
      <c r="O4180">
        <v>0.59</v>
      </c>
      <c r="P4180">
        <v>1.05</v>
      </c>
      <c r="Q4180">
        <v>0.13</v>
      </c>
    </row>
    <row r="4181" spans="1:17" x14ac:dyDescent="0.25">
      <c r="A4181">
        <v>733109</v>
      </c>
      <c r="B4181" t="s">
        <v>5493</v>
      </c>
      <c r="C4181">
        <v>1.05</v>
      </c>
      <c r="D4181">
        <v>0.06</v>
      </c>
      <c r="E4181">
        <v>1.1000000000000001</v>
      </c>
      <c r="F4181">
        <v>1.1100000000000001</v>
      </c>
      <c r="G4181">
        <v>1.02</v>
      </c>
      <c r="H4181">
        <v>1.06</v>
      </c>
      <c r="I4181" s="1">
        <v>327000</v>
      </c>
      <c r="J4181" s="1">
        <v>346960</v>
      </c>
      <c r="K4181">
        <v>22</v>
      </c>
      <c r="L4181">
        <v>1.04</v>
      </c>
      <c r="M4181">
        <v>1.05</v>
      </c>
      <c r="N4181" s="1">
        <v>10000000</v>
      </c>
      <c r="O4181">
        <v>1.05</v>
      </c>
      <c r="P4181">
        <v>1.9</v>
      </c>
      <c r="Q4181">
        <v>0.2</v>
      </c>
    </row>
    <row r="4182" spans="1:17" x14ac:dyDescent="0.25">
      <c r="A4182">
        <v>733110</v>
      </c>
      <c r="B4182" t="s">
        <v>5494</v>
      </c>
      <c r="C4182" t="s">
        <v>78</v>
      </c>
      <c r="D4182" t="s">
        <v>78</v>
      </c>
      <c r="E4182" t="s">
        <v>78</v>
      </c>
      <c r="F4182" t="s">
        <v>78</v>
      </c>
      <c r="G4182" t="s">
        <v>78</v>
      </c>
      <c r="H4182">
        <v>0.9</v>
      </c>
      <c r="I4182" s="1">
        <v>0</v>
      </c>
      <c r="J4182" s="1">
        <v>0</v>
      </c>
      <c r="K4182">
        <v>0</v>
      </c>
      <c r="L4182">
        <v>0.81</v>
      </c>
      <c r="M4182">
        <v>0.83</v>
      </c>
      <c r="N4182" s="1">
        <v>10000000</v>
      </c>
      <c r="O4182">
        <v>0.83</v>
      </c>
      <c r="P4182">
        <v>2.0299999999999998</v>
      </c>
      <c r="Q4182">
        <v>0.01</v>
      </c>
    </row>
    <row r="4183" spans="1:17" x14ac:dyDescent="0.25">
      <c r="A4183">
        <v>733111</v>
      </c>
      <c r="B4183" t="s">
        <v>5495</v>
      </c>
      <c r="C4183">
        <v>1.25</v>
      </c>
      <c r="D4183">
        <v>-0.17</v>
      </c>
      <c r="E4183">
        <v>1.4</v>
      </c>
      <c r="F4183">
        <v>1.4</v>
      </c>
      <c r="G4183">
        <v>1.25</v>
      </c>
      <c r="H4183">
        <v>1.32</v>
      </c>
      <c r="I4183" s="1">
        <v>399000</v>
      </c>
      <c r="J4183" s="1">
        <v>527150</v>
      </c>
      <c r="K4183">
        <v>19</v>
      </c>
      <c r="L4183">
        <v>1.21</v>
      </c>
      <c r="M4183">
        <v>1.25</v>
      </c>
      <c r="N4183" s="1">
        <v>10000000</v>
      </c>
      <c r="O4183">
        <v>1.25</v>
      </c>
      <c r="P4183">
        <v>2.3199999999999998</v>
      </c>
      <c r="Q4183">
        <v>0.18</v>
      </c>
    </row>
    <row r="4184" spans="1:17" x14ac:dyDescent="0.25">
      <c r="A4184">
        <v>733112</v>
      </c>
      <c r="B4184" t="s">
        <v>5496</v>
      </c>
      <c r="C4184">
        <v>1.1399999999999999</v>
      </c>
      <c r="D4184">
        <v>0.08</v>
      </c>
      <c r="E4184">
        <v>1.1000000000000001</v>
      </c>
      <c r="F4184">
        <v>1.1499999999999999</v>
      </c>
      <c r="G4184">
        <v>1.08</v>
      </c>
      <c r="H4184">
        <v>1.1200000000000001</v>
      </c>
      <c r="I4184" s="1">
        <v>118000</v>
      </c>
      <c r="J4184" s="1">
        <v>131820</v>
      </c>
      <c r="K4184">
        <v>13</v>
      </c>
      <c r="L4184">
        <v>1.1200000000000001</v>
      </c>
      <c r="M4184">
        <v>1.1299999999999999</v>
      </c>
      <c r="N4184" s="1">
        <v>5000000</v>
      </c>
      <c r="O4184">
        <v>1.1399999999999999</v>
      </c>
      <c r="P4184">
        <v>1.83</v>
      </c>
      <c r="Q4184">
        <v>0.45</v>
      </c>
    </row>
    <row r="4185" spans="1:17" x14ac:dyDescent="0.25">
      <c r="A4185">
        <v>733113</v>
      </c>
      <c r="B4185" t="s">
        <v>5497</v>
      </c>
      <c r="C4185">
        <v>1.39</v>
      </c>
      <c r="D4185">
        <v>-0.13</v>
      </c>
      <c r="E4185">
        <v>1.47</v>
      </c>
      <c r="F4185">
        <v>1.47</v>
      </c>
      <c r="G4185">
        <v>1.38</v>
      </c>
      <c r="H4185">
        <v>1.41</v>
      </c>
      <c r="I4185" s="1">
        <v>1952000</v>
      </c>
      <c r="J4185" s="1">
        <v>2757950</v>
      </c>
      <c r="K4185">
        <v>19</v>
      </c>
      <c r="L4185">
        <v>1.38</v>
      </c>
      <c r="M4185">
        <v>1.4</v>
      </c>
      <c r="N4185" s="1">
        <v>5000000</v>
      </c>
      <c r="O4185">
        <v>1.39</v>
      </c>
      <c r="P4185">
        <v>2.0699999999999998</v>
      </c>
      <c r="Q4185">
        <v>0.71</v>
      </c>
    </row>
    <row r="4186" spans="1:17" x14ac:dyDescent="0.25">
      <c r="A4186">
        <v>733114</v>
      </c>
      <c r="B4186" t="s">
        <v>5498</v>
      </c>
      <c r="C4186">
        <v>0.66</v>
      </c>
      <c r="D4186">
        <v>-0.01</v>
      </c>
      <c r="E4186">
        <v>0.69</v>
      </c>
      <c r="F4186">
        <v>0.69</v>
      </c>
      <c r="G4186">
        <v>0.66</v>
      </c>
      <c r="H4186">
        <v>0.67</v>
      </c>
      <c r="I4186" s="1">
        <v>159000</v>
      </c>
      <c r="J4186" s="1">
        <v>107320</v>
      </c>
      <c r="K4186">
        <v>7</v>
      </c>
      <c r="L4186">
        <v>0.67</v>
      </c>
      <c r="M4186">
        <v>0.68</v>
      </c>
      <c r="N4186" s="1">
        <v>5000000</v>
      </c>
      <c r="O4186">
        <v>0.66</v>
      </c>
      <c r="P4186">
        <v>1.18</v>
      </c>
      <c r="Q4186">
        <v>0.14000000000000001</v>
      </c>
    </row>
    <row r="4187" spans="1:17" x14ac:dyDescent="0.25">
      <c r="A4187">
        <v>733115</v>
      </c>
      <c r="B4187" t="s">
        <v>5499</v>
      </c>
      <c r="C4187">
        <v>0.63</v>
      </c>
      <c r="D4187">
        <v>0.04</v>
      </c>
      <c r="E4187">
        <v>0.64</v>
      </c>
      <c r="F4187">
        <v>0.69</v>
      </c>
      <c r="G4187">
        <v>0.63</v>
      </c>
      <c r="H4187">
        <v>0.66</v>
      </c>
      <c r="I4187" s="1">
        <v>891000</v>
      </c>
      <c r="J4187" s="1">
        <v>588930</v>
      </c>
      <c r="K4187">
        <v>7</v>
      </c>
      <c r="L4187">
        <v>0.63</v>
      </c>
      <c r="M4187">
        <v>0.64</v>
      </c>
      <c r="N4187" s="1">
        <v>5000000</v>
      </c>
      <c r="O4187">
        <v>0.63</v>
      </c>
      <c r="P4187">
        <v>1.62</v>
      </c>
      <c r="Q4187">
        <v>0.01</v>
      </c>
    </row>
    <row r="4188" spans="1:17" x14ac:dyDescent="0.25">
      <c r="A4188">
        <v>733116</v>
      </c>
      <c r="B4188" t="s">
        <v>5500</v>
      </c>
      <c r="C4188">
        <v>1.58</v>
      </c>
      <c r="D4188">
        <v>-0.05</v>
      </c>
      <c r="E4188">
        <v>1.65</v>
      </c>
      <c r="F4188">
        <v>1.74</v>
      </c>
      <c r="G4188">
        <v>1.58</v>
      </c>
      <c r="H4188">
        <v>1.64</v>
      </c>
      <c r="I4188" s="1">
        <v>471000</v>
      </c>
      <c r="J4188" s="1">
        <v>774280</v>
      </c>
      <c r="K4188">
        <v>24</v>
      </c>
      <c r="L4188">
        <v>1.58</v>
      </c>
      <c r="M4188">
        <v>1.6</v>
      </c>
      <c r="N4188" s="1">
        <v>5000000</v>
      </c>
      <c r="O4188">
        <v>1.58</v>
      </c>
      <c r="P4188">
        <v>3</v>
      </c>
      <c r="Q4188">
        <v>0.13</v>
      </c>
    </row>
    <row r="4189" spans="1:17" x14ac:dyDescent="0.25">
      <c r="A4189">
        <v>733117</v>
      </c>
      <c r="B4189" t="s">
        <v>5501</v>
      </c>
      <c r="C4189">
        <v>0.6</v>
      </c>
      <c r="D4189">
        <v>0</v>
      </c>
      <c r="E4189">
        <v>0.63</v>
      </c>
      <c r="F4189">
        <v>0.63</v>
      </c>
      <c r="G4189">
        <v>0.6</v>
      </c>
      <c r="H4189">
        <v>0.61</v>
      </c>
      <c r="I4189" s="1">
        <v>40000</v>
      </c>
      <c r="J4189" s="1">
        <v>24300</v>
      </c>
      <c r="K4189">
        <v>2</v>
      </c>
      <c r="L4189">
        <v>0.6</v>
      </c>
      <c r="M4189">
        <v>0.61</v>
      </c>
      <c r="N4189" s="1">
        <v>10000000</v>
      </c>
      <c r="O4189">
        <v>0.6</v>
      </c>
      <c r="P4189">
        <v>1.32</v>
      </c>
      <c r="Q4189">
        <v>0.01</v>
      </c>
    </row>
    <row r="4190" spans="1:17" x14ac:dyDescent="0.25">
      <c r="A4190">
        <v>733118</v>
      </c>
      <c r="B4190" t="s">
        <v>5502</v>
      </c>
      <c r="C4190">
        <v>0.8</v>
      </c>
      <c r="D4190">
        <v>-0.04</v>
      </c>
      <c r="E4190">
        <v>0.83</v>
      </c>
      <c r="F4190">
        <v>0.83</v>
      </c>
      <c r="G4190">
        <v>0.8</v>
      </c>
      <c r="H4190">
        <v>0.82</v>
      </c>
      <c r="I4190" s="1">
        <v>168000</v>
      </c>
      <c r="J4190" s="1">
        <v>137100</v>
      </c>
      <c r="K4190">
        <v>7</v>
      </c>
      <c r="L4190">
        <v>0.8</v>
      </c>
      <c r="M4190">
        <v>0.81</v>
      </c>
      <c r="N4190" s="1">
        <v>10000000</v>
      </c>
      <c r="O4190">
        <v>0.8</v>
      </c>
      <c r="P4190">
        <v>1.49</v>
      </c>
      <c r="Q4190">
        <v>0.11</v>
      </c>
    </row>
    <row r="4191" spans="1:17" x14ac:dyDescent="0.25">
      <c r="A4191">
        <v>733119</v>
      </c>
      <c r="B4191" t="s">
        <v>5503</v>
      </c>
      <c r="C4191">
        <v>0.39</v>
      </c>
      <c r="D4191">
        <v>-0.03</v>
      </c>
      <c r="E4191">
        <v>0.4</v>
      </c>
      <c r="F4191">
        <v>0.4</v>
      </c>
      <c r="G4191">
        <v>0.39</v>
      </c>
      <c r="H4191">
        <v>0.39</v>
      </c>
      <c r="I4191" s="1">
        <v>648000</v>
      </c>
      <c r="J4191" s="1">
        <v>253720</v>
      </c>
      <c r="K4191">
        <v>4</v>
      </c>
      <c r="L4191">
        <v>0.38</v>
      </c>
      <c r="M4191">
        <v>0.4</v>
      </c>
      <c r="N4191" s="1">
        <v>5500000</v>
      </c>
      <c r="O4191">
        <v>0.39</v>
      </c>
      <c r="P4191">
        <v>0.95</v>
      </c>
      <c r="Q4191">
        <v>0.01</v>
      </c>
    </row>
    <row r="4192" spans="1:17" x14ac:dyDescent="0.25">
      <c r="A4192">
        <v>733120</v>
      </c>
      <c r="B4192" t="s">
        <v>5504</v>
      </c>
      <c r="C4192">
        <v>0.82</v>
      </c>
      <c r="D4192">
        <v>-0.02</v>
      </c>
      <c r="E4192">
        <v>0.82</v>
      </c>
      <c r="F4192">
        <v>0.82</v>
      </c>
      <c r="G4192">
        <v>0.82</v>
      </c>
      <c r="H4192">
        <v>0.82</v>
      </c>
      <c r="I4192" s="1">
        <v>1000</v>
      </c>
      <c r="J4192" s="1">
        <v>820</v>
      </c>
      <c r="K4192">
        <v>1</v>
      </c>
      <c r="L4192">
        <v>0.82</v>
      </c>
      <c r="M4192">
        <v>0.83</v>
      </c>
      <c r="N4192" s="1">
        <v>5000000</v>
      </c>
      <c r="O4192">
        <v>0.82</v>
      </c>
      <c r="P4192">
        <v>1.4</v>
      </c>
      <c r="Q4192">
        <v>0.24</v>
      </c>
    </row>
    <row r="4193" spans="1:17" x14ac:dyDescent="0.25">
      <c r="A4193">
        <v>733121</v>
      </c>
      <c r="B4193" t="s">
        <v>5505</v>
      </c>
      <c r="C4193">
        <v>1.1399999999999999</v>
      </c>
      <c r="D4193">
        <v>0.01</v>
      </c>
      <c r="E4193">
        <v>1.19</v>
      </c>
      <c r="F4193">
        <v>1.23</v>
      </c>
      <c r="G4193">
        <v>1.1299999999999999</v>
      </c>
      <c r="H4193">
        <v>1.19</v>
      </c>
      <c r="I4193" s="1">
        <v>1040000</v>
      </c>
      <c r="J4193" s="1">
        <v>1233680</v>
      </c>
      <c r="K4193">
        <v>39</v>
      </c>
      <c r="L4193">
        <v>1.1299999999999999</v>
      </c>
      <c r="M4193">
        <v>1.1399999999999999</v>
      </c>
      <c r="N4193" s="1">
        <v>10000000</v>
      </c>
      <c r="O4193">
        <v>1.1399999999999999</v>
      </c>
      <c r="P4193">
        <v>1.86</v>
      </c>
      <c r="Q4193">
        <v>0.42</v>
      </c>
    </row>
    <row r="4194" spans="1:17" x14ac:dyDescent="0.25">
      <c r="A4194">
        <v>733122</v>
      </c>
      <c r="B4194" t="s">
        <v>5506</v>
      </c>
      <c r="C4194">
        <v>1.03</v>
      </c>
      <c r="D4194">
        <v>-0.05</v>
      </c>
      <c r="E4194">
        <v>1.1200000000000001</v>
      </c>
      <c r="F4194">
        <v>1.1399999999999999</v>
      </c>
      <c r="G4194">
        <v>1.03</v>
      </c>
      <c r="H4194">
        <v>1.1000000000000001</v>
      </c>
      <c r="I4194" s="1">
        <v>176000</v>
      </c>
      <c r="J4194" s="1">
        <v>193210</v>
      </c>
      <c r="K4194">
        <v>19</v>
      </c>
      <c r="L4194">
        <v>1.02</v>
      </c>
      <c r="M4194">
        <v>1.03</v>
      </c>
      <c r="N4194" s="1">
        <v>5000000</v>
      </c>
      <c r="O4194">
        <v>1.03</v>
      </c>
      <c r="P4194">
        <v>1.82</v>
      </c>
      <c r="Q4194">
        <v>0.24</v>
      </c>
    </row>
    <row r="4195" spans="1:17" x14ac:dyDescent="0.25">
      <c r="A4195">
        <v>733123</v>
      </c>
      <c r="B4195" t="s">
        <v>5507</v>
      </c>
      <c r="C4195">
        <v>0.9</v>
      </c>
      <c r="D4195">
        <v>0.02</v>
      </c>
      <c r="E4195">
        <v>0.92</v>
      </c>
      <c r="F4195">
        <v>0.92</v>
      </c>
      <c r="G4195">
        <v>0.9</v>
      </c>
      <c r="H4195">
        <v>0.9</v>
      </c>
      <c r="I4195" s="1">
        <v>22000</v>
      </c>
      <c r="J4195" s="1">
        <v>19840</v>
      </c>
      <c r="K4195">
        <v>3</v>
      </c>
      <c r="L4195">
        <v>0.9</v>
      </c>
      <c r="M4195">
        <v>0.91</v>
      </c>
      <c r="N4195" s="1">
        <v>10000000</v>
      </c>
      <c r="O4195">
        <v>0.9</v>
      </c>
      <c r="P4195">
        <v>1.59</v>
      </c>
      <c r="Q4195">
        <v>0.21</v>
      </c>
    </row>
    <row r="4196" spans="1:17" x14ac:dyDescent="0.25">
      <c r="A4196">
        <v>733124</v>
      </c>
      <c r="B4196" t="s">
        <v>5508</v>
      </c>
      <c r="C4196">
        <v>0.72</v>
      </c>
      <c r="D4196">
        <v>-0.01</v>
      </c>
      <c r="E4196">
        <v>0.72</v>
      </c>
      <c r="F4196">
        <v>0.73</v>
      </c>
      <c r="G4196">
        <v>0.7</v>
      </c>
      <c r="H4196">
        <v>0.71</v>
      </c>
      <c r="I4196" s="1">
        <v>316000</v>
      </c>
      <c r="J4196" s="1">
        <v>225170</v>
      </c>
      <c r="K4196">
        <v>19</v>
      </c>
      <c r="L4196">
        <v>0.72</v>
      </c>
      <c r="M4196">
        <v>0.73</v>
      </c>
      <c r="N4196" s="1">
        <v>10000000</v>
      </c>
      <c r="O4196">
        <v>0.72</v>
      </c>
      <c r="P4196">
        <v>1.29</v>
      </c>
      <c r="Q4196">
        <v>0.15</v>
      </c>
    </row>
    <row r="4197" spans="1:17" x14ac:dyDescent="0.25">
      <c r="A4197">
        <v>733125</v>
      </c>
      <c r="B4197" t="s">
        <v>5509</v>
      </c>
      <c r="C4197">
        <v>0.35</v>
      </c>
      <c r="D4197">
        <v>0</v>
      </c>
      <c r="E4197">
        <v>0.36</v>
      </c>
      <c r="F4197">
        <v>0.36</v>
      </c>
      <c r="G4197">
        <v>0.35</v>
      </c>
      <c r="H4197">
        <v>0.35</v>
      </c>
      <c r="I4197" s="1">
        <v>70000</v>
      </c>
      <c r="J4197" s="1">
        <v>24700</v>
      </c>
      <c r="K4197">
        <v>2</v>
      </c>
      <c r="L4197">
        <v>0.33</v>
      </c>
      <c r="M4197">
        <v>0.34</v>
      </c>
      <c r="N4197" s="1">
        <v>10000000</v>
      </c>
      <c r="O4197">
        <v>0.35</v>
      </c>
      <c r="P4197">
        <v>0.98</v>
      </c>
      <c r="Q4197">
        <v>0.01</v>
      </c>
    </row>
    <row r="4198" spans="1:17" x14ac:dyDescent="0.25">
      <c r="A4198">
        <v>733126</v>
      </c>
      <c r="B4198" t="s">
        <v>5510</v>
      </c>
      <c r="C4198">
        <v>0.8</v>
      </c>
      <c r="D4198">
        <v>-0.01</v>
      </c>
      <c r="E4198">
        <v>0.84</v>
      </c>
      <c r="F4198">
        <v>0.86</v>
      </c>
      <c r="G4198">
        <v>0.79</v>
      </c>
      <c r="H4198">
        <v>0.85</v>
      </c>
      <c r="I4198" s="1">
        <v>824000</v>
      </c>
      <c r="J4198" s="1">
        <v>696830</v>
      </c>
      <c r="K4198">
        <v>18</v>
      </c>
      <c r="L4198">
        <v>0.78</v>
      </c>
      <c r="M4198">
        <v>0.79</v>
      </c>
      <c r="N4198" s="1">
        <v>15000000</v>
      </c>
      <c r="O4198">
        <v>0.8</v>
      </c>
      <c r="P4198">
        <v>1.39</v>
      </c>
      <c r="Q4198">
        <v>0.21</v>
      </c>
    </row>
    <row r="4199" spans="1:17" x14ac:dyDescent="0.25">
      <c r="A4199">
        <v>733127</v>
      </c>
      <c r="B4199" t="s">
        <v>5511</v>
      </c>
      <c r="C4199">
        <v>0.63</v>
      </c>
      <c r="D4199">
        <v>-0.03</v>
      </c>
      <c r="E4199">
        <v>0.67</v>
      </c>
      <c r="F4199">
        <v>0.7</v>
      </c>
      <c r="G4199">
        <v>0.63</v>
      </c>
      <c r="H4199">
        <v>0.67</v>
      </c>
      <c r="I4199" s="1">
        <v>2220000</v>
      </c>
      <c r="J4199" s="1">
        <v>1480410</v>
      </c>
      <c r="K4199">
        <v>55</v>
      </c>
      <c r="L4199">
        <v>0.62</v>
      </c>
      <c r="M4199">
        <v>0.63</v>
      </c>
      <c r="N4199" s="1">
        <v>15000000</v>
      </c>
      <c r="O4199">
        <v>0.63</v>
      </c>
      <c r="P4199">
        <v>1.1399999999999999</v>
      </c>
      <c r="Q4199">
        <v>0.12</v>
      </c>
    </row>
    <row r="4200" spans="1:17" x14ac:dyDescent="0.25">
      <c r="A4200">
        <v>733128</v>
      </c>
      <c r="B4200" t="s">
        <v>5512</v>
      </c>
      <c r="C4200">
        <v>1.85</v>
      </c>
      <c r="D4200">
        <v>0.06</v>
      </c>
      <c r="E4200">
        <v>1.83</v>
      </c>
      <c r="F4200">
        <v>1.85</v>
      </c>
      <c r="G4200">
        <v>1.74</v>
      </c>
      <c r="H4200">
        <v>1.82</v>
      </c>
      <c r="I4200" s="1">
        <v>966000</v>
      </c>
      <c r="J4200" s="1">
        <v>1753660</v>
      </c>
      <c r="K4200">
        <v>50</v>
      </c>
      <c r="L4200">
        <v>1.81</v>
      </c>
      <c r="M4200">
        <v>1.85</v>
      </c>
      <c r="N4200" s="1">
        <v>10000000</v>
      </c>
      <c r="O4200">
        <v>1.85</v>
      </c>
      <c r="P4200">
        <v>3.27</v>
      </c>
      <c r="Q4200">
        <v>0.43</v>
      </c>
    </row>
    <row r="4201" spans="1:17" x14ac:dyDescent="0.25">
      <c r="A4201">
        <v>733129</v>
      </c>
      <c r="B4201" t="s">
        <v>5513</v>
      </c>
      <c r="C4201">
        <v>1.38</v>
      </c>
      <c r="D4201">
        <v>-0.04</v>
      </c>
      <c r="E4201">
        <v>1.43</v>
      </c>
      <c r="F4201">
        <v>1.47</v>
      </c>
      <c r="G4201">
        <v>1.38</v>
      </c>
      <c r="H4201">
        <v>1.41</v>
      </c>
      <c r="I4201" s="1">
        <v>265000</v>
      </c>
      <c r="J4201" s="1">
        <v>374200</v>
      </c>
      <c r="K4201">
        <v>12</v>
      </c>
      <c r="L4201">
        <v>1.32</v>
      </c>
      <c r="M4201">
        <v>1.33</v>
      </c>
      <c r="N4201" s="1">
        <v>10000000</v>
      </c>
      <c r="O4201">
        <v>1.38</v>
      </c>
      <c r="P4201">
        <v>2.52</v>
      </c>
      <c r="Q4201">
        <v>0.24</v>
      </c>
    </row>
    <row r="4202" spans="1:17" x14ac:dyDescent="0.25">
      <c r="A4202">
        <v>733130</v>
      </c>
      <c r="B4202" t="s">
        <v>5514</v>
      </c>
      <c r="C4202">
        <v>0.21</v>
      </c>
      <c r="D4202">
        <v>-0.02</v>
      </c>
      <c r="E4202">
        <v>0.21</v>
      </c>
      <c r="F4202">
        <v>0.21</v>
      </c>
      <c r="G4202">
        <v>0.21</v>
      </c>
      <c r="H4202">
        <v>0.21</v>
      </c>
      <c r="I4202" s="1">
        <v>3000</v>
      </c>
      <c r="J4202" s="1">
        <v>630</v>
      </c>
      <c r="K4202">
        <v>1</v>
      </c>
      <c r="L4202">
        <v>0.2</v>
      </c>
      <c r="M4202">
        <v>0.21</v>
      </c>
      <c r="N4202" s="1">
        <v>10000000</v>
      </c>
      <c r="O4202">
        <v>0.21</v>
      </c>
      <c r="P4202">
        <v>0.57999999999999996</v>
      </c>
      <c r="Q4202">
        <v>0.01</v>
      </c>
    </row>
    <row r="4203" spans="1:17" x14ac:dyDescent="0.25">
      <c r="A4203">
        <v>733131</v>
      </c>
      <c r="B4203" t="s">
        <v>5515</v>
      </c>
      <c r="C4203">
        <v>0.27</v>
      </c>
      <c r="D4203">
        <v>-0.04</v>
      </c>
      <c r="E4203">
        <v>0.28000000000000003</v>
      </c>
      <c r="F4203">
        <v>0.28000000000000003</v>
      </c>
      <c r="G4203">
        <v>0.27</v>
      </c>
      <c r="H4203">
        <v>0.27</v>
      </c>
      <c r="I4203" s="1">
        <v>129000</v>
      </c>
      <c r="J4203" s="1">
        <v>35120</v>
      </c>
      <c r="K4203">
        <v>3</v>
      </c>
      <c r="L4203">
        <v>0.26</v>
      </c>
      <c r="M4203">
        <v>0.3</v>
      </c>
      <c r="N4203" s="1">
        <v>10000000</v>
      </c>
      <c r="O4203">
        <v>0.27</v>
      </c>
      <c r="P4203">
        <v>0.64</v>
      </c>
      <c r="Q4203">
        <v>0.01</v>
      </c>
    </row>
    <row r="4204" spans="1:17" x14ac:dyDescent="0.25">
      <c r="A4204">
        <v>733132</v>
      </c>
      <c r="B4204" t="s">
        <v>5516</v>
      </c>
      <c r="C4204">
        <v>0.78</v>
      </c>
      <c r="D4204">
        <v>-0.01</v>
      </c>
      <c r="E4204">
        <v>0.78</v>
      </c>
      <c r="F4204">
        <v>0.78</v>
      </c>
      <c r="G4204">
        <v>0.78</v>
      </c>
      <c r="H4204">
        <v>0.78</v>
      </c>
      <c r="I4204" s="1">
        <v>2000</v>
      </c>
      <c r="J4204" s="1">
        <v>1560</v>
      </c>
      <c r="K4204">
        <v>1</v>
      </c>
      <c r="L4204">
        <v>0.79</v>
      </c>
      <c r="M4204">
        <v>0.8</v>
      </c>
      <c r="N4204" s="1">
        <v>10000000</v>
      </c>
      <c r="O4204">
        <v>0.78</v>
      </c>
      <c r="P4204">
        <v>1.36</v>
      </c>
      <c r="Q4204">
        <v>0.18</v>
      </c>
    </row>
    <row r="4205" spans="1:17" x14ac:dyDescent="0.25">
      <c r="A4205">
        <v>733133</v>
      </c>
      <c r="B4205" t="s">
        <v>5517</v>
      </c>
      <c r="C4205">
        <v>1.4</v>
      </c>
      <c r="D4205">
        <v>-0.03</v>
      </c>
      <c r="E4205">
        <v>1.46</v>
      </c>
      <c r="F4205">
        <v>1.5</v>
      </c>
      <c r="G4205">
        <v>1.35</v>
      </c>
      <c r="H4205">
        <v>1.46</v>
      </c>
      <c r="I4205" s="1">
        <v>590000</v>
      </c>
      <c r="J4205" s="1">
        <v>861640</v>
      </c>
      <c r="K4205">
        <v>17</v>
      </c>
      <c r="L4205">
        <v>1.37</v>
      </c>
      <c r="M4205">
        <v>1.38</v>
      </c>
      <c r="N4205" s="1">
        <v>5000000</v>
      </c>
      <c r="O4205">
        <v>1.4</v>
      </c>
      <c r="P4205">
        <v>2.11</v>
      </c>
      <c r="Q4205">
        <v>0.69</v>
      </c>
    </row>
    <row r="4206" spans="1:17" x14ac:dyDescent="0.25">
      <c r="A4206">
        <v>733134</v>
      </c>
      <c r="B4206" t="s">
        <v>5518</v>
      </c>
      <c r="C4206">
        <v>1.35</v>
      </c>
      <c r="D4206">
        <v>0.02</v>
      </c>
      <c r="E4206">
        <v>1.37</v>
      </c>
      <c r="F4206">
        <v>1.38</v>
      </c>
      <c r="G4206">
        <v>1.31</v>
      </c>
      <c r="H4206">
        <v>1.36</v>
      </c>
      <c r="I4206" s="1">
        <v>145000</v>
      </c>
      <c r="J4206" s="1">
        <v>196930</v>
      </c>
      <c r="K4206">
        <v>15</v>
      </c>
      <c r="L4206">
        <v>1.31</v>
      </c>
      <c r="M4206">
        <v>1.32</v>
      </c>
      <c r="N4206" s="1">
        <v>5000000</v>
      </c>
      <c r="O4206">
        <v>1.35</v>
      </c>
      <c r="P4206">
        <v>2.02</v>
      </c>
      <c r="Q4206">
        <v>0.68</v>
      </c>
    </row>
    <row r="4207" spans="1:17" x14ac:dyDescent="0.25">
      <c r="A4207">
        <v>733135</v>
      </c>
      <c r="B4207" t="s">
        <v>5519</v>
      </c>
      <c r="C4207">
        <v>1.03</v>
      </c>
      <c r="D4207">
        <v>-0.03</v>
      </c>
      <c r="E4207">
        <v>1.0900000000000001</v>
      </c>
      <c r="F4207">
        <v>1.1100000000000001</v>
      </c>
      <c r="G4207">
        <v>1.03</v>
      </c>
      <c r="H4207">
        <v>1.08</v>
      </c>
      <c r="I4207" s="1">
        <v>1094000</v>
      </c>
      <c r="J4207" s="1">
        <v>1177920</v>
      </c>
      <c r="K4207">
        <v>51</v>
      </c>
      <c r="L4207">
        <v>1</v>
      </c>
      <c r="M4207">
        <v>1.01</v>
      </c>
      <c r="N4207" s="1">
        <v>10000000</v>
      </c>
      <c r="O4207">
        <v>1.03</v>
      </c>
      <c r="P4207">
        <v>1.62</v>
      </c>
      <c r="Q4207">
        <v>0.44</v>
      </c>
    </row>
    <row r="4208" spans="1:17" x14ac:dyDescent="0.25">
      <c r="A4208">
        <v>733136</v>
      </c>
      <c r="B4208" t="s">
        <v>5520</v>
      </c>
      <c r="C4208">
        <v>0.99</v>
      </c>
      <c r="D4208">
        <v>-0.01</v>
      </c>
      <c r="E4208">
        <v>0.99</v>
      </c>
      <c r="F4208">
        <v>1</v>
      </c>
      <c r="G4208">
        <v>0.99</v>
      </c>
      <c r="H4208">
        <v>0.99</v>
      </c>
      <c r="I4208" s="1">
        <v>121000</v>
      </c>
      <c r="J4208" s="1">
        <v>119890</v>
      </c>
      <c r="K4208">
        <v>4</v>
      </c>
      <c r="L4208">
        <v>0.99</v>
      </c>
      <c r="M4208">
        <v>1</v>
      </c>
      <c r="N4208" s="1">
        <v>5000000</v>
      </c>
      <c r="O4208">
        <v>0.99</v>
      </c>
      <c r="P4208">
        <v>1.49</v>
      </c>
      <c r="Q4208">
        <v>0.49</v>
      </c>
    </row>
    <row r="4209" spans="1:17" x14ac:dyDescent="0.25">
      <c r="A4209">
        <v>733137</v>
      </c>
      <c r="B4209" t="s">
        <v>5521</v>
      </c>
      <c r="C4209">
        <v>0.93</v>
      </c>
      <c r="D4209">
        <v>-0.02</v>
      </c>
      <c r="E4209">
        <v>0.91</v>
      </c>
      <c r="F4209">
        <v>0.96</v>
      </c>
      <c r="G4209">
        <v>0.91</v>
      </c>
      <c r="H4209">
        <v>0.93</v>
      </c>
      <c r="I4209" s="1">
        <v>112000</v>
      </c>
      <c r="J4209" s="1">
        <v>103660</v>
      </c>
      <c r="K4209">
        <v>9</v>
      </c>
      <c r="L4209">
        <v>0.92</v>
      </c>
      <c r="M4209">
        <v>0.93</v>
      </c>
      <c r="N4209" s="1">
        <v>10000000</v>
      </c>
      <c r="O4209">
        <v>0.93</v>
      </c>
      <c r="P4209">
        <v>1.51</v>
      </c>
      <c r="Q4209">
        <v>0.35</v>
      </c>
    </row>
    <row r="4210" spans="1:17" x14ac:dyDescent="0.25">
      <c r="A4210">
        <v>733138</v>
      </c>
      <c r="B4210" t="s">
        <v>5522</v>
      </c>
      <c r="C4210">
        <v>0.96</v>
      </c>
      <c r="D4210">
        <v>0.08</v>
      </c>
      <c r="E4210">
        <v>0.85</v>
      </c>
      <c r="F4210">
        <v>0.98</v>
      </c>
      <c r="G4210">
        <v>0.85</v>
      </c>
      <c r="H4210">
        <v>0.91</v>
      </c>
      <c r="I4210" s="1">
        <v>1204000</v>
      </c>
      <c r="J4210" s="1">
        <v>1090820</v>
      </c>
      <c r="K4210">
        <v>35</v>
      </c>
      <c r="L4210">
        <v>0.94</v>
      </c>
      <c r="M4210">
        <v>0.97</v>
      </c>
      <c r="N4210" s="1">
        <v>5000000</v>
      </c>
      <c r="O4210">
        <v>0.96</v>
      </c>
      <c r="P4210">
        <v>1.8</v>
      </c>
      <c r="Q4210">
        <v>0.12</v>
      </c>
    </row>
    <row r="4211" spans="1:17" x14ac:dyDescent="0.25">
      <c r="A4211">
        <v>733139</v>
      </c>
      <c r="B4211" t="s">
        <v>5523</v>
      </c>
      <c r="C4211" t="s">
        <v>78</v>
      </c>
      <c r="D4211" t="s">
        <v>78</v>
      </c>
      <c r="E4211" t="s">
        <v>78</v>
      </c>
      <c r="F4211" t="s">
        <v>78</v>
      </c>
      <c r="G4211" t="s">
        <v>78</v>
      </c>
      <c r="H4211">
        <v>0.44</v>
      </c>
      <c r="I4211" s="1">
        <v>0</v>
      </c>
      <c r="J4211" s="1">
        <v>0</v>
      </c>
      <c r="K4211">
        <v>0</v>
      </c>
      <c r="L4211">
        <v>0.44</v>
      </c>
      <c r="M4211">
        <v>0.45</v>
      </c>
      <c r="N4211" s="1">
        <v>10000000</v>
      </c>
      <c r="O4211">
        <v>0.44</v>
      </c>
      <c r="P4211">
        <v>0.79</v>
      </c>
      <c r="Q4211">
        <v>0.09</v>
      </c>
    </row>
    <row r="4212" spans="1:17" x14ac:dyDescent="0.25">
      <c r="A4212">
        <v>733140</v>
      </c>
      <c r="B4212" t="s">
        <v>5524</v>
      </c>
      <c r="C4212">
        <v>1.67</v>
      </c>
      <c r="D4212">
        <v>-0.11</v>
      </c>
      <c r="E4212">
        <v>1.6</v>
      </c>
      <c r="F4212">
        <v>1.67</v>
      </c>
      <c r="G4212">
        <v>1.6</v>
      </c>
      <c r="H4212">
        <v>1.64</v>
      </c>
      <c r="I4212" s="1">
        <v>2000</v>
      </c>
      <c r="J4212" s="1">
        <v>3270</v>
      </c>
      <c r="K4212">
        <v>2</v>
      </c>
      <c r="L4212">
        <v>1.68</v>
      </c>
      <c r="M4212">
        <v>1.71</v>
      </c>
      <c r="N4212" s="1">
        <v>10000000</v>
      </c>
      <c r="O4212">
        <v>1.67</v>
      </c>
      <c r="P4212">
        <v>3.23</v>
      </c>
      <c r="Q4212">
        <v>0.11</v>
      </c>
    </row>
    <row r="4213" spans="1:17" x14ac:dyDescent="0.25">
      <c r="A4213">
        <v>733141</v>
      </c>
      <c r="B4213" t="s">
        <v>5525</v>
      </c>
      <c r="C4213">
        <v>0.64</v>
      </c>
      <c r="D4213">
        <v>0.01</v>
      </c>
      <c r="E4213">
        <v>0.64</v>
      </c>
      <c r="F4213">
        <v>0.64</v>
      </c>
      <c r="G4213">
        <v>0.64</v>
      </c>
      <c r="H4213">
        <v>0.64</v>
      </c>
      <c r="I4213" s="1">
        <v>80000</v>
      </c>
      <c r="J4213" s="1">
        <v>51200</v>
      </c>
      <c r="K4213">
        <v>5</v>
      </c>
      <c r="L4213">
        <v>0.65</v>
      </c>
      <c r="M4213">
        <v>0.66</v>
      </c>
      <c r="N4213" s="1">
        <v>5000000</v>
      </c>
      <c r="O4213">
        <v>0.64</v>
      </c>
      <c r="P4213">
        <v>1.55</v>
      </c>
      <c r="Q4213">
        <v>0.01</v>
      </c>
    </row>
    <row r="4214" spans="1:17" x14ac:dyDescent="0.25">
      <c r="A4214">
        <v>733142</v>
      </c>
      <c r="B4214" t="s">
        <v>5526</v>
      </c>
      <c r="C4214" t="s">
        <v>78</v>
      </c>
      <c r="D4214" t="s">
        <v>78</v>
      </c>
      <c r="E4214" t="s">
        <v>78</v>
      </c>
      <c r="F4214" t="s">
        <v>78</v>
      </c>
      <c r="G4214" t="s">
        <v>78</v>
      </c>
      <c r="H4214">
        <v>0.16</v>
      </c>
      <c r="I4214" s="1">
        <v>0</v>
      </c>
      <c r="J4214" s="1">
        <v>0</v>
      </c>
      <c r="K4214">
        <v>0</v>
      </c>
      <c r="L4214">
        <v>0.14000000000000001</v>
      </c>
      <c r="M4214">
        <v>0.15</v>
      </c>
      <c r="N4214" s="1">
        <v>10000000</v>
      </c>
      <c r="O4214">
        <v>0.15</v>
      </c>
      <c r="P4214">
        <v>0.47</v>
      </c>
      <c r="Q4214">
        <v>0.01</v>
      </c>
    </row>
    <row r="4215" spans="1:17" x14ac:dyDescent="0.25">
      <c r="A4215">
        <v>733143</v>
      </c>
      <c r="B4215" t="s">
        <v>5527</v>
      </c>
      <c r="C4215">
        <v>0.71</v>
      </c>
      <c r="D4215">
        <v>-0.01</v>
      </c>
      <c r="E4215">
        <v>0.74</v>
      </c>
      <c r="F4215">
        <v>0.74</v>
      </c>
      <c r="G4215">
        <v>0.71</v>
      </c>
      <c r="H4215">
        <v>0.73</v>
      </c>
      <c r="I4215" s="1">
        <v>73000</v>
      </c>
      <c r="J4215" s="1">
        <v>53630</v>
      </c>
      <c r="K4215" s="1">
        <v>3</v>
      </c>
      <c r="L4215">
        <v>0.68</v>
      </c>
      <c r="M4215">
        <v>0.71</v>
      </c>
      <c r="N4215" s="1">
        <v>5000000</v>
      </c>
      <c r="O4215">
        <v>0.71</v>
      </c>
      <c r="P4215">
        <v>1.67</v>
      </c>
      <c r="Q4215">
        <v>0.01</v>
      </c>
    </row>
    <row r="4216" spans="1:17" x14ac:dyDescent="0.25">
      <c r="A4216">
        <v>733144</v>
      </c>
      <c r="B4216" t="s">
        <v>5528</v>
      </c>
      <c r="C4216">
        <v>2.4</v>
      </c>
      <c r="D4216">
        <v>-0.09</v>
      </c>
      <c r="E4216">
        <v>2.5299999999999998</v>
      </c>
      <c r="F4216">
        <v>2.64</v>
      </c>
      <c r="G4216">
        <v>2.38</v>
      </c>
      <c r="H4216">
        <v>2.4900000000000002</v>
      </c>
      <c r="I4216" s="1">
        <v>1932000</v>
      </c>
      <c r="J4216" s="1">
        <v>4808210</v>
      </c>
      <c r="K4216">
        <v>72</v>
      </c>
      <c r="L4216">
        <v>2.38</v>
      </c>
      <c r="M4216">
        <v>2.39</v>
      </c>
      <c r="N4216" s="1">
        <v>10000000</v>
      </c>
      <c r="O4216">
        <v>2.4</v>
      </c>
      <c r="P4216">
        <v>4.37</v>
      </c>
      <c r="Q4216">
        <v>0.43</v>
      </c>
    </row>
    <row r="4217" spans="1:17" x14ac:dyDescent="0.25">
      <c r="A4217">
        <v>733145</v>
      </c>
      <c r="B4217" t="s">
        <v>5529</v>
      </c>
      <c r="C4217">
        <v>1.86</v>
      </c>
      <c r="D4217">
        <v>-0.09</v>
      </c>
      <c r="E4217">
        <v>1.98</v>
      </c>
      <c r="F4217">
        <v>2.0699999999999998</v>
      </c>
      <c r="G4217">
        <v>1.85</v>
      </c>
      <c r="H4217">
        <v>1.97</v>
      </c>
      <c r="I4217" s="1">
        <v>1252000</v>
      </c>
      <c r="J4217" s="1">
        <v>2460850</v>
      </c>
      <c r="K4217">
        <v>51</v>
      </c>
      <c r="L4217">
        <v>1.85</v>
      </c>
      <c r="M4217">
        <v>1.86</v>
      </c>
      <c r="N4217" s="1">
        <v>10000000</v>
      </c>
      <c r="O4217">
        <v>1.86</v>
      </c>
      <c r="P4217">
        <v>3.83</v>
      </c>
      <c r="Q4217">
        <v>0.01</v>
      </c>
    </row>
    <row r="4218" spans="1:17" x14ac:dyDescent="0.25">
      <c r="A4218">
        <v>733146</v>
      </c>
      <c r="B4218" t="s">
        <v>5530</v>
      </c>
      <c r="C4218">
        <v>1.28</v>
      </c>
      <c r="D4218">
        <v>-0.14000000000000001</v>
      </c>
      <c r="E4218">
        <v>1.35</v>
      </c>
      <c r="F4218">
        <v>1.35</v>
      </c>
      <c r="G4218">
        <v>1.28</v>
      </c>
      <c r="H4218">
        <v>1.3</v>
      </c>
      <c r="I4218" s="1">
        <v>73000</v>
      </c>
      <c r="J4218" s="1">
        <v>95080</v>
      </c>
      <c r="K4218">
        <v>4</v>
      </c>
      <c r="L4218">
        <v>1.26</v>
      </c>
      <c r="M4218">
        <v>1.36</v>
      </c>
      <c r="N4218" s="1">
        <v>5000000</v>
      </c>
      <c r="O4218">
        <v>1.28</v>
      </c>
      <c r="P4218">
        <v>2.99</v>
      </c>
      <c r="Q4218">
        <v>0.01</v>
      </c>
    </row>
    <row r="4219" spans="1:17" x14ac:dyDescent="0.25">
      <c r="A4219">
        <v>733147</v>
      </c>
      <c r="B4219" t="s">
        <v>5531</v>
      </c>
      <c r="C4219">
        <v>1.61</v>
      </c>
      <c r="D4219">
        <v>-0.01</v>
      </c>
      <c r="E4219">
        <v>1.64</v>
      </c>
      <c r="F4219">
        <v>1.7</v>
      </c>
      <c r="G4219">
        <v>1.59</v>
      </c>
      <c r="H4219">
        <v>1.65</v>
      </c>
      <c r="I4219" s="1">
        <v>233000</v>
      </c>
      <c r="J4219" s="1">
        <v>384960</v>
      </c>
      <c r="K4219">
        <v>11</v>
      </c>
      <c r="L4219">
        <v>1.57</v>
      </c>
      <c r="M4219">
        <v>1.59</v>
      </c>
      <c r="N4219" s="1">
        <v>10000000</v>
      </c>
      <c r="O4219">
        <v>1.61</v>
      </c>
      <c r="P4219">
        <v>2.4300000000000002</v>
      </c>
      <c r="Q4219">
        <v>0.79</v>
      </c>
    </row>
    <row r="4220" spans="1:17" x14ac:dyDescent="0.25">
      <c r="A4220">
        <v>733148</v>
      </c>
      <c r="B4220" t="s">
        <v>5532</v>
      </c>
      <c r="C4220">
        <v>1.1000000000000001</v>
      </c>
      <c r="D4220">
        <v>-0.01</v>
      </c>
      <c r="E4220">
        <v>1.1200000000000001</v>
      </c>
      <c r="F4220">
        <v>1.1200000000000001</v>
      </c>
      <c r="G4220">
        <v>1.1000000000000001</v>
      </c>
      <c r="H4220">
        <v>1.1100000000000001</v>
      </c>
      <c r="I4220" s="1">
        <v>100000</v>
      </c>
      <c r="J4220" s="1">
        <v>111000</v>
      </c>
      <c r="K4220">
        <v>2</v>
      </c>
      <c r="L4220">
        <v>1.0900000000000001</v>
      </c>
      <c r="M4220">
        <v>1.1000000000000001</v>
      </c>
      <c r="N4220" s="1">
        <v>10000000</v>
      </c>
      <c r="O4220">
        <v>1.1000000000000001</v>
      </c>
      <c r="P4220">
        <v>1.83</v>
      </c>
      <c r="Q4220">
        <v>0.37</v>
      </c>
    </row>
    <row r="4221" spans="1:17" x14ac:dyDescent="0.25">
      <c r="A4221">
        <v>733149</v>
      </c>
      <c r="B4221" t="s">
        <v>5533</v>
      </c>
      <c r="C4221">
        <v>0.68</v>
      </c>
      <c r="D4221">
        <v>0</v>
      </c>
      <c r="E4221">
        <v>0.69</v>
      </c>
      <c r="F4221">
        <v>0.69</v>
      </c>
      <c r="G4221">
        <v>0.68</v>
      </c>
      <c r="H4221">
        <v>0.68</v>
      </c>
      <c r="I4221" s="1">
        <v>33000</v>
      </c>
      <c r="J4221" s="1">
        <v>22550</v>
      </c>
      <c r="K4221">
        <v>3</v>
      </c>
      <c r="L4221">
        <v>0.67</v>
      </c>
      <c r="M4221">
        <v>0.68</v>
      </c>
      <c r="N4221" s="1">
        <v>5000000</v>
      </c>
      <c r="O4221">
        <v>0.68</v>
      </c>
      <c r="P4221">
        <v>1.67</v>
      </c>
      <c r="Q4221">
        <v>0.01</v>
      </c>
    </row>
    <row r="4222" spans="1:17" x14ac:dyDescent="0.25">
      <c r="A4222">
        <v>733150</v>
      </c>
      <c r="B4222" t="s">
        <v>5534</v>
      </c>
      <c r="C4222" t="s">
        <v>78</v>
      </c>
      <c r="D4222" t="s">
        <v>78</v>
      </c>
      <c r="E4222" t="s">
        <v>78</v>
      </c>
      <c r="F4222" t="s">
        <v>78</v>
      </c>
      <c r="G4222" t="s">
        <v>78</v>
      </c>
      <c r="H4222">
        <v>0.27</v>
      </c>
      <c r="I4222" s="1">
        <v>0</v>
      </c>
      <c r="J4222" s="1">
        <v>0</v>
      </c>
      <c r="K4222">
        <v>0</v>
      </c>
      <c r="L4222">
        <v>0.25</v>
      </c>
      <c r="M4222">
        <v>0.26</v>
      </c>
      <c r="N4222" s="1">
        <v>5000000</v>
      </c>
      <c r="O4222">
        <v>0.26</v>
      </c>
      <c r="P4222">
        <v>1.65</v>
      </c>
      <c r="Q4222">
        <v>0.01</v>
      </c>
    </row>
    <row r="4223" spans="1:17" x14ac:dyDescent="0.25">
      <c r="A4223">
        <v>733151</v>
      </c>
      <c r="B4223" t="s">
        <v>5535</v>
      </c>
      <c r="C4223">
        <v>0.79</v>
      </c>
      <c r="D4223">
        <v>0.02</v>
      </c>
      <c r="E4223">
        <v>0.79</v>
      </c>
      <c r="F4223">
        <v>0.79</v>
      </c>
      <c r="G4223">
        <v>0.79</v>
      </c>
      <c r="H4223">
        <v>0.79</v>
      </c>
      <c r="I4223" s="1">
        <v>100000</v>
      </c>
      <c r="J4223" s="1">
        <v>79000</v>
      </c>
      <c r="K4223">
        <v>1</v>
      </c>
      <c r="L4223">
        <v>0.77</v>
      </c>
      <c r="M4223">
        <v>0.78</v>
      </c>
      <c r="N4223" s="1">
        <v>10000000</v>
      </c>
      <c r="O4223">
        <v>0.79</v>
      </c>
      <c r="P4223">
        <v>1.18</v>
      </c>
      <c r="Q4223">
        <v>0.4</v>
      </c>
    </row>
    <row r="4224" spans="1:17" x14ac:dyDescent="0.25">
      <c r="A4224">
        <v>733152</v>
      </c>
      <c r="B4224" t="s">
        <v>5536</v>
      </c>
      <c r="C4224" t="s">
        <v>78</v>
      </c>
      <c r="D4224" t="s">
        <v>78</v>
      </c>
      <c r="E4224" t="s">
        <v>78</v>
      </c>
      <c r="F4224" t="s">
        <v>78</v>
      </c>
      <c r="G4224" t="s">
        <v>78</v>
      </c>
      <c r="H4224">
        <v>1.03</v>
      </c>
      <c r="I4224" s="1">
        <v>0</v>
      </c>
      <c r="J4224" s="1">
        <v>0</v>
      </c>
      <c r="K4224">
        <v>0</v>
      </c>
      <c r="L4224">
        <v>0.74</v>
      </c>
      <c r="M4224">
        <v>1.5</v>
      </c>
      <c r="N4224" s="1">
        <v>5000000</v>
      </c>
      <c r="O4224">
        <v>0.87</v>
      </c>
      <c r="P4224">
        <v>2.5499999999999998</v>
      </c>
      <c r="Q4224">
        <v>0.01</v>
      </c>
    </row>
    <row r="4225" spans="1:17" x14ac:dyDescent="0.25">
      <c r="A4225">
        <v>733153</v>
      </c>
      <c r="B4225" t="s">
        <v>5537</v>
      </c>
      <c r="C4225">
        <v>1.05</v>
      </c>
      <c r="D4225">
        <v>-0.13</v>
      </c>
      <c r="E4225">
        <v>1.05</v>
      </c>
      <c r="F4225">
        <v>1.05</v>
      </c>
      <c r="G4225">
        <v>1.05</v>
      </c>
      <c r="H4225">
        <v>1.05</v>
      </c>
      <c r="I4225" s="1">
        <v>200000</v>
      </c>
      <c r="J4225" s="1">
        <v>210000</v>
      </c>
      <c r="K4225">
        <v>1</v>
      </c>
      <c r="L4225">
        <v>1.1299999999999999</v>
      </c>
      <c r="M4225">
        <v>1.17</v>
      </c>
      <c r="N4225" s="1">
        <v>10000000</v>
      </c>
      <c r="O4225">
        <v>1.05</v>
      </c>
      <c r="P4225">
        <v>4.53</v>
      </c>
      <c r="Q4225">
        <v>0.01</v>
      </c>
    </row>
    <row r="4226" spans="1:17" x14ac:dyDescent="0.25">
      <c r="A4226">
        <v>733154</v>
      </c>
      <c r="B4226" t="s">
        <v>5538</v>
      </c>
      <c r="C4226" t="s">
        <v>78</v>
      </c>
      <c r="D4226" t="s">
        <v>78</v>
      </c>
      <c r="E4226" t="s">
        <v>78</v>
      </c>
      <c r="F4226" t="s">
        <v>78</v>
      </c>
      <c r="G4226" t="s">
        <v>78</v>
      </c>
      <c r="H4226">
        <v>0.12</v>
      </c>
      <c r="I4226" s="1">
        <v>0</v>
      </c>
      <c r="J4226" s="1">
        <v>0</v>
      </c>
      <c r="K4226">
        <v>0</v>
      </c>
      <c r="L4226">
        <v>0.11</v>
      </c>
      <c r="M4226">
        <v>0.14000000000000001</v>
      </c>
      <c r="N4226" s="1">
        <v>5000000</v>
      </c>
      <c r="O4226">
        <v>0.12</v>
      </c>
      <c r="P4226">
        <v>0.46</v>
      </c>
      <c r="Q4226">
        <v>0.01</v>
      </c>
    </row>
    <row r="4227" spans="1:17" x14ac:dyDescent="0.25">
      <c r="A4227">
        <v>733155</v>
      </c>
      <c r="B4227" t="s">
        <v>5539</v>
      </c>
      <c r="C4227">
        <v>0.46</v>
      </c>
      <c r="D4227">
        <v>0.04</v>
      </c>
      <c r="E4227">
        <v>0.45</v>
      </c>
      <c r="F4227">
        <v>0.46</v>
      </c>
      <c r="G4227">
        <v>0.45</v>
      </c>
      <c r="H4227">
        <v>0.46</v>
      </c>
      <c r="I4227" s="1">
        <v>110000</v>
      </c>
      <c r="J4227" s="1">
        <v>50550</v>
      </c>
      <c r="K4227">
        <v>4</v>
      </c>
      <c r="L4227">
        <v>0.46</v>
      </c>
      <c r="M4227">
        <v>0.47</v>
      </c>
      <c r="N4227" s="1">
        <v>5000000</v>
      </c>
      <c r="O4227">
        <v>0.46</v>
      </c>
      <c r="P4227">
        <v>1.39</v>
      </c>
      <c r="Q4227">
        <v>0.01</v>
      </c>
    </row>
    <row r="4228" spans="1:17" x14ac:dyDescent="0.25">
      <c r="A4228">
        <v>733156</v>
      </c>
      <c r="B4228" t="s">
        <v>5540</v>
      </c>
      <c r="C4228">
        <v>0.81</v>
      </c>
      <c r="D4228">
        <v>-0.03</v>
      </c>
      <c r="E4228">
        <v>0.86</v>
      </c>
      <c r="F4228">
        <v>0.86</v>
      </c>
      <c r="G4228">
        <v>0.81</v>
      </c>
      <c r="H4228">
        <v>0.85</v>
      </c>
      <c r="I4228" s="1">
        <v>570000</v>
      </c>
      <c r="J4228" s="1">
        <v>485820</v>
      </c>
      <c r="K4228">
        <v>15</v>
      </c>
      <c r="L4228">
        <v>0.8</v>
      </c>
      <c r="M4228">
        <v>0.81</v>
      </c>
      <c r="N4228" s="1">
        <v>5000000</v>
      </c>
      <c r="O4228">
        <v>0.81</v>
      </c>
      <c r="P4228">
        <v>1.36</v>
      </c>
      <c r="Q4228">
        <v>0.26</v>
      </c>
    </row>
    <row r="4229" spans="1:17" x14ac:dyDescent="0.25">
      <c r="A4229">
        <v>733157</v>
      </c>
      <c r="B4229" t="s">
        <v>5541</v>
      </c>
      <c r="C4229">
        <v>0.61</v>
      </c>
      <c r="D4229">
        <v>-0.05</v>
      </c>
      <c r="E4229">
        <v>0.62</v>
      </c>
      <c r="F4229">
        <v>0.64</v>
      </c>
      <c r="G4229">
        <v>0.61</v>
      </c>
      <c r="H4229">
        <v>0.62</v>
      </c>
      <c r="I4229" s="1">
        <v>1343000</v>
      </c>
      <c r="J4229" s="1">
        <v>835160</v>
      </c>
      <c r="K4229">
        <v>19</v>
      </c>
      <c r="L4229">
        <v>0.61</v>
      </c>
      <c r="M4229">
        <v>0.62</v>
      </c>
      <c r="N4229" s="1">
        <v>10000000</v>
      </c>
      <c r="O4229">
        <v>0.61</v>
      </c>
      <c r="P4229">
        <v>3.74</v>
      </c>
      <c r="Q4229">
        <v>0.01</v>
      </c>
    </row>
    <row r="4230" spans="1:17" x14ac:dyDescent="0.25">
      <c r="A4230">
        <v>733158</v>
      </c>
      <c r="B4230" t="s">
        <v>5542</v>
      </c>
      <c r="C4230">
        <v>0.26</v>
      </c>
      <c r="D4230">
        <v>-0.03</v>
      </c>
      <c r="E4230">
        <v>0.26</v>
      </c>
      <c r="F4230">
        <v>0.26</v>
      </c>
      <c r="G4230">
        <v>0.26</v>
      </c>
      <c r="H4230">
        <v>0.26</v>
      </c>
      <c r="I4230" s="1">
        <v>152000</v>
      </c>
      <c r="J4230" s="1">
        <v>39520</v>
      </c>
      <c r="K4230">
        <v>1</v>
      </c>
      <c r="L4230">
        <v>0.24</v>
      </c>
      <c r="M4230">
        <v>0.25</v>
      </c>
      <c r="N4230" s="1">
        <v>5000000</v>
      </c>
      <c r="O4230">
        <v>0.26</v>
      </c>
      <c r="P4230">
        <v>0.82</v>
      </c>
      <c r="Q4230">
        <v>0.01</v>
      </c>
    </row>
    <row r="4231" spans="1:17" x14ac:dyDescent="0.25">
      <c r="A4231">
        <v>733159</v>
      </c>
      <c r="B4231" t="s">
        <v>5543</v>
      </c>
      <c r="C4231">
        <v>1.39</v>
      </c>
      <c r="D4231">
        <v>0.13</v>
      </c>
      <c r="E4231">
        <v>1.37</v>
      </c>
      <c r="F4231">
        <v>1.39</v>
      </c>
      <c r="G4231">
        <v>1.37</v>
      </c>
      <c r="H4231">
        <v>1.38</v>
      </c>
      <c r="I4231" s="1">
        <v>20000</v>
      </c>
      <c r="J4231" s="1">
        <v>27600</v>
      </c>
      <c r="K4231">
        <v>2</v>
      </c>
      <c r="L4231">
        <v>1.33</v>
      </c>
      <c r="M4231">
        <v>1.36</v>
      </c>
      <c r="N4231" s="1">
        <v>10000000</v>
      </c>
      <c r="O4231">
        <v>1.39</v>
      </c>
      <c r="P4231">
        <v>2.0099999999999998</v>
      </c>
      <c r="Q4231">
        <v>0.77</v>
      </c>
    </row>
    <row r="4232" spans="1:17" x14ac:dyDescent="0.25">
      <c r="A4232">
        <v>733160</v>
      </c>
      <c r="B4232" t="s">
        <v>5544</v>
      </c>
      <c r="C4232">
        <v>0.06</v>
      </c>
      <c r="D4232">
        <v>-0.03</v>
      </c>
      <c r="E4232">
        <v>0.06</v>
      </c>
      <c r="F4232">
        <v>0.06</v>
      </c>
      <c r="G4232">
        <v>0.05</v>
      </c>
      <c r="H4232">
        <v>0.06</v>
      </c>
      <c r="I4232" s="1">
        <v>51000</v>
      </c>
      <c r="J4232" s="1">
        <v>2960</v>
      </c>
      <c r="K4232">
        <v>8</v>
      </c>
      <c r="L4232">
        <v>0.05</v>
      </c>
      <c r="M4232">
        <v>0.06</v>
      </c>
      <c r="N4232" s="1">
        <v>5000000</v>
      </c>
      <c r="O4232">
        <v>0.06</v>
      </c>
      <c r="P4232">
        <v>0.46</v>
      </c>
      <c r="Q4232">
        <v>0.01</v>
      </c>
    </row>
    <row r="4233" spans="1:17" x14ac:dyDescent="0.25">
      <c r="A4233">
        <v>733161</v>
      </c>
      <c r="B4233" t="s">
        <v>5545</v>
      </c>
      <c r="C4233" t="s">
        <v>78</v>
      </c>
      <c r="D4233" t="s">
        <v>78</v>
      </c>
      <c r="E4233" t="s">
        <v>78</v>
      </c>
      <c r="F4233" t="s">
        <v>78</v>
      </c>
      <c r="G4233" t="s">
        <v>78</v>
      </c>
      <c r="H4233">
        <v>0.22</v>
      </c>
      <c r="I4233" s="1">
        <v>0</v>
      </c>
      <c r="J4233" s="1">
        <v>0</v>
      </c>
      <c r="K4233">
        <v>0</v>
      </c>
      <c r="L4233">
        <v>0.18</v>
      </c>
      <c r="M4233">
        <v>0.19</v>
      </c>
      <c r="N4233" s="1">
        <v>5000000</v>
      </c>
      <c r="O4233">
        <v>0.19</v>
      </c>
      <c r="P4233">
        <v>0.56000000000000005</v>
      </c>
      <c r="Q4233">
        <v>0.01</v>
      </c>
    </row>
    <row r="4234" spans="1:17" x14ac:dyDescent="0.25">
      <c r="A4234">
        <v>733162</v>
      </c>
      <c r="B4234" t="s">
        <v>5546</v>
      </c>
      <c r="C4234" t="s">
        <v>78</v>
      </c>
      <c r="D4234" t="s">
        <v>78</v>
      </c>
      <c r="E4234" t="s">
        <v>78</v>
      </c>
      <c r="F4234" t="s">
        <v>78</v>
      </c>
      <c r="G4234" t="s">
        <v>78</v>
      </c>
      <c r="H4234">
        <v>0.22</v>
      </c>
      <c r="I4234" s="1">
        <v>0</v>
      </c>
      <c r="J4234" s="1">
        <v>0</v>
      </c>
      <c r="K4234">
        <v>0</v>
      </c>
      <c r="L4234">
        <v>0.13</v>
      </c>
      <c r="M4234">
        <v>0.14000000000000001</v>
      </c>
      <c r="N4234" s="1">
        <v>5000000</v>
      </c>
      <c r="O4234">
        <v>0.14000000000000001</v>
      </c>
      <c r="P4234">
        <v>0.51</v>
      </c>
      <c r="Q4234">
        <v>0.01</v>
      </c>
    </row>
    <row r="4235" spans="1:17" x14ac:dyDescent="0.25">
      <c r="A4235">
        <v>733163</v>
      </c>
      <c r="B4235" t="s">
        <v>5547</v>
      </c>
      <c r="C4235">
        <v>0.76</v>
      </c>
      <c r="D4235">
        <v>-0.02</v>
      </c>
      <c r="E4235">
        <v>0.76</v>
      </c>
      <c r="F4235">
        <v>0.76</v>
      </c>
      <c r="G4235">
        <v>0.76</v>
      </c>
      <c r="H4235">
        <v>0.76</v>
      </c>
      <c r="I4235" s="1">
        <v>122000</v>
      </c>
      <c r="J4235" s="1">
        <v>92720</v>
      </c>
      <c r="K4235">
        <v>2</v>
      </c>
      <c r="L4235">
        <v>0.76</v>
      </c>
      <c r="M4235">
        <v>0.77</v>
      </c>
      <c r="N4235" s="1">
        <v>10000000</v>
      </c>
      <c r="O4235">
        <v>0.76</v>
      </c>
      <c r="P4235">
        <v>1.1000000000000001</v>
      </c>
      <c r="Q4235">
        <v>0.42</v>
      </c>
    </row>
    <row r="4236" spans="1:17" x14ac:dyDescent="0.25">
      <c r="A4236">
        <v>733164</v>
      </c>
      <c r="B4236" t="s">
        <v>5548</v>
      </c>
      <c r="C4236">
        <v>0.63</v>
      </c>
      <c r="D4236">
        <v>0</v>
      </c>
      <c r="E4236">
        <v>0.66</v>
      </c>
      <c r="F4236">
        <v>0.67</v>
      </c>
      <c r="G4236">
        <v>0.62</v>
      </c>
      <c r="H4236">
        <v>0.65</v>
      </c>
      <c r="I4236" s="1">
        <v>470000</v>
      </c>
      <c r="J4236" s="1">
        <v>304900</v>
      </c>
      <c r="K4236">
        <v>15</v>
      </c>
      <c r="L4236">
        <v>0.61</v>
      </c>
      <c r="M4236">
        <v>0.62</v>
      </c>
      <c r="N4236" s="1">
        <v>5000000</v>
      </c>
      <c r="O4236">
        <v>0.63</v>
      </c>
      <c r="P4236">
        <v>1.39</v>
      </c>
      <c r="Q4236">
        <v>0.01</v>
      </c>
    </row>
    <row r="4237" spans="1:17" x14ac:dyDescent="0.25">
      <c r="A4237">
        <v>733165</v>
      </c>
      <c r="B4237" t="s">
        <v>5549</v>
      </c>
      <c r="C4237">
        <v>1.22</v>
      </c>
      <c r="D4237">
        <v>-0.05</v>
      </c>
      <c r="E4237">
        <v>1.27</v>
      </c>
      <c r="F4237">
        <v>1.33</v>
      </c>
      <c r="G4237">
        <v>1.18</v>
      </c>
      <c r="H4237">
        <v>1.31</v>
      </c>
      <c r="I4237" s="1">
        <v>1305000</v>
      </c>
      <c r="J4237" s="1">
        <v>1707370</v>
      </c>
      <c r="K4237">
        <v>38</v>
      </c>
      <c r="L4237">
        <v>1.22</v>
      </c>
      <c r="M4237">
        <v>1.23</v>
      </c>
      <c r="N4237" s="1">
        <v>5000000</v>
      </c>
      <c r="O4237">
        <v>1.22</v>
      </c>
      <c r="P4237">
        <v>1.95</v>
      </c>
      <c r="Q4237">
        <v>0.49</v>
      </c>
    </row>
    <row r="4238" spans="1:17" x14ac:dyDescent="0.25">
      <c r="A4238">
        <v>733166</v>
      </c>
      <c r="B4238" t="s">
        <v>5550</v>
      </c>
      <c r="C4238">
        <v>1.19</v>
      </c>
      <c r="D4238">
        <v>0.15</v>
      </c>
      <c r="E4238">
        <v>1.1599999999999999</v>
      </c>
      <c r="F4238">
        <v>1.19</v>
      </c>
      <c r="G4238">
        <v>1.1399999999999999</v>
      </c>
      <c r="H4238">
        <v>1.1599999999999999</v>
      </c>
      <c r="I4238" s="1">
        <v>91000</v>
      </c>
      <c r="J4238" s="1">
        <v>105610</v>
      </c>
      <c r="K4238">
        <v>3</v>
      </c>
      <c r="L4238">
        <v>1.1499999999999999</v>
      </c>
      <c r="M4238">
        <v>1.1599999999999999</v>
      </c>
      <c r="N4238" s="1">
        <v>10000000</v>
      </c>
      <c r="O4238">
        <v>1.19</v>
      </c>
      <c r="P4238">
        <v>2.17</v>
      </c>
      <c r="Q4238">
        <v>0.2</v>
      </c>
    </row>
    <row r="4239" spans="1:17" x14ac:dyDescent="0.25">
      <c r="A4239">
        <v>733167</v>
      </c>
      <c r="B4239" t="s">
        <v>5551</v>
      </c>
      <c r="C4239">
        <v>1.28</v>
      </c>
      <c r="D4239">
        <v>0.02</v>
      </c>
      <c r="E4239">
        <v>1.3</v>
      </c>
      <c r="F4239">
        <v>1.33</v>
      </c>
      <c r="G4239">
        <v>1.27</v>
      </c>
      <c r="H4239">
        <v>1.3</v>
      </c>
      <c r="I4239" s="1">
        <v>705000</v>
      </c>
      <c r="J4239" s="1">
        <v>917340</v>
      </c>
      <c r="K4239">
        <v>36</v>
      </c>
      <c r="L4239">
        <v>1.27</v>
      </c>
      <c r="M4239">
        <v>1.28</v>
      </c>
      <c r="N4239" s="1">
        <v>10000000</v>
      </c>
      <c r="O4239">
        <v>1.28</v>
      </c>
      <c r="P4239">
        <v>1.86</v>
      </c>
      <c r="Q4239">
        <v>0.7</v>
      </c>
    </row>
    <row r="4240" spans="1:17" x14ac:dyDescent="0.25">
      <c r="A4240">
        <v>733168</v>
      </c>
      <c r="B4240" t="s">
        <v>5552</v>
      </c>
      <c r="C4240" t="s">
        <v>78</v>
      </c>
      <c r="D4240" t="s">
        <v>78</v>
      </c>
      <c r="E4240" t="s">
        <v>78</v>
      </c>
      <c r="F4240" t="s">
        <v>78</v>
      </c>
      <c r="G4240" t="s">
        <v>78</v>
      </c>
      <c r="H4240">
        <v>0.7</v>
      </c>
      <c r="I4240" s="1">
        <v>0</v>
      </c>
      <c r="J4240" s="1">
        <v>0</v>
      </c>
      <c r="K4240">
        <v>0</v>
      </c>
      <c r="L4240">
        <v>0.66</v>
      </c>
      <c r="M4240">
        <v>0.67</v>
      </c>
      <c r="N4240" s="1">
        <v>10000000</v>
      </c>
      <c r="O4240">
        <v>0.67</v>
      </c>
      <c r="P4240">
        <v>1.34</v>
      </c>
      <c r="Q4240">
        <v>0.01</v>
      </c>
    </row>
    <row r="4241" spans="1:17" x14ac:dyDescent="0.25">
      <c r="A4241">
        <v>733169</v>
      </c>
      <c r="B4241" t="s">
        <v>5553</v>
      </c>
      <c r="C4241">
        <v>0.7</v>
      </c>
      <c r="D4241">
        <v>-0.03</v>
      </c>
      <c r="E4241">
        <v>0.73</v>
      </c>
      <c r="F4241">
        <v>0.73</v>
      </c>
      <c r="G4241">
        <v>0.69</v>
      </c>
      <c r="H4241">
        <v>0.7</v>
      </c>
      <c r="I4241" s="1">
        <v>20000</v>
      </c>
      <c r="J4241" s="1">
        <v>14100</v>
      </c>
      <c r="K4241">
        <v>3</v>
      </c>
      <c r="L4241">
        <v>0.69</v>
      </c>
      <c r="M4241">
        <v>0.7</v>
      </c>
      <c r="N4241" s="1">
        <v>10000000</v>
      </c>
      <c r="O4241">
        <v>0.7</v>
      </c>
      <c r="P4241">
        <v>1.86</v>
      </c>
      <c r="Q4241">
        <v>0.01</v>
      </c>
    </row>
    <row r="4242" spans="1:17" x14ac:dyDescent="0.25">
      <c r="A4242">
        <v>733170</v>
      </c>
      <c r="B4242" t="s">
        <v>5554</v>
      </c>
      <c r="C4242" t="s">
        <v>78</v>
      </c>
      <c r="D4242" t="s">
        <v>78</v>
      </c>
      <c r="E4242" t="s">
        <v>78</v>
      </c>
      <c r="F4242" t="s">
        <v>78</v>
      </c>
      <c r="G4242" t="s">
        <v>78</v>
      </c>
      <c r="H4242">
        <v>1.04</v>
      </c>
      <c r="I4242" s="1">
        <v>0</v>
      </c>
      <c r="J4242" s="1">
        <v>0</v>
      </c>
      <c r="K4242">
        <v>0</v>
      </c>
      <c r="L4242">
        <v>0.89</v>
      </c>
      <c r="M4242">
        <v>0.92</v>
      </c>
      <c r="N4242" s="1">
        <v>10000000</v>
      </c>
      <c r="O4242">
        <v>0.92</v>
      </c>
      <c r="P4242">
        <v>1.32</v>
      </c>
      <c r="Q4242">
        <v>0.52</v>
      </c>
    </row>
    <row r="4243" spans="1:17" x14ac:dyDescent="0.25">
      <c r="A4243">
        <v>733171</v>
      </c>
      <c r="B4243" t="s">
        <v>5555</v>
      </c>
      <c r="C4243">
        <v>2.19</v>
      </c>
      <c r="D4243">
        <v>0.19</v>
      </c>
      <c r="E4243">
        <v>2.04</v>
      </c>
      <c r="F4243">
        <v>2.2799999999999998</v>
      </c>
      <c r="G4243">
        <v>1.83</v>
      </c>
      <c r="H4243">
        <v>2.11</v>
      </c>
      <c r="I4243" s="1">
        <v>550000</v>
      </c>
      <c r="J4243" s="1">
        <v>1161610</v>
      </c>
      <c r="K4243">
        <v>33</v>
      </c>
      <c r="L4243">
        <v>1.3</v>
      </c>
      <c r="M4243">
        <v>2.3199999999999998</v>
      </c>
      <c r="N4243" s="1">
        <v>10000000</v>
      </c>
      <c r="O4243">
        <v>2.19</v>
      </c>
      <c r="P4243">
        <v>3.84</v>
      </c>
      <c r="Q4243">
        <v>0.54</v>
      </c>
    </row>
    <row r="4244" spans="1:17" x14ac:dyDescent="0.25">
      <c r="A4244">
        <v>733172</v>
      </c>
      <c r="B4244" t="s">
        <v>5556</v>
      </c>
      <c r="C4244">
        <v>1.77</v>
      </c>
      <c r="D4244">
        <v>-0.12</v>
      </c>
      <c r="E4244">
        <v>1.86</v>
      </c>
      <c r="F4244">
        <v>1.86</v>
      </c>
      <c r="G4244">
        <v>1.77</v>
      </c>
      <c r="H4244">
        <v>1.84</v>
      </c>
      <c r="I4244" s="1">
        <v>295000</v>
      </c>
      <c r="J4244" s="1">
        <v>543700</v>
      </c>
      <c r="K4244">
        <v>8</v>
      </c>
      <c r="L4244">
        <v>1.77</v>
      </c>
      <c r="M4244">
        <v>1.78</v>
      </c>
      <c r="N4244" s="1">
        <v>5000000</v>
      </c>
      <c r="O4244">
        <v>1.77</v>
      </c>
      <c r="P4244">
        <v>2.4500000000000002</v>
      </c>
      <c r="Q4244">
        <v>1.0900000000000001</v>
      </c>
    </row>
    <row r="4245" spans="1:17" x14ac:dyDescent="0.25">
      <c r="A4245">
        <v>733173</v>
      </c>
      <c r="B4245" t="s">
        <v>5557</v>
      </c>
      <c r="C4245">
        <v>0.37</v>
      </c>
      <c r="D4245">
        <v>-0.01</v>
      </c>
      <c r="E4245">
        <v>0.37</v>
      </c>
      <c r="F4245">
        <v>0.37</v>
      </c>
      <c r="G4245">
        <v>0.37</v>
      </c>
      <c r="H4245">
        <v>0.37</v>
      </c>
      <c r="I4245" s="1">
        <v>35000</v>
      </c>
      <c r="J4245" s="1">
        <v>12950</v>
      </c>
      <c r="K4245">
        <v>2</v>
      </c>
      <c r="L4245">
        <v>0.37</v>
      </c>
      <c r="M4245">
        <v>0.38</v>
      </c>
      <c r="N4245" s="1">
        <v>10000000</v>
      </c>
      <c r="O4245">
        <v>0.37</v>
      </c>
      <c r="P4245">
        <v>1.0900000000000001</v>
      </c>
      <c r="Q4245">
        <v>0.01</v>
      </c>
    </row>
    <row r="4246" spans="1:17" x14ac:dyDescent="0.25">
      <c r="A4246">
        <v>733174</v>
      </c>
      <c r="B4246" t="s">
        <v>5558</v>
      </c>
      <c r="C4246">
        <v>1.82</v>
      </c>
      <c r="D4246">
        <v>-0.06</v>
      </c>
      <c r="E4246">
        <v>1.88</v>
      </c>
      <c r="F4246">
        <v>1.97</v>
      </c>
      <c r="G4246">
        <v>1.77</v>
      </c>
      <c r="H4246">
        <v>1.89</v>
      </c>
      <c r="I4246" s="1">
        <v>316000</v>
      </c>
      <c r="J4246" s="1">
        <v>596130</v>
      </c>
      <c r="K4246">
        <v>14</v>
      </c>
      <c r="L4246">
        <v>1.8</v>
      </c>
      <c r="M4246">
        <v>1.81</v>
      </c>
      <c r="N4246" s="1">
        <v>10000000</v>
      </c>
      <c r="O4246">
        <v>1.82</v>
      </c>
      <c r="P4246">
        <v>2.8</v>
      </c>
      <c r="Q4246">
        <v>0.84</v>
      </c>
    </row>
    <row r="4247" spans="1:17" x14ac:dyDescent="0.25">
      <c r="A4247">
        <v>733175</v>
      </c>
      <c r="B4247" t="s">
        <v>5559</v>
      </c>
      <c r="C4247">
        <v>1.1200000000000001</v>
      </c>
      <c r="D4247">
        <v>-0.03</v>
      </c>
      <c r="E4247">
        <v>1.2</v>
      </c>
      <c r="F4247">
        <v>1.24</v>
      </c>
      <c r="G4247">
        <v>1.1200000000000001</v>
      </c>
      <c r="H4247">
        <v>1.19</v>
      </c>
      <c r="I4247" s="1">
        <v>596000</v>
      </c>
      <c r="J4247" s="1">
        <v>706950</v>
      </c>
      <c r="K4247">
        <v>26</v>
      </c>
      <c r="L4247">
        <v>1.1100000000000001</v>
      </c>
      <c r="M4247">
        <v>1.1200000000000001</v>
      </c>
      <c r="N4247" s="1">
        <v>10000000</v>
      </c>
      <c r="O4247">
        <v>1.1200000000000001</v>
      </c>
      <c r="P4247">
        <v>1.91</v>
      </c>
      <c r="Q4247">
        <v>0.33</v>
      </c>
    </row>
    <row r="4248" spans="1:17" x14ac:dyDescent="0.25">
      <c r="A4248">
        <v>733176</v>
      </c>
      <c r="B4248" t="s">
        <v>5560</v>
      </c>
      <c r="C4248">
        <v>1.25</v>
      </c>
      <c r="D4248">
        <v>-0.18</v>
      </c>
      <c r="E4248">
        <v>1.41</v>
      </c>
      <c r="F4248">
        <v>1.41</v>
      </c>
      <c r="G4248">
        <v>1.25</v>
      </c>
      <c r="H4248">
        <v>1.34</v>
      </c>
      <c r="I4248" s="1">
        <v>24000</v>
      </c>
      <c r="J4248" s="1">
        <v>32170</v>
      </c>
      <c r="K4248">
        <v>3</v>
      </c>
      <c r="L4248">
        <v>1.24</v>
      </c>
      <c r="M4248">
        <v>1.34</v>
      </c>
      <c r="N4248" s="1">
        <v>10000000</v>
      </c>
      <c r="O4248">
        <v>1.25</v>
      </c>
      <c r="P4248">
        <v>2.65</v>
      </c>
      <c r="Q4248">
        <v>0.01</v>
      </c>
    </row>
    <row r="4249" spans="1:17" x14ac:dyDescent="0.25">
      <c r="A4249">
        <v>733177</v>
      </c>
      <c r="B4249" t="s">
        <v>5561</v>
      </c>
      <c r="C4249">
        <v>0.97</v>
      </c>
      <c r="D4249">
        <v>7.0000000000000007E-2</v>
      </c>
      <c r="E4249">
        <v>0.96</v>
      </c>
      <c r="F4249">
        <v>0.97</v>
      </c>
      <c r="G4249">
        <v>0.95</v>
      </c>
      <c r="H4249">
        <v>0.96</v>
      </c>
      <c r="I4249" s="1">
        <v>555000</v>
      </c>
      <c r="J4249" s="1">
        <v>533930</v>
      </c>
      <c r="K4249">
        <v>8</v>
      </c>
      <c r="L4249">
        <v>0.93</v>
      </c>
      <c r="M4249">
        <v>0.96</v>
      </c>
      <c r="N4249" s="1">
        <v>10000000</v>
      </c>
      <c r="O4249">
        <v>0.97</v>
      </c>
      <c r="P4249">
        <v>1.41</v>
      </c>
      <c r="Q4249">
        <v>0.53</v>
      </c>
    </row>
    <row r="4250" spans="1:17" x14ac:dyDescent="0.25">
      <c r="A4250">
        <v>733178</v>
      </c>
      <c r="B4250" t="s">
        <v>5562</v>
      </c>
      <c r="C4250">
        <v>2.96</v>
      </c>
      <c r="D4250">
        <v>0.09</v>
      </c>
      <c r="E4250">
        <v>2.79</v>
      </c>
      <c r="F4250">
        <v>2.96</v>
      </c>
      <c r="G4250">
        <v>2.79</v>
      </c>
      <c r="H4250">
        <v>2.94</v>
      </c>
      <c r="I4250" s="1">
        <v>7000</v>
      </c>
      <c r="J4250" s="1">
        <v>20550</v>
      </c>
      <c r="K4250">
        <v>2</v>
      </c>
      <c r="L4250">
        <v>2.94</v>
      </c>
      <c r="M4250">
        <v>3.04</v>
      </c>
      <c r="N4250" s="1">
        <v>10000000</v>
      </c>
      <c r="O4250">
        <v>2.96</v>
      </c>
      <c r="P4250">
        <v>3.82</v>
      </c>
      <c r="Q4250">
        <v>2.1</v>
      </c>
    </row>
    <row r="4251" spans="1:17" x14ac:dyDescent="0.25">
      <c r="A4251">
        <v>733179</v>
      </c>
      <c r="B4251" t="s">
        <v>5563</v>
      </c>
      <c r="C4251">
        <v>0.78</v>
      </c>
      <c r="D4251">
        <v>0.09</v>
      </c>
      <c r="E4251">
        <v>0.71</v>
      </c>
      <c r="F4251">
        <v>0.85</v>
      </c>
      <c r="G4251">
        <v>0.71</v>
      </c>
      <c r="H4251">
        <v>0.76</v>
      </c>
      <c r="I4251" s="1">
        <v>831000</v>
      </c>
      <c r="J4251" s="1">
        <v>632300</v>
      </c>
      <c r="K4251">
        <v>35</v>
      </c>
      <c r="L4251">
        <v>0.77</v>
      </c>
      <c r="M4251">
        <v>0.78</v>
      </c>
      <c r="N4251" s="1">
        <v>10000000</v>
      </c>
      <c r="O4251">
        <v>0.78</v>
      </c>
      <c r="P4251">
        <v>1.53</v>
      </c>
      <c r="Q4251">
        <v>0.03</v>
      </c>
    </row>
    <row r="4252" spans="1:17" x14ac:dyDescent="0.25">
      <c r="A4252">
        <v>733180</v>
      </c>
      <c r="B4252" t="s">
        <v>5564</v>
      </c>
      <c r="C4252">
        <v>1.25</v>
      </c>
      <c r="D4252">
        <v>-0.05</v>
      </c>
      <c r="E4252">
        <v>1.31</v>
      </c>
      <c r="F4252">
        <v>1.37</v>
      </c>
      <c r="G4252">
        <v>1.22</v>
      </c>
      <c r="H4252">
        <v>1.3</v>
      </c>
      <c r="I4252" s="1">
        <v>2258000</v>
      </c>
      <c r="J4252" s="1">
        <v>2939580</v>
      </c>
      <c r="K4252">
        <v>69</v>
      </c>
      <c r="L4252">
        <v>1.24</v>
      </c>
      <c r="M4252">
        <v>1.25</v>
      </c>
      <c r="N4252" s="1">
        <v>5000000</v>
      </c>
      <c r="O4252">
        <v>1.25</v>
      </c>
      <c r="P4252">
        <v>2.0699999999999998</v>
      </c>
      <c r="Q4252">
        <v>0.43</v>
      </c>
    </row>
    <row r="4253" spans="1:17" x14ac:dyDescent="0.25">
      <c r="A4253">
        <v>733181</v>
      </c>
      <c r="B4253" t="s">
        <v>5565</v>
      </c>
      <c r="C4253">
        <v>1.08</v>
      </c>
      <c r="D4253">
        <v>0.22</v>
      </c>
      <c r="E4253">
        <v>0.92</v>
      </c>
      <c r="F4253">
        <v>1.08</v>
      </c>
      <c r="G4253">
        <v>0.92</v>
      </c>
      <c r="H4253">
        <v>0.98</v>
      </c>
      <c r="I4253" s="1">
        <v>1393000</v>
      </c>
      <c r="J4253" s="1">
        <v>1366170</v>
      </c>
      <c r="K4253">
        <v>20</v>
      </c>
      <c r="L4253">
        <v>0.97</v>
      </c>
      <c r="M4253">
        <v>0.98</v>
      </c>
      <c r="N4253" s="1">
        <v>5000000</v>
      </c>
      <c r="O4253">
        <v>1.08</v>
      </c>
      <c r="P4253">
        <v>2.2000000000000002</v>
      </c>
      <c r="Q4253">
        <v>0.01</v>
      </c>
    </row>
    <row r="4254" spans="1:17" x14ac:dyDescent="0.25">
      <c r="A4254">
        <v>733182</v>
      </c>
      <c r="B4254" t="s">
        <v>5566</v>
      </c>
      <c r="C4254">
        <v>0.49</v>
      </c>
      <c r="D4254">
        <v>0.02</v>
      </c>
      <c r="E4254">
        <v>0.49</v>
      </c>
      <c r="F4254">
        <v>0.49</v>
      </c>
      <c r="G4254">
        <v>0.49</v>
      </c>
      <c r="H4254">
        <v>0.49</v>
      </c>
      <c r="I4254" s="1">
        <v>30000</v>
      </c>
      <c r="J4254" s="1">
        <v>14700</v>
      </c>
      <c r="K4254">
        <v>2</v>
      </c>
      <c r="L4254">
        <v>0.48</v>
      </c>
      <c r="M4254">
        <v>0.49</v>
      </c>
      <c r="N4254" s="1">
        <v>5000000</v>
      </c>
      <c r="O4254">
        <v>0.49</v>
      </c>
      <c r="P4254">
        <v>1.27</v>
      </c>
      <c r="Q4254">
        <v>0.01</v>
      </c>
    </row>
    <row r="4255" spans="1:17" x14ac:dyDescent="0.25">
      <c r="A4255">
        <v>733183</v>
      </c>
      <c r="B4255" t="s">
        <v>5567</v>
      </c>
      <c r="C4255">
        <v>0.78</v>
      </c>
      <c r="D4255">
        <v>0.01</v>
      </c>
      <c r="E4255">
        <v>0.8</v>
      </c>
      <c r="F4255">
        <v>0.82</v>
      </c>
      <c r="G4255">
        <v>0.78</v>
      </c>
      <c r="H4255">
        <v>0.79</v>
      </c>
      <c r="I4255" s="1">
        <v>46000</v>
      </c>
      <c r="J4255" s="1">
        <v>36360</v>
      </c>
      <c r="K4255">
        <v>5</v>
      </c>
      <c r="L4255">
        <v>0.77</v>
      </c>
      <c r="M4255">
        <v>0.78</v>
      </c>
      <c r="N4255" s="1">
        <v>10000000</v>
      </c>
      <c r="O4255">
        <v>0.78</v>
      </c>
      <c r="P4255">
        <v>1.1399999999999999</v>
      </c>
      <c r="Q4255">
        <v>0.42</v>
      </c>
    </row>
    <row r="4256" spans="1:17" x14ac:dyDescent="0.25">
      <c r="A4256">
        <v>733184</v>
      </c>
      <c r="B4256" t="s">
        <v>5568</v>
      </c>
      <c r="C4256" t="s">
        <v>78</v>
      </c>
      <c r="D4256" t="s">
        <v>78</v>
      </c>
      <c r="E4256" t="s">
        <v>78</v>
      </c>
      <c r="F4256" t="s">
        <v>78</v>
      </c>
      <c r="G4256" t="s">
        <v>78</v>
      </c>
      <c r="H4256">
        <v>0.53</v>
      </c>
      <c r="I4256" s="1">
        <v>0</v>
      </c>
      <c r="J4256" s="1">
        <v>0</v>
      </c>
      <c r="K4256">
        <v>0</v>
      </c>
      <c r="L4256">
        <v>0.54</v>
      </c>
      <c r="M4256">
        <v>0.55000000000000004</v>
      </c>
      <c r="N4256" s="1">
        <v>5000000</v>
      </c>
      <c r="O4256">
        <v>0.54</v>
      </c>
      <c r="P4256">
        <v>1.17</v>
      </c>
      <c r="Q4256">
        <v>0.01</v>
      </c>
    </row>
    <row r="4257" spans="1:17" x14ac:dyDescent="0.25">
      <c r="A4257">
        <v>733185</v>
      </c>
      <c r="B4257" t="s">
        <v>5569</v>
      </c>
      <c r="C4257">
        <v>0.5</v>
      </c>
      <c r="D4257">
        <v>-0.01</v>
      </c>
      <c r="E4257">
        <v>0.5</v>
      </c>
      <c r="F4257">
        <v>0.5</v>
      </c>
      <c r="G4257">
        <v>0.5</v>
      </c>
      <c r="H4257">
        <v>0.5</v>
      </c>
      <c r="I4257" s="1">
        <v>10000</v>
      </c>
      <c r="J4257" s="1">
        <v>5000</v>
      </c>
      <c r="K4257">
        <v>1</v>
      </c>
      <c r="L4257">
        <v>0.48</v>
      </c>
      <c r="M4257">
        <v>0.49</v>
      </c>
      <c r="N4257" s="1">
        <v>5000000</v>
      </c>
      <c r="O4257">
        <v>0.5</v>
      </c>
      <c r="P4257">
        <v>1.04</v>
      </c>
      <c r="Q4257">
        <v>0.01</v>
      </c>
    </row>
    <row r="4258" spans="1:17" x14ac:dyDescent="0.25">
      <c r="A4258">
        <v>733186</v>
      </c>
      <c r="B4258" t="s">
        <v>5570</v>
      </c>
      <c r="C4258" t="s">
        <v>78</v>
      </c>
      <c r="D4258" t="s">
        <v>78</v>
      </c>
      <c r="E4258" t="s">
        <v>78</v>
      </c>
      <c r="F4258" t="s">
        <v>78</v>
      </c>
      <c r="G4258" t="s">
        <v>78</v>
      </c>
      <c r="H4258">
        <v>0.42</v>
      </c>
      <c r="I4258" s="1">
        <v>0</v>
      </c>
      <c r="J4258" s="1">
        <v>0</v>
      </c>
      <c r="K4258">
        <v>0</v>
      </c>
      <c r="L4258">
        <v>0.4</v>
      </c>
      <c r="M4258">
        <v>0.41</v>
      </c>
      <c r="N4258" s="1">
        <v>5000000</v>
      </c>
      <c r="O4258">
        <v>0.41</v>
      </c>
      <c r="P4258">
        <v>1.45</v>
      </c>
      <c r="Q4258">
        <v>0.01</v>
      </c>
    </row>
    <row r="4259" spans="1:17" x14ac:dyDescent="0.25">
      <c r="A4259">
        <v>733187</v>
      </c>
      <c r="B4259" t="s">
        <v>5571</v>
      </c>
      <c r="C4259">
        <v>1.05</v>
      </c>
      <c r="D4259">
        <v>0.04</v>
      </c>
      <c r="E4259">
        <v>1.05</v>
      </c>
      <c r="F4259">
        <v>1.05</v>
      </c>
      <c r="G4259">
        <v>1</v>
      </c>
      <c r="H4259">
        <v>1.03</v>
      </c>
      <c r="I4259" s="1">
        <v>151000</v>
      </c>
      <c r="J4259" s="1">
        <v>154810</v>
      </c>
      <c r="K4259">
        <v>12</v>
      </c>
      <c r="L4259">
        <v>1.05</v>
      </c>
      <c r="M4259">
        <v>1.07</v>
      </c>
      <c r="N4259" s="1">
        <v>5000000</v>
      </c>
      <c r="O4259">
        <v>1.05</v>
      </c>
      <c r="P4259">
        <v>1.96</v>
      </c>
      <c r="Q4259">
        <v>0.14000000000000001</v>
      </c>
    </row>
    <row r="4260" spans="1:17" x14ac:dyDescent="0.25">
      <c r="A4260">
        <v>733188</v>
      </c>
      <c r="B4260" t="s">
        <v>5572</v>
      </c>
      <c r="C4260" t="s">
        <v>78</v>
      </c>
      <c r="D4260" t="s">
        <v>78</v>
      </c>
      <c r="E4260" t="s">
        <v>78</v>
      </c>
      <c r="F4260" t="s">
        <v>78</v>
      </c>
      <c r="G4260" t="s">
        <v>78</v>
      </c>
      <c r="H4260">
        <v>1.29</v>
      </c>
      <c r="I4260" s="1">
        <v>0</v>
      </c>
      <c r="J4260" s="1">
        <v>0</v>
      </c>
      <c r="K4260">
        <v>0</v>
      </c>
      <c r="L4260">
        <v>1.1399999999999999</v>
      </c>
      <c r="M4260">
        <v>1.1499999999999999</v>
      </c>
      <c r="N4260" s="1">
        <v>5000000</v>
      </c>
      <c r="O4260">
        <v>1.1499999999999999</v>
      </c>
      <c r="P4260">
        <v>4.03</v>
      </c>
      <c r="Q4260">
        <v>0.01</v>
      </c>
    </row>
    <row r="4261" spans="1:17" x14ac:dyDescent="0.25">
      <c r="A4261">
        <v>733189</v>
      </c>
      <c r="B4261" t="s">
        <v>5573</v>
      </c>
      <c r="C4261">
        <v>1.49</v>
      </c>
      <c r="D4261">
        <v>-0.04</v>
      </c>
      <c r="E4261">
        <v>1.53</v>
      </c>
      <c r="F4261">
        <v>1.61</v>
      </c>
      <c r="G4261">
        <v>1.46</v>
      </c>
      <c r="H4261">
        <v>1.56</v>
      </c>
      <c r="I4261" s="1">
        <v>2003000</v>
      </c>
      <c r="J4261" s="1">
        <v>3132870</v>
      </c>
      <c r="K4261">
        <v>52</v>
      </c>
      <c r="L4261">
        <v>1.48</v>
      </c>
      <c r="M4261">
        <v>1.49</v>
      </c>
      <c r="N4261" s="1">
        <v>5000000</v>
      </c>
      <c r="O4261">
        <v>1.49</v>
      </c>
      <c r="P4261">
        <v>2.44</v>
      </c>
      <c r="Q4261">
        <v>0.54</v>
      </c>
    </row>
    <row r="4262" spans="1:17" x14ac:dyDescent="0.25">
      <c r="A4262">
        <v>733190</v>
      </c>
      <c r="B4262" t="s">
        <v>5574</v>
      </c>
      <c r="C4262" t="s">
        <v>78</v>
      </c>
      <c r="D4262" t="s">
        <v>78</v>
      </c>
      <c r="E4262" t="s">
        <v>78</v>
      </c>
      <c r="F4262" t="s">
        <v>78</v>
      </c>
      <c r="G4262" t="s">
        <v>78</v>
      </c>
      <c r="H4262">
        <v>1.1599999999999999</v>
      </c>
      <c r="I4262" s="1">
        <v>0</v>
      </c>
      <c r="J4262" s="1">
        <v>0</v>
      </c>
      <c r="K4262">
        <v>0</v>
      </c>
      <c r="L4262">
        <v>1.08</v>
      </c>
      <c r="M4262">
        <v>1.0900000000000001</v>
      </c>
      <c r="N4262" s="1">
        <v>16000000</v>
      </c>
      <c r="O4262">
        <v>1.0900000000000001</v>
      </c>
      <c r="P4262">
        <v>2.61</v>
      </c>
      <c r="Q4262">
        <v>0.01</v>
      </c>
    </row>
    <row r="4263" spans="1:17" x14ac:dyDescent="0.25">
      <c r="A4263">
        <v>733191</v>
      </c>
      <c r="B4263" t="s">
        <v>5575</v>
      </c>
      <c r="C4263" t="s">
        <v>78</v>
      </c>
      <c r="D4263" t="s">
        <v>78</v>
      </c>
      <c r="E4263" t="s">
        <v>78</v>
      </c>
      <c r="F4263" t="s">
        <v>78</v>
      </c>
      <c r="G4263" t="s">
        <v>78</v>
      </c>
      <c r="H4263">
        <v>1.57</v>
      </c>
      <c r="I4263" s="1">
        <v>0</v>
      </c>
      <c r="J4263" s="1">
        <v>0</v>
      </c>
      <c r="K4263">
        <v>0</v>
      </c>
      <c r="L4263">
        <v>1.69</v>
      </c>
      <c r="M4263">
        <v>1.72</v>
      </c>
      <c r="N4263" s="1">
        <v>20000000</v>
      </c>
      <c r="O4263">
        <v>1.7</v>
      </c>
      <c r="P4263">
        <v>3.28</v>
      </c>
      <c r="Q4263">
        <v>0.12</v>
      </c>
    </row>
    <row r="4264" spans="1:17" x14ac:dyDescent="0.25">
      <c r="A4264">
        <v>733192</v>
      </c>
      <c r="B4264" t="s">
        <v>5576</v>
      </c>
      <c r="C4264">
        <v>0.39</v>
      </c>
      <c r="D4264">
        <v>0.02</v>
      </c>
      <c r="E4264">
        <v>0.37</v>
      </c>
      <c r="F4264">
        <v>0.39</v>
      </c>
      <c r="G4264">
        <v>0.37</v>
      </c>
      <c r="H4264">
        <v>0.38</v>
      </c>
      <c r="I4264" s="1">
        <v>210000</v>
      </c>
      <c r="J4264" s="1">
        <v>80700</v>
      </c>
      <c r="K4264">
        <v>5</v>
      </c>
      <c r="L4264">
        <v>0.36</v>
      </c>
      <c r="M4264">
        <v>0.37</v>
      </c>
      <c r="N4264" s="1">
        <v>10000000</v>
      </c>
      <c r="O4264">
        <v>0.39</v>
      </c>
      <c r="P4264">
        <v>0.89</v>
      </c>
      <c r="Q4264">
        <v>0.01</v>
      </c>
    </row>
    <row r="4265" spans="1:17" x14ac:dyDescent="0.25">
      <c r="A4265">
        <v>733193</v>
      </c>
      <c r="B4265" t="s">
        <v>5577</v>
      </c>
      <c r="C4265">
        <v>0.62</v>
      </c>
      <c r="D4265">
        <v>0</v>
      </c>
      <c r="E4265">
        <v>0.62</v>
      </c>
      <c r="F4265">
        <v>0.62</v>
      </c>
      <c r="G4265">
        <v>0.62</v>
      </c>
      <c r="H4265">
        <v>0.62</v>
      </c>
      <c r="I4265" s="1">
        <v>3000</v>
      </c>
      <c r="J4265" s="1">
        <v>1860</v>
      </c>
      <c r="K4265">
        <v>1</v>
      </c>
      <c r="L4265">
        <v>0.63</v>
      </c>
      <c r="M4265">
        <v>0.64</v>
      </c>
      <c r="N4265" s="1">
        <v>10000000</v>
      </c>
      <c r="O4265">
        <v>0.62</v>
      </c>
      <c r="P4265">
        <v>1.34</v>
      </c>
      <c r="Q4265">
        <v>0.01</v>
      </c>
    </row>
    <row r="4266" spans="1:17" x14ac:dyDescent="0.25">
      <c r="A4266">
        <v>733194</v>
      </c>
      <c r="B4266" t="s">
        <v>5578</v>
      </c>
      <c r="C4266">
        <v>0.71</v>
      </c>
      <c r="D4266">
        <v>-0.06</v>
      </c>
      <c r="E4266">
        <v>0.71</v>
      </c>
      <c r="F4266">
        <v>0.71</v>
      </c>
      <c r="G4266">
        <v>0.71</v>
      </c>
      <c r="H4266">
        <v>0.71</v>
      </c>
      <c r="I4266" s="1">
        <v>250000</v>
      </c>
      <c r="J4266" s="1">
        <v>177500</v>
      </c>
      <c r="K4266">
        <v>1</v>
      </c>
      <c r="L4266">
        <v>0.71</v>
      </c>
      <c r="M4266">
        <v>0.72</v>
      </c>
      <c r="N4266" s="1">
        <v>5000000</v>
      </c>
      <c r="O4266">
        <v>0.71</v>
      </c>
      <c r="P4266">
        <v>1.91</v>
      </c>
      <c r="Q4266">
        <v>0.01</v>
      </c>
    </row>
    <row r="4267" spans="1:17" x14ac:dyDescent="0.25">
      <c r="A4267">
        <v>733195</v>
      </c>
      <c r="B4267" t="s">
        <v>5579</v>
      </c>
      <c r="C4267">
        <v>1.03</v>
      </c>
      <c r="D4267">
        <v>-0.11</v>
      </c>
      <c r="E4267">
        <v>1.03</v>
      </c>
      <c r="F4267">
        <v>1.03</v>
      </c>
      <c r="G4267">
        <v>1.03</v>
      </c>
      <c r="H4267">
        <v>1.03</v>
      </c>
      <c r="I4267" s="1">
        <v>5000</v>
      </c>
      <c r="J4267" s="1">
        <v>5150</v>
      </c>
      <c r="K4267">
        <v>1</v>
      </c>
      <c r="L4267">
        <v>1.03</v>
      </c>
      <c r="M4267">
        <v>1.06</v>
      </c>
      <c r="N4267" s="1">
        <v>10000000</v>
      </c>
      <c r="O4267">
        <v>1.03</v>
      </c>
      <c r="P4267">
        <v>1.38</v>
      </c>
      <c r="Q4267">
        <v>0.68</v>
      </c>
    </row>
    <row r="4268" spans="1:17" x14ac:dyDescent="0.25">
      <c r="A4268">
        <v>733196</v>
      </c>
      <c r="B4268" t="s">
        <v>5580</v>
      </c>
      <c r="C4268">
        <v>0.69</v>
      </c>
      <c r="D4268">
        <v>0.02</v>
      </c>
      <c r="E4268">
        <v>0.7</v>
      </c>
      <c r="F4268">
        <v>0.71</v>
      </c>
      <c r="G4268">
        <v>0.68</v>
      </c>
      <c r="H4268">
        <v>0.69</v>
      </c>
      <c r="I4268" s="1">
        <v>843000</v>
      </c>
      <c r="J4268" s="1">
        <v>585650</v>
      </c>
      <c r="K4268">
        <v>30</v>
      </c>
      <c r="L4268">
        <v>0.7</v>
      </c>
      <c r="M4268">
        <v>0.71</v>
      </c>
      <c r="N4268" s="1">
        <v>5000000</v>
      </c>
      <c r="O4268">
        <v>0.69</v>
      </c>
      <c r="P4268">
        <v>1.23</v>
      </c>
      <c r="Q4268">
        <v>0.15</v>
      </c>
    </row>
    <row r="4269" spans="1:17" x14ac:dyDescent="0.25">
      <c r="A4269">
        <v>733197</v>
      </c>
      <c r="B4269" t="s">
        <v>5581</v>
      </c>
      <c r="C4269">
        <v>1.37</v>
      </c>
      <c r="D4269">
        <v>-0.09</v>
      </c>
      <c r="E4269">
        <v>1.43</v>
      </c>
      <c r="F4269">
        <v>1.43</v>
      </c>
      <c r="G4269">
        <v>1.37</v>
      </c>
      <c r="H4269">
        <v>1.4</v>
      </c>
      <c r="I4269" s="1">
        <v>660000</v>
      </c>
      <c r="J4269" s="1">
        <v>923990</v>
      </c>
      <c r="K4269">
        <v>10</v>
      </c>
      <c r="L4269">
        <v>1.37</v>
      </c>
      <c r="M4269">
        <v>1.39</v>
      </c>
      <c r="N4269" s="1">
        <v>5000000</v>
      </c>
      <c r="O4269">
        <v>1.37</v>
      </c>
      <c r="P4269">
        <v>1.79</v>
      </c>
      <c r="Q4269">
        <v>0.95</v>
      </c>
    </row>
    <row r="4270" spans="1:17" x14ac:dyDescent="0.25">
      <c r="A4270">
        <v>733198</v>
      </c>
      <c r="B4270" t="s">
        <v>5582</v>
      </c>
      <c r="C4270">
        <v>1.25</v>
      </c>
      <c r="D4270">
        <v>-0.01</v>
      </c>
      <c r="E4270">
        <v>1.31</v>
      </c>
      <c r="F4270">
        <v>1.31</v>
      </c>
      <c r="G4270">
        <v>1.25</v>
      </c>
      <c r="H4270">
        <v>1.28</v>
      </c>
      <c r="I4270" s="1">
        <v>255000</v>
      </c>
      <c r="J4270" s="1">
        <v>326300</v>
      </c>
      <c r="K4270">
        <v>6</v>
      </c>
      <c r="L4270">
        <v>1.24</v>
      </c>
      <c r="M4270">
        <v>1.26</v>
      </c>
      <c r="N4270" s="1">
        <v>5000000</v>
      </c>
      <c r="O4270">
        <v>1.25</v>
      </c>
      <c r="P4270">
        <v>1.92</v>
      </c>
      <c r="Q4270">
        <v>0.57999999999999996</v>
      </c>
    </row>
    <row r="4271" spans="1:17" x14ac:dyDescent="0.25">
      <c r="A4271">
        <v>733199</v>
      </c>
      <c r="B4271" t="s">
        <v>5583</v>
      </c>
      <c r="C4271">
        <v>1.48</v>
      </c>
      <c r="D4271">
        <v>0.01</v>
      </c>
      <c r="E4271">
        <v>1.47</v>
      </c>
      <c r="F4271">
        <v>1.51</v>
      </c>
      <c r="G4271">
        <v>1.46</v>
      </c>
      <c r="H4271">
        <v>1.48</v>
      </c>
      <c r="I4271" s="1">
        <v>84000</v>
      </c>
      <c r="J4271" s="1">
        <v>124510</v>
      </c>
      <c r="K4271">
        <v>13</v>
      </c>
      <c r="L4271">
        <v>1.47</v>
      </c>
      <c r="M4271">
        <v>1.48</v>
      </c>
      <c r="N4271" s="1">
        <v>10000000</v>
      </c>
      <c r="O4271">
        <v>1.48</v>
      </c>
      <c r="P4271">
        <v>1.89</v>
      </c>
      <c r="Q4271">
        <v>1.07</v>
      </c>
    </row>
    <row r="4272" spans="1:17" x14ac:dyDescent="0.25">
      <c r="A4272">
        <v>733200</v>
      </c>
      <c r="B4272" t="s">
        <v>5584</v>
      </c>
      <c r="C4272">
        <v>0.74</v>
      </c>
      <c r="D4272">
        <v>0.02</v>
      </c>
      <c r="E4272">
        <v>0.73</v>
      </c>
      <c r="F4272">
        <v>0.75</v>
      </c>
      <c r="G4272">
        <v>0.73</v>
      </c>
      <c r="H4272">
        <v>0.74</v>
      </c>
      <c r="I4272" s="1">
        <v>496000</v>
      </c>
      <c r="J4272" s="1">
        <v>367940</v>
      </c>
      <c r="K4272">
        <v>9</v>
      </c>
      <c r="L4272">
        <v>0.73</v>
      </c>
      <c r="M4272">
        <v>0.74</v>
      </c>
      <c r="N4272" s="1">
        <v>5000000</v>
      </c>
      <c r="O4272">
        <v>0.74</v>
      </c>
      <c r="P4272">
        <v>1.26</v>
      </c>
      <c r="Q4272">
        <v>0.22</v>
      </c>
    </row>
    <row r="4273" spans="1:17" x14ac:dyDescent="0.25">
      <c r="A4273">
        <v>733201</v>
      </c>
      <c r="B4273" t="s">
        <v>5585</v>
      </c>
      <c r="C4273" t="s">
        <v>78</v>
      </c>
      <c r="D4273" t="s">
        <v>78</v>
      </c>
      <c r="E4273" t="s">
        <v>78</v>
      </c>
      <c r="F4273" t="s">
        <v>78</v>
      </c>
      <c r="G4273" t="s">
        <v>78</v>
      </c>
      <c r="H4273">
        <v>0.36</v>
      </c>
      <c r="I4273" s="1">
        <v>0</v>
      </c>
      <c r="J4273" s="1">
        <v>0</v>
      </c>
      <c r="K4273">
        <v>0</v>
      </c>
      <c r="L4273">
        <v>0.34</v>
      </c>
      <c r="M4273">
        <v>0.35</v>
      </c>
      <c r="N4273" s="1">
        <v>5000000</v>
      </c>
      <c r="O4273">
        <v>0.35</v>
      </c>
      <c r="P4273">
        <v>1.8</v>
      </c>
      <c r="Q4273">
        <v>0.01</v>
      </c>
    </row>
    <row r="4274" spans="1:17" x14ac:dyDescent="0.25">
      <c r="A4274">
        <v>733202</v>
      </c>
      <c r="B4274" t="s">
        <v>5586</v>
      </c>
      <c r="C4274">
        <v>0.6</v>
      </c>
      <c r="D4274">
        <v>0.02</v>
      </c>
      <c r="E4274">
        <v>0.6</v>
      </c>
      <c r="F4274">
        <v>0.6</v>
      </c>
      <c r="G4274">
        <v>0.6</v>
      </c>
      <c r="H4274">
        <v>0.6</v>
      </c>
      <c r="I4274" s="1">
        <v>100000</v>
      </c>
      <c r="J4274" s="1">
        <v>60000</v>
      </c>
      <c r="K4274">
        <v>1</v>
      </c>
      <c r="L4274">
        <v>0.59</v>
      </c>
      <c r="M4274">
        <v>0.6</v>
      </c>
      <c r="N4274" s="1">
        <v>10000000</v>
      </c>
      <c r="O4274">
        <v>0.6</v>
      </c>
      <c r="P4274">
        <v>1.23</v>
      </c>
      <c r="Q4274">
        <v>0.01</v>
      </c>
    </row>
    <row r="4275" spans="1:17" x14ac:dyDescent="0.25">
      <c r="A4275">
        <v>733203</v>
      </c>
      <c r="B4275" t="s">
        <v>5587</v>
      </c>
      <c r="C4275" t="s">
        <v>78</v>
      </c>
      <c r="D4275" t="s">
        <v>78</v>
      </c>
      <c r="E4275" t="s">
        <v>78</v>
      </c>
      <c r="F4275" t="s">
        <v>78</v>
      </c>
      <c r="G4275" t="s">
        <v>78</v>
      </c>
      <c r="H4275">
        <v>0.49</v>
      </c>
      <c r="I4275" s="1">
        <v>0</v>
      </c>
      <c r="J4275" s="1">
        <v>0</v>
      </c>
      <c r="K4275">
        <v>0</v>
      </c>
      <c r="L4275">
        <v>0.46</v>
      </c>
      <c r="M4275">
        <v>0.47</v>
      </c>
      <c r="N4275" s="1">
        <v>10000000</v>
      </c>
      <c r="O4275">
        <v>0.47</v>
      </c>
      <c r="P4275">
        <v>0.86</v>
      </c>
      <c r="Q4275">
        <v>0.08</v>
      </c>
    </row>
    <row r="4276" spans="1:17" x14ac:dyDescent="0.25">
      <c r="A4276">
        <v>733204</v>
      </c>
      <c r="B4276" t="s">
        <v>5588</v>
      </c>
      <c r="C4276">
        <v>0.73</v>
      </c>
      <c r="D4276">
        <v>0.03</v>
      </c>
      <c r="E4276">
        <v>0.71</v>
      </c>
      <c r="F4276">
        <v>0.75</v>
      </c>
      <c r="G4276">
        <v>0.71</v>
      </c>
      <c r="H4276">
        <v>0.73</v>
      </c>
      <c r="I4276" s="1">
        <v>723000</v>
      </c>
      <c r="J4276" s="1">
        <v>527460</v>
      </c>
      <c r="K4276">
        <v>21</v>
      </c>
      <c r="L4276">
        <v>0.73</v>
      </c>
      <c r="M4276">
        <v>0.75</v>
      </c>
      <c r="N4276" s="1">
        <v>12000000</v>
      </c>
      <c r="O4276">
        <v>0.73</v>
      </c>
      <c r="P4276">
        <v>1.22</v>
      </c>
      <c r="Q4276">
        <v>0.24</v>
      </c>
    </row>
    <row r="4277" spans="1:17" x14ac:dyDescent="0.25">
      <c r="A4277">
        <v>733205</v>
      </c>
      <c r="B4277" t="s">
        <v>5589</v>
      </c>
      <c r="C4277" t="s">
        <v>78</v>
      </c>
      <c r="D4277" t="s">
        <v>78</v>
      </c>
      <c r="E4277" t="s">
        <v>78</v>
      </c>
      <c r="F4277" t="s">
        <v>78</v>
      </c>
      <c r="G4277" t="s">
        <v>78</v>
      </c>
      <c r="H4277">
        <v>0.97</v>
      </c>
      <c r="I4277" s="1">
        <v>0</v>
      </c>
      <c r="J4277" s="1">
        <v>0</v>
      </c>
      <c r="K4277">
        <v>0</v>
      </c>
      <c r="L4277">
        <v>0.96</v>
      </c>
      <c r="M4277">
        <v>1.03</v>
      </c>
      <c r="N4277" s="1">
        <v>10000000</v>
      </c>
      <c r="O4277">
        <v>0.97</v>
      </c>
      <c r="P4277">
        <v>1.53</v>
      </c>
      <c r="Q4277">
        <v>0.41</v>
      </c>
    </row>
    <row r="4278" spans="1:17" x14ac:dyDescent="0.25">
      <c r="A4278">
        <v>733206</v>
      </c>
      <c r="B4278" t="s">
        <v>5590</v>
      </c>
      <c r="C4278">
        <v>0.55000000000000004</v>
      </c>
      <c r="D4278">
        <v>0.02</v>
      </c>
      <c r="E4278">
        <v>0.55000000000000004</v>
      </c>
      <c r="F4278">
        <v>0.61</v>
      </c>
      <c r="G4278">
        <v>0.55000000000000004</v>
      </c>
      <c r="H4278">
        <v>0.59</v>
      </c>
      <c r="I4278" s="1">
        <v>206000</v>
      </c>
      <c r="J4278" s="1">
        <v>120790</v>
      </c>
      <c r="K4278">
        <v>15</v>
      </c>
      <c r="L4278">
        <v>0.51</v>
      </c>
      <c r="M4278">
        <v>0.52</v>
      </c>
      <c r="N4278" s="1">
        <v>10000000</v>
      </c>
      <c r="O4278">
        <v>0.55000000000000004</v>
      </c>
      <c r="P4278">
        <v>1.1200000000000001</v>
      </c>
      <c r="Q4278">
        <v>0.01</v>
      </c>
    </row>
    <row r="4279" spans="1:17" x14ac:dyDescent="0.25">
      <c r="A4279">
        <v>733207</v>
      </c>
      <c r="B4279" t="s">
        <v>5591</v>
      </c>
      <c r="C4279">
        <v>0.64</v>
      </c>
      <c r="D4279">
        <v>-0.03</v>
      </c>
      <c r="E4279">
        <v>0.66</v>
      </c>
      <c r="F4279">
        <v>0.66</v>
      </c>
      <c r="G4279">
        <v>0.61</v>
      </c>
      <c r="H4279">
        <v>0.64</v>
      </c>
      <c r="I4279" s="1">
        <v>454000</v>
      </c>
      <c r="J4279" s="1">
        <v>289910</v>
      </c>
      <c r="K4279">
        <v>19</v>
      </c>
      <c r="L4279">
        <v>0.63</v>
      </c>
      <c r="M4279">
        <v>0.64</v>
      </c>
      <c r="N4279" s="1">
        <v>5000000</v>
      </c>
      <c r="O4279">
        <v>0.64</v>
      </c>
      <c r="P4279">
        <v>1.36</v>
      </c>
      <c r="Q4279">
        <v>0.01</v>
      </c>
    </row>
    <row r="4280" spans="1:17" x14ac:dyDescent="0.25">
      <c r="A4280">
        <v>733208</v>
      </c>
      <c r="B4280" t="s">
        <v>5592</v>
      </c>
      <c r="C4280">
        <v>0.43</v>
      </c>
      <c r="D4280">
        <v>-0.02</v>
      </c>
      <c r="E4280">
        <v>0.45</v>
      </c>
      <c r="F4280">
        <v>0.45</v>
      </c>
      <c r="G4280">
        <v>0.42</v>
      </c>
      <c r="H4280">
        <v>0.43</v>
      </c>
      <c r="I4280" s="1">
        <v>61000</v>
      </c>
      <c r="J4280" s="1">
        <v>26060</v>
      </c>
      <c r="K4280">
        <v>6</v>
      </c>
      <c r="L4280">
        <v>0.42</v>
      </c>
      <c r="M4280">
        <v>0.43</v>
      </c>
      <c r="N4280" s="1">
        <v>5000000</v>
      </c>
      <c r="O4280">
        <v>0.43</v>
      </c>
      <c r="P4280">
        <v>1.1499999999999999</v>
      </c>
      <c r="Q4280">
        <v>0.01</v>
      </c>
    </row>
    <row r="4281" spans="1:17" x14ac:dyDescent="0.25">
      <c r="A4281">
        <v>733209</v>
      </c>
      <c r="B4281" t="s">
        <v>5593</v>
      </c>
      <c r="C4281">
        <v>2.04</v>
      </c>
      <c r="D4281">
        <v>-0.08</v>
      </c>
      <c r="E4281">
        <v>2.14</v>
      </c>
      <c r="F4281">
        <v>2.14</v>
      </c>
      <c r="G4281">
        <v>2.04</v>
      </c>
      <c r="H4281">
        <v>2.09</v>
      </c>
      <c r="I4281" s="1">
        <v>123000</v>
      </c>
      <c r="J4281" s="1">
        <v>257070</v>
      </c>
      <c r="K4281">
        <v>4</v>
      </c>
      <c r="L4281">
        <v>1.96</v>
      </c>
      <c r="M4281">
        <v>2</v>
      </c>
      <c r="N4281" s="1">
        <v>5000000</v>
      </c>
      <c r="O4281">
        <v>2.04</v>
      </c>
      <c r="P4281">
        <v>2.99</v>
      </c>
      <c r="Q4281">
        <v>1.0900000000000001</v>
      </c>
    </row>
    <row r="4282" spans="1:17" x14ac:dyDescent="0.25">
      <c r="A4282">
        <v>733210</v>
      </c>
      <c r="B4282" t="s">
        <v>5594</v>
      </c>
      <c r="C4282">
        <v>1.05</v>
      </c>
      <c r="D4282">
        <v>-0.05</v>
      </c>
      <c r="E4282">
        <v>1.05</v>
      </c>
      <c r="F4282">
        <v>1.05</v>
      </c>
      <c r="G4282">
        <v>1.05</v>
      </c>
      <c r="H4282">
        <v>1.05</v>
      </c>
      <c r="I4282" s="1">
        <v>2000</v>
      </c>
      <c r="J4282" s="1">
        <v>2100</v>
      </c>
      <c r="K4282">
        <v>1</v>
      </c>
      <c r="L4282">
        <v>1.04</v>
      </c>
      <c r="M4282">
        <v>1.05</v>
      </c>
      <c r="N4282" s="1">
        <v>5000000</v>
      </c>
      <c r="O4282">
        <v>1.05</v>
      </c>
      <c r="P4282">
        <v>2.0099999999999998</v>
      </c>
      <c r="Q4282">
        <v>0.09</v>
      </c>
    </row>
    <row r="4283" spans="1:17" x14ac:dyDescent="0.25">
      <c r="A4283">
        <v>733211</v>
      </c>
      <c r="B4283" t="s">
        <v>5595</v>
      </c>
      <c r="C4283">
        <v>0.91</v>
      </c>
      <c r="D4283">
        <v>0.02</v>
      </c>
      <c r="E4283">
        <v>0.89</v>
      </c>
      <c r="F4283">
        <v>0.92</v>
      </c>
      <c r="G4283">
        <v>0.89</v>
      </c>
      <c r="H4283">
        <v>0.9</v>
      </c>
      <c r="I4283" s="1">
        <v>768000</v>
      </c>
      <c r="J4283" s="1">
        <v>693880</v>
      </c>
      <c r="K4283">
        <v>9</v>
      </c>
      <c r="L4283">
        <v>0.88</v>
      </c>
      <c r="M4283">
        <v>0.89</v>
      </c>
      <c r="N4283" s="1">
        <v>10000000</v>
      </c>
      <c r="O4283">
        <v>0.91</v>
      </c>
      <c r="P4283">
        <v>1.81</v>
      </c>
      <c r="Q4283">
        <v>0.01</v>
      </c>
    </row>
    <row r="4284" spans="1:17" x14ac:dyDescent="0.25">
      <c r="A4284">
        <v>733212</v>
      </c>
      <c r="B4284" t="s">
        <v>5596</v>
      </c>
      <c r="C4284" t="s">
        <v>78</v>
      </c>
      <c r="D4284" t="s">
        <v>78</v>
      </c>
      <c r="E4284" t="s">
        <v>78</v>
      </c>
      <c r="F4284" t="s">
        <v>78</v>
      </c>
      <c r="G4284" t="s">
        <v>78</v>
      </c>
      <c r="H4284">
        <v>1.18</v>
      </c>
      <c r="I4284" s="1">
        <v>0</v>
      </c>
      <c r="J4284" s="1">
        <v>0</v>
      </c>
      <c r="K4284">
        <v>0</v>
      </c>
      <c r="L4284">
        <v>1.26</v>
      </c>
      <c r="M4284">
        <v>1.36</v>
      </c>
      <c r="N4284" s="1">
        <v>10000000</v>
      </c>
      <c r="O4284">
        <v>1.26</v>
      </c>
      <c r="P4284">
        <v>2.16</v>
      </c>
      <c r="Q4284">
        <v>0.36</v>
      </c>
    </row>
    <row r="4285" spans="1:17" x14ac:dyDescent="0.25">
      <c r="A4285">
        <v>733213</v>
      </c>
      <c r="B4285" t="s">
        <v>5597</v>
      </c>
      <c r="C4285">
        <v>0.71</v>
      </c>
      <c r="D4285">
        <v>-0.03</v>
      </c>
      <c r="E4285">
        <v>0.73</v>
      </c>
      <c r="F4285">
        <v>0.73</v>
      </c>
      <c r="G4285">
        <v>0.71</v>
      </c>
      <c r="H4285">
        <v>0.73</v>
      </c>
      <c r="I4285" s="1">
        <v>135000</v>
      </c>
      <c r="J4285" s="1">
        <v>98150</v>
      </c>
      <c r="K4285">
        <v>3</v>
      </c>
      <c r="L4285">
        <v>0.71</v>
      </c>
      <c r="M4285">
        <v>0.72</v>
      </c>
      <c r="N4285" s="1">
        <v>10000000</v>
      </c>
      <c r="O4285">
        <v>0.71</v>
      </c>
      <c r="P4285">
        <v>1.1100000000000001</v>
      </c>
      <c r="Q4285">
        <v>0.31</v>
      </c>
    </row>
    <row r="4286" spans="1:17" x14ac:dyDescent="0.25">
      <c r="A4286">
        <v>733214</v>
      </c>
      <c r="B4286" t="s">
        <v>5598</v>
      </c>
      <c r="C4286" t="s">
        <v>78</v>
      </c>
      <c r="D4286" t="s">
        <v>78</v>
      </c>
      <c r="E4286" t="s">
        <v>78</v>
      </c>
      <c r="F4286" t="s">
        <v>78</v>
      </c>
      <c r="G4286" t="s">
        <v>78</v>
      </c>
      <c r="H4286">
        <v>0.57999999999999996</v>
      </c>
      <c r="I4286" s="1">
        <v>0</v>
      </c>
      <c r="J4286" s="1">
        <v>0</v>
      </c>
      <c r="K4286">
        <v>0</v>
      </c>
      <c r="L4286">
        <v>0.57999999999999996</v>
      </c>
      <c r="M4286">
        <v>0.59</v>
      </c>
      <c r="N4286" s="1">
        <v>5000000</v>
      </c>
      <c r="O4286">
        <v>0.57999999999999996</v>
      </c>
      <c r="P4286">
        <v>1.04</v>
      </c>
      <c r="Q4286">
        <v>0.12</v>
      </c>
    </row>
    <row r="4287" spans="1:17" x14ac:dyDescent="0.25">
      <c r="A4287">
        <v>733215</v>
      </c>
      <c r="B4287" t="s">
        <v>5599</v>
      </c>
      <c r="C4287">
        <v>1.04</v>
      </c>
      <c r="D4287">
        <v>0.04</v>
      </c>
      <c r="E4287">
        <v>1.03</v>
      </c>
      <c r="F4287">
        <v>1.04</v>
      </c>
      <c r="G4287">
        <v>1</v>
      </c>
      <c r="H4287">
        <v>1.02</v>
      </c>
      <c r="I4287" s="1">
        <v>131000</v>
      </c>
      <c r="J4287" s="1">
        <v>133990</v>
      </c>
      <c r="K4287">
        <v>10</v>
      </c>
      <c r="L4287">
        <v>1.04</v>
      </c>
      <c r="M4287">
        <v>1.05</v>
      </c>
      <c r="N4287" s="1">
        <v>10000000</v>
      </c>
      <c r="O4287">
        <v>1.04</v>
      </c>
      <c r="P4287">
        <v>2.37</v>
      </c>
      <c r="Q4287">
        <v>0.01</v>
      </c>
    </row>
    <row r="4288" spans="1:17" x14ac:dyDescent="0.25">
      <c r="A4288">
        <v>733216</v>
      </c>
      <c r="B4288" t="s">
        <v>5600</v>
      </c>
      <c r="C4288">
        <v>1.04</v>
      </c>
      <c r="D4288">
        <v>0.1</v>
      </c>
      <c r="E4288">
        <v>0.91</v>
      </c>
      <c r="F4288">
        <v>1.05</v>
      </c>
      <c r="G4288">
        <v>0.89</v>
      </c>
      <c r="H4288">
        <v>0.94</v>
      </c>
      <c r="I4288" s="1">
        <v>769000</v>
      </c>
      <c r="J4288" s="1">
        <v>721780</v>
      </c>
      <c r="K4288">
        <v>38</v>
      </c>
      <c r="L4288">
        <v>1.04</v>
      </c>
      <c r="M4288">
        <v>1.05</v>
      </c>
      <c r="N4288" s="1">
        <v>5000000</v>
      </c>
      <c r="O4288">
        <v>1.04</v>
      </c>
      <c r="P4288">
        <v>1.91</v>
      </c>
      <c r="Q4288">
        <v>0.17</v>
      </c>
    </row>
    <row r="4289" spans="1:17" x14ac:dyDescent="0.25">
      <c r="A4289">
        <v>733217</v>
      </c>
      <c r="B4289" t="s">
        <v>5601</v>
      </c>
      <c r="C4289" t="s">
        <v>78</v>
      </c>
      <c r="D4289" t="s">
        <v>78</v>
      </c>
      <c r="E4289" t="s">
        <v>78</v>
      </c>
      <c r="F4289" t="s">
        <v>78</v>
      </c>
      <c r="G4289" t="s">
        <v>78</v>
      </c>
      <c r="H4289">
        <v>0.36</v>
      </c>
      <c r="I4289" s="1">
        <v>0</v>
      </c>
      <c r="J4289" s="1">
        <v>0</v>
      </c>
      <c r="K4289">
        <v>0</v>
      </c>
      <c r="L4289">
        <v>0.38</v>
      </c>
      <c r="M4289">
        <v>0.39</v>
      </c>
      <c r="N4289" s="1">
        <v>5000000</v>
      </c>
      <c r="O4289">
        <v>0.38</v>
      </c>
      <c r="P4289">
        <v>0.86</v>
      </c>
      <c r="Q4289">
        <v>0.01</v>
      </c>
    </row>
    <row r="4290" spans="1:17" x14ac:dyDescent="0.25">
      <c r="A4290">
        <v>733218</v>
      </c>
      <c r="B4290" t="s">
        <v>5602</v>
      </c>
      <c r="C4290">
        <v>0.53</v>
      </c>
      <c r="D4290">
        <v>-0.03</v>
      </c>
      <c r="E4290">
        <v>0.54</v>
      </c>
      <c r="F4290">
        <v>0.54</v>
      </c>
      <c r="G4290">
        <v>0.53</v>
      </c>
      <c r="H4290">
        <v>0.54</v>
      </c>
      <c r="I4290" s="1">
        <v>8000</v>
      </c>
      <c r="J4290" s="1">
        <v>4290</v>
      </c>
      <c r="K4290">
        <v>2</v>
      </c>
      <c r="L4290">
        <v>0.54</v>
      </c>
      <c r="M4290">
        <v>0.55000000000000004</v>
      </c>
      <c r="N4290" s="1">
        <v>5000000</v>
      </c>
      <c r="O4290">
        <v>0.53</v>
      </c>
      <c r="P4290">
        <v>1.31</v>
      </c>
      <c r="Q4290">
        <v>0.01</v>
      </c>
    </row>
    <row r="4291" spans="1:17" x14ac:dyDescent="0.25">
      <c r="A4291">
        <v>733219</v>
      </c>
      <c r="B4291" t="s">
        <v>5603</v>
      </c>
      <c r="C4291">
        <v>0.77</v>
      </c>
      <c r="D4291">
        <v>0.03</v>
      </c>
      <c r="E4291">
        <v>0.77</v>
      </c>
      <c r="F4291">
        <v>0.81</v>
      </c>
      <c r="G4291">
        <v>0.77</v>
      </c>
      <c r="H4291">
        <v>0.79</v>
      </c>
      <c r="I4291" s="1">
        <v>295000</v>
      </c>
      <c r="J4291" s="1">
        <v>234350</v>
      </c>
      <c r="K4291">
        <v>12</v>
      </c>
      <c r="L4291">
        <v>0.76</v>
      </c>
      <c r="M4291">
        <v>0.8</v>
      </c>
      <c r="N4291" s="1">
        <v>5000000</v>
      </c>
      <c r="O4291">
        <v>0.77</v>
      </c>
      <c r="P4291">
        <v>1.33</v>
      </c>
      <c r="Q4291">
        <v>0.21</v>
      </c>
    </row>
    <row r="4292" spans="1:17" x14ac:dyDescent="0.25">
      <c r="A4292">
        <v>733220</v>
      </c>
      <c r="B4292" t="s">
        <v>5604</v>
      </c>
      <c r="C4292">
        <v>0.94</v>
      </c>
      <c r="D4292">
        <v>0.01</v>
      </c>
      <c r="E4292">
        <v>0.95</v>
      </c>
      <c r="F4292">
        <v>0.98</v>
      </c>
      <c r="G4292">
        <v>0.94</v>
      </c>
      <c r="H4292">
        <v>0.94</v>
      </c>
      <c r="I4292" s="1">
        <v>369000</v>
      </c>
      <c r="J4292" s="1">
        <v>347760</v>
      </c>
      <c r="K4292">
        <v>6</v>
      </c>
      <c r="L4292">
        <v>0.92</v>
      </c>
      <c r="M4292">
        <v>0.93</v>
      </c>
      <c r="N4292" s="1">
        <v>10000000</v>
      </c>
      <c r="O4292">
        <v>0.94</v>
      </c>
      <c r="P4292">
        <v>1.37</v>
      </c>
      <c r="Q4292">
        <v>0.51</v>
      </c>
    </row>
    <row r="4293" spans="1:17" x14ac:dyDescent="0.25">
      <c r="A4293">
        <v>733221</v>
      </c>
      <c r="B4293" t="s">
        <v>5605</v>
      </c>
      <c r="C4293" t="s">
        <v>78</v>
      </c>
      <c r="D4293" t="s">
        <v>78</v>
      </c>
      <c r="E4293" t="s">
        <v>78</v>
      </c>
      <c r="F4293" t="s">
        <v>78</v>
      </c>
      <c r="G4293" t="s">
        <v>78</v>
      </c>
      <c r="H4293">
        <v>2.14</v>
      </c>
      <c r="I4293" s="1">
        <v>0</v>
      </c>
      <c r="J4293" s="1">
        <v>0</v>
      </c>
      <c r="K4293">
        <v>0</v>
      </c>
      <c r="L4293">
        <v>2.36</v>
      </c>
      <c r="M4293">
        <v>0</v>
      </c>
      <c r="N4293" s="1">
        <v>10000000</v>
      </c>
      <c r="O4293">
        <v>2.4900000000000002</v>
      </c>
      <c r="P4293">
        <v>3.25</v>
      </c>
      <c r="Q4293">
        <v>1.73</v>
      </c>
    </row>
    <row r="4294" spans="1:17" x14ac:dyDescent="0.25">
      <c r="A4294">
        <v>733222</v>
      </c>
      <c r="B4294" t="s">
        <v>5606</v>
      </c>
      <c r="C4294">
        <v>0.87</v>
      </c>
      <c r="D4294">
        <v>-0.01</v>
      </c>
      <c r="E4294">
        <v>0.86</v>
      </c>
      <c r="F4294">
        <v>0.89</v>
      </c>
      <c r="G4294">
        <v>0.83</v>
      </c>
      <c r="H4294">
        <v>0.86</v>
      </c>
      <c r="I4294" s="1">
        <v>337000</v>
      </c>
      <c r="J4294" s="1">
        <v>289830</v>
      </c>
      <c r="K4294">
        <v>12</v>
      </c>
      <c r="L4294">
        <v>0.88</v>
      </c>
      <c r="M4294">
        <v>0.89</v>
      </c>
      <c r="N4294" s="1">
        <v>10000000</v>
      </c>
      <c r="O4294">
        <v>0.87</v>
      </c>
      <c r="P4294">
        <v>1.5</v>
      </c>
      <c r="Q4294">
        <v>0.24</v>
      </c>
    </row>
    <row r="4295" spans="1:17" x14ac:dyDescent="0.25">
      <c r="A4295">
        <v>733223</v>
      </c>
      <c r="B4295" t="s">
        <v>5607</v>
      </c>
      <c r="C4295">
        <v>0.69</v>
      </c>
      <c r="D4295">
        <v>-0.11</v>
      </c>
      <c r="E4295">
        <v>0.7</v>
      </c>
      <c r="F4295">
        <v>0.7</v>
      </c>
      <c r="G4295">
        <v>0.69</v>
      </c>
      <c r="H4295">
        <v>0.7</v>
      </c>
      <c r="I4295" s="1">
        <v>3000</v>
      </c>
      <c r="J4295" s="1">
        <v>2090</v>
      </c>
      <c r="K4295">
        <v>2</v>
      </c>
      <c r="L4295">
        <v>0.7</v>
      </c>
      <c r="M4295">
        <v>0.71</v>
      </c>
      <c r="N4295" s="1">
        <v>5000000</v>
      </c>
      <c r="O4295">
        <v>0.69</v>
      </c>
      <c r="P4295">
        <v>1.89</v>
      </c>
      <c r="Q4295">
        <v>0.01</v>
      </c>
    </row>
    <row r="4296" spans="1:17" x14ac:dyDescent="0.25">
      <c r="A4296">
        <v>733224</v>
      </c>
      <c r="B4296" t="s">
        <v>5608</v>
      </c>
      <c r="C4296" t="s">
        <v>78</v>
      </c>
      <c r="D4296" t="s">
        <v>78</v>
      </c>
      <c r="E4296" t="s">
        <v>78</v>
      </c>
      <c r="F4296" t="s">
        <v>78</v>
      </c>
      <c r="G4296" t="s">
        <v>78</v>
      </c>
      <c r="H4296">
        <v>3.6</v>
      </c>
      <c r="I4296" s="1">
        <v>0</v>
      </c>
      <c r="J4296" s="1">
        <v>0</v>
      </c>
      <c r="K4296">
        <v>0</v>
      </c>
      <c r="L4296">
        <v>3.11</v>
      </c>
      <c r="M4296">
        <v>0</v>
      </c>
      <c r="N4296" s="1">
        <v>10000000</v>
      </c>
      <c r="O4296">
        <v>3.5</v>
      </c>
      <c r="P4296">
        <v>4.62</v>
      </c>
      <c r="Q4296">
        <v>2.38</v>
      </c>
    </row>
    <row r="4297" spans="1:17" x14ac:dyDescent="0.25">
      <c r="A4297">
        <v>733225</v>
      </c>
      <c r="B4297" t="s">
        <v>5609</v>
      </c>
      <c r="C4297">
        <v>0.51</v>
      </c>
      <c r="D4297">
        <v>-0.01</v>
      </c>
      <c r="E4297">
        <v>0.52</v>
      </c>
      <c r="F4297">
        <v>0.52</v>
      </c>
      <c r="G4297">
        <v>0.51</v>
      </c>
      <c r="H4297">
        <v>0.52</v>
      </c>
      <c r="I4297" s="1">
        <v>300000</v>
      </c>
      <c r="J4297" s="1">
        <v>155000</v>
      </c>
      <c r="K4297">
        <v>4</v>
      </c>
      <c r="L4297">
        <v>0.5</v>
      </c>
      <c r="M4297">
        <v>0.51</v>
      </c>
      <c r="N4297" s="1">
        <v>10000000</v>
      </c>
      <c r="O4297">
        <v>0.51</v>
      </c>
      <c r="P4297">
        <v>1.52</v>
      </c>
      <c r="Q4297">
        <v>0.01</v>
      </c>
    </row>
    <row r="4298" spans="1:17" x14ac:dyDescent="0.25">
      <c r="A4298">
        <v>733226</v>
      </c>
      <c r="B4298" t="s">
        <v>5610</v>
      </c>
      <c r="C4298">
        <v>0.72</v>
      </c>
      <c r="D4298">
        <v>0.15</v>
      </c>
      <c r="E4298">
        <v>0.63</v>
      </c>
      <c r="F4298">
        <v>0.72</v>
      </c>
      <c r="G4298">
        <v>0.63</v>
      </c>
      <c r="H4298">
        <v>0.67</v>
      </c>
      <c r="I4298" s="1">
        <v>425000</v>
      </c>
      <c r="J4298" s="1">
        <v>285230</v>
      </c>
      <c r="K4298">
        <v>7</v>
      </c>
      <c r="L4298">
        <v>0.66</v>
      </c>
      <c r="M4298">
        <v>0.67</v>
      </c>
      <c r="N4298" s="1">
        <v>10000000</v>
      </c>
      <c r="O4298">
        <v>0.72</v>
      </c>
      <c r="P4298">
        <v>2.0299999999999998</v>
      </c>
      <c r="Q4298">
        <v>0.01</v>
      </c>
    </row>
    <row r="4299" spans="1:17" x14ac:dyDescent="0.25">
      <c r="A4299">
        <v>733227</v>
      </c>
      <c r="B4299" t="s">
        <v>5611</v>
      </c>
      <c r="C4299">
        <v>0.79</v>
      </c>
      <c r="D4299">
        <v>0.04</v>
      </c>
      <c r="E4299">
        <v>0.8</v>
      </c>
      <c r="F4299">
        <v>0.84</v>
      </c>
      <c r="G4299">
        <v>0.79</v>
      </c>
      <c r="H4299">
        <v>0.82</v>
      </c>
      <c r="I4299" s="1">
        <v>852000</v>
      </c>
      <c r="J4299" s="1">
        <v>699030</v>
      </c>
      <c r="K4299">
        <v>18</v>
      </c>
      <c r="L4299">
        <v>0.78</v>
      </c>
      <c r="M4299">
        <v>0.79</v>
      </c>
      <c r="N4299" s="1">
        <v>10000000</v>
      </c>
      <c r="O4299">
        <v>0.79</v>
      </c>
      <c r="P4299">
        <v>1.46</v>
      </c>
      <c r="Q4299">
        <v>0.12</v>
      </c>
    </row>
    <row r="4300" spans="1:17" x14ac:dyDescent="0.25">
      <c r="A4300">
        <v>733228</v>
      </c>
      <c r="B4300" t="s">
        <v>5612</v>
      </c>
      <c r="C4300">
        <v>0.56000000000000005</v>
      </c>
      <c r="D4300">
        <v>-0.02</v>
      </c>
      <c r="E4300">
        <v>0.57999999999999996</v>
      </c>
      <c r="F4300">
        <v>0.59</v>
      </c>
      <c r="G4300">
        <v>0.56000000000000005</v>
      </c>
      <c r="H4300">
        <v>0.57999999999999996</v>
      </c>
      <c r="I4300" s="1">
        <v>204000</v>
      </c>
      <c r="J4300" s="1">
        <v>117610</v>
      </c>
      <c r="K4300">
        <v>10</v>
      </c>
      <c r="L4300">
        <v>0.54</v>
      </c>
      <c r="M4300">
        <v>0.55000000000000004</v>
      </c>
      <c r="N4300" s="1">
        <v>15000000</v>
      </c>
      <c r="O4300">
        <v>0.56000000000000005</v>
      </c>
      <c r="P4300">
        <v>0.94</v>
      </c>
      <c r="Q4300">
        <v>0.18</v>
      </c>
    </row>
    <row r="4301" spans="1:17" x14ac:dyDescent="0.25">
      <c r="A4301">
        <v>733229</v>
      </c>
      <c r="B4301" t="s">
        <v>5613</v>
      </c>
      <c r="C4301">
        <v>0.97</v>
      </c>
      <c r="D4301">
        <v>-0.02</v>
      </c>
      <c r="E4301">
        <v>0.97</v>
      </c>
      <c r="F4301">
        <v>0.97</v>
      </c>
      <c r="G4301">
        <v>0.97</v>
      </c>
      <c r="H4301">
        <v>0.97</v>
      </c>
      <c r="I4301" s="1">
        <v>5000</v>
      </c>
      <c r="J4301" s="1">
        <v>4850</v>
      </c>
      <c r="K4301">
        <v>1</v>
      </c>
      <c r="L4301">
        <v>0.97</v>
      </c>
      <c r="M4301">
        <v>1.01</v>
      </c>
      <c r="N4301" s="1">
        <v>12000000</v>
      </c>
      <c r="O4301">
        <v>0.97</v>
      </c>
      <c r="P4301">
        <v>1.67</v>
      </c>
      <c r="Q4301">
        <v>0.26</v>
      </c>
    </row>
    <row r="4302" spans="1:17" x14ac:dyDescent="0.25">
      <c r="A4302">
        <v>733230</v>
      </c>
      <c r="B4302" t="s">
        <v>5614</v>
      </c>
      <c r="C4302">
        <v>0.65</v>
      </c>
      <c r="D4302">
        <v>0.04</v>
      </c>
      <c r="E4302">
        <v>0.62</v>
      </c>
      <c r="F4302">
        <v>0.68</v>
      </c>
      <c r="G4302">
        <v>0.62</v>
      </c>
      <c r="H4302">
        <v>0.65</v>
      </c>
      <c r="I4302" s="1">
        <v>126000</v>
      </c>
      <c r="J4302" s="1">
        <v>82500</v>
      </c>
      <c r="K4302">
        <v>12</v>
      </c>
      <c r="L4302">
        <v>0.62</v>
      </c>
      <c r="M4302">
        <v>0.63</v>
      </c>
      <c r="N4302" s="1">
        <v>10000000</v>
      </c>
      <c r="O4302">
        <v>0.65</v>
      </c>
      <c r="P4302">
        <v>1.03</v>
      </c>
      <c r="Q4302">
        <v>0.27</v>
      </c>
    </row>
    <row r="4303" spans="1:17" x14ac:dyDescent="0.25">
      <c r="A4303">
        <v>733231</v>
      </c>
      <c r="B4303" t="s">
        <v>5615</v>
      </c>
      <c r="C4303">
        <v>0.31</v>
      </c>
      <c r="D4303">
        <v>-0.02</v>
      </c>
      <c r="E4303">
        <v>0.31</v>
      </c>
      <c r="F4303">
        <v>0.31</v>
      </c>
      <c r="G4303">
        <v>0.31</v>
      </c>
      <c r="H4303">
        <v>0.31</v>
      </c>
      <c r="I4303" s="1">
        <v>100000</v>
      </c>
      <c r="J4303" s="1">
        <v>31000</v>
      </c>
      <c r="K4303">
        <v>1</v>
      </c>
      <c r="L4303">
        <v>0.31</v>
      </c>
      <c r="M4303">
        <v>0.32</v>
      </c>
      <c r="N4303" s="1">
        <v>10000000</v>
      </c>
      <c r="O4303">
        <v>0.31</v>
      </c>
      <c r="P4303">
        <v>1.03</v>
      </c>
      <c r="Q4303">
        <v>0.01</v>
      </c>
    </row>
    <row r="4304" spans="1:17" x14ac:dyDescent="0.25">
      <c r="A4304">
        <v>733232</v>
      </c>
      <c r="B4304" t="s">
        <v>5616</v>
      </c>
      <c r="C4304" t="s">
        <v>78</v>
      </c>
      <c r="D4304" t="s">
        <v>78</v>
      </c>
      <c r="E4304" t="s">
        <v>78</v>
      </c>
      <c r="F4304" t="s">
        <v>78</v>
      </c>
      <c r="G4304" t="s">
        <v>78</v>
      </c>
      <c r="H4304">
        <v>1.7</v>
      </c>
      <c r="I4304" s="1">
        <v>0</v>
      </c>
      <c r="J4304" s="1">
        <v>0</v>
      </c>
      <c r="K4304">
        <v>0</v>
      </c>
      <c r="L4304">
        <v>1.68</v>
      </c>
      <c r="M4304">
        <v>1.7</v>
      </c>
      <c r="N4304" s="1">
        <v>5000000</v>
      </c>
      <c r="O4304">
        <v>1.7</v>
      </c>
      <c r="P4304">
        <v>2.88</v>
      </c>
      <c r="Q4304">
        <v>0.52</v>
      </c>
    </row>
    <row r="4305" spans="1:17" x14ac:dyDescent="0.25">
      <c r="A4305">
        <v>733233</v>
      </c>
      <c r="B4305" t="s">
        <v>5617</v>
      </c>
      <c r="C4305">
        <v>0.79</v>
      </c>
      <c r="D4305">
        <v>-0.1</v>
      </c>
      <c r="E4305">
        <v>0.83</v>
      </c>
      <c r="F4305">
        <v>0.83</v>
      </c>
      <c r="G4305">
        <v>0.79</v>
      </c>
      <c r="H4305">
        <v>0.83</v>
      </c>
      <c r="I4305" s="1">
        <v>103000</v>
      </c>
      <c r="J4305" s="1">
        <v>85370</v>
      </c>
      <c r="K4305">
        <v>4</v>
      </c>
      <c r="L4305">
        <v>0.79</v>
      </c>
      <c r="M4305">
        <v>0.8</v>
      </c>
      <c r="N4305" s="1">
        <v>10000000</v>
      </c>
      <c r="O4305">
        <v>0.79</v>
      </c>
      <c r="P4305">
        <v>1.75</v>
      </c>
      <c r="Q4305">
        <v>0.01</v>
      </c>
    </row>
    <row r="4306" spans="1:17" x14ac:dyDescent="0.25">
      <c r="A4306">
        <v>733234</v>
      </c>
      <c r="B4306" t="s">
        <v>5618</v>
      </c>
      <c r="C4306" t="s">
        <v>78</v>
      </c>
      <c r="D4306" t="s">
        <v>78</v>
      </c>
      <c r="E4306" t="s">
        <v>78</v>
      </c>
      <c r="F4306" t="s">
        <v>78</v>
      </c>
      <c r="G4306" t="s">
        <v>78</v>
      </c>
      <c r="H4306">
        <v>2.65</v>
      </c>
      <c r="I4306" s="1">
        <v>0</v>
      </c>
      <c r="J4306" s="1">
        <v>0</v>
      </c>
      <c r="K4306">
        <v>0</v>
      </c>
      <c r="L4306">
        <v>2.4500000000000002</v>
      </c>
      <c r="M4306">
        <v>2.5499999999999998</v>
      </c>
      <c r="N4306" s="1">
        <v>5800000</v>
      </c>
      <c r="O4306">
        <v>2.5499999999999998</v>
      </c>
      <c r="P4306">
        <v>3.4</v>
      </c>
      <c r="Q4306">
        <v>1.7</v>
      </c>
    </row>
    <row r="4307" spans="1:17" x14ac:dyDescent="0.25">
      <c r="A4307">
        <v>733235</v>
      </c>
      <c r="B4307" t="s">
        <v>5619</v>
      </c>
      <c r="C4307" t="s">
        <v>78</v>
      </c>
      <c r="D4307" t="s">
        <v>78</v>
      </c>
      <c r="E4307" t="s">
        <v>78</v>
      </c>
      <c r="F4307" t="s">
        <v>78</v>
      </c>
      <c r="G4307" t="s">
        <v>78</v>
      </c>
      <c r="H4307">
        <v>1.1599999999999999</v>
      </c>
      <c r="I4307" s="1">
        <v>0</v>
      </c>
      <c r="J4307" s="1">
        <v>0</v>
      </c>
      <c r="K4307">
        <v>0</v>
      </c>
      <c r="L4307">
        <v>1.39</v>
      </c>
      <c r="M4307">
        <v>1.47</v>
      </c>
      <c r="N4307" s="1">
        <v>10000000</v>
      </c>
      <c r="O4307">
        <v>1.39</v>
      </c>
      <c r="P4307">
        <v>2.06</v>
      </c>
      <c r="Q4307">
        <v>0.72</v>
      </c>
    </row>
    <row r="4308" spans="1:17" x14ac:dyDescent="0.25">
      <c r="A4308">
        <v>733236</v>
      </c>
      <c r="B4308" t="s">
        <v>5620</v>
      </c>
      <c r="C4308" t="s">
        <v>78</v>
      </c>
      <c r="D4308" t="s">
        <v>78</v>
      </c>
      <c r="E4308" t="s">
        <v>78</v>
      </c>
      <c r="F4308" t="s">
        <v>78</v>
      </c>
      <c r="G4308" t="s">
        <v>78</v>
      </c>
      <c r="H4308">
        <v>1.41</v>
      </c>
      <c r="I4308" s="1">
        <v>0</v>
      </c>
      <c r="J4308" s="1">
        <v>0</v>
      </c>
      <c r="K4308">
        <v>0</v>
      </c>
      <c r="L4308">
        <v>1.28</v>
      </c>
      <c r="M4308">
        <v>1.38</v>
      </c>
      <c r="N4308" s="1">
        <v>5000000</v>
      </c>
      <c r="O4308">
        <v>1.28</v>
      </c>
      <c r="P4308">
        <v>2.1800000000000002</v>
      </c>
      <c r="Q4308">
        <v>0.38</v>
      </c>
    </row>
    <row r="4309" spans="1:17" x14ac:dyDescent="0.25">
      <c r="A4309">
        <v>733237</v>
      </c>
      <c r="B4309" t="s">
        <v>5621</v>
      </c>
      <c r="C4309" t="s">
        <v>78</v>
      </c>
      <c r="D4309" t="s">
        <v>78</v>
      </c>
      <c r="E4309" t="s">
        <v>78</v>
      </c>
      <c r="F4309" t="s">
        <v>78</v>
      </c>
      <c r="G4309" t="s">
        <v>78</v>
      </c>
      <c r="H4309">
        <v>1.26</v>
      </c>
      <c r="I4309" s="1">
        <v>0</v>
      </c>
      <c r="J4309" s="1">
        <v>0</v>
      </c>
      <c r="K4309">
        <v>0</v>
      </c>
      <c r="L4309">
        <v>1.1000000000000001</v>
      </c>
      <c r="M4309">
        <v>1.2</v>
      </c>
      <c r="N4309" s="1">
        <v>5000000</v>
      </c>
      <c r="O4309">
        <v>1.1000000000000001</v>
      </c>
      <c r="P4309">
        <v>2.2200000000000002</v>
      </c>
      <c r="Q4309">
        <v>0.01</v>
      </c>
    </row>
    <row r="4310" spans="1:17" x14ac:dyDescent="0.25">
      <c r="A4310">
        <v>733238</v>
      </c>
      <c r="B4310" t="s">
        <v>5622</v>
      </c>
      <c r="C4310">
        <v>1.2</v>
      </c>
      <c r="D4310">
        <v>-0.02</v>
      </c>
      <c r="E4310">
        <v>0.95</v>
      </c>
      <c r="F4310">
        <v>1.2</v>
      </c>
      <c r="G4310">
        <v>0.95</v>
      </c>
      <c r="H4310">
        <v>0.96</v>
      </c>
      <c r="I4310" s="1">
        <v>47000</v>
      </c>
      <c r="J4310" s="1">
        <v>45280</v>
      </c>
      <c r="K4310">
        <v>7</v>
      </c>
      <c r="L4310">
        <v>1</v>
      </c>
      <c r="M4310">
        <v>1.2</v>
      </c>
      <c r="N4310" s="1">
        <v>5000000</v>
      </c>
      <c r="O4310">
        <v>1.2</v>
      </c>
      <c r="P4310">
        <v>2.02</v>
      </c>
      <c r="Q4310">
        <v>0.38</v>
      </c>
    </row>
    <row r="4311" spans="1:17" x14ac:dyDescent="0.25">
      <c r="A4311">
        <v>733239</v>
      </c>
      <c r="B4311" t="s">
        <v>5623</v>
      </c>
      <c r="C4311" t="s">
        <v>78</v>
      </c>
      <c r="D4311" t="s">
        <v>78</v>
      </c>
      <c r="E4311" t="s">
        <v>78</v>
      </c>
      <c r="F4311" t="s">
        <v>78</v>
      </c>
      <c r="G4311" t="s">
        <v>78</v>
      </c>
      <c r="H4311">
        <v>0.3</v>
      </c>
      <c r="I4311" s="1">
        <v>0</v>
      </c>
      <c r="J4311" s="1">
        <v>0</v>
      </c>
      <c r="K4311">
        <v>0</v>
      </c>
      <c r="L4311">
        <v>0.3</v>
      </c>
      <c r="M4311">
        <v>0.31</v>
      </c>
      <c r="N4311" s="1">
        <v>10000000</v>
      </c>
      <c r="O4311">
        <v>0.3</v>
      </c>
      <c r="P4311">
        <v>0.62</v>
      </c>
      <c r="Q4311">
        <v>0.01</v>
      </c>
    </row>
    <row r="4312" spans="1:17" x14ac:dyDescent="0.25">
      <c r="A4312">
        <v>733240</v>
      </c>
      <c r="B4312" t="s">
        <v>5624</v>
      </c>
      <c r="C4312">
        <v>0.91</v>
      </c>
      <c r="D4312">
        <v>-0.01</v>
      </c>
      <c r="E4312">
        <v>0.95</v>
      </c>
      <c r="F4312">
        <v>0.95</v>
      </c>
      <c r="G4312">
        <v>0.9</v>
      </c>
      <c r="H4312">
        <v>0.92</v>
      </c>
      <c r="I4312" s="1">
        <v>450000</v>
      </c>
      <c r="J4312" s="1">
        <v>413240</v>
      </c>
      <c r="K4312">
        <v>14</v>
      </c>
      <c r="L4312">
        <v>0.9</v>
      </c>
      <c r="M4312">
        <v>0.91</v>
      </c>
      <c r="N4312" s="1">
        <v>5000000</v>
      </c>
      <c r="O4312">
        <v>0.91</v>
      </c>
      <c r="P4312">
        <v>1.51</v>
      </c>
      <c r="Q4312">
        <v>0.3</v>
      </c>
    </row>
    <row r="4313" spans="1:17" x14ac:dyDescent="0.25">
      <c r="A4313">
        <v>733241</v>
      </c>
      <c r="B4313" t="s">
        <v>5625</v>
      </c>
      <c r="C4313">
        <v>0.5</v>
      </c>
      <c r="D4313">
        <v>0.02</v>
      </c>
      <c r="E4313">
        <v>0.5</v>
      </c>
      <c r="F4313">
        <v>0.5</v>
      </c>
      <c r="G4313">
        <v>0.5</v>
      </c>
      <c r="H4313">
        <v>0.5</v>
      </c>
      <c r="I4313" s="1">
        <v>100000</v>
      </c>
      <c r="J4313" s="1">
        <v>50000</v>
      </c>
      <c r="K4313">
        <v>1</v>
      </c>
      <c r="L4313">
        <v>0.47</v>
      </c>
      <c r="M4313">
        <v>0.48</v>
      </c>
      <c r="N4313" s="1">
        <v>5000000</v>
      </c>
      <c r="O4313">
        <v>0.5</v>
      </c>
      <c r="P4313">
        <v>1.34</v>
      </c>
      <c r="Q4313">
        <v>0.01</v>
      </c>
    </row>
    <row r="4314" spans="1:17" x14ac:dyDescent="0.25">
      <c r="A4314">
        <v>733242</v>
      </c>
      <c r="B4314" t="s">
        <v>5626</v>
      </c>
      <c r="C4314">
        <v>1.17</v>
      </c>
      <c r="D4314">
        <v>0.1</v>
      </c>
      <c r="E4314">
        <v>1.21</v>
      </c>
      <c r="F4314">
        <v>1.24</v>
      </c>
      <c r="G4314">
        <v>1.17</v>
      </c>
      <c r="H4314">
        <v>1.21</v>
      </c>
      <c r="I4314" s="1">
        <v>137000</v>
      </c>
      <c r="J4314" s="1">
        <v>165480</v>
      </c>
      <c r="K4314">
        <v>5</v>
      </c>
      <c r="L4314">
        <v>1.1599999999999999</v>
      </c>
      <c r="M4314">
        <v>1.18</v>
      </c>
      <c r="N4314" s="1">
        <v>10000000</v>
      </c>
      <c r="O4314">
        <v>1.17</v>
      </c>
      <c r="P4314">
        <v>2.29</v>
      </c>
      <c r="Q4314">
        <v>0.05</v>
      </c>
    </row>
    <row r="4315" spans="1:17" x14ac:dyDescent="0.25">
      <c r="A4315">
        <v>733243</v>
      </c>
      <c r="B4315" t="s">
        <v>5627</v>
      </c>
      <c r="C4315">
        <v>0.91</v>
      </c>
      <c r="D4315">
        <v>0.02</v>
      </c>
      <c r="E4315">
        <v>0.93</v>
      </c>
      <c r="F4315">
        <v>0.93</v>
      </c>
      <c r="G4315">
        <v>0.9</v>
      </c>
      <c r="H4315">
        <v>0.92</v>
      </c>
      <c r="I4315" s="1">
        <v>363000</v>
      </c>
      <c r="J4315" s="1">
        <v>334250</v>
      </c>
      <c r="K4315">
        <v>20</v>
      </c>
      <c r="L4315">
        <v>0.88</v>
      </c>
      <c r="M4315">
        <v>0.89</v>
      </c>
      <c r="N4315" s="1">
        <v>5000000</v>
      </c>
      <c r="O4315">
        <v>0.91</v>
      </c>
      <c r="P4315">
        <v>1.42</v>
      </c>
      <c r="Q4315">
        <v>0.4</v>
      </c>
    </row>
    <row r="4316" spans="1:17" x14ac:dyDescent="0.25">
      <c r="A4316">
        <v>733244</v>
      </c>
      <c r="B4316" t="s">
        <v>5628</v>
      </c>
      <c r="C4316">
        <v>2.04</v>
      </c>
      <c r="D4316">
        <v>-0.01</v>
      </c>
      <c r="E4316">
        <v>2.04</v>
      </c>
      <c r="F4316">
        <v>2.04</v>
      </c>
      <c r="G4316">
        <v>2.04</v>
      </c>
      <c r="H4316">
        <v>2.04</v>
      </c>
      <c r="I4316" s="1">
        <v>20000</v>
      </c>
      <c r="J4316" s="1">
        <v>40800</v>
      </c>
      <c r="K4316">
        <v>2</v>
      </c>
      <c r="L4316">
        <v>1.98</v>
      </c>
      <c r="M4316">
        <v>2.02</v>
      </c>
      <c r="N4316" s="1">
        <v>10000000</v>
      </c>
      <c r="O4316">
        <v>2.04</v>
      </c>
      <c r="P4316">
        <v>2.85</v>
      </c>
      <c r="Q4316">
        <v>1.23</v>
      </c>
    </row>
    <row r="4317" spans="1:17" x14ac:dyDescent="0.25">
      <c r="A4317">
        <v>733245</v>
      </c>
      <c r="B4317" t="s">
        <v>5629</v>
      </c>
      <c r="C4317">
        <v>1.32</v>
      </c>
      <c r="D4317">
        <v>-0.03</v>
      </c>
      <c r="E4317">
        <v>1.33</v>
      </c>
      <c r="F4317">
        <v>1.33</v>
      </c>
      <c r="G4317">
        <v>1.32</v>
      </c>
      <c r="H4317">
        <v>1.33</v>
      </c>
      <c r="I4317" s="1">
        <v>43000</v>
      </c>
      <c r="J4317" s="1">
        <v>57170</v>
      </c>
      <c r="K4317">
        <v>2</v>
      </c>
      <c r="L4317">
        <v>1.32</v>
      </c>
      <c r="M4317">
        <v>1.34</v>
      </c>
      <c r="N4317" s="1">
        <v>5000000</v>
      </c>
      <c r="O4317">
        <v>1.32</v>
      </c>
      <c r="P4317">
        <v>2.04</v>
      </c>
      <c r="Q4317">
        <v>0.6</v>
      </c>
    </row>
    <row r="4318" spans="1:17" x14ac:dyDescent="0.25">
      <c r="A4318">
        <v>733246</v>
      </c>
      <c r="B4318" t="s">
        <v>5630</v>
      </c>
      <c r="C4318">
        <v>1.22</v>
      </c>
      <c r="D4318">
        <v>-7.0000000000000007E-2</v>
      </c>
      <c r="E4318">
        <v>1.36</v>
      </c>
      <c r="F4318">
        <v>1.36</v>
      </c>
      <c r="G4318">
        <v>1.22</v>
      </c>
      <c r="H4318">
        <v>1.33</v>
      </c>
      <c r="I4318" s="1">
        <v>260000</v>
      </c>
      <c r="J4318" s="1">
        <v>347060</v>
      </c>
      <c r="K4318">
        <v>7</v>
      </c>
      <c r="L4318">
        <v>1.21</v>
      </c>
      <c r="M4318">
        <v>1.22</v>
      </c>
      <c r="N4318" s="1">
        <v>10000000</v>
      </c>
      <c r="O4318">
        <v>1.22</v>
      </c>
      <c r="P4318">
        <v>2.2000000000000002</v>
      </c>
      <c r="Q4318">
        <v>0.24</v>
      </c>
    </row>
    <row r="4319" spans="1:17" x14ac:dyDescent="0.25">
      <c r="A4319">
        <v>733247</v>
      </c>
      <c r="B4319" t="s">
        <v>5631</v>
      </c>
      <c r="C4319">
        <v>0.54</v>
      </c>
      <c r="D4319">
        <v>-7.0000000000000007E-2</v>
      </c>
      <c r="E4319">
        <v>0.56999999999999995</v>
      </c>
      <c r="F4319">
        <v>0.56999999999999995</v>
      </c>
      <c r="G4319">
        <v>0.54</v>
      </c>
      <c r="H4319">
        <v>0.55000000000000004</v>
      </c>
      <c r="I4319" s="1">
        <v>8000</v>
      </c>
      <c r="J4319" s="1">
        <v>4400</v>
      </c>
      <c r="K4319">
        <v>3</v>
      </c>
      <c r="L4319">
        <v>0.55000000000000004</v>
      </c>
      <c r="M4319">
        <v>0.56000000000000005</v>
      </c>
      <c r="N4319" s="1">
        <v>5000000</v>
      </c>
      <c r="O4319">
        <v>0.54</v>
      </c>
      <c r="P4319">
        <v>1.3</v>
      </c>
      <c r="Q4319">
        <v>0.01</v>
      </c>
    </row>
    <row r="4320" spans="1:17" x14ac:dyDescent="0.25">
      <c r="A4320">
        <v>733248</v>
      </c>
      <c r="B4320" t="s">
        <v>5632</v>
      </c>
      <c r="C4320">
        <v>0.47</v>
      </c>
      <c r="D4320">
        <v>0.04</v>
      </c>
      <c r="E4320">
        <v>0.44</v>
      </c>
      <c r="F4320">
        <v>0.54</v>
      </c>
      <c r="G4320">
        <v>0.43</v>
      </c>
      <c r="H4320">
        <v>0.49</v>
      </c>
      <c r="I4320" s="1">
        <v>419000</v>
      </c>
      <c r="J4320" s="1">
        <v>203670</v>
      </c>
      <c r="K4320">
        <v>34</v>
      </c>
      <c r="L4320">
        <v>0.46</v>
      </c>
      <c r="M4320">
        <v>0.47</v>
      </c>
      <c r="N4320" s="1">
        <v>5000000</v>
      </c>
      <c r="O4320">
        <v>0.47</v>
      </c>
      <c r="P4320">
        <v>1.25</v>
      </c>
      <c r="Q4320">
        <v>0.01</v>
      </c>
    </row>
    <row r="4321" spans="1:17" x14ac:dyDescent="0.25">
      <c r="A4321">
        <v>733249</v>
      </c>
      <c r="B4321" t="s">
        <v>5633</v>
      </c>
      <c r="C4321">
        <v>0.86</v>
      </c>
      <c r="D4321">
        <v>0.04</v>
      </c>
      <c r="E4321">
        <v>0.88</v>
      </c>
      <c r="F4321">
        <v>0.88</v>
      </c>
      <c r="G4321">
        <v>0.86</v>
      </c>
      <c r="H4321">
        <v>0.87</v>
      </c>
      <c r="I4321" s="1">
        <v>20000</v>
      </c>
      <c r="J4321" s="1">
        <v>17400</v>
      </c>
      <c r="K4321">
        <v>2</v>
      </c>
      <c r="L4321">
        <v>0.86</v>
      </c>
      <c r="M4321">
        <v>0.87</v>
      </c>
      <c r="N4321" s="1">
        <v>10000000</v>
      </c>
      <c r="O4321">
        <v>0.86</v>
      </c>
      <c r="P4321">
        <v>1.53</v>
      </c>
      <c r="Q4321">
        <v>0.19</v>
      </c>
    </row>
    <row r="4322" spans="1:17" x14ac:dyDescent="0.25">
      <c r="A4322">
        <v>733250</v>
      </c>
      <c r="B4322" t="s">
        <v>5634</v>
      </c>
      <c r="C4322" t="s">
        <v>78</v>
      </c>
      <c r="D4322" t="s">
        <v>78</v>
      </c>
      <c r="E4322" t="s">
        <v>78</v>
      </c>
      <c r="F4322" t="s">
        <v>78</v>
      </c>
      <c r="G4322" t="s">
        <v>78</v>
      </c>
      <c r="H4322">
        <v>3.58</v>
      </c>
      <c r="I4322" s="1">
        <v>0</v>
      </c>
      <c r="J4322" s="1">
        <v>0</v>
      </c>
      <c r="K4322">
        <v>0</v>
      </c>
      <c r="L4322">
        <v>3.36</v>
      </c>
      <c r="M4322">
        <v>3.37</v>
      </c>
      <c r="N4322" s="1">
        <v>10000000</v>
      </c>
      <c r="O4322">
        <v>3.37</v>
      </c>
      <c r="P4322">
        <v>4.5999999999999996</v>
      </c>
      <c r="Q4322">
        <v>2.14</v>
      </c>
    </row>
    <row r="4323" spans="1:17" x14ac:dyDescent="0.25">
      <c r="A4323">
        <v>733251</v>
      </c>
      <c r="B4323" t="s">
        <v>5635</v>
      </c>
      <c r="C4323">
        <v>0.7</v>
      </c>
      <c r="D4323">
        <v>-0.04</v>
      </c>
      <c r="E4323">
        <v>0.78</v>
      </c>
      <c r="F4323">
        <v>0.79</v>
      </c>
      <c r="G4323">
        <v>0.7</v>
      </c>
      <c r="H4323">
        <v>0.77</v>
      </c>
      <c r="I4323" s="1">
        <v>415000</v>
      </c>
      <c r="J4323" s="1">
        <v>320500</v>
      </c>
      <c r="K4323">
        <v>17</v>
      </c>
      <c r="L4323">
        <v>0.69</v>
      </c>
      <c r="M4323">
        <v>0.7</v>
      </c>
      <c r="N4323" s="1">
        <v>5000000</v>
      </c>
      <c r="O4323">
        <v>0.7</v>
      </c>
      <c r="P4323">
        <v>1.33</v>
      </c>
      <c r="Q4323">
        <v>7.0000000000000007E-2</v>
      </c>
    </row>
    <row r="4324" spans="1:17" x14ac:dyDescent="0.25">
      <c r="A4324">
        <v>733252</v>
      </c>
      <c r="B4324" t="s">
        <v>5636</v>
      </c>
      <c r="C4324">
        <v>0.31</v>
      </c>
      <c r="D4324">
        <v>-7.0000000000000007E-2</v>
      </c>
      <c r="E4324">
        <v>0.31</v>
      </c>
      <c r="F4324">
        <v>0.31</v>
      </c>
      <c r="G4324">
        <v>0.31</v>
      </c>
      <c r="H4324">
        <v>0.31</v>
      </c>
      <c r="I4324" s="1">
        <v>20000</v>
      </c>
      <c r="J4324" s="1">
        <v>6200</v>
      </c>
      <c r="K4324">
        <v>1</v>
      </c>
      <c r="L4324">
        <v>0.31</v>
      </c>
      <c r="M4324">
        <v>0.32</v>
      </c>
      <c r="N4324" s="1">
        <v>12000000</v>
      </c>
      <c r="O4324">
        <v>0.31</v>
      </c>
      <c r="P4324">
        <v>1.23</v>
      </c>
      <c r="Q4324">
        <v>0.01</v>
      </c>
    </row>
    <row r="4325" spans="1:17" x14ac:dyDescent="0.25">
      <c r="A4325">
        <v>733253</v>
      </c>
      <c r="B4325" t="s">
        <v>5637</v>
      </c>
      <c r="C4325" t="s">
        <v>78</v>
      </c>
      <c r="D4325" t="s">
        <v>78</v>
      </c>
      <c r="E4325" t="s">
        <v>78</v>
      </c>
      <c r="F4325" t="s">
        <v>78</v>
      </c>
      <c r="G4325" t="s">
        <v>78</v>
      </c>
      <c r="H4325">
        <v>0.27</v>
      </c>
      <c r="I4325" s="1">
        <v>0</v>
      </c>
      <c r="J4325" s="1">
        <v>0</v>
      </c>
      <c r="K4325">
        <v>0</v>
      </c>
      <c r="L4325">
        <v>0.25</v>
      </c>
      <c r="M4325">
        <v>0.26</v>
      </c>
      <c r="N4325" s="1">
        <v>10000000</v>
      </c>
      <c r="O4325">
        <v>0.26</v>
      </c>
      <c r="P4325">
        <v>0.62</v>
      </c>
      <c r="Q4325">
        <v>0.01</v>
      </c>
    </row>
    <row r="4326" spans="1:17" x14ac:dyDescent="0.25">
      <c r="A4326">
        <v>733254</v>
      </c>
      <c r="B4326" t="s">
        <v>5638</v>
      </c>
      <c r="C4326">
        <v>1.1599999999999999</v>
      </c>
      <c r="D4326">
        <v>0.06</v>
      </c>
      <c r="E4326">
        <v>1.1599999999999999</v>
      </c>
      <c r="F4326">
        <v>1.24</v>
      </c>
      <c r="G4326">
        <v>1.1499999999999999</v>
      </c>
      <c r="H4326">
        <v>1.18</v>
      </c>
      <c r="I4326" s="1">
        <v>1063000</v>
      </c>
      <c r="J4326" s="1">
        <v>1253490</v>
      </c>
      <c r="K4326">
        <v>25</v>
      </c>
      <c r="L4326">
        <v>1.1399999999999999</v>
      </c>
      <c r="M4326">
        <v>1.1599999999999999</v>
      </c>
      <c r="N4326" s="1">
        <v>10000000</v>
      </c>
      <c r="O4326">
        <v>1.1599999999999999</v>
      </c>
      <c r="P4326">
        <v>2.2799999999999998</v>
      </c>
      <c r="Q4326">
        <v>0.04</v>
      </c>
    </row>
    <row r="4327" spans="1:17" x14ac:dyDescent="0.25">
      <c r="A4327">
        <v>733255</v>
      </c>
      <c r="B4327" t="s">
        <v>5639</v>
      </c>
      <c r="C4327">
        <v>1.1100000000000001</v>
      </c>
      <c r="D4327">
        <v>-0.09</v>
      </c>
      <c r="E4327">
        <v>1.1599999999999999</v>
      </c>
      <c r="F4327">
        <v>1.19</v>
      </c>
      <c r="G4327">
        <v>1.07</v>
      </c>
      <c r="H4327">
        <v>1.1399999999999999</v>
      </c>
      <c r="I4327" s="1">
        <v>496000</v>
      </c>
      <c r="J4327" s="1">
        <v>565420</v>
      </c>
      <c r="K4327">
        <v>15</v>
      </c>
      <c r="L4327">
        <v>1.1000000000000001</v>
      </c>
      <c r="M4327">
        <v>1.1100000000000001</v>
      </c>
      <c r="N4327" s="1">
        <v>10000000</v>
      </c>
      <c r="O4327">
        <v>1.1100000000000001</v>
      </c>
      <c r="P4327">
        <v>1.83</v>
      </c>
      <c r="Q4327">
        <v>0.39</v>
      </c>
    </row>
    <row r="4328" spans="1:17" x14ac:dyDescent="0.25">
      <c r="A4328">
        <v>733256</v>
      </c>
      <c r="B4328" t="s">
        <v>5640</v>
      </c>
      <c r="C4328">
        <v>0.49</v>
      </c>
      <c r="D4328">
        <v>0.01</v>
      </c>
      <c r="E4328">
        <v>0.5</v>
      </c>
      <c r="F4328">
        <v>0.5</v>
      </c>
      <c r="G4328">
        <v>0.49</v>
      </c>
      <c r="H4328">
        <v>0.49</v>
      </c>
      <c r="I4328" s="1">
        <v>133000</v>
      </c>
      <c r="J4328" s="1">
        <v>65700</v>
      </c>
      <c r="K4328">
        <v>4</v>
      </c>
      <c r="L4328">
        <v>0.47</v>
      </c>
      <c r="M4328">
        <v>0.48</v>
      </c>
      <c r="N4328" s="1">
        <v>5000000</v>
      </c>
      <c r="O4328">
        <v>0.49</v>
      </c>
      <c r="P4328">
        <v>1.1200000000000001</v>
      </c>
      <c r="Q4328">
        <v>0.01</v>
      </c>
    </row>
    <row r="4329" spans="1:17" x14ac:dyDescent="0.25">
      <c r="A4329">
        <v>733257</v>
      </c>
      <c r="B4329" t="s">
        <v>5641</v>
      </c>
      <c r="C4329" t="s">
        <v>78</v>
      </c>
      <c r="D4329" t="s">
        <v>78</v>
      </c>
      <c r="E4329" t="s">
        <v>78</v>
      </c>
      <c r="F4329" t="s">
        <v>78</v>
      </c>
      <c r="G4329" t="s">
        <v>78</v>
      </c>
      <c r="H4329">
        <v>0.69</v>
      </c>
      <c r="I4329" s="1">
        <v>0</v>
      </c>
      <c r="J4329" s="1">
        <v>0</v>
      </c>
      <c r="K4329">
        <v>0</v>
      </c>
      <c r="L4329">
        <v>0.69</v>
      </c>
      <c r="M4329">
        <v>0.7</v>
      </c>
      <c r="N4329" s="1">
        <v>5000000</v>
      </c>
      <c r="O4329">
        <v>0.69</v>
      </c>
      <c r="P4329">
        <v>1.35</v>
      </c>
      <c r="Q4329">
        <v>0.03</v>
      </c>
    </row>
    <row r="4330" spans="1:17" x14ac:dyDescent="0.25">
      <c r="A4330">
        <v>733258</v>
      </c>
      <c r="B4330" t="s">
        <v>5642</v>
      </c>
      <c r="C4330">
        <v>0.71</v>
      </c>
      <c r="D4330">
        <v>-0.08</v>
      </c>
      <c r="E4330">
        <v>0.84</v>
      </c>
      <c r="F4330">
        <v>0.84</v>
      </c>
      <c r="G4330">
        <v>0.7</v>
      </c>
      <c r="H4330">
        <v>0.76</v>
      </c>
      <c r="I4330" s="1">
        <v>1434000</v>
      </c>
      <c r="J4330" s="1">
        <v>1093050</v>
      </c>
      <c r="K4330">
        <v>27</v>
      </c>
      <c r="L4330">
        <v>0.51</v>
      </c>
      <c r="M4330">
        <v>1.1399999999999999</v>
      </c>
      <c r="N4330" s="1">
        <v>5000000</v>
      </c>
      <c r="O4330">
        <v>0.71</v>
      </c>
      <c r="P4330">
        <v>1.55</v>
      </c>
      <c r="Q4330">
        <v>0.01</v>
      </c>
    </row>
    <row r="4331" spans="1:17" x14ac:dyDescent="0.25">
      <c r="A4331">
        <v>733259</v>
      </c>
      <c r="B4331" t="s">
        <v>5643</v>
      </c>
      <c r="C4331">
        <v>0.54</v>
      </c>
      <c r="D4331">
        <v>-0.02</v>
      </c>
      <c r="E4331">
        <v>0.56000000000000005</v>
      </c>
      <c r="F4331">
        <v>0.56000000000000005</v>
      </c>
      <c r="G4331">
        <v>0.54</v>
      </c>
      <c r="H4331">
        <v>0.55000000000000004</v>
      </c>
      <c r="I4331" s="1">
        <v>152000</v>
      </c>
      <c r="J4331" s="1">
        <v>83280</v>
      </c>
      <c r="K4331">
        <v>4</v>
      </c>
      <c r="L4331">
        <v>0.54</v>
      </c>
      <c r="M4331">
        <v>0.55000000000000004</v>
      </c>
      <c r="N4331" s="1">
        <v>10000000</v>
      </c>
      <c r="O4331">
        <v>0.54</v>
      </c>
      <c r="P4331">
        <v>1.04</v>
      </c>
      <c r="Q4331">
        <v>0.04</v>
      </c>
    </row>
    <row r="4332" spans="1:17" x14ac:dyDescent="0.25">
      <c r="A4332">
        <v>733260</v>
      </c>
      <c r="B4332" t="s">
        <v>5644</v>
      </c>
      <c r="C4332">
        <v>0.87</v>
      </c>
      <c r="D4332">
        <v>0.05</v>
      </c>
      <c r="E4332">
        <v>0.9</v>
      </c>
      <c r="F4332">
        <v>0.9</v>
      </c>
      <c r="G4332">
        <v>0.87</v>
      </c>
      <c r="H4332">
        <v>0.87</v>
      </c>
      <c r="I4332" s="1">
        <v>28000</v>
      </c>
      <c r="J4332" s="1">
        <v>24390</v>
      </c>
      <c r="K4332">
        <v>5</v>
      </c>
      <c r="L4332">
        <v>0.85</v>
      </c>
      <c r="M4332">
        <v>0.86</v>
      </c>
      <c r="N4332" s="1">
        <v>10000000</v>
      </c>
      <c r="O4332">
        <v>0.87</v>
      </c>
      <c r="P4332">
        <v>1.32</v>
      </c>
      <c r="Q4332">
        <v>0.42</v>
      </c>
    </row>
    <row r="4333" spans="1:17" x14ac:dyDescent="0.25">
      <c r="A4333">
        <v>733261</v>
      </c>
      <c r="B4333" t="s">
        <v>5645</v>
      </c>
      <c r="C4333">
        <v>1.1200000000000001</v>
      </c>
      <c r="D4333">
        <v>-0.06</v>
      </c>
      <c r="E4333">
        <v>1.1200000000000001</v>
      </c>
      <c r="F4333">
        <v>1.1200000000000001</v>
      </c>
      <c r="G4333">
        <v>1.1200000000000001</v>
      </c>
      <c r="H4333">
        <v>1.1200000000000001</v>
      </c>
      <c r="I4333" s="1">
        <v>5000</v>
      </c>
      <c r="J4333" s="1">
        <v>5600</v>
      </c>
      <c r="K4333">
        <v>1</v>
      </c>
      <c r="L4333">
        <v>1.1100000000000001</v>
      </c>
      <c r="M4333">
        <v>1.1399999999999999</v>
      </c>
      <c r="N4333" s="1">
        <v>11000000</v>
      </c>
      <c r="O4333">
        <v>1.1200000000000001</v>
      </c>
      <c r="P4333">
        <v>1.88</v>
      </c>
      <c r="Q4333">
        <v>0.35</v>
      </c>
    </row>
    <row r="4334" spans="1:17" x14ac:dyDescent="0.25">
      <c r="A4334">
        <v>733262</v>
      </c>
      <c r="B4334" t="s">
        <v>5646</v>
      </c>
      <c r="C4334">
        <v>1.34</v>
      </c>
      <c r="D4334">
        <v>0.04</v>
      </c>
      <c r="E4334">
        <v>1.34</v>
      </c>
      <c r="F4334">
        <v>1.34</v>
      </c>
      <c r="G4334">
        <v>1.34</v>
      </c>
      <c r="H4334">
        <v>1.34</v>
      </c>
      <c r="I4334" s="1">
        <v>157000</v>
      </c>
      <c r="J4334" s="1">
        <v>210380</v>
      </c>
      <c r="K4334">
        <v>1</v>
      </c>
      <c r="L4334">
        <v>1.24</v>
      </c>
      <c r="M4334">
        <v>1.26</v>
      </c>
      <c r="N4334" s="1">
        <v>8000000</v>
      </c>
      <c r="O4334">
        <v>1.34</v>
      </c>
      <c r="P4334">
        <v>2.3199999999999998</v>
      </c>
      <c r="Q4334">
        <v>0.36</v>
      </c>
    </row>
    <row r="4335" spans="1:17" x14ac:dyDescent="0.25">
      <c r="A4335">
        <v>733263</v>
      </c>
      <c r="B4335" t="s">
        <v>5647</v>
      </c>
      <c r="C4335">
        <v>0.5</v>
      </c>
      <c r="D4335">
        <v>0.03</v>
      </c>
      <c r="E4335">
        <v>0.51</v>
      </c>
      <c r="F4335">
        <v>0.55000000000000004</v>
      </c>
      <c r="G4335">
        <v>0.5</v>
      </c>
      <c r="H4335">
        <v>0.52</v>
      </c>
      <c r="I4335" s="1">
        <v>1073000</v>
      </c>
      <c r="J4335" s="1">
        <v>559590</v>
      </c>
      <c r="K4335">
        <v>13</v>
      </c>
      <c r="L4335">
        <v>0.48</v>
      </c>
      <c r="M4335">
        <v>0.49</v>
      </c>
      <c r="N4335" s="1">
        <v>10000000</v>
      </c>
      <c r="O4335">
        <v>0.5</v>
      </c>
      <c r="P4335">
        <v>0.95</v>
      </c>
      <c r="Q4335">
        <v>0.05</v>
      </c>
    </row>
    <row r="4336" spans="1:17" x14ac:dyDescent="0.25">
      <c r="A4336">
        <v>733264</v>
      </c>
      <c r="B4336" t="s">
        <v>5648</v>
      </c>
      <c r="C4336">
        <v>0.74</v>
      </c>
      <c r="D4336">
        <v>-0.05</v>
      </c>
      <c r="E4336">
        <v>0.81</v>
      </c>
      <c r="F4336">
        <v>0.81</v>
      </c>
      <c r="G4336">
        <v>0.73</v>
      </c>
      <c r="H4336">
        <v>0.77</v>
      </c>
      <c r="I4336" s="1">
        <v>280000</v>
      </c>
      <c r="J4336" s="1">
        <v>216850</v>
      </c>
      <c r="K4336">
        <v>5</v>
      </c>
      <c r="L4336">
        <v>0.73</v>
      </c>
      <c r="M4336">
        <v>0.74</v>
      </c>
      <c r="N4336" s="1">
        <v>5000000</v>
      </c>
      <c r="O4336">
        <v>0.74</v>
      </c>
      <c r="P4336">
        <v>1.7</v>
      </c>
      <c r="Q4336">
        <v>0.01</v>
      </c>
    </row>
    <row r="4337" spans="1:17" x14ac:dyDescent="0.25">
      <c r="A4337">
        <v>733265</v>
      </c>
      <c r="B4337" t="s">
        <v>5649</v>
      </c>
      <c r="C4337">
        <v>1.22</v>
      </c>
      <c r="D4337">
        <v>-0.08</v>
      </c>
      <c r="E4337">
        <v>1.39</v>
      </c>
      <c r="F4337">
        <v>1.4</v>
      </c>
      <c r="G4337">
        <v>1.22</v>
      </c>
      <c r="H4337">
        <v>1.32</v>
      </c>
      <c r="I4337" s="1">
        <v>246000</v>
      </c>
      <c r="J4337" s="1">
        <v>324740</v>
      </c>
      <c r="K4337">
        <v>21</v>
      </c>
      <c r="L4337">
        <v>1.23</v>
      </c>
      <c r="M4337">
        <v>1.24</v>
      </c>
      <c r="N4337" s="1">
        <v>5000000</v>
      </c>
      <c r="O4337">
        <v>1.22</v>
      </c>
      <c r="P4337">
        <v>2.34</v>
      </c>
      <c r="Q4337">
        <v>0.1</v>
      </c>
    </row>
    <row r="4338" spans="1:17" x14ac:dyDescent="0.25">
      <c r="A4338">
        <v>733266</v>
      </c>
      <c r="B4338" t="s">
        <v>5650</v>
      </c>
      <c r="C4338">
        <v>0.62</v>
      </c>
      <c r="D4338">
        <v>-0.03</v>
      </c>
      <c r="E4338">
        <v>0.67</v>
      </c>
      <c r="F4338">
        <v>0.67</v>
      </c>
      <c r="G4338">
        <v>0.62</v>
      </c>
      <c r="H4338">
        <v>0.62</v>
      </c>
      <c r="I4338" s="1">
        <v>265000</v>
      </c>
      <c r="J4338" s="1">
        <v>165400</v>
      </c>
      <c r="K4338">
        <v>2</v>
      </c>
      <c r="L4338">
        <v>0.6</v>
      </c>
      <c r="M4338">
        <v>0.61</v>
      </c>
      <c r="N4338" s="1">
        <v>10000000</v>
      </c>
      <c r="O4338">
        <v>0.62</v>
      </c>
      <c r="P4338">
        <v>1.48</v>
      </c>
      <c r="Q4338">
        <v>0.01</v>
      </c>
    </row>
    <row r="4339" spans="1:17" x14ac:dyDescent="0.25">
      <c r="A4339">
        <v>733267</v>
      </c>
      <c r="B4339" t="s">
        <v>5651</v>
      </c>
      <c r="C4339">
        <v>0.89</v>
      </c>
      <c r="D4339">
        <v>-0.03</v>
      </c>
      <c r="E4339">
        <v>0.88</v>
      </c>
      <c r="F4339">
        <v>0.89</v>
      </c>
      <c r="G4339">
        <v>0.88</v>
      </c>
      <c r="H4339">
        <v>0.89</v>
      </c>
      <c r="I4339" s="1">
        <v>249000</v>
      </c>
      <c r="J4339" s="1">
        <v>221110</v>
      </c>
      <c r="K4339">
        <v>4</v>
      </c>
      <c r="L4339">
        <v>0.89</v>
      </c>
      <c r="M4339">
        <v>0.9</v>
      </c>
      <c r="N4339" s="1">
        <v>10000000</v>
      </c>
      <c r="O4339">
        <v>0.89</v>
      </c>
      <c r="P4339">
        <v>1.67</v>
      </c>
      <c r="Q4339">
        <v>0.11</v>
      </c>
    </row>
    <row r="4340" spans="1:17" x14ac:dyDescent="0.25">
      <c r="A4340">
        <v>733268</v>
      </c>
      <c r="B4340" t="s">
        <v>5652</v>
      </c>
      <c r="C4340">
        <v>1.33</v>
      </c>
      <c r="D4340">
        <v>-0.11</v>
      </c>
      <c r="E4340">
        <v>1.33</v>
      </c>
      <c r="F4340">
        <v>1.33</v>
      </c>
      <c r="G4340">
        <v>1.33</v>
      </c>
      <c r="H4340">
        <v>1.33</v>
      </c>
      <c r="I4340" s="1">
        <v>85000</v>
      </c>
      <c r="J4340" s="1">
        <v>113050</v>
      </c>
      <c r="K4340">
        <v>1</v>
      </c>
      <c r="L4340">
        <v>1.21</v>
      </c>
      <c r="M4340">
        <v>1.24</v>
      </c>
      <c r="N4340" s="1">
        <v>10000000</v>
      </c>
      <c r="O4340">
        <v>1.33</v>
      </c>
      <c r="P4340">
        <v>2.09</v>
      </c>
      <c r="Q4340">
        <v>0.56999999999999995</v>
      </c>
    </row>
    <row r="4341" spans="1:17" x14ac:dyDescent="0.25">
      <c r="A4341">
        <v>733269</v>
      </c>
      <c r="B4341" t="s">
        <v>5653</v>
      </c>
      <c r="C4341">
        <v>0.65</v>
      </c>
      <c r="D4341">
        <v>-0.1</v>
      </c>
      <c r="E4341">
        <v>0.66</v>
      </c>
      <c r="F4341">
        <v>0.66</v>
      </c>
      <c r="G4341">
        <v>0.65</v>
      </c>
      <c r="H4341">
        <v>0.66</v>
      </c>
      <c r="I4341" s="1">
        <v>3000</v>
      </c>
      <c r="J4341" s="1">
        <v>1970</v>
      </c>
      <c r="K4341">
        <v>2</v>
      </c>
      <c r="L4341">
        <v>0.66</v>
      </c>
      <c r="M4341">
        <v>0.67</v>
      </c>
      <c r="N4341" s="1">
        <v>10000000</v>
      </c>
      <c r="O4341">
        <v>0.65</v>
      </c>
      <c r="P4341">
        <v>2.09</v>
      </c>
      <c r="Q4341">
        <v>0.01</v>
      </c>
    </row>
    <row r="4342" spans="1:17" x14ac:dyDescent="0.25">
      <c r="A4342">
        <v>733270</v>
      </c>
      <c r="B4342" t="s">
        <v>5654</v>
      </c>
      <c r="C4342">
        <v>2.61</v>
      </c>
      <c r="D4342">
        <v>-0.18</v>
      </c>
      <c r="E4342">
        <v>2.6</v>
      </c>
      <c r="F4342">
        <v>2.61</v>
      </c>
      <c r="G4342">
        <v>2.4</v>
      </c>
      <c r="H4342">
        <v>2.5099999999999998</v>
      </c>
      <c r="I4342" s="1">
        <v>10000</v>
      </c>
      <c r="J4342" s="1">
        <v>25130</v>
      </c>
      <c r="K4342">
        <v>5</v>
      </c>
      <c r="L4342">
        <v>2.5099999999999998</v>
      </c>
      <c r="M4342">
        <v>2.61</v>
      </c>
      <c r="N4342" s="1">
        <v>5000000</v>
      </c>
      <c r="O4342">
        <v>2.61</v>
      </c>
      <c r="P4342">
        <v>3.39</v>
      </c>
      <c r="Q4342">
        <v>1.83</v>
      </c>
    </row>
    <row r="4343" spans="1:17" x14ac:dyDescent="0.25">
      <c r="A4343">
        <v>733271</v>
      </c>
      <c r="B4343" t="s">
        <v>5655</v>
      </c>
      <c r="C4343">
        <v>1.66</v>
      </c>
      <c r="D4343">
        <v>0.08</v>
      </c>
      <c r="E4343">
        <v>1.6</v>
      </c>
      <c r="F4343">
        <v>1.7</v>
      </c>
      <c r="G4343">
        <v>1.55</v>
      </c>
      <c r="H4343">
        <v>1.61</v>
      </c>
      <c r="I4343" s="1">
        <v>613000</v>
      </c>
      <c r="J4343" s="1">
        <v>987440</v>
      </c>
      <c r="K4343">
        <v>35</v>
      </c>
      <c r="L4343">
        <v>1.66</v>
      </c>
      <c r="M4343">
        <v>1.67</v>
      </c>
      <c r="N4343" s="1">
        <v>5000000</v>
      </c>
      <c r="O4343">
        <v>1.66</v>
      </c>
      <c r="P4343">
        <v>2.6</v>
      </c>
      <c r="Q4343">
        <v>0.72</v>
      </c>
    </row>
    <row r="4344" spans="1:17" x14ac:dyDescent="0.25">
      <c r="A4344">
        <v>733272</v>
      </c>
      <c r="B4344" t="s">
        <v>5656</v>
      </c>
      <c r="C4344">
        <v>0.84</v>
      </c>
      <c r="D4344">
        <v>-0.05</v>
      </c>
      <c r="E4344">
        <v>0.85</v>
      </c>
      <c r="F4344">
        <v>0.85</v>
      </c>
      <c r="G4344">
        <v>0.83</v>
      </c>
      <c r="H4344">
        <v>0.83</v>
      </c>
      <c r="I4344" s="1">
        <v>57000</v>
      </c>
      <c r="J4344" s="1">
        <v>47380</v>
      </c>
      <c r="K4344">
        <v>3</v>
      </c>
      <c r="L4344">
        <v>0.84</v>
      </c>
      <c r="M4344">
        <v>0.85</v>
      </c>
      <c r="N4344" s="1">
        <v>10000000</v>
      </c>
      <c r="O4344">
        <v>0.84</v>
      </c>
      <c r="P4344">
        <v>1.56</v>
      </c>
      <c r="Q4344">
        <v>0.12</v>
      </c>
    </row>
    <row r="4345" spans="1:17" x14ac:dyDescent="0.25">
      <c r="A4345">
        <v>733273</v>
      </c>
      <c r="B4345" t="s">
        <v>5657</v>
      </c>
      <c r="C4345">
        <v>0.72</v>
      </c>
      <c r="D4345">
        <v>-0.02</v>
      </c>
      <c r="E4345">
        <v>0.77</v>
      </c>
      <c r="F4345">
        <v>0.77</v>
      </c>
      <c r="G4345">
        <v>0.71</v>
      </c>
      <c r="H4345">
        <v>0.74</v>
      </c>
      <c r="I4345" s="1">
        <v>308000</v>
      </c>
      <c r="J4345" s="1">
        <v>228580</v>
      </c>
      <c r="K4345">
        <v>17</v>
      </c>
      <c r="L4345">
        <v>0.71</v>
      </c>
      <c r="M4345">
        <v>0.72</v>
      </c>
      <c r="N4345" s="1">
        <v>10000000</v>
      </c>
      <c r="O4345">
        <v>0.72</v>
      </c>
      <c r="P4345">
        <v>1.2</v>
      </c>
      <c r="Q4345">
        <v>0.24</v>
      </c>
    </row>
    <row r="4346" spans="1:17" x14ac:dyDescent="0.25">
      <c r="A4346">
        <v>733274</v>
      </c>
      <c r="B4346" t="s">
        <v>5658</v>
      </c>
      <c r="C4346">
        <v>1.03</v>
      </c>
      <c r="D4346">
        <v>0.2</v>
      </c>
      <c r="E4346">
        <v>0.86</v>
      </c>
      <c r="F4346">
        <v>1.03</v>
      </c>
      <c r="G4346">
        <v>0.86</v>
      </c>
      <c r="H4346">
        <v>0.96</v>
      </c>
      <c r="I4346" s="1">
        <v>525000</v>
      </c>
      <c r="J4346" s="1">
        <v>502380</v>
      </c>
      <c r="K4346">
        <v>16</v>
      </c>
      <c r="L4346">
        <v>0.91</v>
      </c>
      <c r="M4346">
        <v>0.93</v>
      </c>
      <c r="N4346" s="1">
        <v>10000000</v>
      </c>
      <c r="O4346">
        <v>1.03</v>
      </c>
      <c r="P4346">
        <v>2.15</v>
      </c>
      <c r="Q4346">
        <v>0.01</v>
      </c>
    </row>
    <row r="4347" spans="1:17" x14ac:dyDescent="0.25">
      <c r="A4347">
        <v>733275</v>
      </c>
      <c r="B4347" t="s">
        <v>5659</v>
      </c>
      <c r="C4347">
        <v>1.5</v>
      </c>
      <c r="D4347">
        <v>0.05</v>
      </c>
      <c r="E4347">
        <v>1.54</v>
      </c>
      <c r="F4347">
        <v>1.59</v>
      </c>
      <c r="G4347">
        <v>1.5</v>
      </c>
      <c r="H4347">
        <v>1.55</v>
      </c>
      <c r="I4347" s="1">
        <v>161000</v>
      </c>
      <c r="J4347" s="1">
        <v>249590</v>
      </c>
      <c r="K4347">
        <v>5</v>
      </c>
      <c r="L4347">
        <v>1.49</v>
      </c>
      <c r="M4347">
        <v>1.5</v>
      </c>
      <c r="N4347" s="1">
        <v>10000000</v>
      </c>
      <c r="O4347">
        <v>1.5</v>
      </c>
      <c r="P4347">
        <v>2.27</v>
      </c>
      <c r="Q4347">
        <v>0.73</v>
      </c>
    </row>
    <row r="4348" spans="1:17" x14ac:dyDescent="0.25">
      <c r="A4348">
        <v>733276</v>
      </c>
      <c r="B4348" t="s">
        <v>5660</v>
      </c>
      <c r="C4348">
        <v>0.7</v>
      </c>
      <c r="D4348">
        <v>-0.03</v>
      </c>
      <c r="E4348">
        <v>0.74</v>
      </c>
      <c r="F4348">
        <v>0.74</v>
      </c>
      <c r="G4348">
        <v>0.7</v>
      </c>
      <c r="H4348">
        <v>0.71</v>
      </c>
      <c r="I4348" s="1">
        <v>78000</v>
      </c>
      <c r="J4348" s="1">
        <v>55300</v>
      </c>
      <c r="K4348">
        <v>7</v>
      </c>
      <c r="L4348">
        <v>0.7</v>
      </c>
      <c r="M4348">
        <v>0.71</v>
      </c>
      <c r="N4348" s="1">
        <v>5000000</v>
      </c>
      <c r="O4348">
        <v>0.7</v>
      </c>
      <c r="P4348">
        <v>1.46</v>
      </c>
      <c r="Q4348">
        <v>0.01</v>
      </c>
    </row>
    <row r="4349" spans="1:17" x14ac:dyDescent="0.25">
      <c r="A4349">
        <v>733277</v>
      </c>
      <c r="B4349" t="s">
        <v>5661</v>
      </c>
      <c r="C4349">
        <v>1.04</v>
      </c>
      <c r="D4349">
        <v>0.1</v>
      </c>
      <c r="E4349">
        <v>1.01</v>
      </c>
      <c r="F4349">
        <v>1.07</v>
      </c>
      <c r="G4349">
        <v>1.01</v>
      </c>
      <c r="H4349">
        <v>1.07</v>
      </c>
      <c r="I4349" s="1">
        <v>70000</v>
      </c>
      <c r="J4349" s="1">
        <v>74690</v>
      </c>
      <c r="K4349">
        <v>3</v>
      </c>
      <c r="L4349">
        <v>1.01</v>
      </c>
      <c r="M4349">
        <v>1.04</v>
      </c>
      <c r="N4349" s="1">
        <v>10000000</v>
      </c>
      <c r="O4349">
        <v>1.04</v>
      </c>
      <c r="P4349">
        <v>1.71</v>
      </c>
      <c r="Q4349">
        <v>0.37</v>
      </c>
    </row>
    <row r="4350" spans="1:17" x14ac:dyDescent="0.25">
      <c r="A4350">
        <v>733278</v>
      </c>
      <c r="B4350" t="s">
        <v>5662</v>
      </c>
      <c r="C4350">
        <v>1.06</v>
      </c>
      <c r="D4350">
        <v>0.1</v>
      </c>
      <c r="E4350">
        <v>1.1100000000000001</v>
      </c>
      <c r="F4350">
        <v>1.1100000000000001</v>
      </c>
      <c r="G4350">
        <v>1.06</v>
      </c>
      <c r="H4350">
        <v>1.07</v>
      </c>
      <c r="I4350" s="1">
        <v>46000</v>
      </c>
      <c r="J4350" s="1">
        <v>49030</v>
      </c>
      <c r="K4350">
        <v>5</v>
      </c>
      <c r="L4350">
        <v>1.05</v>
      </c>
      <c r="M4350">
        <v>0</v>
      </c>
      <c r="N4350" s="1">
        <v>5000000</v>
      </c>
      <c r="O4350">
        <v>1.06</v>
      </c>
      <c r="P4350">
        <v>1.51</v>
      </c>
      <c r="Q4350">
        <v>0.61</v>
      </c>
    </row>
    <row r="4351" spans="1:17" x14ac:dyDescent="0.25">
      <c r="A4351">
        <v>733279</v>
      </c>
      <c r="B4351" t="s">
        <v>5663</v>
      </c>
      <c r="C4351">
        <v>0.97</v>
      </c>
      <c r="D4351">
        <v>0.03</v>
      </c>
      <c r="E4351">
        <v>1.03</v>
      </c>
      <c r="F4351">
        <v>1.07</v>
      </c>
      <c r="G4351">
        <v>0.97</v>
      </c>
      <c r="H4351">
        <v>1.03</v>
      </c>
      <c r="I4351" s="1">
        <v>1338000</v>
      </c>
      <c r="J4351" s="1">
        <v>1379990</v>
      </c>
      <c r="K4351">
        <v>25</v>
      </c>
      <c r="L4351">
        <v>0.96</v>
      </c>
      <c r="M4351">
        <v>1</v>
      </c>
      <c r="N4351" s="1">
        <v>5000000</v>
      </c>
      <c r="O4351">
        <v>0.97</v>
      </c>
      <c r="P4351">
        <v>1.73</v>
      </c>
      <c r="Q4351">
        <v>0.21</v>
      </c>
    </row>
    <row r="4352" spans="1:17" x14ac:dyDescent="0.25">
      <c r="A4352">
        <v>733280</v>
      </c>
      <c r="B4352" t="s">
        <v>5664</v>
      </c>
      <c r="C4352">
        <v>1.41</v>
      </c>
      <c r="D4352">
        <v>-7.0000000000000007E-2</v>
      </c>
      <c r="E4352">
        <v>1.45</v>
      </c>
      <c r="F4352">
        <v>1.54</v>
      </c>
      <c r="G4352">
        <v>1.34</v>
      </c>
      <c r="H4352">
        <v>1.44</v>
      </c>
      <c r="I4352" s="1">
        <v>2016000</v>
      </c>
      <c r="J4352" s="1">
        <v>2910030</v>
      </c>
      <c r="K4352">
        <v>116</v>
      </c>
      <c r="L4352">
        <v>1.41</v>
      </c>
      <c r="M4352">
        <v>1.42</v>
      </c>
      <c r="N4352" s="1">
        <v>10000000</v>
      </c>
      <c r="O4352">
        <v>1.41</v>
      </c>
      <c r="P4352">
        <v>2.25</v>
      </c>
      <c r="Q4352">
        <v>0.56999999999999995</v>
      </c>
    </row>
    <row r="4353" spans="1:17" x14ac:dyDescent="0.25">
      <c r="A4353">
        <v>733281</v>
      </c>
      <c r="B4353" t="s">
        <v>5665</v>
      </c>
      <c r="C4353">
        <v>1.21</v>
      </c>
      <c r="D4353">
        <v>-0.1</v>
      </c>
      <c r="E4353">
        <v>1.22</v>
      </c>
      <c r="F4353">
        <v>1.28</v>
      </c>
      <c r="G4353">
        <v>1.1499999999999999</v>
      </c>
      <c r="H4353">
        <v>1.19</v>
      </c>
      <c r="I4353" s="1">
        <v>214000</v>
      </c>
      <c r="J4353" s="1">
        <v>255050</v>
      </c>
      <c r="K4353">
        <v>22</v>
      </c>
      <c r="L4353">
        <v>1.2</v>
      </c>
      <c r="M4353">
        <v>1.22</v>
      </c>
      <c r="N4353" s="1">
        <v>10000000</v>
      </c>
      <c r="O4353">
        <v>1.21</v>
      </c>
      <c r="P4353">
        <v>2.37</v>
      </c>
      <c r="Q4353">
        <v>0.05</v>
      </c>
    </row>
    <row r="4354" spans="1:17" x14ac:dyDescent="0.25">
      <c r="A4354">
        <v>733282</v>
      </c>
      <c r="B4354" t="s">
        <v>5666</v>
      </c>
      <c r="C4354">
        <v>0.56000000000000005</v>
      </c>
      <c r="D4354">
        <v>0.05</v>
      </c>
      <c r="E4354">
        <v>0.56000000000000005</v>
      </c>
      <c r="F4354">
        <v>0.56000000000000005</v>
      </c>
      <c r="G4354">
        <v>0.56000000000000005</v>
      </c>
      <c r="H4354">
        <v>0.56000000000000005</v>
      </c>
      <c r="I4354" s="1">
        <v>150000</v>
      </c>
      <c r="J4354" s="1">
        <v>84000</v>
      </c>
      <c r="K4354">
        <v>2</v>
      </c>
      <c r="L4354">
        <v>0.56000000000000005</v>
      </c>
      <c r="M4354">
        <v>0.57999999999999996</v>
      </c>
      <c r="N4354" s="1">
        <v>10000000</v>
      </c>
      <c r="O4354">
        <v>0.56000000000000005</v>
      </c>
      <c r="P4354">
        <v>1.5</v>
      </c>
      <c r="Q4354">
        <v>0.01</v>
      </c>
    </row>
    <row r="4355" spans="1:17" x14ac:dyDescent="0.25">
      <c r="A4355">
        <v>733283</v>
      </c>
      <c r="B4355" t="s">
        <v>5667</v>
      </c>
      <c r="C4355">
        <v>0.49</v>
      </c>
      <c r="D4355">
        <v>-0.03</v>
      </c>
      <c r="E4355">
        <v>0.5</v>
      </c>
      <c r="F4355">
        <v>0.5</v>
      </c>
      <c r="G4355">
        <v>0.48</v>
      </c>
      <c r="H4355">
        <v>0.5</v>
      </c>
      <c r="I4355" s="1">
        <v>728000</v>
      </c>
      <c r="J4355" s="1">
        <v>361850</v>
      </c>
      <c r="K4355">
        <v>13</v>
      </c>
      <c r="L4355">
        <v>0.49</v>
      </c>
      <c r="M4355">
        <v>0.51</v>
      </c>
      <c r="N4355" s="1">
        <v>10000000</v>
      </c>
      <c r="O4355">
        <v>0.49</v>
      </c>
      <c r="P4355">
        <v>0.96</v>
      </c>
      <c r="Q4355">
        <v>0.02</v>
      </c>
    </row>
    <row r="4356" spans="1:17" x14ac:dyDescent="0.25">
      <c r="A4356">
        <v>733284</v>
      </c>
      <c r="B4356" t="s">
        <v>5668</v>
      </c>
      <c r="C4356" t="s">
        <v>78</v>
      </c>
      <c r="D4356" t="s">
        <v>78</v>
      </c>
      <c r="E4356" t="s">
        <v>78</v>
      </c>
      <c r="F4356" t="s">
        <v>78</v>
      </c>
      <c r="G4356" t="s">
        <v>78</v>
      </c>
      <c r="H4356">
        <v>0.36</v>
      </c>
      <c r="I4356" s="1">
        <v>0</v>
      </c>
      <c r="J4356" s="1">
        <v>0</v>
      </c>
      <c r="K4356">
        <v>0</v>
      </c>
      <c r="L4356">
        <v>0.27</v>
      </c>
      <c r="M4356">
        <v>0.28000000000000003</v>
      </c>
      <c r="N4356" s="1">
        <v>5000000</v>
      </c>
      <c r="O4356">
        <v>0.28000000000000003</v>
      </c>
      <c r="P4356">
        <v>0.73</v>
      </c>
      <c r="Q4356">
        <v>0.01</v>
      </c>
    </row>
    <row r="4357" spans="1:17" x14ac:dyDescent="0.25">
      <c r="A4357">
        <v>733285</v>
      </c>
      <c r="B4357" t="s">
        <v>5669</v>
      </c>
      <c r="C4357">
        <v>0.37</v>
      </c>
      <c r="D4357">
        <v>0.06</v>
      </c>
      <c r="E4357">
        <v>0.36</v>
      </c>
      <c r="F4357">
        <v>0.37</v>
      </c>
      <c r="G4357">
        <v>0.36</v>
      </c>
      <c r="H4357">
        <v>0.37</v>
      </c>
      <c r="I4357" s="1">
        <v>21000</v>
      </c>
      <c r="J4357" s="1">
        <v>7670</v>
      </c>
      <c r="K4357">
        <v>2</v>
      </c>
      <c r="L4357">
        <v>0.34</v>
      </c>
      <c r="M4357">
        <v>0.35</v>
      </c>
      <c r="N4357" s="1">
        <v>5000000</v>
      </c>
      <c r="O4357">
        <v>0.37</v>
      </c>
      <c r="P4357">
        <v>1.27</v>
      </c>
      <c r="Q4357">
        <v>0.01</v>
      </c>
    </row>
    <row r="4358" spans="1:17" x14ac:dyDescent="0.25">
      <c r="A4358">
        <v>733286</v>
      </c>
      <c r="B4358" t="s">
        <v>5670</v>
      </c>
      <c r="C4358" t="s">
        <v>78</v>
      </c>
      <c r="D4358" t="s">
        <v>78</v>
      </c>
      <c r="E4358" t="s">
        <v>78</v>
      </c>
      <c r="F4358" t="s">
        <v>78</v>
      </c>
      <c r="G4358" t="s">
        <v>78</v>
      </c>
      <c r="H4358">
        <v>0.3</v>
      </c>
      <c r="I4358" s="1">
        <v>0</v>
      </c>
      <c r="J4358" s="1">
        <v>0</v>
      </c>
      <c r="K4358">
        <v>0</v>
      </c>
      <c r="L4358">
        <v>0.28999999999999998</v>
      </c>
      <c r="M4358">
        <v>0.3</v>
      </c>
      <c r="N4358" s="1">
        <v>5000000</v>
      </c>
      <c r="O4358">
        <v>0.3</v>
      </c>
      <c r="P4358">
        <v>1.17</v>
      </c>
      <c r="Q4358">
        <v>0.01</v>
      </c>
    </row>
    <row r="4359" spans="1:17" x14ac:dyDescent="0.25">
      <c r="A4359">
        <v>733287</v>
      </c>
      <c r="B4359" t="s">
        <v>5671</v>
      </c>
      <c r="C4359">
        <v>0.72</v>
      </c>
      <c r="D4359">
        <v>0.02</v>
      </c>
      <c r="E4359">
        <v>0.73</v>
      </c>
      <c r="F4359">
        <v>0.76</v>
      </c>
      <c r="G4359">
        <v>0.72</v>
      </c>
      <c r="H4359">
        <v>0.74</v>
      </c>
      <c r="I4359" s="1">
        <v>474000</v>
      </c>
      <c r="J4359" s="1">
        <v>349120</v>
      </c>
      <c r="K4359">
        <v>13</v>
      </c>
      <c r="L4359">
        <v>0.71</v>
      </c>
      <c r="M4359">
        <v>0.72</v>
      </c>
      <c r="N4359" s="1">
        <v>10000000</v>
      </c>
      <c r="O4359">
        <v>0.72</v>
      </c>
      <c r="P4359">
        <v>1.46</v>
      </c>
      <c r="Q4359">
        <v>0.01</v>
      </c>
    </row>
    <row r="4360" spans="1:17" x14ac:dyDescent="0.25">
      <c r="A4360">
        <v>733288</v>
      </c>
      <c r="B4360" t="s">
        <v>5672</v>
      </c>
      <c r="C4360">
        <v>0.66</v>
      </c>
      <c r="D4360">
        <v>-0.03</v>
      </c>
      <c r="E4360">
        <v>0.67</v>
      </c>
      <c r="F4360">
        <v>0.68</v>
      </c>
      <c r="G4360">
        <v>0.64</v>
      </c>
      <c r="H4360">
        <v>0.66</v>
      </c>
      <c r="I4360" s="1">
        <v>265000</v>
      </c>
      <c r="J4360" s="1">
        <v>175600</v>
      </c>
      <c r="K4360">
        <v>8</v>
      </c>
      <c r="L4360">
        <v>0.64</v>
      </c>
      <c r="M4360">
        <v>0.65</v>
      </c>
      <c r="N4360" s="1">
        <v>5000000</v>
      </c>
      <c r="O4360">
        <v>0.66</v>
      </c>
      <c r="P4360">
        <v>1.19</v>
      </c>
      <c r="Q4360">
        <v>0.13</v>
      </c>
    </row>
    <row r="4361" spans="1:17" x14ac:dyDescent="0.25">
      <c r="A4361">
        <v>733289</v>
      </c>
      <c r="B4361" t="s">
        <v>5673</v>
      </c>
      <c r="C4361">
        <v>0.68</v>
      </c>
      <c r="D4361">
        <v>0.01</v>
      </c>
      <c r="E4361">
        <v>0.73</v>
      </c>
      <c r="F4361">
        <v>0.73</v>
      </c>
      <c r="G4361">
        <v>0.68</v>
      </c>
      <c r="H4361">
        <v>0.7</v>
      </c>
      <c r="I4361" s="1">
        <v>285000</v>
      </c>
      <c r="J4361" s="1">
        <v>200050</v>
      </c>
      <c r="K4361">
        <v>3</v>
      </c>
      <c r="L4361">
        <v>0.66</v>
      </c>
      <c r="M4361">
        <v>0.67</v>
      </c>
      <c r="N4361" s="1">
        <v>5000000</v>
      </c>
      <c r="O4361">
        <v>0.68</v>
      </c>
      <c r="P4361">
        <v>1.7</v>
      </c>
      <c r="Q4361">
        <v>0.01</v>
      </c>
    </row>
    <row r="4362" spans="1:17" x14ac:dyDescent="0.25">
      <c r="A4362">
        <v>733290</v>
      </c>
      <c r="B4362" t="s">
        <v>5674</v>
      </c>
      <c r="C4362">
        <v>0.4</v>
      </c>
      <c r="D4362">
        <v>-0.08</v>
      </c>
      <c r="E4362">
        <v>0.47</v>
      </c>
      <c r="F4362">
        <v>0.47</v>
      </c>
      <c r="G4362">
        <v>0.38</v>
      </c>
      <c r="H4362">
        <v>0.41</v>
      </c>
      <c r="I4362" s="1">
        <v>740000</v>
      </c>
      <c r="J4362" s="1">
        <v>306400</v>
      </c>
      <c r="K4362">
        <v>34</v>
      </c>
      <c r="L4362">
        <v>0.39</v>
      </c>
      <c r="M4362">
        <v>0.4</v>
      </c>
      <c r="N4362" s="1">
        <v>5000000</v>
      </c>
      <c r="O4362">
        <v>0.4</v>
      </c>
      <c r="P4362">
        <v>1.4</v>
      </c>
      <c r="Q4362">
        <v>0.01</v>
      </c>
    </row>
    <row r="4363" spans="1:17" x14ac:dyDescent="0.25">
      <c r="A4363">
        <v>733291</v>
      </c>
      <c r="B4363" t="s">
        <v>5675</v>
      </c>
      <c r="C4363" t="s">
        <v>78</v>
      </c>
      <c r="D4363" t="s">
        <v>78</v>
      </c>
      <c r="E4363" t="s">
        <v>78</v>
      </c>
      <c r="F4363" t="s">
        <v>78</v>
      </c>
      <c r="G4363" t="s">
        <v>78</v>
      </c>
      <c r="H4363">
        <v>0.42</v>
      </c>
      <c r="I4363" s="1">
        <v>0</v>
      </c>
      <c r="J4363" s="1">
        <v>0</v>
      </c>
      <c r="K4363">
        <v>0</v>
      </c>
      <c r="L4363">
        <v>0.4</v>
      </c>
      <c r="M4363">
        <v>0.41</v>
      </c>
      <c r="N4363" s="1">
        <v>5100000</v>
      </c>
      <c r="O4363">
        <v>0.41</v>
      </c>
      <c r="P4363">
        <v>0.7</v>
      </c>
      <c r="Q4363">
        <v>0.11</v>
      </c>
    </row>
    <row r="4364" spans="1:17" x14ac:dyDescent="0.25">
      <c r="A4364">
        <v>733292</v>
      </c>
      <c r="B4364" t="s">
        <v>5676</v>
      </c>
      <c r="C4364">
        <v>0.99</v>
      </c>
      <c r="D4364">
        <v>0.01</v>
      </c>
      <c r="E4364">
        <v>1.03</v>
      </c>
      <c r="F4364">
        <v>1.07</v>
      </c>
      <c r="G4364">
        <v>0.98</v>
      </c>
      <c r="H4364">
        <v>1.02</v>
      </c>
      <c r="I4364" s="1">
        <v>343000</v>
      </c>
      <c r="J4364" s="1">
        <v>351530</v>
      </c>
      <c r="K4364">
        <v>59</v>
      </c>
      <c r="L4364">
        <v>0.98</v>
      </c>
      <c r="M4364">
        <v>0.99</v>
      </c>
      <c r="N4364" s="1">
        <v>5000000</v>
      </c>
      <c r="O4364">
        <v>0.99</v>
      </c>
      <c r="P4364">
        <v>1.71</v>
      </c>
      <c r="Q4364">
        <v>0.27</v>
      </c>
    </row>
    <row r="4365" spans="1:17" x14ac:dyDescent="0.25">
      <c r="A4365">
        <v>733293</v>
      </c>
      <c r="B4365" t="s">
        <v>5677</v>
      </c>
      <c r="C4365">
        <v>1.07</v>
      </c>
      <c r="D4365">
        <v>0.04</v>
      </c>
      <c r="E4365">
        <v>1.07</v>
      </c>
      <c r="F4365">
        <v>1.1299999999999999</v>
      </c>
      <c r="G4365">
        <v>1.07</v>
      </c>
      <c r="H4365">
        <v>1.0900000000000001</v>
      </c>
      <c r="I4365" s="1">
        <v>340000</v>
      </c>
      <c r="J4365" s="1">
        <v>371600</v>
      </c>
      <c r="K4365">
        <v>12</v>
      </c>
      <c r="L4365">
        <v>0.8</v>
      </c>
      <c r="M4365">
        <v>1.07</v>
      </c>
      <c r="N4365" s="1">
        <v>5000000</v>
      </c>
      <c r="O4365">
        <v>1.07</v>
      </c>
      <c r="P4365">
        <v>1.74</v>
      </c>
      <c r="Q4365">
        <v>0.4</v>
      </c>
    </row>
    <row r="4366" spans="1:17" x14ac:dyDescent="0.25">
      <c r="A4366">
        <v>733294</v>
      </c>
      <c r="B4366" t="s">
        <v>5678</v>
      </c>
      <c r="C4366">
        <v>1.1499999999999999</v>
      </c>
      <c r="D4366">
        <v>-0.11</v>
      </c>
      <c r="E4366">
        <v>1.24</v>
      </c>
      <c r="F4366">
        <v>1.33</v>
      </c>
      <c r="G4366">
        <v>1.1299999999999999</v>
      </c>
      <c r="H4366">
        <v>1.22</v>
      </c>
      <c r="I4366" s="1">
        <v>1530000</v>
      </c>
      <c r="J4366" s="1">
        <v>1864570</v>
      </c>
      <c r="K4366">
        <v>29</v>
      </c>
      <c r="L4366">
        <v>1.1399999999999999</v>
      </c>
      <c r="M4366">
        <v>1.1499999999999999</v>
      </c>
      <c r="N4366" s="1">
        <v>5000000</v>
      </c>
      <c r="O4366">
        <v>1.1499999999999999</v>
      </c>
      <c r="P4366">
        <v>2.5499999999999998</v>
      </c>
      <c r="Q4366">
        <v>0.01</v>
      </c>
    </row>
    <row r="4367" spans="1:17" x14ac:dyDescent="0.25">
      <c r="A4367">
        <v>733295</v>
      </c>
      <c r="B4367" t="s">
        <v>5679</v>
      </c>
      <c r="C4367">
        <v>1.22</v>
      </c>
      <c r="D4367">
        <v>-0.05</v>
      </c>
      <c r="E4367">
        <v>1.19</v>
      </c>
      <c r="F4367">
        <v>1.28</v>
      </c>
      <c r="G4367">
        <v>1.17</v>
      </c>
      <c r="H4367">
        <v>1.21</v>
      </c>
      <c r="I4367" s="1">
        <v>1306000</v>
      </c>
      <c r="J4367" s="1">
        <v>1584050</v>
      </c>
      <c r="K4367">
        <v>26</v>
      </c>
      <c r="L4367">
        <v>1.22</v>
      </c>
      <c r="M4367">
        <v>1.24</v>
      </c>
      <c r="N4367" s="1">
        <v>5000000</v>
      </c>
      <c r="O4367">
        <v>1.22</v>
      </c>
      <c r="P4367">
        <v>2.09</v>
      </c>
      <c r="Q4367">
        <v>0.35</v>
      </c>
    </row>
    <row r="4368" spans="1:17" x14ac:dyDescent="0.25">
      <c r="A4368">
        <v>733296</v>
      </c>
      <c r="B4368" t="s">
        <v>5680</v>
      </c>
      <c r="C4368">
        <v>0.66</v>
      </c>
      <c r="D4368">
        <v>0.1</v>
      </c>
      <c r="E4368">
        <v>0.56999999999999995</v>
      </c>
      <c r="F4368">
        <v>0.66</v>
      </c>
      <c r="G4368">
        <v>0.56999999999999995</v>
      </c>
      <c r="H4368">
        <v>0.63</v>
      </c>
      <c r="I4368" s="1">
        <v>30000</v>
      </c>
      <c r="J4368" s="1">
        <v>18900</v>
      </c>
      <c r="K4368">
        <v>2</v>
      </c>
      <c r="L4368">
        <v>0.61</v>
      </c>
      <c r="M4368">
        <v>0.62</v>
      </c>
      <c r="N4368" s="1">
        <v>10000000</v>
      </c>
      <c r="O4368">
        <v>0.66</v>
      </c>
      <c r="P4368">
        <v>1.41</v>
      </c>
      <c r="Q4368">
        <v>0.01</v>
      </c>
    </row>
    <row r="4369" spans="1:17" x14ac:dyDescent="0.25">
      <c r="A4369">
        <v>733297</v>
      </c>
      <c r="B4369" t="s">
        <v>5681</v>
      </c>
      <c r="C4369">
        <v>0.81</v>
      </c>
      <c r="D4369">
        <v>0.05</v>
      </c>
      <c r="E4369">
        <v>0.81</v>
      </c>
      <c r="F4369">
        <v>0.81</v>
      </c>
      <c r="G4369">
        <v>0.81</v>
      </c>
      <c r="H4369">
        <v>0.81</v>
      </c>
      <c r="I4369" s="1">
        <v>10000</v>
      </c>
      <c r="J4369" s="1">
        <v>8100</v>
      </c>
      <c r="K4369">
        <v>1</v>
      </c>
      <c r="L4369">
        <v>0.77</v>
      </c>
      <c r="M4369">
        <v>1.1599999999999999</v>
      </c>
      <c r="N4369" s="1">
        <v>10000000</v>
      </c>
      <c r="O4369">
        <v>0.81</v>
      </c>
      <c r="P4369">
        <v>1.37</v>
      </c>
      <c r="Q4369">
        <v>0.25</v>
      </c>
    </row>
    <row r="4370" spans="1:17" x14ac:dyDescent="0.25">
      <c r="A4370">
        <v>733298</v>
      </c>
      <c r="B4370" t="s">
        <v>5682</v>
      </c>
      <c r="C4370">
        <v>0.66</v>
      </c>
      <c r="D4370">
        <v>-0.02</v>
      </c>
      <c r="E4370">
        <v>0.72</v>
      </c>
      <c r="F4370">
        <v>0.72</v>
      </c>
      <c r="G4370">
        <v>0.66</v>
      </c>
      <c r="H4370">
        <v>0.7</v>
      </c>
      <c r="I4370" s="1">
        <v>689000</v>
      </c>
      <c r="J4370" s="1">
        <v>484230</v>
      </c>
      <c r="K4370">
        <v>15</v>
      </c>
      <c r="L4370">
        <v>0.65</v>
      </c>
      <c r="M4370">
        <v>0.66</v>
      </c>
      <c r="N4370" s="1">
        <v>10000000</v>
      </c>
      <c r="O4370">
        <v>0.66</v>
      </c>
      <c r="P4370">
        <v>1.45</v>
      </c>
      <c r="Q4370">
        <v>0.01</v>
      </c>
    </row>
    <row r="4371" spans="1:17" x14ac:dyDescent="0.25">
      <c r="A4371">
        <v>733299</v>
      </c>
      <c r="B4371" t="s">
        <v>5683</v>
      </c>
      <c r="C4371">
        <v>1.19</v>
      </c>
      <c r="D4371">
        <v>-0.04</v>
      </c>
      <c r="E4371">
        <v>1.34</v>
      </c>
      <c r="F4371">
        <v>1.34</v>
      </c>
      <c r="G4371">
        <v>1.19</v>
      </c>
      <c r="H4371">
        <v>1.29</v>
      </c>
      <c r="I4371" s="1">
        <v>310000</v>
      </c>
      <c r="J4371" s="1">
        <v>398900</v>
      </c>
      <c r="K4371">
        <v>5</v>
      </c>
      <c r="L4371">
        <v>1.18</v>
      </c>
      <c r="M4371">
        <v>1.19</v>
      </c>
      <c r="N4371" s="1">
        <v>10000000</v>
      </c>
      <c r="O4371">
        <v>1.19</v>
      </c>
      <c r="P4371">
        <v>3.16</v>
      </c>
      <c r="Q4371">
        <v>0.01</v>
      </c>
    </row>
    <row r="4372" spans="1:17" x14ac:dyDescent="0.25">
      <c r="A4372">
        <v>733300</v>
      </c>
      <c r="B4372" t="s">
        <v>5684</v>
      </c>
      <c r="C4372">
        <v>0.65</v>
      </c>
      <c r="D4372">
        <v>0.04</v>
      </c>
      <c r="E4372">
        <v>0.65</v>
      </c>
      <c r="F4372">
        <v>0.65</v>
      </c>
      <c r="G4372">
        <v>0.65</v>
      </c>
      <c r="H4372">
        <v>0.65</v>
      </c>
      <c r="I4372" s="1">
        <v>220000</v>
      </c>
      <c r="J4372" s="1">
        <v>143000</v>
      </c>
      <c r="K4372">
        <v>5</v>
      </c>
      <c r="L4372">
        <v>0.28999999999999998</v>
      </c>
      <c r="M4372">
        <v>0.63</v>
      </c>
      <c r="N4372" s="1">
        <v>5000000</v>
      </c>
      <c r="O4372">
        <v>0.65</v>
      </c>
      <c r="P4372">
        <v>1.25</v>
      </c>
      <c r="Q4372">
        <v>0.05</v>
      </c>
    </row>
    <row r="4373" spans="1:17" x14ac:dyDescent="0.25">
      <c r="A4373">
        <v>733301</v>
      </c>
      <c r="B4373" t="s">
        <v>5685</v>
      </c>
      <c r="C4373">
        <v>0.71</v>
      </c>
      <c r="D4373">
        <v>-0.01</v>
      </c>
      <c r="E4373">
        <v>0.71</v>
      </c>
      <c r="F4373">
        <v>0.71</v>
      </c>
      <c r="G4373">
        <v>0.71</v>
      </c>
      <c r="H4373">
        <v>0.71</v>
      </c>
      <c r="I4373" s="1">
        <v>290000</v>
      </c>
      <c r="J4373" s="1">
        <v>205900</v>
      </c>
      <c r="K4373">
        <v>2</v>
      </c>
      <c r="L4373">
        <v>0.71</v>
      </c>
      <c r="M4373">
        <v>0.72</v>
      </c>
      <c r="N4373" s="1">
        <v>5000000</v>
      </c>
      <c r="O4373">
        <v>0.71</v>
      </c>
      <c r="P4373">
        <v>1.65</v>
      </c>
      <c r="Q4373">
        <v>0.01</v>
      </c>
    </row>
    <row r="4374" spans="1:17" x14ac:dyDescent="0.25">
      <c r="A4374">
        <v>733302</v>
      </c>
      <c r="B4374" t="s">
        <v>5686</v>
      </c>
      <c r="C4374">
        <v>0.97</v>
      </c>
      <c r="D4374">
        <v>0.04</v>
      </c>
      <c r="E4374">
        <v>0.97</v>
      </c>
      <c r="F4374">
        <v>1.01</v>
      </c>
      <c r="G4374">
        <v>0.96</v>
      </c>
      <c r="H4374">
        <v>0.98</v>
      </c>
      <c r="I4374" s="1">
        <v>1615000</v>
      </c>
      <c r="J4374" s="1">
        <v>1587140</v>
      </c>
      <c r="K4374">
        <v>33</v>
      </c>
      <c r="L4374">
        <v>0.95</v>
      </c>
      <c r="M4374">
        <v>0.97</v>
      </c>
      <c r="N4374" s="1">
        <v>10000000</v>
      </c>
      <c r="O4374">
        <v>0.97</v>
      </c>
      <c r="P4374">
        <v>2.09</v>
      </c>
      <c r="Q4374">
        <v>0.01</v>
      </c>
    </row>
    <row r="4375" spans="1:17" x14ac:dyDescent="0.25">
      <c r="A4375">
        <v>733303</v>
      </c>
      <c r="B4375" t="s">
        <v>5687</v>
      </c>
      <c r="C4375">
        <v>0.81</v>
      </c>
      <c r="D4375">
        <v>-0.08</v>
      </c>
      <c r="E4375">
        <v>0.9</v>
      </c>
      <c r="F4375">
        <v>0.93</v>
      </c>
      <c r="G4375">
        <v>0.8</v>
      </c>
      <c r="H4375">
        <v>0.89</v>
      </c>
      <c r="I4375" s="1">
        <v>1634000</v>
      </c>
      <c r="J4375" s="1">
        <v>1461030</v>
      </c>
      <c r="K4375">
        <v>27</v>
      </c>
      <c r="L4375">
        <v>0.79</v>
      </c>
      <c r="M4375">
        <v>0.8</v>
      </c>
      <c r="N4375" s="1">
        <v>10000000</v>
      </c>
      <c r="O4375">
        <v>0.81</v>
      </c>
      <c r="P4375">
        <v>1.44</v>
      </c>
      <c r="Q4375">
        <v>0.18</v>
      </c>
    </row>
    <row r="4376" spans="1:17" x14ac:dyDescent="0.25">
      <c r="A4376">
        <v>733304</v>
      </c>
      <c r="B4376" t="s">
        <v>5688</v>
      </c>
      <c r="C4376" t="s">
        <v>78</v>
      </c>
      <c r="D4376" t="s">
        <v>78</v>
      </c>
      <c r="E4376" t="s">
        <v>78</v>
      </c>
      <c r="F4376" t="s">
        <v>78</v>
      </c>
      <c r="G4376" t="s">
        <v>78</v>
      </c>
      <c r="H4376">
        <v>1.47</v>
      </c>
      <c r="I4376" s="1">
        <v>0</v>
      </c>
      <c r="J4376" s="1">
        <v>0</v>
      </c>
      <c r="K4376">
        <v>0</v>
      </c>
      <c r="L4376">
        <v>1.33</v>
      </c>
      <c r="M4376">
        <v>1.43</v>
      </c>
      <c r="N4376" s="1">
        <v>5000000</v>
      </c>
      <c r="O4376">
        <v>1.43</v>
      </c>
      <c r="P4376">
        <v>1.9</v>
      </c>
      <c r="Q4376">
        <v>0.95</v>
      </c>
    </row>
    <row r="4377" spans="1:17" x14ac:dyDescent="0.25">
      <c r="A4377">
        <v>733305</v>
      </c>
      <c r="B4377" t="s">
        <v>5689</v>
      </c>
      <c r="C4377">
        <v>1.64</v>
      </c>
      <c r="D4377">
        <v>-0.06</v>
      </c>
      <c r="E4377">
        <v>1.78</v>
      </c>
      <c r="F4377">
        <v>1.79</v>
      </c>
      <c r="G4377">
        <v>1.62</v>
      </c>
      <c r="H4377">
        <v>1.67</v>
      </c>
      <c r="I4377" s="1">
        <v>368000</v>
      </c>
      <c r="J4377" s="1">
        <v>615370</v>
      </c>
      <c r="K4377">
        <v>19</v>
      </c>
      <c r="L4377">
        <v>1.62</v>
      </c>
      <c r="M4377">
        <v>1.64</v>
      </c>
      <c r="N4377" s="1">
        <v>5000000</v>
      </c>
      <c r="O4377">
        <v>1.64</v>
      </c>
      <c r="P4377">
        <v>3.06</v>
      </c>
      <c r="Q4377">
        <v>0.19</v>
      </c>
    </row>
    <row r="4378" spans="1:17" x14ac:dyDescent="0.25">
      <c r="A4378">
        <v>733306</v>
      </c>
      <c r="B4378" t="s">
        <v>5690</v>
      </c>
      <c r="C4378">
        <v>1.04</v>
      </c>
      <c r="D4378">
        <v>0.04</v>
      </c>
      <c r="E4378">
        <v>1.0900000000000001</v>
      </c>
      <c r="F4378">
        <v>1.1599999999999999</v>
      </c>
      <c r="G4378">
        <v>1.04</v>
      </c>
      <c r="H4378">
        <v>1.1000000000000001</v>
      </c>
      <c r="I4378" s="1">
        <v>591000</v>
      </c>
      <c r="J4378" s="1">
        <v>652190</v>
      </c>
      <c r="K4378">
        <v>26</v>
      </c>
      <c r="L4378">
        <v>1.03</v>
      </c>
      <c r="M4378">
        <v>1.04</v>
      </c>
      <c r="N4378" s="1">
        <v>5000000</v>
      </c>
      <c r="O4378">
        <v>1.04</v>
      </c>
      <c r="P4378">
        <v>1.8</v>
      </c>
      <c r="Q4378">
        <v>0.28000000000000003</v>
      </c>
    </row>
    <row r="4379" spans="1:17" x14ac:dyDescent="0.25">
      <c r="A4379">
        <v>733307</v>
      </c>
      <c r="B4379" t="s">
        <v>5691</v>
      </c>
      <c r="C4379">
        <v>0.96</v>
      </c>
      <c r="D4379">
        <v>7.0000000000000007E-2</v>
      </c>
      <c r="E4379">
        <v>0.98</v>
      </c>
      <c r="F4379">
        <v>1.05</v>
      </c>
      <c r="G4379">
        <v>0.94</v>
      </c>
      <c r="H4379">
        <v>1.01</v>
      </c>
      <c r="I4379" s="1">
        <v>388000</v>
      </c>
      <c r="J4379" s="1">
        <v>391250</v>
      </c>
      <c r="K4379">
        <v>31</v>
      </c>
      <c r="L4379">
        <v>0.92</v>
      </c>
      <c r="M4379">
        <v>0.93</v>
      </c>
      <c r="N4379" s="1">
        <v>5000000</v>
      </c>
      <c r="O4379">
        <v>0.96</v>
      </c>
      <c r="P4379">
        <v>1.91</v>
      </c>
      <c r="Q4379">
        <v>0.01</v>
      </c>
    </row>
    <row r="4380" spans="1:17" x14ac:dyDescent="0.25">
      <c r="A4380">
        <v>733308</v>
      </c>
      <c r="B4380" t="s">
        <v>5692</v>
      </c>
      <c r="C4380">
        <v>0.82</v>
      </c>
      <c r="D4380">
        <v>0.05</v>
      </c>
      <c r="E4380">
        <v>0.85</v>
      </c>
      <c r="F4380">
        <v>0.92</v>
      </c>
      <c r="G4380">
        <v>0.81</v>
      </c>
      <c r="H4380">
        <v>0.86</v>
      </c>
      <c r="I4380" s="1">
        <v>435000</v>
      </c>
      <c r="J4380" s="1">
        <v>372920</v>
      </c>
      <c r="K4380">
        <v>16</v>
      </c>
      <c r="L4380">
        <v>0.8</v>
      </c>
      <c r="M4380">
        <v>0.81</v>
      </c>
      <c r="N4380" s="1">
        <v>5000000</v>
      </c>
      <c r="O4380">
        <v>0.82</v>
      </c>
      <c r="P4380">
        <v>1.96</v>
      </c>
      <c r="Q4380">
        <v>0.01</v>
      </c>
    </row>
    <row r="4381" spans="1:17" x14ac:dyDescent="0.25">
      <c r="A4381">
        <v>733309</v>
      </c>
      <c r="B4381" t="s">
        <v>5693</v>
      </c>
      <c r="C4381">
        <v>1.1200000000000001</v>
      </c>
      <c r="D4381">
        <v>-0.14000000000000001</v>
      </c>
      <c r="E4381">
        <v>1.29</v>
      </c>
      <c r="F4381">
        <v>1.35</v>
      </c>
      <c r="G4381">
        <v>1.08</v>
      </c>
      <c r="H4381">
        <v>1.23</v>
      </c>
      <c r="I4381" s="1">
        <v>256000</v>
      </c>
      <c r="J4381" s="1">
        <v>314220</v>
      </c>
      <c r="K4381">
        <v>21</v>
      </c>
      <c r="L4381">
        <v>1.1299999999999999</v>
      </c>
      <c r="M4381">
        <v>1.1399999999999999</v>
      </c>
      <c r="N4381" s="1">
        <v>5000000</v>
      </c>
      <c r="O4381">
        <v>1.1200000000000001</v>
      </c>
      <c r="P4381">
        <v>3.92</v>
      </c>
      <c r="Q4381">
        <v>0.01</v>
      </c>
    </row>
    <row r="4382" spans="1:17" x14ac:dyDescent="0.25">
      <c r="A4382">
        <v>733310</v>
      </c>
      <c r="B4382" t="s">
        <v>5694</v>
      </c>
      <c r="C4382">
        <v>0.6</v>
      </c>
      <c r="D4382">
        <v>-0.01</v>
      </c>
      <c r="E4382">
        <v>0.6</v>
      </c>
      <c r="F4382">
        <v>0.6</v>
      </c>
      <c r="G4382">
        <v>0.57999999999999996</v>
      </c>
      <c r="H4382">
        <v>0.59</v>
      </c>
      <c r="I4382" s="1">
        <v>36000</v>
      </c>
      <c r="J4382" s="1">
        <v>21410</v>
      </c>
      <c r="K4382">
        <v>5</v>
      </c>
      <c r="L4382">
        <v>0.6</v>
      </c>
      <c r="M4382">
        <v>0.61</v>
      </c>
      <c r="N4382" s="1">
        <v>5000000</v>
      </c>
      <c r="O4382">
        <v>0.6</v>
      </c>
      <c r="P4382">
        <v>1.76</v>
      </c>
      <c r="Q4382">
        <v>0.01</v>
      </c>
    </row>
    <row r="4383" spans="1:17" x14ac:dyDescent="0.25">
      <c r="A4383">
        <v>733311</v>
      </c>
      <c r="B4383" t="s">
        <v>5695</v>
      </c>
      <c r="C4383">
        <v>0.83</v>
      </c>
      <c r="D4383">
        <v>-0.08</v>
      </c>
      <c r="E4383">
        <v>0.82</v>
      </c>
      <c r="F4383">
        <v>0.85</v>
      </c>
      <c r="G4383">
        <v>0.8</v>
      </c>
      <c r="H4383">
        <v>0.85</v>
      </c>
      <c r="I4383" s="1">
        <v>221000</v>
      </c>
      <c r="J4383" s="1">
        <v>187250</v>
      </c>
      <c r="K4383">
        <v>5</v>
      </c>
      <c r="L4383">
        <v>0.82</v>
      </c>
      <c r="M4383">
        <v>0.84</v>
      </c>
      <c r="N4383" s="1">
        <v>5000000</v>
      </c>
      <c r="O4383">
        <v>0.83</v>
      </c>
      <c r="P4383">
        <v>1.99</v>
      </c>
      <c r="Q4383">
        <v>0.01</v>
      </c>
    </row>
    <row r="4384" spans="1:17" x14ac:dyDescent="0.25">
      <c r="A4384">
        <v>733312</v>
      </c>
      <c r="B4384" t="s">
        <v>5696</v>
      </c>
      <c r="C4384">
        <v>0.85</v>
      </c>
      <c r="D4384">
        <v>0.02</v>
      </c>
      <c r="E4384">
        <v>0.85</v>
      </c>
      <c r="F4384">
        <v>0.9</v>
      </c>
      <c r="G4384">
        <v>0.84</v>
      </c>
      <c r="H4384">
        <v>0.87</v>
      </c>
      <c r="I4384" s="1">
        <v>190000</v>
      </c>
      <c r="J4384" s="1">
        <v>165540</v>
      </c>
      <c r="K4384">
        <v>13</v>
      </c>
      <c r="L4384">
        <v>0.83</v>
      </c>
      <c r="M4384">
        <v>0.85</v>
      </c>
      <c r="N4384" s="1">
        <v>10000000</v>
      </c>
      <c r="O4384">
        <v>0.85</v>
      </c>
      <c r="P4384">
        <v>1.4</v>
      </c>
      <c r="Q4384">
        <v>0.3</v>
      </c>
    </row>
    <row r="4385" spans="1:17" x14ac:dyDescent="0.25">
      <c r="A4385">
        <v>733313</v>
      </c>
      <c r="B4385" t="s">
        <v>5697</v>
      </c>
      <c r="C4385">
        <v>2.1800000000000002</v>
      </c>
      <c r="D4385">
        <v>-0.01</v>
      </c>
      <c r="E4385">
        <v>2.1800000000000002</v>
      </c>
      <c r="F4385">
        <v>2.1800000000000002</v>
      </c>
      <c r="G4385">
        <v>2.1800000000000002</v>
      </c>
      <c r="H4385">
        <v>2.1800000000000002</v>
      </c>
      <c r="I4385" s="1">
        <v>10000</v>
      </c>
      <c r="J4385" s="1">
        <v>21800</v>
      </c>
      <c r="K4385">
        <v>1</v>
      </c>
      <c r="L4385">
        <v>2.1</v>
      </c>
      <c r="M4385">
        <v>2.12</v>
      </c>
      <c r="N4385" s="1">
        <v>5000000</v>
      </c>
      <c r="O4385">
        <v>2.1800000000000002</v>
      </c>
      <c r="P4385">
        <v>3.32</v>
      </c>
      <c r="Q4385">
        <v>1.02</v>
      </c>
    </row>
    <row r="4386" spans="1:17" x14ac:dyDescent="0.25">
      <c r="A4386">
        <v>733314</v>
      </c>
      <c r="B4386" t="s">
        <v>5698</v>
      </c>
      <c r="C4386" t="s">
        <v>78</v>
      </c>
      <c r="D4386" t="s">
        <v>78</v>
      </c>
      <c r="E4386" t="s">
        <v>78</v>
      </c>
      <c r="F4386" t="s">
        <v>78</v>
      </c>
      <c r="G4386" t="s">
        <v>78</v>
      </c>
      <c r="H4386">
        <v>0.32</v>
      </c>
      <c r="I4386" s="1">
        <v>0</v>
      </c>
      <c r="J4386" s="1">
        <v>0</v>
      </c>
      <c r="K4386">
        <v>0</v>
      </c>
      <c r="L4386">
        <v>0.32</v>
      </c>
      <c r="M4386">
        <v>0.33</v>
      </c>
      <c r="N4386" s="1">
        <v>5000000</v>
      </c>
      <c r="O4386">
        <v>0.32</v>
      </c>
      <c r="P4386">
        <v>0.99</v>
      </c>
      <c r="Q4386">
        <v>0.01</v>
      </c>
    </row>
    <row r="4387" spans="1:17" x14ac:dyDescent="0.25">
      <c r="A4387">
        <v>733315</v>
      </c>
      <c r="B4387" t="s">
        <v>5699</v>
      </c>
      <c r="C4387">
        <v>0.5</v>
      </c>
      <c r="D4387">
        <v>0.03</v>
      </c>
      <c r="E4387">
        <v>0.5</v>
      </c>
      <c r="F4387">
        <v>0.5</v>
      </c>
      <c r="G4387">
        <v>0.5</v>
      </c>
      <c r="H4387">
        <v>0.5</v>
      </c>
      <c r="I4387" s="1">
        <v>10000</v>
      </c>
      <c r="J4387" s="1">
        <v>5000</v>
      </c>
      <c r="K4387">
        <v>1</v>
      </c>
      <c r="L4387">
        <v>0.51</v>
      </c>
      <c r="M4387">
        <v>0.52</v>
      </c>
      <c r="N4387" s="1">
        <v>5000000</v>
      </c>
      <c r="O4387">
        <v>0.5</v>
      </c>
      <c r="P4387">
        <v>1.7</v>
      </c>
      <c r="Q4387">
        <v>0.01</v>
      </c>
    </row>
    <row r="4388" spans="1:17" x14ac:dyDescent="0.25">
      <c r="A4388">
        <v>733316</v>
      </c>
      <c r="B4388" t="s">
        <v>5700</v>
      </c>
      <c r="C4388">
        <v>0.31</v>
      </c>
      <c r="D4388">
        <v>0</v>
      </c>
      <c r="E4388">
        <v>0.31</v>
      </c>
      <c r="F4388">
        <v>0.31</v>
      </c>
      <c r="G4388">
        <v>0.31</v>
      </c>
      <c r="H4388">
        <v>0.31</v>
      </c>
      <c r="I4388" s="1">
        <v>10000</v>
      </c>
      <c r="J4388" s="1">
        <v>3100</v>
      </c>
      <c r="K4388">
        <v>4</v>
      </c>
      <c r="L4388">
        <v>0.31</v>
      </c>
      <c r="M4388">
        <v>0.32</v>
      </c>
      <c r="N4388" s="1">
        <v>5000000</v>
      </c>
      <c r="O4388">
        <v>0.31</v>
      </c>
      <c r="P4388">
        <v>0.69</v>
      </c>
      <c r="Q4388">
        <v>0.01</v>
      </c>
    </row>
    <row r="4389" spans="1:17" x14ac:dyDescent="0.25">
      <c r="A4389">
        <v>733317</v>
      </c>
      <c r="B4389" t="s">
        <v>5701</v>
      </c>
      <c r="C4389">
        <v>0.45</v>
      </c>
      <c r="D4389">
        <v>0</v>
      </c>
      <c r="E4389">
        <v>0.46</v>
      </c>
      <c r="F4389">
        <v>0.48</v>
      </c>
      <c r="G4389">
        <v>0.44</v>
      </c>
      <c r="H4389">
        <v>0.46</v>
      </c>
      <c r="I4389" s="1">
        <v>136000</v>
      </c>
      <c r="J4389" s="1">
        <v>62170</v>
      </c>
      <c r="K4389">
        <v>10</v>
      </c>
      <c r="L4389">
        <v>0.44</v>
      </c>
      <c r="M4389">
        <v>0.45</v>
      </c>
      <c r="N4389" s="1">
        <v>5000000</v>
      </c>
      <c r="O4389">
        <v>0.45</v>
      </c>
      <c r="P4389">
        <v>1.04</v>
      </c>
      <c r="Q4389">
        <v>0.01</v>
      </c>
    </row>
    <row r="4390" spans="1:17" x14ac:dyDescent="0.25">
      <c r="A4390">
        <v>733318</v>
      </c>
      <c r="B4390" t="s">
        <v>5702</v>
      </c>
      <c r="C4390" t="s">
        <v>78</v>
      </c>
      <c r="D4390" t="s">
        <v>78</v>
      </c>
      <c r="E4390" t="s">
        <v>78</v>
      </c>
      <c r="F4390" t="s">
        <v>78</v>
      </c>
      <c r="G4390" t="s">
        <v>78</v>
      </c>
      <c r="H4390">
        <v>0.43</v>
      </c>
      <c r="I4390" s="1">
        <v>0</v>
      </c>
      <c r="J4390" s="1">
        <v>0</v>
      </c>
      <c r="K4390">
        <v>0</v>
      </c>
      <c r="L4390">
        <v>0.43</v>
      </c>
      <c r="M4390">
        <v>0.44</v>
      </c>
      <c r="N4390" s="1">
        <v>5000000</v>
      </c>
      <c r="O4390">
        <v>0.43</v>
      </c>
      <c r="P4390">
        <v>0.87</v>
      </c>
      <c r="Q4390">
        <v>0.01</v>
      </c>
    </row>
    <row r="4391" spans="1:17" x14ac:dyDescent="0.25">
      <c r="A4391">
        <v>733319</v>
      </c>
      <c r="B4391" t="s">
        <v>5703</v>
      </c>
      <c r="C4391">
        <v>0.63</v>
      </c>
      <c r="D4391">
        <v>-0.03</v>
      </c>
      <c r="E4391">
        <v>0.62</v>
      </c>
      <c r="F4391">
        <v>0.63</v>
      </c>
      <c r="G4391">
        <v>0.61</v>
      </c>
      <c r="H4391">
        <v>0.62</v>
      </c>
      <c r="I4391" s="1">
        <v>166000</v>
      </c>
      <c r="J4391" s="1">
        <v>103060</v>
      </c>
      <c r="K4391">
        <v>3</v>
      </c>
      <c r="L4391">
        <v>0.62</v>
      </c>
      <c r="M4391">
        <v>0.64</v>
      </c>
      <c r="N4391" s="1">
        <v>5000000</v>
      </c>
      <c r="O4391">
        <v>0.63</v>
      </c>
      <c r="P4391">
        <v>1.84</v>
      </c>
      <c r="Q4391">
        <v>0.01</v>
      </c>
    </row>
    <row r="4392" spans="1:17" x14ac:dyDescent="0.25">
      <c r="A4392">
        <v>733320</v>
      </c>
      <c r="B4392" t="s">
        <v>5704</v>
      </c>
      <c r="C4392">
        <v>0.72</v>
      </c>
      <c r="D4392">
        <v>-0.01</v>
      </c>
      <c r="E4392">
        <v>0.72</v>
      </c>
      <c r="F4392">
        <v>0.72</v>
      </c>
      <c r="G4392">
        <v>0.7</v>
      </c>
      <c r="H4392">
        <v>0.71</v>
      </c>
      <c r="I4392" s="1">
        <v>117000</v>
      </c>
      <c r="J4392" s="1">
        <v>83220</v>
      </c>
      <c r="K4392">
        <v>8</v>
      </c>
      <c r="L4392">
        <v>0.71</v>
      </c>
      <c r="M4392">
        <v>0.72</v>
      </c>
      <c r="N4392" s="1">
        <v>10000000</v>
      </c>
      <c r="O4392">
        <v>0.72</v>
      </c>
      <c r="P4392">
        <v>1.65</v>
      </c>
      <c r="Q4392">
        <v>0.01</v>
      </c>
    </row>
    <row r="4393" spans="1:17" x14ac:dyDescent="0.25">
      <c r="A4393">
        <v>733321</v>
      </c>
      <c r="B4393" t="s">
        <v>5705</v>
      </c>
      <c r="C4393">
        <v>0.56999999999999995</v>
      </c>
      <c r="D4393">
        <v>0.03</v>
      </c>
      <c r="E4393">
        <v>0.56999999999999995</v>
      </c>
      <c r="F4393">
        <v>0.61</v>
      </c>
      <c r="G4393">
        <v>0.56999999999999995</v>
      </c>
      <c r="H4393">
        <v>0.57999999999999996</v>
      </c>
      <c r="I4393" s="1">
        <v>1122000</v>
      </c>
      <c r="J4393" s="1">
        <v>650740</v>
      </c>
      <c r="K4393">
        <v>12</v>
      </c>
      <c r="L4393">
        <v>0.56999999999999995</v>
      </c>
      <c r="M4393">
        <v>0.57999999999999996</v>
      </c>
      <c r="N4393" s="1">
        <v>10000000</v>
      </c>
      <c r="O4393">
        <v>0.56999999999999995</v>
      </c>
      <c r="P4393">
        <v>1.08</v>
      </c>
      <c r="Q4393">
        <v>0.06</v>
      </c>
    </row>
    <row r="4394" spans="1:17" x14ac:dyDescent="0.25">
      <c r="A4394">
        <v>733322</v>
      </c>
      <c r="B4394" t="s">
        <v>5706</v>
      </c>
      <c r="C4394">
        <v>1.25</v>
      </c>
      <c r="D4394">
        <v>0</v>
      </c>
      <c r="E4394">
        <v>1.28</v>
      </c>
      <c r="F4394">
        <v>1.28</v>
      </c>
      <c r="G4394">
        <v>1.25</v>
      </c>
      <c r="H4394">
        <v>1.26</v>
      </c>
      <c r="I4394" s="1">
        <v>30000</v>
      </c>
      <c r="J4394" s="1">
        <v>37800</v>
      </c>
      <c r="K4394">
        <v>2</v>
      </c>
      <c r="L4394">
        <v>1.21</v>
      </c>
      <c r="M4394">
        <v>1.24</v>
      </c>
      <c r="N4394" s="1">
        <v>10000000</v>
      </c>
      <c r="O4394">
        <v>1.25</v>
      </c>
      <c r="P4394">
        <v>1.81</v>
      </c>
      <c r="Q4394">
        <v>0.69</v>
      </c>
    </row>
    <row r="4395" spans="1:17" x14ac:dyDescent="0.25">
      <c r="A4395">
        <v>733323</v>
      </c>
      <c r="B4395" t="s">
        <v>5707</v>
      </c>
      <c r="C4395">
        <v>1.67</v>
      </c>
      <c r="D4395">
        <v>0.01</v>
      </c>
      <c r="E4395">
        <v>1.63</v>
      </c>
      <c r="F4395">
        <v>1.73</v>
      </c>
      <c r="G4395">
        <v>1.63</v>
      </c>
      <c r="H4395">
        <v>1.7</v>
      </c>
      <c r="I4395" s="1">
        <v>38000</v>
      </c>
      <c r="J4395" s="1">
        <v>64680</v>
      </c>
      <c r="K4395">
        <v>8</v>
      </c>
      <c r="L4395">
        <v>1.57</v>
      </c>
      <c r="M4395">
        <v>1.6</v>
      </c>
      <c r="N4395" s="1">
        <v>5500000</v>
      </c>
      <c r="O4395">
        <v>1.67</v>
      </c>
      <c r="P4395">
        <v>2.52</v>
      </c>
      <c r="Q4395">
        <v>0.82</v>
      </c>
    </row>
    <row r="4396" spans="1:17" x14ac:dyDescent="0.25">
      <c r="A4396">
        <v>733324</v>
      </c>
      <c r="B4396" t="s">
        <v>5708</v>
      </c>
      <c r="C4396">
        <v>0.82</v>
      </c>
      <c r="D4396">
        <v>0.03</v>
      </c>
      <c r="E4396">
        <v>0.81</v>
      </c>
      <c r="F4396">
        <v>0.87</v>
      </c>
      <c r="G4396">
        <v>0.81</v>
      </c>
      <c r="H4396">
        <v>0.84</v>
      </c>
      <c r="I4396" s="1">
        <v>219000</v>
      </c>
      <c r="J4396" s="1">
        <v>183680</v>
      </c>
      <c r="K4396">
        <v>9</v>
      </c>
      <c r="L4396">
        <v>0.82</v>
      </c>
      <c r="M4396">
        <v>0.83</v>
      </c>
      <c r="N4396" s="1">
        <v>10000000</v>
      </c>
      <c r="O4396">
        <v>0.82</v>
      </c>
      <c r="P4396">
        <v>1.33</v>
      </c>
      <c r="Q4396">
        <v>0.31</v>
      </c>
    </row>
    <row r="4397" spans="1:17" x14ac:dyDescent="0.25">
      <c r="A4397">
        <v>733325</v>
      </c>
      <c r="B4397" t="s">
        <v>5709</v>
      </c>
      <c r="C4397">
        <v>1.73</v>
      </c>
      <c r="D4397">
        <v>-0.03</v>
      </c>
      <c r="E4397">
        <v>1.81</v>
      </c>
      <c r="F4397">
        <v>1.86</v>
      </c>
      <c r="G4397">
        <v>1.68</v>
      </c>
      <c r="H4397">
        <v>1.78</v>
      </c>
      <c r="I4397" s="1">
        <v>1490000</v>
      </c>
      <c r="J4397" s="1">
        <v>2655290</v>
      </c>
      <c r="K4397">
        <v>56</v>
      </c>
      <c r="L4397">
        <v>1.71</v>
      </c>
      <c r="M4397">
        <v>1.72</v>
      </c>
      <c r="N4397" s="1">
        <v>10000000</v>
      </c>
      <c r="O4397">
        <v>1.73</v>
      </c>
      <c r="P4397">
        <v>2.91</v>
      </c>
      <c r="Q4397">
        <v>0.55000000000000004</v>
      </c>
    </row>
    <row r="4398" spans="1:17" x14ac:dyDescent="0.25">
      <c r="A4398">
        <v>733326</v>
      </c>
      <c r="B4398" t="s">
        <v>5710</v>
      </c>
      <c r="C4398">
        <v>0.62</v>
      </c>
      <c r="D4398">
        <v>0</v>
      </c>
      <c r="E4398">
        <v>0.62</v>
      </c>
      <c r="F4398">
        <v>0.62</v>
      </c>
      <c r="G4398">
        <v>0.62</v>
      </c>
      <c r="H4398">
        <v>0.62</v>
      </c>
      <c r="I4398" s="1">
        <v>20000</v>
      </c>
      <c r="J4398" s="1">
        <v>12400</v>
      </c>
      <c r="K4398">
        <v>2</v>
      </c>
      <c r="L4398">
        <v>0.62</v>
      </c>
      <c r="M4398">
        <v>0.63</v>
      </c>
      <c r="N4398" s="1">
        <v>10000000</v>
      </c>
      <c r="O4398">
        <v>0.62</v>
      </c>
      <c r="P4398">
        <v>1.01</v>
      </c>
      <c r="Q4398">
        <v>0.23</v>
      </c>
    </row>
    <row r="4399" spans="1:17" x14ac:dyDescent="0.25">
      <c r="A4399">
        <v>733327</v>
      </c>
      <c r="B4399" t="s">
        <v>5711</v>
      </c>
      <c r="C4399" t="s">
        <v>78</v>
      </c>
      <c r="D4399" t="s">
        <v>78</v>
      </c>
      <c r="E4399" t="s">
        <v>78</v>
      </c>
      <c r="F4399" t="s">
        <v>78</v>
      </c>
      <c r="G4399" t="s">
        <v>78</v>
      </c>
      <c r="H4399">
        <v>0.85</v>
      </c>
      <c r="I4399" s="1">
        <v>0</v>
      </c>
      <c r="J4399" s="1">
        <v>0</v>
      </c>
      <c r="K4399">
        <v>0</v>
      </c>
      <c r="L4399">
        <v>0.93</v>
      </c>
      <c r="M4399">
        <v>0.94</v>
      </c>
      <c r="N4399" s="1">
        <v>20000000</v>
      </c>
      <c r="O4399">
        <v>0.93</v>
      </c>
      <c r="P4399">
        <v>2.0299999999999998</v>
      </c>
      <c r="Q4399">
        <v>0.01</v>
      </c>
    </row>
    <row r="4400" spans="1:17" x14ac:dyDescent="0.25">
      <c r="A4400">
        <v>733328</v>
      </c>
      <c r="B4400" t="s">
        <v>5712</v>
      </c>
      <c r="C4400">
        <v>1.1200000000000001</v>
      </c>
      <c r="D4400">
        <v>-0.02</v>
      </c>
      <c r="E4400">
        <v>1.23</v>
      </c>
      <c r="F4400">
        <v>1.23</v>
      </c>
      <c r="G4400">
        <v>1.1200000000000001</v>
      </c>
      <c r="H4400">
        <v>1.17</v>
      </c>
      <c r="I4400" s="1">
        <v>452000</v>
      </c>
      <c r="J4400" s="1">
        <v>528220</v>
      </c>
      <c r="K4400">
        <v>19</v>
      </c>
      <c r="L4400">
        <v>1.1000000000000001</v>
      </c>
      <c r="M4400">
        <v>1.1299999999999999</v>
      </c>
      <c r="N4400" s="1">
        <v>10000000</v>
      </c>
      <c r="O4400">
        <v>1.1200000000000001</v>
      </c>
      <c r="P4400">
        <v>2.09</v>
      </c>
      <c r="Q4400">
        <v>0.14000000000000001</v>
      </c>
    </row>
    <row r="4401" spans="1:17" x14ac:dyDescent="0.25">
      <c r="A4401">
        <v>733329</v>
      </c>
      <c r="B4401" t="s">
        <v>5713</v>
      </c>
      <c r="C4401" t="s">
        <v>78</v>
      </c>
      <c r="D4401" t="s">
        <v>78</v>
      </c>
      <c r="E4401" t="s">
        <v>78</v>
      </c>
      <c r="F4401" t="s">
        <v>78</v>
      </c>
      <c r="G4401" t="s">
        <v>78</v>
      </c>
      <c r="H4401">
        <v>0.5</v>
      </c>
      <c r="I4401" s="1">
        <v>0</v>
      </c>
      <c r="J4401" s="1">
        <v>0</v>
      </c>
      <c r="K4401">
        <v>0</v>
      </c>
      <c r="L4401">
        <v>0.5</v>
      </c>
      <c r="M4401">
        <v>0.51</v>
      </c>
      <c r="N4401" s="1">
        <v>5000000</v>
      </c>
      <c r="O4401">
        <v>0.5</v>
      </c>
      <c r="P4401">
        <v>1.44</v>
      </c>
      <c r="Q4401">
        <v>0.01</v>
      </c>
    </row>
    <row r="4402" spans="1:17" x14ac:dyDescent="0.25">
      <c r="A4402">
        <v>733330</v>
      </c>
      <c r="B4402" t="s">
        <v>5714</v>
      </c>
      <c r="C4402">
        <v>0.09</v>
      </c>
      <c r="D4402">
        <v>-0.01</v>
      </c>
      <c r="E4402">
        <v>0.09</v>
      </c>
      <c r="F4402">
        <v>0.09</v>
      </c>
      <c r="G4402">
        <v>0.09</v>
      </c>
      <c r="H4402">
        <v>0.09</v>
      </c>
      <c r="I4402" s="1">
        <v>34000</v>
      </c>
      <c r="J4402" s="1">
        <v>3060</v>
      </c>
      <c r="K4402">
        <v>5</v>
      </c>
      <c r="L4402">
        <v>0.08</v>
      </c>
      <c r="M4402">
        <v>0.09</v>
      </c>
      <c r="N4402" s="1">
        <v>5000000</v>
      </c>
      <c r="O4402">
        <v>0.09</v>
      </c>
      <c r="P4402">
        <v>0.36</v>
      </c>
      <c r="Q4402">
        <v>0.01</v>
      </c>
    </row>
    <row r="4403" spans="1:17" x14ac:dyDescent="0.25">
      <c r="A4403">
        <v>733331</v>
      </c>
      <c r="B4403" t="s">
        <v>5715</v>
      </c>
      <c r="C4403">
        <v>0.42</v>
      </c>
      <c r="D4403">
        <v>0.02</v>
      </c>
      <c r="E4403">
        <v>0.43</v>
      </c>
      <c r="F4403">
        <v>0.46</v>
      </c>
      <c r="G4403">
        <v>0.42</v>
      </c>
      <c r="H4403">
        <v>0.43</v>
      </c>
      <c r="I4403" s="1">
        <v>340000</v>
      </c>
      <c r="J4403" s="1">
        <v>147660</v>
      </c>
      <c r="K4403">
        <v>19</v>
      </c>
      <c r="L4403">
        <v>0.42</v>
      </c>
      <c r="M4403">
        <v>0.43</v>
      </c>
      <c r="N4403" s="1">
        <v>10000000</v>
      </c>
      <c r="O4403">
        <v>0.42</v>
      </c>
      <c r="P4403">
        <v>1.05</v>
      </c>
      <c r="Q4403">
        <v>0.01</v>
      </c>
    </row>
    <row r="4404" spans="1:17" x14ac:dyDescent="0.25">
      <c r="A4404">
        <v>733332</v>
      </c>
      <c r="B4404" t="s">
        <v>5716</v>
      </c>
      <c r="C4404">
        <v>0.49</v>
      </c>
      <c r="D4404">
        <v>0.01</v>
      </c>
      <c r="E4404">
        <v>0.49</v>
      </c>
      <c r="F4404">
        <v>0.49</v>
      </c>
      <c r="G4404">
        <v>0.49</v>
      </c>
      <c r="H4404">
        <v>0.49</v>
      </c>
      <c r="I4404" s="1">
        <v>10000</v>
      </c>
      <c r="J4404" s="1">
        <v>4900</v>
      </c>
      <c r="K4404">
        <v>1</v>
      </c>
      <c r="L4404">
        <v>0.47</v>
      </c>
      <c r="M4404">
        <v>0.48</v>
      </c>
      <c r="N4404" s="1">
        <v>10000000</v>
      </c>
      <c r="O4404">
        <v>0.49</v>
      </c>
      <c r="P4404">
        <v>2.92</v>
      </c>
      <c r="Q4404">
        <v>0.01</v>
      </c>
    </row>
    <row r="4405" spans="1:17" x14ac:dyDescent="0.25">
      <c r="A4405">
        <v>733333</v>
      </c>
      <c r="B4405" t="s">
        <v>5717</v>
      </c>
      <c r="C4405">
        <v>1.1000000000000001</v>
      </c>
      <c r="D4405">
        <v>-0.08</v>
      </c>
      <c r="E4405">
        <v>1.1499999999999999</v>
      </c>
      <c r="F4405">
        <v>1.24</v>
      </c>
      <c r="G4405">
        <v>1.1000000000000001</v>
      </c>
      <c r="H4405">
        <v>1.18</v>
      </c>
      <c r="I4405" s="1">
        <v>1861000</v>
      </c>
      <c r="J4405" s="1">
        <v>2195490</v>
      </c>
      <c r="K4405">
        <v>29</v>
      </c>
      <c r="L4405">
        <v>1.1200000000000001</v>
      </c>
      <c r="M4405">
        <v>1.1299999999999999</v>
      </c>
      <c r="N4405" s="1">
        <v>10000000</v>
      </c>
      <c r="O4405">
        <v>1.1000000000000001</v>
      </c>
      <c r="P4405">
        <v>2.2200000000000002</v>
      </c>
      <c r="Q4405">
        <v>0.01</v>
      </c>
    </row>
    <row r="4406" spans="1:17" x14ac:dyDescent="0.25">
      <c r="A4406">
        <v>733334</v>
      </c>
      <c r="B4406" t="s">
        <v>5718</v>
      </c>
      <c r="C4406">
        <v>0.98</v>
      </c>
      <c r="D4406">
        <v>0.09</v>
      </c>
      <c r="E4406">
        <v>1.02</v>
      </c>
      <c r="F4406">
        <v>1.1000000000000001</v>
      </c>
      <c r="G4406">
        <v>0.98</v>
      </c>
      <c r="H4406">
        <v>1.03</v>
      </c>
      <c r="I4406" s="1">
        <v>284000</v>
      </c>
      <c r="J4406" s="1">
        <v>293640</v>
      </c>
      <c r="K4406">
        <v>4</v>
      </c>
      <c r="L4406">
        <v>0.94</v>
      </c>
      <c r="M4406">
        <v>0.95</v>
      </c>
      <c r="N4406" s="1">
        <v>10000000</v>
      </c>
      <c r="O4406">
        <v>0.98</v>
      </c>
      <c r="P4406">
        <v>2.88</v>
      </c>
      <c r="Q4406">
        <v>0.01</v>
      </c>
    </row>
    <row r="4407" spans="1:17" x14ac:dyDescent="0.25">
      <c r="A4407">
        <v>733335</v>
      </c>
      <c r="B4407" t="s">
        <v>5719</v>
      </c>
      <c r="C4407">
        <v>0.93</v>
      </c>
      <c r="D4407">
        <v>7.0000000000000007E-2</v>
      </c>
      <c r="E4407">
        <v>0.83</v>
      </c>
      <c r="F4407">
        <v>0.93</v>
      </c>
      <c r="G4407">
        <v>0.82</v>
      </c>
      <c r="H4407">
        <v>0.85</v>
      </c>
      <c r="I4407" s="1">
        <v>348000</v>
      </c>
      <c r="J4407" s="1">
        <v>296940</v>
      </c>
      <c r="K4407">
        <v>12</v>
      </c>
      <c r="L4407">
        <v>0.89</v>
      </c>
      <c r="M4407">
        <v>0.9</v>
      </c>
      <c r="N4407" s="1">
        <v>5000000</v>
      </c>
      <c r="O4407">
        <v>0.93</v>
      </c>
      <c r="P4407">
        <v>2.44</v>
      </c>
      <c r="Q4407">
        <v>0.01</v>
      </c>
    </row>
    <row r="4408" spans="1:17" x14ac:dyDescent="0.25">
      <c r="A4408">
        <v>733336</v>
      </c>
      <c r="B4408" t="s">
        <v>5720</v>
      </c>
      <c r="C4408" t="s">
        <v>78</v>
      </c>
      <c r="D4408" t="s">
        <v>78</v>
      </c>
      <c r="E4408" t="s">
        <v>78</v>
      </c>
      <c r="F4408" t="s">
        <v>78</v>
      </c>
      <c r="G4408" t="s">
        <v>78</v>
      </c>
      <c r="H4408">
        <v>0.09</v>
      </c>
      <c r="I4408" s="1">
        <v>0</v>
      </c>
      <c r="J4408" s="1">
        <v>0</v>
      </c>
      <c r="K4408">
        <v>0</v>
      </c>
      <c r="L4408">
        <v>7.0000000000000007E-2</v>
      </c>
      <c r="M4408">
        <v>0.09</v>
      </c>
      <c r="N4408" s="1">
        <v>5000000</v>
      </c>
      <c r="O4408">
        <v>0.08</v>
      </c>
      <c r="P4408">
        <v>0.44</v>
      </c>
      <c r="Q4408">
        <v>0.01</v>
      </c>
    </row>
    <row r="4409" spans="1:17" x14ac:dyDescent="0.25">
      <c r="A4409">
        <v>733337</v>
      </c>
      <c r="B4409" t="s">
        <v>5721</v>
      </c>
      <c r="C4409">
        <v>0.67</v>
      </c>
      <c r="D4409">
        <v>0.02</v>
      </c>
      <c r="E4409">
        <v>0.74</v>
      </c>
      <c r="F4409">
        <v>0.74</v>
      </c>
      <c r="G4409">
        <v>0.67</v>
      </c>
      <c r="H4409">
        <v>0.72</v>
      </c>
      <c r="I4409" s="1">
        <v>479000</v>
      </c>
      <c r="J4409" s="1">
        <v>346910</v>
      </c>
      <c r="K4409">
        <v>12</v>
      </c>
      <c r="L4409">
        <v>0.66</v>
      </c>
      <c r="M4409">
        <v>0.68</v>
      </c>
      <c r="N4409" s="1">
        <v>5266000</v>
      </c>
      <c r="O4409">
        <v>0.67</v>
      </c>
      <c r="P4409">
        <v>1.83</v>
      </c>
      <c r="Q4409">
        <v>0.01</v>
      </c>
    </row>
    <row r="4410" spans="1:17" x14ac:dyDescent="0.25">
      <c r="A4410">
        <v>733338</v>
      </c>
      <c r="B4410" t="s">
        <v>5722</v>
      </c>
      <c r="C4410" t="s">
        <v>78</v>
      </c>
      <c r="D4410" t="s">
        <v>78</v>
      </c>
      <c r="E4410" t="s">
        <v>78</v>
      </c>
      <c r="F4410" t="s">
        <v>78</v>
      </c>
      <c r="G4410" t="s">
        <v>78</v>
      </c>
      <c r="H4410">
        <v>0.31</v>
      </c>
      <c r="I4410" s="1">
        <v>0</v>
      </c>
      <c r="J4410" s="1">
        <v>0</v>
      </c>
      <c r="K4410">
        <v>0</v>
      </c>
      <c r="L4410">
        <v>0.31</v>
      </c>
      <c r="M4410">
        <v>0.32</v>
      </c>
      <c r="N4410" s="1">
        <v>5000000</v>
      </c>
      <c r="O4410">
        <v>0.32</v>
      </c>
      <c r="P4410">
        <v>0.73</v>
      </c>
      <c r="Q4410">
        <v>0.01</v>
      </c>
    </row>
    <row r="4411" spans="1:17" x14ac:dyDescent="0.25">
      <c r="A4411">
        <v>733339</v>
      </c>
      <c r="B4411" t="s">
        <v>5723</v>
      </c>
      <c r="C4411">
        <v>0.47</v>
      </c>
      <c r="D4411">
        <v>0.01</v>
      </c>
      <c r="E4411">
        <v>0.47</v>
      </c>
      <c r="F4411">
        <v>0.47</v>
      </c>
      <c r="G4411">
        <v>0.47</v>
      </c>
      <c r="H4411">
        <v>0.47</v>
      </c>
      <c r="I4411" s="1">
        <v>40000</v>
      </c>
      <c r="J4411" s="1">
        <v>18800</v>
      </c>
      <c r="K4411">
        <v>2</v>
      </c>
      <c r="L4411">
        <v>0.46</v>
      </c>
      <c r="M4411">
        <v>0.47</v>
      </c>
      <c r="N4411" s="1">
        <v>10000000</v>
      </c>
      <c r="O4411">
        <v>0.47</v>
      </c>
      <c r="P4411">
        <v>0.81</v>
      </c>
      <c r="Q4411">
        <v>0.13</v>
      </c>
    </row>
    <row r="4412" spans="1:17" x14ac:dyDescent="0.25">
      <c r="A4412">
        <v>733340</v>
      </c>
      <c r="B4412" t="s">
        <v>5724</v>
      </c>
      <c r="C4412">
        <v>0.42</v>
      </c>
      <c r="D4412">
        <v>-0.01</v>
      </c>
      <c r="E4412">
        <v>0.43</v>
      </c>
      <c r="F4412">
        <v>0.43</v>
      </c>
      <c r="G4412">
        <v>0.41</v>
      </c>
      <c r="H4412">
        <v>0.42</v>
      </c>
      <c r="I4412" s="1">
        <v>438000</v>
      </c>
      <c r="J4412" s="1">
        <v>185000</v>
      </c>
      <c r="K4412">
        <v>9</v>
      </c>
      <c r="L4412">
        <v>0.41</v>
      </c>
      <c r="M4412">
        <v>0.42</v>
      </c>
      <c r="N4412" s="1">
        <v>5000000</v>
      </c>
      <c r="O4412">
        <v>0.42</v>
      </c>
      <c r="P4412">
        <v>1.24</v>
      </c>
      <c r="Q4412">
        <v>0.01</v>
      </c>
    </row>
    <row r="4413" spans="1:17" x14ac:dyDescent="0.25">
      <c r="A4413">
        <v>733341</v>
      </c>
      <c r="B4413" t="s">
        <v>5725</v>
      </c>
      <c r="C4413">
        <v>0.36</v>
      </c>
      <c r="D4413">
        <v>0.02</v>
      </c>
      <c r="E4413">
        <v>0.36</v>
      </c>
      <c r="F4413">
        <v>0.36</v>
      </c>
      <c r="G4413">
        <v>0.36</v>
      </c>
      <c r="H4413">
        <v>0.36</v>
      </c>
      <c r="I4413" s="1">
        <v>747000</v>
      </c>
      <c r="J4413" s="1">
        <v>268920</v>
      </c>
      <c r="K4413">
        <v>6</v>
      </c>
      <c r="L4413">
        <v>0.36</v>
      </c>
      <c r="M4413">
        <v>0.37</v>
      </c>
      <c r="N4413" s="1">
        <v>5000000</v>
      </c>
      <c r="O4413">
        <v>0.36</v>
      </c>
      <c r="P4413">
        <v>0.74</v>
      </c>
      <c r="Q4413">
        <v>0.01</v>
      </c>
    </row>
    <row r="4414" spans="1:17" x14ac:dyDescent="0.25">
      <c r="A4414">
        <v>733342</v>
      </c>
      <c r="B4414" t="s">
        <v>5726</v>
      </c>
      <c r="C4414" t="s">
        <v>78</v>
      </c>
      <c r="D4414" t="s">
        <v>78</v>
      </c>
      <c r="E4414" t="s">
        <v>78</v>
      </c>
      <c r="F4414" t="s">
        <v>78</v>
      </c>
      <c r="G4414" t="s">
        <v>78</v>
      </c>
      <c r="H4414">
        <v>0.57999999999999996</v>
      </c>
      <c r="I4414" s="1">
        <v>0</v>
      </c>
      <c r="J4414" s="1">
        <v>0</v>
      </c>
      <c r="K4414">
        <v>0</v>
      </c>
      <c r="L4414">
        <v>0.7</v>
      </c>
      <c r="M4414">
        <v>0</v>
      </c>
      <c r="N4414" s="1">
        <v>10000000</v>
      </c>
      <c r="O4414">
        <v>0.7</v>
      </c>
      <c r="P4414">
        <v>1.1499999999999999</v>
      </c>
      <c r="Q4414">
        <v>0.25</v>
      </c>
    </row>
    <row r="4415" spans="1:17" x14ac:dyDescent="0.25">
      <c r="A4415">
        <v>733343</v>
      </c>
      <c r="B4415" t="s">
        <v>5727</v>
      </c>
      <c r="C4415">
        <v>0.98</v>
      </c>
      <c r="D4415">
        <v>0</v>
      </c>
      <c r="E4415">
        <v>1</v>
      </c>
      <c r="F4415">
        <v>1</v>
      </c>
      <c r="G4415">
        <v>0.98</v>
      </c>
      <c r="H4415">
        <v>0.99</v>
      </c>
      <c r="I4415" s="1">
        <v>100000</v>
      </c>
      <c r="J4415" s="1">
        <v>99000</v>
      </c>
      <c r="K4415">
        <v>3</v>
      </c>
      <c r="L4415">
        <v>0.97</v>
      </c>
      <c r="M4415">
        <v>0.98</v>
      </c>
      <c r="N4415" s="1">
        <v>10000000</v>
      </c>
      <c r="O4415">
        <v>0.98</v>
      </c>
      <c r="P4415">
        <v>1.47</v>
      </c>
      <c r="Q4415">
        <v>0.49</v>
      </c>
    </row>
    <row r="4416" spans="1:17" x14ac:dyDescent="0.25">
      <c r="A4416">
        <v>733344</v>
      </c>
      <c r="B4416" t="s">
        <v>5728</v>
      </c>
      <c r="C4416">
        <v>0.41</v>
      </c>
      <c r="D4416">
        <v>-0.02</v>
      </c>
      <c r="E4416">
        <v>0.44</v>
      </c>
      <c r="F4416">
        <v>0.44</v>
      </c>
      <c r="G4416">
        <v>0.4</v>
      </c>
      <c r="H4416">
        <v>0.42</v>
      </c>
      <c r="I4416" s="1">
        <v>237000</v>
      </c>
      <c r="J4416" s="1">
        <v>99710</v>
      </c>
      <c r="K4416">
        <v>17</v>
      </c>
      <c r="L4416">
        <v>0.39</v>
      </c>
      <c r="M4416">
        <v>0.4</v>
      </c>
      <c r="N4416" s="1">
        <v>15000000</v>
      </c>
      <c r="O4416">
        <v>0.41</v>
      </c>
      <c r="P4416">
        <v>1.01</v>
      </c>
      <c r="Q4416">
        <v>0.01</v>
      </c>
    </row>
    <row r="4417" spans="1:17" x14ac:dyDescent="0.25">
      <c r="A4417">
        <v>733345</v>
      </c>
      <c r="B4417" t="s">
        <v>5729</v>
      </c>
      <c r="C4417">
        <v>0.96</v>
      </c>
      <c r="D4417">
        <v>-0.05</v>
      </c>
      <c r="E4417">
        <v>0.98</v>
      </c>
      <c r="F4417">
        <v>0.98</v>
      </c>
      <c r="G4417">
        <v>0.96</v>
      </c>
      <c r="H4417">
        <v>0.98</v>
      </c>
      <c r="I4417" s="1">
        <v>40000</v>
      </c>
      <c r="J4417" s="1">
        <v>39100</v>
      </c>
      <c r="K4417">
        <v>5</v>
      </c>
      <c r="L4417">
        <v>0.97</v>
      </c>
      <c r="M4417">
        <v>0.98</v>
      </c>
      <c r="N4417" s="1">
        <v>10000000</v>
      </c>
      <c r="O4417">
        <v>0.96</v>
      </c>
      <c r="P4417">
        <v>2.41</v>
      </c>
      <c r="Q4417">
        <v>0.01</v>
      </c>
    </row>
    <row r="4418" spans="1:17" x14ac:dyDescent="0.25">
      <c r="A4418">
        <v>733346</v>
      </c>
      <c r="B4418" t="s">
        <v>5730</v>
      </c>
      <c r="C4418">
        <v>0.92</v>
      </c>
      <c r="D4418">
        <v>0</v>
      </c>
      <c r="E4418">
        <v>0.92</v>
      </c>
      <c r="F4418">
        <v>0.92</v>
      </c>
      <c r="G4418">
        <v>0.92</v>
      </c>
      <c r="H4418">
        <v>0.92</v>
      </c>
      <c r="I4418" s="1">
        <v>174000</v>
      </c>
      <c r="J4418" s="1">
        <v>160080</v>
      </c>
      <c r="K4418">
        <v>5</v>
      </c>
      <c r="L4418">
        <v>0.92</v>
      </c>
      <c r="M4418">
        <v>0.94</v>
      </c>
      <c r="N4418" s="1">
        <v>10000000</v>
      </c>
      <c r="O4418">
        <v>0.92</v>
      </c>
      <c r="P4418">
        <v>1.38</v>
      </c>
      <c r="Q4418">
        <v>0.46</v>
      </c>
    </row>
    <row r="4419" spans="1:17" x14ac:dyDescent="0.25">
      <c r="A4419">
        <v>733347</v>
      </c>
      <c r="B4419" t="s">
        <v>5731</v>
      </c>
      <c r="C4419">
        <v>0.85</v>
      </c>
      <c r="D4419">
        <v>0</v>
      </c>
      <c r="E4419">
        <v>0.85</v>
      </c>
      <c r="F4419">
        <v>0.85</v>
      </c>
      <c r="G4419">
        <v>0.85</v>
      </c>
      <c r="H4419">
        <v>0.85</v>
      </c>
      <c r="I4419" s="1">
        <v>700000</v>
      </c>
      <c r="J4419" s="1">
        <v>595000</v>
      </c>
      <c r="K4419">
        <v>2</v>
      </c>
      <c r="L4419">
        <v>0.85</v>
      </c>
      <c r="M4419">
        <v>0.86</v>
      </c>
      <c r="N4419" s="1">
        <v>5000000</v>
      </c>
      <c r="O4419">
        <v>0.85</v>
      </c>
      <c r="P4419">
        <v>1.51</v>
      </c>
      <c r="Q4419">
        <v>0.19</v>
      </c>
    </row>
    <row r="4420" spans="1:17" x14ac:dyDescent="0.25">
      <c r="A4420">
        <v>733348</v>
      </c>
      <c r="B4420" t="s">
        <v>5732</v>
      </c>
      <c r="C4420">
        <v>0.76</v>
      </c>
      <c r="D4420">
        <v>-0.04</v>
      </c>
      <c r="E4420">
        <v>0.81</v>
      </c>
      <c r="F4420">
        <v>0.81</v>
      </c>
      <c r="G4420">
        <v>0.75</v>
      </c>
      <c r="H4420">
        <v>0.78</v>
      </c>
      <c r="I4420" s="1">
        <v>124000</v>
      </c>
      <c r="J4420" s="1">
        <v>97280</v>
      </c>
      <c r="K4420">
        <v>9</v>
      </c>
      <c r="L4420">
        <v>0.75</v>
      </c>
      <c r="M4420">
        <v>0.76</v>
      </c>
      <c r="N4420" s="1">
        <v>10000000</v>
      </c>
      <c r="O4420">
        <v>0.76</v>
      </c>
      <c r="P4420">
        <v>1.24</v>
      </c>
      <c r="Q4420">
        <v>0.28000000000000003</v>
      </c>
    </row>
    <row r="4421" spans="1:17" x14ac:dyDescent="0.25">
      <c r="A4421">
        <v>733349</v>
      </c>
      <c r="B4421" t="s">
        <v>5733</v>
      </c>
      <c r="C4421">
        <v>1.34</v>
      </c>
      <c r="D4421">
        <v>0.1</v>
      </c>
      <c r="E4421">
        <v>1.21</v>
      </c>
      <c r="F4421">
        <v>1.36</v>
      </c>
      <c r="G4421">
        <v>1.17</v>
      </c>
      <c r="H4421">
        <v>1.27</v>
      </c>
      <c r="I4421" s="1">
        <v>688000</v>
      </c>
      <c r="J4421" s="1">
        <v>870530</v>
      </c>
      <c r="K4421">
        <v>14</v>
      </c>
      <c r="L4421">
        <v>0.87</v>
      </c>
      <c r="M4421">
        <v>1.39</v>
      </c>
      <c r="N4421" s="1">
        <v>10000000</v>
      </c>
      <c r="O4421">
        <v>1.34</v>
      </c>
      <c r="P4421">
        <v>2.66</v>
      </c>
      <c r="Q4421">
        <v>0.02</v>
      </c>
    </row>
    <row r="4422" spans="1:17" x14ac:dyDescent="0.25">
      <c r="A4422">
        <v>733350</v>
      </c>
      <c r="B4422" t="s">
        <v>5734</v>
      </c>
      <c r="C4422">
        <v>0.94</v>
      </c>
      <c r="D4422">
        <v>0</v>
      </c>
      <c r="E4422">
        <v>0.97</v>
      </c>
      <c r="F4422">
        <v>0.97</v>
      </c>
      <c r="G4422">
        <v>0.93</v>
      </c>
      <c r="H4422">
        <v>0.95</v>
      </c>
      <c r="I4422" s="1">
        <v>677000</v>
      </c>
      <c r="J4422" s="1">
        <v>639900</v>
      </c>
      <c r="K4422">
        <v>8</v>
      </c>
      <c r="L4422">
        <v>0.91</v>
      </c>
      <c r="M4422">
        <v>0.93</v>
      </c>
      <c r="N4422" s="1">
        <v>10000000</v>
      </c>
      <c r="O4422">
        <v>0.94</v>
      </c>
      <c r="P4422">
        <v>1.61</v>
      </c>
      <c r="Q4422">
        <v>0.27</v>
      </c>
    </row>
    <row r="4423" spans="1:17" x14ac:dyDescent="0.25">
      <c r="A4423">
        <v>733351</v>
      </c>
      <c r="B4423" t="s">
        <v>5735</v>
      </c>
      <c r="C4423">
        <v>1.57</v>
      </c>
      <c r="D4423">
        <v>0.03</v>
      </c>
      <c r="E4423">
        <v>1.57</v>
      </c>
      <c r="F4423">
        <v>1.57</v>
      </c>
      <c r="G4423">
        <v>1.53</v>
      </c>
      <c r="H4423">
        <v>1.56</v>
      </c>
      <c r="I4423" s="1">
        <v>393000</v>
      </c>
      <c r="J4423" s="1">
        <v>614410</v>
      </c>
      <c r="K4423">
        <v>8</v>
      </c>
      <c r="L4423">
        <v>1.53</v>
      </c>
      <c r="M4423">
        <v>1.57</v>
      </c>
      <c r="N4423" s="1">
        <v>10000000</v>
      </c>
      <c r="O4423">
        <v>1.57</v>
      </c>
      <c r="P4423">
        <v>3.07</v>
      </c>
      <c r="Q4423">
        <v>0.04</v>
      </c>
    </row>
    <row r="4424" spans="1:17" x14ac:dyDescent="0.25">
      <c r="A4424">
        <v>733352</v>
      </c>
      <c r="B4424" t="s">
        <v>5736</v>
      </c>
      <c r="C4424">
        <v>0.9</v>
      </c>
      <c r="D4424">
        <v>-0.02</v>
      </c>
      <c r="E4424">
        <v>0.95</v>
      </c>
      <c r="F4424">
        <v>0.98</v>
      </c>
      <c r="G4424">
        <v>0.9</v>
      </c>
      <c r="H4424">
        <v>0.93</v>
      </c>
      <c r="I4424" s="1">
        <v>816000</v>
      </c>
      <c r="J4424" s="1">
        <v>761930</v>
      </c>
      <c r="K4424">
        <v>52</v>
      </c>
      <c r="L4424">
        <v>0.9</v>
      </c>
      <c r="M4424">
        <v>0.91</v>
      </c>
      <c r="N4424" s="1">
        <v>5000000</v>
      </c>
      <c r="O4424">
        <v>0.9</v>
      </c>
      <c r="P4424">
        <v>1.4</v>
      </c>
      <c r="Q4424">
        <v>0.4</v>
      </c>
    </row>
    <row r="4425" spans="1:17" x14ac:dyDescent="0.25">
      <c r="A4425">
        <v>733353</v>
      </c>
      <c r="B4425" t="s">
        <v>5737</v>
      </c>
      <c r="C4425">
        <v>0.52</v>
      </c>
      <c r="D4425">
        <v>0.04</v>
      </c>
      <c r="E4425">
        <v>0.48</v>
      </c>
      <c r="F4425">
        <v>0.56999999999999995</v>
      </c>
      <c r="G4425">
        <v>0.42</v>
      </c>
      <c r="H4425">
        <v>0.48</v>
      </c>
      <c r="I4425" s="1">
        <v>1932000</v>
      </c>
      <c r="J4425" s="1">
        <v>926110</v>
      </c>
      <c r="K4425">
        <v>63</v>
      </c>
      <c r="L4425">
        <v>0.5</v>
      </c>
      <c r="M4425">
        <v>0.51</v>
      </c>
      <c r="N4425" s="1">
        <v>10000000</v>
      </c>
      <c r="O4425">
        <v>0.52</v>
      </c>
      <c r="P4425">
        <v>1.84</v>
      </c>
      <c r="Q4425">
        <v>0.01</v>
      </c>
    </row>
    <row r="4426" spans="1:17" x14ac:dyDescent="0.25">
      <c r="A4426">
        <v>733354</v>
      </c>
      <c r="B4426" t="s">
        <v>5738</v>
      </c>
      <c r="C4426" t="s">
        <v>78</v>
      </c>
      <c r="D4426" t="s">
        <v>78</v>
      </c>
      <c r="E4426" t="s">
        <v>78</v>
      </c>
      <c r="F4426" t="s">
        <v>78</v>
      </c>
      <c r="G4426" t="s">
        <v>78</v>
      </c>
      <c r="H4426">
        <v>0.4</v>
      </c>
      <c r="I4426" s="1">
        <v>0</v>
      </c>
      <c r="J4426" s="1">
        <v>0</v>
      </c>
      <c r="K4426">
        <v>0</v>
      </c>
      <c r="L4426">
        <v>0.39</v>
      </c>
      <c r="M4426">
        <v>0.4</v>
      </c>
      <c r="N4426" s="1">
        <v>10000000</v>
      </c>
      <c r="O4426">
        <v>0.4</v>
      </c>
      <c r="P4426">
        <v>0.63</v>
      </c>
      <c r="Q4426">
        <v>0.17</v>
      </c>
    </row>
    <row r="4427" spans="1:17" x14ac:dyDescent="0.25">
      <c r="A4427">
        <v>733355</v>
      </c>
      <c r="B4427" t="s">
        <v>5739</v>
      </c>
      <c r="C4427" t="s">
        <v>78</v>
      </c>
      <c r="D4427" t="s">
        <v>78</v>
      </c>
      <c r="E4427" t="s">
        <v>78</v>
      </c>
      <c r="F4427" t="s">
        <v>78</v>
      </c>
      <c r="G4427" t="s">
        <v>78</v>
      </c>
      <c r="H4427">
        <v>0.8</v>
      </c>
      <c r="I4427" s="1">
        <v>0</v>
      </c>
      <c r="J4427" s="1">
        <v>0</v>
      </c>
      <c r="K4427">
        <v>0</v>
      </c>
      <c r="L4427">
        <v>0.74</v>
      </c>
      <c r="M4427">
        <v>0.84</v>
      </c>
      <c r="N4427" s="1">
        <v>10000000</v>
      </c>
      <c r="O4427">
        <v>0.74</v>
      </c>
      <c r="P4427">
        <v>1.19</v>
      </c>
      <c r="Q4427">
        <v>0.28999999999999998</v>
      </c>
    </row>
    <row r="4428" spans="1:17" x14ac:dyDescent="0.25">
      <c r="A4428">
        <v>733356</v>
      </c>
      <c r="B4428" t="s">
        <v>5740</v>
      </c>
      <c r="C4428">
        <v>0.76</v>
      </c>
      <c r="D4428">
        <v>-0.06</v>
      </c>
      <c r="E4428">
        <v>0.83</v>
      </c>
      <c r="F4428">
        <v>0.88</v>
      </c>
      <c r="G4428">
        <v>0.73</v>
      </c>
      <c r="H4428">
        <v>0.83</v>
      </c>
      <c r="I4428" s="1">
        <v>923000</v>
      </c>
      <c r="J4428" s="1">
        <v>763770</v>
      </c>
      <c r="K4428">
        <v>44</v>
      </c>
      <c r="L4428">
        <v>0.75</v>
      </c>
      <c r="M4428">
        <v>0.76</v>
      </c>
      <c r="N4428" s="1">
        <v>5000000</v>
      </c>
      <c r="O4428">
        <v>0.76</v>
      </c>
      <c r="P4428">
        <v>2.02</v>
      </c>
      <c r="Q4428">
        <v>0.01</v>
      </c>
    </row>
    <row r="4429" spans="1:17" x14ac:dyDescent="0.25">
      <c r="A4429">
        <v>733357</v>
      </c>
      <c r="B4429" t="s">
        <v>5741</v>
      </c>
      <c r="C4429">
        <v>1.26</v>
      </c>
      <c r="D4429">
        <v>0.12</v>
      </c>
      <c r="E4429">
        <v>1.1499999999999999</v>
      </c>
      <c r="F4429">
        <v>1.26</v>
      </c>
      <c r="G4429">
        <v>1.0900000000000001</v>
      </c>
      <c r="H4429">
        <v>1.1499999999999999</v>
      </c>
      <c r="I4429" s="1">
        <v>159000</v>
      </c>
      <c r="J4429" s="1">
        <v>182500</v>
      </c>
      <c r="K4429">
        <v>5</v>
      </c>
      <c r="L4429">
        <v>1.21</v>
      </c>
      <c r="M4429">
        <v>1.25</v>
      </c>
      <c r="N4429" s="1">
        <v>10000000</v>
      </c>
      <c r="O4429">
        <v>1.26</v>
      </c>
      <c r="P4429">
        <v>3.5</v>
      </c>
      <c r="Q4429">
        <v>0.01</v>
      </c>
    </row>
    <row r="4430" spans="1:17" x14ac:dyDescent="0.25">
      <c r="A4430">
        <v>733358</v>
      </c>
      <c r="B4430" t="s">
        <v>5742</v>
      </c>
      <c r="C4430">
        <v>0.71</v>
      </c>
      <c r="D4430">
        <v>0.04</v>
      </c>
      <c r="E4430">
        <v>0.63</v>
      </c>
      <c r="F4430">
        <v>0.73</v>
      </c>
      <c r="G4430">
        <v>0.6</v>
      </c>
      <c r="H4430">
        <v>0.68</v>
      </c>
      <c r="I4430" s="1">
        <v>509000</v>
      </c>
      <c r="J4430" s="1">
        <v>345800</v>
      </c>
      <c r="K4430">
        <v>14</v>
      </c>
      <c r="L4430">
        <v>0.67</v>
      </c>
      <c r="M4430">
        <v>0.68</v>
      </c>
      <c r="N4430" s="1">
        <v>5000000</v>
      </c>
      <c r="O4430">
        <v>0.71</v>
      </c>
      <c r="P4430">
        <v>1.63</v>
      </c>
      <c r="Q4430">
        <v>0.01</v>
      </c>
    </row>
    <row r="4431" spans="1:17" x14ac:dyDescent="0.25">
      <c r="A4431">
        <v>733359</v>
      </c>
      <c r="B4431" t="s">
        <v>5743</v>
      </c>
      <c r="C4431">
        <v>0.53</v>
      </c>
      <c r="D4431">
        <v>0.04</v>
      </c>
      <c r="E4431">
        <v>0.51</v>
      </c>
      <c r="F4431">
        <v>0.53</v>
      </c>
      <c r="G4431">
        <v>0.51</v>
      </c>
      <c r="H4431">
        <v>0.52</v>
      </c>
      <c r="I4431" s="1">
        <v>20000</v>
      </c>
      <c r="J4431" s="1">
        <v>10400</v>
      </c>
      <c r="K4431">
        <v>2</v>
      </c>
      <c r="L4431">
        <v>0.55000000000000004</v>
      </c>
      <c r="M4431">
        <v>0.56000000000000005</v>
      </c>
      <c r="N4431" s="1">
        <v>10000000</v>
      </c>
      <c r="O4431">
        <v>0.53</v>
      </c>
      <c r="P4431">
        <v>1.53</v>
      </c>
      <c r="Q4431">
        <v>0.01</v>
      </c>
    </row>
    <row r="4432" spans="1:17" x14ac:dyDescent="0.25">
      <c r="A4432">
        <v>733360</v>
      </c>
      <c r="B4432" t="s">
        <v>5744</v>
      </c>
      <c r="C4432">
        <v>2.23</v>
      </c>
      <c r="D4432">
        <v>0.14000000000000001</v>
      </c>
      <c r="E4432">
        <v>2.25</v>
      </c>
      <c r="F4432">
        <v>2.25</v>
      </c>
      <c r="G4432">
        <v>2.23</v>
      </c>
      <c r="H4432">
        <v>2.2400000000000002</v>
      </c>
      <c r="I4432" s="1">
        <v>99000</v>
      </c>
      <c r="J4432" s="1">
        <v>221770</v>
      </c>
      <c r="K4432">
        <v>2</v>
      </c>
      <c r="L4432">
        <v>2.11</v>
      </c>
      <c r="M4432">
        <v>2.12</v>
      </c>
      <c r="N4432" s="1">
        <v>10000000</v>
      </c>
      <c r="O4432">
        <v>2.23</v>
      </c>
      <c r="P4432">
        <v>3.21</v>
      </c>
      <c r="Q4432">
        <v>1.25</v>
      </c>
    </row>
    <row r="4433" spans="1:17" x14ac:dyDescent="0.25">
      <c r="A4433">
        <v>733361</v>
      </c>
      <c r="B4433" t="s">
        <v>5745</v>
      </c>
      <c r="C4433">
        <v>0.26</v>
      </c>
      <c r="D4433">
        <v>-0.04</v>
      </c>
      <c r="E4433">
        <v>0.28000000000000003</v>
      </c>
      <c r="F4433">
        <v>0.28000000000000003</v>
      </c>
      <c r="G4433">
        <v>0.26</v>
      </c>
      <c r="H4433">
        <v>0.27</v>
      </c>
      <c r="I4433" s="1">
        <v>37000</v>
      </c>
      <c r="J4433" s="1">
        <v>10070</v>
      </c>
      <c r="K4433">
        <v>5</v>
      </c>
      <c r="L4433">
        <v>0.28999999999999998</v>
      </c>
      <c r="M4433">
        <v>0.3</v>
      </c>
      <c r="N4433" s="1">
        <v>5000000</v>
      </c>
      <c r="O4433">
        <v>0.26</v>
      </c>
      <c r="P4433">
        <v>1.38</v>
      </c>
      <c r="Q4433">
        <v>0.01</v>
      </c>
    </row>
    <row r="4434" spans="1:17" x14ac:dyDescent="0.25">
      <c r="A4434">
        <v>733362</v>
      </c>
      <c r="B4434" t="s">
        <v>5746</v>
      </c>
      <c r="C4434">
        <v>0.47</v>
      </c>
      <c r="D4434">
        <v>0.01</v>
      </c>
      <c r="E4434">
        <v>0.48</v>
      </c>
      <c r="F4434">
        <v>0.49</v>
      </c>
      <c r="G4434">
        <v>0.46</v>
      </c>
      <c r="H4434">
        <v>0.48</v>
      </c>
      <c r="I4434" s="1">
        <v>1373000</v>
      </c>
      <c r="J4434" s="1">
        <v>665010</v>
      </c>
      <c r="K4434">
        <v>25</v>
      </c>
      <c r="L4434">
        <v>0.46</v>
      </c>
      <c r="M4434">
        <v>0.47</v>
      </c>
      <c r="N4434" s="1">
        <v>5000000</v>
      </c>
      <c r="O4434">
        <v>0.47</v>
      </c>
      <c r="P4434">
        <v>0.87</v>
      </c>
      <c r="Q4434">
        <v>7.0000000000000007E-2</v>
      </c>
    </row>
    <row r="4435" spans="1:17" x14ac:dyDescent="0.25">
      <c r="A4435">
        <v>733363</v>
      </c>
      <c r="B4435" t="s">
        <v>5747</v>
      </c>
      <c r="C4435" t="s">
        <v>78</v>
      </c>
      <c r="D4435" t="s">
        <v>78</v>
      </c>
      <c r="E4435" t="s">
        <v>78</v>
      </c>
      <c r="F4435" t="s">
        <v>78</v>
      </c>
      <c r="G4435" t="s">
        <v>78</v>
      </c>
      <c r="H4435">
        <v>0.28999999999999998</v>
      </c>
      <c r="I4435" s="1">
        <v>0</v>
      </c>
      <c r="J4435" s="1">
        <v>0</v>
      </c>
      <c r="K4435">
        <v>0</v>
      </c>
      <c r="L4435">
        <v>0.19</v>
      </c>
      <c r="M4435">
        <v>0.2</v>
      </c>
      <c r="N4435" s="1">
        <v>10000000</v>
      </c>
      <c r="O4435">
        <v>0.2</v>
      </c>
      <c r="P4435">
        <v>3.15</v>
      </c>
      <c r="Q4435">
        <v>0.01</v>
      </c>
    </row>
    <row r="4436" spans="1:17" x14ac:dyDescent="0.25">
      <c r="A4436">
        <v>733364</v>
      </c>
      <c r="B4436" t="s">
        <v>5748</v>
      </c>
      <c r="C4436">
        <v>0.48</v>
      </c>
      <c r="D4436">
        <v>-0.03</v>
      </c>
      <c r="E4436">
        <v>0.49</v>
      </c>
      <c r="F4436">
        <v>0.49</v>
      </c>
      <c r="G4436">
        <v>0.48</v>
      </c>
      <c r="H4436">
        <v>0.48</v>
      </c>
      <c r="I4436" s="1">
        <v>26000</v>
      </c>
      <c r="J4436" s="1">
        <v>12570</v>
      </c>
      <c r="K4436">
        <v>3</v>
      </c>
      <c r="L4436">
        <v>0.47</v>
      </c>
      <c r="M4436">
        <v>0.48</v>
      </c>
      <c r="N4436" s="1">
        <v>5000000</v>
      </c>
      <c r="O4436">
        <v>0.48</v>
      </c>
      <c r="P4436">
        <v>0.92</v>
      </c>
      <c r="Q4436">
        <v>0.04</v>
      </c>
    </row>
    <row r="4437" spans="1:17" x14ac:dyDescent="0.25">
      <c r="A4437">
        <v>733365</v>
      </c>
      <c r="B4437" t="s">
        <v>5749</v>
      </c>
      <c r="C4437">
        <v>0.36</v>
      </c>
      <c r="D4437">
        <v>0.01</v>
      </c>
      <c r="E4437">
        <v>0.36</v>
      </c>
      <c r="F4437">
        <v>0.36</v>
      </c>
      <c r="G4437">
        <v>0.36</v>
      </c>
      <c r="H4437">
        <v>0.36</v>
      </c>
      <c r="I4437" s="1">
        <v>41000</v>
      </c>
      <c r="J4437" s="1">
        <v>14760</v>
      </c>
      <c r="K4437">
        <v>1</v>
      </c>
      <c r="L4437">
        <v>0.37</v>
      </c>
      <c r="M4437">
        <v>0.38</v>
      </c>
      <c r="N4437" s="1">
        <v>10000000</v>
      </c>
      <c r="O4437">
        <v>0.36</v>
      </c>
      <c r="P4437">
        <v>2.46</v>
      </c>
      <c r="Q4437">
        <v>0.01</v>
      </c>
    </row>
    <row r="4438" spans="1:17" x14ac:dyDescent="0.25">
      <c r="A4438">
        <v>733366</v>
      </c>
      <c r="B4438" t="s">
        <v>5750</v>
      </c>
      <c r="C4438">
        <v>1.75</v>
      </c>
      <c r="D4438">
        <v>0.03</v>
      </c>
      <c r="E4438">
        <v>1.91</v>
      </c>
      <c r="F4438">
        <v>1.92</v>
      </c>
      <c r="G4438">
        <v>1.75</v>
      </c>
      <c r="H4438">
        <v>1.88</v>
      </c>
      <c r="I4438" s="1">
        <v>374000</v>
      </c>
      <c r="J4438" s="1">
        <v>702110</v>
      </c>
      <c r="K4438">
        <v>10</v>
      </c>
      <c r="L4438">
        <v>1.73</v>
      </c>
      <c r="M4438">
        <v>1.74</v>
      </c>
      <c r="N4438" s="1">
        <v>10000000</v>
      </c>
      <c r="O4438">
        <v>1.75</v>
      </c>
      <c r="P4438">
        <v>3.72</v>
      </c>
      <c r="Q4438">
        <v>0.01</v>
      </c>
    </row>
    <row r="4439" spans="1:17" x14ac:dyDescent="0.25">
      <c r="A4439">
        <v>733367</v>
      </c>
      <c r="B4439" t="s">
        <v>5751</v>
      </c>
      <c r="C4439">
        <v>1.37</v>
      </c>
      <c r="D4439">
        <v>0.06</v>
      </c>
      <c r="E4439">
        <v>1.47</v>
      </c>
      <c r="F4439">
        <v>1.48</v>
      </c>
      <c r="G4439">
        <v>1.37</v>
      </c>
      <c r="H4439">
        <v>1.44</v>
      </c>
      <c r="I4439" s="1">
        <v>388000</v>
      </c>
      <c r="J4439" s="1">
        <v>558100</v>
      </c>
      <c r="K4439">
        <v>7</v>
      </c>
      <c r="L4439">
        <v>1.32</v>
      </c>
      <c r="M4439">
        <v>1.33</v>
      </c>
      <c r="N4439" s="1">
        <v>10000000</v>
      </c>
      <c r="O4439">
        <v>1.37</v>
      </c>
      <c r="P4439">
        <v>3.34</v>
      </c>
      <c r="Q4439">
        <v>0.01</v>
      </c>
    </row>
    <row r="4440" spans="1:17" x14ac:dyDescent="0.25">
      <c r="A4440">
        <v>733368</v>
      </c>
      <c r="B4440" t="s">
        <v>5752</v>
      </c>
      <c r="C4440" t="s">
        <v>78</v>
      </c>
      <c r="D4440" t="s">
        <v>78</v>
      </c>
      <c r="E4440" t="s">
        <v>78</v>
      </c>
      <c r="F4440" t="s">
        <v>78</v>
      </c>
      <c r="G4440" t="s">
        <v>78</v>
      </c>
      <c r="H4440">
        <v>0.76</v>
      </c>
      <c r="I4440" s="1">
        <v>0</v>
      </c>
      <c r="J4440" s="1">
        <v>0</v>
      </c>
      <c r="K4440">
        <v>0</v>
      </c>
      <c r="L4440">
        <v>0.77</v>
      </c>
      <c r="M4440">
        <v>0.78</v>
      </c>
      <c r="N4440" s="1">
        <v>10000000</v>
      </c>
      <c r="O4440">
        <v>0.77</v>
      </c>
      <c r="P4440">
        <v>1.38</v>
      </c>
      <c r="Q4440">
        <v>0.16</v>
      </c>
    </row>
    <row r="4441" spans="1:17" x14ac:dyDescent="0.25">
      <c r="A4441">
        <v>733369</v>
      </c>
      <c r="B4441" t="s">
        <v>5753</v>
      </c>
      <c r="C4441" t="s">
        <v>78</v>
      </c>
      <c r="D4441" t="s">
        <v>78</v>
      </c>
      <c r="E4441" t="s">
        <v>78</v>
      </c>
      <c r="F4441" t="s">
        <v>78</v>
      </c>
      <c r="G4441" t="s">
        <v>78</v>
      </c>
      <c r="H4441">
        <v>0.47</v>
      </c>
      <c r="I4441" s="1">
        <v>0</v>
      </c>
      <c r="J4441" s="1">
        <v>0</v>
      </c>
      <c r="K4441">
        <v>0</v>
      </c>
      <c r="L4441">
        <v>0.46</v>
      </c>
      <c r="M4441">
        <v>0.47</v>
      </c>
      <c r="N4441" s="1">
        <v>15000000</v>
      </c>
      <c r="O4441">
        <v>0.47</v>
      </c>
      <c r="P4441">
        <v>0.85</v>
      </c>
      <c r="Q4441">
        <v>0.09</v>
      </c>
    </row>
    <row r="4442" spans="1:17" x14ac:dyDescent="0.25">
      <c r="A4442">
        <v>733370</v>
      </c>
      <c r="B4442" t="s">
        <v>5754</v>
      </c>
      <c r="C4442">
        <v>0.45</v>
      </c>
      <c r="D4442">
        <v>0.02</v>
      </c>
      <c r="E4442">
        <v>0.43</v>
      </c>
      <c r="F4442">
        <v>0.49</v>
      </c>
      <c r="G4442">
        <v>0.38</v>
      </c>
      <c r="H4442">
        <v>0.43</v>
      </c>
      <c r="I4442" s="1">
        <v>581000</v>
      </c>
      <c r="J4442" s="1">
        <v>250650</v>
      </c>
      <c r="K4442">
        <v>23</v>
      </c>
      <c r="L4442">
        <v>0.44</v>
      </c>
      <c r="M4442">
        <v>0.45</v>
      </c>
      <c r="N4442" s="1">
        <v>15000000</v>
      </c>
      <c r="O4442">
        <v>0.45</v>
      </c>
      <c r="P4442">
        <v>1.1100000000000001</v>
      </c>
      <c r="Q4442">
        <v>0.01</v>
      </c>
    </row>
    <row r="4443" spans="1:17" x14ac:dyDescent="0.25">
      <c r="A4443">
        <v>733371</v>
      </c>
      <c r="B4443" t="s">
        <v>5755</v>
      </c>
      <c r="C4443" t="s">
        <v>78</v>
      </c>
      <c r="D4443" t="s">
        <v>78</v>
      </c>
      <c r="E4443" t="s">
        <v>78</v>
      </c>
      <c r="F4443" t="s">
        <v>78</v>
      </c>
      <c r="G4443" t="s">
        <v>78</v>
      </c>
      <c r="H4443">
        <v>0.82</v>
      </c>
      <c r="I4443" s="1">
        <v>0</v>
      </c>
      <c r="J4443" s="1">
        <v>0</v>
      </c>
      <c r="K4443">
        <v>0</v>
      </c>
      <c r="L4443">
        <v>0.93</v>
      </c>
      <c r="M4443">
        <v>0.98</v>
      </c>
      <c r="N4443" s="1">
        <v>10000000</v>
      </c>
      <c r="O4443">
        <v>0.98</v>
      </c>
      <c r="P4443">
        <v>1.38</v>
      </c>
      <c r="Q4443">
        <v>0.57999999999999996</v>
      </c>
    </row>
    <row r="4444" spans="1:17" x14ac:dyDescent="0.25">
      <c r="A4444">
        <v>733372</v>
      </c>
      <c r="B4444" t="s">
        <v>5756</v>
      </c>
      <c r="C4444" t="s">
        <v>78</v>
      </c>
      <c r="D4444" t="s">
        <v>78</v>
      </c>
      <c r="E4444" t="s">
        <v>78</v>
      </c>
      <c r="F4444" t="s">
        <v>78</v>
      </c>
      <c r="G4444" t="s">
        <v>78</v>
      </c>
      <c r="H4444">
        <v>0.27</v>
      </c>
      <c r="I4444" s="1">
        <v>0</v>
      </c>
      <c r="J4444" s="1">
        <v>0</v>
      </c>
      <c r="K4444">
        <v>0</v>
      </c>
      <c r="L4444">
        <v>0.25</v>
      </c>
      <c r="M4444">
        <v>0.26</v>
      </c>
      <c r="N4444" s="1">
        <v>10000000</v>
      </c>
      <c r="O4444">
        <v>0.26</v>
      </c>
      <c r="P4444">
        <v>0.81</v>
      </c>
      <c r="Q4444">
        <v>0.01</v>
      </c>
    </row>
    <row r="4445" spans="1:17" x14ac:dyDescent="0.25">
      <c r="A4445">
        <v>733373</v>
      </c>
      <c r="B4445" t="s">
        <v>5757</v>
      </c>
      <c r="C4445" t="s">
        <v>78</v>
      </c>
      <c r="D4445" t="s">
        <v>78</v>
      </c>
      <c r="E4445" t="s">
        <v>78</v>
      </c>
      <c r="F4445" t="s">
        <v>78</v>
      </c>
      <c r="G4445" t="s">
        <v>78</v>
      </c>
      <c r="H4445">
        <v>1.46</v>
      </c>
      <c r="I4445" s="1">
        <v>0</v>
      </c>
      <c r="J4445" s="1">
        <v>0</v>
      </c>
      <c r="K4445">
        <v>0</v>
      </c>
      <c r="L4445">
        <v>1.42</v>
      </c>
      <c r="M4445">
        <v>1.52</v>
      </c>
      <c r="N4445" s="1">
        <v>10000000</v>
      </c>
      <c r="O4445">
        <v>1.45</v>
      </c>
      <c r="P4445">
        <v>1.92</v>
      </c>
      <c r="Q4445">
        <v>0.98</v>
      </c>
    </row>
    <row r="4446" spans="1:17" x14ac:dyDescent="0.25">
      <c r="A4446">
        <v>733374</v>
      </c>
      <c r="B4446" t="s">
        <v>5758</v>
      </c>
      <c r="C4446">
        <v>0.46</v>
      </c>
      <c r="D4446">
        <v>-0.01</v>
      </c>
      <c r="E4446">
        <v>0.46</v>
      </c>
      <c r="F4446">
        <v>0.46</v>
      </c>
      <c r="G4446">
        <v>0.44</v>
      </c>
      <c r="H4446">
        <v>0.45</v>
      </c>
      <c r="I4446" s="1">
        <v>25000</v>
      </c>
      <c r="J4446" s="1">
        <v>11350</v>
      </c>
      <c r="K4446">
        <v>5</v>
      </c>
      <c r="L4446">
        <v>0.44</v>
      </c>
      <c r="M4446">
        <v>0.45</v>
      </c>
      <c r="N4446" s="1">
        <v>15000000</v>
      </c>
      <c r="O4446">
        <v>0.46</v>
      </c>
      <c r="P4446">
        <v>0.89</v>
      </c>
      <c r="Q4446">
        <v>0.03</v>
      </c>
    </row>
    <row r="4447" spans="1:17" x14ac:dyDescent="0.25">
      <c r="A4447">
        <v>733375</v>
      </c>
      <c r="B4447" t="s">
        <v>5759</v>
      </c>
      <c r="C4447">
        <v>1.04</v>
      </c>
      <c r="D4447">
        <v>0.08</v>
      </c>
      <c r="E4447">
        <v>1.05</v>
      </c>
      <c r="F4447">
        <v>1.07</v>
      </c>
      <c r="G4447">
        <v>1.04</v>
      </c>
      <c r="H4447">
        <v>1.05</v>
      </c>
      <c r="I4447" s="1">
        <v>1280000</v>
      </c>
      <c r="J4447" s="1">
        <v>1349400</v>
      </c>
      <c r="K4447">
        <v>16</v>
      </c>
      <c r="L4447">
        <v>0.98</v>
      </c>
      <c r="M4447">
        <v>0.99</v>
      </c>
      <c r="N4447" s="1">
        <v>12000000</v>
      </c>
      <c r="O4447">
        <v>1.04</v>
      </c>
      <c r="P4447">
        <v>1.83</v>
      </c>
      <c r="Q4447">
        <v>0.25</v>
      </c>
    </row>
    <row r="4448" spans="1:17" x14ac:dyDescent="0.25">
      <c r="A4448">
        <v>733376</v>
      </c>
      <c r="B4448" t="s">
        <v>5760</v>
      </c>
      <c r="C4448">
        <v>0.56000000000000005</v>
      </c>
      <c r="D4448">
        <v>0.01</v>
      </c>
      <c r="E4448">
        <v>0.57999999999999996</v>
      </c>
      <c r="F4448">
        <v>0.6</v>
      </c>
      <c r="G4448">
        <v>0.55000000000000004</v>
      </c>
      <c r="H4448">
        <v>0.59</v>
      </c>
      <c r="I4448" s="1">
        <v>674000</v>
      </c>
      <c r="J4448" s="1">
        <v>398690</v>
      </c>
      <c r="K4448">
        <v>9</v>
      </c>
      <c r="L4448">
        <v>0.55000000000000004</v>
      </c>
      <c r="M4448">
        <v>0.56000000000000005</v>
      </c>
      <c r="N4448" s="1">
        <v>15000000</v>
      </c>
      <c r="O4448">
        <v>0.56000000000000005</v>
      </c>
      <c r="P4448">
        <v>0.95</v>
      </c>
      <c r="Q4448">
        <v>0.17</v>
      </c>
    </row>
    <row r="4449" spans="1:17" x14ac:dyDescent="0.25">
      <c r="A4449">
        <v>733377</v>
      </c>
      <c r="B4449" t="s">
        <v>5761</v>
      </c>
      <c r="C4449">
        <v>0.82</v>
      </c>
      <c r="D4449">
        <v>0.05</v>
      </c>
      <c r="E4449">
        <v>0.76</v>
      </c>
      <c r="F4449">
        <v>0.85</v>
      </c>
      <c r="G4449">
        <v>0.7</v>
      </c>
      <c r="H4449">
        <v>0.77</v>
      </c>
      <c r="I4449" s="1">
        <v>470000</v>
      </c>
      <c r="J4449" s="1">
        <v>363670</v>
      </c>
      <c r="K4449">
        <v>9</v>
      </c>
      <c r="L4449">
        <v>0.3</v>
      </c>
      <c r="M4449">
        <v>0</v>
      </c>
      <c r="N4449" s="1">
        <v>10000000</v>
      </c>
      <c r="O4449">
        <v>0.82</v>
      </c>
      <c r="P4449">
        <v>1.94</v>
      </c>
      <c r="Q4449">
        <v>0.01</v>
      </c>
    </row>
    <row r="4450" spans="1:17" x14ac:dyDescent="0.25">
      <c r="A4450">
        <v>733378</v>
      </c>
      <c r="B4450" t="s">
        <v>5762</v>
      </c>
      <c r="C4450" t="s">
        <v>78</v>
      </c>
      <c r="D4450" t="s">
        <v>78</v>
      </c>
      <c r="E4450" t="s">
        <v>78</v>
      </c>
      <c r="F4450" t="s">
        <v>78</v>
      </c>
      <c r="G4450" t="s">
        <v>78</v>
      </c>
      <c r="H4450">
        <v>0.17</v>
      </c>
      <c r="I4450" s="1">
        <v>0</v>
      </c>
      <c r="J4450" s="1">
        <v>0</v>
      </c>
      <c r="K4450">
        <v>0</v>
      </c>
      <c r="L4450">
        <v>0.16</v>
      </c>
      <c r="M4450">
        <v>0.17</v>
      </c>
      <c r="N4450" s="1">
        <v>10000000</v>
      </c>
      <c r="O4450">
        <v>0.17</v>
      </c>
      <c r="P4450">
        <v>0.53</v>
      </c>
      <c r="Q4450">
        <v>0.01</v>
      </c>
    </row>
    <row r="4451" spans="1:17" x14ac:dyDescent="0.25">
      <c r="A4451">
        <v>733379</v>
      </c>
      <c r="B4451" t="s">
        <v>5763</v>
      </c>
      <c r="C4451">
        <v>0.75</v>
      </c>
      <c r="D4451">
        <v>-0.01</v>
      </c>
      <c r="E4451">
        <v>0.76</v>
      </c>
      <c r="F4451">
        <v>0.76</v>
      </c>
      <c r="G4451">
        <v>0.75</v>
      </c>
      <c r="H4451">
        <v>0.76</v>
      </c>
      <c r="I4451" s="1">
        <v>51000</v>
      </c>
      <c r="J4451" s="1">
        <v>38540</v>
      </c>
      <c r="K4451">
        <v>4</v>
      </c>
      <c r="L4451">
        <v>0.74</v>
      </c>
      <c r="M4451">
        <v>0.75</v>
      </c>
      <c r="N4451" s="1">
        <v>10000000</v>
      </c>
      <c r="O4451">
        <v>0.75</v>
      </c>
      <c r="P4451">
        <v>1.19</v>
      </c>
      <c r="Q4451">
        <v>0.31</v>
      </c>
    </row>
    <row r="4452" spans="1:17" x14ac:dyDescent="0.25">
      <c r="A4452">
        <v>733380</v>
      </c>
      <c r="B4452" t="s">
        <v>5764</v>
      </c>
      <c r="C4452">
        <v>0.97</v>
      </c>
      <c r="D4452">
        <v>-0.01</v>
      </c>
      <c r="E4452">
        <v>0.98</v>
      </c>
      <c r="F4452">
        <v>0.99</v>
      </c>
      <c r="G4452">
        <v>0.97</v>
      </c>
      <c r="H4452">
        <v>0.99</v>
      </c>
      <c r="I4452" s="1">
        <v>300000</v>
      </c>
      <c r="J4452" s="1">
        <v>295960</v>
      </c>
      <c r="K4452">
        <v>6</v>
      </c>
      <c r="L4452">
        <v>0.96</v>
      </c>
      <c r="M4452">
        <v>0.97</v>
      </c>
      <c r="N4452" s="1">
        <v>5000000</v>
      </c>
      <c r="O4452">
        <v>0.97</v>
      </c>
      <c r="P4452">
        <v>1.75</v>
      </c>
      <c r="Q4452">
        <v>0.19</v>
      </c>
    </row>
    <row r="4453" spans="1:17" x14ac:dyDescent="0.25">
      <c r="A4453">
        <v>733381</v>
      </c>
      <c r="B4453" t="s">
        <v>5765</v>
      </c>
      <c r="C4453">
        <v>0.51</v>
      </c>
      <c r="D4453">
        <v>-0.08</v>
      </c>
      <c r="E4453">
        <v>0.52</v>
      </c>
      <c r="F4453">
        <v>0.52</v>
      </c>
      <c r="G4453">
        <v>0.51</v>
      </c>
      <c r="H4453">
        <v>0.52</v>
      </c>
      <c r="I4453" s="1">
        <v>3000</v>
      </c>
      <c r="J4453" s="1">
        <v>1550</v>
      </c>
      <c r="K4453">
        <v>2</v>
      </c>
      <c r="L4453">
        <v>0.52</v>
      </c>
      <c r="M4453">
        <v>0.53</v>
      </c>
      <c r="N4453" s="1">
        <v>5000000</v>
      </c>
      <c r="O4453">
        <v>0.51</v>
      </c>
      <c r="P4453">
        <v>1.71</v>
      </c>
      <c r="Q4453">
        <v>0.01</v>
      </c>
    </row>
    <row r="4454" spans="1:17" x14ac:dyDescent="0.25">
      <c r="A4454">
        <v>733382</v>
      </c>
      <c r="B4454" t="s">
        <v>5766</v>
      </c>
      <c r="C4454">
        <v>1.75</v>
      </c>
      <c r="D4454">
        <v>-0.02</v>
      </c>
      <c r="E4454">
        <v>1.8</v>
      </c>
      <c r="F4454">
        <v>1.82</v>
      </c>
      <c r="G4454">
        <v>1.74</v>
      </c>
      <c r="H4454">
        <v>1.8</v>
      </c>
      <c r="I4454" s="1">
        <v>116000</v>
      </c>
      <c r="J4454" s="1">
        <v>208300</v>
      </c>
      <c r="K4454">
        <v>6</v>
      </c>
      <c r="L4454">
        <v>1.74</v>
      </c>
      <c r="M4454">
        <v>1.77</v>
      </c>
      <c r="N4454" s="1">
        <v>10000000</v>
      </c>
      <c r="O4454">
        <v>1.75</v>
      </c>
      <c r="P4454">
        <v>3.59</v>
      </c>
      <c r="Q4454">
        <v>0.01</v>
      </c>
    </row>
    <row r="4455" spans="1:17" x14ac:dyDescent="0.25">
      <c r="A4455">
        <v>733383</v>
      </c>
      <c r="B4455" t="s">
        <v>5767</v>
      </c>
      <c r="C4455">
        <v>2.37</v>
      </c>
      <c r="D4455">
        <v>0</v>
      </c>
      <c r="E4455">
        <v>2.4300000000000002</v>
      </c>
      <c r="F4455">
        <v>2.4300000000000002</v>
      </c>
      <c r="G4455">
        <v>2.37</v>
      </c>
      <c r="H4455">
        <v>2.39</v>
      </c>
      <c r="I4455" s="1">
        <v>204000</v>
      </c>
      <c r="J4455" s="1">
        <v>487430</v>
      </c>
      <c r="K4455">
        <v>4</v>
      </c>
      <c r="L4455">
        <v>2.4700000000000002</v>
      </c>
      <c r="M4455">
        <v>2.48</v>
      </c>
      <c r="N4455" s="1">
        <v>10000000</v>
      </c>
      <c r="O4455">
        <v>2.37</v>
      </c>
      <c r="P4455">
        <v>3.79</v>
      </c>
      <c r="Q4455">
        <v>0.95</v>
      </c>
    </row>
    <row r="4456" spans="1:17" x14ac:dyDescent="0.25">
      <c r="A4456">
        <v>733384</v>
      </c>
      <c r="B4456" t="s">
        <v>5768</v>
      </c>
      <c r="C4456" t="s">
        <v>78</v>
      </c>
      <c r="D4456" t="s">
        <v>78</v>
      </c>
      <c r="E4456" t="s">
        <v>78</v>
      </c>
      <c r="F4456" t="s">
        <v>78</v>
      </c>
      <c r="G4456" t="s">
        <v>78</v>
      </c>
      <c r="H4456">
        <v>0.64</v>
      </c>
      <c r="I4456" s="1">
        <v>0</v>
      </c>
      <c r="J4456" s="1">
        <v>0</v>
      </c>
      <c r="K4456">
        <v>0</v>
      </c>
      <c r="L4456">
        <v>0.56999999999999995</v>
      </c>
      <c r="M4456">
        <v>0.57999999999999996</v>
      </c>
      <c r="N4456" s="1">
        <v>5000000</v>
      </c>
      <c r="O4456">
        <v>0.57999999999999996</v>
      </c>
      <c r="P4456">
        <v>2.98</v>
      </c>
      <c r="Q4456">
        <v>0.01</v>
      </c>
    </row>
    <row r="4457" spans="1:17" x14ac:dyDescent="0.25">
      <c r="A4457">
        <v>733385</v>
      </c>
      <c r="B4457" t="s">
        <v>5769</v>
      </c>
      <c r="C4457">
        <v>1.57</v>
      </c>
      <c r="D4457">
        <v>0.04</v>
      </c>
      <c r="E4457">
        <v>1.56</v>
      </c>
      <c r="F4457">
        <v>1.61</v>
      </c>
      <c r="G4457">
        <v>1.56</v>
      </c>
      <c r="H4457">
        <v>1.59</v>
      </c>
      <c r="I4457" s="1">
        <v>222000</v>
      </c>
      <c r="J4457" s="1">
        <v>353800</v>
      </c>
      <c r="K4457">
        <v>4</v>
      </c>
      <c r="L4457">
        <v>1.56</v>
      </c>
      <c r="M4457">
        <v>1.57</v>
      </c>
      <c r="N4457" s="1">
        <v>10000000</v>
      </c>
      <c r="O4457">
        <v>1.57</v>
      </c>
      <c r="P4457">
        <v>2.5499999999999998</v>
      </c>
      <c r="Q4457">
        <v>0.59</v>
      </c>
    </row>
    <row r="4458" spans="1:17" x14ac:dyDescent="0.25">
      <c r="A4458">
        <v>733386</v>
      </c>
      <c r="B4458" t="s">
        <v>5770</v>
      </c>
      <c r="C4458" t="s">
        <v>78</v>
      </c>
      <c r="D4458" t="s">
        <v>78</v>
      </c>
      <c r="E4458" t="s">
        <v>78</v>
      </c>
      <c r="F4458" t="s">
        <v>78</v>
      </c>
      <c r="G4458" t="s">
        <v>78</v>
      </c>
      <c r="H4458">
        <v>1.87</v>
      </c>
      <c r="I4458" s="1">
        <v>0</v>
      </c>
      <c r="J4458" s="1">
        <v>0</v>
      </c>
      <c r="K4458">
        <v>0</v>
      </c>
      <c r="L4458">
        <v>2.02</v>
      </c>
      <c r="M4458">
        <v>2.08</v>
      </c>
      <c r="N4458" s="1">
        <v>10000000</v>
      </c>
      <c r="O4458">
        <v>2.08</v>
      </c>
      <c r="P4458">
        <v>2.72</v>
      </c>
      <c r="Q4458">
        <v>1.44</v>
      </c>
    </row>
    <row r="4459" spans="1:17" x14ac:dyDescent="0.25">
      <c r="A4459">
        <v>733387</v>
      </c>
      <c r="B4459" t="s">
        <v>5771</v>
      </c>
      <c r="C4459">
        <v>1.9</v>
      </c>
      <c r="D4459">
        <v>0.05</v>
      </c>
      <c r="E4459">
        <v>1.95</v>
      </c>
      <c r="F4459">
        <v>1.95</v>
      </c>
      <c r="G4459">
        <v>1.9</v>
      </c>
      <c r="H4459">
        <v>1.91</v>
      </c>
      <c r="I4459" s="1">
        <v>59000</v>
      </c>
      <c r="J4459" s="1">
        <v>112810</v>
      </c>
      <c r="K4459">
        <v>3</v>
      </c>
      <c r="L4459">
        <v>1.88</v>
      </c>
      <c r="M4459">
        <v>1.89</v>
      </c>
      <c r="N4459" s="1">
        <v>5000000</v>
      </c>
      <c r="O4459">
        <v>1.9</v>
      </c>
      <c r="P4459">
        <v>5.85</v>
      </c>
      <c r="Q4459">
        <v>0.01</v>
      </c>
    </row>
    <row r="4460" spans="1:17" x14ac:dyDescent="0.25">
      <c r="A4460">
        <v>733388</v>
      </c>
      <c r="B4460" t="s">
        <v>5772</v>
      </c>
      <c r="C4460">
        <v>1.37</v>
      </c>
      <c r="D4460">
        <v>0.08</v>
      </c>
      <c r="E4460">
        <v>1.42</v>
      </c>
      <c r="F4460">
        <v>1.42</v>
      </c>
      <c r="G4460">
        <v>1.31</v>
      </c>
      <c r="H4460">
        <v>1.35</v>
      </c>
      <c r="I4460" s="1">
        <v>820000</v>
      </c>
      <c r="J4460" s="1">
        <v>1107320</v>
      </c>
      <c r="K4460">
        <v>31</v>
      </c>
      <c r="L4460">
        <v>1.37</v>
      </c>
      <c r="M4460">
        <v>1.38</v>
      </c>
      <c r="N4460" s="1">
        <v>10000000</v>
      </c>
      <c r="O4460">
        <v>1.37</v>
      </c>
      <c r="P4460">
        <v>2.36</v>
      </c>
      <c r="Q4460">
        <v>0.38</v>
      </c>
    </row>
    <row r="4461" spans="1:17" x14ac:dyDescent="0.25">
      <c r="A4461">
        <v>733389</v>
      </c>
      <c r="B4461" t="s">
        <v>5773</v>
      </c>
      <c r="C4461">
        <v>0.68</v>
      </c>
      <c r="D4461">
        <v>7.0000000000000007E-2</v>
      </c>
      <c r="E4461">
        <v>0.64</v>
      </c>
      <c r="F4461">
        <v>0.68</v>
      </c>
      <c r="G4461">
        <v>0.64</v>
      </c>
      <c r="H4461">
        <v>0.65</v>
      </c>
      <c r="I4461" s="1">
        <v>153000</v>
      </c>
      <c r="J4461" s="1">
        <v>100040</v>
      </c>
      <c r="K4461">
        <v>2</v>
      </c>
      <c r="L4461">
        <v>0.68</v>
      </c>
      <c r="M4461">
        <v>0.69</v>
      </c>
      <c r="N4461" s="1">
        <v>10000000</v>
      </c>
      <c r="O4461">
        <v>0.68</v>
      </c>
      <c r="P4461">
        <v>1.48</v>
      </c>
      <c r="Q4461">
        <v>0.01</v>
      </c>
    </row>
    <row r="4462" spans="1:17" x14ac:dyDescent="0.25">
      <c r="A4462">
        <v>733390</v>
      </c>
      <c r="B4462" t="s">
        <v>5774</v>
      </c>
      <c r="C4462">
        <v>1.29</v>
      </c>
      <c r="D4462">
        <v>0.04</v>
      </c>
      <c r="E4462">
        <v>1.3</v>
      </c>
      <c r="F4462">
        <v>1.3</v>
      </c>
      <c r="G4462">
        <v>1.29</v>
      </c>
      <c r="H4462">
        <v>1.3</v>
      </c>
      <c r="I4462" s="1">
        <v>54000</v>
      </c>
      <c r="J4462" s="1">
        <v>70060</v>
      </c>
      <c r="K4462">
        <v>5</v>
      </c>
      <c r="L4462">
        <v>1.26</v>
      </c>
      <c r="M4462">
        <v>1.27</v>
      </c>
      <c r="N4462" s="1">
        <v>10000000</v>
      </c>
      <c r="O4462">
        <v>1.29</v>
      </c>
      <c r="P4462">
        <v>2.5299999999999998</v>
      </c>
      <c r="Q4462">
        <v>0.05</v>
      </c>
    </row>
    <row r="4463" spans="1:17" x14ac:dyDescent="0.25">
      <c r="A4463">
        <v>733391</v>
      </c>
      <c r="B4463" t="s">
        <v>5775</v>
      </c>
      <c r="C4463" t="s">
        <v>78</v>
      </c>
      <c r="D4463" t="s">
        <v>78</v>
      </c>
      <c r="E4463" t="s">
        <v>78</v>
      </c>
      <c r="F4463" t="s">
        <v>78</v>
      </c>
      <c r="G4463" t="s">
        <v>78</v>
      </c>
      <c r="H4463">
        <v>0.44</v>
      </c>
      <c r="I4463" s="1">
        <v>0</v>
      </c>
      <c r="J4463" s="1">
        <v>0</v>
      </c>
      <c r="K4463">
        <v>0</v>
      </c>
      <c r="L4463">
        <v>0.43</v>
      </c>
      <c r="M4463">
        <v>0.44</v>
      </c>
      <c r="N4463" s="1">
        <v>10000000</v>
      </c>
      <c r="O4463">
        <v>0.44</v>
      </c>
      <c r="P4463">
        <v>0.88</v>
      </c>
      <c r="Q4463">
        <v>0.01</v>
      </c>
    </row>
    <row r="4464" spans="1:17" x14ac:dyDescent="0.25">
      <c r="A4464">
        <v>733392</v>
      </c>
      <c r="B4464" t="s">
        <v>5776</v>
      </c>
      <c r="C4464" t="s">
        <v>78</v>
      </c>
      <c r="D4464" t="s">
        <v>78</v>
      </c>
      <c r="E4464" t="s">
        <v>78</v>
      </c>
      <c r="F4464" t="s">
        <v>78</v>
      </c>
      <c r="G4464" t="s">
        <v>78</v>
      </c>
      <c r="H4464">
        <v>0.32</v>
      </c>
      <c r="I4464" s="1">
        <v>0</v>
      </c>
      <c r="J4464" s="1">
        <v>0</v>
      </c>
      <c r="K4464">
        <v>0</v>
      </c>
      <c r="L4464">
        <v>0.3</v>
      </c>
      <c r="M4464">
        <v>0.31</v>
      </c>
      <c r="N4464" s="1">
        <v>5000000</v>
      </c>
      <c r="O4464">
        <v>0.31</v>
      </c>
      <c r="P4464">
        <v>0.6</v>
      </c>
      <c r="Q4464">
        <v>0.01</v>
      </c>
    </row>
    <row r="4465" spans="1:17" x14ac:dyDescent="0.25">
      <c r="A4465">
        <v>733393</v>
      </c>
      <c r="B4465" t="s">
        <v>5777</v>
      </c>
      <c r="C4465">
        <v>0.85</v>
      </c>
      <c r="D4465">
        <v>-0.06</v>
      </c>
      <c r="E4465">
        <v>0.85</v>
      </c>
      <c r="F4465">
        <v>0.85</v>
      </c>
      <c r="G4465">
        <v>0.85</v>
      </c>
      <c r="H4465">
        <v>0.85</v>
      </c>
      <c r="I4465" s="1">
        <v>10000</v>
      </c>
      <c r="J4465" s="1">
        <v>8500</v>
      </c>
      <c r="K4465">
        <v>1</v>
      </c>
      <c r="L4465">
        <v>0.83</v>
      </c>
      <c r="M4465">
        <v>0.84</v>
      </c>
      <c r="N4465" s="1">
        <v>10000000</v>
      </c>
      <c r="O4465">
        <v>0.85</v>
      </c>
      <c r="P4465">
        <v>1.42</v>
      </c>
      <c r="Q4465">
        <v>0.28000000000000003</v>
      </c>
    </row>
    <row r="4466" spans="1:17" x14ac:dyDescent="0.25">
      <c r="A4466">
        <v>733394</v>
      </c>
      <c r="B4466" t="s">
        <v>5778</v>
      </c>
      <c r="C4466">
        <v>0.86</v>
      </c>
      <c r="D4466">
        <v>0.03</v>
      </c>
      <c r="E4466">
        <v>0.86</v>
      </c>
      <c r="F4466">
        <v>0.86</v>
      </c>
      <c r="G4466">
        <v>0.86</v>
      </c>
      <c r="H4466">
        <v>0.86</v>
      </c>
      <c r="I4466" s="1">
        <v>7000</v>
      </c>
      <c r="J4466" s="1">
        <v>6020</v>
      </c>
      <c r="K4466">
        <v>1</v>
      </c>
      <c r="L4466">
        <v>0.81</v>
      </c>
      <c r="M4466">
        <v>0.82</v>
      </c>
      <c r="N4466" s="1">
        <v>10000000</v>
      </c>
      <c r="O4466">
        <v>0.86</v>
      </c>
      <c r="P4466">
        <v>2.0299999999999998</v>
      </c>
      <c r="Q4466">
        <v>0.01</v>
      </c>
    </row>
    <row r="4467" spans="1:17" x14ac:dyDescent="0.25">
      <c r="A4467">
        <v>733395</v>
      </c>
      <c r="B4467" t="s">
        <v>5779</v>
      </c>
      <c r="C4467">
        <v>0.65</v>
      </c>
      <c r="D4467">
        <v>0.05</v>
      </c>
      <c r="E4467">
        <v>0.65</v>
      </c>
      <c r="F4467">
        <v>0.65</v>
      </c>
      <c r="G4467">
        <v>0.65</v>
      </c>
      <c r="H4467">
        <v>0.65</v>
      </c>
      <c r="I4467" s="1">
        <v>20000</v>
      </c>
      <c r="J4467" s="1">
        <v>13000</v>
      </c>
      <c r="K4467">
        <v>1</v>
      </c>
      <c r="L4467">
        <v>0.63</v>
      </c>
      <c r="M4467">
        <v>0.64</v>
      </c>
      <c r="N4467" s="1">
        <v>20000000</v>
      </c>
      <c r="O4467">
        <v>0.65</v>
      </c>
      <c r="P4467">
        <v>2.2999999999999998</v>
      </c>
      <c r="Q4467">
        <v>0.01</v>
      </c>
    </row>
    <row r="4468" spans="1:17" x14ac:dyDescent="0.25">
      <c r="A4468">
        <v>733396</v>
      </c>
      <c r="B4468" t="s">
        <v>5780</v>
      </c>
      <c r="C4468">
        <v>0.59</v>
      </c>
      <c r="D4468">
        <v>0.1</v>
      </c>
      <c r="E4468">
        <v>0.48</v>
      </c>
      <c r="F4468">
        <v>0.61</v>
      </c>
      <c r="G4468">
        <v>0.48</v>
      </c>
      <c r="H4468">
        <v>0.52</v>
      </c>
      <c r="I4468" s="1">
        <v>593000</v>
      </c>
      <c r="J4468" s="1">
        <v>307400</v>
      </c>
      <c r="K4468">
        <v>19</v>
      </c>
      <c r="L4468">
        <v>0.54</v>
      </c>
      <c r="M4468">
        <v>0.55000000000000004</v>
      </c>
      <c r="N4468" s="1">
        <v>10000000</v>
      </c>
      <c r="O4468">
        <v>0.59</v>
      </c>
      <c r="P4468">
        <v>1.59</v>
      </c>
      <c r="Q4468">
        <v>0.01</v>
      </c>
    </row>
    <row r="4469" spans="1:17" x14ac:dyDescent="0.25">
      <c r="A4469">
        <v>733397</v>
      </c>
      <c r="B4469" t="s">
        <v>5781</v>
      </c>
      <c r="C4469">
        <v>0.52</v>
      </c>
      <c r="D4469">
        <v>0.01</v>
      </c>
      <c r="E4469">
        <v>0.49</v>
      </c>
      <c r="F4469">
        <v>0.54</v>
      </c>
      <c r="G4469">
        <v>0.45</v>
      </c>
      <c r="H4469">
        <v>0.51</v>
      </c>
      <c r="I4469" s="1">
        <v>588000</v>
      </c>
      <c r="J4469" s="1">
        <v>301270</v>
      </c>
      <c r="K4469">
        <v>17</v>
      </c>
      <c r="L4469">
        <v>0.51</v>
      </c>
      <c r="M4469">
        <v>0.52</v>
      </c>
      <c r="N4469" s="1">
        <v>5000000</v>
      </c>
      <c r="O4469">
        <v>0.52</v>
      </c>
      <c r="P4469">
        <v>1.31</v>
      </c>
      <c r="Q4469">
        <v>0.01</v>
      </c>
    </row>
    <row r="4470" spans="1:17" x14ac:dyDescent="0.25">
      <c r="A4470">
        <v>733398</v>
      </c>
      <c r="B4470" t="s">
        <v>5782</v>
      </c>
      <c r="C4470">
        <v>0.11</v>
      </c>
      <c r="D4470">
        <v>0</v>
      </c>
      <c r="E4470">
        <v>0.11</v>
      </c>
      <c r="F4470">
        <v>0.11</v>
      </c>
      <c r="G4470">
        <v>0.11</v>
      </c>
      <c r="H4470">
        <v>0.11</v>
      </c>
      <c r="I4470" s="1">
        <v>20000</v>
      </c>
      <c r="J4470" s="1">
        <v>2200</v>
      </c>
      <c r="K4470">
        <v>1</v>
      </c>
      <c r="L4470">
        <v>0.09</v>
      </c>
      <c r="M4470">
        <v>0.1</v>
      </c>
      <c r="N4470" s="1">
        <v>10000000</v>
      </c>
      <c r="O4470">
        <v>0.11</v>
      </c>
      <c r="P4470">
        <v>0.56999999999999995</v>
      </c>
      <c r="Q4470">
        <v>0.01</v>
      </c>
    </row>
    <row r="4471" spans="1:17" x14ac:dyDescent="0.25">
      <c r="A4471">
        <v>733399</v>
      </c>
      <c r="B4471" t="s">
        <v>5783</v>
      </c>
      <c r="C4471">
        <v>0.5</v>
      </c>
      <c r="D4471">
        <v>-0.06</v>
      </c>
      <c r="E4471">
        <v>0.55000000000000004</v>
      </c>
      <c r="F4471">
        <v>0.55000000000000004</v>
      </c>
      <c r="G4471">
        <v>0.5</v>
      </c>
      <c r="H4471">
        <v>0.51</v>
      </c>
      <c r="I4471" s="1">
        <v>380000</v>
      </c>
      <c r="J4471" s="1">
        <v>192100</v>
      </c>
      <c r="K4471">
        <v>5</v>
      </c>
      <c r="L4471">
        <v>0.49</v>
      </c>
      <c r="M4471">
        <v>0.51</v>
      </c>
      <c r="N4471" s="1">
        <v>10000000</v>
      </c>
      <c r="O4471">
        <v>0.5</v>
      </c>
      <c r="P4471">
        <v>1.7</v>
      </c>
      <c r="Q4471">
        <v>0.01</v>
      </c>
    </row>
    <row r="4472" spans="1:17" x14ac:dyDescent="0.25">
      <c r="A4472">
        <v>733400</v>
      </c>
      <c r="B4472" t="s">
        <v>5784</v>
      </c>
      <c r="C4472">
        <v>0.59</v>
      </c>
      <c r="D4472">
        <v>-0.02</v>
      </c>
      <c r="E4472">
        <v>0.61</v>
      </c>
      <c r="F4472">
        <v>0.64</v>
      </c>
      <c r="G4472">
        <v>0.56999999999999995</v>
      </c>
      <c r="H4472">
        <v>0.6</v>
      </c>
      <c r="I4472" s="1">
        <v>386000</v>
      </c>
      <c r="J4472" s="1">
        <v>231480</v>
      </c>
      <c r="K4472">
        <v>24</v>
      </c>
      <c r="L4472">
        <v>0.57999999999999996</v>
      </c>
      <c r="M4472">
        <v>0.59</v>
      </c>
      <c r="N4472" s="1">
        <v>10000000</v>
      </c>
      <c r="O4472">
        <v>0.59</v>
      </c>
      <c r="P4472">
        <v>0.97</v>
      </c>
      <c r="Q4472">
        <v>0.21</v>
      </c>
    </row>
    <row r="4473" spans="1:17" x14ac:dyDescent="0.25">
      <c r="A4473">
        <v>733401</v>
      </c>
      <c r="B4473" t="s">
        <v>5785</v>
      </c>
      <c r="C4473">
        <v>0.79</v>
      </c>
      <c r="D4473">
        <v>0.05</v>
      </c>
      <c r="E4473">
        <v>0.78</v>
      </c>
      <c r="F4473">
        <v>0.79</v>
      </c>
      <c r="G4473">
        <v>0.76</v>
      </c>
      <c r="H4473">
        <v>0.78</v>
      </c>
      <c r="I4473" s="1">
        <v>1405000</v>
      </c>
      <c r="J4473" s="1">
        <v>1099740</v>
      </c>
      <c r="K4473">
        <v>36</v>
      </c>
      <c r="L4473">
        <v>0.78</v>
      </c>
      <c r="M4473">
        <v>0.79</v>
      </c>
      <c r="N4473" s="1">
        <v>10000000</v>
      </c>
      <c r="O4473">
        <v>0.79</v>
      </c>
      <c r="P4473">
        <v>1.32</v>
      </c>
      <c r="Q4473">
        <v>0.25</v>
      </c>
    </row>
    <row r="4474" spans="1:17" x14ac:dyDescent="0.25">
      <c r="A4474">
        <v>733402</v>
      </c>
      <c r="B4474" t="s">
        <v>5786</v>
      </c>
      <c r="C4474">
        <v>2.65</v>
      </c>
      <c r="D4474">
        <v>-0.03</v>
      </c>
      <c r="E4474">
        <v>2.65</v>
      </c>
      <c r="F4474">
        <v>2.74</v>
      </c>
      <c r="G4474">
        <v>2.6</v>
      </c>
      <c r="H4474">
        <v>2.62</v>
      </c>
      <c r="I4474" s="1">
        <v>14000</v>
      </c>
      <c r="J4474" s="1">
        <v>36700</v>
      </c>
      <c r="K4474">
        <v>5</v>
      </c>
      <c r="L4474">
        <v>2.74</v>
      </c>
      <c r="M4474">
        <v>2.76</v>
      </c>
      <c r="N4474" s="1">
        <v>10000000</v>
      </c>
      <c r="O4474">
        <v>2.65</v>
      </c>
      <c r="P4474">
        <v>3.51</v>
      </c>
      <c r="Q4474">
        <v>1.79</v>
      </c>
    </row>
    <row r="4475" spans="1:17" x14ac:dyDescent="0.25">
      <c r="A4475">
        <v>733403</v>
      </c>
      <c r="B4475" t="s">
        <v>5787</v>
      </c>
      <c r="C4475">
        <v>1.24</v>
      </c>
      <c r="D4475">
        <v>0.01</v>
      </c>
      <c r="E4475">
        <v>1.32</v>
      </c>
      <c r="F4475">
        <v>1.32</v>
      </c>
      <c r="G4475">
        <v>1.23</v>
      </c>
      <c r="H4475">
        <v>1.3</v>
      </c>
      <c r="I4475" s="1">
        <v>545000</v>
      </c>
      <c r="J4475" s="1">
        <v>706560</v>
      </c>
      <c r="K4475">
        <v>36</v>
      </c>
      <c r="L4475">
        <v>1.22</v>
      </c>
      <c r="M4475">
        <v>1.23</v>
      </c>
      <c r="N4475" s="1">
        <v>10000000</v>
      </c>
      <c r="O4475">
        <v>1.24</v>
      </c>
      <c r="P4475">
        <v>2</v>
      </c>
      <c r="Q4475">
        <v>0.47</v>
      </c>
    </row>
    <row r="4476" spans="1:17" x14ac:dyDescent="0.25">
      <c r="A4476">
        <v>733404</v>
      </c>
      <c r="B4476" t="s">
        <v>5788</v>
      </c>
      <c r="C4476">
        <v>1.1399999999999999</v>
      </c>
      <c r="D4476">
        <v>0</v>
      </c>
      <c r="E4476">
        <v>1.1499999999999999</v>
      </c>
      <c r="F4476">
        <v>1.1499999999999999</v>
      </c>
      <c r="G4476">
        <v>1.1399999999999999</v>
      </c>
      <c r="H4476">
        <v>1.1399999999999999</v>
      </c>
      <c r="I4476" s="1">
        <v>336000</v>
      </c>
      <c r="J4476" s="1">
        <v>384040</v>
      </c>
      <c r="K4476">
        <v>4</v>
      </c>
      <c r="L4476">
        <v>1.1100000000000001</v>
      </c>
      <c r="M4476">
        <v>1.1299999999999999</v>
      </c>
      <c r="N4476" s="1">
        <v>10000000</v>
      </c>
      <c r="O4476">
        <v>1.1399999999999999</v>
      </c>
      <c r="P4476">
        <v>2.2599999999999998</v>
      </c>
      <c r="Q4476">
        <v>0.02</v>
      </c>
    </row>
    <row r="4477" spans="1:17" x14ac:dyDescent="0.25">
      <c r="A4477">
        <v>733405</v>
      </c>
      <c r="B4477" t="s">
        <v>5789</v>
      </c>
      <c r="C4477">
        <v>1.3</v>
      </c>
      <c r="D4477">
        <v>0</v>
      </c>
      <c r="E4477">
        <v>1.3</v>
      </c>
      <c r="F4477">
        <v>1.3</v>
      </c>
      <c r="G4477">
        <v>1.3</v>
      </c>
      <c r="H4477">
        <v>1.3</v>
      </c>
      <c r="I4477" s="1">
        <v>3000</v>
      </c>
      <c r="J4477" s="1">
        <v>3900</v>
      </c>
      <c r="K4477">
        <v>1</v>
      </c>
      <c r="L4477">
        <v>1.33</v>
      </c>
      <c r="M4477">
        <v>1.35</v>
      </c>
      <c r="N4477" s="1">
        <v>10000000</v>
      </c>
      <c r="O4477">
        <v>1.3</v>
      </c>
      <c r="P4477">
        <v>1.96</v>
      </c>
      <c r="Q4477">
        <v>0.64</v>
      </c>
    </row>
    <row r="4478" spans="1:17" x14ac:dyDescent="0.25">
      <c r="A4478">
        <v>733406</v>
      </c>
      <c r="B4478" t="s">
        <v>5790</v>
      </c>
      <c r="C4478">
        <v>0.88</v>
      </c>
      <c r="D4478">
        <v>0.1</v>
      </c>
      <c r="E4478">
        <v>0.85</v>
      </c>
      <c r="F4478">
        <v>0.9</v>
      </c>
      <c r="G4478">
        <v>0.84</v>
      </c>
      <c r="H4478">
        <v>0.87</v>
      </c>
      <c r="I4478" s="1">
        <v>507000</v>
      </c>
      <c r="J4478" s="1">
        <v>439700</v>
      </c>
      <c r="K4478">
        <v>11</v>
      </c>
      <c r="L4478">
        <v>0.83</v>
      </c>
      <c r="M4478">
        <v>0.85</v>
      </c>
      <c r="N4478" s="1">
        <v>10000000</v>
      </c>
      <c r="O4478">
        <v>0.88</v>
      </c>
      <c r="P4478">
        <v>1.63</v>
      </c>
      <c r="Q4478">
        <v>0.13</v>
      </c>
    </row>
    <row r="4479" spans="1:17" x14ac:dyDescent="0.25">
      <c r="A4479">
        <v>733407</v>
      </c>
      <c r="B4479" t="s">
        <v>5791</v>
      </c>
      <c r="C4479">
        <v>1.03</v>
      </c>
      <c r="D4479">
        <v>-7.0000000000000007E-2</v>
      </c>
      <c r="E4479">
        <v>1.1000000000000001</v>
      </c>
      <c r="F4479">
        <v>1.1000000000000001</v>
      </c>
      <c r="G4479">
        <v>1.03</v>
      </c>
      <c r="H4479">
        <v>1.05</v>
      </c>
      <c r="I4479" s="1">
        <v>473000</v>
      </c>
      <c r="J4479" s="1">
        <v>496190</v>
      </c>
      <c r="K4479">
        <v>15</v>
      </c>
      <c r="L4479">
        <v>1.02</v>
      </c>
      <c r="M4479">
        <v>1.03</v>
      </c>
      <c r="N4479" s="1">
        <v>10000000</v>
      </c>
      <c r="O4479">
        <v>1.03</v>
      </c>
      <c r="P4479">
        <v>1.57</v>
      </c>
      <c r="Q4479">
        <v>0.49</v>
      </c>
    </row>
    <row r="4480" spans="1:17" x14ac:dyDescent="0.25">
      <c r="A4480">
        <v>733408</v>
      </c>
      <c r="B4480" t="s">
        <v>5792</v>
      </c>
      <c r="C4480">
        <v>0.96</v>
      </c>
      <c r="D4480">
        <v>0.03</v>
      </c>
      <c r="E4480">
        <v>1.02</v>
      </c>
      <c r="F4480">
        <v>1.02</v>
      </c>
      <c r="G4480">
        <v>0.95</v>
      </c>
      <c r="H4480">
        <v>1</v>
      </c>
      <c r="I4480" s="1">
        <v>136000</v>
      </c>
      <c r="J4480" s="1">
        <v>136460</v>
      </c>
      <c r="K4480">
        <v>5</v>
      </c>
      <c r="L4480">
        <v>0.96</v>
      </c>
      <c r="M4480">
        <v>0.99</v>
      </c>
      <c r="N4480" s="1">
        <v>10000000</v>
      </c>
      <c r="O4480">
        <v>0.96</v>
      </c>
      <c r="P4480">
        <v>1.41</v>
      </c>
      <c r="Q4480">
        <v>0.51</v>
      </c>
    </row>
    <row r="4481" spans="1:17" x14ac:dyDescent="0.25">
      <c r="A4481">
        <v>733409</v>
      </c>
      <c r="B4481" t="s">
        <v>5793</v>
      </c>
      <c r="C4481">
        <v>1.46</v>
      </c>
      <c r="D4481">
        <v>0.08</v>
      </c>
      <c r="E4481">
        <v>1.4</v>
      </c>
      <c r="F4481">
        <v>1.49</v>
      </c>
      <c r="G4481">
        <v>1.36</v>
      </c>
      <c r="H4481">
        <v>1.41</v>
      </c>
      <c r="I4481" s="1">
        <v>255000</v>
      </c>
      <c r="J4481" s="1">
        <v>358340</v>
      </c>
      <c r="K4481">
        <v>23</v>
      </c>
      <c r="L4481">
        <v>1.46</v>
      </c>
      <c r="M4481">
        <v>1.47</v>
      </c>
      <c r="N4481" s="1">
        <v>10000000</v>
      </c>
      <c r="O4481">
        <v>1.46</v>
      </c>
      <c r="P4481">
        <v>2.21</v>
      </c>
      <c r="Q4481">
        <v>0.71</v>
      </c>
    </row>
    <row r="4482" spans="1:17" x14ac:dyDescent="0.25">
      <c r="A4482">
        <v>733410</v>
      </c>
      <c r="B4482" t="s">
        <v>5794</v>
      </c>
      <c r="C4482">
        <v>1.28</v>
      </c>
      <c r="D4482">
        <v>-0.02</v>
      </c>
      <c r="E4482">
        <v>1.33</v>
      </c>
      <c r="F4482">
        <v>1.37</v>
      </c>
      <c r="G4482">
        <v>1.28</v>
      </c>
      <c r="H4482">
        <v>1.32</v>
      </c>
      <c r="I4482" s="1">
        <v>460000</v>
      </c>
      <c r="J4482" s="1">
        <v>607930</v>
      </c>
      <c r="K4482">
        <v>14</v>
      </c>
      <c r="L4482">
        <v>1.28</v>
      </c>
      <c r="M4482">
        <v>1.29</v>
      </c>
      <c r="N4482" s="1">
        <v>6900000</v>
      </c>
      <c r="O4482">
        <v>1.28</v>
      </c>
      <c r="P4482">
        <v>2.12</v>
      </c>
      <c r="Q4482">
        <v>0.44</v>
      </c>
    </row>
    <row r="4483" spans="1:17" x14ac:dyDescent="0.25">
      <c r="A4483">
        <v>733411</v>
      </c>
      <c r="B4483" t="s">
        <v>5795</v>
      </c>
      <c r="C4483" t="s">
        <v>78</v>
      </c>
      <c r="D4483" t="s">
        <v>78</v>
      </c>
      <c r="E4483" t="s">
        <v>78</v>
      </c>
      <c r="F4483" t="s">
        <v>78</v>
      </c>
      <c r="G4483" t="s">
        <v>78</v>
      </c>
      <c r="H4483">
        <v>0.42</v>
      </c>
      <c r="I4483" s="1">
        <v>0</v>
      </c>
      <c r="J4483" s="1">
        <v>0</v>
      </c>
      <c r="K4483">
        <v>0</v>
      </c>
      <c r="L4483">
        <v>0.4</v>
      </c>
      <c r="M4483">
        <v>0.41</v>
      </c>
      <c r="N4483" s="1">
        <v>10000000</v>
      </c>
      <c r="O4483">
        <v>0.41</v>
      </c>
      <c r="P4483">
        <v>0.81</v>
      </c>
      <c r="Q4483">
        <v>0.01</v>
      </c>
    </row>
    <row r="4484" spans="1:17" x14ac:dyDescent="0.25">
      <c r="A4484">
        <v>733412</v>
      </c>
      <c r="B4484" t="s">
        <v>5796</v>
      </c>
      <c r="C4484" t="s">
        <v>78</v>
      </c>
      <c r="D4484" t="s">
        <v>78</v>
      </c>
      <c r="E4484" t="s">
        <v>78</v>
      </c>
      <c r="F4484" t="s">
        <v>78</v>
      </c>
      <c r="G4484" t="s">
        <v>78</v>
      </c>
      <c r="H4484">
        <v>0.48</v>
      </c>
      <c r="I4484" s="1">
        <v>0</v>
      </c>
      <c r="J4484" s="1">
        <v>0</v>
      </c>
      <c r="K4484">
        <v>0</v>
      </c>
      <c r="L4484">
        <v>0.44</v>
      </c>
      <c r="M4484">
        <v>0.45</v>
      </c>
      <c r="N4484" s="1">
        <v>10000000</v>
      </c>
      <c r="O4484">
        <v>0.44</v>
      </c>
      <c r="P4484">
        <v>1.06</v>
      </c>
      <c r="Q4484">
        <v>0.01</v>
      </c>
    </row>
    <row r="4485" spans="1:17" x14ac:dyDescent="0.25">
      <c r="A4485">
        <v>733413</v>
      </c>
      <c r="B4485" t="s">
        <v>5797</v>
      </c>
      <c r="C4485">
        <v>0.37</v>
      </c>
      <c r="D4485">
        <v>0</v>
      </c>
      <c r="E4485">
        <v>0.37</v>
      </c>
      <c r="F4485">
        <v>0.37</v>
      </c>
      <c r="G4485">
        <v>0.37</v>
      </c>
      <c r="H4485">
        <v>0.37</v>
      </c>
      <c r="I4485" s="1">
        <v>30000</v>
      </c>
      <c r="J4485" s="1">
        <v>11100</v>
      </c>
      <c r="K4485">
        <v>1</v>
      </c>
      <c r="L4485">
        <v>0.36</v>
      </c>
      <c r="M4485">
        <v>0.37</v>
      </c>
      <c r="N4485" s="1">
        <v>10000000</v>
      </c>
      <c r="O4485">
        <v>0.37</v>
      </c>
      <c r="P4485">
        <v>0.72</v>
      </c>
      <c r="Q4485">
        <v>0.02</v>
      </c>
    </row>
    <row r="4486" spans="1:17" x14ac:dyDescent="0.25">
      <c r="A4486">
        <v>733414</v>
      </c>
      <c r="B4486" t="s">
        <v>5798</v>
      </c>
      <c r="C4486">
        <v>1.86</v>
      </c>
      <c r="D4486">
        <v>0.06</v>
      </c>
      <c r="E4486">
        <v>1.76</v>
      </c>
      <c r="F4486">
        <v>1.86</v>
      </c>
      <c r="G4486">
        <v>1.76</v>
      </c>
      <c r="H4486">
        <v>1.8</v>
      </c>
      <c r="I4486" s="1">
        <v>39000</v>
      </c>
      <c r="J4486" s="1">
        <v>70090</v>
      </c>
      <c r="K4486">
        <v>3</v>
      </c>
      <c r="L4486">
        <v>1.82</v>
      </c>
      <c r="M4486">
        <v>1.83</v>
      </c>
      <c r="N4486" s="1">
        <v>10000000</v>
      </c>
      <c r="O4486">
        <v>1.86</v>
      </c>
      <c r="P4486">
        <v>3</v>
      </c>
      <c r="Q4486">
        <v>0.72</v>
      </c>
    </row>
    <row r="4487" spans="1:17" x14ac:dyDescent="0.25">
      <c r="A4487">
        <v>733415</v>
      </c>
      <c r="B4487" t="s">
        <v>5799</v>
      </c>
      <c r="C4487">
        <v>0.49</v>
      </c>
      <c r="D4487">
        <v>-0.05</v>
      </c>
      <c r="E4487">
        <v>0.49</v>
      </c>
      <c r="F4487">
        <v>0.49</v>
      </c>
      <c r="G4487">
        <v>0.49</v>
      </c>
      <c r="H4487">
        <v>0.49</v>
      </c>
      <c r="I4487" s="1">
        <v>120000</v>
      </c>
      <c r="J4487" s="1">
        <v>58800</v>
      </c>
      <c r="K4487">
        <v>1</v>
      </c>
      <c r="L4487">
        <v>0.49</v>
      </c>
      <c r="M4487">
        <v>0.5</v>
      </c>
      <c r="N4487" s="1">
        <v>5000000</v>
      </c>
      <c r="O4487">
        <v>0.49</v>
      </c>
      <c r="P4487">
        <v>1.69</v>
      </c>
      <c r="Q4487">
        <v>0.01</v>
      </c>
    </row>
    <row r="4488" spans="1:17" x14ac:dyDescent="0.25">
      <c r="A4488">
        <v>733416</v>
      </c>
      <c r="B4488" t="s">
        <v>5800</v>
      </c>
      <c r="C4488">
        <v>0.65</v>
      </c>
      <c r="D4488">
        <v>7.0000000000000007E-2</v>
      </c>
      <c r="E4488">
        <v>0.62</v>
      </c>
      <c r="F4488">
        <v>0.73</v>
      </c>
      <c r="G4488">
        <v>0.62</v>
      </c>
      <c r="H4488">
        <v>0.69</v>
      </c>
      <c r="I4488" s="1">
        <v>57000</v>
      </c>
      <c r="J4488" s="1">
        <v>39130</v>
      </c>
      <c r="K4488">
        <v>18</v>
      </c>
      <c r="L4488">
        <v>0.63</v>
      </c>
      <c r="M4488">
        <v>0.65</v>
      </c>
      <c r="N4488" s="1">
        <v>5000000</v>
      </c>
      <c r="O4488">
        <v>0.65</v>
      </c>
      <c r="P4488">
        <v>1.51</v>
      </c>
      <c r="Q4488">
        <v>0.01</v>
      </c>
    </row>
    <row r="4489" spans="1:17" x14ac:dyDescent="0.25">
      <c r="A4489">
        <v>733417</v>
      </c>
      <c r="B4489" t="s">
        <v>5801</v>
      </c>
      <c r="C4489">
        <v>0.44</v>
      </c>
      <c r="D4489">
        <v>0</v>
      </c>
      <c r="E4489">
        <v>0.44</v>
      </c>
      <c r="F4489">
        <v>0.44</v>
      </c>
      <c r="G4489">
        <v>0.44</v>
      </c>
      <c r="H4489">
        <v>0.44</v>
      </c>
      <c r="I4489" s="1">
        <v>2000</v>
      </c>
      <c r="J4489" s="1">
        <v>880</v>
      </c>
      <c r="K4489">
        <v>1</v>
      </c>
      <c r="L4489">
        <v>0.43</v>
      </c>
      <c r="M4489">
        <v>0.44</v>
      </c>
      <c r="N4489" s="1">
        <v>10000000</v>
      </c>
      <c r="O4489">
        <v>0.44</v>
      </c>
      <c r="P4489">
        <v>0.89</v>
      </c>
      <c r="Q4489">
        <v>0.01</v>
      </c>
    </row>
    <row r="4490" spans="1:17" x14ac:dyDescent="0.25">
      <c r="A4490">
        <v>733418</v>
      </c>
      <c r="B4490" t="s">
        <v>5802</v>
      </c>
      <c r="C4490">
        <v>0.8</v>
      </c>
      <c r="D4490">
        <v>0.02</v>
      </c>
      <c r="E4490">
        <v>0.8</v>
      </c>
      <c r="F4490">
        <v>0.8</v>
      </c>
      <c r="G4490">
        <v>0.8</v>
      </c>
      <c r="H4490">
        <v>0.8</v>
      </c>
      <c r="I4490" s="1">
        <v>10000</v>
      </c>
      <c r="J4490" s="1">
        <v>8000</v>
      </c>
      <c r="K4490">
        <v>1</v>
      </c>
      <c r="L4490">
        <v>0.75</v>
      </c>
      <c r="M4490">
        <v>0.76</v>
      </c>
      <c r="N4490" s="1">
        <v>5000000</v>
      </c>
      <c r="O4490">
        <v>0.8</v>
      </c>
      <c r="P4490">
        <v>1.59</v>
      </c>
      <c r="Q4490">
        <v>0.01</v>
      </c>
    </row>
    <row r="4491" spans="1:17" x14ac:dyDescent="0.25">
      <c r="A4491">
        <v>733419</v>
      </c>
      <c r="B4491" t="s">
        <v>5803</v>
      </c>
      <c r="C4491">
        <v>1.99</v>
      </c>
      <c r="D4491">
        <v>-0.04</v>
      </c>
      <c r="E4491">
        <v>2.15</v>
      </c>
      <c r="F4491">
        <v>2.2000000000000002</v>
      </c>
      <c r="G4491">
        <v>1.98</v>
      </c>
      <c r="H4491">
        <v>2.11</v>
      </c>
      <c r="I4491" s="1">
        <v>450000</v>
      </c>
      <c r="J4491" s="1">
        <v>950250</v>
      </c>
      <c r="K4491">
        <v>15</v>
      </c>
      <c r="L4491">
        <v>1.96</v>
      </c>
      <c r="M4491">
        <v>1.97</v>
      </c>
      <c r="N4491" s="1">
        <v>5000000</v>
      </c>
      <c r="O4491">
        <v>1.99</v>
      </c>
      <c r="P4491">
        <v>4.3600000000000003</v>
      </c>
      <c r="Q4491">
        <v>0.01</v>
      </c>
    </row>
    <row r="4492" spans="1:17" x14ac:dyDescent="0.25">
      <c r="A4492">
        <v>733420</v>
      </c>
      <c r="B4492" t="s">
        <v>5804</v>
      </c>
      <c r="C4492">
        <v>1.33</v>
      </c>
      <c r="D4492">
        <v>0</v>
      </c>
      <c r="E4492">
        <v>1.34</v>
      </c>
      <c r="F4492">
        <v>1.34</v>
      </c>
      <c r="G4492">
        <v>1.33</v>
      </c>
      <c r="H4492">
        <v>1.34</v>
      </c>
      <c r="I4492" s="1">
        <v>70000</v>
      </c>
      <c r="J4492" s="1">
        <v>93500</v>
      </c>
      <c r="K4492">
        <v>9</v>
      </c>
      <c r="L4492">
        <v>1.27</v>
      </c>
      <c r="M4492">
        <v>1.29</v>
      </c>
      <c r="N4492" s="1">
        <v>10000000</v>
      </c>
      <c r="O4492">
        <v>1.33</v>
      </c>
      <c r="P4492">
        <v>1.94</v>
      </c>
      <c r="Q4492">
        <v>0.72</v>
      </c>
    </row>
    <row r="4493" spans="1:17" x14ac:dyDescent="0.25">
      <c r="A4493">
        <v>733421</v>
      </c>
      <c r="B4493" t="s">
        <v>5805</v>
      </c>
      <c r="C4493">
        <v>0.75</v>
      </c>
      <c r="D4493">
        <v>7.0000000000000007E-2</v>
      </c>
      <c r="E4493">
        <v>0.67</v>
      </c>
      <c r="F4493">
        <v>0.75</v>
      </c>
      <c r="G4493">
        <v>0.67</v>
      </c>
      <c r="H4493">
        <v>0.73</v>
      </c>
      <c r="I4493" s="1">
        <v>460000</v>
      </c>
      <c r="J4493" s="1">
        <v>334600</v>
      </c>
      <c r="K4493">
        <v>19</v>
      </c>
      <c r="L4493">
        <v>0.74</v>
      </c>
      <c r="M4493">
        <v>0.78</v>
      </c>
      <c r="N4493" s="1">
        <v>10000000</v>
      </c>
      <c r="O4493">
        <v>0.75</v>
      </c>
      <c r="P4493">
        <v>1.59</v>
      </c>
      <c r="Q4493">
        <v>0.01</v>
      </c>
    </row>
    <row r="4494" spans="1:17" x14ac:dyDescent="0.25">
      <c r="A4494">
        <v>733422</v>
      </c>
      <c r="B4494" t="s">
        <v>5806</v>
      </c>
      <c r="C4494">
        <v>0.95</v>
      </c>
      <c r="D4494">
        <v>0.09</v>
      </c>
      <c r="E4494">
        <v>0.9</v>
      </c>
      <c r="F4494">
        <v>0.96</v>
      </c>
      <c r="G4494">
        <v>0.9</v>
      </c>
      <c r="H4494">
        <v>0.94</v>
      </c>
      <c r="I4494" s="1">
        <v>772000</v>
      </c>
      <c r="J4494" s="1">
        <v>727740</v>
      </c>
      <c r="K4494">
        <v>41</v>
      </c>
      <c r="L4494">
        <v>0.94</v>
      </c>
      <c r="M4494">
        <v>0.95</v>
      </c>
      <c r="N4494" s="1">
        <v>10000000</v>
      </c>
      <c r="O4494">
        <v>0.95</v>
      </c>
      <c r="P4494">
        <v>1.47</v>
      </c>
      <c r="Q4494">
        <v>0.41</v>
      </c>
    </row>
    <row r="4495" spans="1:17" x14ac:dyDescent="0.25">
      <c r="A4495">
        <v>733423</v>
      </c>
      <c r="B4495" t="s">
        <v>5807</v>
      </c>
      <c r="C4495">
        <v>0.34</v>
      </c>
      <c r="D4495">
        <v>-0.01</v>
      </c>
      <c r="E4495">
        <v>0.36</v>
      </c>
      <c r="F4495">
        <v>0.38</v>
      </c>
      <c r="G4495">
        <v>0.33</v>
      </c>
      <c r="H4495">
        <v>0.36</v>
      </c>
      <c r="I4495" s="1">
        <v>192000</v>
      </c>
      <c r="J4495" s="1">
        <v>68300</v>
      </c>
      <c r="K4495">
        <v>16</v>
      </c>
      <c r="L4495">
        <v>0.33</v>
      </c>
      <c r="M4495">
        <v>0.34</v>
      </c>
      <c r="N4495" s="1">
        <v>10000000</v>
      </c>
      <c r="O4495">
        <v>0.34</v>
      </c>
      <c r="P4495">
        <v>0.65</v>
      </c>
      <c r="Q4495">
        <v>0.03</v>
      </c>
    </row>
    <row r="4496" spans="1:17" x14ac:dyDescent="0.25">
      <c r="A4496">
        <v>733424</v>
      </c>
      <c r="B4496" t="s">
        <v>5808</v>
      </c>
      <c r="C4496">
        <v>0.64</v>
      </c>
      <c r="D4496">
        <v>0.02</v>
      </c>
      <c r="E4496">
        <v>0.6</v>
      </c>
      <c r="F4496">
        <v>0.69</v>
      </c>
      <c r="G4496">
        <v>0.59</v>
      </c>
      <c r="H4496">
        <v>0.63</v>
      </c>
      <c r="I4496" s="1">
        <v>1025000</v>
      </c>
      <c r="J4496" s="1">
        <v>645690</v>
      </c>
      <c r="K4496">
        <v>17</v>
      </c>
      <c r="L4496">
        <v>0.63</v>
      </c>
      <c r="M4496">
        <v>0.64</v>
      </c>
      <c r="N4496" s="1">
        <v>5000000</v>
      </c>
      <c r="O4496">
        <v>0.64</v>
      </c>
      <c r="P4496">
        <v>1.3</v>
      </c>
      <c r="Q4496">
        <v>0.01</v>
      </c>
    </row>
    <row r="4497" spans="1:17" x14ac:dyDescent="0.25">
      <c r="A4497">
        <v>733425</v>
      </c>
      <c r="B4497" t="s">
        <v>5809</v>
      </c>
      <c r="C4497">
        <v>1</v>
      </c>
      <c r="D4497">
        <v>0.04</v>
      </c>
      <c r="E4497">
        <v>1.01</v>
      </c>
      <c r="F4497">
        <v>1.01</v>
      </c>
      <c r="G4497">
        <v>1</v>
      </c>
      <c r="H4497">
        <v>1.01</v>
      </c>
      <c r="I4497" s="1">
        <v>81000</v>
      </c>
      <c r="J4497" s="1">
        <v>81700</v>
      </c>
      <c r="K4497">
        <v>6</v>
      </c>
      <c r="L4497">
        <v>0.99</v>
      </c>
      <c r="M4497">
        <v>1</v>
      </c>
      <c r="N4497" s="1">
        <v>5000000</v>
      </c>
      <c r="O4497">
        <v>1</v>
      </c>
      <c r="P4497">
        <v>1.8</v>
      </c>
      <c r="Q4497">
        <v>0.2</v>
      </c>
    </row>
    <row r="4498" spans="1:17" x14ac:dyDescent="0.25">
      <c r="A4498">
        <v>733426</v>
      </c>
      <c r="B4498" t="s">
        <v>5810</v>
      </c>
      <c r="C4498">
        <v>0.62</v>
      </c>
      <c r="D4498">
        <v>-0.03</v>
      </c>
      <c r="E4498">
        <v>0.62</v>
      </c>
      <c r="F4498">
        <v>0.62</v>
      </c>
      <c r="G4498">
        <v>0.62</v>
      </c>
      <c r="H4498">
        <v>0.62</v>
      </c>
      <c r="I4498" s="1">
        <v>100000</v>
      </c>
      <c r="J4498" s="1">
        <v>62000</v>
      </c>
      <c r="K4498">
        <v>2</v>
      </c>
      <c r="L4498">
        <v>0.66</v>
      </c>
      <c r="M4498">
        <v>0.67</v>
      </c>
      <c r="N4498" s="1">
        <v>5000000</v>
      </c>
      <c r="O4498">
        <v>0.62</v>
      </c>
      <c r="P4498">
        <v>1.25</v>
      </c>
      <c r="Q4498">
        <v>0.01</v>
      </c>
    </row>
    <row r="4499" spans="1:17" x14ac:dyDescent="0.25">
      <c r="A4499">
        <v>733427</v>
      </c>
      <c r="B4499" t="s">
        <v>5811</v>
      </c>
      <c r="C4499">
        <v>0.7</v>
      </c>
      <c r="D4499">
        <v>0</v>
      </c>
      <c r="E4499">
        <v>0.73</v>
      </c>
      <c r="F4499">
        <v>0.73</v>
      </c>
      <c r="G4499">
        <v>0.7</v>
      </c>
      <c r="H4499">
        <v>0.71</v>
      </c>
      <c r="I4499" s="1">
        <v>75000</v>
      </c>
      <c r="J4499" s="1">
        <v>53450</v>
      </c>
      <c r="K4499">
        <v>6</v>
      </c>
      <c r="L4499">
        <v>0.7</v>
      </c>
      <c r="M4499">
        <v>0.71</v>
      </c>
      <c r="N4499" s="1">
        <v>5000000</v>
      </c>
      <c r="O4499">
        <v>0.7</v>
      </c>
      <c r="P4499">
        <v>1.45</v>
      </c>
      <c r="Q4499">
        <v>0.01</v>
      </c>
    </row>
    <row r="4500" spans="1:17" x14ac:dyDescent="0.25">
      <c r="A4500">
        <v>733428</v>
      </c>
      <c r="B4500" t="s">
        <v>5812</v>
      </c>
      <c r="C4500">
        <v>0.71</v>
      </c>
      <c r="D4500">
        <v>0.01</v>
      </c>
      <c r="E4500">
        <v>0.69</v>
      </c>
      <c r="F4500">
        <v>0.72</v>
      </c>
      <c r="G4500">
        <v>0.69</v>
      </c>
      <c r="H4500">
        <v>0.7</v>
      </c>
      <c r="I4500" s="1">
        <v>56000</v>
      </c>
      <c r="J4500" s="1">
        <v>39360</v>
      </c>
      <c r="K4500">
        <v>8</v>
      </c>
      <c r="L4500">
        <v>0.71</v>
      </c>
      <c r="M4500">
        <v>0.72</v>
      </c>
      <c r="N4500" s="1">
        <v>5000000</v>
      </c>
      <c r="O4500">
        <v>0.71</v>
      </c>
      <c r="P4500">
        <v>1.36</v>
      </c>
      <c r="Q4500">
        <v>0.06</v>
      </c>
    </row>
    <row r="4501" spans="1:17" x14ac:dyDescent="0.25">
      <c r="A4501">
        <v>733429</v>
      </c>
      <c r="B4501" t="s">
        <v>5813</v>
      </c>
      <c r="C4501">
        <v>0.93</v>
      </c>
      <c r="D4501">
        <v>-0.04</v>
      </c>
      <c r="E4501">
        <v>0.95</v>
      </c>
      <c r="F4501">
        <v>0.95</v>
      </c>
      <c r="G4501">
        <v>0.93</v>
      </c>
      <c r="H4501">
        <v>0.93</v>
      </c>
      <c r="I4501" s="1">
        <v>92000</v>
      </c>
      <c r="J4501" s="1">
        <v>85740</v>
      </c>
      <c r="K4501">
        <v>3</v>
      </c>
      <c r="L4501">
        <v>0.92</v>
      </c>
      <c r="M4501">
        <v>0.93</v>
      </c>
      <c r="N4501" s="1">
        <v>10000000</v>
      </c>
      <c r="O4501">
        <v>0.93</v>
      </c>
      <c r="P4501">
        <v>1.5</v>
      </c>
      <c r="Q4501">
        <v>0.36</v>
      </c>
    </row>
    <row r="4502" spans="1:17" x14ac:dyDescent="0.25">
      <c r="A4502">
        <v>733430</v>
      </c>
      <c r="B4502" t="s">
        <v>5814</v>
      </c>
      <c r="C4502">
        <v>0.62</v>
      </c>
      <c r="D4502">
        <v>-7.0000000000000007E-2</v>
      </c>
      <c r="E4502">
        <v>0.63</v>
      </c>
      <c r="F4502">
        <v>0.63</v>
      </c>
      <c r="G4502">
        <v>0.62</v>
      </c>
      <c r="H4502">
        <v>0.63</v>
      </c>
      <c r="I4502" s="1">
        <v>6000</v>
      </c>
      <c r="J4502" s="1">
        <v>3770</v>
      </c>
      <c r="K4502">
        <v>2</v>
      </c>
      <c r="L4502">
        <v>0.61</v>
      </c>
      <c r="M4502">
        <v>0.62</v>
      </c>
      <c r="N4502" s="1">
        <v>10000000</v>
      </c>
      <c r="O4502">
        <v>0.62</v>
      </c>
      <c r="P4502">
        <v>1.34</v>
      </c>
      <c r="Q4502">
        <v>0.01</v>
      </c>
    </row>
    <row r="4503" spans="1:17" x14ac:dyDescent="0.25">
      <c r="A4503">
        <v>733431</v>
      </c>
      <c r="B4503" t="s">
        <v>5815</v>
      </c>
      <c r="C4503" t="s">
        <v>78</v>
      </c>
      <c r="D4503" t="s">
        <v>78</v>
      </c>
      <c r="E4503" t="s">
        <v>78</v>
      </c>
      <c r="F4503" t="s">
        <v>78</v>
      </c>
      <c r="G4503" t="s">
        <v>78</v>
      </c>
      <c r="H4503">
        <v>0.57999999999999996</v>
      </c>
      <c r="I4503" s="1">
        <v>0</v>
      </c>
      <c r="J4503" s="1">
        <v>0</v>
      </c>
      <c r="K4503">
        <v>0</v>
      </c>
      <c r="L4503">
        <v>0.55000000000000004</v>
      </c>
      <c r="M4503">
        <v>0.56000000000000005</v>
      </c>
      <c r="N4503" s="1">
        <v>5000000</v>
      </c>
      <c r="O4503">
        <v>0.56000000000000005</v>
      </c>
      <c r="P4503">
        <v>1.1399999999999999</v>
      </c>
      <c r="Q4503">
        <v>0.01</v>
      </c>
    </row>
    <row r="4504" spans="1:17" x14ac:dyDescent="0.25">
      <c r="A4504">
        <v>733432</v>
      </c>
      <c r="B4504" t="s">
        <v>5816</v>
      </c>
      <c r="C4504">
        <v>0.63</v>
      </c>
      <c r="D4504">
        <v>0</v>
      </c>
      <c r="E4504">
        <v>0.65</v>
      </c>
      <c r="F4504">
        <v>0.67</v>
      </c>
      <c r="G4504">
        <v>0.63</v>
      </c>
      <c r="H4504">
        <v>0.65</v>
      </c>
      <c r="I4504" s="1">
        <v>841000</v>
      </c>
      <c r="J4504" s="1">
        <v>545280</v>
      </c>
      <c r="K4504">
        <v>30</v>
      </c>
      <c r="L4504">
        <v>0.61</v>
      </c>
      <c r="M4504">
        <v>0.62</v>
      </c>
      <c r="N4504" s="1">
        <v>10000000</v>
      </c>
      <c r="O4504">
        <v>0.63</v>
      </c>
      <c r="P4504">
        <v>0.99</v>
      </c>
      <c r="Q4504">
        <v>0.27</v>
      </c>
    </row>
    <row r="4505" spans="1:17" x14ac:dyDescent="0.25">
      <c r="A4505">
        <v>733433</v>
      </c>
      <c r="B4505" t="s">
        <v>5817</v>
      </c>
      <c r="C4505">
        <v>1.22</v>
      </c>
      <c r="D4505">
        <v>0</v>
      </c>
      <c r="E4505">
        <v>1.3</v>
      </c>
      <c r="F4505">
        <v>1.3</v>
      </c>
      <c r="G4505">
        <v>1.22</v>
      </c>
      <c r="H4505">
        <v>1.29</v>
      </c>
      <c r="I4505" s="1">
        <v>276000</v>
      </c>
      <c r="J4505" s="1">
        <v>354950</v>
      </c>
      <c r="K4505">
        <v>7</v>
      </c>
      <c r="L4505">
        <v>1.22</v>
      </c>
      <c r="M4505">
        <v>1.25</v>
      </c>
      <c r="N4505" s="1">
        <v>10000000</v>
      </c>
      <c r="O4505">
        <v>1.22</v>
      </c>
      <c r="P4505">
        <v>1.89</v>
      </c>
      <c r="Q4505">
        <v>0.55000000000000004</v>
      </c>
    </row>
    <row r="4506" spans="1:17" x14ac:dyDescent="0.25">
      <c r="A4506">
        <v>733434</v>
      </c>
      <c r="B4506" t="s">
        <v>5818</v>
      </c>
      <c r="C4506">
        <v>0.56999999999999995</v>
      </c>
      <c r="D4506">
        <v>-0.01</v>
      </c>
      <c r="E4506">
        <v>0.59</v>
      </c>
      <c r="F4506">
        <v>0.59</v>
      </c>
      <c r="G4506">
        <v>0.56999999999999995</v>
      </c>
      <c r="H4506">
        <v>0.59</v>
      </c>
      <c r="I4506" s="1">
        <v>380000</v>
      </c>
      <c r="J4506" s="1">
        <v>222600</v>
      </c>
      <c r="K4506">
        <v>4</v>
      </c>
      <c r="L4506">
        <v>0.56999999999999995</v>
      </c>
      <c r="M4506">
        <v>0.57999999999999996</v>
      </c>
      <c r="N4506" s="1">
        <v>5000000</v>
      </c>
      <c r="O4506">
        <v>0.56999999999999995</v>
      </c>
      <c r="P4506">
        <v>1.38</v>
      </c>
      <c r="Q4506">
        <v>0.01</v>
      </c>
    </row>
    <row r="4507" spans="1:17" x14ac:dyDescent="0.25">
      <c r="A4507">
        <v>733435</v>
      </c>
      <c r="B4507" t="s">
        <v>5819</v>
      </c>
      <c r="C4507">
        <v>1.26</v>
      </c>
      <c r="D4507">
        <v>0.05</v>
      </c>
      <c r="E4507">
        <v>1.32</v>
      </c>
      <c r="F4507">
        <v>1.42</v>
      </c>
      <c r="G4507">
        <v>1.26</v>
      </c>
      <c r="H4507">
        <v>1.34</v>
      </c>
      <c r="I4507" s="1">
        <v>564000</v>
      </c>
      <c r="J4507" s="1">
        <v>756870</v>
      </c>
      <c r="K4507">
        <v>23</v>
      </c>
      <c r="L4507">
        <v>1.25</v>
      </c>
      <c r="M4507">
        <v>1.26</v>
      </c>
      <c r="N4507" s="1">
        <v>5000000</v>
      </c>
      <c r="O4507">
        <v>1.26</v>
      </c>
      <c r="P4507">
        <v>2.02</v>
      </c>
      <c r="Q4507">
        <v>0.5</v>
      </c>
    </row>
    <row r="4508" spans="1:17" x14ac:dyDescent="0.25">
      <c r="A4508">
        <v>733436</v>
      </c>
      <c r="B4508" t="s">
        <v>5820</v>
      </c>
      <c r="C4508">
        <v>0.64</v>
      </c>
      <c r="D4508">
        <v>0.01</v>
      </c>
      <c r="E4508">
        <v>0.65</v>
      </c>
      <c r="F4508">
        <v>0.68</v>
      </c>
      <c r="G4508">
        <v>0.62</v>
      </c>
      <c r="H4508">
        <v>0.65</v>
      </c>
      <c r="I4508" s="1">
        <v>1323000</v>
      </c>
      <c r="J4508" s="1">
        <v>859460</v>
      </c>
      <c r="K4508">
        <v>13</v>
      </c>
      <c r="L4508">
        <v>0.63</v>
      </c>
      <c r="M4508">
        <v>0.67</v>
      </c>
      <c r="N4508" s="1">
        <v>10000000</v>
      </c>
      <c r="O4508">
        <v>0.64</v>
      </c>
      <c r="P4508">
        <v>1.07</v>
      </c>
      <c r="Q4508">
        <v>0.21</v>
      </c>
    </row>
    <row r="4509" spans="1:17" x14ac:dyDescent="0.25">
      <c r="A4509">
        <v>733437</v>
      </c>
      <c r="B4509" t="s">
        <v>5821</v>
      </c>
      <c r="C4509">
        <v>0.76</v>
      </c>
      <c r="D4509">
        <v>-0.08</v>
      </c>
      <c r="E4509">
        <v>0.76</v>
      </c>
      <c r="F4509">
        <v>0.8</v>
      </c>
      <c r="G4509">
        <v>0.76</v>
      </c>
      <c r="H4509">
        <v>0.77</v>
      </c>
      <c r="I4509" s="1">
        <v>522000</v>
      </c>
      <c r="J4509" s="1">
        <v>400780</v>
      </c>
      <c r="K4509">
        <v>6</v>
      </c>
      <c r="L4509">
        <v>0.72</v>
      </c>
      <c r="M4509">
        <v>0.74</v>
      </c>
      <c r="N4509" s="1">
        <v>10000000</v>
      </c>
      <c r="O4509">
        <v>0.76</v>
      </c>
      <c r="P4509">
        <v>1.45</v>
      </c>
      <c r="Q4509">
        <v>7.0000000000000007E-2</v>
      </c>
    </row>
    <row r="4510" spans="1:17" x14ac:dyDescent="0.25">
      <c r="A4510">
        <v>733438</v>
      </c>
      <c r="B4510" t="s">
        <v>5822</v>
      </c>
      <c r="C4510" t="s">
        <v>78</v>
      </c>
      <c r="D4510" t="s">
        <v>78</v>
      </c>
      <c r="E4510" t="s">
        <v>78</v>
      </c>
      <c r="F4510" t="s">
        <v>78</v>
      </c>
      <c r="G4510" t="s">
        <v>78</v>
      </c>
      <c r="H4510">
        <v>0.3</v>
      </c>
      <c r="I4510" s="1">
        <v>0</v>
      </c>
      <c r="J4510" s="1">
        <v>0</v>
      </c>
      <c r="K4510">
        <v>0</v>
      </c>
      <c r="L4510">
        <v>0.28000000000000003</v>
      </c>
      <c r="M4510">
        <v>0.28999999999999998</v>
      </c>
      <c r="N4510" s="1">
        <v>5000000</v>
      </c>
      <c r="O4510">
        <v>0.28999999999999998</v>
      </c>
      <c r="P4510">
        <v>1.05</v>
      </c>
      <c r="Q4510">
        <v>0.01</v>
      </c>
    </row>
    <row r="4511" spans="1:17" x14ac:dyDescent="0.25">
      <c r="A4511">
        <v>733439</v>
      </c>
      <c r="B4511" t="s">
        <v>5823</v>
      </c>
      <c r="C4511">
        <v>0.47</v>
      </c>
      <c r="D4511">
        <v>0.02</v>
      </c>
      <c r="E4511">
        <v>0.45</v>
      </c>
      <c r="F4511">
        <v>0.47</v>
      </c>
      <c r="G4511">
        <v>0.45</v>
      </c>
      <c r="H4511">
        <v>0.46</v>
      </c>
      <c r="I4511" s="1">
        <v>458000</v>
      </c>
      <c r="J4511" s="1">
        <v>210050</v>
      </c>
      <c r="K4511">
        <v>5</v>
      </c>
      <c r="L4511">
        <v>0.46</v>
      </c>
      <c r="M4511">
        <v>0.47</v>
      </c>
      <c r="N4511" s="1">
        <v>5000000</v>
      </c>
      <c r="O4511">
        <v>0.47</v>
      </c>
      <c r="P4511">
        <v>0.88</v>
      </c>
      <c r="Q4511">
        <v>0.06</v>
      </c>
    </row>
    <row r="4512" spans="1:17" x14ac:dyDescent="0.25">
      <c r="A4512">
        <v>733440</v>
      </c>
      <c r="B4512" t="s">
        <v>5824</v>
      </c>
      <c r="C4512">
        <v>0.91</v>
      </c>
      <c r="D4512">
        <v>0.02</v>
      </c>
      <c r="E4512">
        <v>0.91</v>
      </c>
      <c r="F4512">
        <v>0.96</v>
      </c>
      <c r="G4512">
        <v>0.91</v>
      </c>
      <c r="H4512">
        <v>0.94</v>
      </c>
      <c r="I4512" s="1">
        <v>772000</v>
      </c>
      <c r="J4512" s="1">
        <v>727280</v>
      </c>
      <c r="K4512">
        <v>16</v>
      </c>
      <c r="L4512">
        <v>0.91</v>
      </c>
      <c r="M4512">
        <v>0.92</v>
      </c>
      <c r="N4512" s="1">
        <v>10000000</v>
      </c>
      <c r="O4512">
        <v>0.91</v>
      </c>
      <c r="P4512">
        <v>1.45</v>
      </c>
      <c r="Q4512">
        <v>0.37</v>
      </c>
    </row>
    <row r="4513" spans="1:17" x14ac:dyDescent="0.25">
      <c r="A4513">
        <v>733441</v>
      </c>
      <c r="B4513" t="s">
        <v>5825</v>
      </c>
      <c r="C4513">
        <v>0.65</v>
      </c>
      <c r="D4513">
        <v>-0.02</v>
      </c>
      <c r="E4513">
        <v>0.65</v>
      </c>
      <c r="F4513">
        <v>0.66</v>
      </c>
      <c r="G4513">
        <v>0.63</v>
      </c>
      <c r="H4513">
        <v>0.65</v>
      </c>
      <c r="I4513" s="1">
        <v>665000</v>
      </c>
      <c r="J4513" s="1">
        <v>429100</v>
      </c>
      <c r="K4513">
        <v>10</v>
      </c>
      <c r="L4513">
        <v>0.65</v>
      </c>
      <c r="M4513">
        <v>0.66</v>
      </c>
      <c r="N4513" s="1">
        <v>10000000</v>
      </c>
      <c r="O4513">
        <v>0.65</v>
      </c>
      <c r="P4513">
        <v>1.06</v>
      </c>
      <c r="Q4513">
        <v>0.24</v>
      </c>
    </row>
    <row r="4514" spans="1:17" x14ac:dyDescent="0.25">
      <c r="A4514">
        <v>733442</v>
      </c>
      <c r="B4514" t="s">
        <v>5826</v>
      </c>
      <c r="C4514">
        <v>0.92</v>
      </c>
      <c r="D4514">
        <v>-0.01</v>
      </c>
      <c r="E4514">
        <v>0.95</v>
      </c>
      <c r="F4514">
        <v>0.99</v>
      </c>
      <c r="G4514">
        <v>0.92</v>
      </c>
      <c r="H4514">
        <v>0.95</v>
      </c>
      <c r="I4514" s="1">
        <v>322000</v>
      </c>
      <c r="J4514" s="1">
        <v>305820</v>
      </c>
      <c r="K4514">
        <v>21</v>
      </c>
      <c r="L4514">
        <v>0.91</v>
      </c>
      <c r="M4514">
        <v>0.93</v>
      </c>
      <c r="N4514" s="1">
        <v>10000000</v>
      </c>
      <c r="O4514">
        <v>0.92</v>
      </c>
      <c r="P4514">
        <v>1.67</v>
      </c>
      <c r="Q4514">
        <v>0.17</v>
      </c>
    </row>
    <row r="4515" spans="1:17" x14ac:dyDescent="0.25">
      <c r="A4515">
        <v>733443</v>
      </c>
      <c r="B4515" t="s">
        <v>5827</v>
      </c>
      <c r="C4515" t="s">
        <v>78</v>
      </c>
      <c r="D4515" t="s">
        <v>78</v>
      </c>
      <c r="E4515" t="s">
        <v>78</v>
      </c>
      <c r="F4515" t="s">
        <v>78</v>
      </c>
      <c r="G4515" t="s">
        <v>78</v>
      </c>
      <c r="H4515">
        <v>0.45</v>
      </c>
      <c r="I4515" s="1">
        <v>0</v>
      </c>
      <c r="J4515" s="1">
        <v>0</v>
      </c>
      <c r="K4515">
        <v>0</v>
      </c>
      <c r="L4515">
        <v>0.4</v>
      </c>
      <c r="M4515">
        <v>0.41</v>
      </c>
      <c r="N4515" s="1">
        <v>10000000</v>
      </c>
      <c r="O4515">
        <v>0.41</v>
      </c>
      <c r="P4515">
        <v>1.23</v>
      </c>
      <c r="Q4515">
        <v>0.01</v>
      </c>
    </row>
    <row r="4516" spans="1:17" x14ac:dyDescent="0.25">
      <c r="A4516">
        <v>733444</v>
      </c>
      <c r="B4516" t="s">
        <v>5828</v>
      </c>
      <c r="C4516">
        <v>0.9</v>
      </c>
      <c r="D4516">
        <v>0.1</v>
      </c>
      <c r="E4516">
        <v>0.8</v>
      </c>
      <c r="F4516">
        <v>0.9</v>
      </c>
      <c r="G4516">
        <v>0.77</v>
      </c>
      <c r="H4516">
        <v>0.79</v>
      </c>
      <c r="I4516" s="1">
        <v>678000</v>
      </c>
      <c r="J4516" s="1">
        <v>538710</v>
      </c>
      <c r="K4516">
        <v>13</v>
      </c>
      <c r="L4516">
        <v>0.84</v>
      </c>
      <c r="M4516">
        <v>0.85</v>
      </c>
      <c r="N4516" s="1">
        <v>10000000</v>
      </c>
      <c r="O4516">
        <v>0.9</v>
      </c>
      <c r="P4516">
        <v>1.79</v>
      </c>
      <c r="Q4516">
        <v>0.01</v>
      </c>
    </row>
    <row r="4517" spans="1:17" x14ac:dyDescent="0.25">
      <c r="A4517">
        <v>733445</v>
      </c>
      <c r="B4517" t="s">
        <v>5829</v>
      </c>
      <c r="C4517">
        <v>0.5</v>
      </c>
      <c r="D4517">
        <v>0.03</v>
      </c>
      <c r="E4517">
        <v>0.5</v>
      </c>
      <c r="F4517">
        <v>0.5</v>
      </c>
      <c r="G4517">
        <v>0.5</v>
      </c>
      <c r="H4517">
        <v>0.5</v>
      </c>
      <c r="I4517" s="1">
        <v>20000</v>
      </c>
      <c r="J4517" s="1">
        <v>10000</v>
      </c>
      <c r="K4517">
        <v>1</v>
      </c>
      <c r="L4517">
        <v>0.48</v>
      </c>
      <c r="M4517">
        <v>0.49</v>
      </c>
      <c r="N4517" s="1">
        <v>5000000</v>
      </c>
      <c r="O4517">
        <v>0.5</v>
      </c>
      <c r="P4517">
        <v>1.1200000000000001</v>
      </c>
      <c r="Q4517">
        <v>0.01</v>
      </c>
    </row>
    <row r="4518" spans="1:17" x14ac:dyDescent="0.25">
      <c r="A4518">
        <v>733446</v>
      </c>
      <c r="B4518" t="s">
        <v>5830</v>
      </c>
      <c r="C4518">
        <v>1.58</v>
      </c>
      <c r="D4518">
        <v>-0.03</v>
      </c>
      <c r="E4518">
        <v>1.63</v>
      </c>
      <c r="F4518">
        <v>1.63</v>
      </c>
      <c r="G4518">
        <v>1.58</v>
      </c>
      <c r="H4518">
        <v>1.59</v>
      </c>
      <c r="I4518" s="1">
        <v>186000</v>
      </c>
      <c r="J4518" s="1">
        <v>296430</v>
      </c>
      <c r="K4518">
        <v>3</v>
      </c>
      <c r="L4518">
        <v>1.57</v>
      </c>
      <c r="M4518">
        <v>1.59</v>
      </c>
      <c r="N4518" s="1">
        <v>5000000</v>
      </c>
      <c r="O4518">
        <v>1.58</v>
      </c>
      <c r="P4518">
        <v>2.76</v>
      </c>
      <c r="Q4518">
        <v>0.4</v>
      </c>
    </row>
    <row r="4519" spans="1:17" x14ac:dyDescent="0.25">
      <c r="A4519">
        <v>733447</v>
      </c>
      <c r="B4519" t="s">
        <v>5831</v>
      </c>
      <c r="C4519">
        <v>1.67</v>
      </c>
      <c r="D4519">
        <v>-0.01</v>
      </c>
      <c r="E4519">
        <v>1.67</v>
      </c>
      <c r="F4519">
        <v>1.67</v>
      </c>
      <c r="G4519">
        <v>1.67</v>
      </c>
      <c r="H4519">
        <v>1.67</v>
      </c>
      <c r="I4519" s="1">
        <v>238000</v>
      </c>
      <c r="J4519" s="1">
        <v>397460</v>
      </c>
      <c r="K4519">
        <v>1</v>
      </c>
      <c r="L4519">
        <v>1.57</v>
      </c>
      <c r="M4519">
        <v>1.6</v>
      </c>
      <c r="N4519" s="1">
        <v>5000000</v>
      </c>
      <c r="O4519">
        <v>1.67</v>
      </c>
      <c r="P4519">
        <v>3.25</v>
      </c>
      <c r="Q4519">
        <v>0.09</v>
      </c>
    </row>
    <row r="4520" spans="1:17" x14ac:dyDescent="0.25">
      <c r="A4520">
        <v>733448</v>
      </c>
      <c r="B4520" t="s">
        <v>5832</v>
      </c>
      <c r="C4520">
        <v>1.43</v>
      </c>
      <c r="D4520">
        <v>7.0000000000000007E-2</v>
      </c>
      <c r="E4520">
        <v>1.44</v>
      </c>
      <c r="F4520">
        <v>1.48</v>
      </c>
      <c r="G4520">
        <v>1.39</v>
      </c>
      <c r="H4520">
        <v>1.43</v>
      </c>
      <c r="I4520" s="1">
        <v>907000</v>
      </c>
      <c r="J4520" s="1">
        <v>1296400</v>
      </c>
      <c r="K4520">
        <v>21</v>
      </c>
      <c r="L4520">
        <v>1.42</v>
      </c>
      <c r="M4520">
        <v>1.43</v>
      </c>
      <c r="N4520" s="1">
        <v>10000000</v>
      </c>
      <c r="O4520">
        <v>1.43</v>
      </c>
      <c r="P4520">
        <v>3.55</v>
      </c>
      <c r="Q4520">
        <v>0.01</v>
      </c>
    </row>
    <row r="4521" spans="1:17" x14ac:dyDescent="0.25">
      <c r="A4521">
        <v>733449</v>
      </c>
      <c r="B4521" t="s">
        <v>5833</v>
      </c>
      <c r="C4521">
        <v>1.3</v>
      </c>
      <c r="D4521">
        <v>0.12</v>
      </c>
      <c r="E4521">
        <v>1.28</v>
      </c>
      <c r="F4521">
        <v>1.33</v>
      </c>
      <c r="G4521">
        <v>1.28</v>
      </c>
      <c r="H4521">
        <v>1.31</v>
      </c>
      <c r="I4521" s="1">
        <v>200000</v>
      </c>
      <c r="J4521" s="1">
        <v>262800</v>
      </c>
      <c r="K4521">
        <v>8</v>
      </c>
      <c r="L4521">
        <v>1.26</v>
      </c>
      <c r="M4521">
        <v>1.28</v>
      </c>
      <c r="N4521" s="1">
        <v>10000000</v>
      </c>
      <c r="O4521">
        <v>1.3</v>
      </c>
      <c r="P4521">
        <v>2.31</v>
      </c>
      <c r="Q4521">
        <v>0.28999999999999998</v>
      </c>
    </row>
    <row r="4522" spans="1:17" x14ac:dyDescent="0.25">
      <c r="A4522">
        <v>733450</v>
      </c>
      <c r="B4522" t="s">
        <v>5834</v>
      </c>
      <c r="C4522">
        <v>0.68</v>
      </c>
      <c r="D4522">
        <v>-0.02</v>
      </c>
      <c r="E4522">
        <v>0.68</v>
      </c>
      <c r="F4522">
        <v>0.69</v>
      </c>
      <c r="G4522">
        <v>0.67</v>
      </c>
      <c r="H4522">
        <v>0.69</v>
      </c>
      <c r="I4522" s="1">
        <v>1089000</v>
      </c>
      <c r="J4522" s="1">
        <v>746170</v>
      </c>
      <c r="K4522">
        <v>11</v>
      </c>
      <c r="L4522">
        <v>0.67</v>
      </c>
      <c r="M4522">
        <v>0.68</v>
      </c>
      <c r="N4522" s="1">
        <v>10000000</v>
      </c>
      <c r="O4522">
        <v>0.68</v>
      </c>
      <c r="P4522">
        <v>1.46</v>
      </c>
      <c r="Q4522">
        <v>0.01</v>
      </c>
    </row>
    <row r="4523" spans="1:17" x14ac:dyDescent="0.25">
      <c r="A4523">
        <v>733451</v>
      </c>
      <c r="B4523" t="s">
        <v>5835</v>
      </c>
      <c r="C4523">
        <v>1.18</v>
      </c>
      <c r="D4523">
        <v>-0.13</v>
      </c>
      <c r="E4523">
        <v>1.35</v>
      </c>
      <c r="F4523">
        <v>1.36</v>
      </c>
      <c r="G4523">
        <v>1.18</v>
      </c>
      <c r="H4523">
        <v>1.28</v>
      </c>
      <c r="I4523" s="1">
        <v>26000</v>
      </c>
      <c r="J4523" s="1">
        <v>33210</v>
      </c>
      <c r="K4523">
        <v>11</v>
      </c>
      <c r="L4523">
        <v>1.1599999999999999</v>
      </c>
      <c r="M4523">
        <v>1.17</v>
      </c>
      <c r="N4523" s="1">
        <v>5000000</v>
      </c>
      <c r="O4523">
        <v>1.18</v>
      </c>
      <c r="P4523">
        <v>3.98</v>
      </c>
      <c r="Q4523">
        <v>0.01</v>
      </c>
    </row>
    <row r="4524" spans="1:17" x14ac:dyDescent="0.25">
      <c r="A4524">
        <v>733452</v>
      </c>
      <c r="B4524" t="s">
        <v>5836</v>
      </c>
      <c r="C4524">
        <v>0.92</v>
      </c>
      <c r="D4524">
        <v>0.02</v>
      </c>
      <c r="E4524">
        <v>0.92</v>
      </c>
      <c r="F4524">
        <v>0.97</v>
      </c>
      <c r="G4524">
        <v>0.92</v>
      </c>
      <c r="H4524">
        <v>0.93</v>
      </c>
      <c r="I4524" s="1">
        <v>598000</v>
      </c>
      <c r="J4524" s="1">
        <v>557340</v>
      </c>
      <c r="K4524">
        <v>17</v>
      </c>
      <c r="L4524">
        <v>0.91</v>
      </c>
      <c r="M4524">
        <v>0.92</v>
      </c>
      <c r="N4524" s="1">
        <v>10000000</v>
      </c>
      <c r="O4524">
        <v>0.92</v>
      </c>
      <c r="P4524">
        <v>1.37</v>
      </c>
      <c r="Q4524">
        <v>0.47</v>
      </c>
    </row>
    <row r="4525" spans="1:17" x14ac:dyDescent="0.25">
      <c r="A4525">
        <v>733453</v>
      </c>
      <c r="B4525" t="s">
        <v>5837</v>
      </c>
      <c r="C4525">
        <v>0.75</v>
      </c>
      <c r="D4525">
        <v>0.06</v>
      </c>
      <c r="E4525">
        <v>0.7</v>
      </c>
      <c r="F4525">
        <v>0.75</v>
      </c>
      <c r="G4525">
        <v>0.7</v>
      </c>
      <c r="H4525">
        <v>0.74</v>
      </c>
      <c r="I4525" s="1">
        <v>162000</v>
      </c>
      <c r="J4525" s="1">
        <v>120180</v>
      </c>
      <c r="K4525">
        <v>8</v>
      </c>
      <c r="L4525">
        <v>0.77</v>
      </c>
      <c r="M4525">
        <v>0.81</v>
      </c>
      <c r="N4525" s="1">
        <v>10000000</v>
      </c>
      <c r="O4525">
        <v>0.75</v>
      </c>
      <c r="P4525">
        <v>1.92</v>
      </c>
      <c r="Q4525">
        <v>0.01</v>
      </c>
    </row>
    <row r="4526" spans="1:17" x14ac:dyDescent="0.25">
      <c r="A4526">
        <v>733454</v>
      </c>
      <c r="B4526" t="s">
        <v>5838</v>
      </c>
      <c r="C4526">
        <v>0.73</v>
      </c>
      <c r="D4526">
        <v>-0.01</v>
      </c>
      <c r="E4526">
        <v>0.76</v>
      </c>
      <c r="F4526">
        <v>0.76</v>
      </c>
      <c r="G4526">
        <v>0.73</v>
      </c>
      <c r="H4526">
        <v>0.74</v>
      </c>
      <c r="I4526" s="1">
        <v>75000</v>
      </c>
      <c r="J4526" s="1">
        <v>55500</v>
      </c>
      <c r="K4526">
        <v>2</v>
      </c>
      <c r="L4526">
        <v>0.71</v>
      </c>
      <c r="M4526">
        <v>0.72</v>
      </c>
      <c r="N4526" s="1">
        <v>5000000</v>
      </c>
      <c r="O4526">
        <v>0.73</v>
      </c>
      <c r="P4526">
        <v>1.23</v>
      </c>
      <c r="Q4526">
        <v>0.23</v>
      </c>
    </row>
    <row r="4527" spans="1:17" x14ac:dyDescent="0.25">
      <c r="A4527">
        <v>733455</v>
      </c>
      <c r="B4527" t="s">
        <v>5839</v>
      </c>
      <c r="C4527">
        <v>0.72</v>
      </c>
      <c r="D4527">
        <v>0.01</v>
      </c>
      <c r="E4527">
        <v>0.74</v>
      </c>
      <c r="F4527">
        <v>0.75</v>
      </c>
      <c r="G4527">
        <v>0.72</v>
      </c>
      <c r="H4527">
        <v>0.73</v>
      </c>
      <c r="I4527" s="1">
        <v>144000</v>
      </c>
      <c r="J4527" s="1">
        <v>105180</v>
      </c>
      <c r="K4527">
        <v>6</v>
      </c>
      <c r="L4527">
        <v>0.72</v>
      </c>
      <c r="M4527">
        <v>0.73</v>
      </c>
      <c r="N4527" s="1">
        <v>10000000</v>
      </c>
      <c r="O4527">
        <v>0.72</v>
      </c>
      <c r="P4527">
        <v>1.59</v>
      </c>
      <c r="Q4527">
        <v>0.01</v>
      </c>
    </row>
    <row r="4528" spans="1:17" x14ac:dyDescent="0.25">
      <c r="A4528">
        <v>733456</v>
      </c>
      <c r="B4528" t="s">
        <v>5840</v>
      </c>
      <c r="C4528">
        <v>0.59</v>
      </c>
      <c r="D4528">
        <v>0.02</v>
      </c>
      <c r="E4528">
        <v>0.6</v>
      </c>
      <c r="F4528">
        <v>0.61</v>
      </c>
      <c r="G4528">
        <v>0.59</v>
      </c>
      <c r="H4528">
        <v>0.6</v>
      </c>
      <c r="I4528" s="1">
        <v>174000</v>
      </c>
      <c r="J4528" s="1">
        <v>105250</v>
      </c>
      <c r="K4528">
        <v>11</v>
      </c>
      <c r="L4528">
        <v>0.59</v>
      </c>
      <c r="M4528">
        <v>0.6</v>
      </c>
      <c r="N4528" s="1">
        <v>5000000</v>
      </c>
      <c r="O4528">
        <v>0.59</v>
      </c>
      <c r="P4528">
        <v>0.87</v>
      </c>
      <c r="Q4528">
        <v>0.31</v>
      </c>
    </row>
    <row r="4529" spans="1:17" x14ac:dyDescent="0.25">
      <c r="A4529">
        <v>733457</v>
      </c>
      <c r="B4529" t="s">
        <v>5841</v>
      </c>
      <c r="C4529">
        <v>0.66</v>
      </c>
      <c r="D4529">
        <v>0.03</v>
      </c>
      <c r="E4529">
        <v>0.65</v>
      </c>
      <c r="F4529">
        <v>0.68</v>
      </c>
      <c r="G4529">
        <v>0.65</v>
      </c>
      <c r="H4529">
        <v>0.67</v>
      </c>
      <c r="I4529" s="1">
        <v>1467000</v>
      </c>
      <c r="J4529" s="1">
        <v>976880</v>
      </c>
      <c r="K4529">
        <v>23</v>
      </c>
      <c r="L4529">
        <v>0.65</v>
      </c>
      <c r="M4529">
        <v>0.66</v>
      </c>
      <c r="N4529" s="1">
        <v>5000000</v>
      </c>
      <c r="O4529">
        <v>0.66</v>
      </c>
      <c r="P4529">
        <v>1.1100000000000001</v>
      </c>
      <c r="Q4529">
        <v>0.21</v>
      </c>
    </row>
    <row r="4530" spans="1:17" x14ac:dyDescent="0.25">
      <c r="A4530">
        <v>733458</v>
      </c>
      <c r="B4530" t="s">
        <v>5842</v>
      </c>
      <c r="C4530">
        <v>0.62</v>
      </c>
      <c r="D4530">
        <v>0.02</v>
      </c>
      <c r="E4530">
        <v>0.62</v>
      </c>
      <c r="F4530">
        <v>0.65</v>
      </c>
      <c r="G4530">
        <v>0.61</v>
      </c>
      <c r="H4530">
        <v>0.62</v>
      </c>
      <c r="I4530" s="1">
        <v>500000</v>
      </c>
      <c r="J4530" s="1">
        <v>312250</v>
      </c>
      <c r="K4530">
        <v>21</v>
      </c>
      <c r="L4530">
        <v>0.61</v>
      </c>
      <c r="M4530">
        <v>0.62</v>
      </c>
      <c r="N4530" s="1">
        <v>10000000</v>
      </c>
      <c r="O4530">
        <v>0.62</v>
      </c>
      <c r="P4530">
        <v>0.95</v>
      </c>
      <c r="Q4530">
        <v>0.28999999999999998</v>
      </c>
    </row>
    <row r="4531" spans="1:17" x14ac:dyDescent="0.25">
      <c r="A4531">
        <v>733459</v>
      </c>
      <c r="B4531" t="s">
        <v>5843</v>
      </c>
      <c r="C4531">
        <v>0.78</v>
      </c>
      <c r="D4531">
        <v>0.01</v>
      </c>
      <c r="E4531">
        <v>0.79</v>
      </c>
      <c r="F4531">
        <v>0.79</v>
      </c>
      <c r="G4531">
        <v>0.78</v>
      </c>
      <c r="H4531">
        <v>0.79</v>
      </c>
      <c r="I4531" s="1">
        <v>120000</v>
      </c>
      <c r="J4531" s="1">
        <v>94700</v>
      </c>
      <c r="K4531">
        <v>2</v>
      </c>
      <c r="L4531">
        <v>0.78</v>
      </c>
      <c r="M4531">
        <v>0.79</v>
      </c>
      <c r="N4531" s="1">
        <v>10000000</v>
      </c>
      <c r="O4531">
        <v>0.78</v>
      </c>
      <c r="P4531">
        <v>1.51</v>
      </c>
      <c r="Q4531">
        <v>0.05</v>
      </c>
    </row>
    <row r="4532" spans="1:17" x14ac:dyDescent="0.25">
      <c r="A4532">
        <v>733460</v>
      </c>
      <c r="B4532" t="s">
        <v>5844</v>
      </c>
      <c r="C4532">
        <v>0.56999999999999995</v>
      </c>
      <c r="D4532">
        <v>0.05</v>
      </c>
      <c r="E4532">
        <v>0.56999999999999995</v>
      </c>
      <c r="F4532">
        <v>0.56999999999999995</v>
      </c>
      <c r="G4532">
        <v>0.56999999999999995</v>
      </c>
      <c r="H4532">
        <v>0.56999999999999995</v>
      </c>
      <c r="I4532" s="1">
        <v>10000</v>
      </c>
      <c r="J4532" s="1">
        <v>5700</v>
      </c>
      <c r="K4532">
        <v>1</v>
      </c>
      <c r="L4532">
        <v>0.54</v>
      </c>
      <c r="M4532">
        <v>0.55000000000000004</v>
      </c>
      <c r="N4532" s="1">
        <v>5000000</v>
      </c>
      <c r="O4532">
        <v>0.56999999999999995</v>
      </c>
      <c r="P4532">
        <v>1.21</v>
      </c>
      <c r="Q4532">
        <v>0.01</v>
      </c>
    </row>
    <row r="4533" spans="1:17" x14ac:dyDescent="0.25">
      <c r="A4533">
        <v>733461</v>
      </c>
      <c r="B4533" t="s">
        <v>5845</v>
      </c>
      <c r="C4533" t="s">
        <v>78</v>
      </c>
      <c r="D4533" t="s">
        <v>78</v>
      </c>
      <c r="E4533" t="s">
        <v>78</v>
      </c>
      <c r="F4533" t="s">
        <v>78</v>
      </c>
      <c r="G4533" t="s">
        <v>78</v>
      </c>
      <c r="H4533">
        <v>0.31</v>
      </c>
      <c r="I4533" s="1">
        <v>0</v>
      </c>
      <c r="J4533" s="1">
        <v>0</v>
      </c>
      <c r="K4533">
        <v>0</v>
      </c>
      <c r="L4533">
        <v>0.38</v>
      </c>
      <c r="M4533">
        <v>0.39</v>
      </c>
      <c r="N4533" s="1">
        <v>10000000</v>
      </c>
      <c r="O4533">
        <v>0.38</v>
      </c>
      <c r="P4533">
        <v>2.33</v>
      </c>
      <c r="Q4533">
        <v>0.01</v>
      </c>
    </row>
    <row r="4534" spans="1:17" x14ac:dyDescent="0.25">
      <c r="A4534">
        <v>733462</v>
      </c>
      <c r="B4534" t="s">
        <v>5846</v>
      </c>
      <c r="C4534">
        <v>0.92</v>
      </c>
      <c r="D4534">
        <v>0.04</v>
      </c>
      <c r="E4534">
        <v>0.95</v>
      </c>
      <c r="F4534">
        <v>0.97</v>
      </c>
      <c r="G4534">
        <v>0.92</v>
      </c>
      <c r="H4534">
        <v>0.95</v>
      </c>
      <c r="I4534" s="1">
        <v>366000</v>
      </c>
      <c r="J4534" s="1">
        <v>349000</v>
      </c>
      <c r="K4534">
        <v>5</v>
      </c>
      <c r="L4534">
        <v>0.91</v>
      </c>
      <c r="M4534">
        <v>0.92</v>
      </c>
      <c r="N4534" s="1">
        <v>10000000</v>
      </c>
      <c r="O4534">
        <v>0.92</v>
      </c>
      <c r="P4534">
        <v>1.68</v>
      </c>
      <c r="Q4534">
        <v>0.16</v>
      </c>
    </row>
    <row r="4535" spans="1:17" x14ac:dyDescent="0.25">
      <c r="A4535">
        <v>733463</v>
      </c>
      <c r="B4535" t="s">
        <v>5847</v>
      </c>
      <c r="C4535">
        <v>0.52</v>
      </c>
      <c r="D4535">
        <v>0.03</v>
      </c>
      <c r="E4535">
        <v>0.52</v>
      </c>
      <c r="F4535">
        <v>0.52</v>
      </c>
      <c r="G4535">
        <v>0.52</v>
      </c>
      <c r="H4535">
        <v>0.52</v>
      </c>
      <c r="I4535" s="1">
        <v>184000</v>
      </c>
      <c r="J4535" s="1">
        <v>95680</v>
      </c>
      <c r="K4535">
        <v>1</v>
      </c>
      <c r="L4535">
        <v>0.51</v>
      </c>
      <c r="M4535">
        <v>0.52</v>
      </c>
      <c r="N4535" s="1">
        <v>10000000</v>
      </c>
      <c r="O4535">
        <v>0.52</v>
      </c>
      <c r="P4535">
        <v>0.99</v>
      </c>
      <c r="Q4535">
        <v>0.05</v>
      </c>
    </row>
    <row r="4536" spans="1:17" x14ac:dyDescent="0.25">
      <c r="A4536">
        <v>733464</v>
      </c>
      <c r="B4536" t="s">
        <v>5848</v>
      </c>
      <c r="C4536">
        <v>0.86</v>
      </c>
      <c r="D4536">
        <v>-0.06</v>
      </c>
      <c r="E4536">
        <v>0.98</v>
      </c>
      <c r="F4536">
        <v>0.98</v>
      </c>
      <c r="G4536">
        <v>0.85</v>
      </c>
      <c r="H4536">
        <v>0.96</v>
      </c>
      <c r="I4536" s="1">
        <v>348000</v>
      </c>
      <c r="J4536" s="1">
        <v>333040</v>
      </c>
      <c r="K4536">
        <v>8</v>
      </c>
      <c r="L4536">
        <v>0.86</v>
      </c>
      <c r="M4536">
        <v>0.87</v>
      </c>
      <c r="N4536" s="1">
        <v>5000000</v>
      </c>
      <c r="O4536">
        <v>0.86</v>
      </c>
      <c r="P4536">
        <v>1.7</v>
      </c>
      <c r="Q4536">
        <v>0.02</v>
      </c>
    </row>
    <row r="4537" spans="1:17" x14ac:dyDescent="0.25">
      <c r="A4537">
        <v>733465</v>
      </c>
      <c r="B4537" t="s">
        <v>5849</v>
      </c>
      <c r="C4537">
        <v>1.41</v>
      </c>
      <c r="D4537">
        <v>-7.0000000000000007E-2</v>
      </c>
      <c r="E4537">
        <v>1.58</v>
      </c>
      <c r="F4537">
        <v>1.58</v>
      </c>
      <c r="G4537">
        <v>1.41</v>
      </c>
      <c r="H4537">
        <v>1.56</v>
      </c>
      <c r="I4537" s="1">
        <v>199000</v>
      </c>
      <c r="J4537" s="1">
        <v>310420</v>
      </c>
      <c r="K4537">
        <v>7</v>
      </c>
      <c r="L4537">
        <v>1.41</v>
      </c>
      <c r="M4537">
        <v>1.42</v>
      </c>
      <c r="N4537" s="1">
        <v>5000000</v>
      </c>
      <c r="O4537">
        <v>1.41</v>
      </c>
      <c r="P4537">
        <v>2.5299999999999998</v>
      </c>
      <c r="Q4537">
        <v>0.28999999999999998</v>
      </c>
    </row>
    <row r="4538" spans="1:17" x14ac:dyDescent="0.25">
      <c r="A4538">
        <v>733466</v>
      </c>
      <c r="B4538" t="s">
        <v>5850</v>
      </c>
      <c r="C4538">
        <v>1.04</v>
      </c>
      <c r="D4538">
        <v>0.05</v>
      </c>
      <c r="E4538">
        <v>1.03</v>
      </c>
      <c r="F4538">
        <v>1.08</v>
      </c>
      <c r="G4538">
        <v>1.03</v>
      </c>
      <c r="H4538">
        <v>1.06</v>
      </c>
      <c r="I4538" s="1">
        <v>418000</v>
      </c>
      <c r="J4538" s="1">
        <v>444350</v>
      </c>
      <c r="K4538">
        <v>18</v>
      </c>
      <c r="L4538">
        <v>1.02</v>
      </c>
      <c r="M4538">
        <v>1.03</v>
      </c>
      <c r="N4538" s="1">
        <v>10000000</v>
      </c>
      <c r="O4538">
        <v>1.04</v>
      </c>
      <c r="P4538">
        <v>1.67</v>
      </c>
      <c r="Q4538">
        <v>0.41</v>
      </c>
    </row>
    <row r="4539" spans="1:17" x14ac:dyDescent="0.25">
      <c r="A4539">
        <v>733467</v>
      </c>
      <c r="B4539" t="s">
        <v>5851</v>
      </c>
      <c r="C4539">
        <v>0.53</v>
      </c>
      <c r="D4539">
        <v>0</v>
      </c>
      <c r="E4539">
        <v>0.53</v>
      </c>
      <c r="F4539">
        <v>0.53</v>
      </c>
      <c r="G4539">
        <v>0.52</v>
      </c>
      <c r="H4539">
        <v>0.52</v>
      </c>
      <c r="I4539" s="1">
        <v>74000</v>
      </c>
      <c r="J4539" s="1">
        <v>38630</v>
      </c>
      <c r="K4539">
        <v>4</v>
      </c>
      <c r="L4539">
        <v>0.5</v>
      </c>
      <c r="M4539">
        <v>0.51</v>
      </c>
      <c r="N4539" s="1">
        <v>5000000</v>
      </c>
      <c r="O4539">
        <v>0.53</v>
      </c>
      <c r="P4539">
        <v>1.2</v>
      </c>
      <c r="Q4539">
        <v>0.01</v>
      </c>
    </row>
    <row r="4540" spans="1:17" x14ac:dyDescent="0.25">
      <c r="A4540">
        <v>733468</v>
      </c>
      <c r="B4540" t="s">
        <v>5852</v>
      </c>
      <c r="C4540">
        <v>0.68</v>
      </c>
      <c r="D4540">
        <v>0.03</v>
      </c>
      <c r="E4540">
        <v>0.68</v>
      </c>
      <c r="F4540">
        <v>0.68</v>
      </c>
      <c r="G4540">
        <v>0.68</v>
      </c>
      <c r="H4540">
        <v>0.68</v>
      </c>
      <c r="I4540" s="1">
        <v>100000</v>
      </c>
      <c r="J4540" s="1">
        <v>68000</v>
      </c>
      <c r="K4540">
        <v>1</v>
      </c>
      <c r="L4540">
        <v>0.66</v>
      </c>
      <c r="M4540">
        <v>0.67</v>
      </c>
      <c r="N4540" s="1">
        <v>10000000</v>
      </c>
      <c r="O4540">
        <v>0.68</v>
      </c>
      <c r="P4540">
        <v>1.1100000000000001</v>
      </c>
      <c r="Q4540">
        <v>0.25</v>
      </c>
    </row>
    <row r="4541" spans="1:17" x14ac:dyDescent="0.25">
      <c r="A4541">
        <v>733469</v>
      </c>
      <c r="B4541" t="s">
        <v>5853</v>
      </c>
      <c r="C4541">
        <v>1.33</v>
      </c>
      <c r="D4541">
        <v>0.05</v>
      </c>
      <c r="E4541">
        <v>1.32</v>
      </c>
      <c r="F4541">
        <v>1.4</v>
      </c>
      <c r="G4541">
        <v>1.3</v>
      </c>
      <c r="H4541">
        <v>1.33</v>
      </c>
      <c r="I4541" s="1">
        <v>262000</v>
      </c>
      <c r="J4541" s="1">
        <v>349100</v>
      </c>
      <c r="K4541">
        <v>14</v>
      </c>
      <c r="L4541">
        <v>1.32</v>
      </c>
      <c r="M4541">
        <v>1.34</v>
      </c>
      <c r="N4541" s="1">
        <v>10000000</v>
      </c>
      <c r="O4541">
        <v>1.33</v>
      </c>
      <c r="P4541">
        <v>2.56</v>
      </c>
      <c r="Q4541">
        <v>0.1</v>
      </c>
    </row>
    <row r="4542" spans="1:17" x14ac:dyDescent="0.25">
      <c r="A4542">
        <v>733470</v>
      </c>
      <c r="B4542" t="s">
        <v>5854</v>
      </c>
      <c r="C4542">
        <v>1.23</v>
      </c>
      <c r="D4542">
        <v>0.03</v>
      </c>
      <c r="E4542">
        <v>1.25</v>
      </c>
      <c r="F4542">
        <v>1.25</v>
      </c>
      <c r="G4542">
        <v>1.17</v>
      </c>
      <c r="H4542">
        <v>1.22</v>
      </c>
      <c r="I4542" s="1">
        <v>364000</v>
      </c>
      <c r="J4542" s="1">
        <v>444500</v>
      </c>
      <c r="K4542">
        <v>33</v>
      </c>
      <c r="L4542">
        <v>1.2</v>
      </c>
      <c r="M4542">
        <v>1.21</v>
      </c>
      <c r="N4542" s="1">
        <v>5000000</v>
      </c>
      <c r="O4542">
        <v>1.23</v>
      </c>
      <c r="P4542">
        <v>2.25</v>
      </c>
      <c r="Q4542">
        <v>0.21</v>
      </c>
    </row>
    <row r="4543" spans="1:17" x14ac:dyDescent="0.25">
      <c r="A4543">
        <v>733471</v>
      </c>
      <c r="B4543" t="s">
        <v>5855</v>
      </c>
      <c r="C4543">
        <v>0.99</v>
      </c>
      <c r="D4543">
        <v>0</v>
      </c>
      <c r="E4543">
        <v>1.07</v>
      </c>
      <c r="F4543">
        <v>1.07</v>
      </c>
      <c r="G4543">
        <v>0.99</v>
      </c>
      <c r="H4543">
        <v>1.04</v>
      </c>
      <c r="I4543" s="1">
        <v>510000</v>
      </c>
      <c r="J4543" s="1">
        <v>530200</v>
      </c>
      <c r="K4543">
        <v>7</v>
      </c>
      <c r="L4543">
        <v>0.96</v>
      </c>
      <c r="M4543">
        <v>0.97</v>
      </c>
      <c r="N4543" s="1">
        <v>10000000</v>
      </c>
      <c r="O4543">
        <v>0.99</v>
      </c>
      <c r="P4543">
        <v>1.78</v>
      </c>
      <c r="Q4543">
        <v>0.2</v>
      </c>
    </row>
    <row r="4544" spans="1:17" x14ac:dyDescent="0.25">
      <c r="A4544">
        <v>733472</v>
      </c>
      <c r="B4544" t="s">
        <v>5856</v>
      </c>
      <c r="C4544">
        <v>0.76</v>
      </c>
      <c r="D4544">
        <v>0.08</v>
      </c>
      <c r="E4544">
        <v>0.73</v>
      </c>
      <c r="F4544">
        <v>0.76</v>
      </c>
      <c r="G4544">
        <v>0.72</v>
      </c>
      <c r="H4544">
        <v>0.74</v>
      </c>
      <c r="I4544" s="1">
        <v>129000</v>
      </c>
      <c r="J4544" s="1">
        <v>95640</v>
      </c>
      <c r="K4544">
        <v>7</v>
      </c>
      <c r="L4544">
        <v>0.72</v>
      </c>
      <c r="M4544">
        <v>0.73</v>
      </c>
      <c r="N4544" s="1">
        <v>10000000</v>
      </c>
      <c r="O4544">
        <v>0.76</v>
      </c>
      <c r="P4544">
        <v>1.39</v>
      </c>
      <c r="Q4544">
        <v>0.13</v>
      </c>
    </row>
    <row r="4545" spans="1:17" x14ac:dyDescent="0.25">
      <c r="A4545">
        <v>733473</v>
      </c>
      <c r="B4545" t="s">
        <v>5857</v>
      </c>
      <c r="C4545">
        <v>0.74</v>
      </c>
      <c r="D4545">
        <v>0.04</v>
      </c>
      <c r="E4545">
        <v>0.73</v>
      </c>
      <c r="F4545">
        <v>0.75</v>
      </c>
      <c r="G4545">
        <v>0.72</v>
      </c>
      <c r="H4545">
        <v>0.73</v>
      </c>
      <c r="I4545" s="1">
        <v>773000</v>
      </c>
      <c r="J4545" s="1">
        <v>565970</v>
      </c>
      <c r="K4545">
        <v>19</v>
      </c>
      <c r="L4545">
        <v>0.72</v>
      </c>
      <c r="M4545">
        <v>0.73</v>
      </c>
      <c r="N4545" s="1">
        <v>10000000</v>
      </c>
      <c r="O4545">
        <v>0.74</v>
      </c>
      <c r="P4545">
        <v>1.1599999999999999</v>
      </c>
      <c r="Q4545">
        <v>0.32</v>
      </c>
    </row>
    <row r="4546" spans="1:17" x14ac:dyDescent="0.25">
      <c r="A4546">
        <v>733474</v>
      </c>
      <c r="B4546" t="s">
        <v>5858</v>
      </c>
      <c r="C4546">
        <v>0.76</v>
      </c>
      <c r="D4546">
        <v>-0.02</v>
      </c>
      <c r="E4546">
        <v>0.81</v>
      </c>
      <c r="F4546">
        <v>0.83</v>
      </c>
      <c r="G4546">
        <v>0.76</v>
      </c>
      <c r="H4546">
        <v>0.82</v>
      </c>
      <c r="I4546" s="1">
        <v>278000</v>
      </c>
      <c r="J4546" s="1">
        <v>227750</v>
      </c>
      <c r="K4546">
        <v>7</v>
      </c>
      <c r="L4546">
        <v>0.75</v>
      </c>
      <c r="M4546">
        <v>0.77</v>
      </c>
      <c r="N4546" s="1">
        <v>10000000</v>
      </c>
      <c r="O4546">
        <v>0.76</v>
      </c>
      <c r="P4546">
        <v>1.41</v>
      </c>
      <c r="Q4546">
        <v>0.11</v>
      </c>
    </row>
    <row r="4547" spans="1:17" x14ac:dyDescent="0.25">
      <c r="A4547">
        <v>733475</v>
      </c>
      <c r="B4547" t="s">
        <v>5859</v>
      </c>
      <c r="C4547">
        <v>1.33</v>
      </c>
      <c r="D4547">
        <v>-0.12</v>
      </c>
      <c r="E4547">
        <v>1.52</v>
      </c>
      <c r="F4547">
        <v>1.52</v>
      </c>
      <c r="G4547">
        <v>1.33</v>
      </c>
      <c r="H4547">
        <v>1.46</v>
      </c>
      <c r="I4547" s="1">
        <v>524000</v>
      </c>
      <c r="J4547" s="1">
        <v>765470</v>
      </c>
      <c r="K4547">
        <v>24</v>
      </c>
      <c r="L4547">
        <v>1.3</v>
      </c>
      <c r="M4547">
        <v>1.32</v>
      </c>
      <c r="N4547" s="1">
        <v>10000000</v>
      </c>
      <c r="O4547">
        <v>1.33</v>
      </c>
      <c r="P4547">
        <v>2.0099999999999998</v>
      </c>
      <c r="Q4547">
        <v>0.65</v>
      </c>
    </row>
    <row r="4548" spans="1:17" x14ac:dyDescent="0.25">
      <c r="A4548">
        <v>733476</v>
      </c>
      <c r="B4548" t="s">
        <v>5860</v>
      </c>
      <c r="C4548">
        <v>0.64</v>
      </c>
      <c r="D4548">
        <v>-0.03</v>
      </c>
      <c r="E4548">
        <v>0.68</v>
      </c>
      <c r="F4548">
        <v>0.71</v>
      </c>
      <c r="G4548">
        <v>0.64</v>
      </c>
      <c r="H4548">
        <v>0.69</v>
      </c>
      <c r="I4548" s="1">
        <v>184000</v>
      </c>
      <c r="J4548" s="1">
        <v>127840</v>
      </c>
      <c r="K4548">
        <v>8</v>
      </c>
      <c r="L4548">
        <v>0.16</v>
      </c>
      <c r="M4548">
        <v>0.65</v>
      </c>
      <c r="N4548" s="1">
        <v>10000000</v>
      </c>
      <c r="O4548">
        <v>0.64</v>
      </c>
      <c r="P4548">
        <v>1.29</v>
      </c>
      <c r="Q4548">
        <v>0.01</v>
      </c>
    </row>
    <row r="4549" spans="1:17" x14ac:dyDescent="0.25">
      <c r="A4549">
        <v>733477</v>
      </c>
      <c r="B4549" t="s">
        <v>5861</v>
      </c>
      <c r="C4549">
        <v>1.0900000000000001</v>
      </c>
      <c r="D4549">
        <v>0.03</v>
      </c>
      <c r="E4549">
        <v>1.0900000000000001</v>
      </c>
      <c r="F4549">
        <v>1.1200000000000001</v>
      </c>
      <c r="G4549">
        <v>1.08</v>
      </c>
      <c r="H4549">
        <v>1.1000000000000001</v>
      </c>
      <c r="I4549" s="1">
        <v>597000</v>
      </c>
      <c r="J4549" s="1">
        <v>654280</v>
      </c>
      <c r="K4549">
        <v>23</v>
      </c>
      <c r="L4549">
        <v>1.08</v>
      </c>
      <c r="M4549">
        <v>1.0900000000000001</v>
      </c>
      <c r="N4549" s="1">
        <v>5000000</v>
      </c>
      <c r="O4549">
        <v>1.0900000000000001</v>
      </c>
      <c r="P4549">
        <v>2.09</v>
      </c>
      <c r="Q4549">
        <v>7.0000000000000007E-2</v>
      </c>
    </row>
    <row r="4550" spans="1:17" x14ac:dyDescent="0.25">
      <c r="A4550">
        <v>733478</v>
      </c>
      <c r="B4550" t="s">
        <v>5862</v>
      </c>
      <c r="C4550">
        <v>1.24</v>
      </c>
      <c r="D4550">
        <v>-0.04</v>
      </c>
      <c r="E4550">
        <v>1.24</v>
      </c>
      <c r="F4550">
        <v>1.24</v>
      </c>
      <c r="G4550">
        <v>1.24</v>
      </c>
      <c r="H4550">
        <v>1.24</v>
      </c>
      <c r="I4550" s="1">
        <v>70000</v>
      </c>
      <c r="J4550" s="1">
        <v>86800</v>
      </c>
      <c r="K4550">
        <v>2</v>
      </c>
      <c r="L4550">
        <v>1.23</v>
      </c>
      <c r="M4550">
        <v>1.24</v>
      </c>
      <c r="N4550" s="1">
        <v>10000000</v>
      </c>
      <c r="O4550">
        <v>1.24</v>
      </c>
      <c r="P4550">
        <v>1.94</v>
      </c>
      <c r="Q4550">
        <v>0.54</v>
      </c>
    </row>
    <row r="4551" spans="1:17" x14ac:dyDescent="0.25">
      <c r="A4551">
        <v>733479</v>
      </c>
      <c r="B4551" t="s">
        <v>5863</v>
      </c>
      <c r="C4551">
        <v>0.6</v>
      </c>
      <c r="D4551">
        <v>0</v>
      </c>
      <c r="E4551">
        <v>0.59</v>
      </c>
      <c r="F4551">
        <v>0.6</v>
      </c>
      <c r="G4551">
        <v>0.59</v>
      </c>
      <c r="H4551">
        <v>0.6</v>
      </c>
      <c r="I4551" s="1">
        <v>20000</v>
      </c>
      <c r="J4551" s="1">
        <v>11900</v>
      </c>
      <c r="K4551">
        <v>2</v>
      </c>
      <c r="L4551">
        <v>0.56999999999999995</v>
      </c>
      <c r="M4551">
        <v>0.57999999999999996</v>
      </c>
      <c r="N4551" s="1">
        <v>5000000</v>
      </c>
      <c r="O4551">
        <v>0.6</v>
      </c>
      <c r="P4551">
        <v>1.39</v>
      </c>
      <c r="Q4551">
        <v>0.01</v>
      </c>
    </row>
    <row r="4552" spans="1:17" x14ac:dyDescent="0.25">
      <c r="A4552">
        <v>733480</v>
      </c>
      <c r="B4552" t="s">
        <v>5864</v>
      </c>
      <c r="C4552">
        <v>0.8</v>
      </c>
      <c r="D4552">
        <v>-0.09</v>
      </c>
      <c r="E4552">
        <v>0.91</v>
      </c>
      <c r="F4552">
        <v>0.95</v>
      </c>
      <c r="G4552">
        <v>0.77</v>
      </c>
      <c r="H4552">
        <v>0.89</v>
      </c>
      <c r="I4552" s="1">
        <v>491000</v>
      </c>
      <c r="J4552" s="1">
        <v>439050</v>
      </c>
      <c r="K4552">
        <v>26</v>
      </c>
      <c r="L4552">
        <v>0.81</v>
      </c>
      <c r="M4552">
        <v>0.82</v>
      </c>
      <c r="N4552" s="1">
        <v>5000000</v>
      </c>
      <c r="O4552">
        <v>0.8</v>
      </c>
      <c r="P4552">
        <v>1.78</v>
      </c>
      <c r="Q4552">
        <v>0.01</v>
      </c>
    </row>
    <row r="4553" spans="1:17" x14ac:dyDescent="0.25">
      <c r="A4553">
        <v>733481</v>
      </c>
      <c r="B4553" t="s">
        <v>5865</v>
      </c>
      <c r="C4553">
        <v>1.63</v>
      </c>
      <c r="D4553">
        <v>0.64</v>
      </c>
      <c r="E4553">
        <v>1.34</v>
      </c>
      <c r="F4553">
        <v>1.63</v>
      </c>
      <c r="G4553">
        <v>1.34</v>
      </c>
      <c r="H4553">
        <v>1.58</v>
      </c>
      <c r="I4553" s="1">
        <v>16000</v>
      </c>
      <c r="J4553" s="1">
        <v>25210</v>
      </c>
      <c r="K4553">
        <v>2</v>
      </c>
      <c r="L4553">
        <v>1.62</v>
      </c>
      <c r="M4553">
        <v>1.63</v>
      </c>
      <c r="N4553" s="1">
        <v>10000000</v>
      </c>
      <c r="O4553">
        <v>1.63</v>
      </c>
      <c r="P4553">
        <v>2.95</v>
      </c>
      <c r="Q4553">
        <v>0.31</v>
      </c>
    </row>
    <row r="4554" spans="1:17" x14ac:dyDescent="0.25">
      <c r="A4554">
        <v>733482</v>
      </c>
      <c r="B4554" t="s">
        <v>5866</v>
      </c>
      <c r="C4554">
        <v>0.74</v>
      </c>
      <c r="D4554">
        <v>0.03</v>
      </c>
      <c r="E4554">
        <v>0.75</v>
      </c>
      <c r="F4554">
        <v>0.77</v>
      </c>
      <c r="G4554">
        <v>0.74</v>
      </c>
      <c r="H4554">
        <v>0.74</v>
      </c>
      <c r="I4554" s="1">
        <v>390000</v>
      </c>
      <c r="J4554" s="1">
        <v>290260</v>
      </c>
      <c r="K4554">
        <v>23</v>
      </c>
      <c r="L4554">
        <v>0.73</v>
      </c>
      <c r="M4554">
        <v>0.74</v>
      </c>
      <c r="N4554" s="1">
        <v>10000000</v>
      </c>
      <c r="O4554">
        <v>0.74</v>
      </c>
      <c r="P4554">
        <v>1.37</v>
      </c>
      <c r="Q4554">
        <v>0.11</v>
      </c>
    </row>
    <row r="4555" spans="1:17" x14ac:dyDescent="0.25">
      <c r="A4555">
        <v>733483</v>
      </c>
      <c r="B4555" t="s">
        <v>5867</v>
      </c>
      <c r="C4555">
        <v>1.45</v>
      </c>
      <c r="D4555">
        <v>-0.12</v>
      </c>
      <c r="E4555">
        <v>1.52</v>
      </c>
      <c r="F4555">
        <v>1.52</v>
      </c>
      <c r="G4555">
        <v>1.45</v>
      </c>
      <c r="H4555">
        <v>1.5</v>
      </c>
      <c r="I4555" s="1">
        <v>138000</v>
      </c>
      <c r="J4555" s="1">
        <v>207400</v>
      </c>
      <c r="K4555">
        <v>8</v>
      </c>
      <c r="L4555">
        <v>1.45</v>
      </c>
      <c r="M4555">
        <v>1.49</v>
      </c>
      <c r="N4555" s="1">
        <v>5000000</v>
      </c>
      <c r="O4555">
        <v>1.45</v>
      </c>
      <c r="P4555">
        <v>2.13</v>
      </c>
      <c r="Q4555">
        <v>0.77</v>
      </c>
    </row>
    <row r="4556" spans="1:17" x14ac:dyDescent="0.25">
      <c r="A4556">
        <v>733484</v>
      </c>
      <c r="B4556" t="s">
        <v>5868</v>
      </c>
      <c r="C4556">
        <v>0.77</v>
      </c>
      <c r="D4556">
        <v>-0.04</v>
      </c>
      <c r="E4556">
        <v>0.81</v>
      </c>
      <c r="F4556">
        <v>0.82</v>
      </c>
      <c r="G4556">
        <v>0.77</v>
      </c>
      <c r="H4556">
        <v>0.81</v>
      </c>
      <c r="I4556" s="1">
        <v>1019000</v>
      </c>
      <c r="J4556" s="1">
        <v>826590</v>
      </c>
      <c r="K4556">
        <v>13</v>
      </c>
      <c r="L4556">
        <v>0.77</v>
      </c>
      <c r="M4556">
        <v>0.78</v>
      </c>
      <c r="N4556" s="1">
        <v>5000000</v>
      </c>
      <c r="O4556">
        <v>0.77</v>
      </c>
      <c r="P4556">
        <v>1.59</v>
      </c>
      <c r="Q4556">
        <v>0.01</v>
      </c>
    </row>
    <row r="4557" spans="1:17" x14ac:dyDescent="0.25">
      <c r="A4557">
        <v>733485</v>
      </c>
      <c r="B4557" t="s">
        <v>5869</v>
      </c>
      <c r="C4557">
        <v>0.48</v>
      </c>
      <c r="D4557">
        <v>0.03</v>
      </c>
      <c r="E4557">
        <v>0.43</v>
      </c>
      <c r="F4557">
        <v>0.48</v>
      </c>
      <c r="G4557">
        <v>0.43</v>
      </c>
      <c r="H4557">
        <v>0.45</v>
      </c>
      <c r="I4557" s="1">
        <v>155000</v>
      </c>
      <c r="J4557" s="1">
        <v>70150</v>
      </c>
      <c r="K4557">
        <v>6</v>
      </c>
      <c r="L4557">
        <v>0.48</v>
      </c>
      <c r="M4557">
        <v>0.49</v>
      </c>
      <c r="N4557" s="1">
        <v>5000000</v>
      </c>
      <c r="O4557">
        <v>0.48</v>
      </c>
      <c r="P4557">
        <v>1.1599999999999999</v>
      </c>
      <c r="Q4557">
        <v>0.01</v>
      </c>
    </row>
    <row r="4558" spans="1:17" x14ac:dyDescent="0.25">
      <c r="A4558">
        <v>733486</v>
      </c>
      <c r="B4558" t="s">
        <v>5870</v>
      </c>
      <c r="C4558">
        <v>0.86</v>
      </c>
      <c r="D4558">
        <v>-0.03</v>
      </c>
      <c r="E4558">
        <v>0.87</v>
      </c>
      <c r="F4558">
        <v>0.87</v>
      </c>
      <c r="G4558">
        <v>0.86</v>
      </c>
      <c r="H4558">
        <v>0.87</v>
      </c>
      <c r="I4558" s="1">
        <v>260000</v>
      </c>
      <c r="J4558" s="1">
        <v>225200</v>
      </c>
      <c r="K4558">
        <v>5</v>
      </c>
      <c r="L4558">
        <v>0.85</v>
      </c>
      <c r="M4558">
        <v>0.86</v>
      </c>
      <c r="N4558" s="1">
        <v>5000000</v>
      </c>
      <c r="O4558">
        <v>0.86</v>
      </c>
      <c r="P4558">
        <v>1.38</v>
      </c>
      <c r="Q4558">
        <v>0.34</v>
      </c>
    </row>
    <row r="4559" spans="1:17" x14ac:dyDescent="0.25">
      <c r="A4559">
        <v>733487</v>
      </c>
      <c r="B4559" t="s">
        <v>5871</v>
      </c>
      <c r="C4559">
        <v>3.08</v>
      </c>
      <c r="D4559">
        <v>-0.02</v>
      </c>
      <c r="E4559">
        <v>4.0999999999999996</v>
      </c>
      <c r="F4559">
        <v>4.0999999999999996</v>
      </c>
      <c r="G4559">
        <v>2.82</v>
      </c>
      <c r="H4559">
        <v>3.19</v>
      </c>
      <c r="I4559" s="1">
        <v>5000</v>
      </c>
      <c r="J4559" s="1">
        <v>15950</v>
      </c>
      <c r="K4559">
        <v>5</v>
      </c>
      <c r="L4559">
        <v>0</v>
      </c>
      <c r="M4559">
        <v>4.0999999999999996</v>
      </c>
      <c r="N4559" s="1">
        <v>5000000</v>
      </c>
      <c r="O4559">
        <v>3.08</v>
      </c>
      <c r="P4559">
        <v>4.1100000000000003</v>
      </c>
      <c r="Q4559">
        <v>2.0499999999999998</v>
      </c>
    </row>
    <row r="4560" spans="1:17" x14ac:dyDescent="0.25">
      <c r="A4560">
        <v>733488</v>
      </c>
      <c r="B4560" t="s">
        <v>5872</v>
      </c>
      <c r="C4560">
        <v>0.68</v>
      </c>
      <c r="D4560">
        <v>-0.01</v>
      </c>
      <c r="E4560">
        <v>0.66</v>
      </c>
      <c r="F4560">
        <v>0.69</v>
      </c>
      <c r="G4560">
        <v>0.66</v>
      </c>
      <c r="H4560">
        <v>0.68</v>
      </c>
      <c r="I4560" s="1">
        <v>152000</v>
      </c>
      <c r="J4560" s="1">
        <v>103660</v>
      </c>
      <c r="K4560">
        <v>5</v>
      </c>
      <c r="L4560">
        <v>0.63</v>
      </c>
      <c r="M4560">
        <v>0.64</v>
      </c>
      <c r="N4560" s="1">
        <v>10000000</v>
      </c>
      <c r="O4560">
        <v>0.68</v>
      </c>
      <c r="P4560">
        <v>1.45</v>
      </c>
      <c r="Q4560">
        <v>0.01</v>
      </c>
    </row>
    <row r="4561" spans="1:17" x14ac:dyDescent="0.25">
      <c r="A4561">
        <v>733489</v>
      </c>
      <c r="B4561" t="s">
        <v>5873</v>
      </c>
      <c r="C4561">
        <v>0.59</v>
      </c>
      <c r="D4561">
        <v>0.06</v>
      </c>
      <c r="E4561">
        <v>0.53</v>
      </c>
      <c r="F4561">
        <v>0.59</v>
      </c>
      <c r="G4561">
        <v>0.53</v>
      </c>
      <c r="H4561">
        <v>0.54</v>
      </c>
      <c r="I4561" s="1">
        <v>143000</v>
      </c>
      <c r="J4561" s="1">
        <v>77520</v>
      </c>
      <c r="K4561">
        <v>4</v>
      </c>
      <c r="L4561">
        <v>0.55000000000000004</v>
      </c>
      <c r="M4561">
        <v>0.56000000000000005</v>
      </c>
      <c r="N4561" s="1">
        <v>10000000</v>
      </c>
      <c r="O4561">
        <v>0.59</v>
      </c>
      <c r="P4561">
        <v>1.73</v>
      </c>
      <c r="Q4561">
        <v>0.01</v>
      </c>
    </row>
    <row r="4562" spans="1:17" x14ac:dyDescent="0.25">
      <c r="A4562">
        <v>733490</v>
      </c>
      <c r="B4562" t="s">
        <v>5874</v>
      </c>
      <c r="C4562">
        <v>0.87</v>
      </c>
      <c r="D4562">
        <v>0.06</v>
      </c>
      <c r="E4562">
        <v>0.9</v>
      </c>
      <c r="F4562">
        <v>0.9</v>
      </c>
      <c r="G4562">
        <v>0.87</v>
      </c>
      <c r="H4562">
        <v>0.89</v>
      </c>
      <c r="I4562" s="1">
        <v>130000</v>
      </c>
      <c r="J4562" s="1">
        <v>115200</v>
      </c>
      <c r="K4562">
        <v>2</v>
      </c>
      <c r="L4562">
        <v>0.86</v>
      </c>
      <c r="M4562">
        <v>0.87</v>
      </c>
      <c r="N4562" s="1">
        <v>10000000</v>
      </c>
      <c r="O4562">
        <v>0.87</v>
      </c>
      <c r="P4562">
        <v>2.1</v>
      </c>
      <c r="Q4562">
        <v>0.01</v>
      </c>
    </row>
    <row r="4563" spans="1:17" x14ac:dyDescent="0.25">
      <c r="A4563">
        <v>733491</v>
      </c>
      <c r="B4563" t="s">
        <v>5875</v>
      </c>
      <c r="C4563">
        <v>0.69</v>
      </c>
      <c r="D4563">
        <v>0.04</v>
      </c>
      <c r="E4563">
        <v>0.71</v>
      </c>
      <c r="F4563">
        <v>0.75</v>
      </c>
      <c r="G4563">
        <v>0.69</v>
      </c>
      <c r="H4563">
        <v>0.74</v>
      </c>
      <c r="I4563" s="1">
        <v>699000</v>
      </c>
      <c r="J4563" s="1">
        <v>513860</v>
      </c>
      <c r="K4563">
        <v>26</v>
      </c>
      <c r="L4563">
        <v>0.68</v>
      </c>
      <c r="M4563">
        <v>0.69</v>
      </c>
      <c r="N4563" s="1">
        <v>10000000</v>
      </c>
      <c r="O4563">
        <v>0.69</v>
      </c>
      <c r="P4563">
        <v>1.1399999999999999</v>
      </c>
      <c r="Q4563">
        <v>0.24</v>
      </c>
    </row>
    <row r="4564" spans="1:17" x14ac:dyDescent="0.25">
      <c r="A4564">
        <v>733492</v>
      </c>
      <c r="B4564" t="s">
        <v>5876</v>
      </c>
      <c r="C4564">
        <v>0.96</v>
      </c>
      <c r="D4564">
        <v>-0.04</v>
      </c>
      <c r="E4564">
        <v>0.99</v>
      </c>
      <c r="F4564">
        <v>0.99</v>
      </c>
      <c r="G4564">
        <v>0.95</v>
      </c>
      <c r="H4564">
        <v>0.98</v>
      </c>
      <c r="I4564" s="1">
        <v>259000</v>
      </c>
      <c r="J4564" s="1">
        <v>253690</v>
      </c>
      <c r="K4564">
        <v>11</v>
      </c>
      <c r="L4564">
        <v>0.96</v>
      </c>
      <c r="M4564">
        <v>0.97</v>
      </c>
      <c r="N4564" s="1">
        <v>10000000</v>
      </c>
      <c r="O4564">
        <v>0.96</v>
      </c>
      <c r="P4564">
        <v>1.71</v>
      </c>
      <c r="Q4564">
        <v>0.21</v>
      </c>
    </row>
    <row r="4565" spans="1:17" x14ac:dyDescent="0.25">
      <c r="A4565">
        <v>733493</v>
      </c>
      <c r="B4565" t="s">
        <v>5877</v>
      </c>
      <c r="C4565">
        <v>0.74</v>
      </c>
      <c r="D4565">
        <v>0.05</v>
      </c>
      <c r="E4565">
        <v>0.67</v>
      </c>
      <c r="F4565">
        <v>0.76</v>
      </c>
      <c r="G4565">
        <v>0.65</v>
      </c>
      <c r="H4565">
        <v>0.68</v>
      </c>
      <c r="I4565" s="1">
        <v>272000</v>
      </c>
      <c r="J4565" s="1">
        <v>185930</v>
      </c>
      <c r="K4565">
        <v>10</v>
      </c>
      <c r="L4565">
        <v>0.71</v>
      </c>
      <c r="M4565">
        <v>0.72</v>
      </c>
      <c r="N4565" s="1">
        <v>10000000</v>
      </c>
      <c r="O4565">
        <v>0.74</v>
      </c>
      <c r="P4565">
        <v>1.58</v>
      </c>
      <c r="Q4565">
        <v>0.01</v>
      </c>
    </row>
    <row r="4566" spans="1:17" x14ac:dyDescent="0.25">
      <c r="A4566">
        <v>733494</v>
      </c>
      <c r="B4566" t="s">
        <v>5878</v>
      </c>
      <c r="C4566" t="s">
        <v>78</v>
      </c>
      <c r="D4566" t="s">
        <v>78</v>
      </c>
      <c r="E4566" t="s">
        <v>78</v>
      </c>
      <c r="F4566" t="s">
        <v>78</v>
      </c>
      <c r="G4566" t="s">
        <v>78</v>
      </c>
      <c r="H4566">
        <v>0.96</v>
      </c>
      <c r="I4566" s="1">
        <v>0</v>
      </c>
      <c r="J4566" s="1">
        <v>0</v>
      </c>
      <c r="K4566">
        <v>0</v>
      </c>
      <c r="L4566">
        <v>1.1200000000000001</v>
      </c>
      <c r="M4566">
        <v>1.1299999999999999</v>
      </c>
      <c r="N4566" s="1">
        <v>5000000</v>
      </c>
      <c r="O4566">
        <v>1.1200000000000001</v>
      </c>
      <c r="P4566">
        <v>3.61</v>
      </c>
      <c r="Q4566">
        <v>0.01</v>
      </c>
    </row>
    <row r="4567" spans="1:17" x14ac:dyDescent="0.25">
      <c r="A4567">
        <v>733495</v>
      </c>
      <c r="B4567" t="s">
        <v>5879</v>
      </c>
      <c r="C4567">
        <v>2.21</v>
      </c>
      <c r="D4567">
        <v>-0.22</v>
      </c>
      <c r="E4567">
        <v>2.4700000000000002</v>
      </c>
      <c r="F4567">
        <v>2.54</v>
      </c>
      <c r="G4567">
        <v>2.21</v>
      </c>
      <c r="H4567">
        <v>2.4500000000000002</v>
      </c>
      <c r="I4567" s="1">
        <v>160000</v>
      </c>
      <c r="J4567" s="1">
        <v>391980</v>
      </c>
      <c r="K4567">
        <v>6</v>
      </c>
      <c r="L4567">
        <v>2.1</v>
      </c>
      <c r="M4567">
        <v>2.13</v>
      </c>
      <c r="N4567" s="1">
        <v>5000000</v>
      </c>
      <c r="O4567">
        <v>2.21</v>
      </c>
      <c r="P4567">
        <v>3.71</v>
      </c>
      <c r="Q4567">
        <v>0.71</v>
      </c>
    </row>
    <row r="4568" spans="1:17" x14ac:dyDescent="0.25">
      <c r="A4568">
        <v>733496</v>
      </c>
      <c r="B4568" t="s">
        <v>5880</v>
      </c>
      <c r="C4568">
        <v>0.34</v>
      </c>
      <c r="D4568">
        <v>-0.01</v>
      </c>
      <c r="E4568">
        <v>0.34</v>
      </c>
      <c r="F4568">
        <v>0.34</v>
      </c>
      <c r="G4568">
        <v>0.34</v>
      </c>
      <c r="H4568">
        <v>0.34</v>
      </c>
      <c r="I4568" s="1">
        <v>108000</v>
      </c>
      <c r="J4568" s="1">
        <v>36720</v>
      </c>
      <c r="K4568">
        <v>1</v>
      </c>
      <c r="L4568">
        <v>0.33</v>
      </c>
      <c r="M4568">
        <v>0.34</v>
      </c>
      <c r="N4568" s="1">
        <v>10000000</v>
      </c>
      <c r="O4568">
        <v>0.34</v>
      </c>
      <c r="P4568">
        <v>0.83</v>
      </c>
      <c r="Q4568">
        <v>0.01</v>
      </c>
    </row>
    <row r="4569" spans="1:17" x14ac:dyDescent="0.25">
      <c r="A4569">
        <v>733497</v>
      </c>
      <c r="B4569" t="s">
        <v>5881</v>
      </c>
      <c r="C4569">
        <v>0.45</v>
      </c>
      <c r="D4569">
        <v>0</v>
      </c>
      <c r="E4569">
        <v>0.47</v>
      </c>
      <c r="F4569">
        <v>0.5</v>
      </c>
      <c r="G4569">
        <v>0.44</v>
      </c>
      <c r="H4569">
        <v>0.47</v>
      </c>
      <c r="I4569" s="1">
        <v>819000</v>
      </c>
      <c r="J4569" s="1">
        <v>385940</v>
      </c>
      <c r="K4569">
        <v>17</v>
      </c>
      <c r="L4569">
        <v>0.45</v>
      </c>
      <c r="M4569">
        <v>0.46</v>
      </c>
      <c r="N4569" s="1">
        <v>10000000</v>
      </c>
      <c r="O4569">
        <v>0.45</v>
      </c>
      <c r="P4569">
        <v>0.81</v>
      </c>
      <c r="Q4569">
        <v>0.09</v>
      </c>
    </row>
    <row r="4570" spans="1:17" x14ac:dyDescent="0.25">
      <c r="A4570">
        <v>733498</v>
      </c>
      <c r="B4570" t="s">
        <v>5882</v>
      </c>
      <c r="C4570">
        <v>1.68</v>
      </c>
      <c r="D4570">
        <v>0.08</v>
      </c>
      <c r="E4570">
        <v>1.62</v>
      </c>
      <c r="F4570">
        <v>1.68</v>
      </c>
      <c r="G4570">
        <v>1.62</v>
      </c>
      <c r="H4570">
        <v>1.66</v>
      </c>
      <c r="I4570" s="1">
        <v>310000</v>
      </c>
      <c r="J4570" s="1">
        <v>513720</v>
      </c>
      <c r="K4570">
        <v>8</v>
      </c>
      <c r="L4570">
        <v>1.61</v>
      </c>
      <c r="M4570">
        <v>1.64</v>
      </c>
      <c r="N4570" s="1">
        <v>10000000</v>
      </c>
      <c r="O4570">
        <v>1.68</v>
      </c>
      <c r="P4570">
        <v>2.57</v>
      </c>
      <c r="Q4570">
        <v>0.79</v>
      </c>
    </row>
    <row r="4571" spans="1:17" x14ac:dyDescent="0.25">
      <c r="A4571">
        <v>733499</v>
      </c>
      <c r="B4571" t="s">
        <v>5883</v>
      </c>
      <c r="C4571">
        <v>1.82</v>
      </c>
      <c r="D4571">
        <v>0.32</v>
      </c>
      <c r="E4571">
        <v>1.51</v>
      </c>
      <c r="F4571">
        <v>1.91</v>
      </c>
      <c r="G4571">
        <v>1.51</v>
      </c>
      <c r="H4571">
        <v>1.7</v>
      </c>
      <c r="I4571" s="1">
        <v>1279000</v>
      </c>
      <c r="J4571" s="1">
        <v>2180690</v>
      </c>
      <c r="K4571">
        <v>59</v>
      </c>
      <c r="L4571">
        <v>1.79</v>
      </c>
      <c r="M4571">
        <v>1.81</v>
      </c>
      <c r="N4571" s="1">
        <v>10000000</v>
      </c>
      <c r="O4571">
        <v>1.82</v>
      </c>
      <c r="P4571">
        <v>2.9</v>
      </c>
      <c r="Q4571">
        <v>0.74</v>
      </c>
    </row>
    <row r="4572" spans="1:17" x14ac:dyDescent="0.25">
      <c r="A4572">
        <v>733500</v>
      </c>
      <c r="B4572" t="s">
        <v>5884</v>
      </c>
      <c r="C4572">
        <v>0.44</v>
      </c>
      <c r="D4572">
        <v>0</v>
      </c>
      <c r="E4572">
        <v>0.44</v>
      </c>
      <c r="F4572">
        <v>0.44</v>
      </c>
      <c r="G4572">
        <v>0.44</v>
      </c>
      <c r="H4572">
        <v>0.44</v>
      </c>
      <c r="I4572" s="1">
        <v>20000</v>
      </c>
      <c r="J4572" s="1">
        <v>8800</v>
      </c>
      <c r="K4572">
        <v>1</v>
      </c>
      <c r="L4572">
        <v>0.42</v>
      </c>
      <c r="M4572">
        <v>0.43</v>
      </c>
      <c r="N4572" s="1">
        <v>10000000</v>
      </c>
      <c r="O4572">
        <v>0.44</v>
      </c>
      <c r="P4572">
        <v>1.22</v>
      </c>
      <c r="Q4572">
        <v>0.01</v>
      </c>
    </row>
    <row r="4573" spans="1:17" x14ac:dyDescent="0.25">
      <c r="A4573">
        <v>733501</v>
      </c>
      <c r="B4573" t="s">
        <v>5885</v>
      </c>
      <c r="C4573">
        <v>1.69</v>
      </c>
      <c r="D4573">
        <v>0.15</v>
      </c>
      <c r="E4573">
        <v>1.54</v>
      </c>
      <c r="F4573">
        <v>1.71</v>
      </c>
      <c r="G4573">
        <v>1.54</v>
      </c>
      <c r="H4573">
        <v>1.66</v>
      </c>
      <c r="I4573" s="1">
        <v>336000</v>
      </c>
      <c r="J4573" s="1">
        <v>557930</v>
      </c>
      <c r="K4573">
        <v>9</v>
      </c>
      <c r="L4573">
        <v>1.68</v>
      </c>
      <c r="M4573">
        <v>1.73</v>
      </c>
      <c r="N4573" s="1">
        <v>5000000</v>
      </c>
      <c r="O4573">
        <v>1.69</v>
      </c>
      <c r="P4573">
        <v>2.4900000000000002</v>
      </c>
      <c r="Q4573">
        <v>0.89</v>
      </c>
    </row>
    <row r="4574" spans="1:17" x14ac:dyDescent="0.25">
      <c r="A4574">
        <v>733502</v>
      </c>
      <c r="B4574" t="s">
        <v>5886</v>
      </c>
      <c r="C4574">
        <v>0.75</v>
      </c>
      <c r="D4574">
        <v>-0.02</v>
      </c>
      <c r="E4574">
        <v>0.76</v>
      </c>
      <c r="F4574">
        <v>0.76</v>
      </c>
      <c r="G4574">
        <v>0.75</v>
      </c>
      <c r="H4574">
        <v>0.76</v>
      </c>
      <c r="I4574" s="1">
        <v>438000</v>
      </c>
      <c r="J4574" s="1">
        <v>331500</v>
      </c>
      <c r="K4574">
        <v>6</v>
      </c>
      <c r="L4574">
        <v>0.74</v>
      </c>
      <c r="M4574">
        <v>0.75</v>
      </c>
      <c r="N4574" s="1">
        <v>5000000</v>
      </c>
      <c r="O4574">
        <v>0.75</v>
      </c>
      <c r="P4574">
        <v>1.76</v>
      </c>
      <c r="Q4574">
        <v>0.01</v>
      </c>
    </row>
    <row r="4575" spans="1:17" x14ac:dyDescent="0.25">
      <c r="A4575">
        <v>733503</v>
      </c>
      <c r="B4575" t="s">
        <v>5887</v>
      </c>
      <c r="C4575">
        <v>0.75</v>
      </c>
      <c r="D4575">
        <v>-0.01</v>
      </c>
      <c r="E4575">
        <v>0.8</v>
      </c>
      <c r="F4575">
        <v>0.82</v>
      </c>
      <c r="G4575">
        <v>0.75</v>
      </c>
      <c r="H4575">
        <v>0.79</v>
      </c>
      <c r="I4575" s="1">
        <v>41000</v>
      </c>
      <c r="J4575" s="1">
        <v>32360</v>
      </c>
      <c r="K4575">
        <v>4</v>
      </c>
      <c r="L4575">
        <v>0.74</v>
      </c>
      <c r="M4575">
        <v>0.75</v>
      </c>
      <c r="N4575" s="1">
        <v>10000000</v>
      </c>
      <c r="O4575">
        <v>0.75</v>
      </c>
      <c r="P4575">
        <v>1.32</v>
      </c>
      <c r="Q4575">
        <v>0.18</v>
      </c>
    </row>
    <row r="4576" spans="1:17" x14ac:dyDescent="0.25">
      <c r="A4576">
        <v>733504</v>
      </c>
      <c r="B4576" t="s">
        <v>5888</v>
      </c>
      <c r="C4576">
        <v>1.28</v>
      </c>
      <c r="D4576">
        <v>7.0000000000000007E-2</v>
      </c>
      <c r="E4576">
        <v>1.22</v>
      </c>
      <c r="F4576">
        <v>1.3</v>
      </c>
      <c r="G4576">
        <v>1.19</v>
      </c>
      <c r="H4576">
        <v>1.23</v>
      </c>
      <c r="I4576" s="1">
        <v>433000</v>
      </c>
      <c r="J4576" s="1">
        <v>534340</v>
      </c>
      <c r="K4576">
        <v>29</v>
      </c>
      <c r="L4576">
        <v>1.27</v>
      </c>
      <c r="M4576">
        <v>1.28</v>
      </c>
      <c r="N4576" s="1">
        <v>10000000</v>
      </c>
      <c r="O4576">
        <v>1.28</v>
      </c>
      <c r="P4576">
        <v>2.2200000000000002</v>
      </c>
      <c r="Q4576">
        <v>0.34</v>
      </c>
    </row>
    <row r="4577" spans="1:17" x14ac:dyDescent="0.25">
      <c r="A4577">
        <v>733505</v>
      </c>
      <c r="B4577" t="s">
        <v>5889</v>
      </c>
      <c r="C4577">
        <v>0.7</v>
      </c>
      <c r="D4577">
        <v>0.09</v>
      </c>
      <c r="E4577">
        <v>0.57999999999999996</v>
      </c>
      <c r="F4577">
        <v>0.7</v>
      </c>
      <c r="G4577">
        <v>0.57999999999999996</v>
      </c>
      <c r="H4577">
        <v>0.61</v>
      </c>
      <c r="I4577" s="1">
        <v>630000</v>
      </c>
      <c r="J4577" s="1">
        <v>381620</v>
      </c>
      <c r="K4577">
        <v>13</v>
      </c>
      <c r="L4577">
        <v>0.65</v>
      </c>
      <c r="M4577">
        <v>0.69</v>
      </c>
      <c r="N4577" s="1">
        <v>5000000</v>
      </c>
      <c r="O4577">
        <v>0.7</v>
      </c>
      <c r="P4577">
        <v>1.64</v>
      </c>
      <c r="Q4577">
        <v>0.01</v>
      </c>
    </row>
    <row r="4578" spans="1:17" x14ac:dyDescent="0.25">
      <c r="A4578">
        <v>733506</v>
      </c>
      <c r="B4578" t="s">
        <v>5890</v>
      </c>
      <c r="C4578">
        <v>1.64</v>
      </c>
      <c r="D4578">
        <v>0.12</v>
      </c>
      <c r="E4578">
        <v>1.65</v>
      </c>
      <c r="F4578">
        <v>1.65</v>
      </c>
      <c r="G4578">
        <v>1.57</v>
      </c>
      <c r="H4578">
        <v>1.63</v>
      </c>
      <c r="I4578" s="1">
        <v>59000</v>
      </c>
      <c r="J4578" s="1">
        <v>96030</v>
      </c>
      <c r="K4578">
        <v>4</v>
      </c>
      <c r="L4578">
        <v>1.66</v>
      </c>
      <c r="M4578">
        <v>1.68</v>
      </c>
      <c r="N4578" s="1">
        <v>10000000</v>
      </c>
      <c r="O4578">
        <v>1.64</v>
      </c>
      <c r="P4578">
        <v>3.06</v>
      </c>
      <c r="Q4578">
        <v>0.22</v>
      </c>
    </row>
    <row r="4579" spans="1:17" x14ac:dyDescent="0.25">
      <c r="A4579">
        <v>733507</v>
      </c>
      <c r="B4579" t="s">
        <v>5891</v>
      </c>
      <c r="C4579">
        <v>1.1100000000000001</v>
      </c>
      <c r="D4579">
        <v>0.03</v>
      </c>
      <c r="E4579">
        <v>1.1399999999999999</v>
      </c>
      <c r="F4579">
        <v>1.1599999999999999</v>
      </c>
      <c r="G4579">
        <v>1.0900000000000001</v>
      </c>
      <c r="H4579">
        <v>1.1299999999999999</v>
      </c>
      <c r="I4579" s="1">
        <v>105000</v>
      </c>
      <c r="J4579" s="1">
        <v>118380</v>
      </c>
      <c r="K4579">
        <v>9</v>
      </c>
      <c r="L4579">
        <v>1.1000000000000001</v>
      </c>
      <c r="M4579">
        <v>1.1100000000000001</v>
      </c>
      <c r="N4579" s="1">
        <v>10000000</v>
      </c>
      <c r="O4579">
        <v>1.1100000000000001</v>
      </c>
      <c r="P4579">
        <v>1.96</v>
      </c>
      <c r="Q4579">
        <v>0.26</v>
      </c>
    </row>
    <row r="4580" spans="1:17" x14ac:dyDescent="0.25">
      <c r="A4580">
        <v>733508</v>
      </c>
      <c r="B4580" t="s">
        <v>5892</v>
      </c>
      <c r="C4580">
        <v>1.2</v>
      </c>
      <c r="D4580">
        <v>7.0000000000000007E-2</v>
      </c>
      <c r="E4580">
        <v>1.18</v>
      </c>
      <c r="F4580">
        <v>1.21</v>
      </c>
      <c r="G4580">
        <v>1.18</v>
      </c>
      <c r="H4580">
        <v>1.19</v>
      </c>
      <c r="I4580" s="1">
        <v>781000</v>
      </c>
      <c r="J4580" s="1">
        <v>932160</v>
      </c>
      <c r="K4580">
        <v>20</v>
      </c>
      <c r="L4580">
        <v>1.19</v>
      </c>
      <c r="M4580">
        <v>1.2</v>
      </c>
      <c r="N4580" s="1">
        <v>10000000</v>
      </c>
      <c r="O4580">
        <v>1.2</v>
      </c>
      <c r="P4580">
        <v>2.02</v>
      </c>
      <c r="Q4580">
        <v>0.38</v>
      </c>
    </row>
    <row r="4581" spans="1:17" x14ac:dyDescent="0.25">
      <c r="A4581">
        <v>733509</v>
      </c>
      <c r="B4581" t="s">
        <v>5893</v>
      </c>
      <c r="C4581">
        <v>0.43</v>
      </c>
      <c r="D4581">
        <v>0.02</v>
      </c>
      <c r="E4581">
        <v>0.43</v>
      </c>
      <c r="F4581">
        <v>0.43</v>
      </c>
      <c r="G4581">
        <v>0.43</v>
      </c>
      <c r="H4581">
        <v>0.43</v>
      </c>
      <c r="I4581" s="1">
        <v>220000</v>
      </c>
      <c r="J4581" s="1">
        <v>94600</v>
      </c>
      <c r="K4581">
        <v>3</v>
      </c>
      <c r="L4581">
        <v>0.42</v>
      </c>
      <c r="M4581">
        <v>0.43</v>
      </c>
      <c r="N4581" s="1">
        <v>10000000</v>
      </c>
      <c r="O4581">
        <v>0.43</v>
      </c>
      <c r="P4581">
        <v>0.86</v>
      </c>
      <c r="Q4581">
        <v>0.01</v>
      </c>
    </row>
    <row r="4582" spans="1:17" x14ac:dyDescent="0.25">
      <c r="A4582">
        <v>733510</v>
      </c>
      <c r="B4582" t="s">
        <v>5894</v>
      </c>
      <c r="C4582">
        <v>1.2</v>
      </c>
      <c r="D4582">
        <v>0.09</v>
      </c>
      <c r="E4582">
        <v>1.2</v>
      </c>
      <c r="F4582">
        <v>1.2</v>
      </c>
      <c r="G4582">
        <v>1.2</v>
      </c>
      <c r="H4582">
        <v>1.2</v>
      </c>
      <c r="I4582" s="1">
        <v>32000</v>
      </c>
      <c r="J4582" s="1">
        <v>38400</v>
      </c>
      <c r="K4582">
        <v>1</v>
      </c>
      <c r="L4582">
        <v>1.18</v>
      </c>
      <c r="M4582">
        <v>1.19</v>
      </c>
      <c r="N4582" s="1">
        <v>10000000</v>
      </c>
      <c r="O4582">
        <v>1.2</v>
      </c>
      <c r="P4582">
        <v>2.23</v>
      </c>
      <c r="Q4582">
        <v>0.17</v>
      </c>
    </row>
    <row r="4583" spans="1:17" x14ac:dyDescent="0.25">
      <c r="A4583">
        <v>733511</v>
      </c>
      <c r="B4583" t="s">
        <v>5895</v>
      </c>
      <c r="C4583" t="s">
        <v>78</v>
      </c>
      <c r="D4583" t="s">
        <v>78</v>
      </c>
      <c r="E4583" t="s">
        <v>78</v>
      </c>
      <c r="F4583" t="s">
        <v>78</v>
      </c>
      <c r="G4583" t="s">
        <v>78</v>
      </c>
      <c r="H4583">
        <v>0.89</v>
      </c>
      <c r="I4583" s="1">
        <v>0</v>
      </c>
      <c r="J4583" s="1">
        <v>0</v>
      </c>
      <c r="K4583">
        <v>0</v>
      </c>
      <c r="L4583">
        <v>0.84</v>
      </c>
      <c r="M4583">
        <v>0.85</v>
      </c>
      <c r="N4583" s="1">
        <v>10000000</v>
      </c>
      <c r="O4583">
        <v>0.85</v>
      </c>
      <c r="P4583">
        <v>1.57</v>
      </c>
      <c r="Q4583">
        <v>0.13</v>
      </c>
    </row>
    <row r="4584" spans="1:17" x14ac:dyDescent="0.25">
      <c r="A4584">
        <v>733512</v>
      </c>
      <c r="B4584" t="s">
        <v>5896</v>
      </c>
      <c r="C4584">
        <v>0.94</v>
      </c>
      <c r="D4584">
        <v>0.05</v>
      </c>
      <c r="E4584">
        <v>0.9</v>
      </c>
      <c r="F4584">
        <v>0.98</v>
      </c>
      <c r="G4584">
        <v>0.9</v>
      </c>
      <c r="H4584">
        <v>0.96</v>
      </c>
      <c r="I4584" s="1">
        <v>2248000</v>
      </c>
      <c r="J4584" s="1">
        <v>2149010</v>
      </c>
      <c r="K4584">
        <v>41</v>
      </c>
      <c r="L4584">
        <v>0.93</v>
      </c>
      <c r="M4584">
        <v>0.94</v>
      </c>
      <c r="N4584" s="1">
        <v>5000000</v>
      </c>
      <c r="O4584">
        <v>0.94</v>
      </c>
      <c r="P4584">
        <v>1.55</v>
      </c>
      <c r="Q4584">
        <v>0.33</v>
      </c>
    </row>
    <row r="4585" spans="1:17" x14ac:dyDescent="0.25">
      <c r="A4585">
        <v>733513</v>
      </c>
      <c r="B4585" t="s">
        <v>5897</v>
      </c>
      <c r="C4585">
        <v>1.0900000000000001</v>
      </c>
      <c r="D4585">
        <v>0.24</v>
      </c>
      <c r="E4585">
        <v>0.88</v>
      </c>
      <c r="F4585">
        <v>1.19</v>
      </c>
      <c r="G4585">
        <v>0.88</v>
      </c>
      <c r="H4585">
        <v>1</v>
      </c>
      <c r="I4585" s="1">
        <v>759000</v>
      </c>
      <c r="J4585" s="1">
        <v>755470</v>
      </c>
      <c r="K4585">
        <v>38</v>
      </c>
      <c r="L4585">
        <v>1.08</v>
      </c>
      <c r="M4585">
        <v>1.0900000000000001</v>
      </c>
      <c r="N4585" s="1">
        <v>5000000</v>
      </c>
      <c r="O4585">
        <v>1.0900000000000001</v>
      </c>
      <c r="P4585">
        <v>2.31</v>
      </c>
      <c r="Q4585">
        <v>0.01</v>
      </c>
    </row>
    <row r="4586" spans="1:17" x14ac:dyDescent="0.25">
      <c r="A4586">
        <v>733514</v>
      </c>
      <c r="B4586" t="s">
        <v>5898</v>
      </c>
      <c r="C4586">
        <v>1.47</v>
      </c>
      <c r="D4586">
        <v>0</v>
      </c>
      <c r="E4586">
        <v>1.44</v>
      </c>
      <c r="F4586">
        <v>1.47</v>
      </c>
      <c r="G4586">
        <v>1.44</v>
      </c>
      <c r="H4586">
        <v>1.45</v>
      </c>
      <c r="I4586" s="1">
        <v>137000</v>
      </c>
      <c r="J4586" s="1">
        <v>199320</v>
      </c>
      <c r="K4586">
        <v>2</v>
      </c>
      <c r="L4586">
        <v>1.55</v>
      </c>
      <c r="M4586">
        <v>1.56</v>
      </c>
      <c r="N4586" s="1">
        <v>5000000</v>
      </c>
      <c r="O4586">
        <v>1.47</v>
      </c>
      <c r="P4586">
        <v>2.88</v>
      </c>
      <c r="Q4586">
        <v>0.06</v>
      </c>
    </row>
    <row r="4587" spans="1:17" x14ac:dyDescent="0.25">
      <c r="A4587">
        <v>733515</v>
      </c>
      <c r="B4587" t="s">
        <v>5899</v>
      </c>
      <c r="C4587">
        <v>1.1499999999999999</v>
      </c>
      <c r="D4587">
        <v>0.01</v>
      </c>
      <c r="E4587">
        <v>1.19</v>
      </c>
      <c r="F4587">
        <v>1.21</v>
      </c>
      <c r="G4587">
        <v>1.1499999999999999</v>
      </c>
      <c r="H4587">
        <v>1.19</v>
      </c>
      <c r="I4587" s="1">
        <v>684000</v>
      </c>
      <c r="J4587" s="1">
        <v>810950</v>
      </c>
      <c r="K4587">
        <v>15</v>
      </c>
      <c r="L4587">
        <v>1.1499999999999999</v>
      </c>
      <c r="M4587">
        <v>1.1599999999999999</v>
      </c>
      <c r="N4587" s="1">
        <v>5000000</v>
      </c>
      <c r="O4587">
        <v>1.1499999999999999</v>
      </c>
      <c r="P4587">
        <v>1.82</v>
      </c>
      <c r="Q4587">
        <v>0.48</v>
      </c>
    </row>
    <row r="4588" spans="1:17" x14ac:dyDescent="0.25">
      <c r="A4588">
        <v>733516</v>
      </c>
      <c r="B4588" t="s">
        <v>5900</v>
      </c>
      <c r="C4588" t="s">
        <v>78</v>
      </c>
      <c r="D4588" t="s">
        <v>78</v>
      </c>
      <c r="E4588" t="s">
        <v>78</v>
      </c>
      <c r="F4588" t="s">
        <v>78</v>
      </c>
      <c r="G4588" t="s">
        <v>78</v>
      </c>
      <c r="H4588">
        <v>0.57999999999999996</v>
      </c>
      <c r="I4588" s="1">
        <v>0</v>
      </c>
      <c r="J4588" s="1">
        <v>0</v>
      </c>
      <c r="K4588">
        <v>0</v>
      </c>
      <c r="L4588">
        <v>0.56999999999999995</v>
      </c>
      <c r="M4588">
        <v>0.57999999999999996</v>
      </c>
      <c r="N4588" s="1">
        <v>5000000</v>
      </c>
      <c r="O4588">
        <v>0.57999999999999996</v>
      </c>
      <c r="P4588">
        <v>0.98</v>
      </c>
      <c r="Q4588">
        <v>0.18</v>
      </c>
    </row>
    <row r="4589" spans="1:17" x14ac:dyDescent="0.25">
      <c r="A4589">
        <v>733517</v>
      </c>
      <c r="B4589" t="s">
        <v>5901</v>
      </c>
      <c r="C4589">
        <v>4.37</v>
      </c>
      <c r="D4589">
        <v>-0.21</v>
      </c>
      <c r="E4589">
        <v>4.37</v>
      </c>
      <c r="F4589">
        <v>4.37</v>
      </c>
      <c r="G4589">
        <v>4.37</v>
      </c>
      <c r="H4589">
        <v>4.37</v>
      </c>
      <c r="I4589" s="1">
        <v>10000</v>
      </c>
      <c r="J4589" s="1">
        <v>43700</v>
      </c>
      <c r="K4589">
        <v>1</v>
      </c>
      <c r="L4589">
        <v>4.84</v>
      </c>
      <c r="M4589">
        <v>4.9400000000000004</v>
      </c>
      <c r="N4589" s="1">
        <v>5000000</v>
      </c>
      <c r="O4589">
        <v>4.37</v>
      </c>
      <c r="P4589">
        <v>5.6</v>
      </c>
      <c r="Q4589">
        <v>3.11</v>
      </c>
    </row>
    <row r="4590" spans="1:17" x14ac:dyDescent="0.25">
      <c r="A4590">
        <v>733518</v>
      </c>
      <c r="B4590" t="s">
        <v>5902</v>
      </c>
      <c r="C4590">
        <v>0.44</v>
      </c>
      <c r="D4590">
        <v>0.01</v>
      </c>
      <c r="E4590">
        <v>0.45</v>
      </c>
      <c r="F4590">
        <v>0.45</v>
      </c>
      <c r="G4590">
        <v>0.44</v>
      </c>
      <c r="H4590">
        <v>0.44</v>
      </c>
      <c r="I4590" s="1">
        <v>20000</v>
      </c>
      <c r="J4590" s="1">
        <v>8900</v>
      </c>
      <c r="K4590">
        <v>2</v>
      </c>
      <c r="L4590">
        <v>0.42</v>
      </c>
      <c r="M4590">
        <v>0.44</v>
      </c>
      <c r="N4590" s="1">
        <v>10000000</v>
      </c>
      <c r="O4590">
        <v>0.44</v>
      </c>
      <c r="P4590">
        <v>1</v>
      </c>
      <c r="Q4590">
        <v>0.01</v>
      </c>
    </row>
    <row r="4591" spans="1:17" x14ac:dyDescent="0.25">
      <c r="A4591">
        <v>733519</v>
      </c>
      <c r="B4591" t="s">
        <v>5903</v>
      </c>
      <c r="C4591">
        <v>0.73</v>
      </c>
      <c r="D4591">
        <v>0.01</v>
      </c>
      <c r="E4591">
        <v>0.74</v>
      </c>
      <c r="F4591">
        <v>0.74</v>
      </c>
      <c r="G4591">
        <v>0.69</v>
      </c>
      <c r="H4591">
        <v>0.72</v>
      </c>
      <c r="I4591" s="1">
        <v>863000</v>
      </c>
      <c r="J4591" s="1">
        <v>619730</v>
      </c>
      <c r="K4591">
        <v>15</v>
      </c>
      <c r="L4591">
        <v>0.74</v>
      </c>
      <c r="M4591">
        <v>0.75</v>
      </c>
      <c r="N4591" s="1">
        <v>10000000</v>
      </c>
      <c r="O4591">
        <v>0.73</v>
      </c>
      <c r="P4591">
        <v>1.69</v>
      </c>
      <c r="Q4591">
        <v>0.01</v>
      </c>
    </row>
    <row r="4592" spans="1:17" x14ac:dyDescent="0.25">
      <c r="A4592">
        <v>733520</v>
      </c>
      <c r="B4592" t="s">
        <v>5904</v>
      </c>
      <c r="C4592">
        <v>1.36</v>
      </c>
      <c r="D4592">
        <v>0.04</v>
      </c>
      <c r="E4592">
        <v>1.28</v>
      </c>
      <c r="F4592">
        <v>1.36</v>
      </c>
      <c r="G4592">
        <v>1.19</v>
      </c>
      <c r="H4592">
        <v>1.28</v>
      </c>
      <c r="I4592" s="1">
        <v>795000</v>
      </c>
      <c r="J4592" s="1">
        <v>1014770</v>
      </c>
      <c r="K4592">
        <v>38</v>
      </c>
      <c r="L4592">
        <v>1.33</v>
      </c>
      <c r="M4592">
        <v>1.36</v>
      </c>
      <c r="N4592" s="1">
        <v>5000000</v>
      </c>
      <c r="O4592">
        <v>1.36</v>
      </c>
      <c r="P4592">
        <v>2.09</v>
      </c>
      <c r="Q4592">
        <v>0.63</v>
      </c>
    </row>
    <row r="4593" spans="1:17" x14ac:dyDescent="0.25">
      <c r="A4593">
        <v>733521</v>
      </c>
      <c r="B4593" t="s">
        <v>5905</v>
      </c>
      <c r="C4593">
        <v>0.55000000000000004</v>
      </c>
      <c r="D4593">
        <v>-0.02</v>
      </c>
      <c r="E4593">
        <v>0.59</v>
      </c>
      <c r="F4593">
        <v>0.59</v>
      </c>
      <c r="G4593">
        <v>0.55000000000000004</v>
      </c>
      <c r="H4593">
        <v>0.56999999999999995</v>
      </c>
      <c r="I4593" s="1">
        <v>174000</v>
      </c>
      <c r="J4593" s="1">
        <v>99760</v>
      </c>
      <c r="K4593">
        <v>3</v>
      </c>
      <c r="L4593">
        <v>0.55000000000000004</v>
      </c>
      <c r="M4593">
        <v>0.56000000000000005</v>
      </c>
      <c r="N4593" s="1">
        <v>10000000</v>
      </c>
      <c r="O4593">
        <v>0.55000000000000004</v>
      </c>
      <c r="P4593">
        <v>0.94</v>
      </c>
      <c r="Q4593">
        <v>0.16</v>
      </c>
    </row>
    <row r="4594" spans="1:17" x14ac:dyDescent="0.25">
      <c r="A4594">
        <v>733522</v>
      </c>
      <c r="B4594" t="s">
        <v>5906</v>
      </c>
      <c r="C4594">
        <v>0.8</v>
      </c>
      <c r="D4594">
        <v>0.09</v>
      </c>
      <c r="E4594">
        <v>0.69</v>
      </c>
      <c r="F4594">
        <v>0.82</v>
      </c>
      <c r="G4594">
        <v>0.68</v>
      </c>
      <c r="H4594">
        <v>0.73</v>
      </c>
      <c r="I4594" s="1">
        <v>1914000</v>
      </c>
      <c r="J4594" s="1">
        <v>1406670</v>
      </c>
      <c r="K4594">
        <v>44</v>
      </c>
      <c r="L4594">
        <v>0.79</v>
      </c>
      <c r="M4594">
        <v>0.8</v>
      </c>
      <c r="N4594" s="1">
        <v>5000000</v>
      </c>
      <c r="O4594">
        <v>0.8</v>
      </c>
      <c r="P4594">
        <v>1.73</v>
      </c>
      <c r="Q4594">
        <v>0.01</v>
      </c>
    </row>
    <row r="4595" spans="1:17" x14ac:dyDescent="0.25">
      <c r="A4595">
        <v>733523</v>
      </c>
      <c r="B4595" t="s">
        <v>5907</v>
      </c>
      <c r="C4595">
        <v>0.77</v>
      </c>
      <c r="D4595">
        <v>0</v>
      </c>
      <c r="E4595">
        <v>0.75</v>
      </c>
      <c r="F4595">
        <v>0.78</v>
      </c>
      <c r="G4595">
        <v>0.75</v>
      </c>
      <c r="H4595">
        <v>0.78</v>
      </c>
      <c r="I4595" s="1">
        <v>291000</v>
      </c>
      <c r="J4595" s="1">
        <v>225960</v>
      </c>
      <c r="K4595">
        <v>4</v>
      </c>
      <c r="L4595">
        <v>0.75</v>
      </c>
      <c r="M4595">
        <v>0.76</v>
      </c>
      <c r="N4595" s="1">
        <v>10000000</v>
      </c>
      <c r="O4595">
        <v>0.77</v>
      </c>
      <c r="P4595">
        <v>1.69</v>
      </c>
      <c r="Q4595">
        <v>0.01</v>
      </c>
    </row>
    <row r="4596" spans="1:17" x14ac:dyDescent="0.25">
      <c r="A4596">
        <v>733524</v>
      </c>
      <c r="B4596" t="s">
        <v>5908</v>
      </c>
      <c r="C4596">
        <v>0.37</v>
      </c>
      <c r="D4596">
        <v>-0.05</v>
      </c>
      <c r="E4596">
        <v>0.41</v>
      </c>
      <c r="F4596">
        <v>0.44</v>
      </c>
      <c r="G4596">
        <v>0.37</v>
      </c>
      <c r="H4596">
        <v>0.41</v>
      </c>
      <c r="I4596" s="1">
        <v>1947000</v>
      </c>
      <c r="J4596" s="1">
        <v>800160</v>
      </c>
      <c r="K4596">
        <v>21</v>
      </c>
      <c r="L4596">
        <v>0.38</v>
      </c>
      <c r="M4596">
        <v>0.39</v>
      </c>
      <c r="N4596" s="1">
        <v>5000000</v>
      </c>
      <c r="O4596">
        <v>0.37</v>
      </c>
      <c r="P4596">
        <v>0.95</v>
      </c>
      <c r="Q4596">
        <v>0.01</v>
      </c>
    </row>
    <row r="4597" spans="1:17" x14ac:dyDescent="0.25">
      <c r="A4597">
        <v>733525</v>
      </c>
      <c r="B4597" t="s">
        <v>5909</v>
      </c>
      <c r="C4597">
        <v>0.45</v>
      </c>
      <c r="D4597">
        <v>-0.01</v>
      </c>
      <c r="E4597">
        <v>0.45</v>
      </c>
      <c r="F4597">
        <v>0.45</v>
      </c>
      <c r="G4597">
        <v>0.45</v>
      </c>
      <c r="H4597">
        <v>0.45</v>
      </c>
      <c r="I4597" s="1">
        <v>108000</v>
      </c>
      <c r="J4597" s="1">
        <v>48600</v>
      </c>
      <c r="K4597">
        <v>1</v>
      </c>
      <c r="L4597">
        <v>0.44</v>
      </c>
      <c r="M4597">
        <v>0.45</v>
      </c>
      <c r="N4597" s="1">
        <v>10000000</v>
      </c>
      <c r="O4597">
        <v>0.45</v>
      </c>
      <c r="P4597">
        <v>1.03</v>
      </c>
      <c r="Q4597">
        <v>0.01</v>
      </c>
    </row>
    <row r="4598" spans="1:17" x14ac:dyDescent="0.25">
      <c r="A4598">
        <v>733526</v>
      </c>
      <c r="B4598" t="s">
        <v>5910</v>
      </c>
      <c r="C4598" t="s">
        <v>78</v>
      </c>
      <c r="D4598" t="s">
        <v>78</v>
      </c>
      <c r="E4598" t="s">
        <v>78</v>
      </c>
      <c r="F4598" t="s">
        <v>78</v>
      </c>
      <c r="G4598" t="s">
        <v>78</v>
      </c>
      <c r="H4598">
        <v>0.68</v>
      </c>
      <c r="I4598" s="1">
        <v>0</v>
      </c>
      <c r="J4598" s="1">
        <v>0</v>
      </c>
      <c r="K4598">
        <v>0</v>
      </c>
      <c r="L4598">
        <v>0.61</v>
      </c>
      <c r="M4598">
        <v>0.62</v>
      </c>
      <c r="N4598" s="1">
        <v>10000000</v>
      </c>
      <c r="O4598">
        <v>0.62</v>
      </c>
      <c r="P4598">
        <v>1.52</v>
      </c>
      <c r="Q4598">
        <v>0.01</v>
      </c>
    </row>
    <row r="4599" spans="1:17" x14ac:dyDescent="0.25">
      <c r="A4599">
        <v>733527</v>
      </c>
      <c r="B4599" t="s">
        <v>5911</v>
      </c>
      <c r="C4599">
        <v>0.81</v>
      </c>
      <c r="D4599">
        <v>0</v>
      </c>
      <c r="E4599">
        <v>0.78</v>
      </c>
      <c r="F4599">
        <v>0.81</v>
      </c>
      <c r="G4599">
        <v>0.78</v>
      </c>
      <c r="H4599">
        <v>0.81</v>
      </c>
      <c r="I4599" s="1">
        <v>67000</v>
      </c>
      <c r="J4599" s="1">
        <v>54060</v>
      </c>
      <c r="K4599">
        <v>3</v>
      </c>
      <c r="L4599">
        <v>0.85</v>
      </c>
      <c r="M4599">
        <v>0.86</v>
      </c>
      <c r="N4599" s="1">
        <v>20000000</v>
      </c>
      <c r="O4599">
        <v>0.81</v>
      </c>
      <c r="P4599">
        <v>1.7</v>
      </c>
      <c r="Q4599">
        <v>0.01</v>
      </c>
    </row>
    <row r="4600" spans="1:17" x14ac:dyDescent="0.25">
      <c r="A4600">
        <v>733528</v>
      </c>
      <c r="B4600" t="s">
        <v>5912</v>
      </c>
      <c r="C4600">
        <v>2.44</v>
      </c>
      <c r="D4600">
        <v>7.0000000000000007E-2</v>
      </c>
      <c r="E4600">
        <v>2.2999999999999998</v>
      </c>
      <c r="F4600">
        <v>2.4700000000000002</v>
      </c>
      <c r="G4600">
        <v>2.2400000000000002</v>
      </c>
      <c r="H4600">
        <v>2.38</v>
      </c>
      <c r="I4600" s="1">
        <v>172000</v>
      </c>
      <c r="J4600" s="1">
        <v>408900</v>
      </c>
      <c r="K4600">
        <v>13</v>
      </c>
      <c r="L4600">
        <v>2.4300000000000002</v>
      </c>
      <c r="M4600">
        <v>2.4500000000000002</v>
      </c>
      <c r="N4600" s="1">
        <v>10000000</v>
      </c>
      <c r="O4600">
        <v>2.44</v>
      </c>
      <c r="P4600">
        <v>3.3</v>
      </c>
      <c r="Q4600">
        <v>1.58</v>
      </c>
    </row>
    <row r="4601" spans="1:17" x14ac:dyDescent="0.25">
      <c r="A4601">
        <v>733529</v>
      </c>
      <c r="B4601" t="s">
        <v>5913</v>
      </c>
      <c r="C4601" t="s">
        <v>78</v>
      </c>
      <c r="D4601" t="s">
        <v>78</v>
      </c>
      <c r="E4601" t="s">
        <v>78</v>
      </c>
      <c r="F4601" t="s">
        <v>78</v>
      </c>
      <c r="G4601" t="s">
        <v>78</v>
      </c>
      <c r="H4601">
        <v>0.37</v>
      </c>
      <c r="I4601" s="1">
        <v>0</v>
      </c>
      <c r="J4601" s="1">
        <v>0</v>
      </c>
      <c r="K4601">
        <v>0</v>
      </c>
      <c r="L4601">
        <v>0.38</v>
      </c>
      <c r="M4601">
        <v>0.39</v>
      </c>
      <c r="N4601" s="1">
        <v>7750000</v>
      </c>
      <c r="O4601">
        <v>0.39</v>
      </c>
      <c r="P4601">
        <v>1.29</v>
      </c>
      <c r="Q4601">
        <v>0.01</v>
      </c>
    </row>
    <row r="4602" spans="1:17" x14ac:dyDescent="0.25">
      <c r="A4602">
        <v>733530</v>
      </c>
      <c r="B4602" t="s">
        <v>5914</v>
      </c>
      <c r="C4602">
        <v>0.63</v>
      </c>
      <c r="D4602">
        <v>-0.01</v>
      </c>
      <c r="E4602">
        <v>0.68</v>
      </c>
      <c r="F4602">
        <v>0.71</v>
      </c>
      <c r="G4602">
        <v>0.63</v>
      </c>
      <c r="H4602">
        <v>0.65</v>
      </c>
      <c r="I4602" s="1">
        <v>424000</v>
      </c>
      <c r="J4602" s="1">
        <v>276540</v>
      </c>
      <c r="K4602">
        <v>15</v>
      </c>
      <c r="L4602">
        <v>0.63</v>
      </c>
      <c r="M4602">
        <v>0.64</v>
      </c>
      <c r="N4602" s="1">
        <v>10000000</v>
      </c>
      <c r="O4602">
        <v>0.63</v>
      </c>
      <c r="P4602">
        <v>1.45</v>
      </c>
      <c r="Q4602">
        <v>0.01</v>
      </c>
    </row>
    <row r="4603" spans="1:17" x14ac:dyDescent="0.25">
      <c r="A4603">
        <v>733531</v>
      </c>
      <c r="B4603" t="s">
        <v>5915</v>
      </c>
      <c r="C4603">
        <v>1.02</v>
      </c>
      <c r="D4603">
        <v>-0.01</v>
      </c>
      <c r="E4603">
        <v>1.07</v>
      </c>
      <c r="F4603">
        <v>1.1100000000000001</v>
      </c>
      <c r="G4603">
        <v>1.02</v>
      </c>
      <c r="H4603">
        <v>1.07</v>
      </c>
      <c r="I4603" s="1">
        <v>803000</v>
      </c>
      <c r="J4603" s="1">
        <v>863000</v>
      </c>
      <c r="K4603">
        <v>21</v>
      </c>
      <c r="L4603">
        <v>1.02</v>
      </c>
      <c r="M4603">
        <v>1.03</v>
      </c>
      <c r="N4603" s="1">
        <v>6000000</v>
      </c>
      <c r="O4603">
        <v>1.02</v>
      </c>
      <c r="P4603">
        <v>1.86</v>
      </c>
      <c r="Q4603">
        <v>0.18</v>
      </c>
    </row>
    <row r="4604" spans="1:17" x14ac:dyDescent="0.25">
      <c r="A4604">
        <v>733532</v>
      </c>
      <c r="B4604" t="s">
        <v>5916</v>
      </c>
      <c r="C4604">
        <v>2.3199999999999998</v>
      </c>
      <c r="D4604">
        <v>-0.02</v>
      </c>
      <c r="E4604">
        <v>2.2400000000000002</v>
      </c>
      <c r="F4604">
        <v>2.36</v>
      </c>
      <c r="G4604">
        <v>2.13</v>
      </c>
      <c r="H4604">
        <v>2.21</v>
      </c>
      <c r="I4604" s="1">
        <v>597000</v>
      </c>
      <c r="J4604" s="1">
        <v>1321140</v>
      </c>
      <c r="K4604">
        <v>29</v>
      </c>
      <c r="L4604">
        <v>2.3199999999999998</v>
      </c>
      <c r="M4604">
        <v>2.35</v>
      </c>
      <c r="N4604" s="1">
        <v>10000000</v>
      </c>
      <c r="O4604">
        <v>2.3199999999999998</v>
      </c>
      <c r="P4604">
        <v>3.18</v>
      </c>
      <c r="Q4604">
        <v>1.46</v>
      </c>
    </row>
    <row r="4605" spans="1:17" x14ac:dyDescent="0.25">
      <c r="A4605">
        <v>733533</v>
      </c>
      <c r="B4605" t="s">
        <v>5917</v>
      </c>
      <c r="C4605">
        <v>1.4</v>
      </c>
      <c r="D4605">
        <v>-0.08</v>
      </c>
      <c r="E4605">
        <v>1.48</v>
      </c>
      <c r="F4605">
        <v>1.48</v>
      </c>
      <c r="G4605">
        <v>1.4</v>
      </c>
      <c r="H4605">
        <v>1.45</v>
      </c>
      <c r="I4605" s="1">
        <v>1126000</v>
      </c>
      <c r="J4605" s="1">
        <v>1629020</v>
      </c>
      <c r="K4605">
        <v>32</v>
      </c>
      <c r="L4605">
        <v>1.4</v>
      </c>
      <c r="M4605">
        <v>1.41</v>
      </c>
      <c r="N4605" s="1">
        <v>10000000</v>
      </c>
      <c r="O4605">
        <v>1.4</v>
      </c>
      <c r="P4605">
        <v>2.04</v>
      </c>
      <c r="Q4605">
        <v>0.76</v>
      </c>
    </row>
    <row r="4606" spans="1:17" x14ac:dyDescent="0.25">
      <c r="A4606">
        <v>733534</v>
      </c>
      <c r="B4606" t="s">
        <v>5918</v>
      </c>
      <c r="C4606">
        <v>4.12</v>
      </c>
      <c r="D4606">
        <v>0.24</v>
      </c>
      <c r="E4606">
        <v>3.68</v>
      </c>
      <c r="F4606">
        <v>4.12</v>
      </c>
      <c r="G4606">
        <v>3.68</v>
      </c>
      <c r="H4606">
        <v>4.1100000000000003</v>
      </c>
      <c r="I4606" s="1">
        <v>110000</v>
      </c>
      <c r="J4606" s="1">
        <v>452240</v>
      </c>
      <c r="K4606">
        <v>4</v>
      </c>
      <c r="L4606">
        <v>3.05</v>
      </c>
      <c r="M4606">
        <v>4.12</v>
      </c>
      <c r="N4606" s="1">
        <v>5000000</v>
      </c>
      <c r="O4606">
        <v>4.12</v>
      </c>
      <c r="P4606">
        <v>5.25</v>
      </c>
      <c r="Q4606">
        <v>2.99</v>
      </c>
    </row>
    <row r="4607" spans="1:17" x14ac:dyDescent="0.25">
      <c r="A4607">
        <v>733535</v>
      </c>
      <c r="B4607" t="s">
        <v>5919</v>
      </c>
      <c r="C4607">
        <v>0.89</v>
      </c>
      <c r="D4607">
        <v>-0.03</v>
      </c>
      <c r="E4607">
        <v>0.96</v>
      </c>
      <c r="F4607">
        <v>1</v>
      </c>
      <c r="G4607">
        <v>0.89</v>
      </c>
      <c r="H4607">
        <v>0.93</v>
      </c>
      <c r="I4607" s="1">
        <v>2806000</v>
      </c>
      <c r="J4607" s="1">
        <v>2604770</v>
      </c>
      <c r="K4607">
        <v>75</v>
      </c>
      <c r="L4607">
        <v>0.88</v>
      </c>
      <c r="M4607">
        <v>0.89</v>
      </c>
      <c r="N4607" s="1">
        <v>10000000</v>
      </c>
      <c r="O4607">
        <v>0.89</v>
      </c>
      <c r="P4607">
        <v>1.36</v>
      </c>
      <c r="Q4607">
        <v>0.42</v>
      </c>
    </row>
    <row r="4608" spans="1:17" x14ac:dyDescent="0.25">
      <c r="A4608">
        <v>733536</v>
      </c>
      <c r="B4608" t="s">
        <v>5920</v>
      </c>
      <c r="C4608">
        <v>0.57999999999999996</v>
      </c>
      <c r="D4608">
        <v>-0.03</v>
      </c>
      <c r="E4608">
        <v>0.57999999999999996</v>
      </c>
      <c r="F4608">
        <v>0.57999999999999996</v>
      </c>
      <c r="G4608">
        <v>0.57999999999999996</v>
      </c>
      <c r="H4608">
        <v>0.57999999999999996</v>
      </c>
      <c r="I4608" s="1">
        <v>44000</v>
      </c>
      <c r="J4608" s="1">
        <v>25520</v>
      </c>
      <c r="K4608">
        <v>3</v>
      </c>
      <c r="L4608">
        <v>0.54</v>
      </c>
      <c r="M4608">
        <v>0.55000000000000004</v>
      </c>
      <c r="N4608" s="1">
        <v>10000000</v>
      </c>
      <c r="O4608">
        <v>0.57999999999999996</v>
      </c>
      <c r="P4608">
        <v>0.97</v>
      </c>
      <c r="Q4608">
        <v>0.19</v>
      </c>
    </row>
    <row r="4609" spans="1:17" x14ac:dyDescent="0.25">
      <c r="A4609">
        <v>733537</v>
      </c>
      <c r="B4609" t="s">
        <v>5921</v>
      </c>
      <c r="C4609" t="s">
        <v>78</v>
      </c>
      <c r="D4609" t="s">
        <v>78</v>
      </c>
      <c r="E4609" t="s">
        <v>78</v>
      </c>
      <c r="F4609" t="s">
        <v>78</v>
      </c>
      <c r="G4609" t="s">
        <v>78</v>
      </c>
      <c r="H4609">
        <v>0.76</v>
      </c>
      <c r="I4609" s="1">
        <v>0</v>
      </c>
      <c r="J4609" s="1">
        <v>0</v>
      </c>
      <c r="K4609">
        <v>0</v>
      </c>
      <c r="L4609">
        <v>0.53</v>
      </c>
      <c r="M4609">
        <v>0.54</v>
      </c>
      <c r="N4609" s="1">
        <v>10000000</v>
      </c>
      <c r="O4609">
        <v>0.54</v>
      </c>
      <c r="P4609">
        <v>1.38</v>
      </c>
      <c r="Q4609">
        <v>0.01</v>
      </c>
    </row>
    <row r="4610" spans="1:17" x14ac:dyDescent="0.25">
      <c r="A4610">
        <v>733538</v>
      </c>
      <c r="B4610" t="s">
        <v>5922</v>
      </c>
      <c r="C4610">
        <v>0.71</v>
      </c>
      <c r="D4610">
        <v>-0.03</v>
      </c>
      <c r="E4610">
        <v>0.73</v>
      </c>
      <c r="F4610">
        <v>0.73</v>
      </c>
      <c r="G4610">
        <v>0.71</v>
      </c>
      <c r="H4610">
        <v>0.72</v>
      </c>
      <c r="I4610" s="1">
        <v>168000</v>
      </c>
      <c r="J4610" s="1">
        <v>121440</v>
      </c>
      <c r="K4610">
        <v>2</v>
      </c>
      <c r="L4610">
        <v>0.68</v>
      </c>
      <c r="M4610">
        <v>0.69</v>
      </c>
      <c r="N4610" s="1">
        <v>10000000</v>
      </c>
      <c r="O4610">
        <v>0.71</v>
      </c>
      <c r="P4610">
        <v>1.1499999999999999</v>
      </c>
      <c r="Q4610">
        <v>0.27</v>
      </c>
    </row>
    <row r="4611" spans="1:17" x14ac:dyDescent="0.25">
      <c r="A4611">
        <v>733539</v>
      </c>
      <c r="B4611" t="s">
        <v>5923</v>
      </c>
      <c r="C4611">
        <v>0.18</v>
      </c>
      <c r="D4611">
        <v>-0.06</v>
      </c>
      <c r="E4611">
        <v>0.19</v>
      </c>
      <c r="F4611">
        <v>0.19</v>
      </c>
      <c r="G4611">
        <v>0.18</v>
      </c>
      <c r="H4611">
        <v>0.19</v>
      </c>
      <c r="I4611" s="1">
        <v>31000</v>
      </c>
      <c r="J4611" s="1">
        <v>5790</v>
      </c>
      <c r="K4611">
        <v>2</v>
      </c>
      <c r="L4611">
        <v>0.18</v>
      </c>
      <c r="M4611">
        <v>0.19</v>
      </c>
      <c r="N4611" s="1">
        <v>5000000</v>
      </c>
      <c r="O4611">
        <v>0.18</v>
      </c>
      <c r="P4611">
        <v>0.54</v>
      </c>
      <c r="Q4611">
        <v>0.01</v>
      </c>
    </row>
    <row r="4612" spans="1:17" x14ac:dyDescent="0.25">
      <c r="A4612">
        <v>733540</v>
      </c>
      <c r="B4612" t="s">
        <v>5924</v>
      </c>
      <c r="C4612">
        <v>0.75</v>
      </c>
      <c r="D4612">
        <v>0.04</v>
      </c>
      <c r="E4612">
        <v>0.75</v>
      </c>
      <c r="F4612">
        <v>0.75</v>
      </c>
      <c r="G4612">
        <v>0.75</v>
      </c>
      <c r="H4612">
        <v>0.75</v>
      </c>
      <c r="I4612" s="1">
        <v>40000</v>
      </c>
      <c r="J4612" s="1">
        <v>30000</v>
      </c>
      <c r="K4612">
        <v>4</v>
      </c>
      <c r="L4612">
        <v>0.71</v>
      </c>
      <c r="M4612">
        <v>0.72</v>
      </c>
      <c r="N4612" s="1">
        <v>10000000</v>
      </c>
      <c r="O4612">
        <v>0.75</v>
      </c>
      <c r="P4612">
        <v>1.59</v>
      </c>
      <c r="Q4612">
        <v>0.01</v>
      </c>
    </row>
    <row r="4613" spans="1:17" x14ac:dyDescent="0.25">
      <c r="A4613">
        <v>733541</v>
      </c>
      <c r="B4613" t="s">
        <v>5925</v>
      </c>
      <c r="C4613" t="s">
        <v>78</v>
      </c>
      <c r="D4613" t="s">
        <v>78</v>
      </c>
      <c r="E4613" t="s">
        <v>78</v>
      </c>
      <c r="F4613" t="s">
        <v>78</v>
      </c>
      <c r="G4613" t="s">
        <v>78</v>
      </c>
      <c r="H4613">
        <v>0.43</v>
      </c>
      <c r="I4613" s="1">
        <v>0</v>
      </c>
      <c r="J4613" s="1">
        <v>0</v>
      </c>
      <c r="K4613">
        <v>0</v>
      </c>
      <c r="L4613">
        <v>0.43</v>
      </c>
      <c r="M4613">
        <v>0.44</v>
      </c>
      <c r="N4613" s="1">
        <v>10000000</v>
      </c>
      <c r="O4613">
        <v>0.44</v>
      </c>
      <c r="P4613">
        <v>1.02</v>
      </c>
      <c r="Q4613">
        <v>0.01</v>
      </c>
    </row>
    <row r="4614" spans="1:17" x14ac:dyDescent="0.25">
      <c r="A4614">
        <v>733542</v>
      </c>
      <c r="B4614" t="s">
        <v>5926</v>
      </c>
      <c r="C4614" t="s">
        <v>78</v>
      </c>
      <c r="D4614" t="s">
        <v>78</v>
      </c>
      <c r="E4614" t="s">
        <v>78</v>
      </c>
      <c r="F4614" t="s">
        <v>78</v>
      </c>
      <c r="G4614" t="s">
        <v>78</v>
      </c>
      <c r="H4614">
        <v>1.44</v>
      </c>
      <c r="I4614" s="1">
        <v>0</v>
      </c>
      <c r="J4614" s="1">
        <v>0</v>
      </c>
      <c r="K4614">
        <v>0</v>
      </c>
      <c r="L4614">
        <v>1.32</v>
      </c>
      <c r="M4614">
        <v>1.33</v>
      </c>
      <c r="N4614" s="1">
        <v>10000000</v>
      </c>
      <c r="O4614">
        <v>1.32</v>
      </c>
      <c r="P4614">
        <v>2.0699999999999998</v>
      </c>
      <c r="Q4614">
        <v>0.56999999999999995</v>
      </c>
    </row>
    <row r="4615" spans="1:17" x14ac:dyDescent="0.25">
      <c r="A4615">
        <v>733543</v>
      </c>
      <c r="B4615" t="s">
        <v>5927</v>
      </c>
      <c r="C4615">
        <v>0.36</v>
      </c>
      <c r="D4615">
        <v>0.01</v>
      </c>
      <c r="E4615">
        <v>0.35</v>
      </c>
      <c r="F4615">
        <v>0.36</v>
      </c>
      <c r="G4615">
        <v>0.35</v>
      </c>
      <c r="H4615">
        <v>0.36</v>
      </c>
      <c r="I4615" s="1">
        <v>100000</v>
      </c>
      <c r="J4615" s="1">
        <v>35500</v>
      </c>
      <c r="K4615">
        <v>3</v>
      </c>
      <c r="L4615">
        <v>0.33</v>
      </c>
      <c r="M4615">
        <v>0.34</v>
      </c>
      <c r="N4615" s="1">
        <v>5000000</v>
      </c>
      <c r="O4615">
        <v>0.36</v>
      </c>
      <c r="P4615">
        <v>1.03</v>
      </c>
      <c r="Q4615">
        <v>0.01</v>
      </c>
    </row>
    <row r="4616" spans="1:17" x14ac:dyDescent="0.25">
      <c r="A4616">
        <v>733544</v>
      </c>
      <c r="B4616" t="s">
        <v>5928</v>
      </c>
      <c r="C4616">
        <v>0.59</v>
      </c>
      <c r="D4616">
        <v>-0.01</v>
      </c>
      <c r="E4616">
        <v>0.6</v>
      </c>
      <c r="F4616">
        <v>0.62</v>
      </c>
      <c r="G4616">
        <v>0.59</v>
      </c>
      <c r="H4616">
        <v>0.6</v>
      </c>
      <c r="I4616" s="1">
        <v>346000</v>
      </c>
      <c r="J4616" s="1">
        <v>207830</v>
      </c>
      <c r="K4616">
        <v>9</v>
      </c>
      <c r="L4616">
        <v>0.56999999999999995</v>
      </c>
      <c r="M4616">
        <v>0.57999999999999996</v>
      </c>
      <c r="N4616" s="1">
        <v>5000000</v>
      </c>
      <c r="O4616">
        <v>0.59</v>
      </c>
      <c r="P4616">
        <v>1.06</v>
      </c>
      <c r="Q4616">
        <v>0.12</v>
      </c>
    </row>
    <row r="4617" spans="1:17" x14ac:dyDescent="0.25">
      <c r="A4617">
        <v>733545</v>
      </c>
      <c r="B4617" t="s">
        <v>5929</v>
      </c>
      <c r="C4617">
        <v>0.79</v>
      </c>
      <c r="D4617">
        <v>-0.03</v>
      </c>
      <c r="E4617">
        <v>0.8</v>
      </c>
      <c r="F4617">
        <v>0.8</v>
      </c>
      <c r="G4617">
        <v>0.79</v>
      </c>
      <c r="H4617">
        <v>0.79</v>
      </c>
      <c r="I4617" s="1">
        <v>297000</v>
      </c>
      <c r="J4617" s="1">
        <v>235130</v>
      </c>
      <c r="K4617">
        <v>5</v>
      </c>
      <c r="L4617">
        <v>0.79</v>
      </c>
      <c r="M4617">
        <v>0.8</v>
      </c>
      <c r="N4617" s="1">
        <v>10000000</v>
      </c>
      <c r="O4617">
        <v>0.79</v>
      </c>
      <c r="P4617">
        <v>1.4</v>
      </c>
      <c r="Q4617">
        <v>0.18</v>
      </c>
    </row>
    <row r="4618" spans="1:17" x14ac:dyDescent="0.25">
      <c r="A4618">
        <v>733546</v>
      </c>
      <c r="B4618" t="s">
        <v>5930</v>
      </c>
      <c r="C4618">
        <v>1.63</v>
      </c>
      <c r="D4618">
        <v>-0.14000000000000001</v>
      </c>
      <c r="E4618">
        <v>1.8</v>
      </c>
      <c r="F4618">
        <v>1.84</v>
      </c>
      <c r="G4618">
        <v>1.63</v>
      </c>
      <c r="H4618">
        <v>1.8</v>
      </c>
      <c r="I4618" s="1">
        <v>141000</v>
      </c>
      <c r="J4618" s="1">
        <v>253960</v>
      </c>
      <c r="K4618">
        <v>12</v>
      </c>
      <c r="L4618">
        <v>1.62</v>
      </c>
      <c r="M4618">
        <v>1.63</v>
      </c>
      <c r="N4618" s="1">
        <v>10000000</v>
      </c>
      <c r="O4618">
        <v>1.63</v>
      </c>
      <c r="P4618">
        <v>2.34</v>
      </c>
      <c r="Q4618">
        <v>0.92</v>
      </c>
    </row>
    <row r="4619" spans="1:17" x14ac:dyDescent="0.25">
      <c r="A4619">
        <v>733547</v>
      </c>
      <c r="B4619" t="s">
        <v>5931</v>
      </c>
      <c r="C4619">
        <v>1.7</v>
      </c>
      <c r="D4619">
        <v>0.1</v>
      </c>
      <c r="E4619">
        <v>1.51</v>
      </c>
      <c r="F4619">
        <v>1.73</v>
      </c>
      <c r="G4619">
        <v>1.46</v>
      </c>
      <c r="H4619">
        <v>1.57</v>
      </c>
      <c r="I4619" s="1">
        <v>1912000</v>
      </c>
      <c r="J4619" s="1">
        <v>2993460</v>
      </c>
      <c r="K4619">
        <v>52</v>
      </c>
      <c r="L4619">
        <v>1.69</v>
      </c>
      <c r="M4619">
        <v>1.7</v>
      </c>
      <c r="N4619" s="1">
        <v>10000000</v>
      </c>
      <c r="O4619">
        <v>1.7</v>
      </c>
      <c r="P4619">
        <v>2.7</v>
      </c>
      <c r="Q4619">
        <v>0.7</v>
      </c>
    </row>
    <row r="4620" spans="1:17" x14ac:dyDescent="0.25">
      <c r="A4620">
        <v>733548</v>
      </c>
      <c r="B4620" t="s">
        <v>5932</v>
      </c>
      <c r="C4620">
        <v>0.71</v>
      </c>
      <c r="D4620">
        <v>-7.0000000000000007E-2</v>
      </c>
      <c r="E4620">
        <v>0.75</v>
      </c>
      <c r="F4620">
        <v>0.76</v>
      </c>
      <c r="G4620">
        <v>0.7</v>
      </c>
      <c r="H4620">
        <v>0.73</v>
      </c>
      <c r="I4620" s="1">
        <v>1006000</v>
      </c>
      <c r="J4620" s="1">
        <v>735980</v>
      </c>
      <c r="K4620">
        <v>35</v>
      </c>
      <c r="L4620">
        <v>0.7</v>
      </c>
      <c r="M4620">
        <v>0.71</v>
      </c>
      <c r="N4620" s="1">
        <v>10000000</v>
      </c>
      <c r="O4620">
        <v>0.71</v>
      </c>
      <c r="P4620">
        <v>1.23</v>
      </c>
      <c r="Q4620">
        <v>0.19</v>
      </c>
    </row>
    <row r="4621" spans="1:17" x14ac:dyDescent="0.25">
      <c r="A4621">
        <v>733549</v>
      </c>
      <c r="B4621" t="s">
        <v>5933</v>
      </c>
      <c r="C4621">
        <v>0.8</v>
      </c>
      <c r="D4621">
        <v>0.06</v>
      </c>
      <c r="E4621">
        <v>0.79</v>
      </c>
      <c r="F4621">
        <v>0.8</v>
      </c>
      <c r="G4621">
        <v>0.79</v>
      </c>
      <c r="H4621">
        <v>0.79</v>
      </c>
      <c r="I4621" s="1">
        <v>195000</v>
      </c>
      <c r="J4621" s="1">
        <v>154210</v>
      </c>
      <c r="K4621">
        <v>5</v>
      </c>
      <c r="L4621">
        <v>0.8</v>
      </c>
      <c r="M4621">
        <v>0.82</v>
      </c>
      <c r="N4621" s="1">
        <v>10000000</v>
      </c>
      <c r="O4621">
        <v>0.8</v>
      </c>
      <c r="P4621">
        <v>1.62</v>
      </c>
      <c r="Q4621">
        <v>0.01</v>
      </c>
    </row>
    <row r="4622" spans="1:17" x14ac:dyDescent="0.25">
      <c r="A4622">
        <v>733550</v>
      </c>
      <c r="B4622" t="s">
        <v>5934</v>
      </c>
      <c r="C4622">
        <v>0.47</v>
      </c>
      <c r="D4622">
        <v>0</v>
      </c>
      <c r="E4622">
        <v>0.47</v>
      </c>
      <c r="F4622">
        <v>0.47</v>
      </c>
      <c r="G4622">
        <v>0.47</v>
      </c>
      <c r="H4622">
        <v>0.47</v>
      </c>
      <c r="I4622" s="1">
        <v>10000</v>
      </c>
      <c r="J4622" s="1">
        <v>4700</v>
      </c>
      <c r="K4622">
        <v>1</v>
      </c>
      <c r="L4622">
        <v>0.44</v>
      </c>
      <c r="M4622">
        <v>0.45</v>
      </c>
      <c r="N4622" s="1">
        <v>10000000</v>
      </c>
      <c r="O4622">
        <v>0.47</v>
      </c>
      <c r="P4622">
        <v>1.37</v>
      </c>
      <c r="Q4622">
        <v>0.01</v>
      </c>
    </row>
    <row r="4623" spans="1:17" x14ac:dyDescent="0.25">
      <c r="A4623">
        <v>733551</v>
      </c>
      <c r="B4623" t="s">
        <v>5935</v>
      </c>
      <c r="C4623">
        <v>0.7</v>
      </c>
      <c r="D4623">
        <v>0</v>
      </c>
      <c r="E4623">
        <v>0.72</v>
      </c>
      <c r="F4623">
        <v>0.72</v>
      </c>
      <c r="G4623">
        <v>0.7</v>
      </c>
      <c r="H4623">
        <v>0.72</v>
      </c>
      <c r="I4623" s="1">
        <v>93000</v>
      </c>
      <c r="J4623" s="1">
        <v>66660</v>
      </c>
      <c r="K4623">
        <v>2</v>
      </c>
      <c r="L4623">
        <v>0.71</v>
      </c>
      <c r="M4623">
        <v>0.72</v>
      </c>
      <c r="N4623" s="1">
        <v>10000000</v>
      </c>
      <c r="O4623">
        <v>0.7</v>
      </c>
      <c r="P4623">
        <v>1.19</v>
      </c>
      <c r="Q4623">
        <v>0.21</v>
      </c>
    </row>
    <row r="4624" spans="1:17" x14ac:dyDescent="0.25">
      <c r="A4624">
        <v>733552</v>
      </c>
      <c r="B4624" t="s">
        <v>5936</v>
      </c>
      <c r="C4624" t="s">
        <v>78</v>
      </c>
      <c r="D4624" t="s">
        <v>78</v>
      </c>
      <c r="E4624" t="s">
        <v>78</v>
      </c>
      <c r="F4624" t="s">
        <v>78</v>
      </c>
      <c r="G4624" t="s">
        <v>78</v>
      </c>
      <c r="H4624">
        <v>0.91</v>
      </c>
      <c r="I4624" s="1">
        <v>0</v>
      </c>
      <c r="J4624" s="1">
        <v>0</v>
      </c>
      <c r="K4624">
        <v>0</v>
      </c>
      <c r="L4624">
        <v>0.83</v>
      </c>
      <c r="M4624">
        <v>0.86</v>
      </c>
      <c r="N4624" s="1">
        <v>10000000</v>
      </c>
      <c r="O4624">
        <v>0.86</v>
      </c>
      <c r="P4624">
        <v>1.21</v>
      </c>
      <c r="Q4624">
        <v>0.51</v>
      </c>
    </row>
    <row r="4625" spans="1:17" x14ac:dyDescent="0.25">
      <c r="A4625">
        <v>733553</v>
      </c>
      <c r="B4625" t="s">
        <v>5937</v>
      </c>
      <c r="C4625">
        <v>1.79</v>
      </c>
      <c r="D4625">
        <v>-0.1</v>
      </c>
      <c r="E4625">
        <v>1.65</v>
      </c>
      <c r="F4625">
        <v>1.79</v>
      </c>
      <c r="G4625">
        <v>1.6</v>
      </c>
      <c r="H4625">
        <v>1.64</v>
      </c>
      <c r="I4625" s="1">
        <v>82000</v>
      </c>
      <c r="J4625" s="1">
        <v>134180</v>
      </c>
      <c r="K4625">
        <v>10</v>
      </c>
      <c r="L4625">
        <v>1.79</v>
      </c>
      <c r="M4625">
        <v>1.81</v>
      </c>
      <c r="N4625" s="1">
        <v>10000000</v>
      </c>
      <c r="O4625">
        <v>1.79</v>
      </c>
      <c r="P4625">
        <v>2.46</v>
      </c>
      <c r="Q4625">
        <v>1.1200000000000001</v>
      </c>
    </row>
    <row r="4626" spans="1:17" x14ac:dyDescent="0.25">
      <c r="A4626">
        <v>733554</v>
      </c>
      <c r="B4626" t="s">
        <v>5938</v>
      </c>
      <c r="C4626">
        <v>0.94</v>
      </c>
      <c r="D4626">
        <v>-0.08</v>
      </c>
      <c r="E4626">
        <v>0.96</v>
      </c>
      <c r="F4626">
        <v>0.96</v>
      </c>
      <c r="G4626">
        <v>0.94</v>
      </c>
      <c r="H4626">
        <v>0.95</v>
      </c>
      <c r="I4626" s="1">
        <v>20000</v>
      </c>
      <c r="J4626" s="1">
        <v>19000</v>
      </c>
      <c r="K4626">
        <v>2</v>
      </c>
      <c r="L4626">
        <v>0.93</v>
      </c>
      <c r="M4626">
        <v>0.94</v>
      </c>
      <c r="N4626" s="1">
        <v>10000000</v>
      </c>
      <c r="O4626">
        <v>0.94</v>
      </c>
      <c r="P4626">
        <v>1.55</v>
      </c>
      <c r="Q4626">
        <v>0.33</v>
      </c>
    </row>
    <row r="4627" spans="1:17" x14ac:dyDescent="0.25">
      <c r="A4627">
        <v>733555</v>
      </c>
      <c r="B4627" t="s">
        <v>5939</v>
      </c>
      <c r="C4627">
        <v>1.55</v>
      </c>
      <c r="D4627">
        <v>0.17</v>
      </c>
      <c r="E4627">
        <v>1.32</v>
      </c>
      <c r="F4627">
        <v>1.55</v>
      </c>
      <c r="G4627">
        <v>1.3</v>
      </c>
      <c r="H4627">
        <v>1.39</v>
      </c>
      <c r="I4627" s="1">
        <v>465000</v>
      </c>
      <c r="J4627" s="1">
        <v>647320</v>
      </c>
      <c r="K4627">
        <v>12</v>
      </c>
      <c r="L4627">
        <v>1.52</v>
      </c>
      <c r="M4627">
        <v>1.54</v>
      </c>
      <c r="N4627" s="1">
        <v>5000000</v>
      </c>
      <c r="O4627">
        <v>1.55</v>
      </c>
      <c r="P4627">
        <v>2.5499999999999998</v>
      </c>
      <c r="Q4627">
        <v>0.55000000000000004</v>
      </c>
    </row>
    <row r="4628" spans="1:17" x14ac:dyDescent="0.25">
      <c r="A4628">
        <v>733556</v>
      </c>
      <c r="B4628" t="s">
        <v>5940</v>
      </c>
      <c r="C4628">
        <v>2.48</v>
      </c>
      <c r="D4628">
        <v>0.27</v>
      </c>
      <c r="E4628">
        <v>2.2599999999999998</v>
      </c>
      <c r="F4628">
        <v>2.61</v>
      </c>
      <c r="G4628">
        <v>2.2599999999999998</v>
      </c>
      <c r="H4628">
        <v>2.4700000000000002</v>
      </c>
      <c r="I4628" s="1">
        <v>720000</v>
      </c>
      <c r="J4628" s="1">
        <v>1775150</v>
      </c>
      <c r="K4628">
        <v>25</v>
      </c>
      <c r="L4628">
        <v>2.42</v>
      </c>
      <c r="M4628">
        <v>2.48</v>
      </c>
      <c r="N4628" s="1">
        <v>10000000</v>
      </c>
      <c r="O4628">
        <v>2.48</v>
      </c>
      <c r="P4628">
        <v>3.53</v>
      </c>
      <c r="Q4628">
        <v>1.39</v>
      </c>
    </row>
    <row r="4629" spans="1:17" x14ac:dyDescent="0.25">
      <c r="A4629">
        <v>733557</v>
      </c>
      <c r="B4629" t="s">
        <v>5941</v>
      </c>
      <c r="C4629">
        <v>1.55</v>
      </c>
      <c r="D4629">
        <v>0.05</v>
      </c>
      <c r="E4629">
        <v>1.52</v>
      </c>
      <c r="F4629">
        <v>1.65</v>
      </c>
      <c r="G4629">
        <v>1.52</v>
      </c>
      <c r="H4629">
        <v>1.59</v>
      </c>
      <c r="I4629" s="1">
        <v>786000</v>
      </c>
      <c r="J4629" s="1">
        <v>1247650</v>
      </c>
      <c r="K4629">
        <v>16</v>
      </c>
      <c r="L4629">
        <v>1.51</v>
      </c>
      <c r="M4629">
        <v>1.52</v>
      </c>
      <c r="N4629" s="1">
        <v>10000000</v>
      </c>
      <c r="O4629">
        <v>1.55</v>
      </c>
      <c r="P4629">
        <v>2.34</v>
      </c>
      <c r="Q4629">
        <v>0.76</v>
      </c>
    </row>
    <row r="4630" spans="1:17" x14ac:dyDescent="0.25">
      <c r="A4630">
        <v>733558</v>
      </c>
      <c r="B4630" t="s">
        <v>5942</v>
      </c>
      <c r="C4630">
        <v>0.85</v>
      </c>
      <c r="D4630">
        <v>-0.03</v>
      </c>
      <c r="E4630">
        <v>0.85</v>
      </c>
      <c r="F4630">
        <v>0.85</v>
      </c>
      <c r="G4630">
        <v>0.85</v>
      </c>
      <c r="H4630">
        <v>0.85</v>
      </c>
      <c r="I4630" s="1">
        <v>90000</v>
      </c>
      <c r="J4630" s="1">
        <v>76500</v>
      </c>
      <c r="K4630">
        <v>1</v>
      </c>
      <c r="L4630">
        <v>0.85</v>
      </c>
      <c r="M4630">
        <v>0.86</v>
      </c>
      <c r="N4630" s="1">
        <v>10000000</v>
      </c>
      <c r="O4630">
        <v>0.85</v>
      </c>
      <c r="P4630">
        <v>1.42</v>
      </c>
      <c r="Q4630">
        <v>0.28000000000000003</v>
      </c>
    </row>
    <row r="4631" spans="1:17" x14ac:dyDescent="0.25">
      <c r="A4631">
        <v>733559</v>
      </c>
      <c r="B4631" t="s">
        <v>5943</v>
      </c>
      <c r="C4631">
        <v>0.71</v>
      </c>
      <c r="D4631">
        <v>0.02</v>
      </c>
      <c r="E4631">
        <v>0.71</v>
      </c>
      <c r="F4631">
        <v>0.71</v>
      </c>
      <c r="G4631">
        <v>0.71</v>
      </c>
      <c r="H4631">
        <v>0.71</v>
      </c>
      <c r="I4631" s="1">
        <v>100000</v>
      </c>
      <c r="J4631" s="1">
        <v>71000</v>
      </c>
      <c r="K4631">
        <v>4</v>
      </c>
      <c r="L4631">
        <v>0.67</v>
      </c>
      <c r="M4631">
        <v>0.68</v>
      </c>
      <c r="N4631" s="1">
        <v>10000000</v>
      </c>
      <c r="O4631">
        <v>0.71</v>
      </c>
      <c r="P4631">
        <v>1.28</v>
      </c>
      <c r="Q4631">
        <v>0.14000000000000001</v>
      </c>
    </row>
    <row r="4632" spans="1:17" x14ac:dyDescent="0.25">
      <c r="A4632">
        <v>733560</v>
      </c>
      <c r="B4632" t="s">
        <v>5944</v>
      </c>
      <c r="C4632">
        <v>1.1299999999999999</v>
      </c>
      <c r="D4632">
        <v>0.11</v>
      </c>
      <c r="E4632">
        <v>0.99</v>
      </c>
      <c r="F4632">
        <v>1.1599999999999999</v>
      </c>
      <c r="G4632">
        <v>0.9</v>
      </c>
      <c r="H4632">
        <v>1.06</v>
      </c>
      <c r="I4632" s="1">
        <v>3277000</v>
      </c>
      <c r="J4632" s="1">
        <v>3466590</v>
      </c>
      <c r="K4632">
        <v>136</v>
      </c>
      <c r="L4632">
        <v>1.1200000000000001</v>
      </c>
      <c r="M4632">
        <v>1.1299999999999999</v>
      </c>
      <c r="N4632" s="1">
        <v>10000000</v>
      </c>
      <c r="O4632">
        <v>1.1299999999999999</v>
      </c>
      <c r="P4632">
        <v>1.93</v>
      </c>
      <c r="Q4632">
        <v>0.33</v>
      </c>
    </row>
    <row r="4633" spans="1:17" x14ac:dyDescent="0.25">
      <c r="A4633">
        <v>733561</v>
      </c>
      <c r="B4633" t="s">
        <v>5945</v>
      </c>
      <c r="C4633">
        <v>3.06</v>
      </c>
      <c r="D4633">
        <v>-7.0000000000000007E-2</v>
      </c>
      <c r="E4633">
        <v>2.79</v>
      </c>
      <c r="F4633">
        <v>3.06</v>
      </c>
      <c r="G4633">
        <v>2.79</v>
      </c>
      <c r="H4633">
        <v>3.03</v>
      </c>
      <c r="I4633" s="1">
        <v>107000</v>
      </c>
      <c r="J4633" s="1">
        <v>324720</v>
      </c>
      <c r="K4633">
        <v>4</v>
      </c>
      <c r="L4633">
        <v>3.04</v>
      </c>
      <c r="M4633">
        <v>3.12</v>
      </c>
      <c r="N4633" s="1">
        <v>10000000</v>
      </c>
      <c r="O4633">
        <v>3.06</v>
      </c>
      <c r="P4633">
        <v>4.07</v>
      </c>
      <c r="Q4633">
        <v>2.0499999999999998</v>
      </c>
    </row>
    <row r="4634" spans="1:17" x14ac:dyDescent="0.25">
      <c r="A4634">
        <v>733562</v>
      </c>
      <c r="B4634" t="s">
        <v>5946</v>
      </c>
      <c r="C4634">
        <v>1.48</v>
      </c>
      <c r="D4634">
        <v>-0.04</v>
      </c>
      <c r="E4634">
        <v>1.47</v>
      </c>
      <c r="F4634">
        <v>1.59</v>
      </c>
      <c r="G4634">
        <v>1.46</v>
      </c>
      <c r="H4634">
        <v>1.54</v>
      </c>
      <c r="I4634" s="1">
        <v>642000</v>
      </c>
      <c r="J4634" s="1">
        <v>991080</v>
      </c>
      <c r="K4634">
        <v>27</v>
      </c>
      <c r="L4634">
        <v>1.46</v>
      </c>
      <c r="M4634">
        <v>1.47</v>
      </c>
      <c r="N4634" s="1">
        <v>10000000</v>
      </c>
      <c r="O4634">
        <v>1.48</v>
      </c>
      <c r="P4634">
        <v>2.62</v>
      </c>
      <c r="Q4634">
        <v>0.32</v>
      </c>
    </row>
    <row r="4635" spans="1:17" x14ac:dyDescent="0.25">
      <c r="A4635">
        <v>733563</v>
      </c>
      <c r="B4635" t="s">
        <v>5947</v>
      </c>
      <c r="C4635">
        <v>0.85</v>
      </c>
      <c r="D4635">
        <v>-0.01</v>
      </c>
      <c r="E4635">
        <v>0.84</v>
      </c>
      <c r="F4635">
        <v>0.85</v>
      </c>
      <c r="G4635">
        <v>0.84</v>
      </c>
      <c r="H4635">
        <v>0.85</v>
      </c>
      <c r="I4635" s="1">
        <v>182000</v>
      </c>
      <c r="J4635" s="1">
        <v>154510</v>
      </c>
      <c r="K4635">
        <v>2</v>
      </c>
      <c r="L4635">
        <v>0.83</v>
      </c>
      <c r="M4635">
        <v>0.84</v>
      </c>
      <c r="N4635" s="1">
        <v>7000000</v>
      </c>
      <c r="O4635">
        <v>0.85</v>
      </c>
      <c r="P4635">
        <v>2.0099999999999998</v>
      </c>
      <c r="Q4635">
        <v>0.01</v>
      </c>
    </row>
    <row r="4636" spans="1:17" x14ac:dyDescent="0.25">
      <c r="A4636">
        <v>733564</v>
      </c>
      <c r="B4636" t="s">
        <v>5948</v>
      </c>
      <c r="C4636">
        <v>0.95</v>
      </c>
      <c r="D4636">
        <v>0.05</v>
      </c>
      <c r="E4636">
        <v>0.9</v>
      </c>
      <c r="F4636">
        <v>0.99</v>
      </c>
      <c r="G4636">
        <v>0.9</v>
      </c>
      <c r="H4636">
        <v>0.95</v>
      </c>
      <c r="I4636" s="1">
        <v>222000</v>
      </c>
      <c r="J4636" s="1">
        <v>210580</v>
      </c>
      <c r="K4636">
        <v>17</v>
      </c>
      <c r="L4636">
        <v>0.95</v>
      </c>
      <c r="M4636">
        <v>0.96</v>
      </c>
      <c r="N4636" s="1">
        <v>10000000</v>
      </c>
      <c r="O4636">
        <v>0.95</v>
      </c>
      <c r="P4636">
        <v>1.7</v>
      </c>
      <c r="Q4636">
        <v>0.2</v>
      </c>
    </row>
    <row r="4637" spans="1:17" x14ac:dyDescent="0.25">
      <c r="A4637">
        <v>733565</v>
      </c>
      <c r="B4637" t="s">
        <v>5949</v>
      </c>
      <c r="C4637">
        <v>0.53</v>
      </c>
      <c r="D4637">
        <v>0.01</v>
      </c>
      <c r="E4637">
        <v>0.53</v>
      </c>
      <c r="F4637">
        <v>0.55000000000000004</v>
      </c>
      <c r="G4637">
        <v>0.53</v>
      </c>
      <c r="H4637">
        <v>0.54</v>
      </c>
      <c r="I4637" s="1">
        <v>1071000</v>
      </c>
      <c r="J4637" s="1">
        <v>574120</v>
      </c>
      <c r="K4637">
        <v>27</v>
      </c>
      <c r="L4637">
        <v>0.52</v>
      </c>
      <c r="M4637">
        <v>0.53</v>
      </c>
      <c r="N4637" s="1">
        <v>10000000</v>
      </c>
      <c r="O4637">
        <v>0.53</v>
      </c>
      <c r="P4637">
        <v>0.75</v>
      </c>
      <c r="Q4637">
        <v>0.31</v>
      </c>
    </row>
    <row r="4638" spans="1:17" x14ac:dyDescent="0.25">
      <c r="A4638">
        <v>733566</v>
      </c>
      <c r="B4638" t="s">
        <v>5950</v>
      </c>
      <c r="C4638">
        <v>1.03</v>
      </c>
      <c r="D4638">
        <v>0.16</v>
      </c>
      <c r="E4638">
        <v>0.94</v>
      </c>
      <c r="F4638">
        <v>1.1200000000000001</v>
      </c>
      <c r="G4638">
        <v>0.94</v>
      </c>
      <c r="H4638">
        <v>1.02</v>
      </c>
      <c r="I4638" s="1">
        <v>937000</v>
      </c>
      <c r="J4638" s="1">
        <v>954070</v>
      </c>
      <c r="K4638">
        <v>31</v>
      </c>
      <c r="L4638">
        <v>0.99</v>
      </c>
      <c r="M4638">
        <v>1.02</v>
      </c>
      <c r="N4638" s="1">
        <v>5000000</v>
      </c>
      <c r="O4638">
        <v>1.03</v>
      </c>
      <c r="P4638">
        <v>1.74</v>
      </c>
      <c r="Q4638">
        <v>0.28999999999999998</v>
      </c>
    </row>
    <row r="4639" spans="1:17" x14ac:dyDescent="0.25">
      <c r="A4639">
        <v>733567</v>
      </c>
      <c r="B4639" t="s">
        <v>5951</v>
      </c>
      <c r="C4639">
        <v>0.63</v>
      </c>
      <c r="D4639">
        <v>0</v>
      </c>
      <c r="E4639">
        <v>0.62</v>
      </c>
      <c r="F4639">
        <v>0.63</v>
      </c>
      <c r="G4639">
        <v>0.6</v>
      </c>
      <c r="H4639">
        <v>0.62</v>
      </c>
      <c r="I4639" s="1">
        <v>270000</v>
      </c>
      <c r="J4639" s="1">
        <v>167300</v>
      </c>
      <c r="K4639">
        <v>11</v>
      </c>
      <c r="L4639">
        <v>0.61</v>
      </c>
      <c r="M4639">
        <v>0.62</v>
      </c>
      <c r="N4639" s="1">
        <v>10000000</v>
      </c>
      <c r="O4639">
        <v>0.63</v>
      </c>
      <c r="P4639">
        <v>0.99</v>
      </c>
      <c r="Q4639">
        <v>0.26</v>
      </c>
    </row>
    <row r="4640" spans="1:17" x14ac:dyDescent="0.25">
      <c r="A4640">
        <v>733568</v>
      </c>
      <c r="B4640" t="s">
        <v>5952</v>
      </c>
      <c r="C4640" t="s">
        <v>78</v>
      </c>
      <c r="D4640" t="s">
        <v>78</v>
      </c>
      <c r="E4640" t="s">
        <v>78</v>
      </c>
      <c r="F4640" t="s">
        <v>78</v>
      </c>
      <c r="G4640" t="s">
        <v>78</v>
      </c>
      <c r="H4640">
        <v>0.27</v>
      </c>
      <c r="I4640" s="1">
        <v>0</v>
      </c>
      <c r="J4640" s="1">
        <v>0</v>
      </c>
      <c r="K4640">
        <v>0</v>
      </c>
      <c r="L4640">
        <v>0.26</v>
      </c>
      <c r="M4640">
        <v>0.27</v>
      </c>
      <c r="N4640" s="1">
        <v>10000000</v>
      </c>
      <c r="O4640">
        <v>0.27</v>
      </c>
      <c r="P4640">
        <v>1.19</v>
      </c>
      <c r="Q4640">
        <v>0.01</v>
      </c>
    </row>
    <row r="4641" spans="1:17" x14ac:dyDescent="0.25">
      <c r="A4641">
        <v>733569</v>
      </c>
      <c r="B4641" t="s">
        <v>5953</v>
      </c>
      <c r="C4641">
        <v>2.77</v>
      </c>
      <c r="D4641">
        <v>0.2</v>
      </c>
      <c r="E4641">
        <v>2.5299999999999998</v>
      </c>
      <c r="F4641">
        <v>2.77</v>
      </c>
      <c r="G4641">
        <v>2.34</v>
      </c>
      <c r="H4641">
        <v>2.44</v>
      </c>
      <c r="I4641" s="1">
        <v>296000</v>
      </c>
      <c r="J4641" s="1">
        <v>722680</v>
      </c>
      <c r="K4641">
        <v>26</v>
      </c>
      <c r="L4641">
        <v>2.72</v>
      </c>
      <c r="M4641">
        <v>2.77</v>
      </c>
      <c r="N4641" s="1">
        <v>5000000</v>
      </c>
      <c r="O4641">
        <v>2.77</v>
      </c>
      <c r="P4641">
        <v>3.77</v>
      </c>
      <c r="Q4641">
        <v>1.77</v>
      </c>
    </row>
    <row r="4642" spans="1:17" x14ac:dyDescent="0.25">
      <c r="A4642">
        <v>733570</v>
      </c>
      <c r="B4642" t="s">
        <v>5954</v>
      </c>
      <c r="C4642">
        <v>2.84</v>
      </c>
      <c r="D4642">
        <v>-0.33</v>
      </c>
      <c r="E4642">
        <v>2.57</v>
      </c>
      <c r="F4642">
        <v>2.84</v>
      </c>
      <c r="G4642">
        <v>2.52</v>
      </c>
      <c r="H4642">
        <v>2.71</v>
      </c>
      <c r="I4642" s="1">
        <v>93000</v>
      </c>
      <c r="J4642" s="1">
        <v>251880</v>
      </c>
      <c r="K4642">
        <v>8</v>
      </c>
      <c r="L4642">
        <v>2.86</v>
      </c>
      <c r="M4642">
        <v>2.91</v>
      </c>
      <c r="N4642" s="1">
        <v>10000000</v>
      </c>
      <c r="O4642">
        <v>2.84</v>
      </c>
      <c r="P4642">
        <v>3.96</v>
      </c>
      <c r="Q4642">
        <v>1.72</v>
      </c>
    </row>
    <row r="4643" spans="1:17" x14ac:dyDescent="0.25">
      <c r="A4643">
        <v>733571</v>
      </c>
      <c r="B4643" t="s">
        <v>5955</v>
      </c>
      <c r="C4643">
        <v>1.92</v>
      </c>
      <c r="D4643">
        <v>0.22</v>
      </c>
      <c r="E4643">
        <v>1.75</v>
      </c>
      <c r="F4643">
        <v>2.0699999999999998</v>
      </c>
      <c r="G4643">
        <v>1.73</v>
      </c>
      <c r="H4643">
        <v>1.92</v>
      </c>
      <c r="I4643" s="1">
        <v>914000</v>
      </c>
      <c r="J4643" s="1">
        <v>1755880</v>
      </c>
      <c r="K4643">
        <v>51</v>
      </c>
      <c r="L4643">
        <v>1.85</v>
      </c>
      <c r="M4643">
        <v>1.87</v>
      </c>
      <c r="N4643" s="1">
        <v>10000000</v>
      </c>
      <c r="O4643">
        <v>1.92</v>
      </c>
      <c r="P4643">
        <v>2.7</v>
      </c>
      <c r="Q4643">
        <v>1.1100000000000001</v>
      </c>
    </row>
    <row r="4644" spans="1:17" x14ac:dyDescent="0.25">
      <c r="A4644">
        <v>733572</v>
      </c>
      <c r="B4644" t="s">
        <v>5956</v>
      </c>
      <c r="C4644">
        <v>0.82</v>
      </c>
      <c r="D4644">
        <v>0</v>
      </c>
      <c r="E4644">
        <v>0.84</v>
      </c>
      <c r="F4644">
        <v>0.84</v>
      </c>
      <c r="G4644">
        <v>0.82</v>
      </c>
      <c r="H4644">
        <v>0.82</v>
      </c>
      <c r="I4644" s="1">
        <v>284000</v>
      </c>
      <c r="J4644" s="1">
        <v>232960</v>
      </c>
      <c r="K4644">
        <v>4</v>
      </c>
      <c r="L4644">
        <v>0.83</v>
      </c>
      <c r="M4644">
        <v>0.84</v>
      </c>
      <c r="N4644" s="1">
        <v>10000000</v>
      </c>
      <c r="O4644">
        <v>0.82</v>
      </c>
      <c r="P4644">
        <v>1.45</v>
      </c>
      <c r="Q4644">
        <v>0.19</v>
      </c>
    </row>
    <row r="4645" spans="1:17" x14ac:dyDescent="0.25">
      <c r="A4645">
        <v>733573</v>
      </c>
      <c r="B4645" t="s">
        <v>5957</v>
      </c>
      <c r="C4645">
        <v>0.86</v>
      </c>
      <c r="D4645">
        <v>0.06</v>
      </c>
      <c r="E4645">
        <v>0.81</v>
      </c>
      <c r="F4645">
        <v>0.86</v>
      </c>
      <c r="G4645">
        <v>0.76</v>
      </c>
      <c r="H4645">
        <v>0.78</v>
      </c>
      <c r="I4645" s="1">
        <v>616000</v>
      </c>
      <c r="J4645" s="1">
        <v>480850</v>
      </c>
      <c r="K4645">
        <v>11</v>
      </c>
      <c r="L4645">
        <v>0.84</v>
      </c>
      <c r="M4645">
        <v>0.85</v>
      </c>
      <c r="N4645" s="1">
        <v>10000000</v>
      </c>
      <c r="O4645">
        <v>0.86</v>
      </c>
      <c r="P4645">
        <v>1.56</v>
      </c>
      <c r="Q4645">
        <v>0.16</v>
      </c>
    </row>
    <row r="4646" spans="1:17" x14ac:dyDescent="0.25">
      <c r="A4646">
        <v>733574</v>
      </c>
      <c r="B4646" t="s">
        <v>5958</v>
      </c>
      <c r="C4646">
        <v>0.89</v>
      </c>
      <c r="D4646">
        <v>0.02</v>
      </c>
      <c r="E4646">
        <v>0.85</v>
      </c>
      <c r="F4646">
        <v>0.89</v>
      </c>
      <c r="G4646">
        <v>0.85</v>
      </c>
      <c r="H4646">
        <v>0.87</v>
      </c>
      <c r="I4646" s="1">
        <v>311000</v>
      </c>
      <c r="J4646" s="1">
        <v>270790</v>
      </c>
      <c r="K4646">
        <v>4</v>
      </c>
      <c r="L4646">
        <v>0.88</v>
      </c>
      <c r="M4646">
        <v>0.9</v>
      </c>
      <c r="N4646" s="1">
        <v>10000000</v>
      </c>
      <c r="O4646">
        <v>0.89</v>
      </c>
      <c r="P4646">
        <v>1.81</v>
      </c>
      <c r="Q4646">
        <v>0.01</v>
      </c>
    </row>
    <row r="4647" spans="1:17" x14ac:dyDescent="0.25">
      <c r="A4647">
        <v>733575</v>
      </c>
      <c r="B4647" t="s">
        <v>5959</v>
      </c>
      <c r="C4647">
        <v>0.97</v>
      </c>
      <c r="D4647">
        <v>0.02</v>
      </c>
      <c r="E4647">
        <v>0.98</v>
      </c>
      <c r="F4647">
        <v>0.99</v>
      </c>
      <c r="G4647">
        <v>0.97</v>
      </c>
      <c r="H4647">
        <v>0.98</v>
      </c>
      <c r="I4647" s="1">
        <v>224000</v>
      </c>
      <c r="J4647" s="1">
        <v>219030</v>
      </c>
      <c r="K4647">
        <v>7</v>
      </c>
      <c r="L4647">
        <v>0.96</v>
      </c>
      <c r="M4647">
        <v>0.98</v>
      </c>
      <c r="N4647" s="1">
        <v>10000000</v>
      </c>
      <c r="O4647">
        <v>0.97</v>
      </c>
      <c r="P4647">
        <v>1.49</v>
      </c>
      <c r="Q4647">
        <v>0.45</v>
      </c>
    </row>
    <row r="4648" spans="1:17" x14ac:dyDescent="0.25">
      <c r="A4648">
        <v>733576</v>
      </c>
      <c r="B4648" t="s">
        <v>5960</v>
      </c>
      <c r="C4648">
        <v>0.82</v>
      </c>
      <c r="D4648">
        <v>-0.05</v>
      </c>
      <c r="E4648">
        <v>0.86</v>
      </c>
      <c r="F4648">
        <v>0.87</v>
      </c>
      <c r="G4648">
        <v>0.8</v>
      </c>
      <c r="H4648">
        <v>0.83</v>
      </c>
      <c r="I4648" s="1">
        <v>892000</v>
      </c>
      <c r="J4648" s="1">
        <v>741750</v>
      </c>
      <c r="K4648">
        <v>29</v>
      </c>
      <c r="L4648">
        <v>0.83</v>
      </c>
      <c r="M4648">
        <v>0.84</v>
      </c>
      <c r="N4648" s="1">
        <v>10000000</v>
      </c>
      <c r="O4648">
        <v>0.82</v>
      </c>
      <c r="P4648">
        <v>1.47</v>
      </c>
      <c r="Q4648">
        <v>0.17</v>
      </c>
    </row>
    <row r="4649" spans="1:17" x14ac:dyDescent="0.25">
      <c r="A4649">
        <v>733577</v>
      </c>
      <c r="B4649" t="s">
        <v>5961</v>
      </c>
      <c r="C4649">
        <v>1.1599999999999999</v>
      </c>
      <c r="D4649">
        <v>0.01</v>
      </c>
      <c r="E4649">
        <v>1.1599999999999999</v>
      </c>
      <c r="F4649">
        <v>1.1599999999999999</v>
      </c>
      <c r="G4649">
        <v>1.1599999999999999</v>
      </c>
      <c r="H4649">
        <v>1.1599999999999999</v>
      </c>
      <c r="I4649" s="1">
        <v>371000</v>
      </c>
      <c r="J4649" s="1">
        <v>430360</v>
      </c>
      <c r="K4649">
        <v>5</v>
      </c>
      <c r="L4649">
        <v>1.1499999999999999</v>
      </c>
      <c r="M4649">
        <v>1.1599999999999999</v>
      </c>
      <c r="N4649" s="1">
        <v>10000000</v>
      </c>
      <c r="O4649">
        <v>1.1599999999999999</v>
      </c>
      <c r="P4649">
        <v>1.71</v>
      </c>
      <c r="Q4649">
        <v>0.61</v>
      </c>
    </row>
    <row r="4650" spans="1:17" x14ac:dyDescent="0.25">
      <c r="A4650">
        <v>733578</v>
      </c>
      <c r="B4650" t="s">
        <v>5962</v>
      </c>
      <c r="C4650">
        <v>0.99</v>
      </c>
      <c r="D4650">
        <v>0.01</v>
      </c>
      <c r="E4650">
        <v>1.04</v>
      </c>
      <c r="F4650">
        <v>1.05</v>
      </c>
      <c r="G4650">
        <v>0.95</v>
      </c>
      <c r="H4650">
        <v>1</v>
      </c>
      <c r="I4650" s="1">
        <v>760000</v>
      </c>
      <c r="J4650" s="1">
        <v>763550</v>
      </c>
      <c r="K4650">
        <v>27</v>
      </c>
      <c r="L4650">
        <v>0.97</v>
      </c>
      <c r="M4650">
        <v>0.98</v>
      </c>
      <c r="N4650" s="1">
        <v>10000000</v>
      </c>
      <c r="O4650">
        <v>0.99</v>
      </c>
      <c r="P4650">
        <v>1.78</v>
      </c>
      <c r="Q4650">
        <v>0.2</v>
      </c>
    </row>
    <row r="4651" spans="1:17" x14ac:dyDescent="0.25">
      <c r="A4651">
        <v>733579</v>
      </c>
      <c r="B4651" t="s">
        <v>5963</v>
      </c>
      <c r="C4651">
        <v>0.84</v>
      </c>
      <c r="D4651">
        <v>0.13</v>
      </c>
      <c r="E4651">
        <v>0.75</v>
      </c>
      <c r="F4651">
        <v>0.88</v>
      </c>
      <c r="G4651">
        <v>0.75</v>
      </c>
      <c r="H4651">
        <v>0.81</v>
      </c>
      <c r="I4651" s="1">
        <v>571000</v>
      </c>
      <c r="J4651" s="1">
        <v>463830</v>
      </c>
      <c r="K4651">
        <v>25</v>
      </c>
      <c r="L4651">
        <v>0.86</v>
      </c>
      <c r="M4651">
        <v>0.87</v>
      </c>
      <c r="N4651" s="1">
        <v>10000000</v>
      </c>
      <c r="O4651">
        <v>0.84</v>
      </c>
      <c r="P4651">
        <v>1.5</v>
      </c>
      <c r="Q4651">
        <v>0.18</v>
      </c>
    </row>
    <row r="4652" spans="1:17" x14ac:dyDescent="0.25">
      <c r="A4652">
        <v>733580</v>
      </c>
      <c r="B4652" t="s">
        <v>5964</v>
      </c>
      <c r="C4652">
        <v>0.89</v>
      </c>
      <c r="D4652">
        <v>0</v>
      </c>
      <c r="E4652">
        <v>0.89</v>
      </c>
      <c r="F4652">
        <v>0.9</v>
      </c>
      <c r="G4652">
        <v>0.88</v>
      </c>
      <c r="H4652">
        <v>0.89</v>
      </c>
      <c r="I4652" s="1">
        <v>141000</v>
      </c>
      <c r="J4652" s="1">
        <v>125290</v>
      </c>
      <c r="K4652">
        <v>6</v>
      </c>
      <c r="L4652">
        <v>0.89</v>
      </c>
      <c r="M4652">
        <v>0.9</v>
      </c>
      <c r="N4652" s="1">
        <v>10000000</v>
      </c>
      <c r="O4652">
        <v>0.89</v>
      </c>
      <c r="P4652">
        <v>1.6</v>
      </c>
      <c r="Q4652">
        <v>0.18</v>
      </c>
    </row>
    <row r="4653" spans="1:17" x14ac:dyDescent="0.25">
      <c r="A4653">
        <v>733581</v>
      </c>
      <c r="B4653" t="s">
        <v>5965</v>
      </c>
      <c r="C4653" t="s">
        <v>78</v>
      </c>
      <c r="D4653" t="s">
        <v>78</v>
      </c>
      <c r="E4653" t="s">
        <v>78</v>
      </c>
      <c r="F4653" t="s">
        <v>78</v>
      </c>
      <c r="G4653" t="s">
        <v>78</v>
      </c>
      <c r="H4653">
        <v>1.26</v>
      </c>
      <c r="I4653" s="1">
        <v>0</v>
      </c>
      <c r="J4653" s="1">
        <v>0</v>
      </c>
      <c r="K4653">
        <v>0</v>
      </c>
      <c r="L4653">
        <v>1.1499999999999999</v>
      </c>
      <c r="M4653">
        <v>1.1599999999999999</v>
      </c>
      <c r="N4653" s="1">
        <v>10000000</v>
      </c>
      <c r="O4653">
        <v>1.1499999999999999</v>
      </c>
      <c r="P4653">
        <v>1.97</v>
      </c>
      <c r="Q4653">
        <v>0.33</v>
      </c>
    </row>
    <row r="4654" spans="1:17" x14ac:dyDescent="0.25">
      <c r="A4654">
        <v>733582</v>
      </c>
      <c r="B4654" t="s">
        <v>5966</v>
      </c>
      <c r="C4654" t="s">
        <v>78</v>
      </c>
      <c r="D4654" t="s">
        <v>78</v>
      </c>
      <c r="E4654" t="s">
        <v>78</v>
      </c>
      <c r="F4654" t="s">
        <v>78</v>
      </c>
      <c r="G4654" t="s">
        <v>78</v>
      </c>
      <c r="H4654">
        <v>0.81</v>
      </c>
      <c r="I4654" s="1">
        <v>0</v>
      </c>
      <c r="J4654" s="1">
        <v>0</v>
      </c>
      <c r="K4654">
        <v>0</v>
      </c>
      <c r="L4654">
        <v>0.81</v>
      </c>
      <c r="M4654">
        <v>0.82</v>
      </c>
      <c r="N4654" s="1">
        <v>10000000</v>
      </c>
      <c r="O4654">
        <v>0.82</v>
      </c>
      <c r="P4654">
        <v>1.75</v>
      </c>
      <c r="Q4654">
        <v>0.01</v>
      </c>
    </row>
    <row r="4655" spans="1:17" x14ac:dyDescent="0.25">
      <c r="A4655">
        <v>733583</v>
      </c>
      <c r="B4655" t="s">
        <v>5967</v>
      </c>
      <c r="C4655">
        <v>0.55000000000000004</v>
      </c>
      <c r="D4655">
        <v>-0.01</v>
      </c>
      <c r="E4655">
        <v>0.54</v>
      </c>
      <c r="F4655">
        <v>0.56000000000000005</v>
      </c>
      <c r="G4655">
        <v>0.54</v>
      </c>
      <c r="H4655">
        <v>0.55000000000000004</v>
      </c>
      <c r="I4655" s="1">
        <v>419000</v>
      </c>
      <c r="J4655" s="1">
        <v>232060</v>
      </c>
      <c r="K4655">
        <v>5</v>
      </c>
      <c r="L4655">
        <v>0.55000000000000004</v>
      </c>
      <c r="M4655">
        <v>0.56000000000000005</v>
      </c>
      <c r="N4655" s="1">
        <v>10000000</v>
      </c>
      <c r="O4655">
        <v>0.55000000000000004</v>
      </c>
      <c r="P4655">
        <v>1.05</v>
      </c>
      <c r="Q4655">
        <v>0.05</v>
      </c>
    </row>
    <row r="4656" spans="1:17" x14ac:dyDescent="0.25">
      <c r="A4656">
        <v>733584</v>
      </c>
      <c r="B4656" t="s">
        <v>5968</v>
      </c>
      <c r="C4656">
        <v>1.1000000000000001</v>
      </c>
      <c r="D4656">
        <v>-0.03</v>
      </c>
      <c r="E4656">
        <v>1.1000000000000001</v>
      </c>
      <c r="F4656">
        <v>1.1200000000000001</v>
      </c>
      <c r="G4656">
        <v>1.0900000000000001</v>
      </c>
      <c r="H4656">
        <v>1.1100000000000001</v>
      </c>
      <c r="I4656" s="1">
        <v>547000</v>
      </c>
      <c r="J4656" s="1">
        <v>606680</v>
      </c>
      <c r="K4656">
        <v>8</v>
      </c>
      <c r="L4656">
        <v>1.0900000000000001</v>
      </c>
      <c r="M4656">
        <v>1.1000000000000001</v>
      </c>
      <c r="N4656" s="1">
        <v>5000000</v>
      </c>
      <c r="O4656">
        <v>1.1000000000000001</v>
      </c>
      <c r="P4656">
        <v>2.11</v>
      </c>
      <c r="Q4656">
        <v>0.09</v>
      </c>
    </row>
    <row r="4657" spans="1:17" x14ac:dyDescent="0.25">
      <c r="A4657">
        <v>733585</v>
      </c>
      <c r="B4657" t="s">
        <v>5969</v>
      </c>
      <c r="C4657">
        <v>1.2</v>
      </c>
      <c r="D4657">
        <v>0.08</v>
      </c>
      <c r="E4657">
        <v>1.1499999999999999</v>
      </c>
      <c r="F4657">
        <v>1.2</v>
      </c>
      <c r="G4657">
        <v>1.1499999999999999</v>
      </c>
      <c r="H4657">
        <v>1.17</v>
      </c>
      <c r="I4657" s="1">
        <v>41000</v>
      </c>
      <c r="J4657" s="1">
        <v>48110</v>
      </c>
      <c r="K4657">
        <v>6</v>
      </c>
      <c r="L4657">
        <v>1.17</v>
      </c>
      <c r="M4657">
        <v>1.18</v>
      </c>
      <c r="N4657" s="1">
        <v>10000000</v>
      </c>
      <c r="O4657">
        <v>1.2</v>
      </c>
      <c r="P4657">
        <v>2.02</v>
      </c>
      <c r="Q4657">
        <v>0.38</v>
      </c>
    </row>
    <row r="4658" spans="1:17" x14ac:dyDescent="0.25">
      <c r="A4658">
        <v>733586</v>
      </c>
      <c r="B4658" t="s">
        <v>5970</v>
      </c>
      <c r="C4658">
        <v>0.73</v>
      </c>
      <c r="D4658">
        <v>0.02</v>
      </c>
      <c r="E4658">
        <v>0.72</v>
      </c>
      <c r="F4658">
        <v>0.77</v>
      </c>
      <c r="G4658">
        <v>0.72</v>
      </c>
      <c r="H4658">
        <v>0.74</v>
      </c>
      <c r="I4658" s="1">
        <v>808000</v>
      </c>
      <c r="J4658" s="1">
        <v>601850</v>
      </c>
      <c r="K4658">
        <v>26</v>
      </c>
      <c r="L4658">
        <v>0.72</v>
      </c>
      <c r="M4658">
        <v>0.74</v>
      </c>
      <c r="N4658" s="1">
        <v>10000000</v>
      </c>
      <c r="O4658">
        <v>0.73</v>
      </c>
      <c r="P4658">
        <v>1.24</v>
      </c>
      <c r="Q4658">
        <v>0.22</v>
      </c>
    </row>
    <row r="4659" spans="1:17" x14ac:dyDescent="0.25">
      <c r="A4659">
        <v>733587</v>
      </c>
      <c r="B4659" t="s">
        <v>5971</v>
      </c>
      <c r="C4659" t="s">
        <v>78</v>
      </c>
      <c r="D4659" t="s">
        <v>78</v>
      </c>
      <c r="E4659" t="s">
        <v>78</v>
      </c>
      <c r="F4659" t="s">
        <v>78</v>
      </c>
      <c r="G4659" t="s">
        <v>78</v>
      </c>
      <c r="H4659">
        <v>0.84</v>
      </c>
      <c r="I4659" s="1">
        <v>0</v>
      </c>
      <c r="J4659" s="1">
        <v>0</v>
      </c>
      <c r="K4659">
        <v>0</v>
      </c>
      <c r="L4659">
        <v>0.53</v>
      </c>
      <c r="M4659">
        <v>0.54</v>
      </c>
      <c r="N4659" s="1">
        <v>10000000</v>
      </c>
      <c r="O4659">
        <v>0.54</v>
      </c>
      <c r="P4659">
        <v>1.07</v>
      </c>
      <c r="Q4659">
        <v>0.01</v>
      </c>
    </row>
    <row r="4660" spans="1:17" x14ac:dyDescent="0.25">
      <c r="A4660">
        <v>733588</v>
      </c>
      <c r="B4660" t="s">
        <v>5972</v>
      </c>
      <c r="C4660">
        <v>1.0900000000000001</v>
      </c>
      <c r="D4660">
        <v>0.05</v>
      </c>
      <c r="E4660">
        <v>1.08</v>
      </c>
      <c r="F4660">
        <v>1.0900000000000001</v>
      </c>
      <c r="G4660">
        <v>1.03</v>
      </c>
      <c r="H4660">
        <v>1.06</v>
      </c>
      <c r="I4660" s="1">
        <v>520000</v>
      </c>
      <c r="J4660" s="1">
        <v>549350</v>
      </c>
      <c r="K4660">
        <v>17</v>
      </c>
      <c r="L4660">
        <v>1.05</v>
      </c>
      <c r="M4660">
        <v>1.06</v>
      </c>
      <c r="N4660" s="1">
        <v>10000000</v>
      </c>
      <c r="O4660">
        <v>1.0900000000000001</v>
      </c>
      <c r="P4660">
        <v>2.23</v>
      </c>
      <c r="Q4660">
        <v>0.01</v>
      </c>
    </row>
    <row r="4661" spans="1:17" x14ac:dyDescent="0.25">
      <c r="A4661">
        <v>733589</v>
      </c>
      <c r="B4661" t="s">
        <v>5973</v>
      </c>
      <c r="C4661">
        <v>0.97</v>
      </c>
      <c r="D4661">
        <v>-7.0000000000000007E-2</v>
      </c>
      <c r="E4661">
        <v>1.01</v>
      </c>
      <c r="F4661">
        <v>1.01</v>
      </c>
      <c r="G4661">
        <v>0.97</v>
      </c>
      <c r="H4661">
        <v>0.99</v>
      </c>
      <c r="I4661" s="1">
        <v>469000</v>
      </c>
      <c r="J4661" s="1">
        <v>463700</v>
      </c>
      <c r="K4661">
        <v>9</v>
      </c>
      <c r="L4661">
        <v>0.95</v>
      </c>
      <c r="M4661">
        <v>0.96</v>
      </c>
      <c r="N4661" s="1">
        <v>10000000</v>
      </c>
      <c r="O4661">
        <v>0.97</v>
      </c>
      <c r="P4661">
        <v>1.65</v>
      </c>
      <c r="Q4661">
        <v>0.28999999999999998</v>
      </c>
    </row>
    <row r="4662" spans="1:17" x14ac:dyDescent="0.25">
      <c r="A4662">
        <v>733590</v>
      </c>
      <c r="B4662" t="s">
        <v>5974</v>
      </c>
      <c r="C4662">
        <v>0.96</v>
      </c>
      <c r="D4662">
        <v>0.03</v>
      </c>
      <c r="E4662">
        <v>0.95</v>
      </c>
      <c r="F4662">
        <v>0.99</v>
      </c>
      <c r="G4662">
        <v>0.95</v>
      </c>
      <c r="H4662">
        <v>0.96</v>
      </c>
      <c r="I4662" s="1">
        <v>201000</v>
      </c>
      <c r="J4662" s="1">
        <v>193460</v>
      </c>
      <c r="K4662">
        <v>6</v>
      </c>
      <c r="L4662">
        <v>0.94</v>
      </c>
      <c r="M4662">
        <v>0.96</v>
      </c>
      <c r="N4662" s="1">
        <v>5000000</v>
      </c>
      <c r="O4662">
        <v>0.96</v>
      </c>
      <c r="P4662">
        <v>2.08</v>
      </c>
      <c r="Q4662">
        <v>0.01</v>
      </c>
    </row>
    <row r="4663" spans="1:17" x14ac:dyDescent="0.25">
      <c r="A4663">
        <v>733591</v>
      </c>
      <c r="B4663" t="s">
        <v>5975</v>
      </c>
      <c r="C4663">
        <v>1.03</v>
      </c>
      <c r="D4663">
        <v>0.1</v>
      </c>
      <c r="E4663">
        <v>1.02</v>
      </c>
      <c r="F4663">
        <v>1.03</v>
      </c>
      <c r="G4663">
        <v>1.02</v>
      </c>
      <c r="H4663">
        <v>1.03</v>
      </c>
      <c r="I4663" s="1">
        <v>75000</v>
      </c>
      <c r="J4663" s="1">
        <v>77000</v>
      </c>
      <c r="K4663">
        <v>2</v>
      </c>
      <c r="L4663">
        <v>1</v>
      </c>
      <c r="M4663">
        <v>1.01</v>
      </c>
      <c r="N4663" s="1">
        <v>10000000</v>
      </c>
      <c r="O4663">
        <v>1.03</v>
      </c>
      <c r="P4663">
        <v>2.23</v>
      </c>
      <c r="Q4663">
        <v>0.01</v>
      </c>
    </row>
    <row r="4664" spans="1:17" x14ac:dyDescent="0.25">
      <c r="A4664">
        <v>733592</v>
      </c>
      <c r="B4664" t="s">
        <v>5976</v>
      </c>
      <c r="C4664">
        <v>0.41</v>
      </c>
      <c r="D4664">
        <v>0</v>
      </c>
      <c r="E4664">
        <v>0.41</v>
      </c>
      <c r="F4664">
        <v>0.41</v>
      </c>
      <c r="G4664">
        <v>0.41</v>
      </c>
      <c r="H4664">
        <v>0.41</v>
      </c>
      <c r="I4664" s="1">
        <v>728000</v>
      </c>
      <c r="J4664" s="1">
        <v>298480</v>
      </c>
      <c r="K4664">
        <v>4</v>
      </c>
      <c r="L4664">
        <v>0.4</v>
      </c>
      <c r="M4664">
        <v>0.41</v>
      </c>
      <c r="N4664" s="1">
        <v>10000000</v>
      </c>
      <c r="O4664">
        <v>0.41</v>
      </c>
      <c r="P4664">
        <v>0.8</v>
      </c>
      <c r="Q4664">
        <v>0.01</v>
      </c>
    </row>
    <row r="4665" spans="1:17" x14ac:dyDescent="0.25">
      <c r="A4665">
        <v>733593</v>
      </c>
      <c r="B4665" t="s">
        <v>5977</v>
      </c>
      <c r="C4665">
        <v>0.9</v>
      </c>
      <c r="D4665">
        <v>0.05</v>
      </c>
      <c r="E4665">
        <v>0.86</v>
      </c>
      <c r="F4665">
        <v>0.92</v>
      </c>
      <c r="G4665">
        <v>0.85</v>
      </c>
      <c r="H4665">
        <v>0.9</v>
      </c>
      <c r="I4665" s="1">
        <v>1080000</v>
      </c>
      <c r="J4665" s="1">
        <v>969700</v>
      </c>
      <c r="K4665">
        <v>21</v>
      </c>
      <c r="L4665">
        <v>0.88</v>
      </c>
      <c r="M4665">
        <v>0.89</v>
      </c>
      <c r="N4665" s="1">
        <v>10000000</v>
      </c>
      <c r="O4665">
        <v>0.9</v>
      </c>
      <c r="P4665">
        <v>1.88</v>
      </c>
      <c r="Q4665">
        <v>0.01</v>
      </c>
    </row>
    <row r="4666" spans="1:17" x14ac:dyDescent="0.25">
      <c r="A4666">
        <v>733594</v>
      </c>
      <c r="B4666" t="s">
        <v>5978</v>
      </c>
      <c r="C4666" t="s">
        <v>78</v>
      </c>
      <c r="D4666" t="s">
        <v>78</v>
      </c>
      <c r="E4666" t="s">
        <v>78</v>
      </c>
      <c r="F4666" t="s">
        <v>78</v>
      </c>
      <c r="G4666" t="s">
        <v>78</v>
      </c>
      <c r="H4666">
        <v>0.93</v>
      </c>
      <c r="I4666" s="1">
        <v>0</v>
      </c>
      <c r="J4666" s="1">
        <v>0</v>
      </c>
      <c r="K4666">
        <v>0</v>
      </c>
      <c r="L4666">
        <v>0.54</v>
      </c>
      <c r="M4666">
        <v>0.55000000000000004</v>
      </c>
      <c r="N4666" s="1">
        <v>5000000</v>
      </c>
      <c r="O4666">
        <v>0.55000000000000004</v>
      </c>
      <c r="P4666">
        <v>1.32</v>
      </c>
      <c r="Q4666">
        <v>0.01</v>
      </c>
    </row>
    <row r="4667" spans="1:17" x14ac:dyDescent="0.25">
      <c r="A4667">
        <v>733595</v>
      </c>
      <c r="B4667" t="s">
        <v>5979</v>
      </c>
      <c r="C4667">
        <v>0.85</v>
      </c>
      <c r="D4667">
        <v>-0.01</v>
      </c>
      <c r="E4667">
        <v>0.85</v>
      </c>
      <c r="F4667">
        <v>0.85</v>
      </c>
      <c r="G4667">
        <v>0.85</v>
      </c>
      <c r="H4667">
        <v>0.85</v>
      </c>
      <c r="I4667" s="1">
        <v>10000</v>
      </c>
      <c r="J4667" s="1">
        <v>8500</v>
      </c>
      <c r="K4667">
        <v>1</v>
      </c>
      <c r="L4667">
        <v>0.82</v>
      </c>
      <c r="M4667">
        <v>0.83</v>
      </c>
      <c r="N4667" s="1">
        <v>5000000</v>
      </c>
      <c r="O4667">
        <v>0.85</v>
      </c>
      <c r="P4667">
        <v>1.34</v>
      </c>
      <c r="Q4667">
        <v>0.36</v>
      </c>
    </row>
    <row r="4668" spans="1:17" x14ac:dyDescent="0.25">
      <c r="A4668">
        <v>733596</v>
      </c>
      <c r="B4668" t="s">
        <v>5980</v>
      </c>
      <c r="C4668" t="s">
        <v>78</v>
      </c>
      <c r="D4668" t="s">
        <v>78</v>
      </c>
      <c r="E4668" t="s">
        <v>78</v>
      </c>
      <c r="F4668" t="s">
        <v>78</v>
      </c>
      <c r="G4668" t="s">
        <v>78</v>
      </c>
      <c r="H4668">
        <v>0.88</v>
      </c>
      <c r="I4668" s="1">
        <v>0</v>
      </c>
      <c r="J4668" s="1">
        <v>0</v>
      </c>
      <c r="K4668">
        <v>0</v>
      </c>
      <c r="L4668">
        <v>0.86</v>
      </c>
      <c r="M4668">
        <v>0.87</v>
      </c>
      <c r="N4668" s="1">
        <v>5028000</v>
      </c>
      <c r="O4668">
        <v>0.87</v>
      </c>
      <c r="P4668">
        <v>1.38</v>
      </c>
      <c r="Q4668">
        <v>0.36</v>
      </c>
    </row>
    <row r="4669" spans="1:17" x14ac:dyDescent="0.25">
      <c r="A4669">
        <v>733597</v>
      </c>
      <c r="B4669" t="s">
        <v>5981</v>
      </c>
      <c r="C4669">
        <v>0.98</v>
      </c>
      <c r="D4669">
        <v>0.06</v>
      </c>
      <c r="E4669">
        <v>1</v>
      </c>
      <c r="F4669">
        <v>1.02</v>
      </c>
      <c r="G4669">
        <v>0.92</v>
      </c>
      <c r="H4669">
        <v>0.99</v>
      </c>
      <c r="I4669" s="1">
        <v>827000</v>
      </c>
      <c r="J4669" s="1">
        <v>817110</v>
      </c>
      <c r="K4669">
        <v>29</v>
      </c>
      <c r="L4669">
        <v>0.97</v>
      </c>
      <c r="M4669">
        <v>0.98</v>
      </c>
      <c r="N4669" s="1">
        <v>5000000</v>
      </c>
      <c r="O4669">
        <v>0.98</v>
      </c>
      <c r="P4669">
        <v>1.52</v>
      </c>
      <c r="Q4669">
        <v>0.44</v>
      </c>
    </row>
    <row r="4670" spans="1:17" x14ac:dyDescent="0.25">
      <c r="A4670">
        <v>733598</v>
      </c>
      <c r="B4670" t="s">
        <v>5982</v>
      </c>
      <c r="C4670" t="s">
        <v>78</v>
      </c>
      <c r="D4670" t="s">
        <v>78</v>
      </c>
      <c r="E4670" t="s">
        <v>78</v>
      </c>
      <c r="F4670" t="s">
        <v>78</v>
      </c>
      <c r="G4670" t="s">
        <v>78</v>
      </c>
      <c r="H4670">
        <v>0.44</v>
      </c>
      <c r="I4670" s="1">
        <v>0</v>
      </c>
      <c r="J4670" s="1">
        <v>0</v>
      </c>
      <c r="K4670">
        <v>0</v>
      </c>
      <c r="L4670">
        <v>0.41</v>
      </c>
      <c r="M4670">
        <v>0.42</v>
      </c>
      <c r="N4670" s="1">
        <v>10000000</v>
      </c>
      <c r="O4670">
        <v>0.42</v>
      </c>
      <c r="P4670">
        <v>0.93</v>
      </c>
      <c r="Q4670">
        <v>0.01</v>
      </c>
    </row>
    <row r="4671" spans="1:17" x14ac:dyDescent="0.25">
      <c r="A4671">
        <v>733599</v>
      </c>
      <c r="B4671" t="s">
        <v>5983</v>
      </c>
      <c r="C4671" t="s">
        <v>78</v>
      </c>
      <c r="D4671" t="s">
        <v>78</v>
      </c>
      <c r="E4671" t="s">
        <v>78</v>
      </c>
      <c r="F4671" t="s">
        <v>78</v>
      </c>
      <c r="G4671" t="s">
        <v>78</v>
      </c>
      <c r="H4671">
        <v>1</v>
      </c>
      <c r="I4671" s="1">
        <v>0</v>
      </c>
      <c r="J4671" s="1">
        <v>0</v>
      </c>
      <c r="K4671">
        <v>0</v>
      </c>
      <c r="L4671">
        <v>0.91</v>
      </c>
      <c r="M4671">
        <v>1.01</v>
      </c>
      <c r="N4671" s="1">
        <v>5000000</v>
      </c>
      <c r="O4671">
        <v>0.91</v>
      </c>
      <c r="P4671">
        <v>1.49</v>
      </c>
      <c r="Q4671">
        <v>0.33</v>
      </c>
    </row>
    <row r="4672" spans="1:17" x14ac:dyDescent="0.25">
      <c r="A4672">
        <v>733600</v>
      </c>
      <c r="B4672" t="s">
        <v>5984</v>
      </c>
      <c r="C4672">
        <v>0.98</v>
      </c>
      <c r="D4672">
        <v>-0.04</v>
      </c>
      <c r="E4672">
        <v>1.01</v>
      </c>
      <c r="F4672">
        <v>1.01</v>
      </c>
      <c r="G4672">
        <v>0.98</v>
      </c>
      <c r="H4672">
        <v>0.99</v>
      </c>
      <c r="I4672" s="1">
        <v>388000</v>
      </c>
      <c r="J4672" s="1">
        <v>385880</v>
      </c>
      <c r="K4672">
        <v>4</v>
      </c>
      <c r="L4672">
        <v>0.97</v>
      </c>
      <c r="M4672">
        <v>0.98</v>
      </c>
      <c r="N4672" s="1">
        <v>10000000</v>
      </c>
      <c r="O4672">
        <v>0.98</v>
      </c>
      <c r="P4672">
        <v>1.99</v>
      </c>
      <c r="Q4672">
        <v>0.01</v>
      </c>
    </row>
    <row r="4673" spans="1:17" x14ac:dyDescent="0.25">
      <c r="A4673">
        <v>733601</v>
      </c>
      <c r="B4673" t="s">
        <v>5985</v>
      </c>
      <c r="C4673">
        <v>1.1399999999999999</v>
      </c>
      <c r="D4673">
        <v>0.13</v>
      </c>
      <c r="E4673">
        <v>1.05</v>
      </c>
      <c r="F4673">
        <v>1.1499999999999999</v>
      </c>
      <c r="G4673">
        <v>1.05</v>
      </c>
      <c r="H4673">
        <v>1.1100000000000001</v>
      </c>
      <c r="I4673" s="1">
        <v>251000</v>
      </c>
      <c r="J4673" s="1">
        <v>279040</v>
      </c>
      <c r="K4673">
        <v>8</v>
      </c>
      <c r="L4673">
        <v>1.0900000000000001</v>
      </c>
      <c r="M4673">
        <v>1.1100000000000001</v>
      </c>
      <c r="N4673" s="1">
        <v>10000000</v>
      </c>
      <c r="O4673">
        <v>1.1399999999999999</v>
      </c>
      <c r="P4673">
        <v>1.89</v>
      </c>
      <c r="Q4673">
        <v>0.39</v>
      </c>
    </row>
    <row r="4674" spans="1:17" x14ac:dyDescent="0.25">
      <c r="A4674">
        <v>733602</v>
      </c>
      <c r="B4674" t="s">
        <v>5986</v>
      </c>
      <c r="C4674">
        <v>0.59</v>
      </c>
      <c r="D4674">
        <v>0.03</v>
      </c>
      <c r="E4674">
        <v>0.59</v>
      </c>
      <c r="F4674">
        <v>0.59</v>
      </c>
      <c r="G4674">
        <v>0.59</v>
      </c>
      <c r="H4674">
        <v>0.59</v>
      </c>
      <c r="I4674" s="1">
        <v>6000</v>
      </c>
      <c r="J4674" s="1">
        <v>3540</v>
      </c>
      <c r="K4674">
        <v>1</v>
      </c>
      <c r="L4674">
        <v>0.55000000000000004</v>
      </c>
      <c r="M4674">
        <v>0.56000000000000005</v>
      </c>
      <c r="N4674" s="1">
        <v>10000000</v>
      </c>
      <c r="O4674">
        <v>0.59</v>
      </c>
      <c r="P4674">
        <v>0.94</v>
      </c>
      <c r="Q4674">
        <v>0.24</v>
      </c>
    </row>
    <row r="4675" spans="1:17" x14ac:dyDescent="0.25">
      <c r="A4675">
        <v>733603</v>
      </c>
      <c r="B4675" t="s">
        <v>5987</v>
      </c>
      <c r="C4675">
        <v>1.29</v>
      </c>
      <c r="D4675">
        <v>0.15</v>
      </c>
      <c r="E4675">
        <v>1.19</v>
      </c>
      <c r="F4675">
        <v>1.3</v>
      </c>
      <c r="G4675">
        <v>1.17</v>
      </c>
      <c r="H4675">
        <v>1.23</v>
      </c>
      <c r="I4675" s="1">
        <v>1406000</v>
      </c>
      <c r="J4675" s="1">
        <v>1732930</v>
      </c>
      <c r="K4675">
        <v>43</v>
      </c>
      <c r="L4675">
        <v>1.31</v>
      </c>
      <c r="M4675">
        <v>1.33</v>
      </c>
      <c r="N4675" s="1">
        <v>10000000</v>
      </c>
      <c r="O4675">
        <v>1.29</v>
      </c>
      <c r="P4675">
        <v>1.84</v>
      </c>
      <c r="Q4675">
        <v>0.74</v>
      </c>
    </row>
    <row r="4676" spans="1:17" x14ac:dyDescent="0.25">
      <c r="A4676">
        <v>733604</v>
      </c>
      <c r="B4676" t="s">
        <v>5988</v>
      </c>
      <c r="C4676">
        <v>1.38</v>
      </c>
      <c r="D4676">
        <v>-0.05</v>
      </c>
      <c r="E4676">
        <v>1.42</v>
      </c>
      <c r="F4676">
        <v>1.5</v>
      </c>
      <c r="G4676">
        <v>1.37</v>
      </c>
      <c r="H4676">
        <v>1.42</v>
      </c>
      <c r="I4676" s="1">
        <v>694000</v>
      </c>
      <c r="J4676" s="1">
        <v>984200</v>
      </c>
      <c r="K4676">
        <v>26</v>
      </c>
      <c r="L4676">
        <v>1.37</v>
      </c>
      <c r="M4676">
        <v>1.38</v>
      </c>
      <c r="N4676" s="1">
        <v>10000000</v>
      </c>
      <c r="O4676">
        <v>1.38</v>
      </c>
      <c r="P4676">
        <v>2.33</v>
      </c>
      <c r="Q4676">
        <v>0.41</v>
      </c>
    </row>
    <row r="4677" spans="1:17" x14ac:dyDescent="0.25">
      <c r="A4677">
        <v>733605</v>
      </c>
      <c r="B4677" t="s">
        <v>5989</v>
      </c>
      <c r="C4677">
        <v>0.77</v>
      </c>
      <c r="D4677">
        <v>-0.03</v>
      </c>
      <c r="E4677">
        <v>0.8</v>
      </c>
      <c r="F4677">
        <v>0.82</v>
      </c>
      <c r="G4677">
        <v>0.77</v>
      </c>
      <c r="H4677">
        <v>0.8</v>
      </c>
      <c r="I4677" s="1">
        <v>227000</v>
      </c>
      <c r="J4677" s="1">
        <v>182030</v>
      </c>
      <c r="K4677">
        <v>9</v>
      </c>
      <c r="L4677">
        <v>0.76</v>
      </c>
      <c r="M4677">
        <v>0.77</v>
      </c>
      <c r="N4677" s="1">
        <v>10000000</v>
      </c>
      <c r="O4677">
        <v>0.77</v>
      </c>
      <c r="P4677">
        <v>1.07</v>
      </c>
      <c r="Q4677">
        <v>0.47</v>
      </c>
    </row>
    <row r="4678" spans="1:17" x14ac:dyDescent="0.25">
      <c r="A4678">
        <v>733606</v>
      </c>
      <c r="B4678" t="s">
        <v>5990</v>
      </c>
      <c r="C4678">
        <v>0.96</v>
      </c>
      <c r="D4678">
        <v>-0.03</v>
      </c>
      <c r="E4678">
        <v>0.95</v>
      </c>
      <c r="F4678">
        <v>0.96</v>
      </c>
      <c r="G4678">
        <v>0.95</v>
      </c>
      <c r="H4678">
        <v>0.96</v>
      </c>
      <c r="I4678" s="1">
        <v>122000</v>
      </c>
      <c r="J4678" s="1">
        <v>116890</v>
      </c>
      <c r="K4678">
        <v>3</v>
      </c>
      <c r="L4678">
        <v>0.95</v>
      </c>
      <c r="M4678">
        <v>0.96</v>
      </c>
      <c r="N4678" s="1">
        <v>10000000</v>
      </c>
      <c r="O4678">
        <v>0.96</v>
      </c>
      <c r="P4678">
        <v>1.3</v>
      </c>
      <c r="Q4678">
        <v>0.62</v>
      </c>
    </row>
    <row r="4679" spans="1:17" x14ac:dyDescent="0.25">
      <c r="A4679">
        <v>733607</v>
      </c>
      <c r="B4679" t="s">
        <v>5991</v>
      </c>
      <c r="C4679">
        <v>1.47</v>
      </c>
      <c r="D4679">
        <v>0.01</v>
      </c>
      <c r="E4679">
        <v>1.57</v>
      </c>
      <c r="F4679">
        <v>1.6</v>
      </c>
      <c r="G4679">
        <v>1.47</v>
      </c>
      <c r="H4679">
        <v>1.54</v>
      </c>
      <c r="I4679" s="1">
        <v>520000</v>
      </c>
      <c r="J4679" s="1">
        <v>798400</v>
      </c>
      <c r="K4679">
        <v>23</v>
      </c>
      <c r="L4679">
        <v>1.47</v>
      </c>
      <c r="M4679">
        <v>1.49</v>
      </c>
      <c r="N4679" s="1">
        <v>10000000</v>
      </c>
      <c r="O4679">
        <v>1.47</v>
      </c>
      <c r="P4679">
        <v>2.44</v>
      </c>
      <c r="Q4679">
        <v>0.49</v>
      </c>
    </row>
    <row r="4680" spans="1:17" x14ac:dyDescent="0.25">
      <c r="A4680">
        <v>733608</v>
      </c>
      <c r="B4680" t="s">
        <v>5992</v>
      </c>
      <c r="C4680" t="s">
        <v>78</v>
      </c>
      <c r="D4680" t="s">
        <v>78</v>
      </c>
      <c r="E4680" t="s">
        <v>78</v>
      </c>
      <c r="F4680" t="s">
        <v>78</v>
      </c>
      <c r="G4680" t="s">
        <v>78</v>
      </c>
      <c r="H4680">
        <v>0.99</v>
      </c>
      <c r="I4680" s="1">
        <v>0</v>
      </c>
      <c r="J4680" s="1">
        <v>0</v>
      </c>
      <c r="K4680">
        <v>0</v>
      </c>
      <c r="L4680">
        <v>0.97</v>
      </c>
      <c r="M4680">
        <v>0.99</v>
      </c>
      <c r="N4680" s="1">
        <v>10000000</v>
      </c>
      <c r="O4680">
        <v>0.99</v>
      </c>
      <c r="P4680">
        <v>1.57</v>
      </c>
      <c r="Q4680">
        <v>0.41</v>
      </c>
    </row>
    <row r="4681" spans="1:17" x14ac:dyDescent="0.25">
      <c r="A4681">
        <v>733609</v>
      </c>
      <c r="B4681" t="s">
        <v>5993</v>
      </c>
      <c r="C4681" t="s">
        <v>78</v>
      </c>
      <c r="D4681" t="s">
        <v>78</v>
      </c>
      <c r="E4681" t="s">
        <v>78</v>
      </c>
      <c r="F4681" t="s">
        <v>78</v>
      </c>
      <c r="G4681" t="s">
        <v>78</v>
      </c>
      <c r="H4681">
        <v>0.71</v>
      </c>
      <c r="I4681" s="1">
        <v>0</v>
      </c>
      <c r="J4681" s="1">
        <v>0</v>
      </c>
      <c r="K4681">
        <v>0</v>
      </c>
      <c r="L4681">
        <v>0.71</v>
      </c>
      <c r="M4681">
        <v>0.72</v>
      </c>
      <c r="N4681" s="1">
        <v>5000000</v>
      </c>
      <c r="O4681">
        <v>0.72</v>
      </c>
      <c r="P4681">
        <v>1.06</v>
      </c>
      <c r="Q4681">
        <v>0.37</v>
      </c>
    </row>
    <row r="4682" spans="1:17" x14ac:dyDescent="0.25">
      <c r="A4682">
        <v>733610</v>
      </c>
      <c r="B4682" t="s">
        <v>5994</v>
      </c>
      <c r="C4682">
        <v>0.54</v>
      </c>
      <c r="D4682">
        <v>-0.01</v>
      </c>
      <c r="E4682">
        <v>0.54</v>
      </c>
      <c r="F4682">
        <v>0.54</v>
      </c>
      <c r="G4682">
        <v>0.54</v>
      </c>
      <c r="H4682">
        <v>0.54</v>
      </c>
      <c r="I4682" s="1">
        <v>15000</v>
      </c>
      <c r="J4682" s="1">
        <v>8100</v>
      </c>
      <c r="K4682">
        <v>1</v>
      </c>
      <c r="L4682">
        <v>0.54</v>
      </c>
      <c r="M4682">
        <v>0.55000000000000004</v>
      </c>
      <c r="N4682" s="1">
        <v>10000000</v>
      </c>
      <c r="O4682">
        <v>0.54</v>
      </c>
      <c r="P4682">
        <v>1.1100000000000001</v>
      </c>
      <c r="Q4682">
        <v>0.01</v>
      </c>
    </row>
    <row r="4683" spans="1:17" x14ac:dyDescent="0.25">
      <c r="A4683">
        <v>733611</v>
      </c>
      <c r="B4683" t="s">
        <v>5995</v>
      </c>
      <c r="C4683">
        <v>0.53</v>
      </c>
      <c r="D4683">
        <v>-0.02</v>
      </c>
      <c r="E4683">
        <v>0.54</v>
      </c>
      <c r="F4683">
        <v>0.55000000000000004</v>
      </c>
      <c r="G4683">
        <v>0.53</v>
      </c>
      <c r="H4683">
        <v>0.54</v>
      </c>
      <c r="I4683" s="1">
        <v>300000</v>
      </c>
      <c r="J4683" s="1">
        <v>160500</v>
      </c>
      <c r="K4683">
        <v>3</v>
      </c>
      <c r="L4683">
        <v>0.54</v>
      </c>
      <c r="M4683">
        <v>0.55000000000000004</v>
      </c>
      <c r="N4683" s="1">
        <v>10000000</v>
      </c>
      <c r="O4683">
        <v>0.53</v>
      </c>
      <c r="P4683">
        <v>0.98</v>
      </c>
      <c r="Q4683">
        <v>0.08</v>
      </c>
    </row>
    <row r="4684" spans="1:17" x14ac:dyDescent="0.25">
      <c r="A4684">
        <v>733612</v>
      </c>
      <c r="B4684" t="s">
        <v>5996</v>
      </c>
      <c r="C4684">
        <v>1.5</v>
      </c>
      <c r="D4684">
        <v>0.11</v>
      </c>
      <c r="E4684">
        <v>1.24</v>
      </c>
      <c r="F4684">
        <v>1.5</v>
      </c>
      <c r="G4684">
        <v>1.24</v>
      </c>
      <c r="H4684">
        <v>1.33</v>
      </c>
      <c r="I4684" s="1">
        <v>501000</v>
      </c>
      <c r="J4684" s="1">
        <v>667380</v>
      </c>
      <c r="K4684">
        <v>29</v>
      </c>
      <c r="L4684">
        <v>1.45</v>
      </c>
      <c r="M4684">
        <v>1.5</v>
      </c>
      <c r="N4684" s="1">
        <v>5000000</v>
      </c>
      <c r="O4684">
        <v>1.5</v>
      </c>
      <c r="P4684">
        <v>2.2200000000000002</v>
      </c>
      <c r="Q4684">
        <v>0.78</v>
      </c>
    </row>
    <row r="4685" spans="1:17" x14ac:dyDescent="0.25">
      <c r="A4685">
        <v>733613</v>
      </c>
      <c r="B4685" t="s">
        <v>5997</v>
      </c>
      <c r="C4685">
        <v>0.63</v>
      </c>
      <c r="D4685">
        <v>0.01</v>
      </c>
      <c r="E4685">
        <v>0.62</v>
      </c>
      <c r="F4685">
        <v>0.63</v>
      </c>
      <c r="G4685">
        <v>0.61</v>
      </c>
      <c r="H4685">
        <v>0.63</v>
      </c>
      <c r="I4685" s="1">
        <v>630000</v>
      </c>
      <c r="J4685" s="1">
        <v>396200</v>
      </c>
      <c r="K4685">
        <v>5</v>
      </c>
      <c r="L4685">
        <v>0.6</v>
      </c>
      <c r="M4685">
        <v>0.61</v>
      </c>
      <c r="N4685" s="1">
        <v>10000000</v>
      </c>
      <c r="O4685">
        <v>0.63</v>
      </c>
      <c r="P4685">
        <v>1.39</v>
      </c>
      <c r="Q4685">
        <v>0.01</v>
      </c>
    </row>
    <row r="4686" spans="1:17" x14ac:dyDescent="0.25">
      <c r="A4686">
        <v>733614</v>
      </c>
      <c r="B4686" t="s">
        <v>5998</v>
      </c>
      <c r="C4686">
        <v>1.03</v>
      </c>
      <c r="D4686">
        <v>0.03</v>
      </c>
      <c r="E4686">
        <v>1.07</v>
      </c>
      <c r="F4686">
        <v>1.1200000000000001</v>
      </c>
      <c r="G4686">
        <v>1.03</v>
      </c>
      <c r="H4686">
        <v>1.07</v>
      </c>
      <c r="I4686" s="1">
        <v>935000</v>
      </c>
      <c r="J4686" s="1">
        <v>997220</v>
      </c>
      <c r="K4686">
        <v>22</v>
      </c>
      <c r="L4686">
        <v>1.02</v>
      </c>
      <c r="M4686">
        <v>1.03</v>
      </c>
      <c r="N4686" s="1">
        <v>5000000</v>
      </c>
      <c r="O4686">
        <v>1.03</v>
      </c>
      <c r="P4686">
        <v>1.67</v>
      </c>
      <c r="Q4686">
        <v>0.39</v>
      </c>
    </row>
    <row r="4687" spans="1:17" x14ac:dyDescent="0.25">
      <c r="A4687">
        <v>733615</v>
      </c>
      <c r="B4687" t="s">
        <v>5999</v>
      </c>
      <c r="C4687">
        <v>0.88</v>
      </c>
      <c r="D4687">
        <v>0.04</v>
      </c>
      <c r="E4687">
        <v>0.88</v>
      </c>
      <c r="F4687">
        <v>0.88</v>
      </c>
      <c r="G4687">
        <v>0.88</v>
      </c>
      <c r="H4687">
        <v>0.88</v>
      </c>
      <c r="I4687" s="1">
        <v>135000</v>
      </c>
      <c r="J4687" s="1">
        <v>118800</v>
      </c>
      <c r="K4687">
        <v>3</v>
      </c>
      <c r="L4687">
        <v>0.85</v>
      </c>
      <c r="M4687">
        <v>0.86</v>
      </c>
      <c r="N4687" s="1">
        <v>5000000</v>
      </c>
      <c r="O4687">
        <v>0.88</v>
      </c>
      <c r="P4687">
        <v>1.98</v>
      </c>
      <c r="Q4687">
        <v>0.01</v>
      </c>
    </row>
    <row r="4688" spans="1:17" x14ac:dyDescent="0.25">
      <c r="A4688">
        <v>733617</v>
      </c>
      <c r="B4688" t="s">
        <v>6000</v>
      </c>
      <c r="C4688">
        <v>1.2</v>
      </c>
      <c r="D4688">
        <v>0.19</v>
      </c>
      <c r="E4688">
        <v>1.1100000000000001</v>
      </c>
      <c r="F4688">
        <v>1.25</v>
      </c>
      <c r="G4688">
        <v>1.07</v>
      </c>
      <c r="H4688">
        <v>1.1299999999999999</v>
      </c>
      <c r="I4688" s="1">
        <v>2577000</v>
      </c>
      <c r="J4688" s="1">
        <v>2916020</v>
      </c>
      <c r="K4688">
        <v>48</v>
      </c>
      <c r="L4688">
        <v>1.2</v>
      </c>
      <c r="M4688">
        <v>1.3</v>
      </c>
      <c r="N4688" s="1">
        <v>5000000</v>
      </c>
      <c r="O4688">
        <v>1.2</v>
      </c>
      <c r="P4688">
        <v>1.86</v>
      </c>
      <c r="Q4688">
        <v>0.54</v>
      </c>
    </row>
    <row r="4689" spans="1:17" x14ac:dyDescent="0.25">
      <c r="A4689">
        <v>733618</v>
      </c>
      <c r="B4689" t="s">
        <v>6001</v>
      </c>
      <c r="C4689">
        <v>0.76</v>
      </c>
      <c r="D4689">
        <v>0.04</v>
      </c>
      <c r="E4689">
        <v>0.75</v>
      </c>
      <c r="F4689">
        <v>0.76</v>
      </c>
      <c r="G4689">
        <v>0.75</v>
      </c>
      <c r="H4689">
        <v>0.76</v>
      </c>
      <c r="I4689" s="1">
        <v>160000</v>
      </c>
      <c r="J4689" s="1">
        <v>121000</v>
      </c>
      <c r="K4689">
        <v>2</v>
      </c>
      <c r="L4689">
        <v>0.76</v>
      </c>
      <c r="M4689">
        <v>0.77</v>
      </c>
      <c r="N4689" s="1">
        <v>10000000</v>
      </c>
      <c r="O4689">
        <v>0.76</v>
      </c>
      <c r="P4689">
        <v>1.66</v>
      </c>
      <c r="Q4689">
        <v>0.01</v>
      </c>
    </row>
    <row r="4690" spans="1:17" x14ac:dyDescent="0.25">
      <c r="A4690">
        <v>733619</v>
      </c>
      <c r="B4690" t="s">
        <v>6002</v>
      </c>
      <c r="C4690">
        <v>2.29</v>
      </c>
      <c r="D4690">
        <v>0.12</v>
      </c>
      <c r="E4690">
        <v>2.27</v>
      </c>
      <c r="F4690">
        <v>2.34</v>
      </c>
      <c r="G4690">
        <v>2.17</v>
      </c>
      <c r="H4690">
        <v>2.2599999999999998</v>
      </c>
      <c r="I4690" s="1">
        <v>291000</v>
      </c>
      <c r="J4690" s="1">
        <v>658000</v>
      </c>
      <c r="K4690">
        <v>16</v>
      </c>
      <c r="L4690">
        <v>2.2799999999999998</v>
      </c>
      <c r="M4690">
        <v>2.29</v>
      </c>
      <c r="N4690" s="1">
        <v>10000000</v>
      </c>
      <c r="O4690">
        <v>2.29</v>
      </c>
      <c r="P4690">
        <v>3.55</v>
      </c>
      <c r="Q4690">
        <v>1.03</v>
      </c>
    </row>
    <row r="4691" spans="1:17" x14ac:dyDescent="0.25">
      <c r="A4691">
        <v>733620</v>
      </c>
      <c r="B4691" t="s">
        <v>6003</v>
      </c>
      <c r="C4691">
        <v>0.96</v>
      </c>
      <c r="D4691">
        <v>-0.05</v>
      </c>
      <c r="E4691">
        <v>1.04</v>
      </c>
      <c r="F4691">
        <v>1.04</v>
      </c>
      <c r="G4691">
        <v>0.96</v>
      </c>
      <c r="H4691">
        <v>1</v>
      </c>
      <c r="I4691" s="1">
        <v>573000</v>
      </c>
      <c r="J4691" s="1">
        <v>572430</v>
      </c>
      <c r="K4691">
        <v>12</v>
      </c>
      <c r="L4691">
        <v>0.96</v>
      </c>
      <c r="M4691">
        <v>0.97</v>
      </c>
      <c r="N4691" s="1">
        <v>5000000</v>
      </c>
      <c r="O4691">
        <v>0.96</v>
      </c>
      <c r="P4691">
        <v>1.68</v>
      </c>
      <c r="Q4691">
        <v>0.24</v>
      </c>
    </row>
    <row r="4692" spans="1:17" x14ac:dyDescent="0.25">
      <c r="A4692">
        <v>733621</v>
      </c>
      <c r="B4692" t="s">
        <v>6004</v>
      </c>
      <c r="C4692">
        <v>1.07</v>
      </c>
      <c r="D4692">
        <v>-0.04</v>
      </c>
      <c r="E4692">
        <v>1.1599999999999999</v>
      </c>
      <c r="F4692">
        <v>1.1599999999999999</v>
      </c>
      <c r="G4692">
        <v>1.07</v>
      </c>
      <c r="H4692">
        <v>1.07</v>
      </c>
      <c r="I4692" s="1">
        <v>458000</v>
      </c>
      <c r="J4692" s="1">
        <v>492160</v>
      </c>
      <c r="K4692">
        <v>10</v>
      </c>
      <c r="L4692">
        <v>1.07</v>
      </c>
      <c r="M4692">
        <v>1.1100000000000001</v>
      </c>
      <c r="N4692" s="1">
        <v>5000000</v>
      </c>
      <c r="O4692">
        <v>1.07</v>
      </c>
      <c r="P4692">
        <v>2.0699999999999998</v>
      </c>
      <c r="Q4692">
        <v>0.05</v>
      </c>
    </row>
    <row r="4693" spans="1:17" x14ac:dyDescent="0.25">
      <c r="A4693">
        <v>733622</v>
      </c>
      <c r="B4693" t="s">
        <v>6005</v>
      </c>
      <c r="C4693">
        <v>0.75</v>
      </c>
      <c r="D4693">
        <v>-0.03</v>
      </c>
      <c r="E4693">
        <v>0.78</v>
      </c>
      <c r="F4693">
        <v>0.79</v>
      </c>
      <c r="G4693">
        <v>0.75</v>
      </c>
      <c r="H4693">
        <v>0.77</v>
      </c>
      <c r="I4693" s="1">
        <v>235000</v>
      </c>
      <c r="J4693" s="1">
        <v>181900</v>
      </c>
      <c r="K4693">
        <v>16</v>
      </c>
      <c r="L4693">
        <v>0.74</v>
      </c>
      <c r="M4693">
        <v>0.75</v>
      </c>
      <c r="N4693" s="1">
        <v>10000000</v>
      </c>
      <c r="O4693">
        <v>0.75</v>
      </c>
      <c r="P4693">
        <v>1.1299999999999999</v>
      </c>
      <c r="Q4693">
        <v>0.37</v>
      </c>
    </row>
    <row r="4694" spans="1:17" x14ac:dyDescent="0.25">
      <c r="A4694">
        <v>733623</v>
      </c>
      <c r="B4694" t="s">
        <v>6006</v>
      </c>
      <c r="C4694">
        <v>1.65</v>
      </c>
      <c r="D4694">
        <v>0.02</v>
      </c>
      <c r="E4694">
        <v>1.68</v>
      </c>
      <c r="F4694">
        <v>1.7</v>
      </c>
      <c r="G4694">
        <v>1.63</v>
      </c>
      <c r="H4694">
        <v>1.66</v>
      </c>
      <c r="I4694" s="1">
        <v>312000</v>
      </c>
      <c r="J4694" s="1">
        <v>518390</v>
      </c>
      <c r="K4694">
        <v>11</v>
      </c>
      <c r="L4694">
        <v>1.64</v>
      </c>
      <c r="M4694">
        <v>1.65</v>
      </c>
      <c r="N4694" s="1">
        <v>10000000</v>
      </c>
      <c r="O4694">
        <v>1.65</v>
      </c>
      <c r="P4694">
        <v>2.71</v>
      </c>
      <c r="Q4694">
        <v>0.59</v>
      </c>
    </row>
    <row r="4695" spans="1:17" x14ac:dyDescent="0.25">
      <c r="A4695">
        <v>733624</v>
      </c>
      <c r="B4695" t="s">
        <v>6007</v>
      </c>
      <c r="C4695">
        <v>1.33</v>
      </c>
      <c r="D4695">
        <v>0.02</v>
      </c>
      <c r="E4695">
        <v>1.35</v>
      </c>
      <c r="F4695">
        <v>1.38</v>
      </c>
      <c r="G4695">
        <v>1.33</v>
      </c>
      <c r="H4695">
        <v>1.37</v>
      </c>
      <c r="I4695" s="1">
        <v>324000</v>
      </c>
      <c r="J4695" s="1">
        <v>442870</v>
      </c>
      <c r="K4695">
        <v>20</v>
      </c>
      <c r="L4695">
        <v>1.32</v>
      </c>
      <c r="M4695">
        <v>1.33</v>
      </c>
      <c r="N4695" s="1">
        <v>5000000</v>
      </c>
      <c r="O4695">
        <v>1.33</v>
      </c>
      <c r="P4695">
        <v>1.88</v>
      </c>
      <c r="Q4695">
        <v>0.78</v>
      </c>
    </row>
    <row r="4696" spans="1:17" x14ac:dyDescent="0.25">
      <c r="A4696">
        <v>733625</v>
      </c>
      <c r="B4696" t="s">
        <v>6008</v>
      </c>
      <c r="C4696">
        <v>0.7</v>
      </c>
      <c r="D4696">
        <v>-0.01</v>
      </c>
      <c r="E4696">
        <v>0.7</v>
      </c>
      <c r="F4696">
        <v>0.71</v>
      </c>
      <c r="G4696">
        <v>0.7</v>
      </c>
      <c r="H4696">
        <v>0.7</v>
      </c>
      <c r="I4696" s="1">
        <v>219000</v>
      </c>
      <c r="J4696" s="1">
        <v>154300</v>
      </c>
      <c r="K4696">
        <v>3</v>
      </c>
      <c r="L4696">
        <v>0.68</v>
      </c>
      <c r="M4696">
        <v>0.69</v>
      </c>
      <c r="N4696" s="1">
        <v>10000000</v>
      </c>
      <c r="O4696">
        <v>0.7</v>
      </c>
      <c r="P4696">
        <v>2.73</v>
      </c>
      <c r="Q4696">
        <v>0.01</v>
      </c>
    </row>
    <row r="4697" spans="1:17" x14ac:dyDescent="0.25">
      <c r="A4697">
        <v>733626</v>
      </c>
      <c r="B4697" t="s">
        <v>6009</v>
      </c>
      <c r="C4697">
        <v>1.64</v>
      </c>
      <c r="D4697">
        <v>0.05</v>
      </c>
      <c r="E4697">
        <v>1.66</v>
      </c>
      <c r="F4697">
        <v>1.69</v>
      </c>
      <c r="G4697">
        <v>1.62</v>
      </c>
      <c r="H4697">
        <v>1.66</v>
      </c>
      <c r="I4697" s="1">
        <v>443000</v>
      </c>
      <c r="J4697" s="1">
        <v>735480</v>
      </c>
      <c r="K4697">
        <v>15</v>
      </c>
      <c r="L4697">
        <v>1.63</v>
      </c>
      <c r="M4697">
        <v>1.64</v>
      </c>
      <c r="N4697" s="1">
        <v>10000000</v>
      </c>
      <c r="O4697">
        <v>1.64</v>
      </c>
      <c r="P4697">
        <v>2.29</v>
      </c>
      <c r="Q4697">
        <v>0.99</v>
      </c>
    </row>
    <row r="4698" spans="1:17" x14ac:dyDescent="0.25">
      <c r="A4698">
        <v>733627</v>
      </c>
      <c r="B4698" t="s">
        <v>6010</v>
      </c>
      <c r="C4698">
        <v>1.98</v>
      </c>
      <c r="D4698">
        <v>-0.14000000000000001</v>
      </c>
      <c r="E4698">
        <v>2.13</v>
      </c>
      <c r="F4698">
        <v>2.19</v>
      </c>
      <c r="G4698">
        <v>1.93</v>
      </c>
      <c r="H4698">
        <v>2.0299999999999998</v>
      </c>
      <c r="I4698" s="1">
        <v>1561000</v>
      </c>
      <c r="J4698" s="1">
        <v>3171350</v>
      </c>
      <c r="K4698">
        <v>46</v>
      </c>
      <c r="L4698">
        <v>1.97</v>
      </c>
      <c r="M4698">
        <v>1.98</v>
      </c>
      <c r="N4698" s="1">
        <v>5000000</v>
      </c>
      <c r="O4698">
        <v>1.98</v>
      </c>
      <c r="P4698">
        <v>3.1</v>
      </c>
      <c r="Q4698">
        <v>0.86</v>
      </c>
    </row>
    <row r="4699" spans="1:17" x14ac:dyDescent="0.25">
      <c r="A4699">
        <v>733628</v>
      </c>
      <c r="B4699" t="s">
        <v>6011</v>
      </c>
      <c r="C4699" t="s">
        <v>78</v>
      </c>
      <c r="D4699" t="s">
        <v>78</v>
      </c>
      <c r="E4699" t="s">
        <v>78</v>
      </c>
      <c r="F4699" t="s">
        <v>78</v>
      </c>
      <c r="G4699" t="s">
        <v>78</v>
      </c>
      <c r="H4699">
        <v>1.17</v>
      </c>
      <c r="I4699" s="1">
        <v>0</v>
      </c>
      <c r="J4699" s="1">
        <v>0</v>
      </c>
      <c r="K4699">
        <v>0</v>
      </c>
      <c r="L4699">
        <v>1.1299999999999999</v>
      </c>
      <c r="M4699">
        <v>1.1399999999999999</v>
      </c>
      <c r="N4699" s="1">
        <v>10000000</v>
      </c>
      <c r="O4699">
        <v>1.1399999999999999</v>
      </c>
      <c r="P4699">
        <v>1.74</v>
      </c>
      <c r="Q4699">
        <v>0.54</v>
      </c>
    </row>
    <row r="4700" spans="1:17" x14ac:dyDescent="0.25">
      <c r="A4700">
        <v>733629</v>
      </c>
      <c r="B4700" t="s">
        <v>6012</v>
      </c>
      <c r="C4700">
        <v>1.3</v>
      </c>
      <c r="D4700">
        <v>0.09</v>
      </c>
      <c r="E4700">
        <v>1.26</v>
      </c>
      <c r="F4700">
        <v>1.31</v>
      </c>
      <c r="G4700">
        <v>1.24</v>
      </c>
      <c r="H4700">
        <v>1.29</v>
      </c>
      <c r="I4700" s="1">
        <v>231000</v>
      </c>
      <c r="J4700" s="1">
        <v>299000</v>
      </c>
      <c r="K4700">
        <v>13</v>
      </c>
      <c r="L4700">
        <v>1.25</v>
      </c>
      <c r="M4700">
        <v>1.26</v>
      </c>
      <c r="N4700" s="1">
        <v>10000000</v>
      </c>
      <c r="O4700">
        <v>1.3</v>
      </c>
      <c r="P4700">
        <v>1.89</v>
      </c>
      <c r="Q4700">
        <v>0.71</v>
      </c>
    </row>
    <row r="4701" spans="1:17" x14ac:dyDescent="0.25">
      <c r="A4701">
        <v>733630</v>
      </c>
      <c r="B4701" t="s">
        <v>6013</v>
      </c>
      <c r="C4701">
        <v>1.03</v>
      </c>
      <c r="D4701">
        <v>0</v>
      </c>
      <c r="E4701">
        <v>1.05</v>
      </c>
      <c r="F4701">
        <v>1.05</v>
      </c>
      <c r="G4701">
        <v>1.03</v>
      </c>
      <c r="H4701">
        <v>1.03</v>
      </c>
      <c r="I4701" s="1">
        <v>130000</v>
      </c>
      <c r="J4701" s="1">
        <v>134500</v>
      </c>
      <c r="K4701">
        <v>2</v>
      </c>
      <c r="L4701">
        <v>1.01</v>
      </c>
      <c r="M4701">
        <v>1.03</v>
      </c>
      <c r="N4701" s="1">
        <v>5600000</v>
      </c>
      <c r="O4701">
        <v>1.03</v>
      </c>
      <c r="P4701">
        <v>1.83</v>
      </c>
      <c r="Q4701">
        <v>0.2</v>
      </c>
    </row>
    <row r="4702" spans="1:17" x14ac:dyDescent="0.25">
      <c r="A4702">
        <v>733631</v>
      </c>
      <c r="B4702" t="s">
        <v>6014</v>
      </c>
      <c r="C4702">
        <v>1.2</v>
      </c>
      <c r="D4702">
        <v>0.02</v>
      </c>
      <c r="E4702">
        <v>1.28</v>
      </c>
      <c r="F4702">
        <v>1.28</v>
      </c>
      <c r="G4702">
        <v>1.17</v>
      </c>
      <c r="H4702">
        <v>1.24</v>
      </c>
      <c r="I4702" s="1">
        <v>481000</v>
      </c>
      <c r="J4702" s="1">
        <v>595160</v>
      </c>
      <c r="K4702">
        <v>17</v>
      </c>
      <c r="L4702">
        <v>1.18</v>
      </c>
      <c r="M4702">
        <v>1.2</v>
      </c>
      <c r="N4702" s="1">
        <v>6000000</v>
      </c>
      <c r="O4702">
        <v>1.2</v>
      </c>
      <c r="P4702">
        <v>2.17</v>
      </c>
      <c r="Q4702">
        <v>0.22</v>
      </c>
    </row>
    <row r="4703" spans="1:17" x14ac:dyDescent="0.25">
      <c r="A4703">
        <v>733632</v>
      </c>
      <c r="B4703" t="s">
        <v>6015</v>
      </c>
      <c r="C4703">
        <v>1.77</v>
      </c>
      <c r="D4703">
        <v>0.06</v>
      </c>
      <c r="E4703">
        <v>1.76</v>
      </c>
      <c r="F4703">
        <v>1.81</v>
      </c>
      <c r="G4703">
        <v>1.75</v>
      </c>
      <c r="H4703">
        <v>1.77</v>
      </c>
      <c r="I4703" s="1">
        <v>748000</v>
      </c>
      <c r="J4703" s="1">
        <v>1327330</v>
      </c>
      <c r="K4703">
        <v>22</v>
      </c>
      <c r="L4703">
        <v>1.74</v>
      </c>
      <c r="M4703">
        <v>1.75</v>
      </c>
      <c r="N4703" s="1">
        <v>10000000</v>
      </c>
      <c r="O4703">
        <v>1.77</v>
      </c>
      <c r="P4703">
        <v>2.4500000000000002</v>
      </c>
      <c r="Q4703">
        <v>1.0900000000000001</v>
      </c>
    </row>
    <row r="4704" spans="1:17" x14ac:dyDescent="0.25">
      <c r="A4704">
        <v>733633</v>
      </c>
      <c r="B4704" t="s">
        <v>6016</v>
      </c>
      <c r="C4704">
        <v>1.61</v>
      </c>
      <c r="D4704">
        <v>-0.15</v>
      </c>
      <c r="E4704">
        <v>1.64</v>
      </c>
      <c r="F4704">
        <v>1.67</v>
      </c>
      <c r="G4704">
        <v>1.56</v>
      </c>
      <c r="H4704">
        <v>1.63</v>
      </c>
      <c r="I4704" s="1">
        <v>322000</v>
      </c>
      <c r="J4704" s="1">
        <v>526360</v>
      </c>
      <c r="K4704">
        <v>11</v>
      </c>
      <c r="L4704">
        <v>1.61</v>
      </c>
      <c r="M4704">
        <v>1.64</v>
      </c>
      <c r="N4704" s="1">
        <v>10000000</v>
      </c>
      <c r="O4704">
        <v>1.61</v>
      </c>
      <c r="P4704">
        <v>2.76</v>
      </c>
      <c r="Q4704">
        <v>0.46</v>
      </c>
    </row>
    <row r="4705" spans="1:17" x14ac:dyDescent="0.25">
      <c r="A4705">
        <v>733634</v>
      </c>
      <c r="B4705" t="s">
        <v>6017</v>
      </c>
      <c r="C4705">
        <v>2.8</v>
      </c>
      <c r="D4705">
        <v>0.18</v>
      </c>
      <c r="E4705">
        <v>2.62</v>
      </c>
      <c r="F4705">
        <v>2.8</v>
      </c>
      <c r="G4705">
        <v>2.52</v>
      </c>
      <c r="H4705">
        <v>2.6</v>
      </c>
      <c r="I4705" s="1">
        <v>64000</v>
      </c>
      <c r="J4705" s="1">
        <v>166260</v>
      </c>
      <c r="K4705">
        <v>10</v>
      </c>
      <c r="L4705">
        <v>2.8</v>
      </c>
      <c r="M4705">
        <v>2.84</v>
      </c>
      <c r="N4705" s="1">
        <v>10000000</v>
      </c>
      <c r="O4705">
        <v>2.8</v>
      </c>
      <c r="P4705">
        <v>3.61</v>
      </c>
      <c r="Q4705">
        <v>1.99</v>
      </c>
    </row>
    <row r="4706" spans="1:17" x14ac:dyDescent="0.25">
      <c r="A4706">
        <v>733635</v>
      </c>
      <c r="B4706" t="s">
        <v>6018</v>
      </c>
      <c r="C4706">
        <v>1.1399999999999999</v>
      </c>
      <c r="D4706">
        <v>0.04</v>
      </c>
      <c r="E4706">
        <v>1.17</v>
      </c>
      <c r="F4706">
        <v>1.17</v>
      </c>
      <c r="G4706">
        <v>1.1399999999999999</v>
      </c>
      <c r="H4706">
        <v>1.1499999999999999</v>
      </c>
      <c r="I4706" s="1">
        <v>32000</v>
      </c>
      <c r="J4706" s="1">
        <v>36740</v>
      </c>
      <c r="K4706">
        <v>3</v>
      </c>
      <c r="L4706">
        <v>1.1299999999999999</v>
      </c>
      <c r="M4706">
        <v>1.1599999999999999</v>
      </c>
      <c r="N4706" s="1">
        <v>10000000</v>
      </c>
      <c r="O4706">
        <v>1.1399999999999999</v>
      </c>
      <c r="P4706">
        <v>1.61</v>
      </c>
      <c r="Q4706">
        <v>0.67</v>
      </c>
    </row>
    <row r="4707" spans="1:17" x14ac:dyDescent="0.25">
      <c r="A4707">
        <v>733636</v>
      </c>
      <c r="B4707" t="s">
        <v>6019</v>
      </c>
      <c r="C4707">
        <v>1.53</v>
      </c>
      <c r="D4707">
        <v>-0.06</v>
      </c>
      <c r="E4707">
        <v>1.64</v>
      </c>
      <c r="F4707">
        <v>1.65</v>
      </c>
      <c r="G4707">
        <v>1.53</v>
      </c>
      <c r="H4707">
        <v>1.63</v>
      </c>
      <c r="I4707" s="1">
        <v>146000</v>
      </c>
      <c r="J4707" s="1">
        <v>237780</v>
      </c>
      <c r="K4707">
        <v>8</v>
      </c>
      <c r="L4707">
        <v>1.52</v>
      </c>
      <c r="M4707">
        <v>1.53</v>
      </c>
      <c r="N4707" s="1">
        <v>5000000</v>
      </c>
      <c r="O4707">
        <v>1.53</v>
      </c>
      <c r="P4707">
        <v>2.29</v>
      </c>
      <c r="Q4707">
        <v>0.77</v>
      </c>
    </row>
    <row r="4708" spans="1:17" x14ac:dyDescent="0.25">
      <c r="A4708">
        <v>733637</v>
      </c>
      <c r="B4708" t="s">
        <v>6020</v>
      </c>
      <c r="C4708">
        <v>1.43</v>
      </c>
      <c r="D4708">
        <v>0.3</v>
      </c>
      <c r="E4708">
        <v>1.1299999999999999</v>
      </c>
      <c r="F4708">
        <v>1.47</v>
      </c>
      <c r="G4708">
        <v>1.1299999999999999</v>
      </c>
      <c r="H4708">
        <v>1.38</v>
      </c>
      <c r="I4708" s="1">
        <v>460000</v>
      </c>
      <c r="J4708" s="1">
        <v>632810</v>
      </c>
      <c r="K4708">
        <v>29</v>
      </c>
      <c r="L4708">
        <v>1.42</v>
      </c>
      <c r="M4708">
        <v>1.43</v>
      </c>
      <c r="N4708" s="1">
        <v>5000000</v>
      </c>
      <c r="O4708">
        <v>1.43</v>
      </c>
      <c r="P4708">
        <v>2.33</v>
      </c>
      <c r="Q4708">
        <v>0.53</v>
      </c>
    </row>
    <row r="4709" spans="1:17" x14ac:dyDescent="0.25">
      <c r="A4709">
        <v>733638</v>
      </c>
      <c r="B4709" t="s">
        <v>6021</v>
      </c>
      <c r="C4709">
        <v>0.82</v>
      </c>
      <c r="D4709">
        <v>7.0000000000000007E-2</v>
      </c>
      <c r="E4709">
        <v>0.75</v>
      </c>
      <c r="F4709">
        <v>0.84</v>
      </c>
      <c r="G4709">
        <v>0.73</v>
      </c>
      <c r="H4709">
        <v>0.78</v>
      </c>
      <c r="I4709" s="1">
        <v>469000</v>
      </c>
      <c r="J4709" s="1">
        <v>364120</v>
      </c>
      <c r="K4709">
        <v>7</v>
      </c>
      <c r="L4709">
        <v>0.78</v>
      </c>
      <c r="M4709">
        <v>0.8</v>
      </c>
      <c r="N4709" s="1">
        <v>10000000</v>
      </c>
      <c r="O4709">
        <v>0.82</v>
      </c>
      <c r="P4709">
        <v>1.66</v>
      </c>
      <c r="Q4709">
        <v>0.01</v>
      </c>
    </row>
    <row r="4710" spans="1:17" x14ac:dyDescent="0.25">
      <c r="A4710">
        <v>733639</v>
      </c>
      <c r="B4710" t="s">
        <v>6022</v>
      </c>
      <c r="C4710">
        <v>1.2</v>
      </c>
      <c r="D4710">
        <v>7.0000000000000007E-2</v>
      </c>
      <c r="E4710">
        <v>1.07</v>
      </c>
      <c r="F4710">
        <v>1.24</v>
      </c>
      <c r="G4710">
        <v>1.07</v>
      </c>
      <c r="H4710">
        <v>1.1299999999999999</v>
      </c>
      <c r="I4710" s="1">
        <v>1170000</v>
      </c>
      <c r="J4710" s="1">
        <v>1320550</v>
      </c>
      <c r="K4710">
        <v>24</v>
      </c>
      <c r="L4710">
        <v>1.1499999999999999</v>
      </c>
      <c r="M4710">
        <v>1.17</v>
      </c>
      <c r="N4710" s="1">
        <v>7000000</v>
      </c>
      <c r="O4710">
        <v>1.2</v>
      </c>
      <c r="P4710">
        <v>1.99</v>
      </c>
      <c r="Q4710">
        <v>0.41</v>
      </c>
    </row>
    <row r="4711" spans="1:17" x14ac:dyDescent="0.25">
      <c r="A4711">
        <v>733640</v>
      </c>
      <c r="B4711" t="s">
        <v>6023</v>
      </c>
      <c r="C4711">
        <v>1.33</v>
      </c>
      <c r="D4711">
        <v>0.04</v>
      </c>
      <c r="E4711">
        <v>1.32</v>
      </c>
      <c r="F4711">
        <v>1.36</v>
      </c>
      <c r="G4711">
        <v>1.32</v>
      </c>
      <c r="H4711">
        <v>1.36</v>
      </c>
      <c r="I4711" s="1">
        <v>183000</v>
      </c>
      <c r="J4711" s="1">
        <v>248160</v>
      </c>
      <c r="K4711">
        <v>7</v>
      </c>
      <c r="L4711">
        <v>1.31</v>
      </c>
      <c r="M4711">
        <v>1.32</v>
      </c>
      <c r="N4711" s="1">
        <v>5000000</v>
      </c>
      <c r="O4711">
        <v>1.33</v>
      </c>
      <c r="P4711">
        <v>2.38</v>
      </c>
      <c r="Q4711">
        <v>0.28000000000000003</v>
      </c>
    </row>
    <row r="4712" spans="1:17" x14ac:dyDescent="0.25">
      <c r="A4712">
        <v>733641</v>
      </c>
      <c r="B4712" t="s">
        <v>6024</v>
      </c>
      <c r="C4712">
        <v>2.17</v>
      </c>
      <c r="D4712">
        <v>0.3</v>
      </c>
      <c r="E4712">
        <v>1.82</v>
      </c>
      <c r="F4712">
        <v>2.2200000000000002</v>
      </c>
      <c r="G4712">
        <v>1.82</v>
      </c>
      <c r="H4712">
        <v>2</v>
      </c>
      <c r="I4712" s="1">
        <v>966000</v>
      </c>
      <c r="J4712" s="1">
        <v>1930140</v>
      </c>
      <c r="K4712">
        <v>25</v>
      </c>
      <c r="L4712">
        <v>2.16</v>
      </c>
      <c r="M4712">
        <v>2.21</v>
      </c>
      <c r="N4712" s="1">
        <v>5000000</v>
      </c>
      <c r="O4712">
        <v>2.17</v>
      </c>
      <c r="P4712">
        <v>3.16</v>
      </c>
      <c r="Q4712">
        <v>1.18</v>
      </c>
    </row>
    <row r="4713" spans="1:17" x14ac:dyDescent="0.25">
      <c r="A4713">
        <v>733642</v>
      </c>
      <c r="B4713" t="s">
        <v>6025</v>
      </c>
      <c r="C4713">
        <v>1.93</v>
      </c>
      <c r="D4713">
        <v>-0.09</v>
      </c>
      <c r="E4713">
        <v>2.0499999999999998</v>
      </c>
      <c r="F4713">
        <v>2.0499999999999998</v>
      </c>
      <c r="G4713">
        <v>1.93</v>
      </c>
      <c r="H4713">
        <v>2.0499999999999998</v>
      </c>
      <c r="I4713" s="1">
        <v>534000</v>
      </c>
      <c r="J4713" s="1">
        <v>1092630</v>
      </c>
      <c r="K4713">
        <v>8</v>
      </c>
      <c r="L4713">
        <v>1.94</v>
      </c>
      <c r="M4713">
        <v>1.97</v>
      </c>
      <c r="N4713" s="1">
        <v>5000000</v>
      </c>
      <c r="O4713">
        <v>1.93</v>
      </c>
      <c r="P4713">
        <v>3.11</v>
      </c>
      <c r="Q4713">
        <v>0.75</v>
      </c>
    </row>
    <row r="4714" spans="1:17" x14ac:dyDescent="0.25">
      <c r="A4714">
        <v>733643</v>
      </c>
      <c r="B4714" t="s">
        <v>6026</v>
      </c>
      <c r="C4714">
        <v>1.28</v>
      </c>
      <c r="D4714">
        <v>7.0000000000000007E-2</v>
      </c>
      <c r="E4714">
        <v>1.31</v>
      </c>
      <c r="F4714">
        <v>1.34</v>
      </c>
      <c r="G4714">
        <v>1.25</v>
      </c>
      <c r="H4714">
        <v>1.3</v>
      </c>
      <c r="I4714" s="1">
        <v>381000</v>
      </c>
      <c r="J4714" s="1">
        <v>493870</v>
      </c>
      <c r="K4714">
        <v>14</v>
      </c>
      <c r="L4714">
        <v>1.27</v>
      </c>
      <c r="M4714">
        <v>1.28</v>
      </c>
      <c r="N4714" s="1">
        <v>10000000</v>
      </c>
      <c r="O4714">
        <v>1.28</v>
      </c>
      <c r="P4714">
        <v>1.91</v>
      </c>
      <c r="Q4714">
        <v>0.65</v>
      </c>
    </row>
    <row r="4715" spans="1:17" x14ac:dyDescent="0.25">
      <c r="A4715">
        <v>733644</v>
      </c>
      <c r="B4715" t="s">
        <v>6027</v>
      </c>
      <c r="C4715">
        <v>1.43</v>
      </c>
      <c r="D4715">
        <v>-0.03</v>
      </c>
      <c r="E4715">
        <v>1.47</v>
      </c>
      <c r="F4715">
        <v>1.47</v>
      </c>
      <c r="G4715">
        <v>1.43</v>
      </c>
      <c r="H4715">
        <v>1.46</v>
      </c>
      <c r="I4715" s="1">
        <v>17000</v>
      </c>
      <c r="J4715" s="1">
        <v>24840</v>
      </c>
      <c r="K4715">
        <v>5</v>
      </c>
      <c r="L4715">
        <v>1.39</v>
      </c>
      <c r="M4715">
        <v>1.4</v>
      </c>
      <c r="N4715" s="1">
        <v>5000000</v>
      </c>
      <c r="O4715">
        <v>1.43</v>
      </c>
      <c r="P4715">
        <v>2.19</v>
      </c>
      <c r="Q4715">
        <v>0.67</v>
      </c>
    </row>
    <row r="4716" spans="1:17" x14ac:dyDescent="0.25">
      <c r="A4716">
        <v>733645</v>
      </c>
      <c r="B4716" t="s">
        <v>6028</v>
      </c>
      <c r="C4716">
        <v>1.07</v>
      </c>
      <c r="D4716">
        <v>0.13</v>
      </c>
      <c r="E4716">
        <v>0.94</v>
      </c>
      <c r="F4716">
        <v>1.07</v>
      </c>
      <c r="G4716">
        <v>0.94</v>
      </c>
      <c r="H4716">
        <v>1</v>
      </c>
      <c r="I4716" s="1">
        <v>20000</v>
      </c>
      <c r="J4716" s="1">
        <v>20100</v>
      </c>
      <c r="K4716">
        <v>2</v>
      </c>
      <c r="L4716">
        <v>1</v>
      </c>
      <c r="M4716">
        <v>1.01</v>
      </c>
      <c r="N4716" s="1">
        <v>10000000</v>
      </c>
      <c r="O4716">
        <v>1.07</v>
      </c>
      <c r="P4716">
        <v>1.82</v>
      </c>
      <c r="Q4716">
        <v>0.32</v>
      </c>
    </row>
    <row r="4717" spans="1:17" x14ac:dyDescent="0.25">
      <c r="A4717">
        <v>733646</v>
      </c>
      <c r="B4717" t="s">
        <v>6029</v>
      </c>
      <c r="C4717">
        <v>1.21</v>
      </c>
      <c r="D4717">
        <v>0.03</v>
      </c>
      <c r="E4717">
        <v>1.21</v>
      </c>
      <c r="F4717">
        <v>1.26</v>
      </c>
      <c r="G4717">
        <v>1.21</v>
      </c>
      <c r="H4717">
        <v>1.23</v>
      </c>
      <c r="I4717" s="1">
        <v>573000</v>
      </c>
      <c r="J4717" s="1">
        <v>707030</v>
      </c>
      <c r="K4717">
        <v>19</v>
      </c>
      <c r="L4717">
        <v>1.2</v>
      </c>
      <c r="M4717">
        <v>1.21</v>
      </c>
      <c r="N4717" s="1">
        <v>5000000</v>
      </c>
      <c r="O4717">
        <v>1.21</v>
      </c>
      <c r="P4717">
        <v>1.63</v>
      </c>
      <c r="Q4717">
        <v>0.79</v>
      </c>
    </row>
    <row r="4718" spans="1:17" x14ac:dyDescent="0.25">
      <c r="A4718">
        <v>733647</v>
      </c>
      <c r="B4718" t="s">
        <v>6030</v>
      </c>
      <c r="C4718">
        <v>0.74</v>
      </c>
      <c r="D4718">
        <v>0</v>
      </c>
      <c r="E4718">
        <v>0.75</v>
      </c>
      <c r="F4718">
        <v>0.75</v>
      </c>
      <c r="G4718">
        <v>0.71</v>
      </c>
      <c r="H4718">
        <v>0.73</v>
      </c>
      <c r="I4718" s="1">
        <v>974000</v>
      </c>
      <c r="J4718" s="1">
        <v>713530</v>
      </c>
      <c r="K4718">
        <v>15</v>
      </c>
      <c r="L4718">
        <v>0.74</v>
      </c>
      <c r="M4718">
        <v>0.76</v>
      </c>
      <c r="N4718" s="1">
        <v>5000000</v>
      </c>
      <c r="O4718">
        <v>0.74</v>
      </c>
      <c r="P4718">
        <v>1.74</v>
      </c>
      <c r="Q4718">
        <v>0.01</v>
      </c>
    </row>
    <row r="4719" spans="1:17" x14ac:dyDescent="0.25">
      <c r="A4719">
        <v>733648</v>
      </c>
      <c r="B4719" t="s">
        <v>6031</v>
      </c>
      <c r="C4719">
        <v>1.03</v>
      </c>
      <c r="D4719">
        <v>0.01</v>
      </c>
      <c r="E4719">
        <v>1.02</v>
      </c>
      <c r="F4719">
        <v>1.0900000000000001</v>
      </c>
      <c r="G4719">
        <v>1.01</v>
      </c>
      <c r="H4719">
        <v>1.03</v>
      </c>
      <c r="I4719" s="1">
        <v>625000</v>
      </c>
      <c r="J4719" s="1">
        <v>645470</v>
      </c>
      <c r="K4719">
        <v>12</v>
      </c>
      <c r="L4719">
        <v>1.02</v>
      </c>
      <c r="M4719">
        <v>1.03</v>
      </c>
      <c r="N4719" s="1">
        <v>5000000</v>
      </c>
      <c r="O4719">
        <v>1.03</v>
      </c>
      <c r="P4719">
        <v>1.61</v>
      </c>
      <c r="Q4719">
        <v>0.45</v>
      </c>
    </row>
    <row r="4720" spans="1:17" x14ac:dyDescent="0.25">
      <c r="A4720">
        <v>733649</v>
      </c>
      <c r="B4720" t="s">
        <v>6032</v>
      </c>
      <c r="C4720">
        <v>0.93</v>
      </c>
      <c r="D4720">
        <v>-0.02</v>
      </c>
      <c r="E4720">
        <v>0.93</v>
      </c>
      <c r="F4720">
        <v>0.95</v>
      </c>
      <c r="G4720">
        <v>0.91</v>
      </c>
      <c r="H4720">
        <v>0.93</v>
      </c>
      <c r="I4720" s="1">
        <v>550000</v>
      </c>
      <c r="J4720" s="1">
        <v>513430</v>
      </c>
      <c r="K4720">
        <v>13</v>
      </c>
      <c r="L4720">
        <v>0.92</v>
      </c>
      <c r="M4720">
        <v>0.93</v>
      </c>
      <c r="N4720" s="1">
        <v>10000000</v>
      </c>
      <c r="O4720">
        <v>0.93</v>
      </c>
      <c r="P4720">
        <v>1.65</v>
      </c>
      <c r="Q4720">
        <v>0.21</v>
      </c>
    </row>
    <row r="4721" spans="1:17" x14ac:dyDescent="0.25">
      <c r="A4721">
        <v>733650</v>
      </c>
      <c r="B4721" t="s">
        <v>6033</v>
      </c>
      <c r="C4721">
        <v>0.91</v>
      </c>
      <c r="D4721">
        <v>-0.01</v>
      </c>
      <c r="E4721">
        <v>0.91</v>
      </c>
      <c r="F4721">
        <v>0.91</v>
      </c>
      <c r="G4721">
        <v>0.91</v>
      </c>
      <c r="H4721">
        <v>0.91</v>
      </c>
      <c r="I4721" s="1">
        <v>71000</v>
      </c>
      <c r="J4721" s="1">
        <v>64610</v>
      </c>
      <c r="K4721">
        <v>1</v>
      </c>
      <c r="L4721">
        <v>0.9</v>
      </c>
      <c r="M4721">
        <v>0.91</v>
      </c>
      <c r="N4721" s="1">
        <v>10000000</v>
      </c>
      <c r="O4721">
        <v>0.91</v>
      </c>
      <c r="P4721">
        <v>1.53</v>
      </c>
      <c r="Q4721">
        <v>0.28999999999999998</v>
      </c>
    </row>
    <row r="4722" spans="1:17" x14ac:dyDescent="0.25">
      <c r="A4722">
        <v>733651</v>
      </c>
      <c r="B4722" t="s">
        <v>6034</v>
      </c>
      <c r="C4722">
        <v>1.29</v>
      </c>
      <c r="D4722">
        <v>0.03</v>
      </c>
      <c r="E4722">
        <v>1.29</v>
      </c>
      <c r="F4722">
        <v>1.29</v>
      </c>
      <c r="G4722">
        <v>1.29</v>
      </c>
      <c r="H4722">
        <v>1.29</v>
      </c>
      <c r="I4722" s="1">
        <v>11000</v>
      </c>
      <c r="J4722" s="1">
        <v>14190</v>
      </c>
      <c r="K4722">
        <v>2</v>
      </c>
      <c r="L4722">
        <v>1.29</v>
      </c>
      <c r="M4722">
        <v>1.31</v>
      </c>
      <c r="N4722" s="1">
        <v>20000000</v>
      </c>
      <c r="O4722">
        <v>1.29</v>
      </c>
      <c r="P4722">
        <v>2.39</v>
      </c>
      <c r="Q4722">
        <v>0.17</v>
      </c>
    </row>
    <row r="4723" spans="1:17" x14ac:dyDescent="0.25">
      <c r="A4723">
        <v>733652</v>
      </c>
      <c r="B4723" t="s">
        <v>6035</v>
      </c>
      <c r="C4723">
        <v>3.3</v>
      </c>
      <c r="D4723">
        <v>-0.38</v>
      </c>
      <c r="E4723">
        <v>3.41</v>
      </c>
      <c r="F4723">
        <v>3.41</v>
      </c>
      <c r="G4723">
        <v>3.3</v>
      </c>
      <c r="H4723">
        <v>3.41</v>
      </c>
      <c r="I4723" s="1">
        <v>57000</v>
      </c>
      <c r="J4723" s="1">
        <v>194220</v>
      </c>
      <c r="K4723">
        <v>3</v>
      </c>
      <c r="L4723">
        <v>3.29</v>
      </c>
      <c r="M4723">
        <v>3.3</v>
      </c>
      <c r="N4723" s="1">
        <v>20000000</v>
      </c>
      <c r="O4723">
        <v>3.3</v>
      </c>
      <c r="P4723">
        <v>4.59</v>
      </c>
      <c r="Q4723">
        <v>2.0099999999999998</v>
      </c>
    </row>
    <row r="4724" spans="1:17" x14ac:dyDescent="0.25">
      <c r="A4724">
        <v>733653</v>
      </c>
      <c r="B4724" t="s">
        <v>6036</v>
      </c>
      <c r="C4724">
        <v>1.28</v>
      </c>
      <c r="D4724">
        <v>-0.08</v>
      </c>
      <c r="E4724">
        <v>1.41</v>
      </c>
      <c r="F4724">
        <v>1.44</v>
      </c>
      <c r="G4724">
        <v>1.26</v>
      </c>
      <c r="H4724">
        <v>1.36</v>
      </c>
      <c r="I4724" s="1">
        <v>779000</v>
      </c>
      <c r="J4724" s="1">
        <v>1057390</v>
      </c>
      <c r="K4724">
        <v>20</v>
      </c>
      <c r="L4724">
        <v>1.29</v>
      </c>
      <c r="M4724">
        <v>1.31</v>
      </c>
      <c r="N4724" s="1">
        <v>5660000</v>
      </c>
      <c r="O4724">
        <v>1.28</v>
      </c>
      <c r="P4724">
        <v>2.13</v>
      </c>
      <c r="Q4724">
        <v>0.43</v>
      </c>
    </row>
    <row r="4725" spans="1:17" x14ac:dyDescent="0.25">
      <c r="A4725">
        <v>733654</v>
      </c>
      <c r="B4725" t="s">
        <v>6037</v>
      </c>
      <c r="C4725">
        <v>1.08</v>
      </c>
      <c r="D4725">
        <v>-0.04</v>
      </c>
      <c r="E4725">
        <v>1.1100000000000001</v>
      </c>
      <c r="F4725">
        <v>1.1299999999999999</v>
      </c>
      <c r="G4725">
        <v>1.05</v>
      </c>
      <c r="H4725">
        <v>1.1200000000000001</v>
      </c>
      <c r="I4725" s="1">
        <v>290000</v>
      </c>
      <c r="J4725" s="1">
        <v>324080</v>
      </c>
      <c r="K4725">
        <v>13</v>
      </c>
      <c r="L4725">
        <v>1.06</v>
      </c>
      <c r="M4725">
        <v>1.07</v>
      </c>
      <c r="N4725" s="1">
        <v>10000000</v>
      </c>
      <c r="O4725">
        <v>1.08</v>
      </c>
      <c r="P4725">
        <v>1.64</v>
      </c>
      <c r="Q4725">
        <v>0.52</v>
      </c>
    </row>
    <row r="4726" spans="1:17" x14ac:dyDescent="0.25">
      <c r="A4726">
        <v>733655</v>
      </c>
      <c r="B4726" t="s">
        <v>6038</v>
      </c>
      <c r="C4726">
        <v>1.97</v>
      </c>
      <c r="D4726">
        <v>-7.0000000000000007E-2</v>
      </c>
      <c r="E4726">
        <v>2.09</v>
      </c>
      <c r="F4726">
        <v>2.09</v>
      </c>
      <c r="G4726">
        <v>1.97</v>
      </c>
      <c r="H4726">
        <v>2.02</v>
      </c>
      <c r="I4726" s="1">
        <v>335000</v>
      </c>
      <c r="J4726" s="1">
        <v>676970</v>
      </c>
      <c r="K4726">
        <v>13</v>
      </c>
      <c r="L4726">
        <v>1.96</v>
      </c>
      <c r="M4726">
        <v>1.98</v>
      </c>
      <c r="N4726" s="1">
        <v>6000000</v>
      </c>
      <c r="O4726">
        <v>1.97</v>
      </c>
      <c r="P4726">
        <v>2.98</v>
      </c>
      <c r="Q4726">
        <v>0.96</v>
      </c>
    </row>
    <row r="4727" spans="1:17" x14ac:dyDescent="0.25">
      <c r="A4727">
        <v>733656</v>
      </c>
      <c r="B4727" t="s">
        <v>6039</v>
      </c>
      <c r="C4727">
        <v>2.2000000000000002</v>
      </c>
      <c r="D4727">
        <v>0.12</v>
      </c>
      <c r="E4727">
        <v>2.0099999999999998</v>
      </c>
      <c r="F4727">
        <v>2.2000000000000002</v>
      </c>
      <c r="G4727">
        <v>1.95</v>
      </c>
      <c r="H4727">
        <v>2.02</v>
      </c>
      <c r="I4727" s="1">
        <v>150000</v>
      </c>
      <c r="J4727" s="1">
        <v>302300</v>
      </c>
      <c r="K4727">
        <v>9</v>
      </c>
      <c r="L4727">
        <v>2.2000000000000002</v>
      </c>
      <c r="M4727">
        <v>2.6</v>
      </c>
      <c r="N4727" s="1">
        <v>5000000</v>
      </c>
      <c r="O4727">
        <v>2.2000000000000002</v>
      </c>
      <c r="P4727">
        <v>2.83</v>
      </c>
      <c r="Q4727">
        <v>1.57</v>
      </c>
    </row>
    <row r="4728" spans="1:17" x14ac:dyDescent="0.25">
      <c r="A4728">
        <v>733657</v>
      </c>
      <c r="B4728" t="s">
        <v>6040</v>
      </c>
      <c r="C4728">
        <v>0.91</v>
      </c>
      <c r="D4728">
        <v>-0.03</v>
      </c>
      <c r="E4728">
        <v>0.94</v>
      </c>
      <c r="F4728">
        <v>0.98</v>
      </c>
      <c r="G4728">
        <v>0.91</v>
      </c>
      <c r="H4728">
        <v>0.95</v>
      </c>
      <c r="I4728" s="1">
        <v>1687000</v>
      </c>
      <c r="J4728" s="1">
        <v>1594820</v>
      </c>
      <c r="K4728">
        <v>85</v>
      </c>
      <c r="L4728">
        <v>0.9</v>
      </c>
      <c r="M4728">
        <v>0.94</v>
      </c>
      <c r="N4728" s="1">
        <v>15000000</v>
      </c>
      <c r="O4728">
        <v>0.91</v>
      </c>
      <c r="P4728">
        <v>1.34</v>
      </c>
      <c r="Q4728">
        <v>0.48</v>
      </c>
    </row>
    <row r="4729" spans="1:17" x14ac:dyDescent="0.25">
      <c r="A4729">
        <v>733658</v>
      </c>
      <c r="B4729" t="s">
        <v>6041</v>
      </c>
      <c r="C4729">
        <v>2.16</v>
      </c>
      <c r="D4729">
        <v>0.16</v>
      </c>
      <c r="E4729">
        <v>2.14</v>
      </c>
      <c r="F4729">
        <v>2.16</v>
      </c>
      <c r="G4729">
        <v>2.14</v>
      </c>
      <c r="H4729">
        <v>2.14</v>
      </c>
      <c r="I4729" s="1">
        <v>181000</v>
      </c>
      <c r="J4729" s="1">
        <v>387740</v>
      </c>
      <c r="K4729">
        <v>3</v>
      </c>
      <c r="L4729">
        <v>2.0099999999999998</v>
      </c>
      <c r="M4729">
        <v>2.0499999999999998</v>
      </c>
      <c r="N4729" s="1">
        <v>8000000</v>
      </c>
      <c r="O4729">
        <v>2.16</v>
      </c>
      <c r="P4729">
        <v>2.95</v>
      </c>
      <c r="Q4729">
        <v>1.37</v>
      </c>
    </row>
    <row r="4730" spans="1:17" x14ac:dyDescent="0.25">
      <c r="A4730">
        <v>733659</v>
      </c>
      <c r="B4730" t="s">
        <v>6042</v>
      </c>
      <c r="C4730">
        <v>1.32</v>
      </c>
      <c r="D4730">
        <v>0.03</v>
      </c>
      <c r="E4730">
        <v>1.31</v>
      </c>
      <c r="F4730">
        <v>1.32</v>
      </c>
      <c r="G4730">
        <v>1.28</v>
      </c>
      <c r="H4730">
        <v>1.3</v>
      </c>
      <c r="I4730" s="1">
        <v>236000</v>
      </c>
      <c r="J4730" s="1">
        <v>307900</v>
      </c>
      <c r="K4730">
        <v>7</v>
      </c>
      <c r="L4730">
        <v>1.29</v>
      </c>
      <c r="M4730">
        <v>1.3</v>
      </c>
      <c r="N4730" s="1">
        <v>10000000</v>
      </c>
      <c r="O4730">
        <v>1.32</v>
      </c>
      <c r="P4730">
        <v>2.31</v>
      </c>
      <c r="Q4730">
        <v>0.33</v>
      </c>
    </row>
    <row r="4731" spans="1:17" x14ac:dyDescent="0.25">
      <c r="A4731">
        <v>733660</v>
      </c>
      <c r="B4731" t="s">
        <v>6043</v>
      </c>
      <c r="C4731">
        <v>1.58</v>
      </c>
      <c r="D4731">
        <v>0.06</v>
      </c>
      <c r="E4731">
        <v>1.53</v>
      </c>
      <c r="F4731">
        <v>1.59</v>
      </c>
      <c r="G4731">
        <v>1.52</v>
      </c>
      <c r="H4731">
        <v>1.54</v>
      </c>
      <c r="I4731" s="1">
        <v>266000</v>
      </c>
      <c r="J4731" s="1">
        <v>410960</v>
      </c>
      <c r="K4731">
        <v>6</v>
      </c>
      <c r="L4731">
        <v>1.52</v>
      </c>
      <c r="M4731">
        <v>1.55</v>
      </c>
      <c r="N4731" s="1">
        <v>10000000</v>
      </c>
      <c r="O4731">
        <v>1.58</v>
      </c>
      <c r="P4731">
        <v>2.27</v>
      </c>
      <c r="Q4731">
        <v>0.89</v>
      </c>
    </row>
    <row r="4732" spans="1:17" x14ac:dyDescent="0.25">
      <c r="A4732">
        <v>733661</v>
      </c>
      <c r="B4732" t="s">
        <v>6044</v>
      </c>
      <c r="C4732">
        <v>0.88</v>
      </c>
      <c r="D4732">
        <v>0.04</v>
      </c>
      <c r="E4732">
        <v>0.88</v>
      </c>
      <c r="F4732">
        <v>0.88</v>
      </c>
      <c r="G4732">
        <v>0.86</v>
      </c>
      <c r="H4732">
        <v>0.87</v>
      </c>
      <c r="I4732" s="1">
        <v>670000</v>
      </c>
      <c r="J4732" s="1">
        <v>583660</v>
      </c>
      <c r="K4732">
        <v>20</v>
      </c>
      <c r="L4732">
        <v>0.86</v>
      </c>
      <c r="M4732">
        <v>0.88</v>
      </c>
      <c r="N4732" s="1">
        <v>10000000</v>
      </c>
      <c r="O4732">
        <v>0.88</v>
      </c>
      <c r="P4732">
        <v>2.08</v>
      </c>
      <c r="Q4732">
        <v>0.01</v>
      </c>
    </row>
    <row r="4733" spans="1:17" x14ac:dyDescent="0.25">
      <c r="A4733">
        <v>733662</v>
      </c>
      <c r="B4733" t="s">
        <v>6045</v>
      </c>
      <c r="C4733">
        <v>1.33</v>
      </c>
      <c r="D4733">
        <v>0.01</v>
      </c>
      <c r="E4733">
        <v>1.31</v>
      </c>
      <c r="F4733">
        <v>1.33</v>
      </c>
      <c r="G4733">
        <v>1.29</v>
      </c>
      <c r="H4733">
        <v>1.29</v>
      </c>
      <c r="I4733" s="1">
        <v>205000</v>
      </c>
      <c r="J4733" s="1">
        <v>265370</v>
      </c>
      <c r="K4733">
        <v>10</v>
      </c>
      <c r="L4733">
        <v>1.33</v>
      </c>
      <c r="M4733">
        <v>1.35</v>
      </c>
      <c r="N4733" s="1">
        <v>10000000</v>
      </c>
      <c r="O4733">
        <v>1.33</v>
      </c>
      <c r="P4733">
        <v>2.23</v>
      </c>
      <c r="Q4733">
        <v>0.43</v>
      </c>
    </row>
    <row r="4734" spans="1:17" x14ac:dyDescent="0.25">
      <c r="A4734">
        <v>733663</v>
      </c>
      <c r="B4734" t="s">
        <v>6046</v>
      </c>
      <c r="C4734" t="s">
        <v>78</v>
      </c>
      <c r="D4734" t="s">
        <v>78</v>
      </c>
      <c r="E4734" t="s">
        <v>78</v>
      </c>
      <c r="F4734" t="s">
        <v>78</v>
      </c>
      <c r="G4734" t="s">
        <v>78</v>
      </c>
      <c r="H4734">
        <v>2.89</v>
      </c>
      <c r="I4734" s="1">
        <v>0</v>
      </c>
      <c r="J4734" s="1">
        <v>0</v>
      </c>
      <c r="K4734">
        <v>0</v>
      </c>
      <c r="L4734">
        <v>3.44</v>
      </c>
      <c r="M4734">
        <v>0</v>
      </c>
      <c r="N4734" s="1">
        <v>10000000</v>
      </c>
      <c r="O4734">
        <v>3.53</v>
      </c>
      <c r="P4734">
        <v>4.5199999999999996</v>
      </c>
      <c r="Q4734">
        <v>2.54</v>
      </c>
    </row>
    <row r="4735" spans="1:17" x14ac:dyDescent="0.25">
      <c r="A4735">
        <v>733664</v>
      </c>
      <c r="B4735" t="s">
        <v>6047</v>
      </c>
      <c r="C4735">
        <v>0.95</v>
      </c>
      <c r="D4735">
        <v>-0.03</v>
      </c>
      <c r="E4735">
        <v>0.96</v>
      </c>
      <c r="F4735">
        <v>0.97</v>
      </c>
      <c r="G4735">
        <v>0.95</v>
      </c>
      <c r="H4735">
        <v>0.96</v>
      </c>
      <c r="I4735" s="1">
        <v>160000</v>
      </c>
      <c r="J4735" s="1">
        <v>153700</v>
      </c>
      <c r="K4735">
        <v>4</v>
      </c>
      <c r="L4735">
        <v>0.94</v>
      </c>
      <c r="M4735">
        <v>0.95</v>
      </c>
      <c r="N4735" s="1">
        <v>5000000</v>
      </c>
      <c r="O4735">
        <v>0.95</v>
      </c>
      <c r="P4735">
        <v>1.82</v>
      </c>
      <c r="Q4735">
        <v>0.08</v>
      </c>
    </row>
    <row r="4736" spans="1:17" x14ac:dyDescent="0.25">
      <c r="A4736">
        <v>733665</v>
      </c>
      <c r="B4736" t="s">
        <v>6048</v>
      </c>
      <c r="C4736">
        <v>1.3</v>
      </c>
      <c r="D4736">
        <v>0.03</v>
      </c>
      <c r="E4736">
        <v>1.43</v>
      </c>
      <c r="F4736">
        <v>1.43</v>
      </c>
      <c r="G4736">
        <v>1.3</v>
      </c>
      <c r="H4736">
        <v>1.31</v>
      </c>
      <c r="I4736" s="1">
        <v>105000</v>
      </c>
      <c r="J4736" s="1">
        <v>137150</v>
      </c>
      <c r="K4736">
        <v>2</v>
      </c>
      <c r="L4736">
        <v>1.3</v>
      </c>
      <c r="M4736">
        <v>1.31</v>
      </c>
      <c r="N4736" s="1">
        <v>10000000</v>
      </c>
      <c r="O4736">
        <v>1.3</v>
      </c>
      <c r="P4736">
        <v>1.82</v>
      </c>
      <c r="Q4736">
        <v>0.78</v>
      </c>
    </row>
    <row r="4737" spans="1:17" x14ac:dyDescent="0.25">
      <c r="A4737">
        <v>733666</v>
      </c>
      <c r="B4737" t="s">
        <v>6049</v>
      </c>
      <c r="C4737">
        <v>0.93</v>
      </c>
      <c r="D4737">
        <v>0</v>
      </c>
      <c r="E4737">
        <v>0.94</v>
      </c>
      <c r="F4737">
        <v>0.94</v>
      </c>
      <c r="G4737">
        <v>0.93</v>
      </c>
      <c r="H4737">
        <v>0.93</v>
      </c>
      <c r="I4737" s="1">
        <v>150000</v>
      </c>
      <c r="J4737" s="1">
        <v>140000</v>
      </c>
      <c r="K4737">
        <v>4</v>
      </c>
      <c r="L4737">
        <v>0.92</v>
      </c>
      <c r="M4737">
        <v>0.93</v>
      </c>
      <c r="N4737" s="1">
        <v>5000000</v>
      </c>
      <c r="O4737">
        <v>0.93</v>
      </c>
      <c r="P4737">
        <v>1.34</v>
      </c>
      <c r="Q4737">
        <v>0.52</v>
      </c>
    </row>
    <row r="4738" spans="1:17" x14ac:dyDescent="0.25">
      <c r="A4738">
        <v>733667</v>
      </c>
      <c r="B4738" t="s">
        <v>6050</v>
      </c>
      <c r="C4738">
        <v>0.76</v>
      </c>
      <c r="D4738">
        <v>0.01</v>
      </c>
      <c r="E4738">
        <v>0.76</v>
      </c>
      <c r="F4738">
        <v>0.76</v>
      </c>
      <c r="G4738">
        <v>0.76</v>
      </c>
      <c r="H4738">
        <v>0.76</v>
      </c>
      <c r="I4738" s="1">
        <v>50000</v>
      </c>
      <c r="J4738" s="1">
        <v>38000</v>
      </c>
      <c r="K4738">
        <v>1</v>
      </c>
      <c r="L4738">
        <v>0.75</v>
      </c>
      <c r="M4738">
        <v>0.76</v>
      </c>
      <c r="N4738" s="1">
        <v>6000000</v>
      </c>
      <c r="O4738">
        <v>0.76</v>
      </c>
      <c r="P4738">
        <v>1.31</v>
      </c>
      <c r="Q4738">
        <v>0.21</v>
      </c>
    </row>
    <row r="4739" spans="1:17" x14ac:dyDescent="0.25">
      <c r="A4739">
        <v>733668</v>
      </c>
      <c r="B4739" t="s">
        <v>6051</v>
      </c>
      <c r="C4739">
        <v>0.85</v>
      </c>
      <c r="D4739">
        <v>-0.1</v>
      </c>
      <c r="E4739">
        <v>0.91</v>
      </c>
      <c r="F4739">
        <v>0.91</v>
      </c>
      <c r="G4739">
        <v>0.85</v>
      </c>
      <c r="H4739">
        <v>0.9</v>
      </c>
      <c r="I4739" s="1">
        <v>616000</v>
      </c>
      <c r="J4739" s="1">
        <v>556600</v>
      </c>
      <c r="K4739">
        <v>9</v>
      </c>
      <c r="L4739">
        <v>0.85</v>
      </c>
      <c r="M4739">
        <v>0.86</v>
      </c>
      <c r="N4739" s="1">
        <v>10000000</v>
      </c>
      <c r="O4739">
        <v>0.85</v>
      </c>
      <c r="P4739">
        <v>1.31</v>
      </c>
      <c r="Q4739">
        <v>0.39</v>
      </c>
    </row>
    <row r="4740" spans="1:17" x14ac:dyDescent="0.25">
      <c r="A4740">
        <v>733669</v>
      </c>
      <c r="B4740" t="s">
        <v>6052</v>
      </c>
      <c r="C4740">
        <v>0.68</v>
      </c>
      <c r="D4740">
        <v>-0.02</v>
      </c>
      <c r="E4740">
        <v>0.7</v>
      </c>
      <c r="F4740">
        <v>0.7</v>
      </c>
      <c r="G4740">
        <v>0.68</v>
      </c>
      <c r="H4740">
        <v>0.69</v>
      </c>
      <c r="I4740" s="1">
        <v>70000</v>
      </c>
      <c r="J4740" s="1">
        <v>48600</v>
      </c>
      <c r="K4740">
        <v>2</v>
      </c>
      <c r="L4740">
        <v>0.67</v>
      </c>
      <c r="M4740">
        <v>0.69</v>
      </c>
      <c r="N4740" s="1">
        <v>10000000</v>
      </c>
      <c r="O4740">
        <v>0.68</v>
      </c>
      <c r="P4740">
        <v>1.38</v>
      </c>
      <c r="Q4740">
        <v>0.01</v>
      </c>
    </row>
    <row r="4741" spans="1:17" x14ac:dyDescent="0.25">
      <c r="A4741">
        <v>733670</v>
      </c>
      <c r="B4741" t="s">
        <v>6053</v>
      </c>
      <c r="C4741" t="s">
        <v>78</v>
      </c>
      <c r="D4741" t="s">
        <v>78</v>
      </c>
      <c r="E4741" t="s">
        <v>78</v>
      </c>
      <c r="F4741" t="s">
        <v>78</v>
      </c>
      <c r="G4741" t="s">
        <v>78</v>
      </c>
      <c r="H4741">
        <v>0.63</v>
      </c>
      <c r="I4741" s="1">
        <v>0</v>
      </c>
      <c r="J4741" s="1">
        <v>0</v>
      </c>
      <c r="K4741">
        <v>0</v>
      </c>
      <c r="L4741">
        <v>0.63</v>
      </c>
      <c r="M4741">
        <v>0.64</v>
      </c>
      <c r="N4741" s="1">
        <v>5000000</v>
      </c>
      <c r="O4741">
        <v>0.63</v>
      </c>
      <c r="P4741">
        <v>1.05</v>
      </c>
      <c r="Q4741">
        <v>0.21</v>
      </c>
    </row>
    <row r="4742" spans="1:17" x14ac:dyDescent="0.25">
      <c r="A4742">
        <v>733671</v>
      </c>
      <c r="B4742" t="s">
        <v>6054</v>
      </c>
      <c r="C4742">
        <v>0.89</v>
      </c>
      <c r="D4742">
        <v>0</v>
      </c>
      <c r="E4742">
        <v>0.88</v>
      </c>
      <c r="F4742">
        <v>0.91</v>
      </c>
      <c r="G4742">
        <v>0.88</v>
      </c>
      <c r="H4742">
        <v>0.89</v>
      </c>
      <c r="I4742" s="1">
        <v>100000</v>
      </c>
      <c r="J4742" s="1">
        <v>88560</v>
      </c>
      <c r="K4742">
        <v>4</v>
      </c>
      <c r="L4742">
        <v>0.88</v>
      </c>
      <c r="M4742">
        <v>0.89</v>
      </c>
      <c r="N4742" s="1">
        <v>5000000</v>
      </c>
      <c r="O4742">
        <v>0.89</v>
      </c>
      <c r="P4742">
        <v>1.52</v>
      </c>
      <c r="Q4742">
        <v>0.26</v>
      </c>
    </row>
    <row r="4743" spans="1:17" x14ac:dyDescent="0.25">
      <c r="A4743">
        <v>733672</v>
      </c>
      <c r="B4743" t="s">
        <v>6055</v>
      </c>
      <c r="C4743">
        <v>1.1299999999999999</v>
      </c>
      <c r="D4743">
        <v>0.09</v>
      </c>
      <c r="E4743">
        <v>1.01</v>
      </c>
      <c r="F4743">
        <v>1.1299999999999999</v>
      </c>
      <c r="G4743">
        <v>1</v>
      </c>
      <c r="H4743">
        <v>1.05</v>
      </c>
      <c r="I4743" s="1">
        <v>714000</v>
      </c>
      <c r="J4743" s="1">
        <v>752410</v>
      </c>
      <c r="K4743">
        <v>51</v>
      </c>
      <c r="L4743">
        <v>1.1000000000000001</v>
      </c>
      <c r="M4743">
        <v>1.1299999999999999</v>
      </c>
      <c r="N4743" s="1">
        <v>10000000</v>
      </c>
      <c r="O4743">
        <v>1.1299999999999999</v>
      </c>
      <c r="P4743">
        <v>1.97</v>
      </c>
      <c r="Q4743">
        <v>0.28999999999999998</v>
      </c>
    </row>
    <row r="4744" spans="1:17" x14ac:dyDescent="0.25">
      <c r="A4744">
        <v>733673</v>
      </c>
      <c r="B4744" t="s">
        <v>6056</v>
      </c>
      <c r="C4744">
        <v>1</v>
      </c>
      <c r="D4744">
        <v>0.05</v>
      </c>
      <c r="E4744">
        <v>0.96</v>
      </c>
      <c r="F4744">
        <v>1.04</v>
      </c>
      <c r="G4744">
        <v>0.96</v>
      </c>
      <c r="H4744">
        <v>1.01</v>
      </c>
      <c r="I4744" s="1">
        <v>1044000</v>
      </c>
      <c r="J4744" s="1">
        <v>1054130</v>
      </c>
      <c r="K4744">
        <v>33</v>
      </c>
      <c r="L4744">
        <v>0.99</v>
      </c>
      <c r="M4744">
        <v>1</v>
      </c>
      <c r="N4744" s="1">
        <v>10000000</v>
      </c>
      <c r="O4744">
        <v>1</v>
      </c>
      <c r="P4744">
        <v>1.55</v>
      </c>
      <c r="Q4744">
        <v>0.45</v>
      </c>
    </row>
    <row r="4745" spans="1:17" x14ac:dyDescent="0.25">
      <c r="A4745">
        <v>733674</v>
      </c>
      <c r="B4745" t="s">
        <v>6057</v>
      </c>
      <c r="C4745">
        <v>2.14</v>
      </c>
      <c r="D4745">
        <v>-0.04</v>
      </c>
      <c r="E4745">
        <v>2.2000000000000002</v>
      </c>
      <c r="F4745">
        <v>2.2000000000000002</v>
      </c>
      <c r="G4745">
        <v>2.14</v>
      </c>
      <c r="H4745">
        <v>2.2000000000000002</v>
      </c>
      <c r="I4745" s="1">
        <v>87000</v>
      </c>
      <c r="J4745" s="1">
        <v>191050</v>
      </c>
      <c r="K4745">
        <v>6</v>
      </c>
      <c r="L4745">
        <v>2.17</v>
      </c>
      <c r="M4745">
        <v>2.19</v>
      </c>
      <c r="N4745" s="1">
        <v>5300000</v>
      </c>
      <c r="O4745">
        <v>2.14</v>
      </c>
      <c r="P4745">
        <v>3.01</v>
      </c>
      <c r="Q4745">
        <v>1.27</v>
      </c>
    </row>
    <row r="4746" spans="1:17" x14ac:dyDescent="0.25">
      <c r="A4746">
        <v>733675</v>
      </c>
      <c r="B4746" t="s">
        <v>6058</v>
      </c>
      <c r="C4746">
        <v>1.2</v>
      </c>
      <c r="D4746">
        <v>0.03</v>
      </c>
      <c r="E4746">
        <v>1.22</v>
      </c>
      <c r="F4746">
        <v>1.33</v>
      </c>
      <c r="G4746">
        <v>1.2</v>
      </c>
      <c r="H4746">
        <v>1.29</v>
      </c>
      <c r="I4746" s="1">
        <v>1017000</v>
      </c>
      <c r="J4746" s="1">
        <v>1308360</v>
      </c>
      <c r="K4746">
        <v>23</v>
      </c>
      <c r="L4746">
        <v>1.2</v>
      </c>
      <c r="M4746">
        <v>1.22</v>
      </c>
      <c r="N4746" s="1">
        <v>10000000</v>
      </c>
      <c r="O4746">
        <v>1.2</v>
      </c>
      <c r="P4746">
        <v>2.19</v>
      </c>
      <c r="Q4746">
        <v>0.21</v>
      </c>
    </row>
    <row r="4747" spans="1:17" x14ac:dyDescent="0.25">
      <c r="A4747">
        <v>733676</v>
      </c>
      <c r="B4747" t="s">
        <v>6059</v>
      </c>
      <c r="C4747">
        <v>1.1599999999999999</v>
      </c>
      <c r="D4747">
        <v>0.02</v>
      </c>
      <c r="E4747">
        <v>1.2</v>
      </c>
      <c r="F4747">
        <v>1.21</v>
      </c>
      <c r="G4747">
        <v>1.1499999999999999</v>
      </c>
      <c r="H4747">
        <v>1.18</v>
      </c>
      <c r="I4747" s="1">
        <v>114000</v>
      </c>
      <c r="J4747" s="1">
        <v>134830</v>
      </c>
      <c r="K4747">
        <v>7</v>
      </c>
      <c r="L4747">
        <v>1.1499999999999999</v>
      </c>
      <c r="M4747">
        <v>1.1599999999999999</v>
      </c>
      <c r="N4747" s="1">
        <v>10000000</v>
      </c>
      <c r="O4747">
        <v>1.1599999999999999</v>
      </c>
      <c r="P4747">
        <v>1.7</v>
      </c>
      <c r="Q4747">
        <v>0.62</v>
      </c>
    </row>
    <row r="4748" spans="1:17" x14ac:dyDescent="0.25">
      <c r="A4748">
        <v>733677</v>
      </c>
      <c r="B4748" t="s">
        <v>6060</v>
      </c>
      <c r="C4748">
        <v>1.26</v>
      </c>
      <c r="D4748">
        <v>-0.02</v>
      </c>
      <c r="E4748">
        <v>1.31</v>
      </c>
      <c r="F4748">
        <v>1.36</v>
      </c>
      <c r="G4748">
        <v>1.26</v>
      </c>
      <c r="H4748">
        <v>1.31</v>
      </c>
      <c r="I4748" s="1">
        <v>615000</v>
      </c>
      <c r="J4748" s="1">
        <v>808160</v>
      </c>
      <c r="K4748">
        <v>18</v>
      </c>
      <c r="L4748">
        <v>1.26</v>
      </c>
      <c r="M4748">
        <v>1.27</v>
      </c>
      <c r="N4748" s="1">
        <v>10000000</v>
      </c>
      <c r="O4748">
        <v>1.26</v>
      </c>
      <c r="P4748">
        <v>1.93</v>
      </c>
      <c r="Q4748">
        <v>0.59</v>
      </c>
    </row>
    <row r="4749" spans="1:17" x14ac:dyDescent="0.25">
      <c r="A4749">
        <v>733678</v>
      </c>
      <c r="B4749" t="s">
        <v>6061</v>
      </c>
      <c r="C4749">
        <v>1.24</v>
      </c>
      <c r="D4749">
        <v>7.0000000000000007E-2</v>
      </c>
      <c r="E4749">
        <v>1.17</v>
      </c>
      <c r="F4749">
        <v>1.3</v>
      </c>
      <c r="G4749">
        <v>1.1200000000000001</v>
      </c>
      <c r="H4749">
        <v>1.23</v>
      </c>
      <c r="I4749" s="1">
        <v>1468000</v>
      </c>
      <c r="J4749" s="1">
        <v>1807290</v>
      </c>
      <c r="K4749">
        <v>30</v>
      </c>
      <c r="L4749">
        <v>1.23</v>
      </c>
      <c r="M4749">
        <v>1.24</v>
      </c>
      <c r="N4749" s="1">
        <v>10000000</v>
      </c>
      <c r="O4749">
        <v>1.24</v>
      </c>
      <c r="P4749">
        <v>2.36</v>
      </c>
      <c r="Q4749">
        <v>0.12</v>
      </c>
    </row>
    <row r="4750" spans="1:17" x14ac:dyDescent="0.25">
      <c r="A4750">
        <v>733679</v>
      </c>
      <c r="B4750" t="s">
        <v>6062</v>
      </c>
      <c r="C4750">
        <v>1.08</v>
      </c>
      <c r="D4750">
        <v>-0.03</v>
      </c>
      <c r="E4750">
        <v>1.1200000000000001</v>
      </c>
      <c r="F4750">
        <v>1.1299999999999999</v>
      </c>
      <c r="G4750">
        <v>1.08</v>
      </c>
      <c r="H4750">
        <v>1.1200000000000001</v>
      </c>
      <c r="I4750" s="1">
        <v>175000</v>
      </c>
      <c r="J4750" s="1">
        <v>195700</v>
      </c>
      <c r="K4750">
        <v>5</v>
      </c>
      <c r="L4750">
        <v>1.05</v>
      </c>
      <c r="M4750">
        <v>1.06</v>
      </c>
      <c r="N4750" s="1">
        <v>5000000</v>
      </c>
      <c r="O4750">
        <v>1.08</v>
      </c>
      <c r="P4750">
        <v>2.0299999999999998</v>
      </c>
      <c r="Q4750">
        <v>0.13</v>
      </c>
    </row>
    <row r="4751" spans="1:17" x14ac:dyDescent="0.25">
      <c r="A4751">
        <v>733680</v>
      </c>
      <c r="B4751" t="s">
        <v>6063</v>
      </c>
      <c r="C4751">
        <v>0.74</v>
      </c>
      <c r="D4751">
        <v>0.05</v>
      </c>
      <c r="E4751">
        <v>0.69</v>
      </c>
      <c r="F4751">
        <v>0.74</v>
      </c>
      <c r="G4751">
        <v>0.69</v>
      </c>
      <c r="H4751">
        <v>0.72</v>
      </c>
      <c r="I4751" s="1">
        <v>1130000</v>
      </c>
      <c r="J4751" s="1">
        <v>817090</v>
      </c>
      <c r="K4751">
        <v>19</v>
      </c>
      <c r="L4751">
        <v>0.69</v>
      </c>
      <c r="M4751">
        <v>0.7</v>
      </c>
      <c r="N4751" s="1">
        <v>10000000</v>
      </c>
      <c r="O4751">
        <v>0.74</v>
      </c>
      <c r="P4751">
        <v>1.52</v>
      </c>
      <c r="Q4751">
        <v>0.01</v>
      </c>
    </row>
    <row r="4752" spans="1:17" x14ac:dyDescent="0.25">
      <c r="A4752">
        <v>733681</v>
      </c>
      <c r="B4752" t="s">
        <v>6064</v>
      </c>
      <c r="C4752">
        <v>0.45</v>
      </c>
      <c r="D4752">
        <v>-0.01</v>
      </c>
      <c r="E4752">
        <v>0.45</v>
      </c>
      <c r="F4752">
        <v>0.46</v>
      </c>
      <c r="G4752">
        <v>0.44</v>
      </c>
      <c r="H4752">
        <v>0.46</v>
      </c>
      <c r="I4752" s="1">
        <v>173000</v>
      </c>
      <c r="J4752" s="1">
        <v>79140</v>
      </c>
      <c r="K4752">
        <v>5</v>
      </c>
      <c r="L4752">
        <v>0.44</v>
      </c>
      <c r="M4752">
        <v>0.45</v>
      </c>
      <c r="N4752" s="1">
        <v>10000000</v>
      </c>
      <c r="O4752">
        <v>0.45</v>
      </c>
      <c r="P4752">
        <v>3.06</v>
      </c>
      <c r="Q4752">
        <v>0.01</v>
      </c>
    </row>
    <row r="4753" spans="1:17" x14ac:dyDescent="0.25">
      <c r="A4753">
        <v>733682</v>
      </c>
      <c r="B4753" t="s">
        <v>6065</v>
      </c>
      <c r="C4753">
        <v>0.77</v>
      </c>
      <c r="D4753">
        <v>-0.11</v>
      </c>
      <c r="E4753">
        <v>0.86</v>
      </c>
      <c r="F4753">
        <v>0.86</v>
      </c>
      <c r="G4753">
        <v>0.76</v>
      </c>
      <c r="H4753">
        <v>0.83</v>
      </c>
      <c r="I4753" s="1">
        <v>865000</v>
      </c>
      <c r="J4753" s="1">
        <v>714010</v>
      </c>
      <c r="K4753">
        <v>21</v>
      </c>
      <c r="L4753">
        <v>0.77</v>
      </c>
      <c r="M4753">
        <v>0.78</v>
      </c>
      <c r="N4753" s="1">
        <v>10000000</v>
      </c>
      <c r="O4753">
        <v>0.77</v>
      </c>
      <c r="P4753">
        <v>1.23</v>
      </c>
      <c r="Q4753">
        <v>0.31</v>
      </c>
    </row>
    <row r="4754" spans="1:17" x14ac:dyDescent="0.25">
      <c r="A4754">
        <v>733683</v>
      </c>
      <c r="B4754" t="s">
        <v>6066</v>
      </c>
      <c r="C4754">
        <v>0.88</v>
      </c>
      <c r="D4754">
        <v>0.05</v>
      </c>
      <c r="E4754">
        <v>0.86</v>
      </c>
      <c r="F4754">
        <v>0.88</v>
      </c>
      <c r="G4754">
        <v>0.86</v>
      </c>
      <c r="H4754">
        <v>0.87</v>
      </c>
      <c r="I4754" s="1">
        <v>110000</v>
      </c>
      <c r="J4754" s="1">
        <v>95600</v>
      </c>
      <c r="K4754">
        <v>5</v>
      </c>
      <c r="L4754">
        <v>0.82</v>
      </c>
      <c r="M4754">
        <v>0.83</v>
      </c>
      <c r="N4754" s="1">
        <v>10000000</v>
      </c>
      <c r="O4754">
        <v>0.88</v>
      </c>
      <c r="P4754">
        <v>1.46</v>
      </c>
      <c r="Q4754">
        <v>0.3</v>
      </c>
    </row>
    <row r="4755" spans="1:17" x14ac:dyDescent="0.25">
      <c r="A4755">
        <v>733684</v>
      </c>
      <c r="B4755" t="s">
        <v>6067</v>
      </c>
      <c r="C4755" t="s">
        <v>78</v>
      </c>
      <c r="D4755" t="s">
        <v>78</v>
      </c>
      <c r="E4755" t="s">
        <v>78</v>
      </c>
      <c r="F4755" t="s">
        <v>78</v>
      </c>
      <c r="G4755" t="s">
        <v>78</v>
      </c>
      <c r="H4755">
        <v>0.89</v>
      </c>
      <c r="I4755" s="1">
        <v>0</v>
      </c>
      <c r="J4755" s="1">
        <v>0</v>
      </c>
      <c r="K4755">
        <v>0</v>
      </c>
      <c r="L4755">
        <v>0.93</v>
      </c>
      <c r="M4755">
        <v>0.95</v>
      </c>
      <c r="N4755" s="1">
        <v>15000000</v>
      </c>
      <c r="O4755">
        <v>0.93</v>
      </c>
      <c r="P4755">
        <v>1.45</v>
      </c>
      <c r="Q4755">
        <v>0.41</v>
      </c>
    </row>
    <row r="4756" spans="1:17" x14ac:dyDescent="0.25">
      <c r="A4756">
        <v>733685</v>
      </c>
      <c r="B4756" t="s">
        <v>6068</v>
      </c>
      <c r="C4756">
        <v>1.1399999999999999</v>
      </c>
      <c r="D4756">
        <v>0.03</v>
      </c>
      <c r="E4756">
        <v>1.1399999999999999</v>
      </c>
      <c r="F4756">
        <v>1.1399999999999999</v>
      </c>
      <c r="G4756">
        <v>1.1399999999999999</v>
      </c>
      <c r="H4756">
        <v>1.1399999999999999</v>
      </c>
      <c r="I4756" s="1">
        <v>6000</v>
      </c>
      <c r="J4756" s="1">
        <v>6840</v>
      </c>
      <c r="K4756">
        <v>1</v>
      </c>
      <c r="L4756">
        <v>1.0900000000000001</v>
      </c>
      <c r="M4756">
        <v>1.1100000000000001</v>
      </c>
      <c r="N4756" s="1">
        <v>10000000</v>
      </c>
      <c r="O4756">
        <v>1.1399999999999999</v>
      </c>
      <c r="P4756">
        <v>1.76</v>
      </c>
      <c r="Q4756">
        <v>0.52</v>
      </c>
    </row>
    <row r="4757" spans="1:17" x14ac:dyDescent="0.25">
      <c r="A4757">
        <v>733686</v>
      </c>
      <c r="B4757" t="s">
        <v>6069</v>
      </c>
      <c r="C4757">
        <v>1.3</v>
      </c>
      <c r="D4757">
        <v>0.09</v>
      </c>
      <c r="E4757">
        <v>1.34</v>
      </c>
      <c r="F4757">
        <v>1.37</v>
      </c>
      <c r="G4757">
        <v>1.3</v>
      </c>
      <c r="H4757">
        <v>1.34</v>
      </c>
      <c r="I4757" s="1">
        <v>78000</v>
      </c>
      <c r="J4757" s="1">
        <v>104200</v>
      </c>
      <c r="K4757">
        <v>9</v>
      </c>
      <c r="L4757">
        <v>1.2</v>
      </c>
      <c r="M4757">
        <v>1.21</v>
      </c>
      <c r="N4757" s="1">
        <v>10000000</v>
      </c>
      <c r="O4757">
        <v>1.3</v>
      </c>
      <c r="P4757">
        <v>2.06</v>
      </c>
      <c r="Q4757">
        <v>0.54</v>
      </c>
    </row>
    <row r="4758" spans="1:17" x14ac:dyDescent="0.25">
      <c r="A4758">
        <v>733687</v>
      </c>
      <c r="B4758" t="s">
        <v>6070</v>
      </c>
      <c r="C4758">
        <v>0.6</v>
      </c>
      <c r="D4758">
        <v>0.01</v>
      </c>
      <c r="E4758">
        <v>0.59</v>
      </c>
      <c r="F4758">
        <v>0.6</v>
      </c>
      <c r="G4758">
        <v>0.59</v>
      </c>
      <c r="H4758">
        <v>0.59</v>
      </c>
      <c r="I4758" s="1">
        <v>309000</v>
      </c>
      <c r="J4758" s="1">
        <v>182400</v>
      </c>
      <c r="K4758">
        <v>3</v>
      </c>
      <c r="L4758">
        <v>0.59</v>
      </c>
      <c r="M4758">
        <v>0.6</v>
      </c>
      <c r="N4758" s="1">
        <v>5000000</v>
      </c>
      <c r="O4758">
        <v>0.6</v>
      </c>
      <c r="P4758">
        <v>1.06</v>
      </c>
      <c r="Q4758">
        <v>0.13</v>
      </c>
    </row>
    <row r="4759" spans="1:17" x14ac:dyDescent="0.25">
      <c r="A4759">
        <v>733688</v>
      </c>
      <c r="B4759" t="s">
        <v>6071</v>
      </c>
      <c r="C4759">
        <v>1.03</v>
      </c>
      <c r="D4759">
        <v>0.06</v>
      </c>
      <c r="E4759">
        <v>1</v>
      </c>
      <c r="F4759">
        <v>1.03</v>
      </c>
      <c r="G4759">
        <v>1</v>
      </c>
      <c r="H4759">
        <v>1.02</v>
      </c>
      <c r="I4759" s="1">
        <v>200000</v>
      </c>
      <c r="J4759" s="1">
        <v>203000</v>
      </c>
      <c r="K4759">
        <v>2</v>
      </c>
      <c r="L4759">
        <v>1.02</v>
      </c>
      <c r="M4759">
        <v>1.04</v>
      </c>
      <c r="N4759" s="1">
        <v>5000000</v>
      </c>
      <c r="O4759">
        <v>1.03</v>
      </c>
      <c r="P4759">
        <v>1.78</v>
      </c>
      <c r="Q4759">
        <v>0.28000000000000003</v>
      </c>
    </row>
    <row r="4760" spans="1:17" x14ac:dyDescent="0.25">
      <c r="A4760">
        <v>733689</v>
      </c>
      <c r="B4760" t="s">
        <v>6072</v>
      </c>
      <c r="C4760">
        <v>2.35</v>
      </c>
      <c r="D4760">
        <v>-0.08</v>
      </c>
      <c r="E4760">
        <v>2.52</v>
      </c>
      <c r="F4760">
        <v>2.52</v>
      </c>
      <c r="G4760">
        <v>2.35</v>
      </c>
      <c r="H4760">
        <v>2.4700000000000002</v>
      </c>
      <c r="I4760" s="1">
        <v>180000</v>
      </c>
      <c r="J4760" s="1">
        <v>444470</v>
      </c>
      <c r="K4760">
        <v>12</v>
      </c>
      <c r="L4760">
        <v>2.35</v>
      </c>
      <c r="M4760">
        <v>2.36</v>
      </c>
      <c r="N4760" s="1">
        <v>8000000</v>
      </c>
      <c r="O4760">
        <v>2.35</v>
      </c>
      <c r="P4760">
        <v>3.53</v>
      </c>
      <c r="Q4760">
        <v>1.17</v>
      </c>
    </row>
    <row r="4761" spans="1:17" x14ac:dyDescent="0.25">
      <c r="A4761">
        <v>733690</v>
      </c>
      <c r="B4761" t="s">
        <v>6073</v>
      </c>
      <c r="C4761">
        <v>1.65</v>
      </c>
      <c r="D4761">
        <v>-0.04</v>
      </c>
      <c r="E4761">
        <v>1.73</v>
      </c>
      <c r="F4761">
        <v>1.79</v>
      </c>
      <c r="G4761">
        <v>1.65</v>
      </c>
      <c r="H4761">
        <v>1.76</v>
      </c>
      <c r="I4761" s="1">
        <v>331000</v>
      </c>
      <c r="J4761" s="1">
        <v>582850</v>
      </c>
      <c r="K4761">
        <v>15</v>
      </c>
      <c r="L4761">
        <v>1.61</v>
      </c>
      <c r="M4761">
        <v>1.62</v>
      </c>
      <c r="N4761" s="1">
        <v>5000000</v>
      </c>
      <c r="O4761">
        <v>1.65</v>
      </c>
      <c r="P4761">
        <v>3.05</v>
      </c>
      <c r="Q4761">
        <v>0.25</v>
      </c>
    </row>
    <row r="4762" spans="1:17" x14ac:dyDescent="0.25">
      <c r="A4762">
        <v>733691</v>
      </c>
      <c r="B4762" t="s">
        <v>6074</v>
      </c>
      <c r="C4762">
        <v>0.88</v>
      </c>
      <c r="D4762">
        <v>-0.05</v>
      </c>
      <c r="E4762">
        <v>0.91</v>
      </c>
      <c r="F4762">
        <v>0.91</v>
      </c>
      <c r="G4762">
        <v>0.88</v>
      </c>
      <c r="H4762">
        <v>0.89</v>
      </c>
      <c r="I4762" s="1">
        <v>220000</v>
      </c>
      <c r="J4762" s="1">
        <v>196800</v>
      </c>
      <c r="K4762">
        <v>4</v>
      </c>
      <c r="L4762">
        <v>0.84</v>
      </c>
      <c r="M4762">
        <v>0.85</v>
      </c>
      <c r="N4762" s="1">
        <v>5000000</v>
      </c>
      <c r="O4762">
        <v>0.88</v>
      </c>
      <c r="P4762">
        <v>1.24</v>
      </c>
      <c r="Q4762">
        <v>0.52</v>
      </c>
    </row>
    <row r="4763" spans="1:17" x14ac:dyDescent="0.25">
      <c r="A4763">
        <v>733692</v>
      </c>
      <c r="B4763" t="s">
        <v>6075</v>
      </c>
      <c r="C4763">
        <v>1.1000000000000001</v>
      </c>
      <c r="D4763">
        <v>-0.05</v>
      </c>
      <c r="E4763">
        <v>1.1200000000000001</v>
      </c>
      <c r="F4763">
        <v>1.1399999999999999</v>
      </c>
      <c r="G4763">
        <v>1.1000000000000001</v>
      </c>
      <c r="H4763">
        <v>1.1200000000000001</v>
      </c>
      <c r="I4763" s="1">
        <v>208000</v>
      </c>
      <c r="J4763" s="1">
        <v>232290</v>
      </c>
      <c r="K4763">
        <v>25</v>
      </c>
      <c r="L4763">
        <v>1.03</v>
      </c>
      <c r="M4763">
        <v>1.04</v>
      </c>
      <c r="N4763" s="1">
        <v>10000000</v>
      </c>
      <c r="O4763">
        <v>1.1000000000000001</v>
      </c>
      <c r="P4763">
        <v>1.65</v>
      </c>
      <c r="Q4763">
        <v>0.55000000000000004</v>
      </c>
    </row>
    <row r="4764" spans="1:17" x14ac:dyDescent="0.25">
      <c r="A4764">
        <v>733693</v>
      </c>
      <c r="B4764" t="s">
        <v>6076</v>
      </c>
      <c r="C4764">
        <v>1.55</v>
      </c>
      <c r="D4764">
        <v>0.05</v>
      </c>
      <c r="E4764">
        <v>1.55</v>
      </c>
      <c r="F4764">
        <v>1.63</v>
      </c>
      <c r="G4764">
        <v>1.53</v>
      </c>
      <c r="H4764">
        <v>1.58</v>
      </c>
      <c r="I4764" s="1">
        <v>1485000</v>
      </c>
      <c r="J4764" s="1">
        <v>2346550</v>
      </c>
      <c r="K4764">
        <v>53</v>
      </c>
      <c r="L4764">
        <v>1.55</v>
      </c>
      <c r="M4764">
        <v>1.56</v>
      </c>
      <c r="N4764" s="1">
        <v>10000000</v>
      </c>
      <c r="O4764">
        <v>1.55</v>
      </c>
      <c r="P4764">
        <v>2.37</v>
      </c>
      <c r="Q4764">
        <v>0.73</v>
      </c>
    </row>
    <row r="4765" spans="1:17" x14ac:dyDescent="0.25">
      <c r="A4765">
        <v>733694</v>
      </c>
      <c r="B4765" t="s">
        <v>6077</v>
      </c>
      <c r="C4765">
        <v>0.93</v>
      </c>
      <c r="D4765">
        <v>-0.04</v>
      </c>
      <c r="E4765">
        <v>0.96</v>
      </c>
      <c r="F4765">
        <v>1</v>
      </c>
      <c r="G4765">
        <v>0.88</v>
      </c>
      <c r="H4765">
        <v>0.94</v>
      </c>
      <c r="I4765" s="1">
        <v>1715000</v>
      </c>
      <c r="J4765" s="1">
        <v>1618690</v>
      </c>
      <c r="K4765">
        <v>45</v>
      </c>
      <c r="L4765">
        <v>0.93</v>
      </c>
      <c r="M4765">
        <v>0.94</v>
      </c>
      <c r="N4765" s="1">
        <v>10000000</v>
      </c>
      <c r="O4765">
        <v>0.93</v>
      </c>
      <c r="P4765">
        <v>1.49</v>
      </c>
      <c r="Q4765">
        <v>0.37</v>
      </c>
    </row>
    <row r="4766" spans="1:17" x14ac:dyDescent="0.25">
      <c r="A4766">
        <v>733695</v>
      </c>
      <c r="B4766" t="s">
        <v>6078</v>
      </c>
      <c r="C4766">
        <v>0.92</v>
      </c>
      <c r="D4766">
        <v>-0.03</v>
      </c>
      <c r="E4766">
        <v>0.97</v>
      </c>
      <c r="F4766">
        <v>1.01</v>
      </c>
      <c r="G4766">
        <v>0.89</v>
      </c>
      <c r="H4766">
        <v>0.97</v>
      </c>
      <c r="I4766" s="1">
        <v>416000</v>
      </c>
      <c r="J4766" s="1">
        <v>402050</v>
      </c>
      <c r="K4766">
        <v>28</v>
      </c>
      <c r="L4766">
        <v>0.93</v>
      </c>
      <c r="M4766">
        <v>0.94</v>
      </c>
      <c r="N4766" s="1">
        <v>10000000</v>
      </c>
      <c r="O4766">
        <v>0.92</v>
      </c>
      <c r="P4766">
        <v>1.62</v>
      </c>
      <c r="Q4766">
        <v>0.22</v>
      </c>
    </row>
    <row r="4767" spans="1:17" x14ac:dyDescent="0.25">
      <c r="A4767">
        <v>733696</v>
      </c>
      <c r="B4767" t="s">
        <v>6079</v>
      </c>
      <c r="C4767">
        <v>1.03</v>
      </c>
      <c r="D4767">
        <v>-0.09</v>
      </c>
      <c r="E4767">
        <v>1.1100000000000001</v>
      </c>
      <c r="F4767">
        <v>1.1599999999999999</v>
      </c>
      <c r="G4767">
        <v>1.02</v>
      </c>
      <c r="H4767">
        <v>1.1100000000000001</v>
      </c>
      <c r="I4767" s="1">
        <v>1038000</v>
      </c>
      <c r="J4767" s="1">
        <v>1148800</v>
      </c>
      <c r="K4767">
        <v>30</v>
      </c>
      <c r="L4767">
        <v>1.07</v>
      </c>
      <c r="M4767">
        <v>1.08</v>
      </c>
      <c r="N4767" s="1">
        <v>10000000</v>
      </c>
      <c r="O4767">
        <v>1.03</v>
      </c>
      <c r="P4767">
        <v>1.87</v>
      </c>
      <c r="Q4767">
        <v>0.19</v>
      </c>
    </row>
    <row r="4768" spans="1:17" x14ac:dyDescent="0.25">
      <c r="A4768">
        <v>733697</v>
      </c>
      <c r="B4768" t="s">
        <v>6080</v>
      </c>
      <c r="C4768">
        <v>1.81</v>
      </c>
      <c r="D4768">
        <v>-0.14000000000000001</v>
      </c>
      <c r="E4768">
        <v>1.85</v>
      </c>
      <c r="F4768">
        <v>1.85</v>
      </c>
      <c r="G4768">
        <v>1.81</v>
      </c>
      <c r="H4768">
        <v>1.83</v>
      </c>
      <c r="I4768" s="1">
        <v>12000</v>
      </c>
      <c r="J4768" s="1">
        <v>21970</v>
      </c>
      <c r="K4768">
        <v>4</v>
      </c>
      <c r="L4768">
        <v>1.83</v>
      </c>
      <c r="M4768">
        <v>1.86</v>
      </c>
      <c r="N4768" s="1">
        <v>10000000</v>
      </c>
      <c r="O4768">
        <v>1.81</v>
      </c>
      <c r="P4768">
        <v>2.56</v>
      </c>
      <c r="Q4768">
        <v>1.06</v>
      </c>
    </row>
    <row r="4769" spans="1:17" x14ac:dyDescent="0.25">
      <c r="A4769">
        <v>733698</v>
      </c>
      <c r="B4769" t="s">
        <v>6081</v>
      </c>
      <c r="C4769">
        <v>1.08</v>
      </c>
      <c r="D4769">
        <v>0.01</v>
      </c>
      <c r="E4769">
        <v>1.08</v>
      </c>
      <c r="F4769">
        <v>1.08</v>
      </c>
      <c r="G4769">
        <v>1.08</v>
      </c>
      <c r="H4769">
        <v>1.08</v>
      </c>
      <c r="I4769" s="1">
        <v>51000</v>
      </c>
      <c r="J4769" s="1">
        <v>55080</v>
      </c>
      <c r="K4769">
        <v>1</v>
      </c>
      <c r="L4769">
        <v>1.07</v>
      </c>
      <c r="M4769">
        <v>1.1000000000000001</v>
      </c>
      <c r="N4769" s="1">
        <v>10000000</v>
      </c>
      <c r="O4769">
        <v>1.08</v>
      </c>
      <c r="P4769">
        <v>2.13</v>
      </c>
      <c r="Q4769">
        <v>0.03</v>
      </c>
    </row>
    <row r="4770" spans="1:17" x14ac:dyDescent="0.25">
      <c r="A4770">
        <v>733699</v>
      </c>
      <c r="B4770" t="s">
        <v>6082</v>
      </c>
      <c r="C4770">
        <v>0.82</v>
      </c>
      <c r="D4770">
        <v>0.02</v>
      </c>
      <c r="E4770">
        <v>0.84</v>
      </c>
      <c r="F4770">
        <v>0.84</v>
      </c>
      <c r="G4770">
        <v>0.82</v>
      </c>
      <c r="H4770">
        <v>0.83</v>
      </c>
      <c r="I4770" s="1">
        <v>200000</v>
      </c>
      <c r="J4770" s="1">
        <v>166000</v>
      </c>
      <c r="K4770">
        <v>2</v>
      </c>
      <c r="L4770">
        <v>0.8</v>
      </c>
      <c r="M4770">
        <v>0.81</v>
      </c>
      <c r="N4770" s="1">
        <v>10000000</v>
      </c>
      <c r="O4770">
        <v>0.82</v>
      </c>
      <c r="P4770">
        <v>1.4</v>
      </c>
      <c r="Q4770">
        <v>0.24</v>
      </c>
    </row>
    <row r="4771" spans="1:17" x14ac:dyDescent="0.25">
      <c r="A4771">
        <v>733700</v>
      </c>
      <c r="B4771" t="s">
        <v>6083</v>
      </c>
      <c r="C4771">
        <v>0.8</v>
      </c>
      <c r="D4771">
        <v>-0.04</v>
      </c>
      <c r="E4771">
        <v>0.8</v>
      </c>
      <c r="F4771">
        <v>0.8</v>
      </c>
      <c r="G4771">
        <v>0.8</v>
      </c>
      <c r="H4771">
        <v>0.8</v>
      </c>
      <c r="I4771" s="1">
        <v>40000</v>
      </c>
      <c r="J4771" s="1">
        <v>32000</v>
      </c>
      <c r="K4771">
        <v>3</v>
      </c>
      <c r="L4771">
        <v>0.77</v>
      </c>
      <c r="M4771">
        <v>0.78</v>
      </c>
      <c r="N4771" s="1">
        <v>5000000</v>
      </c>
      <c r="O4771">
        <v>0.8</v>
      </c>
      <c r="P4771">
        <v>1.29</v>
      </c>
      <c r="Q4771">
        <v>0.31</v>
      </c>
    </row>
    <row r="4772" spans="1:17" x14ac:dyDescent="0.25">
      <c r="A4772">
        <v>733701</v>
      </c>
      <c r="B4772" t="s">
        <v>6084</v>
      </c>
      <c r="C4772">
        <v>1.07</v>
      </c>
      <c r="D4772">
        <v>0.08</v>
      </c>
      <c r="E4772">
        <v>1.02</v>
      </c>
      <c r="F4772">
        <v>1.07</v>
      </c>
      <c r="G4772">
        <v>1.02</v>
      </c>
      <c r="H4772">
        <v>1.04</v>
      </c>
      <c r="I4772" s="1">
        <v>308000</v>
      </c>
      <c r="J4772" s="1">
        <v>319660</v>
      </c>
      <c r="K4772">
        <v>6</v>
      </c>
      <c r="L4772">
        <v>1.01</v>
      </c>
      <c r="M4772">
        <v>1.02</v>
      </c>
      <c r="N4772" s="1">
        <v>10000000</v>
      </c>
      <c r="O4772">
        <v>1.07</v>
      </c>
      <c r="P4772">
        <v>2.06</v>
      </c>
      <c r="Q4772">
        <v>0.08</v>
      </c>
    </row>
    <row r="4773" spans="1:17" x14ac:dyDescent="0.25">
      <c r="A4773">
        <v>733702</v>
      </c>
      <c r="B4773" t="s">
        <v>6085</v>
      </c>
      <c r="C4773">
        <v>0.53</v>
      </c>
      <c r="D4773">
        <v>-0.01</v>
      </c>
      <c r="E4773">
        <v>0.54</v>
      </c>
      <c r="F4773">
        <v>0.54</v>
      </c>
      <c r="G4773">
        <v>0.53</v>
      </c>
      <c r="H4773">
        <v>0.53</v>
      </c>
      <c r="I4773" s="1">
        <v>30000</v>
      </c>
      <c r="J4773" s="1">
        <v>15950</v>
      </c>
      <c r="K4773">
        <v>4</v>
      </c>
      <c r="L4773">
        <v>0.52</v>
      </c>
      <c r="M4773">
        <v>0.53</v>
      </c>
      <c r="N4773" s="1">
        <v>5000000</v>
      </c>
      <c r="O4773">
        <v>0.53</v>
      </c>
      <c r="P4773">
        <v>0.86</v>
      </c>
      <c r="Q4773">
        <v>0.2</v>
      </c>
    </row>
    <row r="4774" spans="1:17" x14ac:dyDescent="0.25">
      <c r="A4774">
        <v>733703</v>
      </c>
      <c r="B4774" t="s">
        <v>6086</v>
      </c>
      <c r="C4774">
        <v>0.92</v>
      </c>
      <c r="D4774">
        <v>-0.05</v>
      </c>
      <c r="E4774">
        <v>0.98</v>
      </c>
      <c r="F4774">
        <v>0.98</v>
      </c>
      <c r="G4774">
        <v>0.92</v>
      </c>
      <c r="H4774">
        <v>0.96</v>
      </c>
      <c r="I4774" s="1">
        <v>220000</v>
      </c>
      <c r="J4774" s="1">
        <v>211900</v>
      </c>
      <c r="K4774">
        <v>5</v>
      </c>
      <c r="L4774">
        <v>0.91</v>
      </c>
      <c r="M4774">
        <v>0.92</v>
      </c>
      <c r="N4774" s="1">
        <v>10000000</v>
      </c>
      <c r="O4774">
        <v>0.92</v>
      </c>
      <c r="P4774">
        <v>1.6</v>
      </c>
      <c r="Q4774">
        <v>0.24</v>
      </c>
    </row>
    <row r="4775" spans="1:17" x14ac:dyDescent="0.25">
      <c r="A4775">
        <v>733704</v>
      </c>
      <c r="B4775" t="s">
        <v>6087</v>
      </c>
      <c r="C4775">
        <v>0.67</v>
      </c>
      <c r="D4775">
        <v>0.03</v>
      </c>
      <c r="E4775">
        <v>0.66</v>
      </c>
      <c r="F4775">
        <v>0.67</v>
      </c>
      <c r="G4775">
        <v>0.66</v>
      </c>
      <c r="H4775">
        <v>0.67</v>
      </c>
      <c r="I4775" s="1">
        <v>275000</v>
      </c>
      <c r="J4775" s="1">
        <v>183670</v>
      </c>
      <c r="K4775">
        <v>2</v>
      </c>
      <c r="L4775">
        <v>0.61</v>
      </c>
      <c r="M4775">
        <v>0.62</v>
      </c>
      <c r="N4775" s="1">
        <v>5000000</v>
      </c>
      <c r="O4775">
        <v>0.67</v>
      </c>
      <c r="P4775">
        <v>1.17</v>
      </c>
      <c r="Q4775">
        <v>0.17</v>
      </c>
    </row>
    <row r="4776" spans="1:17" x14ac:dyDescent="0.25">
      <c r="A4776">
        <v>733705</v>
      </c>
      <c r="B4776" t="s">
        <v>6088</v>
      </c>
      <c r="C4776">
        <v>0.95</v>
      </c>
      <c r="D4776">
        <v>-0.04</v>
      </c>
      <c r="E4776">
        <v>0.98</v>
      </c>
      <c r="F4776">
        <v>1.03</v>
      </c>
      <c r="G4776">
        <v>0.95</v>
      </c>
      <c r="H4776">
        <v>0.98</v>
      </c>
      <c r="I4776" s="1">
        <v>1021000</v>
      </c>
      <c r="J4776" s="1">
        <v>1004260</v>
      </c>
      <c r="K4776">
        <v>22</v>
      </c>
      <c r="L4776">
        <v>0.94</v>
      </c>
      <c r="M4776">
        <v>0.96</v>
      </c>
      <c r="N4776" s="1">
        <v>10000000</v>
      </c>
      <c r="O4776">
        <v>0.95</v>
      </c>
      <c r="P4776">
        <v>1.4</v>
      </c>
      <c r="Q4776">
        <v>0.5</v>
      </c>
    </row>
    <row r="4777" spans="1:17" x14ac:dyDescent="0.25">
      <c r="A4777">
        <v>733706</v>
      </c>
      <c r="B4777" t="s">
        <v>6089</v>
      </c>
      <c r="C4777">
        <v>0.9</v>
      </c>
      <c r="D4777">
        <v>-0.01</v>
      </c>
      <c r="E4777">
        <v>0.9</v>
      </c>
      <c r="F4777">
        <v>0.9</v>
      </c>
      <c r="G4777">
        <v>0.9</v>
      </c>
      <c r="H4777">
        <v>0.9</v>
      </c>
      <c r="I4777" s="1">
        <v>275000</v>
      </c>
      <c r="J4777" s="1">
        <v>247500</v>
      </c>
      <c r="K4777">
        <v>2</v>
      </c>
      <c r="L4777">
        <v>0.88</v>
      </c>
      <c r="M4777">
        <v>0.9</v>
      </c>
      <c r="N4777" s="1">
        <v>6400000</v>
      </c>
      <c r="O4777">
        <v>0.9</v>
      </c>
      <c r="P4777">
        <v>1.6</v>
      </c>
      <c r="Q4777">
        <v>0.18</v>
      </c>
    </row>
    <row r="4778" spans="1:17" x14ac:dyDescent="0.25">
      <c r="A4778">
        <v>733707</v>
      </c>
      <c r="B4778" t="s">
        <v>6090</v>
      </c>
      <c r="C4778">
        <v>1.17</v>
      </c>
      <c r="D4778">
        <v>0.14000000000000001</v>
      </c>
      <c r="E4778">
        <v>1.1299999999999999</v>
      </c>
      <c r="F4778">
        <v>1.17</v>
      </c>
      <c r="G4778">
        <v>1.1299999999999999</v>
      </c>
      <c r="H4778">
        <v>1.1499999999999999</v>
      </c>
      <c r="I4778" s="1">
        <v>407000</v>
      </c>
      <c r="J4778" s="1">
        <v>467530</v>
      </c>
      <c r="K4778">
        <v>7</v>
      </c>
      <c r="L4778">
        <v>1.1000000000000001</v>
      </c>
      <c r="M4778">
        <v>1.1200000000000001</v>
      </c>
      <c r="N4778" s="1">
        <v>10000000</v>
      </c>
      <c r="O4778">
        <v>1.17</v>
      </c>
      <c r="P4778">
        <v>1.8</v>
      </c>
      <c r="Q4778">
        <v>0.54</v>
      </c>
    </row>
    <row r="4779" spans="1:17" x14ac:dyDescent="0.25">
      <c r="A4779">
        <v>733708</v>
      </c>
      <c r="B4779" t="s">
        <v>6091</v>
      </c>
      <c r="C4779">
        <v>1.41</v>
      </c>
      <c r="D4779">
        <v>0.06</v>
      </c>
      <c r="E4779">
        <v>1.37</v>
      </c>
      <c r="F4779">
        <v>1.45</v>
      </c>
      <c r="G4779">
        <v>1.37</v>
      </c>
      <c r="H4779">
        <v>1.42</v>
      </c>
      <c r="I4779" s="1">
        <v>1559000</v>
      </c>
      <c r="J4779" s="1">
        <v>2209450</v>
      </c>
      <c r="K4779">
        <v>41</v>
      </c>
      <c r="L4779">
        <v>1.4</v>
      </c>
      <c r="M4779">
        <v>1.41</v>
      </c>
      <c r="N4779" s="1">
        <v>10000000</v>
      </c>
      <c r="O4779">
        <v>1.41</v>
      </c>
      <c r="P4779">
        <v>2.02</v>
      </c>
      <c r="Q4779">
        <v>0.8</v>
      </c>
    </row>
    <row r="4780" spans="1:17" x14ac:dyDescent="0.25">
      <c r="A4780">
        <v>733709</v>
      </c>
      <c r="B4780" t="s">
        <v>6092</v>
      </c>
      <c r="C4780">
        <v>0.83</v>
      </c>
      <c r="D4780">
        <v>-0.03</v>
      </c>
      <c r="E4780">
        <v>0.83</v>
      </c>
      <c r="F4780">
        <v>0.83</v>
      </c>
      <c r="G4780">
        <v>0.83</v>
      </c>
      <c r="H4780">
        <v>0.83</v>
      </c>
      <c r="I4780" s="1">
        <v>10000</v>
      </c>
      <c r="J4780" s="1">
        <v>8300</v>
      </c>
      <c r="K4780">
        <v>1</v>
      </c>
      <c r="L4780">
        <v>0.83</v>
      </c>
      <c r="M4780">
        <v>0.84</v>
      </c>
      <c r="N4780" s="1">
        <v>10000000</v>
      </c>
      <c r="O4780">
        <v>0.83</v>
      </c>
      <c r="P4780">
        <v>1.55</v>
      </c>
      <c r="Q4780">
        <v>0.11</v>
      </c>
    </row>
    <row r="4781" spans="1:17" x14ac:dyDescent="0.25">
      <c r="A4781">
        <v>733710</v>
      </c>
      <c r="B4781" t="s">
        <v>6093</v>
      </c>
      <c r="C4781">
        <v>1.24</v>
      </c>
      <c r="D4781">
        <v>0.02</v>
      </c>
      <c r="E4781">
        <v>1.28</v>
      </c>
      <c r="F4781">
        <v>1.3</v>
      </c>
      <c r="G4781">
        <v>1.24</v>
      </c>
      <c r="H4781">
        <v>1.29</v>
      </c>
      <c r="I4781" s="1">
        <v>414000</v>
      </c>
      <c r="J4781" s="1">
        <v>533460</v>
      </c>
      <c r="K4781">
        <v>13</v>
      </c>
      <c r="L4781">
        <v>1.2</v>
      </c>
      <c r="M4781">
        <v>1.21</v>
      </c>
      <c r="N4781" s="1">
        <v>10000000</v>
      </c>
      <c r="O4781">
        <v>1.24</v>
      </c>
      <c r="P4781">
        <v>1.75</v>
      </c>
      <c r="Q4781">
        <v>0.73</v>
      </c>
    </row>
    <row r="4782" spans="1:17" x14ac:dyDescent="0.25">
      <c r="A4782">
        <v>733711</v>
      </c>
      <c r="B4782" t="s">
        <v>6094</v>
      </c>
      <c r="C4782">
        <v>1.21</v>
      </c>
      <c r="D4782">
        <v>-7.0000000000000007E-2</v>
      </c>
      <c r="E4782">
        <v>1.19</v>
      </c>
      <c r="F4782">
        <v>1.21</v>
      </c>
      <c r="G4782">
        <v>1.19</v>
      </c>
      <c r="H4782">
        <v>1.2</v>
      </c>
      <c r="I4782" s="1">
        <v>21000</v>
      </c>
      <c r="J4782" s="1">
        <v>25240</v>
      </c>
      <c r="K4782">
        <v>6</v>
      </c>
      <c r="L4782">
        <v>1.2</v>
      </c>
      <c r="M4782">
        <v>1.22</v>
      </c>
      <c r="N4782" s="1">
        <v>10000000</v>
      </c>
      <c r="O4782">
        <v>1.21</v>
      </c>
      <c r="P4782">
        <v>1.79</v>
      </c>
      <c r="Q4782">
        <v>0.63</v>
      </c>
    </row>
    <row r="4783" spans="1:17" x14ac:dyDescent="0.25">
      <c r="A4783">
        <v>733712</v>
      </c>
      <c r="B4783" t="s">
        <v>6095</v>
      </c>
      <c r="C4783">
        <v>1.22</v>
      </c>
      <c r="D4783">
        <v>-0.01</v>
      </c>
      <c r="E4783">
        <v>1.25</v>
      </c>
      <c r="F4783">
        <v>1.28</v>
      </c>
      <c r="G4783">
        <v>1.22</v>
      </c>
      <c r="H4783">
        <v>1.25</v>
      </c>
      <c r="I4783" s="1">
        <v>1192000</v>
      </c>
      <c r="J4783" s="1">
        <v>1490210</v>
      </c>
      <c r="K4783">
        <v>28</v>
      </c>
      <c r="L4783">
        <v>1.21</v>
      </c>
      <c r="M4783">
        <v>1.22</v>
      </c>
      <c r="N4783" s="1">
        <v>10000000</v>
      </c>
      <c r="O4783">
        <v>1.22</v>
      </c>
      <c r="P4783">
        <v>1.94</v>
      </c>
      <c r="Q4783">
        <v>0.5</v>
      </c>
    </row>
    <row r="4784" spans="1:17" x14ac:dyDescent="0.25">
      <c r="A4784">
        <v>733713</v>
      </c>
      <c r="B4784" t="s">
        <v>6096</v>
      </c>
      <c r="C4784">
        <v>0.97</v>
      </c>
      <c r="D4784">
        <v>-0.02</v>
      </c>
      <c r="E4784">
        <v>1</v>
      </c>
      <c r="F4784">
        <v>1</v>
      </c>
      <c r="G4784">
        <v>0.97</v>
      </c>
      <c r="H4784">
        <v>0.99</v>
      </c>
      <c r="I4784" s="1">
        <v>55000</v>
      </c>
      <c r="J4784" s="1">
        <v>54400</v>
      </c>
      <c r="K4784">
        <v>4</v>
      </c>
      <c r="L4784">
        <v>0.97</v>
      </c>
      <c r="M4784">
        <v>0.98</v>
      </c>
      <c r="N4784" s="1">
        <v>10000000</v>
      </c>
      <c r="O4784">
        <v>0.97</v>
      </c>
      <c r="P4784">
        <v>2.42</v>
      </c>
      <c r="Q4784">
        <v>0.01</v>
      </c>
    </row>
    <row r="4785" spans="1:17" x14ac:dyDescent="0.25">
      <c r="A4785">
        <v>733714</v>
      </c>
      <c r="B4785" t="s">
        <v>6097</v>
      </c>
      <c r="C4785" t="s">
        <v>78</v>
      </c>
      <c r="D4785" t="s">
        <v>78</v>
      </c>
      <c r="E4785" t="s">
        <v>78</v>
      </c>
      <c r="F4785" t="s">
        <v>78</v>
      </c>
      <c r="G4785" t="s">
        <v>78</v>
      </c>
      <c r="H4785">
        <v>0.32</v>
      </c>
      <c r="I4785" s="1">
        <v>0</v>
      </c>
      <c r="J4785" s="1">
        <v>0</v>
      </c>
      <c r="K4785">
        <v>0</v>
      </c>
      <c r="L4785">
        <v>0.3</v>
      </c>
      <c r="M4785">
        <v>0.31</v>
      </c>
      <c r="N4785" s="1">
        <v>10000000</v>
      </c>
      <c r="O4785">
        <v>0.31</v>
      </c>
      <c r="P4785">
        <v>0.7</v>
      </c>
      <c r="Q4785">
        <v>0.01</v>
      </c>
    </row>
    <row r="4786" spans="1:17" x14ac:dyDescent="0.25">
      <c r="A4786">
        <v>733715</v>
      </c>
      <c r="B4786" t="s">
        <v>6098</v>
      </c>
      <c r="C4786">
        <v>1.37</v>
      </c>
      <c r="D4786">
        <v>0.05</v>
      </c>
      <c r="E4786">
        <v>1.33</v>
      </c>
      <c r="F4786">
        <v>1.37</v>
      </c>
      <c r="G4786">
        <v>1.33</v>
      </c>
      <c r="H4786">
        <v>1.34</v>
      </c>
      <c r="I4786" s="1">
        <v>390000</v>
      </c>
      <c r="J4786" s="1">
        <v>523600</v>
      </c>
      <c r="K4786">
        <v>17</v>
      </c>
      <c r="L4786">
        <v>1.32</v>
      </c>
      <c r="M4786">
        <v>1.33</v>
      </c>
      <c r="N4786" s="1">
        <v>10000000</v>
      </c>
      <c r="O4786">
        <v>1.37</v>
      </c>
      <c r="P4786">
        <v>2.16</v>
      </c>
      <c r="Q4786">
        <v>0.57999999999999996</v>
      </c>
    </row>
    <row r="4787" spans="1:17" x14ac:dyDescent="0.25">
      <c r="A4787">
        <v>733716</v>
      </c>
      <c r="B4787" t="s">
        <v>6099</v>
      </c>
      <c r="C4787">
        <v>0.49</v>
      </c>
      <c r="D4787">
        <v>-0.01</v>
      </c>
      <c r="E4787">
        <v>0.54</v>
      </c>
      <c r="F4787">
        <v>0.54</v>
      </c>
      <c r="G4787">
        <v>0.49</v>
      </c>
      <c r="H4787">
        <v>0.52</v>
      </c>
      <c r="I4787" s="1">
        <v>81000</v>
      </c>
      <c r="J4787" s="1">
        <v>42490</v>
      </c>
      <c r="K4787">
        <v>4</v>
      </c>
      <c r="L4787">
        <v>0.48</v>
      </c>
      <c r="M4787">
        <v>0.49</v>
      </c>
      <c r="N4787" s="1">
        <v>10000000</v>
      </c>
      <c r="O4787">
        <v>0.49</v>
      </c>
      <c r="P4787">
        <v>0.81</v>
      </c>
      <c r="Q4787">
        <v>0.17</v>
      </c>
    </row>
    <row r="4788" spans="1:17" x14ac:dyDescent="0.25">
      <c r="A4788">
        <v>733717</v>
      </c>
      <c r="B4788" t="s">
        <v>6100</v>
      </c>
      <c r="C4788">
        <v>0.5</v>
      </c>
      <c r="D4788">
        <v>0</v>
      </c>
      <c r="E4788">
        <v>0.53</v>
      </c>
      <c r="F4788">
        <v>0.54</v>
      </c>
      <c r="G4788">
        <v>0.5</v>
      </c>
      <c r="H4788">
        <v>0.52</v>
      </c>
      <c r="I4788" s="1">
        <v>530000</v>
      </c>
      <c r="J4788" s="1">
        <v>276200</v>
      </c>
      <c r="K4788">
        <v>12</v>
      </c>
      <c r="L4788">
        <v>0.49</v>
      </c>
      <c r="M4788">
        <v>0.5</v>
      </c>
      <c r="N4788" s="1">
        <v>10000000</v>
      </c>
      <c r="O4788">
        <v>0.5</v>
      </c>
      <c r="P4788">
        <v>1.08</v>
      </c>
      <c r="Q4788">
        <v>0.01</v>
      </c>
    </row>
    <row r="4789" spans="1:17" x14ac:dyDescent="0.25">
      <c r="A4789">
        <v>733718</v>
      </c>
      <c r="B4789" t="s">
        <v>6101</v>
      </c>
      <c r="C4789">
        <v>0.56999999999999995</v>
      </c>
      <c r="D4789">
        <v>-0.05</v>
      </c>
      <c r="E4789">
        <v>0.64</v>
      </c>
      <c r="F4789">
        <v>0.65</v>
      </c>
      <c r="G4789">
        <v>0.56000000000000005</v>
      </c>
      <c r="H4789">
        <v>0.63</v>
      </c>
      <c r="I4789" s="1">
        <v>687000</v>
      </c>
      <c r="J4789" s="1">
        <v>430010</v>
      </c>
      <c r="K4789">
        <v>28</v>
      </c>
      <c r="L4789">
        <v>0.56999999999999995</v>
      </c>
      <c r="M4789">
        <v>0.59</v>
      </c>
      <c r="N4789" s="1">
        <v>5000000</v>
      </c>
      <c r="O4789">
        <v>0.56999999999999995</v>
      </c>
      <c r="P4789">
        <v>1.27</v>
      </c>
      <c r="Q4789">
        <v>0.01</v>
      </c>
    </row>
    <row r="4790" spans="1:17" x14ac:dyDescent="0.25">
      <c r="A4790">
        <v>733719</v>
      </c>
      <c r="B4790" t="s">
        <v>6102</v>
      </c>
      <c r="C4790">
        <v>1.48</v>
      </c>
      <c r="D4790">
        <v>0.03</v>
      </c>
      <c r="E4790">
        <v>1.46</v>
      </c>
      <c r="F4790">
        <v>1.52</v>
      </c>
      <c r="G4790">
        <v>1.45</v>
      </c>
      <c r="H4790">
        <v>1.48</v>
      </c>
      <c r="I4790" s="1">
        <v>434000</v>
      </c>
      <c r="J4790" s="1">
        <v>643660</v>
      </c>
      <c r="K4790">
        <v>18</v>
      </c>
      <c r="L4790">
        <v>1.46</v>
      </c>
      <c r="M4790">
        <v>1.48</v>
      </c>
      <c r="N4790" s="1">
        <v>10000000</v>
      </c>
      <c r="O4790">
        <v>1.48</v>
      </c>
      <c r="P4790">
        <v>2.09</v>
      </c>
      <c r="Q4790">
        <v>0.87</v>
      </c>
    </row>
    <row r="4791" spans="1:17" x14ac:dyDescent="0.25">
      <c r="A4791">
        <v>733720</v>
      </c>
      <c r="B4791" t="s">
        <v>6103</v>
      </c>
      <c r="C4791" t="s">
        <v>78</v>
      </c>
      <c r="D4791" t="s">
        <v>78</v>
      </c>
      <c r="E4791" t="s">
        <v>78</v>
      </c>
      <c r="F4791" t="s">
        <v>78</v>
      </c>
      <c r="G4791" t="s">
        <v>78</v>
      </c>
      <c r="H4791">
        <v>0.89</v>
      </c>
      <c r="I4791" s="1">
        <v>0</v>
      </c>
      <c r="J4791" s="1">
        <v>0</v>
      </c>
      <c r="K4791">
        <v>0</v>
      </c>
      <c r="L4791">
        <v>0.87</v>
      </c>
      <c r="M4791">
        <v>0.88</v>
      </c>
      <c r="N4791" s="1">
        <v>10000000</v>
      </c>
      <c r="O4791">
        <v>0.88</v>
      </c>
      <c r="P4791">
        <v>1.89</v>
      </c>
      <c r="Q4791">
        <v>0.01</v>
      </c>
    </row>
    <row r="4792" spans="1:17" x14ac:dyDescent="0.25">
      <c r="A4792">
        <v>733721</v>
      </c>
      <c r="B4792" t="s">
        <v>6104</v>
      </c>
      <c r="C4792">
        <v>1.96</v>
      </c>
      <c r="D4792">
        <v>0.1</v>
      </c>
      <c r="E4792">
        <v>1.98</v>
      </c>
      <c r="F4792">
        <v>2.04</v>
      </c>
      <c r="G4792">
        <v>1.96</v>
      </c>
      <c r="H4792">
        <v>2.0099999999999998</v>
      </c>
      <c r="I4792" s="1">
        <v>490000</v>
      </c>
      <c r="J4792" s="1">
        <v>984280</v>
      </c>
      <c r="K4792">
        <v>22</v>
      </c>
      <c r="L4792">
        <v>1.96</v>
      </c>
      <c r="M4792">
        <v>1.98</v>
      </c>
      <c r="N4792" s="1">
        <v>5000000</v>
      </c>
      <c r="O4792">
        <v>1.96</v>
      </c>
      <c r="P4792">
        <v>2.77</v>
      </c>
      <c r="Q4792">
        <v>1.1499999999999999</v>
      </c>
    </row>
    <row r="4793" spans="1:17" x14ac:dyDescent="0.25">
      <c r="A4793">
        <v>733722</v>
      </c>
      <c r="B4793" t="s">
        <v>6105</v>
      </c>
      <c r="C4793">
        <v>1.92</v>
      </c>
      <c r="D4793">
        <v>-0.08</v>
      </c>
      <c r="E4793">
        <v>1.94</v>
      </c>
      <c r="F4793">
        <v>2.0099999999999998</v>
      </c>
      <c r="G4793">
        <v>1.92</v>
      </c>
      <c r="H4793">
        <v>1.96</v>
      </c>
      <c r="I4793" s="1">
        <v>242000</v>
      </c>
      <c r="J4793" s="1">
        <v>474920</v>
      </c>
      <c r="K4793">
        <v>6</v>
      </c>
      <c r="L4793">
        <v>1.84</v>
      </c>
      <c r="M4793">
        <v>1.86</v>
      </c>
      <c r="N4793" s="1">
        <v>5000000</v>
      </c>
      <c r="O4793">
        <v>1.92</v>
      </c>
      <c r="P4793">
        <v>3.1</v>
      </c>
      <c r="Q4793">
        <v>0.74</v>
      </c>
    </row>
    <row r="4794" spans="1:17" x14ac:dyDescent="0.25">
      <c r="A4794">
        <v>733723</v>
      </c>
      <c r="B4794" t="s">
        <v>6106</v>
      </c>
      <c r="C4794" t="s">
        <v>78</v>
      </c>
      <c r="D4794" t="s">
        <v>78</v>
      </c>
      <c r="E4794" t="s">
        <v>78</v>
      </c>
      <c r="F4794" t="s">
        <v>78</v>
      </c>
      <c r="G4794" t="s">
        <v>78</v>
      </c>
      <c r="H4794">
        <v>0.83</v>
      </c>
      <c r="I4794" s="1">
        <v>0</v>
      </c>
      <c r="J4794" s="1">
        <v>0</v>
      </c>
      <c r="K4794">
        <v>0</v>
      </c>
      <c r="L4794">
        <v>0.67</v>
      </c>
      <c r="M4794">
        <v>0.68</v>
      </c>
      <c r="N4794" s="1">
        <v>10000000</v>
      </c>
      <c r="O4794">
        <v>0.68</v>
      </c>
      <c r="P4794">
        <v>1.28</v>
      </c>
      <c r="Q4794">
        <v>0.08</v>
      </c>
    </row>
    <row r="4795" spans="1:17" x14ac:dyDescent="0.25">
      <c r="A4795">
        <v>733724</v>
      </c>
      <c r="B4795" t="s">
        <v>6107</v>
      </c>
      <c r="C4795">
        <v>1.02</v>
      </c>
      <c r="D4795">
        <v>-0.08</v>
      </c>
      <c r="E4795">
        <v>1.08</v>
      </c>
      <c r="F4795">
        <v>1.1100000000000001</v>
      </c>
      <c r="G4795">
        <v>1.02</v>
      </c>
      <c r="H4795">
        <v>1.0900000000000001</v>
      </c>
      <c r="I4795" s="1">
        <v>460000</v>
      </c>
      <c r="J4795" s="1">
        <v>503400</v>
      </c>
      <c r="K4795">
        <v>13</v>
      </c>
      <c r="L4795">
        <v>0.99</v>
      </c>
      <c r="M4795">
        <v>1</v>
      </c>
      <c r="N4795" s="1">
        <v>5000000</v>
      </c>
      <c r="O4795">
        <v>1.02</v>
      </c>
      <c r="P4795">
        <v>2.14</v>
      </c>
      <c r="Q4795">
        <v>0.01</v>
      </c>
    </row>
    <row r="4796" spans="1:17" x14ac:dyDescent="0.25">
      <c r="A4796">
        <v>733725</v>
      </c>
      <c r="B4796" t="s">
        <v>6108</v>
      </c>
      <c r="C4796">
        <v>0.9</v>
      </c>
      <c r="D4796">
        <v>0.18</v>
      </c>
      <c r="E4796">
        <v>0.76</v>
      </c>
      <c r="F4796">
        <v>0.96</v>
      </c>
      <c r="G4796">
        <v>0.76</v>
      </c>
      <c r="H4796">
        <v>0.87</v>
      </c>
      <c r="I4796" s="1">
        <v>729000</v>
      </c>
      <c r="J4796" s="1">
        <v>637510</v>
      </c>
      <c r="K4796">
        <v>30</v>
      </c>
      <c r="L4796">
        <v>0.88</v>
      </c>
      <c r="M4796">
        <v>0.9</v>
      </c>
      <c r="N4796" s="1">
        <v>7000000</v>
      </c>
      <c r="O4796">
        <v>0.9</v>
      </c>
      <c r="P4796">
        <v>1.62</v>
      </c>
      <c r="Q4796">
        <v>0.18</v>
      </c>
    </row>
    <row r="4797" spans="1:17" x14ac:dyDescent="0.25">
      <c r="A4797">
        <v>733726</v>
      </c>
      <c r="B4797" t="s">
        <v>6109</v>
      </c>
      <c r="C4797">
        <v>1.26</v>
      </c>
      <c r="D4797">
        <v>0.04</v>
      </c>
      <c r="E4797">
        <v>1.1599999999999999</v>
      </c>
      <c r="F4797">
        <v>1.26</v>
      </c>
      <c r="G4797">
        <v>1.1399999999999999</v>
      </c>
      <c r="H4797">
        <v>1.19</v>
      </c>
      <c r="I4797" s="1">
        <v>1423000</v>
      </c>
      <c r="J4797" s="1">
        <v>1689460</v>
      </c>
      <c r="K4797">
        <v>16</v>
      </c>
      <c r="L4797">
        <v>1.21</v>
      </c>
      <c r="M4797">
        <v>1.22</v>
      </c>
      <c r="N4797" s="1">
        <v>5000000</v>
      </c>
      <c r="O4797">
        <v>1.26</v>
      </c>
      <c r="P4797">
        <v>2.42</v>
      </c>
      <c r="Q4797">
        <v>0.1</v>
      </c>
    </row>
    <row r="4798" spans="1:17" x14ac:dyDescent="0.25">
      <c r="A4798">
        <v>733727</v>
      </c>
      <c r="B4798" t="s">
        <v>6110</v>
      </c>
      <c r="C4798">
        <v>1.58</v>
      </c>
      <c r="D4798">
        <v>0.06</v>
      </c>
      <c r="E4798">
        <v>1.58</v>
      </c>
      <c r="F4798">
        <v>1.58</v>
      </c>
      <c r="G4798">
        <v>1.58</v>
      </c>
      <c r="H4798">
        <v>1.58</v>
      </c>
      <c r="I4798" s="1">
        <v>44000</v>
      </c>
      <c r="J4798" s="1">
        <v>69520</v>
      </c>
      <c r="K4798">
        <v>1</v>
      </c>
      <c r="L4798">
        <v>1.45</v>
      </c>
      <c r="M4798">
        <v>1.46</v>
      </c>
      <c r="N4798" s="1">
        <v>10000000</v>
      </c>
      <c r="O4798">
        <v>1.58</v>
      </c>
      <c r="P4798">
        <v>2.4</v>
      </c>
      <c r="Q4798">
        <v>0.76</v>
      </c>
    </row>
    <row r="4799" spans="1:17" x14ac:dyDescent="0.25">
      <c r="A4799">
        <v>733728</v>
      </c>
      <c r="B4799" t="s">
        <v>6111</v>
      </c>
      <c r="C4799">
        <v>0.94</v>
      </c>
      <c r="D4799">
        <v>0.02</v>
      </c>
      <c r="E4799">
        <v>0.94</v>
      </c>
      <c r="F4799">
        <v>0.94</v>
      </c>
      <c r="G4799">
        <v>0.94</v>
      </c>
      <c r="H4799">
        <v>0.94</v>
      </c>
      <c r="I4799" s="1">
        <v>10000</v>
      </c>
      <c r="J4799" s="1">
        <v>9400</v>
      </c>
      <c r="K4799">
        <v>1</v>
      </c>
      <c r="L4799">
        <v>0.92</v>
      </c>
      <c r="M4799">
        <v>0.93</v>
      </c>
      <c r="N4799" s="1">
        <v>10000000</v>
      </c>
      <c r="O4799">
        <v>0.94</v>
      </c>
      <c r="P4799">
        <v>1.54</v>
      </c>
      <c r="Q4799">
        <v>0.34</v>
      </c>
    </row>
    <row r="4800" spans="1:17" x14ac:dyDescent="0.25">
      <c r="A4800">
        <v>733729</v>
      </c>
      <c r="B4800" t="s">
        <v>6112</v>
      </c>
      <c r="C4800">
        <v>0.46</v>
      </c>
      <c r="D4800">
        <v>-0.03</v>
      </c>
      <c r="E4800">
        <v>0.48</v>
      </c>
      <c r="F4800">
        <v>0.5</v>
      </c>
      <c r="G4800">
        <v>0.46</v>
      </c>
      <c r="H4800">
        <v>0.49</v>
      </c>
      <c r="I4800" s="1">
        <v>260000</v>
      </c>
      <c r="J4800" s="1">
        <v>127100</v>
      </c>
      <c r="K4800">
        <v>3</v>
      </c>
      <c r="L4800">
        <v>0.44</v>
      </c>
      <c r="M4800">
        <v>0.45</v>
      </c>
      <c r="N4800" s="1">
        <v>5000000</v>
      </c>
      <c r="O4800">
        <v>0.46</v>
      </c>
      <c r="P4800">
        <v>0.96</v>
      </c>
      <c r="Q4800">
        <v>0.01</v>
      </c>
    </row>
    <row r="4801" spans="1:17" x14ac:dyDescent="0.25">
      <c r="A4801">
        <v>733730</v>
      </c>
      <c r="B4801" t="s">
        <v>6113</v>
      </c>
      <c r="C4801">
        <v>1.83</v>
      </c>
      <c r="D4801">
        <v>0.46</v>
      </c>
      <c r="E4801">
        <v>1.51</v>
      </c>
      <c r="F4801">
        <v>1.83</v>
      </c>
      <c r="G4801">
        <v>1.49</v>
      </c>
      <c r="H4801">
        <v>1.58</v>
      </c>
      <c r="I4801" s="1">
        <v>165000</v>
      </c>
      <c r="J4801" s="1">
        <v>260250</v>
      </c>
      <c r="K4801">
        <v>8</v>
      </c>
      <c r="L4801">
        <v>1.81</v>
      </c>
      <c r="M4801">
        <v>1.85</v>
      </c>
      <c r="N4801" s="1">
        <v>10000000</v>
      </c>
      <c r="O4801">
        <v>1.83</v>
      </c>
      <c r="P4801">
        <v>3.26</v>
      </c>
      <c r="Q4801">
        <v>0.4</v>
      </c>
    </row>
    <row r="4802" spans="1:17" x14ac:dyDescent="0.25">
      <c r="A4802">
        <v>733731</v>
      </c>
      <c r="B4802" t="s">
        <v>6114</v>
      </c>
      <c r="C4802">
        <v>1.58</v>
      </c>
      <c r="D4802">
        <v>0.01</v>
      </c>
      <c r="E4802">
        <v>1.59</v>
      </c>
      <c r="F4802">
        <v>1.6</v>
      </c>
      <c r="G4802">
        <v>1.55</v>
      </c>
      <c r="H4802">
        <v>1.59</v>
      </c>
      <c r="I4802" s="1">
        <v>566000</v>
      </c>
      <c r="J4802" s="1">
        <v>898290</v>
      </c>
      <c r="K4802">
        <v>12</v>
      </c>
      <c r="L4802">
        <v>1.64</v>
      </c>
      <c r="M4802">
        <v>1.65</v>
      </c>
      <c r="N4802" s="1">
        <v>10000000</v>
      </c>
      <c r="O4802">
        <v>1.58</v>
      </c>
      <c r="P4802">
        <v>3</v>
      </c>
      <c r="Q4802">
        <v>0.16</v>
      </c>
    </row>
    <row r="4803" spans="1:17" x14ac:dyDescent="0.25">
      <c r="A4803">
        <v>733732</v>
      </c>
      <c r="B4803" t="s">
        <v>6115</v>
      </c>
      <c r="C4803">
        <v>1.42</v>
      </c>
      <c r="D4803">
        <v>-0.17</v>
      </c>
      <c r="E4803">
        <v>1.49</v>
      </c>
      <c r="F4803">
        <v>1.49</v>
      </c>
      <c r="G4803">
        <v>1.42</v>
      </c>
      <c r="H4803">
        <v>1.48</v>
      </c>
      <c r="I4803" s="1">
        <v>119000</v>
      </c>
      <c r="J4803" s="1">
        <v>176050</v>
      </c>
      <c r="K4803">
        <v>2</v>
      </c>
      <c r="L4803">
        <v>1.43</v>
      </c>
      <c r="M4803">
        <v>1.44</v>
      </c>
      <c r="N4803" s="1">
        <v>5000000</v>
      </c>
      <c r="O4803">
        <v>1.42</v>
      </c>
      <c r="P4803">
        <v>2.38</v>
      </c>
      <c r="Q4803">
        <v>0.46</v>
      </c>
    </row>
    <row r="4804" spans="1:17" x14ac:dyDescent="0.25">
      <c r="A4804">
        <v>733733</v>
      </c>
      <c r="B4804" t="s">
        <v>6116</v>
      </c>
      <c r="C4804">
        <v>0.8</v>
      </c>
      <c r="D4804">
        <v>0.03</v>
      </c>
      <c r="E4804">
        <v>0.78</v>
      </c>
      <c r="F4804">
        <v>0.83</v>
      </c>
      <c r="G4804">
        <v>0.78</v>
      </c>
      <c r="H4804">
        <v>0.79</v>
      </c>
      <c r="I4804" s="1">
        <v>520000</v>
      </c>
      <c r="J4804" s="1">
        <v>413000</v>
      </c>
      <c r="K4804">
        <v>8</v>
      </c>
      <c r="L4804">
        <v>0.76</v>
      </c>
      <c r="M4804">
        <v>0.77</v>
      </c>
      <c r="N4804" s="1">
        <v>5000000</v>
      </c>
      <c r="O4804">
        <v>0.8</v>
      </c>
      <c r="P4804">
        <v>1.38</v>
      </c>
      <c r="Q4804">
        <v>0.22</v>
      </c>
    </row>
    <row r="4805" spans="1:17" x14ac:dyDescent="0.25">
      <c r="A4805">
        <v>733734</v>
      </c>
      <c r="B4805" t="s">
        <v>6117</v>
      </c>
      <c r="C4805">
        <v>0.72</v>
      </c>
      <c r="D4805">
        <v>0.02</v>
      </c>
      <c r="E4805">
        <v>0.72</v>
      </c>
      <c r="F4805">
        <v>0.72</v>
      </c>
      <c r="G4805">
        <v>0.71</v>
      </c>
      <c r="H4805">
        <v>0.72</v>
      </c>
      <c r="I4805" s="1">
        <v>200000</v>
      </c>
      <c r="J4805" s="1">
        <v>143900</v>
      </c>
      <c r="K4805">
        <v>4</v>
      </c>
      <c r="L4805">
        <v>0.69</v>
      </c>
      <c r="M4805">
        <v>0.7</v>
      </c>
      <c r="N4805" s="1">
        <v>10000000</v>
      </c>
      <c r="O4805">
        <v>0.72</v>
      </c>
      <c r="P4805">
        <v>1.31</v>
      </c>
      <c r="Q4805">
        <v>0.13</v>
      </c>
    </row>
    <row r="4806" spans="1:17" x14ac:dyDescent="0.25">
      <c r="A4806">
        <v>733735</v>
      </c>
      <c r="B4806" t="s">
        <v>6118</v>
      </c>
      <c r="C4806">
        <v>1.76</v>
      </c>
      <c r="D4806">
        <v>-0.08</v>
      </c>
      <c r="E4806">
        <v>1.84</v>
      </c>
      <c r="F4806">
        <v>1.93</v>
      </c>
      <c r="G4806">
        <v>1.76</v>
      </c>
      <c r="H4806">
        <v>1.84</v>
      </c>
      <c r="I4806" s="1">
        <v>240000</v>
      </c>
      <c r="J4806" s="1">
        <v>441960</v>
      </c>
      <c r="K4806">
        <v>11</v>
      </c>
      <c r="L4806">
        <v>1.75</v>
      </c>
      <c r="M4806">
        <v>1.76</v>
      </c>
      <c r="N4806" s="1">
        <v>10000000</v>
      </c>
      <c r="O4806">
        <v>1.76</v>
      </c>
      <c r="P4806">
        <v>3.4</v>
      </c>
      <c r="Q4806">
        <v>0.12</v>
      </c>
    </row>
    <row r="4807" spans="1:17" x14ac:dyDescent="0.25">
      <c r="A4807">
        <v>733736</v>
      </c>
      <c r="B4807" t="s">
        <v>6119</v>
      </c>
      <c r="C4807">
        <v>1.0900000000000001</v>
      </c>
      <c r="D4807">
        <v>0.09</v>
      </c>
      <c r="E4807">
        <v>1.08</v>
      </c>
      <c r="F4807">
        <v>1.1299999999999999</v>
      </c>
      <c r="G4807">
        <v>1.05</v>
      </c>
      <c r="H4807">
        <v>1.1100000000000001</v>
      </c>
      <c r="I4807" s="1">
        <v>929000</v>
      </c>
      <c r="J4807" s="1">
        <v>1027630</v>
      </c>
      <c r="K4807">
        <v>35</v>
      </c>
      <c r="L4807">
        <v>1.02</v>
      </c>
      <c r="M4807">
        <v>1.03</v>
      </c>
      <c r="N4807" s="1">
        <v>10000000</v>
      </c>
      <c r="O4807">
        <v>1.0900000000000001</v>
      </c>
      <c r="P4807">
        <v>1.85</v>
      </c>
      <c r="Q4807">
        <v>0.33</v>
      </c>
    </row>
    <row r="4808" spans="1:17" x14ac:dyDescent="0.25">
      <c r="A4808">
        <v>733737</v>
      </c>
      <c r="B4808" t="s">
        <v>6120</v>
      </c>
      <c r="C4808">
        <v>0.55000000000000004</v>
      </c>
      <c r="D4808">
        <v>0.03</v>
      </c>
      <c r="E4808">
        <v>0.55000000000000004</v>
      </c>
      <c r="F4808">
        <v>0.55000000000000004</v>
      </c>
      <c r="G4808">
        <v>0.55000000000000004</v>
      </c>
      <c r="H4808">
        <v>0.55000000000000004</v>
      </c>
      <c r="I4808" s="1">
        <v>150000</v>
      </c>
      <c r="J4808" s="1">
        <v>82500</v>
      </c>
      <c r="K4808">
        <v>2</v>
      </c>
      <c r="L4808">
        <v>0.49</v>
      </c>
      <c r="M4808">
        <v>0.5</v>
      </c>
      <c r="N4808" s="1">
        <v>10000000</v>
      </c>
      <c r="O4808">
        <v>0.55000000000000004</v>
      </c>
      <c r="P4808">
        <v>0.97</v>
      </c>
      <c r="Q4808">
        <v>0.13</v>
      </c>
    </row>
    <row r="4809" spans="1:17" x14ac:dyDescent="0.25">
      <c r="A4809">
        <v>733738</v>
      </c>
      <c r="B4809" t="s">
        <v>6121</v>
      </c>
      <c r="C4809">
        <v>0.78</v>
      </c>
      <c r="D4809">
        <v>0</v>
      </c>
      <c r="E4809">
        <v>0.78</v>
      </c>
      <c r="F4809">
        <v>0.78</v>
      </c>
      <c r="G4809">
        <v>0.78</v>
      </c>
      <c r="H4809">
        <v>0.78</v>
      </c>
      <c r="I4809" s="1">
        <v>100000</v>
      </c>
      <c r="J4809" s="1">
        <v>78000</v>
      </c>
      <c r="K4809">
        <v>3</v>
      </c>
      <c r="L4809">
        <v>0.78</v>
      </c>
      <c r="M4809">
        <v>0.79</v>
      </c>
      <c r="N4809" s="1">
        <v>7850000</v>
      </c>
      <c r="O4809">
        <v>0.78</v>
      </c>
      <c r="P4809">
        <v>1.17</v>
      </c>
      <c r="Q4809">
        <v>0.39</v>
      </c>
    </row>
    <row r="4810" spans="1:17" x14ac:dyDescent="0.25">
      <c r="A4810">
        <v>733739</v>
      </c>
      <c r="B4810" t="s">
        <v>6122</v>
      </c>
      <c r="C4810">
        <v>0.86</v>
      </c>
      <c r="D4810">
        <v>0.01</v>
      </c>
      <c r="E4810">
        <v>0.86</v>
      </c>
      <c r="F4810">
        <v>0.86</v>
      </c>
      <c r="G4810">
        <v>0.84</v>
      </c>
      <c r="H4810">
        <v>0.85</v>
      </c>
      <c r="I4810" s="1">
        <v>323000</v>
      </c>
      <c r="J4810" s="1">
        <v>274860</v>
      </c>
      <c r="K4810">
        <v>7</v>
      </c>
      <c r="L4810">
        <v>0.84</v>
      </c>
      <c r="M4810">
        <v>0.85</v>
      </c>
      <c r="N4810" s="1">
        <v>5000000</v>
      </c>
      <c r="O4810">
        <v>0.86</v>
      </c>
      <c r="P4810">
        <v>1.45</v>
      </c>
      <c r="Q4810">
        <v>0.26</v>
      </c>
    </row>
    <row r="4811" spans="1:17" x14ac:dyDescent="0.25">
      <c r="A4811">
        <v>733740</v>
      </c>
      <c r="B4811" t="s">
        <v>6123</v>
      </c>
      <c r="C4811" t="s">
        <v>78</v>
      </c>
      <c r="D4811" t="s">
        <v>78</v>
      </c>
      <c r="E4811" t="s">
        <v>78</v>
      </c>
      <c r="F4811" t="s">
        <v>78</v>
      </c>
      <c r="G4811" t="s">
        <v>78</v>
      </c>
      <c r="H4811">
        <v>0.68</v>
      </c>
      <c r="I4811" s="1">
        <v>0</v>
      </c>
      <c r="J4811" s="1">
        <v>0</v>
      </c>
      <c r="K4811">
        <v>0</v>
      </c>
      <c r="L4811">
        <v>0.63</v>
      </c>
      <c r="M4811">
        <v>0.64</v>
      </c>
      <c r="N4811" s="1">
        <v>5000000</v>
      </c>
      <c r="O4811">
        <v>0.64</v>
      </c>
      <c r="P4811">
        <v>1.23</v>
      </c>
      <c r="Q4811">
        <v>0.04</v>
      </c>
    </row>
    <row r="4812" spans="1:17" x14ac:dyDescent="0.25">
      <c r="A4812">
        <v>733741</v>
      </c>
      <c r="B4812" t="s">
        <v>6124</v>
      </c>
      <c r="C4812" t="s">
        <v>78</v>
      </c>
      <c r="D4812" t="s">
        <v>78</v>
      </c>
      <c r="E4812" t="s">
        <v>78</v>
      </c>
      <c r="F4812" t="s">
        <v>78</v>
      </c>
      <c r="G4812" t="s">
        <v>78</v>
      </c>
      <c r="H4812">
        <v>0.54</v>
      </c>
      <c r="I4812" s="1">
        <v>0</v>
      </c>
      <c r="J4812" s="1">
        <v>0</v>
      </c>
      <c r="K4812">
        <v>0</v>
      </c>
      <c r="L4812">
        <v>0.5</v>
      </c>
      <c r="M4812">
        <v>0.51</v>
      </c>
      <c r="N4812" s="1">
        <v>5000000</v>
      </c>
      <c r="O4812">
        <v>0.51</v>
      </c>
      <c r="P4812">
        <v>1.21</v>
      </c>
      <c r="Q4812">
        <v>0.01</v>
      </c>
    </row>
    <row r="4813" spans="1:17" x14ac:dyDescent="0.25">
      <c r="A4813">
        <v>733742</v>
      </c>
      <c r="B4813" t="s">
        <v>6125</v>
      </c>
      <c r="C4813">
        <v>0.87</v>
      </c>
      <c r="D4813">
        <v>-0.04</v>
      </c>
      <c r="E4813">
        <v>0.89</v>
      </c>
      <c r="F4813">
        <v>0.9</v>
      </c>
      <c r="G4813">
        <v>0.87</v>
      </c>
      <c r="H4813">
        <v>0.88</v>
      </c>
      <c r="I4813" s="1">
        <v>232000</v>
      </c>
      <c r="J4813" s="1">
        <v>204880</v>
      </c>
      <c r="K4813">
        <v>5</v>
      </c>
      <c r="L4813">
        <v>0.86</v>
      </c>
      <c r="M4813">
        <v>0.87</v>
      </c>
      <c r="N4813" s="1">
        <v>10000000</v>
      </c>
      <c r="O4813">
        <v>0.87</v>
      </c>
      <c r="P4813">
        <v>1.59</v>
      </c>
      <c r="Q4813">
        <v>0.15</v>
      </c>
    </row>
    <row r="4814" spans="1:17" x14ac:dyDescent="0.25">
      <c r="A4814">
        <v>733743</v>
      </c>
      <c r="B4814" t="s">
        <v>6126</v>
      </c>
      <c r="C4814">
        <v>1.2</v>
      </c>
      <c r="D4814">
        <v>0</v>
      </c>
      <c r="E4814">
        <v>1.22</v>
      </c>
      <c r="F4814">
        <v>1.22</v>
      </c>
      <c r="G4814">
        <v>1.2</v>
      </c>
      <c r="H4814">
        <v>1.22</v>
      </c>
      <c r="I4814" s="1">
        <v>103000</v>
      </c>
      <c r="J4814" s="1">
        <v>125480</v>
      </c>
      <c r="K4814">
        <v>2</v>
      </c>
      <c r="L4814">
        <v>1.18</v>
      </c>
      <c r="M4814">
        <v>1.19</v>
      </c>
      <c r="N4814" s="1">
        <v>10000000</v>
      </c>
      <c r="O4814">
        <v>1.2</v>
      </c>
      <c r="P4814">
        <v>1.82</v>
      </c>
      <c r="Q4814">
        <v>0.56999999999999995</v>
      </c>
    </row>
    <row r="4815" spans="1:17" x14ac:dyDescent="0.25">
      <c r="A4815">
        <v>733744</v>
      </c>
      <c r="B4815" t="s">
        <v>6127</v>
      </c>
      <c r="C4815">
        <v>0.75</v>
      </c>
      <c r="D4815">
        <v>-0.01</v>
      </c>
      <c r="E4815">
        <v>0.77</v>
      </c>
      <c r="F4815">
        <v>0.78</v>
      </c>
      <c r="G4815">
        <v>0.73</v>
      </c>
      <c r="H4815">
        <v>0.75</v>
      </c>
      <c r="I4815" s="1">
        <v>417000</v>
      </c>
      <c r="J4815" s="1">
        <v>314560</v>
      </c>
      <c r="K4815">
        <v>13</v>
      </c>
      <c r="L4815">
        <v>0.73</v>
      </c>
      <c r="M4815">
        <v>0.74</v>
      </c>
      <c r="N4815" s="1">
        <v>10000000</v>
      </c>
      <c r="O4815">
        <v>0.75</v>
      </c>
      <c r="P4815">
        <v>1.07</v>
      </c>
      <c r="Q4815">
        <v>0.43</v>
      </c>
    </row>
    <row r="4816" spans="1:17" x14ac:dyDescent="0.25">
      <c r="A4816">
        <v>733745</v>
      </c>
      <c r="B4816" t="s">
        <v>6128</v>
      </c>
      <c r="C4816">
        <v>1.22</v>
      </c>
      <c r="D4816">
        <v>0</v>
      </c>
      <c r="E4816">
        <v>1.24</v>
      </c>
      <c r="F4816">
        <v>1.31</v>
      </c>
      <c r="G4816">
        <v>1.22</v>
      </c>
      <c r="H4816">
        <v>1.28</v>
      </c>
      <c r="I4816" s="1">
        <v>737000</v>
      </c>
      <c r="J4816" s="1">
        <v>944960</v>
      </c>
      <c r="K4816">
        <v>17</v>
      </c>
      <c r="L4816">
        <v>1.19</v>
      </c>
      <c r="M4816">
        <v>1.27</v>
      </c>
      <c r="N4816" s="1">
        <v>5000000</v>
      </c>
      <c r="O4816">
        <v>1.22</v>
      </c>
      <c r="P4816">
        <v>2.2000000000000002</v>
      </c>
      <c r="Q4816">
        <v>0.24</v>
      </c>
    </row>
    <row r="4817" spans="1:17" x14ac:dyDescent="0.25">
      <c r="A4817">
        <v>733746</v>
      </c>
      <c r="B4817" t="s">
        <v>6129</v>
      </c>
      <c r="C4817">
        <v>0.81</v>
      </c>
      <c r="D4817">
        <v>0</v>
      </c>
      <c r="E4817">
        <v>0.82</v>
      </c>
      <c r="F4817">
        <v>0.87</v>
      </c>
      <c r="G4817">
        <v>0.8</v>
      </c>
      <c r="H4817">
        <v>0.82</v>
      </c>
      <c r="I4817" s="1">
        <v>343000</v>
      </c>
      <c r="J4817" s="1">
        <v>280790</v>
      </c>
      <c r="K4817">
        <v>15</v>
      </c>
      <c r="L4817">
        <v>0.8</v>
      </c>
      <c r="M4817">
        <v>0.81</v>
      </c>
      <c r="N4817" s="1">
        <v>10000000</v>
      </c>
      <c r="O4817">
        <v>0.81</v>
      </c>
      <c r="P4817">
        <v>1.24</v>
      </c>
      <c r="Q4817">
        <v>0.38</v>
      </c>
    </row>
    <row r="4818" spans="1:17" x14ac:dyDescent="0.25">
      <c r="A4818">
        <v>733747</v>
      </c>
      <c r="B4818" t="s">
        <v>6130</v>
      </c>
      <c r="C4818">
        <v>0.92</v>
      </c>
      <c r="D4818">
        <v>-0.01</v>
      </c>
      <c r="E4818">
        <v>0.93</v>
      </c>
      <c r="F4818">
        <v>0.94</v>
      </c>
      <c r="G4818">
        <v>0.92</v>
      </c>
      <c r="H4818">
        <v>0.93</v>
      </c>
      <c r="I4818" s="1">
        <v>267000</v>
      </c>
      <c r="J4818" s="1">
        <v>247060</v>
      </c>
      <c r="K4818">
        <v>9</v>
      </c>
      <c r="L4818">
        <v>0.9</v>
      </c>
      <c r="M4818">
        <v>0.91</v>
      </c>
      <c r="N4818" s="1">
        <v>10000000</v>
      </c>
      <c r="O4818">
        <v>0.92</v>
      </c>
      <c r="P4818">
        <v>1.56</v>
      </c>
      <c r="Q4818">
        <v>0.28000000000000003</v>
      </c>
    </row>
    <row r="4819" spans="1:17" x14ac:dyDescent="0.25">
      <c r="A4819">
        <v>733748</v>
      </c>
      <c r="B4819" t="s">
        <v>6131</v>
      </c>
      <c r="C4819">
        <v>0.74</v>
      </c>
      <c r="D4819">
        <v>-0.02</v>
      </c>
      <c r="E4819">
        <v>0.76</v>
      </c>
      <c r="F4819">
        <v>0.78</v>
      </c>
      <c r="G4819">
        <v>0.72</v>
      </c>
      <c r="H4819">
        <v>0.74</v>
      </c>
      <c r="I4819" s="1">
        <v>845000</v>
      </c>
      <c r="J4819" s="1">
        <v>628460</v>
      </c>
      <c r="K4819">
        <v>23</v>
      </c>
      <c r="L4819">
        <v>0.72</v>
      </c>
      <c r="M4819">
        <v>0.73</v>
      </c>
      <c r="N4819" s="1">
        <v>15000000</v>
      </c>
      <c r="O4819">
        <v>0.74</v>
      </c>
      <c r="P4819">
        <v>1.1200000000000001</v>
      </c>
      <c r="Q4819">
        <v>0.36</v>
      </c>
    </row>
    <row r="4820" spans="1:17" x14ac:dyDescent="0.25">
      <c r="A4820">
        <v>733749</v>
      </c>
      <c r="B4820" t="s">
        <v>6132</v>
      </c>
      <c r="C4820">
        <v>0.87</v>
      </c>
      <c r="D4820">
        <v>0.05</v>
      </c>
      <c r="E4820">
        <v>0.84</v>
      </c>
      <c r="F4820">
        <v>0.87</v>
      </c>
      <c r="G4820">
        <v>0.84</v>
      </c>
      <c r="H4820">
        <v>0.86</v>
      </c>
      <c r="I4820" s="1">
        <v>356000</v>
      </c>
      <c r="J4820" s="1">
        <v>304770</v>
      </c>
      <c r="K4820">
        <v>10</v>
      </c>
      <c r="L4820">
        <v>0.86</v>
      </c>
      <c r="M4820">
        <v>0.87</v>
      </c>
      <c r="N4820" s="1">
        <v>13000000</v>
      </c>
      <c r="O4820">
        <v>0.87</v>
      </c>
      <c r="P4820">
        <v>1.36</v>
      </c>
      <c r="Q4820">
        <v>0.38</v>
      </c>
    </row>
    <row r="4821" spans="1:17" x14ac:dyDescent="0.25">
      <c r="A4821">
        <v>733750</v>
      </c>
      <c r="B4821" t="s">
        <v>6133</v>
      </c>
      <c r="C4821">
        <v>0.92</v>
      </c>
      <c r="D4821">
        <v>-0.08</v>
      </c>
      <c r="E4821">
        <v>0.98</v>
      </c>
      <c r="F4821">
        <v>0.98</v>
      </c>
      <c r="G4821">
        <v>0.92</v>
      </c>
      <c r="H4821">
        <v>0.97</v>
      </c>
      <c r="I4821" s="1">
        <v>25000</v>
      </c>
      <c r="J4821" s="1">
        <v>24200</v>
      </c>
      <c r="K4821">
        <v>2</v>
      </c>
      <c r="L4821">
        <v>0.93</v>
      </c>
      <c r="M4821">
        <v>0.94</v>
      </c>
      <c r="N4821" s="1">
        <v>10000000</v>
      </c>
      <c r="O4821">
        <v>0.92</v>
      </c>
      <c r="P4821">
        <v>1.41</v>
      </c>
      <c r="Q4821">
        <v>0.43</v>
      </c>
    </row>
    <row r="4822" spans="1:17" x14ac:dyDescent="0.25">
      <c r="A4822">
        <v>733751</v>
      </c>
      <c r="B4822" t="s">
        <v>6134</v>
      </c>
      <c r="C4822">
        <v>0.6</v>
      </c>
      <c r="D4822">
        <v>0.11</v>
      </c>
      <c r="E4822">
        <v>0.54</v>
      </c>
      <c r="F4822">
        <v>0.66</v>
      </c>
      <c r="G4822">
        <v>0.51</v>
      </c>
      <c r="H4822">
        <v>0.61</v>
      </c>
      <c r="I4822" s="1">
        <v>177000</v>
      </c>
      <c r="J4822" s="1">
        <v>108020</v>
      </c>
      <c r="K4822">
        <v>15</v>
      </c>
      <c r="L4822">
        <v>0.57999999999999996</v>
      </c>
      <c r="M4822">
        <v>0.6</v>
      </c>
      <c r="N4822" s="1">
        <v>5000000</v>
      </c>
      <c r="O4822">
        <v>0.6</v>
      </c>
      <c r="P4822">
        <v>1.46</v>
      </c>
      <c r="Q4822">
        <v>0.01</v>
      </c>
    </row>
    <row r="4823" spans="1:17" x14ac:dyDescent="0.25">
      <c r="A4823">
        <v>733752</v>
      </c>
      <c r="B4823" t="s">
        <v>6135</v>
      </c>
      <c r="C4823">
        <v>0.93</v>
      </c>
      <c r="D4823">
        <v>7.0000000000000007E-2</v>
      </c>
      <c r="E4823">
        <v>0.93</v>
      </c>
      <c r="F4823">
        <v>0.93</v>
      </c>
      <c r="G4823">
        <v>0.93</v>
      </c>
      <c r="H4823">
        <v>0.93</v>
      </c>
      <c r="I4823" s="1">
        <v>1000</v>
      </c>
      <c r="J4823" s="1">
        <v>930</v>
      </c>
      <c r="K4823">
        <v>1</v>
      </c>
      <c r="L4823">
        <v>0.92</v>
      </c>
      <c r="M4823">
        <v>0.93</v>
      </c>
      <c r="N4823" s="1">
        <v>10000000</v>
      </c>
      <c r="O4823">
        <v>0.93</v>
      </c>
      <c r="P4823">
        <v>1.87</v>
      </c>
      <c r="Q4823">
        <v>0.01</v>
      </c>
    </row>
    <row r="4824" spans="1:17" x14ac:dyDescent="0.25">
      <c r="A4824">
        <v>733753</v>
      </c>
      <c r="B4824" t="s">
        <v>6136</v>
      </c>
      <c r="C4824">
        <v>0.81</v>
      </c>
      <c r="D4824">
        <v>-0.02</v>
      </c>
      <c r="E4824">
        <v>0.89</v>
      </c>
      <c r="F4824">
        <v>0.89</v>
      </c>
      <c r="G4824">
        <v>0.8</v>
      </c>
      <c r="H4824">
        <v>0.84</v>
      </c>
      <c r="I4824" s="1">
        <v>55000</v>
      </c>
      <c r="J4824" s="1">
        <v>46000</v>
      </c>
      <c r="K4824">
        <v>5</v>
      </c>
      <c r="L4824">
        <v>0.82</v>
      </c>
      <c r="M4824">
        <v>0.83</v>
      </c>
      <c r="N4824" s="1">
        <v>10000000</v>
      </c>
      <c r="O4824">
        <v>0.81</v>
      </c>
      <c r="P4824">
        <v>1.37</v>
      </c>
      <c r="Q4824">
        <v>0.25</v>
      </c>
    </row>
    <row r="4825" spans="1:17" x14ac:dyDescent="0.25">
      <c r="A4825">
        <v>733754</v>
      </c>
      <c r="B4825" t="s">
        <v>6137</v>
      </c>
      <c r="C4825">
        <v>0.68</v>
      </c>
      <c r="D4825">
        <v>-0.03</v>
      </c>
      <c r="E4825">
        <v>0.69</v>
      </c>
      <c r="F4825">
        <v>0.71</v>
      </c>
      <c r="G4825">
        <v>0.68</v>
      </c>
      <c r="H4825">
        <v>0.69</v>
      </c>
      <c r="I4825" s="1">
        <v>122000</v>
      </c>
      <c r="J4825" s="1">
        <v>84720</v>
      </c>
      <c r="K4825">
        <v>4</v>
      </c>
      <c r="L4825">
        <v>0.68</v>
      </c>
      <c r="M4825">
        <v>0.69</v>
      </c>
      <c r="N4825" s="1">
        <v>10000000</v>
      </c>
      <c r="O4825">
        <v>0.68</v>
      </c>
      <c r="P4825">
        <v>1.01</v>
      </c>
      <c r="Q4825">
        <v>0.35</v>
      </c>
    </row>
    <row r="4826" spans="1:17" x14ac:dyDescent="0.25">
      <c r="A4826">
        <v>733755</v>
      </c>
      <c r="B4826" t="s">
        <v>6138</v>
      </c>
      <c r="C4826">
        <v>0.89</v>
      </c>
      <c r="D4826">
        <v>0.02</v>
      </c>
      <c r="E4826">
        <v>0.87</v>
      </c>
      <c r="F4826">
        <v>0.92</v>
      </c>
      <c r="G4826">
        <v>0.86</v>
      </c>
      <c r="H4826">
        <v>0.89</v>
      </c>
      <c r="I4826" s="1">
        <v>729000</v>
      </c>
      <c r="J4826" s="1">
        <v>647050</v>
      </c>
      <c r="K4826">
        <v>24</v>
      </c>
      <c r="L4826">
        <v>0.86</v>
      </c>
      <c r="M4826">
        <v>0.87</v>
      </c>
      <c r="N4826" s="1">
        <v>5000000</v>
      </c>
      <c r="O4826">
        <v>0.89</v>
      </c>
      <c r="P4826">
        <v>1.61</v>
      </c>
      <c r="Q4826">
        <v>0.17</v>
      </c>
    </row>
    <row r="4827" spans="1:17" x14ac:dyDescent="0.25">
      <c r="A4827">
        <v>733756</v>
      </c>
      <c r="B4827" t="s">
        <v>6139</v>
      </c>
      <c r="C4827" t="s">
        <v>78</v>
      </c>
      <c r="D4827" t="s">
        <v>78</v>
      </c>
      <c r="E4827" t="s">
        <v>78</v>
      </c>
      <c r="F4827" t="s">
        <v>78</v>
      </c>
      <c r="G4827" t="s">
        <v>78</v>
      </c>
      <c r="H4827">
        <v>0.59</v>
      </c>
      <c r="I4827" s="1">
        <v>0</v>
      </c>
      <c r="J4827" s="1">
        <v>0</v>
      </c>
      <c r="K4827">
        <v>0</v>
      </c>
      <c r="L4827">
        <v>0.59</v>
      </c>
      <c r="M4827">
        <v>0.6</v>
      </c>
      <c r="N4827" s="1">
        <v>10000000</v>
      </c>
      <c r="O4827">
        <v>0.59</v>
      </c>
      <c r="P4827">
        <v>1.05</v>
      </c>
      <c r="Q4827">
        <v>0.12</v>
      </c>
    </row>
    <row r="4828" spans="1:17" x14ac:dyDescent="0.25">
      <c r="A4828">
        <v>733757</v>
      </c>
      <c r="B4828" t="s">
        <v>6140</v>
      </c>
      <c r="C4828">
        <v>0.85</v>
      </c>
      <c r="D4828">
        <v>-0.08</v>
      </c>
      <c r="E4828">
        <v>0.97</v>
      </c>
      <c r="F4828">
        <v>0.97</v>
      </c>
      <c r="G4828">
        <v>0.85</v>
      </c>
      <c r="H4828">
        <v>0.92</v>
      </c>
      <c r="I4828" s="1">
        <v>194000</v>
      </c>
      <c r="J4828" s="1">
        <v>177980</v>
      </c>
      <c r="K4828">
        <v>11</v>
      </c>
      <c r="L4828">
        <v>0.81</v>
      </c>
      <c r="M4828">
        <v>0.82</v>
      </c>
      <c r="N4828" s="1">
        <v>5000000</v>
      </c>
      <c r="O4828">
        <v>0.85</v>
      </c>
      <c r="P4828">
        <v>1.64</v>
      </c>
      <c r="Q4828">
        <v>0.06</v>
      </c>
    </row>
    <row r="4829" spans="1:17" x14ac:dyDescent="0.25">
      <c r="A4829">
        <v>733758</v>
      </c>
      <c r="B4829" t="s">
        <v>6141</v>
      </c>
      <c r="C4829">
        <v>0.7</v>
      </c>
      <c r="D4829">
        <v>-0.04</v>
      </c>
      <c r="E4829">
        <v>0.77</v>
      </c>
      <c r="F4829">
        <v>0.79</v>
      </c>
      <c r="G4829">
        <v>0.7</v>
      </c>
      <c r="H4829">
        <v>0.76</v>
      </c>
      <c r="I4829" s="1">
        <v>310000</v>
      </c>
      <c r="J4829" s="1">
        <v>236180</v>
      </c>
      <c r="K4829">
        <v>17</v>
      </c>
      <c r="L4829">
        <v>0.68</v>
      </c>
      <c r="M4829">
        <v>0.69</v>
      </c>
      <c r="N4829" s="1">
        <v>5000000</v>
      </c>
      <c r="O4829">
        <v>0.7</v>
      </c>
      <c r="P4829">
        <v>1.22</v>
      </c>
      <c r="Q4829">
        <v>0.18</v>
      </c>
    </row>
    <row r="4830" spans="1:17" x14ac:dyDescent="0.25">
      <c r="A4830">
        <v>733759</v>
      </c>
      <c r="B4830" t="s">
        <v>6142</v>
      </c>
      <c r="C4830">
        <v>0.46</v>
      </c>
      <c r="D4830">
        <v>-0.01</v>
      </c>
      <c r="E4830">
        <v>0.45</v>
      </c>
      <c r="F4830">
        <v>0.46</v>
      </c>
      <c r="G4830">
        <v>0.45</v>
      </c>
      <c r="H4830">
        <v>0.45</v>
      </c>
      <c r="I4830" s="1">
        <v>62000</v>
      </c>
      <c r="J4830" s="1">
        <v>27940</v>
      </c>
      <c r="K4830">
        <v>2</v>
      </c>
      <c r="L4830">
        <v>0.45</v>
      </c>
      <c r="M4830">
        <v>0.46</v>
      </c>
      <c r="N4830" s="1">
        <v>5000000</v>
      </c>
      <c r="O4830">
        <v>0.46</v>
      </c>
      <c r="P4830">
        <v>1.29</v>
      </c>
      <c r="Q4830">
        <v>0.01</v>
      </c>
    </row>
    <row r="4831" spans="1:17" x14ac:dyDescent="0.25">
      <c r="A4831">
        <v>733760</v>
      </c>
      <c r="B4831" t="s">
        <v>6143</v>
      </c>
      <c r="C4831">
        <v>1.25</v>
      </c>
      <c r="D4831">
        <v>0.13</v>
      </c>
      <c r="E4831">
        <v>1.0900000000000001</v>
      </c>
      <c r="F4831">
        <v>1.25</v>
      </c>
      <c r="G4831">
        <v>1.08</v>
      </c>
      <c r="H4831">
        <v>1.19</v>
      </c>
      <c r="I4831" s="1">
        <v>441000</v>
      </c>
      <c r="J4831" s="1">
        <v>525000</v>
      </c>
      <c r="K4831">
        <v>13</v>
      </c>
      <c r="L4831">
        <v>1.19</v>
      </c>
      <c r="M4831">
        <v>1.2</v>
      </c>
      <c r="N4831" s="1">
        <v>5000000</v>
      </c>
      <c r="O4831">
        <v>1.25</v>
      </c>
      <c r="P4831">
        <v>2.12</v>
      </c>
      <c r="Q4831">
        <v>0.38</v>
      </c>
    </row>
    <row r="4832" spans="1:17" x14ac:dyDescent="0.25">
      <c r="A4832">
        <v>733761</v>
      </c>
      <c r="B4832" t="s">
        <v>6144</v>
      </c>
      <c r="C4832">
        <v>0.96</v>
      </c>
      <c r="D4832">
        <v>0.2</v>
      </c>
      <c r="E4832">
        <v>0.8</v>
      </c>
      <c r="F4832">
        <v>1</v>
      </c>
      <c r="G4832">
        <v>0.78</v>
      </c>
      <c r="H4832">
        <v>0.89</v>
      </c>
      <c r="I4832" s="1">
        <v>1981000</v>
      </c>
      <c r="J4832" s="1">
        <v>1772620</v>
      </c>
      <c r="K4832">
        <v>51</v>
      </c>
      <c r="L4832">
        <v>0.96</v>
      </c>
      <c r="M4832">
        <v>0.98</v>
      </c>
      <c r="N4832" s="1">
        <v>10000000</v>
      </c>
      <c r="O4832">
        <v>0.96</v>
      </c>
      <c r="P4832">
        <v>1.68</v>
      </c>
      <c r="Q4832">
        <v>0.24</v>
      </c>
    </row>
    <row r="4833" spans="1:17" x14ac:dyDescent="0.25">
      <c r="A4833">
        <v>733762</v>
      </c>
      <c r="B4833" t="s">
        <v>6145</v>
      </c>
      <c r="C4833">
        <v>0.9</v>
      </c>
      <c r="D4833">
        <v>-0.02</v>
      </c>
      <c r="E4833">
        <v>0.9</v>
      </c>
      <c r="F4833">
        <v>0.9</v>
      </c>
      <c r="G4833">
        <v>0.9</v>
      </c>
      <c r="H4833">
        <v>0.9</v>
      </c>
      <c r="I4833" s="1">
        <v>10000</v>
      </c>
      <c r="J4833" s="1">
        <v>9000</v>
      </c>
      <c r="K4833">
        <v>1</v>
      </c>
      <c r="L4833">
        <v>0.91</v>
      </c>
      <c r="M4833">
        <v>0.92</v>
      </c>
      <c r="N4833" s="1">
        <v>10000000</v>
      </c>
      <c r="O4833">
        <v>0.9</v>
      </c>
      <c r="P4833">
        <v>1.55</v>
      </c>
      <c r="Q4833">
        <v>0.25</v>
      </c>
    </row>
    <row r="4834" spans="1:17" x14ac:dyDescent="0.25">
      <c r="A4834">
        <v>733763</v>
      </c>
      <c r="B4834" t="s">
        <v>6146</v>
      </c>
      <c r="C4834">
        <v>1.1599999999999999</v>
      </c>
      <c r="D4834">
        <v>0</v>
      </c>
      <c r="E4834">
        <v>1.18</v>
      </c>
      <c r="F4834">
        <v>1.23</v>
      </c>
      <c r="G4834">
        <v>1.1599999999999999</v>
      </c>
      <c r="H4834">
        <v>1.22</v>
      </c>
      <c r="I4834" s="1">
        <v>462000</v>
      </c>
      <c r="J4834" s="1">
        <v>563170</v>
      </c>
      <c r="K4834">
        <v>8</v>
      </c>
      <c r="L4834">
        <v>1.1299999999999999</v>
      </c>
      <c r="M4834">
        <v>1.2</v>
      </c>
      <c r="N4834" s="1">
        <v>10000000</v>
      </c>
      <c r="O4834">
        <v>1.1599999999999999</v>
      </c>
      <c r="P4834">
        <v>1.95</v>
      </c>
      <c r="Q4834">
        <v>0.37</v>
      </c>
    </row>
    <row r="4835" spans="1:17" x14ac:dyDescent="0.25">
      <c r="A4835">
        <v>733764</v>
      </c>
      <c r="B4835" t="s">
        <v>6147</v>
      </c>
      <c r="C4835">
        <v>0.9</v>
      </c>
      <c r="D4835">
        <v>-0.05</v>
      </c>
      <c r="E4835">
        <v>0.95</v>
      </c>
      <c r="F4835">
        <v>0.98</v>
      </c>
      <c r="G4835">
        <v>0.89</v>
      </c>
      <c r="H4835">
        <v>0.94</v>
      </c>
      <c r="I4835" s="1">
        <v>1194000</v>
      </c>
      <c r="J4835" s="1">
        <v>1119440</v>
      </c>
      <c r="K4835">
        <v>47</v>
      </c>
      <c r="L4835">
        <v>0.92</v>
      </c>
      <c r="M4835">
        <v>0.93</v>
      </c>
      <c r="N4835" s="1">
        <v>10000000</v>
      </c>
      <c r="O4835">
        <v>0.9</v>
      </c>
      <c r="P4835">
        <v>1.32</v>
      </c>
      <c r="Q4835">
        <v>0.48</v>
      </c>
    </row>
    <row r="4836" spans="1:17" x14ac:dyDescent="0.25">
      <c r="A4836">
        <v>733765</v>
      </c>
      <c r="B4836" t="s">
        <v>6148</v>
      </c>
      <c r="C4836">
        <v>1.06</v>
      </c>
      <c r="D4836">
        <v>0.02</v>
      </c>
      <c r="E4836">
        <v>1.1000000000000001</v>
      </c>
      <c r="F4836">
        <v>1.1100000000000001</v>
      </c>
      <c r="G4836">
        <v>1.06</v>
      </c>
      <c r="H4836">
        <v>1.08</v>
      </c>
      <c r="I4836" s="1">
        <v>61000</v>
      </c>
      <c r="J4836" s="1">
        <v>65930</v>
      </c>
      <c r="K4836">
        <v>5</v>
      </c>
      <c r="L4836">
        <v>1.04</v>
      </c>
      <c r="M4836">
        <v>1.05</v>
      </c>
      <c r="N4836" s="1">
        <v>10000000</v>
      </c>
      <c r="O4836">
        <v>1.06</v>
      </c>
      <c r="P4836">
        <v>1.73</v>
      </c>
      <c r="Q4836">
        <v>0.39</v>
      </c>
    </row>
    <row r="4837" spans="1:17" x14ac:dyDescent="0.25">
      <c r="A4837">
        <v>733766</v>
      </c>
      <c r="B4837" t="s">
        <v>6149</v>
      </c>
      <c r="C4837">
        <v>0.76</v>
      </c>
      <c r="D4837">
        <v>0.06</v>
      </c>
      <c r="E4837">
        <v>0.76</v>
      </c>
      <c r="F4837">
        <v>0.76</v>
      </c>
      <c r="G4837">
        <v>0.76</v>
      </c>
      <c r="H4837">
        <v>0.76</v>
      </c>
      <c r="I4837" s="1">
        <v>5000</v>
      </c>
      <c r="J4837" s="1">
        <v>3800</v>
      </c>
      <c r="K4837">
        <v>1</v>
      </c>
      <c r="L4837">
        <v>0.74</v>
      </c>
      <c r="M4837">
        <v>0.76</v>
      </c>
      <c r="N4837" s="1">
        <v>7000000</v>
      </c>
      <c r="O4837">
        <v>0.76</v>
      </c>
      <c r="P4837">
        <v>1.23</v>
      </c>
      <c r="Q4837">
        <v>0.28999999999999998</v>
      </c>
    </row>
    <row r="4838" spans="1:17" x14ac:dyDescent="0.25">
      <c r="A4838">
        <v>733767</v>
      </c>
      <c r="B4838" t="s">
        <v>6150</v>
      </c>
      <c r="C4838">
        <v>0.69</v>
      </c>
      <c r="D4838">
        <v>0</v>
      </c>
      <c r="E4838">
        <v>0.69</v>
      </c>
      <c r="F4838">
        <v>0.71</v>
      </c>
      <c r="G4838">
        <v>0.69</v>
      </c>
      <c r="H4838">
        <v>0.7</v>
      </c>
      <c r="I4838" s="1">
        <v>153000</v>
      </c>
      <c r="J4838" s="1">
        <v>106550</v>
      </c>
      <c r="K4838">
        <v>6</v>
      </c>
      <c r="L4838">
        <v>0.68</v>
      </c>
      <c r="M4838">
        <v>0.69</v>
      </c>
      <c r="N4838" s="1">
        <v>10000000</v>
      </c>
      <c r="O4838">
        <v>0.69</v>
      </c>
      <c r="P4838">
        <v>1.19</v>
      </c>
      <c r="Q4838">
        <v>0.19</v>
      </c>
    </row>
    <row r="4839" spans="1:17" x14ac:dyDescent="0.25">
      <c r="A4839">
        <v>733768</v>
      </c>
      <c r="B4839" t="s">
        <v>6151</v>
      </c>
      <c r="C4839">
        <v>0.97</v>
      </c>
      <c r="D4839">
        <v>-0.04</v>
      </c>
      <c r="E4839">
        <v>1</v>
      </c>
      <c r="F4839">
        <v>1</v>
      </c>
      <c r="G4839">
        <v>0.95</v>
      </c>
      <c r="H4839">
        <v>0.97</v>
      </c>
      <c r="I4839" s="1">
        <v>262000</v>
      </c>
      <c r="J4839" s="1">
        <v>254030</v>
      </c>
      <c r="K4839">
        <v>13</v>
      </c>
      <c r="L4839">
        <v>0.96</v>
      </c>
      <c r="M4839">
        <v>0.97</v>
      </c>
      <c r="N4839" s="1">
        <v>5000000</v>
      </c>
      <c r="O4839">
        <v>0.97</v>
      </c>
      <c r="P4839">
        <v>1.67</v>
      </c>
      <c r="Q4839">
        <v>0.27</v>
      </c>
    </row>
    <row r="4840" spans="1:17" x14ac:dyDescent="0.25">
      <c r="A4840">
        <v>733769</v>
      </c>
      <c r="B4840" t="s">
        <v>6152</v>
      </c>
      <c r="C4840">
        <v>1.02</v>
      </c>
      <c r="D4840">
        <v>-0.06</v>
      </c>
      <c r="E4840">
        <v>1.08</v>
      </c>
      <c r="F4840">
        <v>1.08</v>
      </c>
      <c r="G4840">
        <v>1.02</v>
      </c>
      <c r="H4840">
        <v>1.04</v>
      </c>
      <c r="I4840" s="1">
        <v>280000</v>
      </c>
      <c r="J4840" s="1">
        <v>292330</v>
      </c>
      <c r="K4840">
        <v>5</v>
      </c>
      <c r="L4840">
        <v>1.03</v>
      </c>
      <c r="M4840">
        <v>1.04</v>
      </c>
      <c r="N4840" s="1">
        <v>10000000</v>
      </c>
      <c r="O4840">
        <v>1.02</v>
      </c>
      <c r="P4840">
        <v>1.82</v>
      </c>
      <c r="Q4840">
        <v>0.22</v>
      </c>
    </row>
    <row r="4841" spans="1:17" x14ac:dyDescent="0.25">
      <c r="A4841">
        <v>733770</v>
      </c>
      <c r="B4841" t="s">
        <v>6153</v>
      </c>
      <c r="C4841">
        <v>2.15</v>
      </c>
      <c r="D4841">
        <v>-0.03</v>
      </c>
      <c r="E4841">
        <v>2.2200000000000002</v>
      </c>
      <c r="F4841">
        <v>2.33</v>
      </c>
      <c r="G4841">
        <v>2.15</v>
      </c>
      <c r="H4841">
        <v>2.2400000000000002</v>
      </c>
      <c r="I4841" s="1">
        <v>330000</v>
      </c>
      <c r="J4841" s="1">
        <v>737910</v>
      </c>
      <c r="K4841">
        <v>10</v>
      </c>
      <c r="L4841">
        <v>2.14</v>
      </c>
      <c r="M4841">
        <v>2.15</v>
      </c>
      <c r="N4841" s="1">
        <v>10000000</v>
      </c>
      <c r="O4841">
        <v>2.15</v>
      </c>
      <c r="P4841">
        <v>3.79</v>
      </c>
      <c r="Q4841">
        <v>0.51</v>
      </c>
    </row>
    <row r="4842" spans="1:17" x14ac:dyDescent="0.25">
      <c r="A4842">
        <v>733771</v>
      </c>
      <c r="B4842" t="s">
        <v>6154</v>
      </c>
      <c r="C4842">
        <v>1.51</v>
      </c>
      <c r="D4842">
        <v>0.19</v>
      </c>
      <c r="E4842">
        <v>1.36</v>
      </c>
      <c r="F4842">
        <v>1.51</v>
      </c>
      <c r="G4842">
        <v>1.36</v>
      </c>
      <c r="H4842">
        <v>1.41</v>
      </c>
      <c r="I4842" s="1">
        <v>1763000</v>
      </c>
      <c r="J4842" s="1">
        <v>2480540</v>
      </c>
      <c r="K4842">
        <v>49</v>
      </c>
      <c r="L4842">
        <v>1.56</v>
      </c>
      <c r="M4842">
        <v>1.58</v>
      </c>
      <c r="N4842" s="1">
        <v>10000000</v>
      </c>
      <c r="O4842">
        <v>1.51</v>
      </c>
      <c r="P4842">
        <v>2.2799999999999998</v>
      </c>
      <c r="Q4842">
        <v>0.74</v>
      </c>
    </row>
    <row r="4843" spans="1:17" x14ac:dyDescent="0.25">
      <c r="A4843">
        <v>733772</v>
      </c>
      <c r="B4843" t="s">
        <v>6155</v>
      </c>
      <c r="C4843">
        <v>0.72</v>
      </c>
      <c r="D4843">
        <v>0</v>
      </c>
      <c r="E4843">
        <v>0.78</v>
      </c>
      <c r="F4843">
        <v>0.78</v>
      </c>
      <c r="G4843">
        <v>0.72</v>
      </c>
      <c r="H4843">
        <v>0.74</v>
      </c>
      <c r="I4843" s="1">
        <v>15000</v>
      </c>
      <c r="J4843" s="1">
        <v>11100</v>
      </c>
      <c r="K4843">
        <v>2</v>
      </c>
      <c r="L4843">
        <v>0.71</v>
      </c>
      <c r="M4843">
        <v>0.73</v>
      </c>
      <c r="N4843" s="1">
        <v>10000000</v>
      </c>
      <c r="O4843">
        <v>0.72</v>
      </c>
      <c r="P4843">
        <v>1.1299999999999999</v>
      </c>
      <c r="Q4843">
        <v>0.31</v>
      </c>
    </row>
    <row r="4844" spans="1:17" x14ac:dyDescent="0.25">
      <c r="A4844">
        <v>733773</v>
      </c>
      <c r="B4844" t="s">
        <v>6156</v>
      </c>
      <c r="C4844">
        <v>1.1200000000000001</v>
      </c>
      <c r="D4844">
        <v>-0.04</v>
      </c>
      <c r="E4844">
        <v>1.1499999999999999</v>
      </c>
      <c r="F4844">
        <v>1.1499999999999999</v>
      </c>
      <c r="G4844">
        <v>1.1200000000000001</v>
      </c>
      <c r="H4844">
        <v>1.1399999999999999</v>
      </c>
      <c r="I4844" s="1">
        <v>148000</v>
      </c>
      <c r="J4844" s="1">
        <v>168690</v>
      </c>
      <c r="K4844">
        <v>5</v>
      </c>
      <c r="L4844">
        <v>1.08</v>
      </c>
      <c r="M4844">
        <v>1.0900000000000001</v>
      </c>
      <c r="N4844" s="1">
        <v>10000000</v>
      </c>
      <c r="O4844">
        <v>1.1200000000000001</v>
      </c>
      <c r="P4844">
        <v>1.8</v>
      </c>
      <c r="Q4844">
        <v>0.44</v>
      </c>
    </row>
    <row r="4845" spans="1:17" x14ac:dyDescent="0.25">
      <c r="A4845">
        <v>733774</v>
      </c>
      <c r="B4845" t="s">
        <v>6157</v>
      </c>
      <c r="C4845">
        <v>0.87</v>
      </c>
      <c r="D4845">
        <v>0.02</v>
      </c>
      <c r="E4845">
        <v>0.82</v>
      </c>
      <c r="F4845">
        <v>0.88</v>
      </c>
      <c r="G4845">
        <v>0.76</v>
      </c>
      <c r="H4845">
        <v>0.82</v>
      </c>
      <c r="I4845" s="1">
        <v>983000</v>
      </c>
      <c r="J4845" s="1">
        <v>810220</v>
      </c>
      <c r="K4845">
        <v>22</v>
      </c>
      <c r="L4845">
        <v>0.86</v>
      </c>
      <c r="M4845">
        <v>0.87</v>
      </c>
      <c r="N4845" s="1">
        <v>5000000</v>
      </c>
      <c r="O4845">
        <v>0.87</v>
      </c>
      <c r="P4845">
        <v>1.53</v>
      </c>
      <c r="Q4845">
        <v>0.21</v>
      </c>
    </row>
    <row r="4846" spans="1:17" x14ac:dyDescent="0.25">
      <c r="A4846">
        <v>733775</v>
      </c>
      <c r="B4846" t="s">
        <v>6158</v>
      </c>
      <c r="C4846" t="s">
        <v>78</v>
      </c>
      <c r="D4846" t="s">
        <v>78</v>
      </c>
      <c r="E4846" t="s">
        <v>78</v>
      </c>
      <c r="F4846" t="s">
        <v>78</v>
      </c>
      <c r="G4846" t="s">
        <v>78</v>
      </c>
      <c r="H4846">
        <v>1.25</v>
      </c>
      <c r="I4846" s="1">
        <v>0</v>
      </c>
      <c r="J4846" s="1">
        <v>0</v>
      </c>
      <c r="K4846">
        <v>0</v>
      </c>
      <c r="L4846">
        <v>1.18</v>
      </c>
      <c r="M4846">
        <v>1.23</v>
      </c>
      <c r="N4846" s="1">
        <v>10000000</v>
      </c>
      <c r="O4846">
        <v>1.18</v>
      </c>
      <c r="P4846">
        <v>2.54</v>
      </c>
      <c r="Q4846">
        <v>0.01</v>
      </c>
    </row>
    <row r="4847" spans="1:17" x14ac:dyDescent="0.25">
      <c r="A4847">
        <v>733776</v>
      </c>
      <c r="B4847" t="s">
        <v>6159</v>
      </c>
      <c r="C4847">
        <v>1.82</v>
      </c>
      <c r="D4847">
        <v>-0.24</v>
      </c>
      <c r="E4847">
        <v>2.19</v>
      </c>
      <c r="F4847">
        <v>2.2000000000000002</v>
      </c>
      <c r="G4847">
        <v>1.82</v>
      </c>
      <c r="H4847">
        <v>2.1</v>
      </c>
      <c r="I4847" s="1">
        <v>677000</v>
      </c>
      <c r="J4847" s="1">
        <v>1424350</v>
      </c>
      <c r="K4847">
        <v>51</v>
      </c>
      <c r="L4847">
        <v>1.8</v>
      </c>
      <c r="M4847">
        <v>1.83</v>
      </c>
      <c r="N4847" s="1">
        <v>5000000</v>
      </c>
      <c r="O4847">
        <v>1.82</v>
      </c>
      <c r="P4847">
        <v>2.89</v>
      </c>
      <c r="Q4847">
        <v>0.75</v>
      </c>
    </row>
    <row r="4848" spans="1:17" x14ac:dyDescent="0.25">
      <c r="A4848">
        <v>733777</v>
      </c>
      <c r="B4848" t="s">
        <v>6160</v>
      </c>
      <c r="C4848">
        <v>1.7</v>
      </c>
      <c r="D4848">
        <v>-0.35</v>
      </c>
      <c r="E4848">
        <v>1.81</v>
      </c>
      <c r="F4848">
        <v>1.81</v>
      </c>
      <c r="G4848">
        <v>1.7</v>
      </c>
      <c r="H4848">
        <v>1.71</v>
      </c>
      <c r="I4848" s="1">
        <v>296000</v>
      </c>
      <c r="J4848" s="1">
        <v>506160</v>
      </c>
      <c r="K4848">
        <v>8</v>
      </c>
      <c r="L4848">
        <v>1.77</v>
      </c>
      <c r="M4848">
        <v>1.87</v>
      </c>
      <c r="N4848" s="1">
        <v>10000000</v>
      </c>
      <c r="O4848">
        <v>1.7</v>
      </c>
      <c r="P4848">
        <v>2.37</v>
      </c>
      <c r="Q4848">
        <v>1.03</v>
      </c>
    </row>
    <row r="4849" spans="1:17" x14ac:dyDescent="0.25">
      <c r="A4849">
        <v>733778</v>
      </c>
      <c r="B4849" t="s">
        <v>6161</v>
      </c>
      <c r="C4849">
        <v>0.91</v>
      </c>
      <c r="D4849">
        <v>0.05</v>
      </c>
      <c r="E4849">
        <v>0.89</v>
      </c>
      <c r="F4849">
        <v>0.93</v>
      </c>
      <c r="G4849">
        <v>0.85</v>
      </c>
      <c r="H4849">
        <v>0.89</v>
      </c>
      <c r="I4849" s="1">
        <v>255000</v>
      </c>
      <c r="J4849" s="1">
        <v>225770</v>
      </c>
      <c r="K4849">
        <v>17</v>
      </c>
      <c r="L4849">
        <v>0.9</v>
      </c>
      <c r="M4849">
        <v>0.91</v>
      </c>
      <c r="N4849" s="1">
        <v>5000000</v>
      </c>
      <c r="O4849">
        <v>0.91</v>
      </c>
      <c r="P4849">
        <v>1.54</v>
      </c>
      <c r="Q4849">
        <v>0.28000000000000003</v>
      </c>
    </row>
    <row r="4850" spans="1:17" x14ac:dyDescent="0.25">
      <c r="A4850">
        <v>733779</v>
      </c>
      <c r="B4850" t="s">
        <v>6162</v>
      </c>
      <c r="C4850">
        <v>0.9</v>
      </c>
      <c r="D4850">
        <v>0.02</v>
      </c>
      <c r="E4850">
        <v>0.96</v>
      </c>
      <c r="F4850">
        <v>0.98</v>
      </c>
      <c r="G4850">
        <v>0.89</v>
      </c>
      <c r="H4850">
        <v>0.94</v>
      </c>
      <c r="I4850" s="1">
        <v>2353000</v>
      </c>
      <c r="J4850" s="1">
        <v>2210630</v>
      </c>
      <c r="K4850">
        <v>75</v>
      </c>
      <c r="L4850">
        <v>0.89</v>
      </c>
      <c r="M4850">
        <v>0.9</v>
      </c>
      <c r="N4850" s="1">
        <v>5000000</v>
      </c>
      <c r="O4850">
        <v>0.9</v>
      </c>
      <c r="P4850">
        <v>1.45</v>
      </c>
      <c r="Q4850">
        <v>0.35</v>
      </c>
    </row>
    <row r="4851" spans="1:17" x14ac:dyDescent="0.25">
      <c r="A4851">
        <v>733780</v>
      </c>
      <c r="B4851" t="s">
        <v>6163</v>
      </c>
      <c r="C4851">
        <v>0.74</v>
      </c>
      <c r="D4851">
        <v>0</v>
      </c>
      <c r="E4851">
        <v>0.79</v>
      </c>
      <c r="F4851">
        <v>0.83</v>
      </c>
      <c r="G4851">
        <v>0.74</v>
      </c>
      <c r="H4851">
        <v>0.79</v>
      </c>
      <c r="I4851" s="1">
        <v>1735000</v>
      </c>
      <c r="J4851" s="1">
        <v>1378460</v>
      </c>
      <c r="K4851">
        <v>46</v>
      </c>
      <c r="L4851">
        <v>0.72</v>
      </c>
      <c r="M4851">
        <v>0.73</v>
      </c>
      <c r="N4851" s="1">
        <v>5000000</v>
      </c>
      <c r="O4851">
        <v>0.74</v>
      </c>
      <c r="P4851">
        <v>1.32</v>
      </c>
      <c r="Q4851">
        <v>0.16</v>
      </c>
    </row>
    <row r="4852" spans="1:17" x14ac:dyDescent="0.25">
      <c r="A4852">
        <v>733781</v>
      </c>
      <c r="B4852" t="s">
        <v>6164</v>
      </c>
      <c r="C4852">
        <v>0.66</v>
      </c>
      <c r="D4852">
        <v>-0.04</v>
      </c>
      <c r="E4852">
        <v>0.64</v>
      </c>
      <c r="F4852">
        <v>0.66</v>
      </c>
      <c r="G4852">
        <v>0.62</v>
      </c>
      <c r="H4852">
        <v>0.64</v>
      </c>
      <c r="I4852" s="1">
        <v>757000</v>
      </c>
      <c r="J4852" s="1">
        <v>481260</v>
      </c>
      <c r="K4852">
        <v>8</v>
      </c>
      <c r="L4852">
        <v>0.64</v>
      </c>
      <c r="M4852">
        <v>0.65</v>
      </c>
      <c r="N4852" s="1">
        <v>10000000</v>
      </c>
      <c r="O4852">
        <v>0.66</v>
      </c>
      <c r="P4852">
        <v>1.47</v>
      </c>
      <c r="Q4852">
        <v>0.01</v>
      </c>
    </row>
    <row r="4853" spans="1:17" x14ac:dyDescent="0.25">
      <c r="A4853">
        <v>733782</v>
      </c>
      <c r="B4853" t="s">
        <v>6165</v>
      </c>
      <c r="C4853">
        <v>1.18</v>
      </c>
      <c r="D4853">
        <v>0.03</v>
      </c>
      <c r="E4853">
        <v>1.1000000000000001</v>
      </c>
      <c r="F4853">
        <v>1.18</v>
      </c>
      <c r="G4853">
        <v>1.1000000000000001</v>
      </c>
      <c r="H4853">
        <v>1.1299999999999999</v>
      </c>
      <c r="I4853" s="1">
        <v>882000</v>
      </c>
      <c r="J4853" s="1">
        <v>992510</v>
      </c>
      <c r="K4853">
        <v>19</v>
      </c>
      <c r="L4853">
        <v>1.1599999999999999</v>
      </c>
      <c r="M4853">
        <v>1.18</v>
      </c>
      <c r="N4853" s="1">
        <v>10000000</v>
      </c>
      <c r="O4853">
        <v>1.18</v>
      </c>
      <c r="P4853">
        <v>1.96</v>
      </c>
      <c r="Q4853">
        <v>0.4</v>
      </c>
    </row>
    <row r="4854" spans="1:17" x14ac:dyDescent="0.25">
      <c r="A4854">
        <v>733783</v>
      </c>
      <c r="B4854" t="s">
        <v>6166</v>
      </c>
      <c r="C4854">
        <v>3.56</v>
      </c>
      <c r="D4854">
        <v>-0.06</v>
      </c>
      <c r="E4854">
        <v>3.05</v>
      </c>
      <c r="F4854">
        <v>3.56</v>
      </c>
      <c r="G4854">
        <v>2.95</v>
      </c>
      <c r="H4854">
        <v>3.14</v>
      </c>
      <c r="I4854" s="1">
        <v>1930000</v>
      </c>
      <c r="J4854" s="1">
        <v>6068690</v>
      </c>
      <c r="K4854">
        <v>52</v>
      </c>
      <c r="L4854">
        <v>3.46</v>
      </c>
      <c r="M4854">
        <v>3.56</v>
      </c>
      <c r="N4854" s="1">
        <v>5000000</v>
      </c>
      <c r="O4854">
        <v>3.56</v>
      </c>
      <c r="P4854">
        <v>5.2</v>
      </c>
      <c r="Q4854">
        <v>1.9</v>
      </c>
    </row>
    <row r="4855" spans="1:17" x14ac:dyDescent="0.25">
      <c r="A4855">
        <v>733784</v>
      </c>
      <c r="B4855" t="s">
        <v>6167</v>
      </c>
      <c r="C4855">
        <v>0.8</v>
      </c>
      <c r="D4855">
        <v>-0.04</v>
      </c>
      <c r="E4855">
        <v>0.8</v>
      </c>
      <c r="F4855">
        <v>0.8</v>
      </c>
      <c r="G4855">
        <v>0.8</v>
      </c>
      <c r="H4855">
        <v>0.8</v>
      </c>
      <c r="I4855" s="1">
        <v>201000</v>
      </c>
      <c r="J4855" s="1">
        <v>160800</v>
      </c>
      <c r="K4855">
        <v>2</v>
      </c>
      <c r="L4855">
        <v>0.8</v>
      </c>
      <c r="M4855">
        <v>0.81</v>
      </c>
      <c r="N4855" s="1">
        <v>10000000</v>
      </c>
      <c r="O4855">
        <v>0.8</v>
      </c>
      <c r="P4855">
        <v>1.22</v>
      </c>
      <c r="Q4855">
        <v>0.38</v>
      </c>
    </row>
    <row r="4856" spans="1:17" x14ac:dyDescent="0.25">
      <c r="A4856">
        <v>733785</v>
      </c>
      <c r="B4856" t="s">
        <v>6168</v>
      </c>
      <c r="C4856">
        <v>0.91</v>
      </c>
      <c r="D4856">
        <v>-0.04</v>
      </c>
      <c r="E4856">
        <v>0.96</v>
      </c>
      <c r="F4856">
        <v>0.98</v>
      </c>
      <c r="G4856">
        <v>0.91</v>
      </c>
      <c r="H4856">
        <v>0.95</v>
      </c>
      <c r="I4856" s="1">
        <v>419000</v>
      </c>
      <c r="J4856" s="1">
        <v>399040</v>
      </c>
      <c r="K4856">
        <v>14</v>
      </c>
      <c r="L4856">
        <v>0.92</v>
      </c>
      <c r="M4856">
        <v>0.93</v>
      </c>
      <c r="N4856" s="1">
        <v>10000000</v>
      </c>
      <c r="O4856">
        <v>0.91</v>
      </c>
      <c r="P4856">
        <v>1.33</v>
      </c>
      <c r="Q4856">
        <v>0.49</v>
      </c>
    </row>
    <row r="4857" spans="1:17" x14ac:dyDescent="0.25">
      <c r="A4857">
        <v>733786</v>
      </c>
      <c r="B4857" t="s">
        <v>6169</v>
      </c>
      <c r="C4857">
        <v>1.06</v>
      </c>
      <c r="D4857">
        <v>-0.08</v>
      </c>
      <c r="E4857">
        <v>1.05</v>
      </c>
      <c r="F4857">
        <v>1.06</v>
      </c>
      <c r="G4857">
        <v>1.03</v>
      </c>
      <c r="H4857">
        <v>1.04</v>
      </c>
      <c r="I4857" s="1">
        <v>62000</v>
      </c>
      <c r="J4857" s="1">
        <v>64380</v>
      </c>
      <c r="K4857">
        <v>10</v>
      </c>
      <c r="L4857">
        <v>1.05</v>
      </c>
      <c r="M4857">
        <v>1.07</v>
      </c>
      <c r="N4857" s="1">
        <v>10000000</v>
      </c>
      <c r="O4857">
        <v>1.06</v>
      </c>
      <c r="P4857">
        <v>1.93</v>
      </c>
      <c r="Q4857">
        <v>0.19</v>
      </c>
    </row>
    <row r="4858" spans="1:17" x14ac:dyDescent="0.25">
      <c r="A4858">
        <v>733787</v>
      </c>
      <c r="B4858" t="s">
        <v>6170</v>
      </c>
      <c r="C4858">
        <v>0.95</v>
      </c>
      <c r="D4858">
        <v>0.06</v>
      </c>
      <c r="E4858">
        <v>0.87</v>
      </c>
      <c r="F4858">
        <v>0.95</v>
      </c>
      <c r="G4858">
        <v>0.87</v>
      </c>
      <c r="H4858">
        <v>0.91</v>
      </c>
      <c r="I4858" s="1">
        <v>431000</v>
      </c>
      <c r="J4858" s="1">
        <v>393050</v>
      </c>
      <c r="K4858">
        <v>12</v>
      </c>
      <c r="L4858">
        <v>0.96</v>
      </c>
      <c r="M4858">
        <v>1</v>
      </c>
      <c r="N4858" s="1">
        <v>10000000</v>
      </c>
      <c r="O4858">
        <v>0.95</v>
      </c>
      <c r="P4858">
        <v>1.95</v>
      </c>
      <c r="Q4858">
        <v>0.01</v>
      </c>
    </row>
    <row r="4859" spans="1:17" x14ac:dyDescent="0.25">
      <c r="A4859">
        <v>733788</v>
      </c>
      <c r="B4859" t="s">
        <v>6171</v>
      </c>
      <c r="C4859">
        <v>0.96</v>
      </c>
      <c r="D4859">
        <v>-0.04</v>
      </c>
      <c r="E4859">
        <v>1.04</v>
      </c>
      <c r="F4859">
        <v>1.04</v>
      </c>
      <c r="G4859">
        <v>0.96</v>
      </c>
      <c r="H4859">
        <v>1.02</v>
      </c>
      <c r="I4859" s="1">
        <v>1166000</v>
      </c>
      <c r="J4859" s="1">
        <v>1183490</v>
      </c>
      <c r="K4859">
        <v>32</v>
      </c>
      <c r="L4859">
        <v>0.96</v>
      </c>
      <c r="M4859">
        <v>0.97</v>
      </c>
      <c r="N4859" s="1">
        <v>10000000</v>
      </c>
      <c r="O4859">
        <v>0.96</v>
      </c>
      <c r="P4859">
        <v>1.59</v>
      </c>
      <c r="Q4859">
        <v>0.33</v>
      </c>
    </row>
    <row r="4860" spans="1:17" x14ac:dyDescent="0.25">
      <c r="A4860">
        <v>733789</v>
      </c>
      <c r="B4860" t="s">
        <v>6172</v>
      </c>
      <c r="C4860">
        <v>0.72</v>
      </c>
      <c r="D4860">
        <v>0.08</v>
      </c>
      <c r="E4860">
        <v>0.72</v>
      </c>
      <c r="F4860">
        <v>0.73</v>
      </c>
      <c r="G4860">
        <v>0.72</v>
      </c>
      <c r="H4860">
        <v>0.72</v>
      </c>
      <c r="I4860" s="1">
        <v>96000</v>
      </c>
      <c r="J4860" s="1">
        <v>69160</v>
      </c>
      <c r="K4860">
        <v>4</v>
      </c>
      <c r="L4860">
        <v>0.7</v>
      </c>
      <c r="M4860">
        <v>0.71</v>
      </c>
      <c r="N4860" s="1">
        <v>10000000</v>
      </c>
      <c r="O4860">
        <v>0.72</v>
      </c>
      <c r="P4860">
        <v>1.1499999999999999</v>
      </c>
      <c r="Q4860">
        <v>0.28999999999999998</v>
      </c>
    </row>
    <row r="4861" spans="1:17" x14ac:dyDescent="0.25">
      <c r="A4861">
        <v>733790</v>
      </c>
      <c r="B4861" t="s">
        <v>6173</v>
      </c>
      <c r="C4861">
        <v>1.31</v>
      </c>
      <c r="D4861">
        <v>0.08</v>
      </c>
      <c r="E4861">
        <v>1.3</v>
      </c>
      <c r="F4861">
        <v>1.34</v>
      </c>
      <c r="G4861">
        <v>1.3</v>
      </c>
      <c r="H4861">
        <v>1.33</v>
      </c>
      <c r="I4861" s="1">
        <v>624000</v>
      </c>
      <c r="J4861" s="1">
        <v>827580</v>
      </c>
      <c r="K4861">
        <v>6</v>
      </c>
      <c r="L4861">
        <v>1.33</v>
      </c>
      <c r="M4861">
        <v>1.34</v>
      </c>
      <c r="N4861" s="1">
        <v>10000000</v>
      </c>
      <c r="O4861">
        <v>1.31</v>
      </c>
      <c r="P4861">
        <v>2.34</v>
      </c>
      <c r="Q4861">
        <v>0.28000000000000003</v>
      </c>
    </row>
    <row r="4862" spans="1:17" x14ac:dyDescent="0.25">
      <c r="A4862">
        <v>733791</v>
      </c>
      <c r="B4862" t="s">
        <v>6174</v>
      </c>
      <c r="C4862">
        <v>1.03</v>
      </c>
      <c r="D4862">
        <v>-0.04</v>
      </c>
      <c r="E4862">
        <v>1.05</v>
      </c>
      <c r="F4862">
        <v>1.05</v>
      </c>
      <c r="G4862">
        <v>1.03</v>
      </c>
      <c r="H4862">
        <v>1.05</v>
      </c>
      <c r="I4862" s="1">
        <v>1057000</v>
      </c>
      <c r="J4862" s="1">
        <v>1105690</v>
      </c>
      <c r="K4862">
        <v>12</v>
      </c>
      <c r="L4862">
        <v>1.03</v>
      </c>
      <c r="M4862">
        <v>1.04</v>
      </c>
      <c r="N4862" s="1">
        <v>10000000</v>
      </c>
      <c r="O4862">
        <v>1.03</v>
      </c>
      <c r="P4862">
        <v>2.27</v>
      </c>
      <c r="Q4862">
        <v>0.01</v>
      </c>
    </row>
    <row r="4863" spans="1:17" x14ac:dyDescent="0.25">
      <c r="A4863">
        <v>733792</v>
      </c>
      <c r="B4863" t="s">
        <v>6175</v>
      </c>
      <c r="C4863">
        <v>0.89</v>
      </c>
      <c r="D4863">
        <v>-7.0000000000000007E-2</v>
      </c>
      <c r="E4863">
        <v>0.93</v>
      </c>
      <c r="F4863">
        <v>0.97</v>
      </c>
      <c r="G4863">
        <v>0.86</v>
      </c>
      <c r="H4863">
        <v>0.93</v>
      </c>
      <c r="I4863" s="1">
        <v>404000</v>
      </c>
      <c r="J4863" s="1">
        <v>377710</v>
      </c>
      <c r="K4863">
        <v>8</v>
      </c>
      <c r="L4863">
        <v>0.88</v>
      </c>
      <c r="M4863">
        <v>0.89</v>
      </c>
      <c r="N4863" s="1">
        <v>10000000</v>
      </c>
      <c r="O4863">
        <v>0.89</v>
      </c>
      <c r="P4863">
        <v>1.87</v>
      </c>
      <c r="Q4863">
        <v>0.01</v>
      </c>
    </row>
    <row r="4864" spans="1:17" x14ac:dyDescent="0.25">
      <c r="A4864">
        <v>733793</v>
      </c>
      <c r="B4864" t="s">
        <v>6176</v>
      </c>
      <c r="C4864">
        <v>0.85</v>
      </c>
      <c r="D4864">
        <v>0.05</v>
      </c>
      <c r="E4864">
        <v>0.8</v>
      </c>
      <c r="F4864">
        <v>0.87</v>
      </c>
      <c r="G4864">
        <v>0.78</v>
      </c>
      <c r="H4864">
        <v>0.82</v>
      </c>
      <c r="I4864" s="1">
        <v>1280000</v>
      </c>
      <c r="J4864" s="1">
        <v>1043550</v>
      </c>
      <c r="K4864">
        <v>40</v>
      </c>
      <c r="L4864">
        <v>0.84</v>
      </c>
      <c r="M4864">
        <v>0.85</v>
      </c>
      <c r="N4864" s="1">
        <v>5000000</v>
      </c>
      <c r="O4864">
        <v>0.85</v>
      </c>
      <c r="P4864">
        <v>1.48</v>
      </c>
      <c r="Q4864">
        <v>0.22</v>
      </c>
    </row>
    <row r="4865" spans="1:17" x14ac:dyDescent="0.25">
      <c r="A4865">
        <v>733794</v>
      </c>
      <c r="B4865" t="s">
        <v>6177</v>
      </c>
      <c r="C4865">
        <v>2.1800000000000002</v>
      </c>
      <c r="D4865">
        <v>-0.24</v>
      </c>
      <c r="E4865">
        <v>2.23</v>
      </c>
      <c r="F4865">
        <v>2.27</v>
      </c>
      <c r="G4865">
        <v>2.1800000000000002</v>
      </c>
      <c r="H4865">
        <v>2.2200000000000002</v>
      </c>
      <c r="I4865" s="1">
        <v>22000</v>
      </c>
      <c r="J4865" s="1">
        <v>48940</v>
      </c>
      <c r="K4865">
        <v>3</v>
      </c>
      <c r="L4865">
        <v>2.29</v>
      </c>
      <c r="M4865">
        <v>2.36</v>
      </c>
      <c r="N4865" s="1">
        <v>10000000</v>
      </c>
      <c r="O4865">
        <v>2.1800000000000002</v>
      </c>
      <c r="P4865">
        <v>2.96</v>
      </c>
      <c r="Q4865">
        <v>1.4</v>
      </c>
    </row>
    <row r="4866" spans="1:17" x14ac:dyDescent="0.25">
      <c r="A4866">
        <v>733795</v>
      </c>
      <c r="B4866" t="s">
        <v>6178</v>
      </c>
      <c r="C4866">
        <v>0.88</v>
      </c>
      <c r="D4866">
        <v>0.01</v>
      </c>
      <c r="E4866">
        <v>0.94</v>
      </c>
      <c r="F4866">
        <v>1.01</v>
      </c>
      <c r="G4866">
        <v>0.88</v>
      </c>
      <c r="H4866">
        <v>0.97</v>
      </c>
      <c r="I4866" s="1">
        <v>1779000</v>
      </c>
      <c r="J4866" s="1">
        <v>1730500</v>
      </c>
      <c r="K4866">
        <v>36</v>
      </c>
      <c r="L4866">
        <v>0.87</v>
      </c>
      <c r="M4866">
        <v>0.88</v>
      </c>
      <c r="N4866" s="1">
        <v>10000000</v>
      </c>
      <c r="O4866">
        <v>0.88</v>
      </c>
      <c r="P4866">
        <v>1.52</v>
      </c>
      <c r="Q4866">
        <v>0.24</v>
      </c>
    </row>
    <row r="4867" spans="1:17" x14ac:dyDescent="0.25">
      <c r="A4867">
        <v>733796</v>
      </c>
      <c r="B4867" t="s">
        <v>6179</v>
      </c>
      <c r="C4867">
        <v>1.42</v>
      </c>
      <c r="D4867">
        <v>0.02</v>
      </c>
      <c r="E4867">
        <v>1.43</v>
      </c>
      <c r="F4867">
        <v>1.43</v>
      </c>
      <c r="G4867">
        <v>1.41</v>
      </c>
      <c r="H4867">
        <v>1.41</v>
      </c>
      <c r="I4867" s="1">
        <v>643000</v>
      </c>
      <c r="J4867" s="1">
        <v>909170</v>
      </c>
      <c r="K4867">
        <v>13</v>
      </c>
      <c r="L4867">
        <v>1.41</v>
      </c>
      <c r="M4867">
        <v>1.42</v>
      </c>
      <c r="N4867" s="1">
        <v>10000000</v>
      </c>
      <c r="O4867">
        <v>1.42</v>
      </c>
      <c r="P4867">
        <v>2.29</v>
      </c>
      <c r="Q4867">
        <v>0.54</v>
      </c>
    </row>
    <row r="4868" spans="1:17" x14ac:dyDescent="0.25">
      <c r="A4868">
        <v>733797</v>
      </c>
      <c r="B4868" t="s">
        <v>6180</v>
      </c>
      <c r="C4868">
        <v>0.89</v>
      </c>
      <c r="D4868">
        <v>-0.03</v>
      </c>
      <c r="E4868">
        <v>0.97</v>
      </c>
      <c r="F4868">
        <v>0.97</v>
      </c>
      <c r="G4868">
        <v>0.87</v>
      </c>
      <c r="H4868">
        <v>0.94</v>
      </c>
      <c r="I4868" s="1">
        <v>760000</v>
      </c>
      <c r="J4868" s="1">
        <v>713460</v>
      </c>
      <c r="K4868">
        <v>14</v>
      </c>
      <c r="L4868">
        <v>0.89</v>
      </c>
      <c r="M4868">
        <v>0.9</v>
      </c>
      <c r="N4868" s="1">
        <v>10000000</v>
      </c>
      <c r="O4868">
        <v>0.89</v>
      </c>
      <c r="P4868">
        <v>1.36</v>
      </c>
      <c r="Q4868">
        <v>0.42</v>
      </c>
    </row>
    <row r="4869" spans="1:17" x14ac:dyDescent="0.25">
      <c r="A4869">
        <v>733798</v>
      </c>
      <c r="B4869" t="s">
        <v>6181</v>
      </c>
      <c r="C4869">
        <v>0.87</v>
      </c>
      <c r="D4869">
        <v>-7.0000000000000007E-2</v>
      </c>
      <c r="E4869">
        <v>0.96</v>
      </c>
      <c r="F4869">
        <v>0.96</v>
      </c>
      <c r="G4869">
        <v>0.87</v>
      </c>
      <c r="H4869">
        <v>0.93</v>
      </c>
      <c r="I4869" s="1">
        <v>602000</v>
      </c>
      <c r="J4869" s="1">
        <v>562820</v>
      </c>
      <c r="K4869">
        <v>9</v>
      </c>
      <c r="L4869">
        <v>0.87</v>
      </c>
      <c r="M4869">
        <v>0.88</v>
      </c>
      <c r="N4869" s="1">
        <v>10000000</v>
      </c>
      <c r="O4869">
        <v>0.87</v>
      </c>
      <c r="P4869">
        <v>1.43</v>
      </c>
      <c r="Q4869">
        <v>0.31</v>
      </c>
    </row>
    <row r="4870" spans="1:17" x14ac:dyDescent="0.25">
      <c r="A4870">
        <v>733799</v>
      </c>
      <c r="B4870" t="s">
        <v>6182</v>
      </c>
      <c r="C4870">
        <v>1.04</v>
      </c>
      <c r="D4870">
        <v>-0.01</v>
      </c>
      <c r="E4870">
        <v>1.0900000000000001</v>
      </c>
      <c r="F4870">
        <v>1.0900000000000001</v>
      </c>
      <c r="G4870">
        <v>1.04</v>
      </c>
      <c r="H4870">
        <v>1.0900000000000001</v>
      </c>
      <c r="I4870" s="1">
        <v>297000</v>
      </c>
      <c r="J4870" s="1">
        <v>322360</v>
      </c>
      <c r="K4870">
        <v>3</v>
      </c>
      <c r="L4870">
        <v>1.02</v>
      </c>
      <c r="M4870">
        <v>1.03</v>
      </c>
      <c r="N4870" s="1">
        <v>5000000</v>
      </c>
      <c r="O4870">
        <v>1.04</v>
      </c>
      <c r="P4870">
        <v>1.67</v>
      </c>
      <c r="Q4870">
        <v>0.41</v>
      </c>
    </row>
    <row r="4871" spans="1:17" x14ac:dyDescent="0.25">
      <c r="A4871">
        <v>733800</v>
      </c>
      <c r="B4871" t="s">
        <v>6183</v>
      </c>
      <c r="C4871">
        <v>0.95</v>
      </c>
      <c r="D4871">
        <v>0</v>
      </c>
      <c r="E4871">
        <v>0.95</v>
      </c>
      <c r="F4871">
        <v>0.99</v>
      </c>
      <c r="G4871">
        <v>0.94</v>
      </c>
      <c r="H4871">
        <v>0.96</v>
      </c>
      <c r="I4871" s="1">
        <v>1180000</v>
      </c>
      <c r="J4871" s="1">
        <v>1132570</v>
      </c>
      <c r="K4871">
        <v>24</v>
      </c>
      <c r="L4871">
        <v>0.94</v>
      </c>
      <c r="M4871">
        <v>0.95</v>
      </c>
      <c r="N4871" s="1">
        <v>10000000</v>
      </c>
      <c r="O4871">
        <v>0.95</v>
      </c>
      <c r="P4871">
        <v>1.48</v>
      </c>
      <c r="Q4871">
        <v>0.42</v>
      </c>
    </row>
    <row r="4872" spans="1:17" x14ac:dyDescent="0.25">
      <c r="A4872">
        <v>733801</v>
      </c>
      <c r="B4872" t="s">
        <v>6184</v>
      </c>
      <c r="C4872">
        <v>1.8</v>
      </c>
      <c r="D4872">
        <v>0.1</v>
      </c>
      <c r="E4872">
        <v>1.86</v>
      </c>
      <c r="F4872">
        <v>1.98</v>
      </c>
      <c r="G4872">
        <v>1.8</v>
      </c>
      <c r="H4872">
        <v>1.95</v>
      </c>
      <c r="I4872" s="1">
        <v>186000</v>
      </c>
      <c r="J4872" s="1">
        <v>361880</v>
      </c>
      <c r="K4872">
        <v>8</v>
      </c>
      <c r="L4872">
        <v>1.75</v>
      </c>
      <c r="M4872">
        <v>1.79</v>
      </c>
      <c r="N4872" s="1">
        <v>5000000</v>
      </c>
      <c r="O4872">
        <v>1.8</v>
      </c>
      <c r="P4872">
        <v>2.8</v>
      </c>
      <c r="Q4872">
        <v>0.8</v>
      </c>
    </row>
    <row r="4873" spans="1:17" x14ac:dyDescent="0.25">
      <c r="A4873">
        <v>733802</v>
      </c>
      <c r="B4873" t="s">
        <v>6185</v>
      </c>
      <c r="C4873">
        <v>0.85</v>
      </c>
      <c r="D4873">
        <v>-0.04</v>
      </c>
      <c r="E4873">
        <v>0.87</v>
      </c>
      <c r="F4873">
        <v>0.89</v>
      </c>
      <c r="G4873">
        <v>0.85</v>
      </c>
      <c r="H4873">
        <v>0.87</v>
      </c>
      <c r="I4873" s="1">
        <v>395000</v>
      </c>
      <c r="J4873" s="1">
        <v>345360</v>
      </c>
      <c r="K4873">
        <v>13</v>
      </c>
      <c r="L4873">
        <v>0.84</v>
      </c>
      <c r="M4873">
        <v>0.85</v>
      </c>
      <c r="N4873" s="1">
        <v>5000000</v>
      </c>
      <c r="O4873">
        <v>0.85</v>
      </c>
      <c r="P4873">
        <v>1.19</v>
      </c>
      <c r="Q4873">
        <v>0.51</v>
      </c>
    </row>
    <row r="4874" spans="1:17" x14ac:dyDescent="0.25">
      <c r="A4874">
        <v>733803</v>
      </c>
      <c r="B4874" t="s">
        <v>6186</v>
      </c>
      <c r="C4874">
        <v>1.38</v>
      </c>
      <c r="D4874">
        <v>0.18</v>
      </c>
      <c r="E4874">
        <v>1.23</v>
      </c>
      <c r="F4874">
        <v>1.5</v>
      </c>
      <c r="G4874">
        <v>1.23</v>
      </c>
      <c r="H4874">
        <v>1.34</v>
      </c>
      <c r="I4874" s="1">
        <v>1430000</v>
      </c>
      <c r="J4874" s="1">
        <v>1922140</v>
      </c>
      <c r="K4874">
        <v>34</v>
      </c>
      <c r="L4874">
        <v>1.34</v>
      </c>
      <c r="M4874">
        <v>1.37</v>
      </c>
      <c r="N4874" s="1">
        <v>7000000</v>
      </c>
      <c r="O4874">
        <v>1.38</v>
      </c>
      <c r="P4874">
        <v>2.0099999999999998</v>
      </c>
      <c r="Q4874">
        <v>0.73</v>
      </c>
    </row>
    <row r="4875" spans="1:17" x14ac:dyDescent="0.25">
      <c r="A4875">
        <v>733804</v>
      </c>
      <c r="B4875" t="s">
        <v>6187</v>
      </c>
      <c r="C4875">
        <v>1.42</v>
      </c>
      <c r="D4875">
        <v>0.14000000000000001</v>
      </c>
      <c r="E4875">
        <v>1.31</v>
      </c>
      <c r="F4875">
        <v>1.53</v>
      </c>
      <c r="G4875">
        <v>1.31</v>
      </c>
      <c r="H4875">
        <v>1.41</v>
      </c>
      <c r="I4875" s="1">
        <v>1569000</v>
      </c>
      <c r="J4875" s="1">
        <v>2219110</v>
      </c>
      <c r="K4875">
        <v>31</v>
      </c>
      <c r="L4875">
        <v>1.42</v>
      </c>
      <c r="M4875">
        <v>1.45</v>
      </c>
      <c r="N4875" s="1">
        <v>7000000</v>
      </c>
      <c r="O4875">
        <v>1.42</v>
      </c>
      <c r="P4875">
        <v>2.0499999999999998</v>
      </c>
      <c r="Q4875">
        <v>0.77</v>
      </c>
    </row>
    <row r="4876" spans="1:17" x14ac:dyDescent="0.25">
      <c r="A4876">
        <v>733805</v>
      </c>
      <c r="B4876" t="s">
        <v>6188</v>
      </c>
      <c r="C4876">
        <v>0.9</v>
      </c>
      <c r="D4876">
        <v>-0.02</v>
      </c>
      <c r="E4876">
        <v>0.92</v>
      </c>
      <c r="F4876">
        <v>0.93</v>
      </c>
      <c r="G4876">
        <v>0.88</v>
      </c>
      <c r="H4876">
        <v>0.9</v>
      </c>
      <c r="I4876" s="1">
        <v>1672000</v>
      </c>
      <c r="J4876" s="1">
        <v>1501360</v>
      </c>
      <c r="K4876">
        <v>32</v>
      </c>
      <c r="L4876">
        <v>0.9</v>
      </c>
      <c r="M4876">
        <v>0.91</v>
      </c>
      <c r="N4876" s="1">
        <v>5000000</v>
      </c>
      <c r="O4876">
        <v>0.9</v>
      </c>
      <c r="P4876">
        <v>1.47</v>
      </c>
      <c r="Q4876">
        <v>0.33</v>
      </c>
    </row>
    <row r="4877" spans="1:17" x14ac:dyDescent="0.25">
      <c r="A4877">
        <v>733806</v>
      </c>
      <c r="B4877" t="s">
        <v>6189</v>
      </c>
      <c r="C4877">
        <v>0.99</v>
      </c>
      <c r="D4877">
        <v>-0.06</v>
      </c>
      <c r="E4877">
        <v>1.06</v>
      </c>
      <c r="F4877">
        <v>1.06</v>
      </c>
      <c r="G4877">
        <v>0.99</v>
      </c>
      <c r="H4877">
        <v>1</v>
      </c>
      <c r="I4877" s="1">
        <v>411000</v>
      </c>
      <c r="J4877" s="1">
        <v>410650</v>
      </c>
      <c r="K4877">
        <v>4</v>
      </c>
      <c r="L4877">
        <v>1</v>
      </c>
      <c r="M4877">
        <v>1.02</v>
      </c>
      <c r="N4877" s="1">
        <v>10000000</v>
      </c>
      <c r="O4877">
        <v>0.99</v>
      </c>
      <c r="P4877">
        <v>1.96</v>
      </c>
      <c r="Q4877">
        <v>0.02</v>
      </c>
    </row>
    <row r="4878" spans="1:17" x14ac:dyDescent="0.25">
      <c r="A4878">
        <v>733807</v>
      </c>
      <c r="B4878" t="s">
        <v>6190</v>
      </c>
      <c r="C4878">
        <v>0.93</v>
      </c>
      <c r="D4878">
        <v>0</v>
      </c>
      <c r="E4878">
        <v>1</v>
      </c>
      <c r="F4878">
        <v>1.05</v>
      </c>
      <c r="G4878">
        <v>0.92</v>
      </c>
      <c r="H4878">
        <v>0.99</v>
      </c>
      <c r="I4878" s="1">
        <v>927000</v>
      </c>
      <c r="J4878" s="1">
        <v>916110</v>
      </c>
      <c r="K4878">
        <v>42</v>
      </c>
      <c r="L4878">
        <v>0.92</v>
      </c>
      <c r="M4878">
        <v>0.94</v>
      </c>
      <c r="N4878" s="1">
        <v>7000000</v>
      </c>
      <c r="O4878">
        <v>0.93</v>
      </c>
      <c r="P4878">
        <v>1.65</v>
      </c>
      <c r="Q4878">
        <v>0.21</v>
      </c>
    </row>
    <row r="4879" spans="1:17" x14ac:dyDescent="0.25">
      <c r="A4879">
        <v>733808</v>
      </c>
      <c r="B4879" t="s">
        <v>6191</v>
      </c>
      <c r="C4879">
        <v>1.1100000000000001</v>
      </c>
      <c r="D4879">
        <v>-0.03</v>
      </c>
      <c r="E4879">
        <v>1.1499999999999999</v>
      </c>
      <c r="F4879">
        <v>1.1499999999999999</v>
      </c>
      <c r="G4879">
        <v>1.1100000000000001</v>
      </c>
      <c r="H4879">
        <v>1.1399999999999999</v>
      </c>
      <c r="I4879" s="1">
        <v>128000</v>
      </c>
      <c r="J4879" s="1">
        <v>145330</v>
      </c>
      <c r="K4879">
        <v>12</v>
      </c>
      <c r="L4879">
        <v>1.0900000000000001</v>
      </c>
      <c r="M4879">
        <v>1.1100000000000001</v>
      </c>
      <c r="N4879" s="1">
        <v>10000000</v>
      </c>
      <c r="O4879">
        <v>1.1100000000000001</v>
      </c>
      <c r="P4879">
        <v>1.67</v>
      </c>
      <c r="Q4879">
        <v>0.55000000000000004</v>
      </c>
    </row>
    <row r="4880" spans="1:17" x14ac:dyDescent="0.25">
      <c r="A4880">
        <v>733809</v>
      </c>
      <c r="B4880" t="s">
        <v>6192</v>
      </c>
      <c r="C4880">
        <v>1.33</v>
      </c>
      <c r="D4880">
        <v>-0.04</v>
      </c>
      <c r="E4880">
        <v>1.29</v>
      </c>
      <c r="F4880">
        <v>1.33</v>
      </c>
      <c r="G4880">
        <v>1.29</v>
      </c>
      <c r="H4880">
        <v>1.31</v>
      </c>
      <c r="I4880" s="1">
        <v>360000</v>
      </c>
      <c r="J4880" s="1">
        <v>471580</v>
      </c>
      <c r="K4880">
        <v>9</v>
      </c>
      <c r="L4880">
        <v>1.3</v>
      </c>
      <c r="M4880">
        <v>1.34</v>
      </c>
      <c r="N4880" s="1">
        <v>5000000</v>
      </c>
      <c r="O4880">
        <v>1.33</v>
      </c>
      <c r="P4880">
        <v>2.2000000000000002</v>
      </c>
      <c r="Q4880">
        <v>0.46</v>
      </c>
    </row>
    <row r="4881" spans="1:17" x14ac:dyDescent="0.25">
      <c r="A4881">
        <v>733810</v>
      </c>
      <c r="B4881" t="s">
        <v>6193</v>
      </c>
      <c r="C4881">
        <v>1.24</v>
      </c>
      <c r="D4881">
        <v>-0.02</v>
      </c>
      <c r="E4881">
        <v>1.24</v>
      </c>
      <c r="F4881">
        <v>1.24</v>
      </c>
      <c r="G4881">
        <v>1.19</v>
      </c>
      <c r="H4881">
        <v>1.22</v>
      </c>
      <c r="I4881" s="1">
        <v>413000</v>
      </c>
      <c r="J4881" s="1">
        <v>505250</v>
      </c>
      <c r="K4881">
        <v>10</v>
      </c>
      <c r="L4881">
        <v>1.24</v>
      </c>
      <c r="M4881">
        <v>1.25</v>
      </c>
      <c r="N4881" s="1">
        <v>5000000</v>
      </c>
      <c r="O4881">
        <v>1.24</v>
      </c>
      <c r="P4881">
        <v>2.4700000000000002</v>
      </c>
      <c r="Q4881">
        <v>0.01</v>
      </c>
    </row>
    <row r="4882" spans="1:17" x14ac:dyDescent="0.25">
      <c r="A4882">
        <v>733811</v>
      </c>
      <c r="B4882" t="s">
        <v>6194</v>
      </c>
      <c r="C4882">
        <v>0.89</v>
      </c>
      <c r="D4882">
        <v>0</v>
      </c>
      <c r="E4882">
        <v>0.89</v>
      </c>
      <c r="F4882">
        <v>0.89</v>
      </c>
      <c r="G4882">
        <v>0.89</v>
      </c>
      <c r="H4882">
        <v>0.89</v>
      </c>
      <c r="I4882" s="1">
        <v>79000</v>
      </c>
      <c r="J4882" s="1">
        <v>70310</v>
      </c>
      <c r="K4882">
        <v>1</v>
      </c>
      <c r="L4882">
        <v>0.88</v>
      </c>
      <c r="M4882">
        <v>0.89</v>
      </c>
      <c r="N4882" s="1">
        <v>5000000</v>
      </c>
      <c r="O4882">
        <v>0.89</v>
      </c>
      <c r="P4882">
        <v>1.56</v>
      </c>
      <c r="Q4882">
        <v>0.22</v>
      </c>
    </row>
    <row r="4883" spans="1:17" x14ac:dyDescent="0.25">
      <c r="A4883">
        <v>733812</v>
      </c>
      <c r="B4883" t="s">
        <v>6195</v>
      </c>
      <c r="C4883">
        <v>1.48</v>
      </c>
      <c r="D4883">
        <v>0.18</v>
      </c>
      <c r="E4883">
        <v>1.36</v>
      </c>
      <c r="F4883">
        <v>1.48</v>
      </c>
      <c r="G4883">
        <v>1.36</v>
      </c>
      <c r="H4883">
        <v>1.41</v>
      </c>
      <c r="I4883" s="1">
        <v>245000</v>
      </c>
      <c r="J4883" s="1">
        <v>344540</v>
      </c>
      <c r="K4883">
        <v>8</v>
      </c>
      <c r="L4883">
        <v>1.54</v>
      </c>
      <c r="M4883">
        <v>1.55</v>
      </c>
      <c r="N4883" s="1">
        <v>10000000</v>
      </c>
      <c r="O4883">
        <v>1.48</v>
      </c>
      <c r="P4883">
        <v>2.25</v>
      </c>
      <c r="Q4883">
        <v>0.71</v>
      </c>
    </row>
    <row r="4884" spans="1:17" x14ac:dyDescent="0.25">
      <c r="A4884">
        <v>733813</v>
      </c>
      <c r="B4884" t="s">
        <v>6196</v>
      </c>
      <c r="C4884">
        <v>0.89</v>
      </c>
      <c r="D4884">
        <v>-0.01</v>
      </c>
      <c r="E4884">
        <v>0.89</v>
      </c>
      <c r="F4884">
        <v>0.9</v>
      </c>
      <c r="G4884">
        <v>0.88</v>
      </c>
      <c r="H4884">
        <v>0.89</v>
      </c>
      <c r="I4884" s="1">
        <v>233000</v>
      </c>
      <c r="J4884" s="1">
        <v>207100</v>
      </c>
      <c r="K4884">
        <v>6</v>
      </c>
      <c r="L4884">
        <v>0.89</v>
      </c>
      <c r="M4884">
        <v>0.9</v>
      </c>
      <c r="N4884" s="1">
        <v>5000000</v>
      </c>
      <c r="O4884">
        <v>0.89</v>
      </c>
      <c r="P4884">
        <v>1.61</v>
      </c>
      <c r="Q4884">
        <v>0.16</v>
      </c>
    </row>
    <row r="4885" spans="1:17" x14ac:dyDescent="0.25">
      <c r="A4885">
        <v>733814</v>
      </c>
      <c r="B4885" t="s">
        <v>6197</v>
      </c>
      <c r="C4885">
        <v>0.72</v>
      </c>
      <c r="D4885">
        <v>0</v>
      </c>
      <c r="E4885">
        <v>0.72</v>
      </c>
      <c r="F4885">
        <v>0.72</v>
      </c>
      <c r="G4885">
        <v>0.72</v>
      </c>
      <c r="H4885">
        <v>0.72</v>
      </c>
      <c r="I4885" s="1">
        <v>100000</v>
      </c>
      <c r="J4885" s="1">
        <v>72000</v>
      </c>
      <c r="K4885">
        <v>1</v>
      </c>
      <c r="L4885">
        <v>0.71</v>
      </c>
      <c r="M4885">
        <v>0.72</v>
      </c>
      <c r="N4885" s="1">
        <v>5000000</v>
      </c>
      <c r="O4885">
        <v>0.72</v>
      </c>
      <c r="P4885">
        <v>1.35</v>
      </c>
      <c r="Q4885">
        <v>0.09</v>
      </c>
    </row>
    <row r="4886" spans="1:17" x14ac:dyDescent="0.25">
      <c r="A4886">
        <v>733815</v>
      </c>
      <c r="B4886" t="s">
        <v>6198</v>
      </c>
      <c r="C4886">
        <v>0.8</v>
      </c>
      <c r="D4886">
        <v>-0.04</v>
      </c>
      <c r="E4886">
        <v>0.82</v>
      </c>
      <c r="F4886">
        <v>0.82</v>
      </c>
      <c r="G4886">
        <v>0.8</v>
      </c>
      <c r="H4886">
        <v>0.82</v>
      </c>
      <c r="I4886" s="1">
        <v>210000</v>
      </c>
      <c r="J4886" s="1">
        <v>172000</v>
      </c>
      <c r="K4886">
        <v>3</v>
      </c>
      <c r="L4886">
        <v>0.86</v>
      </c>
      <c r="M4886">
        <v>0.87</v>
      </c>
      <c r="N4886" s="1">
        <v>5000000</v>
      </c>
      <c r="O4886">
        <v>0.8</v>
      </c>
      <c r="P4886">
        <v>1.5</v>
      </c>
      <c r="Q4886">
        <v>0.1</v>
      </c>
    </row>
    <row r="4887" spans="1:17" x14ac:dyDescent="0.25">
      <c r="A4887">
        <v>733816</v>
      </c>
      <c r="B4887" t="s">
        <v>6199</v>
      </c>
      <c r="C4887">
        <v>0.67</v>
      </c>
      <c r="D4887">
        <v>0.09</v>
      </c>
      <c r="E4887">
        <v>0.64</v>
      </c>
      <c r="F4887">
        <v>0.67</v>
      </c>
      <c r="G4887">
        <v>0.64</v>
      </c>
      <c r="H4887">
        <v>0.65</v>
      </c>
      <c r="I4887" s="1">
        <v>125000</v>
      </c>
      <c r="J4887" s="1">
        <v>81850</v>
      </c>
      <c r="K4887">
        <v>4</v>
      </c>
      <c r="L4887">
        <v>0.61</v>
      </c>
      <c r="M4887">
        <v>0.62</v>
      </c>
      <c r="N4887" s="1">
        <v>5000000</v>
      </c>
      <c r="O4887">
        <v>0.67</v>
      </c>
      <c r="P4887">
        <v>1.49</v>
      </c>
      <c r="Q4887">
        <v>0.01</v>
      </c>
    </row>
    <row r="4888" spans="1:17" x14ac:dyDescent="0.25">
      <c r="A4888">
        <v>733817</v>
      </c>
      <c r="B4888" t="s">
        <v>6200</v>
      </c>
      <c r="C4888" t="s">
        <v>78</v>
      </c>
      <c r="D4888" t="s">
        <v>78</v>
      </c>
      <c r="E4888" t="s">
        <v>78</v>
      </c>
      <c r="F4888" t="s">
        <v>78</v>
      </c>
      <c r="G4888" t="s">
        <v>78</v>
      </c>
      <c r="H4888">
        <v>0</v>
      </c>
      <c r="I4888" s="1">
        <v>0</v>
      </c>
      <c r="J4888" s="1">
        <v>0</v>
      </c>
      <c r="K4888">
        <v>0</v>
      </c>
      <c r="L4888">
        <v>0.59</v>
      </c>
      <c r="M4888">
        <v>0.6</v>
      </c>
      <c r="N4888" s="1">
        <v>10000000</v>
      </c>
      <c r="O4888">
        <v>0.6</v>
      </c>
      <c r="P4888">
        <v>1.32</v>
      </c>
      <c r="Q4888">
        <v>0.01</v>
      </c>
    </row>
    <row r="4889" spans="1:17" x14ac:dyDescent="0.25">
      <c r="A4889">
        <v>733818</v>
      </c>
      <c r="B4889" t="s">
        <v>6201</v>
      </c>
      <c r="C4889">
        <v>0.92</v>
      </c>
      <c r="D4889">
        <v>-0.02</v>
      </c>
      <c r="E4889">
        <v>0.91</v>
      </c>
      <c r="F4889">
        <v>0.94</v>
      </c>
      <c r="G4889">
        <v>0.88</v>
      </c>
      <c r="H4889">
        <v>0.92</v>
      </c>
      <c r="I4889" s="1">
        <v>435000</v>
      </c>
      <c r="J4889" s="1">
        <v>401400</v>
      </c>
      <c r="K4889">
        <v>18</v>
      </c>
      <c r="L4889">
        <v>0.92</v>
      </c>
      <c r="M4889">
        <v>0.93</v>
      </c>
      <c r="N4889" s="1">
        <v>5000000</v>
      </c>
      <c r="O4889">
        <v>0.92</v>
      </c>
      <c r="P4889">
        <v>1.74</v>
      </c>
      <c r="Q4889">
        <v>0.1</v>
      </c>
    </row>
    <row r="4890" spans="1:17" x14ac:dyDescent="0.25">
      <c r="A4890">
        <v>733819</v>
      </c>
      <c r="B4890" t="s">
        <v>6202</v>
      </c>
      <c r="C4890">
        <v>1</v>
      </c>
      <c r="D4890">
        <v>0</v>
      </c>
      <c r="E4890">
        <v>1.02</v>
      </c>
      <c r="F4890">
        <v>1.02</v>
      </c>
      <c r="G4890">
        <v>1</v>
      </c>
      <c r="H4890">
        <v>1.01</v>
      </c>
      <c r="I4890" s="1">
        <v>62000</v>
      </c>
      <c r="J4890" s="1">
        <v>62740</v>
      </c>
      <c r="K4890">
        <v>9</v>
      </c>
      <c r="L4890">
        <v>0.99</v>
      </c>
      <c r="M4890">
        <v>1</v>
      </c>
      <c r="N4890" s="1">
        <v>5000000</v>
      </c>
      <c r="O4890">
        <v>1</v>
      </c>
      <c r="P4890">
        <v>1.78</v>
      </c>
      <c r="Q4890">
        <v>0.22</v>
      </c>
    </row>
    <row r="4891" spans="1:17" x14ac:dyDescent="0.25">
      <c r="A4891">
        <v>733820</v>
      </c>
      <c r="B4891" t="s">
        <v>6203</v>
      </c>
      <c r="C4891">
        <v>1.01</v>
      </c>
      <c r="D4891">
        <v>0.06</v>
      </c>
      <c r="E4891">
        <v>1.03</v>
      </c>
      <c r="F4891">
        <v>1.1100000000000001</v>
      </c>
      <c r="G4891">
        <v>1.01</v>
      </c>
      <c r="H4891">
        <v>1.07</v>
      </c>
      <c r="I4891" s="1">
        <v>380000</v>
      </c>
      <c r="J4891" s="1">
        <v>405430</v>
      </c>
      <c r="K4891">
        <v>16</v>
      </c>
      <c r="L4891">
        <v>0.99</v>
      </c>
      <c r="M4891">
        <v>1</v>
      </c>
      <c r="N4891" s="1">
        <v>10000000</v>
      </c>
      <c r="O4891">
        <v>1.01</v>
      </c>
      <c r="P4891">
        <v>1.77</v>
      </c>
      <c r="Q4891">
        <v>0.25</v>
      </c>
    </row>
    <row r="4892" spans="1:17" x14ac:dyDescent="0.25">
      <c r="A4892">
        <v>733821</v>
      </c>
      <c r="B4892" t="s">
        <v>6204</v>
      </c>
      <c r="C4892" t="s">
        <v>78</v>
      </c>
      <c r="D4892" t="s">
        <v>78</v>
      </c>
      <c r="E4892" t="s">
        <v>78</v>
      </c>
      <c r="F4892" t="s">
        <v>78</v>
      </c>
      <c r="G4892" t="s">
        <v>78</v>
      </c>
      <c r="H4892">
        <v>0.77</v>
      </c>
      <c r="I4892" s="1">
        <v>0</v>
      </c>
      <c r="J4892" s="1">
        <v>0</v>
      </c>
      <c r="K4892">
        <v>0</v>
      </c>
      <c r="L4892">
        <v>0.81</v>
      </c>
      <c r="M4892">
        <v>0.82</v>
      </c>
      <c r="N4892" s="1">
        <v>5000000</v>
      </c>
      <c r="O4892">
        <v>0.81</v>
      </c>
      <c r="P4892">
        <v>1.36</v>
      </c>
      <c r="Q4892">
        <v>0.26</v>
      </c>
    </row>
    <row r="4893" spans="1:17" x14ac:dyDescent="0.25">
      <c r="A4893">
        <v>733822</v>
      </c>
      <c r="B4893" t="s">
        <v>6205</v>
      </c>
      <c r="C4893">
        <v>1.1100000000000001</v>
      </c>
      <c r="D4893">
        <v>0.15</v>
      </c>
      <c r="E4893">
        <v>1</v>
      </c>
      <c r="F4893">
        <v>1.2</v>
      </c>
      <c r="G4893">
        <v>1</v>
      </c>
      <c r="H4893">
        <v>1.1000000000000001</v>
      </c>
      <c r="I4893" s="1">
        <v>1446000</v>
      </c>
      <c r="J4893" s="1">
        <v>1591840</v>
      </c>
      <c r="K4893">
        <v>47</v>
      </c>
      <c r="L4893">
        <v>1.06</v>
      </c>
      <c r="M4893">
        <v>1.07</v>
      </c>
      <c r="N4893" s="1">
        <v>10000000</v>
      </c>
      <c r="O4893">
        <v>1.1100000000000001</v>
      </c>
      <c r="P4893">
        <v>1.79</v>
      </c>
      <c r="Q4893">
        <v>0.41</v>
      </c>
    </row>
    <row r="4894" spans="1:17" x14ac:dyDescent="0.25">
      <c r="A4894">
        <v>733823</v>
      </c>
      <c r="B4894" t="s">
        <v>6206</v>
      </c>
      <c r="C4894">
        <v>1.31</v>
      </c>
      <c r="D4894">
        <v>-0.03</v>
      </c>
      <c r="E4894">
        <v>1.32</v>
      </c>
      <c r="F4894">
        <v>1.32</v>
      </c>
      <c r="G4894">
        <v>1.29</v>
      </c>
      <c r="H4894">
        <v>1.31</v>
      </c>
      <c r="I4894" s="1">
        <v>602000</v>
      </c>
      <c r="J4894" s="1">
        <v>789690</v>
      </c>
      <c r="K4894">
        <v>12</v>
      </c>
      <c r="L4894">
        <v>1.3</v>
      </c>
      <c r="M4894">
        <v>1.31</v>
      </c>
      <c r="N4894" s="1">
        <v>5000000</v>
      </c>
      <c r="O4894">
        <v>1.31</v>
      </c>
      <c r="P4894">
        <v>2.21</v>
      </c>
      <c r="Q4894">
        <v>0.41</v>
      </c>
    </row>
    <row r="4895" spans="1:17" x14ac:dyDescent="0.25">
      <c r="A4895">
        <v>733824</v>
      </c>
      <c r="B4895" t="s">
        <v>6207</v>
      </c>
      <c r="C4895" t="s">
        <v>78</v>
      </c>
      <c r="D4895" t="s">
        <v>78</v>
      </c>
      <c r="E4895" t="s">
        <v>78</v>
      </c>
      <c r="F4895" t="s">
        <v>78</v>
      </c>
      <c r="G4895" t="s">
        <v>78</v>
      </c>
      <c r="H4895">
        <v>0.94</v>
      </c>
      <c r="I4895" s="1">
        <v>0</v>
      </c>
      <c r="J4895" s="1">
        <v>0</v>
      </c>
      <c r="K4895">
        <v>0</v>
      </c>
      <c r="L4895">
        <v>0.95</v>
      </c>
      <c r="M4895">
        <v>0.96</v>
      </c>
      <c r="N4895" s="1">
        <v>10000000</v>
      </c>
      <c r="O4895">
        <v>0.95</v>
      </c>
      <c r="P4895">
        <v>1.46</v>
      </c>
      <c r="Q4895">
        <v>0.44</v>
      </c>
    </row>
    <row r="4896" spans="1:17" x14ac:dyDescent="0.25">
      <c r="A4896">
        <v>733825</v>
      </c>
      <c r="B4896" t="s">
        <v>6208</v>
      </c>
      <c r="C4896">
        <v>1.23</v>
      </c>
      <c r="D4896">
        <v>0.05</v>
      </c>
      <c r="E4896">
        <v>1.27</v>
      </c>
      <c r="F4896">
        <v>1.27</v>
      </c>
      <c r="G4896">
        <v>1.23</v>
      </c>
      <c r="H4896">
        <v>1.26</v>
      </c>
      <c r="I4896" s="1">
        <v>70000</v>
      </c>
      <c r="J4896" s="1">
        <v>88100</v>
      </c>
      <c r="K4896">
        <v>2</v>
      </c>
      <c r="L4896">
        <v>1.21</v>
      </c>
      <c r="M4896">
        <v>1.23</v>
      </c>
      <c r="N4896" s="1">
        <v>10000000</v>
      </c>
      <c r="O4896">
        <v>1.23</v>
      </c>
      <c r="P4896">
        <v>2.0499999999999998</v>
      </c>
      <c r="Q4896">
        <v>0.41</v>
      </c>
    </row>
    <row r="4897" spans="1:17" x14ac:dyDescent="0.25">
      <c r="A4897">
        <v>733826</v>
      </c>
      <c r="B4897" t="s">
        <v>6209</v>
      </c>
      <c r="C4897">
        <v>0.78</v>
      </c>
      <c r="D4897">
        <v>-0.03</v>
      </c>
      <c r="E4897">
        <v>0.82</v>
      </c>
      <c r="F4897">
        <v>0.82</v>
      </c>
      <c r="G4897">
        <v>0.78</v>
      </c>
      <c r="H4897">
        <v>0.82</v>
      </c>
      <c r="I4897" s="1">
        <v>176000</v>
      </c>
      <c r="J4897" s="1">
        <v>143480</v>
      </c>
      <c r="K4897">
        <v>3</v>
      </c>
      <c r="L4897">
        <v>0.78</v>
      </c>
      <c r="M4897">
        <v>0.79</v>
      </c>
      <c r="N4897" s="1">
        <v>10000000</v>
      </c>
      <c r="O4897">
        <v>0.78</v>
      </c>
      <c r="P4897">
        <v>1.46</v>
      </c>
      <c r="Q4897">
        <v>0.1</v>
      </c>
    </row>
    <row r="4898" spans="1:17" x14ac:dyDescent="0.25">
      <c r="A4898">
        <v>733827</v>
      </c>
      <c r="B4898" t="s">
        <v>6210</v>
      </c>
      <c r="C4898">
        <v>1.55</v>
      </c>
      <c r="D4898">
        <v>0.06</v>
      </c>
      <c r="E4898">
        <v>1.55</v>
      </c>
      <c r="F4898">
        <v>1.55</v>
      </c>
      <c r="G4898">
        <v>1.55</v>
      </c>
      <c r="H4898">
        <v>1.55</v>
      </c>
      <c r="I4898" s="1">
        <v>100000</v>
      </c>
      <c r="J4898" s="1">
        <v>155000</v>
      </c>
      <c r="K4898">
        <v>1</v>
      </c>
      <c r="L4898">
        <v>1.49</v>
      </c>
      <c r="M4898">
        <v>1.5</v>
      </c>
      <c r="N4898" s="1">
        <v>10000000</v>
      </c>
      <c r="O4898">
        <v>1.55</v>
      </c>
      <c r="P4898">
        <v>2.42</v>
      </c>
      <c r="Q4898">
        <v>0.68</v>
      </c>
    </row>
    <row r="4899" spans="1:17" x14ac:dyDescent="0.25">
      <c r="A4899">
        <v>733828</v>
      </c>
      <c r="B4899" t="s">
        <v>6211</v>
      </c>
      <c r="C4899">
        <v>1.32</v>
      </c>
      <c r="D4899">
        <v>7.0000000000000007E-2</v>
      </c>
      <c r="E4899">
        <v>1.27</v>
      </c>
      <c r="F4899">
        <v>1.34</v>
      </c>
      <c r="G4899">
        <v>1.23</v>
      </c>
      <c r="H4899">
        <v>1.29</v>
      </c>
      <c r="I4899" s="1">
        <v>214000</v>
      </c>
      <c r="J4899" s="1">
        <v>275070</v>
      </c>
      <c r="K4899">
        <v>21</v>
      </c>
      <c r="L4899">
        <v>1.32</v>
      </c>
      <c r="M4899">
        <v>1.33</v>
      </c>
      <c r="N4899" s="1">
        <v>10000000</v>
      </c>
      <c r="O4899">
        <v>1.32</v>
      </c>
      <c r="P4899">
        <v>2.0699999999999998</v>
      </c>
      <c r="Q4899">
        <v>0.56999999999999995</v>
      </c>
    </row>
    <row r="4900" spans="1:17" x14ac:dyDescent="0.25">
      <c r="A4900">
        <v>733829</v>
      </c>
      <c r="B4900" t="s">
        <v>6212</v>
      </c>
      <c r="C4900">
        <v>0.89</v>
      </c>
      <c r="D4900">
        <v>-0.08</v>
      </c>
      <c r="E4900">
        <v>0.87</v>
      </c>
      <c r="F4900">
        <v>0.89</v>
      </c>
      <c r="G4900">
        <v>0.87</v>
      </c>
      <c r="H4900">
        <v>0.88</v>
      </c>
      <c r="I4900" s="1">
        <v>20000</v>
      </c>
      <c r="J4900" s="1">
        <v>17600</v>
      </c>
      <c r="K4900">
        <v>2</v>
      </c>
      <c r="L4900">
        <v>0.86</v>
      </c>
      <c r="M4900">
        <v>0.88</v>
      </c>
      <c r="N4900" s="1">
        <v>10000000</v>
      </c>
      <c r="O4900">
        <v>0.89</v>
      </c>
      <c r="P4900">
        <v>2.2000000000000002</v>
      </c>
      <c r="Q4900">
        <v>0.01</v>
      </c>
    </row>
    <row r="4901" spans="1:17" x14ac:dyDescent="0.25">
      <c r="A4901">
        <v>733830</v>
      </c>
      <c r="B4901" t="s">
        <v>6213</v>
      </c>
      <c r="C4901">
        <v>0.86</v>
      </c>
      <c r="D4901">
        <v>-0.04</v>
      </c>
      <c r="E4901">
        <v>0.88</v>
      </c>
      <c r="F4901">
        <v>0.88</v>
      </c>
      <c r="G4901">
        <v>0.86</v>
      </c>
      <c r="H4901">
        <v>0.88</v>
      </c>
      <c r="I4901" s="1">
        <v>65000</v>
      </c>
      <c r="J4901" s="1">
        <v>57000</v>
      </c>
      <c r="K4901">
        <v>7</v>
      </c>
      <c r="L4901">
        <v>0.85</v>
      </c>
      <c r="M4901">
        <v>0.86</v>
      </c>
      <c r="N4901" s="1">
        <v>10000000</v>
      </c>
      <c r="O4901">
        <v>0.86</v>
      </c>
      <c r="P4901">
        <v>1.44</v>
      </c>
      <c r="Q4901">
        <v>0.28000000000000003</v>
      </c>
    </row>
    <row r="4902" spans="1:17" x14ac:dyDescent="0.25">
      <c r="A4902">
        <v>733831</v>
      </c>
      <c r="B4902" t="s">
        <v>6214</v>
      </c>
      <c r="C4902">
        <v>0.99</v>
      </c>
      <c r="D4902">
        <v>0.02</v>
      </c>
      <c r="E4902">
        <v>0.99</v>
      </c>
      <c r="F4902">
        <v>0.99</v>
      </c>
      <c r="G4902">
        <v>0.99</v>
      </c>
      <c r="H4902">
        <v>0.99</v>
      </c>
      <c r="I4902" s="1">
        <v>93000</v>
      </c>
      <c r="J4902" s="1">
        <v>92070</v>
      </c>
      <c r="K4902">
        <v>1</v>
      </c>
      <c r="L4902">
        <v>1</v>
      </c>
      <c r="M4902">
        <v>1.01</v>
      </c>
      <c r="N4902" s="1">
        <v>10000000</v>
      </c>
      <c r="O4902">
        <v>0.99</v>
      </c>
      <c r="P4902">
        <v>1.66</v>
      </c>
      <c r="Q4902">
        <v>0.32</v>
      </c>
    </row>
    <row r="4903" spans="1:17" x14ac:dyDescent="0.25">
      <c r="A4903">
        <v>733832</v>
      </c>
      <c r="B4903" t="s">
        <v>6215</v>
      </c>
      <c r="C4903" t="s">
        <v>78</v>
      </c>
      <c r="D4903" t="s">
        <v>78</v>
      </c>
      <c r="E4903" t="s">
        <v>78</v>
      </c>
      <c r="F4903" t="s">
        <v>78</v>
      </c>
      <c r="G4903" t="s">
        <v>78</v>
      </c>
      <c r="H4903">
        <v>0.72</v>
      </c>
      <c r="I4903" s="1">
        <v>0</v>
      </c>
      <c r="J4903" s="1">
        <v>0</v>
      </c>
      <c r="K4903">
        <v>0</v>
      </c>
      <c r="L4903">
        <v>0.71</v>
      </c>
      <c r="M4903">
        <v>0.72</v>
      </c>
      <c r="N4903" s="1">
        <v>10000000</v>
      </c>
      <c r="O4903">
        <v>0.71</v>
      </c>
      <c r="P4903">
        <v>1.63</v>
      </c>
      <c r="Q4903">
        <v>0.01</v>
      </c>
    </row>
    <row r="4904" spans="1:17" x14ac:dyDescent="0.25">
      <c r="A4904">
        <v>733833</v>
      </c>
      <c r="B4904" t="s">
        <v>6216</v>
      </c>
      <c r="C4904">
        <v>0.82</v>
      </c>
      <c r="D4904">
        <v>-0.02</v>
      </c>
      <c r="E4904">
        <v>0.83</v>
      </c>
      <c r="F4904">
        <v>0.83</v>
      </c>
      <c r="G4904">
        <v>0.82</v>
      </c>
      <c r="H4904">
        <v>0.82</v>
      </c>
      <c r="I4904" s="1">
        <v>393000</v>
      </c>
      <c r="J4904" s="1">
        <v>323340</v>
      </c>
      <c r="K4904">
        <v>3</v>
      </c>
      <c r="L4904">
        <v>0.81</v>
      </c>
      <c r="M4904">
        <v>0.82</v>
      </c>
      <c r="N4904" s="1">
        <v>10000000</v>
      </c>
      <c r="O4904">
        <v>0.82</v>
      </c>
      <c r="P4904">
        <v>1.51</v>
      </c>
      <c r="Q4904">
        <v>0.13</v>
      </c>
    </row>
    <row r="4905" spans="1:17" x14ac:dyDescent="0.25">
      <c r="A4905">
        <v>733834</v>
      </c>
      <c r="B4905" t="s">
        <v>6217</v>
      </c>
      <c r="C4905">
        <v>1.42</v>
      </c>
      <c r="D4905">
        <v>0.11</v>
      </c>
      <c r="E4905">
        <v>1.26</v>
      </c>
      <c r="F4905">
        <v>1.43</v>
      </c>
      <c r="G4905">
        <v>1.26</v>
      </c>
      <c r="H4905">
        <v>1.36</v>
      </c>
      <c r="I4905" s="1">
        <v>1449000</v>
      </c>
      <c r="J4905" s="1">
        <v>1969870</v>
      </c>
      <c r="K4905">
        <v>42</v>
      </c>
      <c r="L4905">
        <v>1.34</v>
      </c>
      <c r="M4905">
        <v>1.37</v>
      </c>
      <c r="N4905" s="1">
        <v>10000000</v>
      </c>
      <c r="O4905">
        <v>1.42</v>
      </c>
      <c r="P4905">
        <v>1.94</v>
      </c>
      <c r="Q4905">
        <v>0.88</v>
      </c>
    </row>
    <row r="4906" spans="1:17" x14ac:dyDescent="0.25">
      <c r="A4906">
        <v>733835</v>
      </c>
      <c r="B4906" t="s">
        <v>6218</v>
      </c>
      <c r="C4906">
        <v>1.43</v>
      </c>
      <c r="D4906">
        <v>0.05</v>
      </c>
      <c r="E4906">
        <v>1.34</v>
      </c>
      <c r="F4906">
        <v>1.56</v>
      </c>
      <c r="G4906">
        <v>1.34</v>
      </c>
      <c r="H4906">
        <v>1.42</v>
      </c>
      <c r="I4906" s="1">
        <v>1255000</v>
      </c>
      <c r="J4906" s="1">
        <v>1776520</v>
      </c>
      <c r="K4906">
        <v>32</v>
      </c>
      <c r="L4906">
        <v>1.41</v>
      </c>
      <c r="M4906">
        <v>1.45</v>
      </c>
      <c r="N4906" s="1">
        <v>10000000</v>
      </c>
      <c r="O4906">
        <v>1.43</v>
      </c>
      <c r="P4906">
        <v>2.16</v>
      </c>
      <c r="Q4906">
        <v>0.67</v>
      </c>
    </row>
    <row r="4907" spans="1:17" x14ac:dyDescent="0.25">
      <c r="A4907">
        <v>733836</v>
      </c>
      <c r="B4907" t="s">
        <v>6219</v>
      </c>
      <c r="C4907">
        <v>1.43</v>
      </c>
      <c r="D4907">
        <v>0.13</v>
      </c>
      <c r="E4907">
        <v>1.38</v>
      </c>
      <c r="F4907">
        <v>1.54</v>
      </c>
      <c r="G4907">
        <v>1.33</v>
      </c>
      <c r="H4907">
        <v>1.43</v>
      </c>
      <c r="I4907" s="1">
        <v>927000</v>
      </c>
      <c r="J4907" s="1">
        <v>1321010</v>
      </c>
      <c r="K4907">
        <v>26</v>
      </c>
      <c r="L4907">
        <v>1.42</v>
      </c>
      <c r="M4907">
        <v>1.45</v>
      </c>
      <c r="N4907" s="1">
        <v>10000000</v>
      </c>
      <c r="O4907">
        <v>1.43</v>
      </c>
      <c r="P4907">
        <v>2.27</v>
      </c>
      <c r="Q4907">
        <v>0.56000000000000005</v>
      </c>
    </row>
    <row r="4908" spans="1:17" x14ac:dyDescent="0.25">
      <c r="A4908">
        <v>733837</v>
      </c>
      <c r="B4908" t="s">
        <v>6220</v>
      </c>
      <c r="C4908">
        <v>0.8</v>
      </c>
      <c r="D4908">
        <v>0.17</v>
      </c>
      <c r="E4908">
        <v>0.64</v>
      </c>
      <c r="F4908">
        <v>0.85</v>
      </c>
      <c r="G4908">
        <v>0.64</v>
      </c>
      <c r="H4908">
        <v>0.76</v>
      </c>
      <c r="I4908" s="1">
        <v>626000</v>
      </c>
      <c r="J4908" s="1">
        <v>476870</v>
      </c>
      <c r="K4908">
        <v>27</v>
      </c>
      <c r="L4908">
        <v>0.79</v>
      </c>
      <c r="M4908">
        <v>0.8</v>
      </c>
      <c r="N4908" s="1">
        <v>5000000</v>
      </c>
      <c r="O4908">
        <v>0.8</v>
      </c>
      <c r="P4908">
        <v>1.52</v>
      </c>
      <c r="Q4908">
        <v>0.08</v>
      </c>
    </row>
    <row r="4909" spans="1:17" x14ac:dyDescent="0.25">
      <c r="A4909">
        <v>733838</v>
      </c>
      <c r="B4909" t="s">
        <v>6221</v>
      </c>
      <c r="C4909">
        <v>0.98</v>
      </c>
      <c r="D4909">
        <v>-0.06</v>
      </c>
      <c r="E4909">
        <v>1.03</v>
      </c>
      <c r="F4909">
        <v>1.03</v>
      </c>
      <c r="G4909">
        <v>0.97</v>
      </c>
      <c r="H4909">
        <v>1</v>
      </c>
      <c r="I4909" s="1">
        <v>1181000</v>
      </c>
      <c r="J4909" s="1">
        <v>1176150</v>
      </c>
      <c r="K4909">
        <v>29</v>
      </c>
      <c r="L4909">
        <v>0.98</v>
      </c>
      <c r="M4909">
        <v>1.02</v>
      </c>
      <c r="N4909" s="1">
        <v>9000000</v>
      </c>
      <c r="O4909">
        <v>0.98</v>
      </c>
      <c r="P4909">
        <v>1.67</v>
      </c>
      <c r="Q4909">
        <v>0.28999999999999998</v>
      </c>
    </row>
    <row r="4910" spans="1:17" x14ac:dyDescent="0.25">
      <c r="A4910">
        <v>733839</v>
      </c>
      <c r="B4910" t="s">
        <v>6222</v>
      </c>
      <c r="C4910">
        <v>0.57999999999999996</v>
      </c>
      <c r="D4910">
        <v>-0.03</v>
      </c>
      <c r="E4910">
        <v>0.61</v>
      </c>
      <c r="F4910">
        <v>0.61</v>
      </c>
      <c r="G4910">
        <v>0.57999999999999996</v>
      </c>
      <c r="H4910">
        <v>0.6</v>
      </c>
      <c r="I4910" s="1">
        <v>452000</v>
      </c>
      <c r="J4910" s="1">
        <v>273160</v>
      </c>
      <c r="K4910">
        <v>7</v>
      </c>
      <c r="L4910">
        <v>0.57999999999999996</v>
      </c>
      <c r="M4910">
        <v>0.59</v>
      </c>
      <c r="N4910" s="1">
        <v>5000000</v>
      </c>
      <c r="O4910">
        <v>0.57999999999999996</v>
      </c>
      <c r="P4910">
        <v>1.1399999999999999</v>
      </c>
      <c r="Q4910">
        <v>0.02</v>
      </c>
    </row>
    <row r="4911" spans="1:17" x14ac:dyDescent="0.25">
      <c r="A4911">
        <v>733840</v>
      </c>
      <c r="B4911" t="s">
        <v>6223</v>
      </c>
      <c r="C4911">
        <v>1.04</v>
      </c>
      <c r="D4911">
        <v>0.05</v>
      </c>
      <c r="E4911">
        <v>1.05</v>
      </c>
      <c r="F4911">
        <v>1.06</v>
      </c>
      <c r="G4911">
        <v>1.03</v>
      </c>
      <c r="H4911">
        <v>1.05</v>
      </c>
      <c r="I4911" s="1">
        <v>322000</v>
      </c>
      <c r="J4911" s="1">
        <v>337640</v>
      </c>
      <c r="K4911">
        <v>11</v>
      </c>
      <c r="L4911">
        <v>1.04</v>
      </c>
      <c r="M4911">
        <v>1.05</v>
      </c>
      <c r="N4911" s="1">
        <v>5000000</v>
      </c>
      <c r="O4911">
        <v>1.04</v>
      </c>
      <c r="P4911">
        <v>1.64</v>
      </c>
      <c r="Q4911">
        <v>0.44</v>
      </c>
    </row>
    <row r="4912" spans="1:17" x14ac:dyDescent="0.25">
      <c r="A4912">
        <v>733841</v>
      </c>
      <c r="B4912" t="s">
        <v>6224</v>
      </c>
      <c r="C4912">
        <v>1.32</v>
      </c>
      <c r="D4912">
        <v>0.03</v>
      </c>
      <c r="E4912">
        <v>1.33</v>
      </c>
      <c r="F4912">
        <v>1.33</v>
      </c>
      <c r="G4912">
        <v>1.26</v>
      </c>
      <c r="H4912">
        <v>1.31</v>
      </c>
      <c r="I4912" s="1">
        <v>607000</v>
      </c>
      <c r="J4912" s="1">
        <v>793260</v>
      </c>
      <c r="K4912">
        <v>19</v>
      </c>
      <c r="L4912">
        <v>1.3</v>
      </c>
      <c r="M4912">
        <v>1.32</v>
      </c>
      <c r="N4912" s="1">
        <v>10000000</v>
      </c>
      <c r="O4912">
        <v>1.32</v>
      </c>
      <c r="P4912">
        <v>2.34</v>
      </c>
      <c r="Q4912">
        <v>0.3</v>
      </c>
    </row>
    <row r="4913" spans="1:17" x14ac:dyDescent="0.25">
      <c r="A4913">
        <v>733842</v>
      </c>
      <c r="B4913" t="s">
        <v>6225</v>
      </c>
      <c r="C4913">
        <v>0.91</v>
      </c>
      <c r="D4913">
        <v>-0.06</v>
      </c>
      <c r="E4913">
        <v>0.97</v>
      </c>
      <c r="F4913">
        <v>1</v>
      </c>
      <c r="G4913">
        <v>0.9</v>
      </c>
      <c r="H4913">
        <v>0.95</v>
      </c>
      <c r="I4913" s="1">
        <v>611000</v>
      </c>
      <c r="J4913" s="1">
        <v>582950</v>
      </c>
      <c r="K4913">
        <v>26</v>
      </c>
      <c r="L4913">
        <v>0.91</v>
      </c>
      <c r="M4913">
        <v>0.92</v>
      </c>
      <c r="N4913" s="1">
        <v>10000000</v>
      </c>
      <c r="O4913">
        <v>0.91</v>
      </c>
      <c r="P4913">
        <v>1.33</v>
      </c>
      <c r="Q4913">
        <v>0.49</v>
      </c>
    </row>
    <row r="4914" spans="1:17" x14ac:dyDescent="0.25">
      <c r="A4914">
        <v>733843</v>
      </c>
      <c r="B4914" t="s">
        <v>6226</v>
      </c>
      <c r="C4914">
        <v>1.31</v>
      </c>
      <c r="D4914">
        <v>0.03</v>
      </c>
      <c r="E4914">
        <v>1.31</v>
      </c>
      <c r="F4914">
        <v>1.31</v>
      </c>
      <c r="G4914">
        <v>1.31</v>
      </c>
      <c r="H4914">
        <v>1.31</v>
      </c>
      <c r="I4914" s="1">
        <v>60000</v>
      </c>
      <c r="J4914" s="1">
        <v>78600</v>
      </c>
      <c r="K4914">
        <v>2</v>
      </c>
      <c r="L4914">
        <v>1.26</v>
      </c>
      <c r="M4914">
        <v>1.28</v>
      </c>
      <c r="N4914" s="1">
        <v>5000000</v>
      </c>
      <c r="O4914">
        <v>1.31</v>
      </c>
      <c r="P4914">
        <v>1.92</v>
      </c>
      <c r="Q4914">
        <v>0.7</v>
      </c>
    </row>
    <row r="4915" spans="1:17" x14ac:dyDescent="0.25">
      <c r="A4915">
        <v>733844</v>
      </c>
      <c r="B4915" t="s">
        <v>6227</v>
      </c>
      <c r="C4915">
        <v>0.88</v>
      </c>
      <c r="D4915">
        <v>0.02</v>
      </c>
      <c r="E4915">
        <v>0.88</v>
      </c>
      <c r="F4915">
        <v>0.88</v>
      </c>
      <c r="G4915">
        <v>0.86</v>
      </c>
      <c r="H4915">
        <v>0.87</v>
      </c>
      <c r="I4915" s="1">
        <v>261000</v>
      </c>
      <c r="J4915" s="1">
        <v>226520</v>
      </c>
      <c r="K4915">
        <v>12</v>
      </c>
      <c r="L4915">
        <v>0.86</v>
      </c>
      <c r="M4915">
        <v>0.88</v>
      </c>
      <c r="N4915" s="1">
        <v>10000000</v>
      </c>
      <c r="O4915">
        <v>0.88</v>
      </c>
      <c r="P4915">
        <v>1.98</v>
      </c>
      <c r="Q4915">
        <v>0.01</v>
      </c>
    </row>
    <row r="4916" spans="1:17" x14ac:dyDescent="0.25">
      <c r="A4916">
        <v>733845</v>
      </c>
      <c r="B4916" t="s">
        <v>6228</v>
      </c>
      <c r="C4916">
        <v>1.1000000000000001</v>
      </c>
      <c r="D4916">
        <v>0.01</v>
      </c>
      <c r="E4916">
        <v>1.1299999999999999</v>
      </c>
      <c r="F4916">
        <v>1.1399999999999999</v>
      </c>
      <c r="G4916">
        <v>1.0900000000000001</v>
      </c>
      <c r="H4916">
        <v>1.1200000000000001</v>
      </c>
      <c r="I4916" s="1">
        <v>34000</v>
      </c>
      <c r="J4916" s="1">
        <v>37980</v>
      </c>
      <c r="K4916">
        <v>5</v>
      </c>
      <c r="L4916">
        <v>1.0900000000000001</v>
      </c>
      <c r="M4916">
        <v>1.1000000000000001</v>
      </c>
      <c r="N4916" s="1">
        <v>10000000</v>
      </c>
      <c r="O4916">
        <v>1.1000000000000001</v>
      </c>
      <c r="P4916">
        <v>1.64</v>
      </c>
      <c r="Q4916">
        <v>0.56000000000000005</v>
      </c>
    </row>
    <row r="4917" spans="1:17" x14ac:dyDescent="0.25">
      <c r="A4917">
        <v>733846</v>
      </c>
      <c r="B4917" t="s">
        <v>6229</v>
      </c>
      <c r="C4917">
        <v>1.32</v>
      </c>
      <c r="D4917">
        <v>7.0000000000000007E-2</v>
      </c>
      <c r="E4917">
        <v>1.28</v>
      </c>
      <c r="F4917">
        <v>1.43</v>
      </c>
      <c r="G4917">
        <v>1.28</v>
      </c>
      <c r="H4917">
        <v>1.36</v>
      </c>
      <c r="I4917" s="1">
        <v>482000</v>
      </c>
      <c r="J4917" s="1">
        <v>655960</v>
      </c>
      <c r="K4917">
        <v>18</v>
      </c>
      <c r="L4917">
        <v>1.32</v>
      </c>
      <c r="M4917">
        <v>1.34</v>
      </c>
      <c r="N4917" s="1">
        <v>10000000</v>
      </c>
      <c r="O4917">
        <v>1.32</v>
      </c>
      <c r="P4917">
        <v>2.4700000000000002</v>
      </c>
      <c r="Q4917">
        <v>0.17</v>
      </c>
    </row>
    <row r="4918" spans="1:17" x14ac:dyDescent="0.25">
      <c r="A4918">
        <v>733847</v>
      </c>
      <c r="B4918" t="s">
        <v>6230</v>
      </c>
      <c r="C4918">
        <v>1.01</v>
      </c>
      <c r="D4918">
        <v>-0.03</v>
      </c>
      <c r="E4918">
        <v>1.01</v>
      </c>
      <c r="F4918">
        <v>1.05</v>
      </c>
      <c r="G4918">
        <v>1.01</v>
      </c>
      <c r="H4918">
        <v>1.02</v>
      </c>
      <c r="I4918" s="1">
        <v>40000</v>
      </c>
      <c r="J4918" s="1">
        <v>40860</v>
      </c>
      <c r="K4918">
        <v>7</v>
      </c>
      <c r="L4918">
        <v>1</v>
      </c>
      <c r="M4918">
        <v>1.01</v>
      </c>
      <c r="N4918" s="1">
        <v>10000000</v>
      </c>
      <c r="O4918">
        <v>1.01</v>
      </c>
      <c r="P4918">
        <v>2.46</v>
      </c>
      <c r="Q4918">
        <v>0.01</v>
      </c>
    </row>
    <row r="4919" spans="1:17" x14ac:dyDescent="0.25">
      <c r="A4919">
        <v>733848</v>
      </c>
      <c r="B4919" t="s">
        <v>6231</v>
      </c>
      <c r="C4919">
        <v>0.96</v>
      </c>
      <c r="D4919">
        <v>-0.05</v>
      </c>
      <c r="E4919">
        <v>0.97</v>
      </c>
      <c r="F4919">
        <v>0.98</v>
      </c>
      <c r="G4919">
        <v>0.94</v>
      </c>
      <c r="H4919">
        <v>0.95</v>
      </c>
      <c r="I4919" s="1">
        <v>886000</v>
      </c>
      <c r="J4919" s="1">
        <v>837780</v>
      </c>
      <c r="K4919">
        <v>13</v>
      </c>
      <c r="L4919">
        <v>0.95</v>
      </c>
      <c r="M4919">
        <v>0.97</v>
      </c>
      <c r="N4919" s="1">
        <v>10000000</v>
      </c>
      <c r="O4919">
        <v>0.96</v>
      </c>
      <c r="P4919">
        <v>1.88</v>
      </c>
      <c r="Q4919">
        <v>0.04</v>
      </c>
    </row>
    <row r="4920" spans="1:17" x14ac:dyDescent="0.25">
      <c r="A4920">
        <v>733849</v>
      </c>
      <c r="B4920" t="s">
        <v>6232</v>
      </c>
      <c r="C4920" t="s">
        <v>78</v>
      </c>
      <c r="D4920" t="s">
        <v>78</v>
      </c>
      <c r="E4920" t="s">
        <v>78</v>
      </c>
      <c r="F4920" t="s">
        <v>78</v>
      </c>
      <c r="G4920" t="s">
        <v>78</v>
      </c>
      <c r="H4920">
        <v>1.02</v>
      </c>
      <c r="I4920" s="1">
        <v>0</v>
      </c>
      <c r="J4920" s="1">
        <v>0</v>
      </c>
      <c r="K4920">
        <v>0</v>
      </c>
      <c r="L4920">
        <v>1.1000000000000001</v>
      </c>
      <c r="M4920">
        <v>1.1100000000000001</v>
      </c>
      <c r="N4920" s="1">
        <v>10000000</v>
      </c>
      <c r="O4920">
        <v>1.1000000000000001</v>
      </c>
      <c r="P4920">
        <v>2</v>
      </c>
      <c r="Q4920">
        <v>0.2</v>
      </c>
    </row>
    <row r="4921" spans="1:17" x14ac:dyDescent="0.25">
      <c r="A4921">
        <v>733850</v>
      </c>
      <c r="B4921" t="s">
        <v>6233</v>
      </c>
      <c r="C4921" t="s">
        <v>78</v>
      </c>
      <c r="D4921" t="s">
        <v>78</v>
      </c>
      <c r="E4921" t="s">
        <v>78</v>
      </c>
      <c r="F4921" t="s">
        <v>78</v>
      </c>
      <c r="G4921" t="s">
        <v>78</v>
      </c>
      <c r="H4921">
        <v>0.63</v>
      </c>
      <c r="I4921" s="1">
        <v>0</v>
      </c>
      <c r="J4921" s="1">
        <v>0</v>
      </c>
      <c r="K4921">
        <v>0</v>
      </c>
      <c r="L4921">
        <v>0.6</v>
      </c>
      <c r="M4921">
        <v>0.61</v>
      </c>
      <c r="N4921" s="1">
        <v>5000000</v>
      </c>
      <c r="O4921">
        <v>0.61</v>
      </c>
      <c r="P4921">
        <v>1.37</v>
      </c>
      <c r="Q4921">
        <v>0.01</v>
      </c>
    </row>
    <row r="4922" spans="1:17" x14ac:dyDescent="0.25">
      <c r="A4922">
        <v>733851</v>
      </c>
      <c r="B4922" t="s">
        <v>6234</v>
      </c>
      <c r="C4922">
        <v>0.86</v>
      </c>
      <c r="D4922">
        <v>0.06</v>
      </c>
      <c r="E4922">
        <v>0.98</v>
      </c>
      <c r="F4922">
        <v>0.99</v>
      </c>
      <c r="G4922">
        <v>0.86</v>
      </c>
      <c r="H4922">
        <v>0.92</v>
      </c>
      <c r="I4922" s="1">
        <v>638000</v>
      </c>
      <c r="J4922" s="1">
        <v>585280</v>
      </c>
      <c r="K4922">
        <v>16</v>
      </c>
      <c r="L4922">
        <v>0.88</v>
      </c>
      <c r="M4922">
        <v>0.89</v>
      </c>
      <c r="N4922" s="1">
        <v>10000000</v>
      </c>
      <c r="O4922">
        <v>0.86</v>
      </c>
      <c r="P4922">
        <v>1.74</v>
      </c>
      <c r="Q4922">
        <v>0.01</v>
      </c>
    </row>
    <row r="4923" spans="1:17" x14ac:dyDescent="0.25">
      <c r="A4923">
        <v>733852</v>
      </c>
      <c r="B4923" t="s">
        <v>6235</v>
      </c>
      <c r="C4923">
        <v>0.73</v>
      </c>
      <c r="D4923">
        <v>0.02</v>
      </c>
      <c r="E4923">
        <v>0.76</v>
      </c>
      <c r="F4923">
        <v>0.76</v>
      </c>
      <c r="G4923">
        <v>0.73</v>
      </c>
      <c r="H4923">
        <v>0.74</v>
      </c>
      <c r="I4923" s="1">
        <v>258000</v>
      </c>
      <c r="J4923" s="1">
        <v>190960</v>
      </c>
      <c r="K4923">
        <v>11</v>
      </c>
      <c r="L4923">
        <v>0.72</v>
      </c>
      <c r="M4923">
        <v>0.73</v>
      </c>
      <c r="N4923" s="1">
        <v>10000000</v>
      </c>
      <c r="O4923">
        <v>0.73</v>
      </c>
      <c r="P4923">
        <v>0.97</v>
      </c>
      <c r="Q4923">
        <v>0.49</v>
      </c>
    </row>
    <row r="4924" spans="1:17" x14ac:dyDescent="0.25">
      <c r="A4924">
        <v>733853</v>
      </c>
      <c r="B4924" t="s">
        <v>6236</v>
      </c>
      <c r="C4924">
        <v>0.66</v>
      </c>
      <c r="D4924">
        <v>0</v>
      </c>
      <c r="E4924">
        <v>0.66</v>
      </c>
      <c r="F4924">
        <v>0.66</v>
      </c>
      <c r="G4924">
        <v>0.66</v>
      </c>
      <c r="H4924">
        <v>0.66</v>
      </c>
      <c r="I4924" s="1">
        <v>216000</v>
      </c>
      <c r="J4924" s="1">
        <v>142560</v>
      </c>
      <c r="K4924">
        <v>1</v>
      </c>
      <c r="L4924">
        <v>0.64</v>
      </c>
      <c r="M4924">
        <v>0.65</v>
      </c>
      <c r="N4924" s="1">
        <v>10000000</v>
      </c>
      <c r="O4924">
        <v>0.66</v>
      </c>
      <c r="P4924">
        <v>1.24</v>
      </c>
      <c r="Q4924">
        <v>0.08</v>
      </c>
    </row>
    <row r="4925" spans="1:17" x14ac:dyDescent="0.25">
      <c r="A4925">
        <v>733854</v>
      </c>
      <c r="B4925" t="s">
        <v>6237</v>
      </c>
      <c r="C4925">
        <v>0.75</v>
      </c>
      <c r="D4925">
        <v>0.04</v>
      </c>
      <c r="E4925">
        <v>0.77</v>
      </c>
      <c r="F4925">
        <v>0.81</v>
      </c>
      <c r="G4925">
        <v>0.75</v>
      </c>
      <c r="H4925">
        <v>0.78</v>
      </c>
      <c r="I4925" s="1">
        <v>786000</v>
      </c>
      <c r="J4925" s="1">
        <v>613180</v>
      </c>
      <c r="K4925">
        <v>18</v>
      </c>
      <c r="L4925">
        <v>0.74</v>
      </c>
      <c r="M4925">
        <v>0.75</v>
      </c>
      <c r="N4925" s="1">
        <v>10000000</v>
      </c>
      <c r="O4925">
        <v>0.75</v>
      </c>
      <c r="P4925">
        <v>1.1299999999999999</v>
      </c>
      <c r="Q4925">
        <v>0.37</v>
      </c>
    </row>
    <row r="4926" spans="1:17" x14ac:dyDescent="0.25">
      <c r="A4926">
        <v>733855</v>
      </c>
      <c r="B4926" t="s">
        <v>6238</v>
      </c>
      <c r="C4926">
        <v>0.75</v>
      </c>
      <c r="D4926">
        <v>0.01</v>
      </c>
      <c r="E4926">
        <v>0.75</v>
      </c>
      <c r="F4926">
        <v>0.75</v>
      </c>
      <c r="G4926">
        <v>0.75</v>
      </c>
      <c r="H4926">
        <v>0.75</v>
      </c>
      <c r="I4926" s="1">
        <v>68000</v>
      </c>
      <c r="J4926" s="1">
        <v>51000</v>
      </c>
      <c r="K4926">
        <v>3</v>
      </c>
      <c r="L4926">
        <v>0.72</v>
      </c>
      <c r="M4926">
        <v>0.73</v>
      </c>
      <c r="N4926" s="1">
        <v>10000000</v>
      </c>
      <c r="O4926">
        <v>0.75</v>
      </c>
      <c r="P4926">
        <v>1.26</v>
      </c>
      <c r="Q4926">
        <v>0.24</v>
      </c>
    </row>
    <row r="4927" spans="1:17" x14ac:dyDescent="0.25">
      <c r="A4927">
        <v>733856</v>
      </c>
      <c r="B4927" t="s">
        <v>6239</v>
      </c>
      <c r="C4927" t="s">
        <v>78</v>
      </c>
      <c r="D4927" t="s">
        <v>78</v>
      </c>
      <c r="E4927" t="s">
        <v>78</v>
      </c>
      <c r="F4927" t="s">
        <v>78</v>
      </c>
      <c r="G4927" t="s">
        <v>78</v>
      </c>
      <c r="H4927">
        <v>0</v>
      </c>
      <c r="I4927" s="1">
        <v>0</v>
      </c>
      <c r="J4927" s="1">
        <v>0</v>
      </c>
      <c r="K4927">
        <v>0</v>
      </c>
      <c r="L4927">
        <v>1.19</v>
      </c>
      <c r="M4927">
        <v>1.22</v>
      </c>
      <c r="N4927" s="1">
        <v>10000000</v>
      </c>
      <c r="O4927">
        <v>1.22</v>
      </c>
      <c r="P4927">
        <v>1.83</v>
      </c>
      <c r="Q4927">
        <v>0.61</v>
      </c>
    </row>
    <row r="4928" spans="1:17" x14ac:dyDescent="0.25">
      <c r="A4928">
        <v>733857</v>
      </c>
      <c r="B4928" t="s">
        <v>6240</v>
      </c>
      <c r="C4928">
        <v>1.1200000000000001</v>
      </c>
      <c r="D4928">
        <v>0.12</v>
      </c>
      <c r="E4928">
        <v>1.07</v>
      </c>
      <c r="F4928">
        <v>1.1200000000000001</v>
      </c>
      <c r="G4928">
        <v>1.07</v>
      </c>
      <c r="H4928">
        <v>1.1000000000000001</v>
      </c>
      <c r="I4928" s="1">
        <v>28000</v>
      </c>
      <c r="J4928" s="1">
        <v>30730</v>
      </c>
      <c r="K4928">
        <v>4</v>
      </c>
      <c r="L4928">
        <v>1.1200000000000001</v>
      </c>
      <c r="M4928">
        <v>1.1399999999999999</v>
      </c>
      <c r="N4928" s="1">
        <v>10000000</v>
      </c>
      <c r="O4928">
        <v>1.1200000000000001</v>
      </c>
      <c r="P4928">
        <v>1.56</v>
      </c>
      <c r="Q4928">
        <v>0.68</v>
      </c>
    </row>
    <row r="4929" spans="1:17" x14ac:dyDescent="0.25">
      <c r="A4929">
        <v>733858</v>
      </c>
      <c r="B4929" t="s">
        <v>6241</v>
      </c>
      <c r="C4929">
        <v>1.52</v>
      </c>
      <c r="D4929">
        <v>0.17</v>
      </c>
      <c r="E4929">
        <v>1.54</v>
      </c>
      <c r="F4929">
        <v>1.62</v>
      </c>
      <c r="G4929">
        <v>1.52</v>
      </c>
      <c r="H4929">
        <v>1.56</v>
      </c>
      <c r="I4929" s="1">
        <v>388000</v>
      </c>
      <c r="J4929" s="1">
        <v>606480</v>
      </c>
      <c r="K4929">
        <v>8</v>
      </c>
      <c r="L4929">
        <v>1.5</v>
      </c>
      <c r="M4929">
        <v>1.54</v>
      </c>
      <c r="N4929" s="1">
        <v>10000000</v>
      </c>
      <c r="O4929">
        <v>1.52</v>
      </c>
      <c r="P4929">
        <v>2.25</v>
      </c>
      <c r="Q4929">
        <v>0.76</v>
      </c>
    </row>
    <row r="4930" spans="1:17" x14ac:dyDescent="0.25">
      <c r="A4930">
        <v>733859</v>
      </c>
      <c r="B4930" t="s">
        <v>6242</v>
      </c>
      <c r="C4930">
        <v>1.1599999999999999</v>
      </c>
      <c r="D4930">
        <v>0.05</v>
      </c>
      <c r="E4930">
        <v>1.2</v>
      </c>
      <c r="F4930">
        <v>1.2</v>
      </c>
      <c r="G4930">
        <v>1.1499999999999999</v>
      </c>
      <c r="H4930">
        <v>1.2</v>
      </c>
      <c r="I4930" s="1">
        <v>177000</v>
      </c>
      <c r="J4930" s="1">
        <v>212220</v>
      </c>
      <c r="K4930">
        <v>4</v>
      </c>
      <c r="L4930">
        <v>1.1399999999999999</v>
      </c>
      <c r="M4930">
        <v>1.1599999999999999</v>
      </c>
      <c r="N4930" s="1">
        <v>6000000</v>
      </c>
      <c r="O4930">
        <v>1.1599999999999999</v>
      </c>
      <c r="P4930">
        <v>2.12</v>
      </c>
      <c r="Q4930">
        <v>0.2</v>
      </c>
    </row>
    <row r="4931" spans="1:17" x14ac:dyDescent="0.25">
      <c r="A4931">
        <v>733860</v>
      </c>
      <c r="B4931" t="s">
        <v>6243</v>
      </c>
      <c r="C4931">
        <v>0.83</v>
      </c>
      <c r="D4931">
        <v>0</v>
      </c>
      <c r="E4931">
        <v>0.85</v>
      </c>
      <c r="F4931">
        <v>0.88</v>
      </c>
      <c r="G4931">
        <v>0.8</v>
      </c>
      <c r="H4931">
        <v>0.86</v>
      </c>
      <c r="I4931" s="1">
        <v>963000</v>
      </c>
      <c r="J4931" s="1">
        <v>827450</v>
      </c>
      <c r="K4931">
        <v>22</v>
      </c>
      <c r="L4931">
        <v>0.81</v>
      </c>
      <c r="M4931">
        <v>0.82</v>
      </c>
      <c r="N4931" s="1">
        <v>5000000</v>
      </c>
      <c r="O4931">
        <v>0.83</v>
      </c>
      <c r="P4931">
        <v>1.32</v>
      </c>
      <c r="Q4931">
        <v>0.34</v>
      </c>
    </row>
    <row r="4932" spans="1:17" x14ac:dyDescent="0.25">
      <c r="A4932">
        <v>733861</v>
      </c>
      <c r="B4932" t="s">
        <v>6244</v>
      </c>
      <c r="C4932">
        <v>0.69</v>
      </c>
      <c r="D4932">
        <v>0.03</v>
      </c>
      <c r="E4932">
        <v>0.7</v>
      </c>
      <c r="F4932">
        <v>0.7</v>
      </c>
      <c r="G4932">
        <v>0.69</v>
      </c>
      <c r="H4932">
        <v>0.7</v>
      </c>
      <c r="I4932" s="1">
        <v>188000</v>
      </c>
      <c r="J4932" s="1">
        <v>131470</v>
      </c>
      <c r="K4932">
        <v>5</v>
      </c>
      <c r="L4932">
        <v>0.67</v>
      </c>
      <c r="M4932">
        <v>0.68</v>
      </c>
      <c r="N4932" s="1">
        <v>10000000</v>
      </c>
      <c r="O4932">
        <v>0.69</v>
      </c>
      <c r="P4932">
        <v>1.0900000000000001</v>
      </c>
      <c r="Q4932">
        <v>0.28999999999999998</v>
      </c>
    </row>
    <row r="4933" spans="1:17" x14ac:dyDescent="0.25">
      <c r="A4933">
        <v>733862</v>
      </c>
      <c r="B4933" t="s">
        <v>6245</v>
      </c>
      <c r="C4933">
        <v>0.63</v>
      </c>
      <c r="D4933">
        <v>-0.02</v>
      </c>
      <c r="E4933">
        <v>0.65</v>
      </c>
      <c r="F4933">
        <v>0.65</v>
      </c>
      <c r="G4933">
        <v>0.63</v>
      </c>
      <c r="H4933">
        <v>0.63</v>
      </c>
      <c r="I4933" s="1">
        <v>100000</v>
      </c>
      <c r="J4933" s="1">
        <v>63200</v>
      </c>
      <c r="K4933">
        <v>3</v>
      </c>
      <c r="L4933">
        <v>0.63</v>
      </c>
      <c r="M4933">
        <v>0.64</v>
      </c>
      <c r="N4933" s="1">
        <v>10000000</v>
      </c>
      <c r="O4933">
        <v>0.63</v>
      </c>
      <c r="P4933">
        <v>1.33</v>
      </c>
      <c r="Q4933">
        <v>0.01</v>
      </c>
    </row>
    <row r="4934" spans="1:17" x14ac:dyDescent="0.25">
      <c r="A4934">
        <v>733863</v>
      </c>
      <c r="B4934" t="s">
        <v>6246</v>
      </c>
      <c r="C4934">
        <v>1.82</v>
      </c>
      <c r="D4934">
        <v>-0.02</v>
      </c>
      <c r="E4934">
        <v>1.82</v>
      </c>
      <c r="F4934">
        <v>1.82</v>
      </c>
      <c r="G4934">
        <v>1.82</v>
      </c>
      <c r="H4934">
        <v>1.82</v>
      </c>
      <c r="I4934" s="1">
        <v>11000</v>
      </c>
      <c r="J4934" s="1">
        <v>20020</v>
      </c>
      <c r="K4934">
        <v>1</v>
      </c>
      <c r="L4934">
        <v>1.93</v>
      </c>
      <c r="M4934">
        <v>1.96</v>
      </c>
      <c r="N4934" s="1">
        <v>10000000</v>
      </c>
      <c r="O4934">
        <v>1.82</v>
      </c>
      <c r="P4934">
        <v>3.53</v>
      </c>
      <c r="Q4934">
        <v>0.11</v>
      </c>
    </row>
    <row r="4935" spans="1:17" x14ac:dyDescent="0.25">
      <c r="A4935">
        <v>733864</v>
      </c>
      <c r="B4935" t="s">
        <v>6247</v>
      </c>
      <c r="C4935">
        <v>0.97</v>
      </c>
      <c r="D4935">
        <v>0.02</v>
      </c>
      <c r="E4935">
        <v>1</v>
      </c>
      <c r="F4935">
        <v>1</v>
      </c>
      <c r="G4935">
        <v>0.97</v>
      </c>
      <c r="H4935">
        <v>0.98</v>
      </c>
      <c r="I4935" s="1">
        <v>150000</v>
      </c>
      <c r="J4935" s="1">
        <v>146290</v>
      </c>
      <c r="K4935">
        <v>5</v>
      </c>
      <c r="L4935">
        <v>1</v>
      </c>
      <c r="M4935">
        <v>1.01</v>
      </c>
      <c r="N4935" s="1">
        <v>10000000</v>
      </c>
      <c r="O4935">
        <v>0.97</v>
      </c>
      <c r="P4935">
        <v>2.11</v>
      </c>
      <c r="Q4935">
        <v>0.01</v>
      </c>
    </row>
    <row r="4936" spans="1:17" x14ac:dyDescent="0.25">
      <c r="A4936">
        <v>733865</v>
      </c>
      <c r="B4936" t="s">
        <v>6248</v>
      </c>
      <c r="C4936">
        <v>1.05</v>
      </c>
      <c r="D4936">
        <v>0.08</v>
      </c>
      <c r="E4936">
        <v>0.99</v>
      </c>
      <c r="F4936">
        <v>1.05</v>
      </c>
      <c r="G4936">
        <v>0.99</v>
      </c>
      <c r="H4936">
        <v>1.03</v>
      </c>
      <c r="I4936" s="1">
        <v>266000</v>
      </c>
      <c r="J4936" s="1">
        <v>274100</v>
      </c>
      <c r="K4936">
        <v>11</v>
      </c>
      <c r="L4936">
        <v>1.02</v>
      </c>
      <c r="M4936">
        <v>1.03</v>
      </c>
      <c r="N4936" s="1">
        <v>10000000</v>
      </c>
      <c r="O4936">
        <v>1.05</v>
      </c>
      <c r="P4936">
        <v>1.74</v>
      </c>
      <c r="Q4936">
        <v>0.36</v>
      </c>
    </row>
    <row r="4937" spans="1:17" x14ac:dyDescent="0.25">
      <c r="A4937">
        <v>733866</v>
      </c>
      <c r="B4937" t="s">
        <v>6249</v>
      </c>
      <c r="C4937" t="s">
        <v>78</v>
      </c>
      <c r="D4937" t="s">
        <v>78</v>
      </c>
      <c r="E4937" t="s">
        <v>78</v>
      </c>
      <c r="F4937" t="s">
        <v>78</v>
      </c>
      <c r="G4937" t="s">
        <v>78</v>
      </c>
      <c r="H4937">
        <v>1.01</v>
      </c>
      <c r="I4937" s="1">
        <v>0</v>
      </c>
      <c r="J4937" s="1">
        <v>0</v>
      </c>
      <c r="K4937">
        <v>0</v>
      </c>
      <c r="L4937">
        <v>0.99</v>
      </c>
      <c r="M4937">
        <v>1</v>
      </c>
      <c r="N4937" s="1">
        <v>10000000</v>
      </c>
      <c r="O4937">
        <v>1</v>
      </c>
      <c r="P4937">
        <v>2.0099999999999998</v>
      </c>
      <c r="Q4937">
        <v>0.01</v>
      </c>
    </row>
    <row r="4938" spans="1:17" x14ac:dyDescent="0.25">
      <c r="A4938">
        <v>733867</v>
      </c>
      <c r="B4938" t="s">
        <v>6250</v>
      </c>
      <c r="C4938">
        <v>1</v>
      </c>
      <c r="D4938">
        <v>0.02</v>
      </c>
      <c r="E4938">
        <v>1.01</v>
      </c>
      <c r="F4938">
        <v>1.01</v>
      </c>
      <c r="G4938">
        <v>1</v>
      </c>
      <c r="H4938">
        <v>1</v>
      </c>
      <c r="I4938" s="1">
        <v>120000</v>
      </c>
      <c r="J4938" s="1">
        <v>120280</v>
      </c>
      <c r="K4938">
        <v>7</v>
      </c>
      <c r="L4938">
        <v>1</v>
      </c>
      <c r="M4938">
        <v>1.01</v>
      </c>
      <c r="N4938" s="1">
        <v>10000000</v>
      </c>
      <c r="O4938">
        <v>1</v>
      </c>
      <c r="P4938">
        <v>1.57</v>
      </c>
      <c r="Q4938">
        <v>0.43</v>
      </c>
    </row>
    <row r="4939" spans="1:17" x14ac:dyDescent="0.25">
      <c r="A4939">
        <v>733868</v>
      </c>
      <c r="B4939" t="s">
        <v>6251</v>
      </c>
      <c r="C4939">
        <v>0.86</v>
      </c>
      <c r="D4939">
        <v>-0.03</v>
      </c>
      <c r="E4939">
        <v>0.86</v>
      </c>
      <c r="F4939">
        <v>0.86</v>
      </c>
      <c r="G4939">
        <v>0.86</v>
      </c>
      <c r="H4939">
        <v>0.86</v>
      </c>
      <c r="I4939" s="1">
        <v>2000</v>
      </c>
      <c r="J4939" s="1">
        <v>1720</v>
      </c>
      <c r="K4939">
        <v>1</v>
      </c>
      <c r="L4939">
        <v>0.94</v>
      </c>
      <c r="M4939">
        <v>0.95</v>
      </c>
      <c r="N4939" s="1">
        <v>10000000</v>
      </c>
      <c r="O4939">
        <v>0.86</v>
      </c>
      <c r="P4939">
        <v>1.8</v>
      </c>
      <c r="Q4939">
        <v>0.01</v>
      </c>
    </row>
    <row r="4940" spans="1:17" x14ac:dyDescent="0.25">
      <c r="A4940">
        <v>733869</v>
      </c>
      <c r="B4940" t="s">
        <v>6252</v>
      </c>
      <c r="C4940">
        <v>0.93</v>
      </c>
      <c r="D4940">
        <v>0.03</v>
      </c>
      <c r="E4940">
        <v>0.99</v>
      </c>
      <c r="F4940">
        <v>1.01</v>
      </c>
      <c r="G4940">
        <v>0.92</v>
      </c>
      <c r="H4940">
        <v>0.96</v>
      </c>
      <c r="I4940" s="1">
        <v>1049000</v>
      </c>
      <c r="J4940" s="1">
        <v>1008520</v>
      </c>
      <c r="K4940">
        <v>27</v>
      </c>
      <c r="L4940">
        <v>0.91</v>
      </c>
      <c r="M4940">
        <v>0.92</v>
      </c>
      <c r="N4940" s="1">
        <v>10000000</v>
      </c>
      <c r="O4940">
        <v>0.93</v>
      </c>
      <c r="P4940">
        <v>1.7</v>
      </c>
      <c r="Q4940">
        <v>0.15</v>
      </c>
    </row>
    <row r="4941" spans="1:17" x14ac:dyDescent="0.25">
      <c r="A4941">
        <v>733870</v>
      </c>
      <c r="B4941" t="s">
        <v>6253</v>
      </c>
      <c r="C4941">
        <v>1.28</v>
      </c>
      <c r="D4941">
        <v>0.11</v>
      </c>
      <c r="E4941">
        <v>1.1299999999999999</v>
      </c>
      <c r="F4941">
        <v>1.28</v>
      </c>
      <c r="G4941">
        <v>1.1000000000000001</v>
      </c>
      <c r="H4941">
        <v>1.2</v>
      </c>
      <c r="I4941" s="1">
        <v>2014000</v>
      </c>
      <c r="J4941" s="1">
        <v>2408010</v>
      </c>
      <c r="K4941">
        <v>41</v>
      </c>
      <c r="L4941">
        <v>1.28</v>
      </c>
      <c r="M4941">
        <v>1.32</v>
      </c>
      <c r="N4941" s="1">
        <v>10000000</v>
      </c>
      <c r="O4941">
        <v>1.28</v>
      </c>
      <c r="P4941">
        <v>2.2799999999999998</v>
      </c>
      <c r="Q4941">
        <v>0.28000000000000003</v>
      </c>
    </row>
    <row r="4942" spans="1:17" x14ac:dyDescent="0.25">
      <c r="A4942">
        <v>733871</v>
      </c>
      <c r="B4942" t="s">
        <v>6254</v>
      </c>
      <c r="C4942">
        <v>0.91</v>
      </c>
      <c r="D4942">
        <v>-0.04</v>
      </c>
      <c r="E4942">
        <v>1.01</v>
      </c>
      <c r="F4942">
        <v>1.01</v>
      </c>
      <c r="G4942">
        <v>0.91</v>
      </c>
      <c r="H4942">
        <v>0.98</v>
      </c>
      <c r="I4942" s="1">
        <v>124000</v>
      </c>
      <c r="J4942" s="1">
        <v>122040</v>
      </c>
      <c r="K4942">
        <v>4</v>
      </c>
      <c r="L4942">
        <v>0.93</v>
      </c>
      <c r="M4942">
        <v>0.94</v>
      </c>
      <c r="N4942" s="1">
        <v>10000000</v>
      </c>
      <c r="O4942">
        <v>0.91</v>
      </c>
      <c r="P4942">
        <v>1.48</v>
      </c>
      <c r="Q4942">
        <v>0.34</v>
      </c>
    </row>
    <row r="4943" spans="1:17" x14ac:dyDescent="0.25">
      <c r="A4943">
        <v>733872</v>
      </c>
      <c r="B4943" t="s">
        <v>6255</v>
      </c>
      <c r="C4943">
        <v>0.6</v>
      </c>
      <c r="D4943">
        <v>0.03</v>
      </c>
      <c r="E4943">
        <v>0.56000000000000005</v>
      </c>
      <c r="F4943">
        <v>0.65</v>
      </c>
      <c r="G4943">
        <v>0.56000000000000005</v>
      </c>
      <c r="H4943">
        <v>0.61</v>
      </c>
      <c r="I4943" s="1">
        <v>1455000</v>
      </c>
      <c r="J4943" s="1">
        <v>881520</v>
      </c>
      <c r="K4943">
        <v>18</v>
      </c>
      <c r="L4943">
        <v>0.59</v>
      </c>
      <c r="M4943">
        <v>0.6</v>
      </c>
      <c r="N4943" s="1">
        <v>5000000</v>
      </c>
      <c r="O4943">
        <v>0.6</v>
      </c>
      <c r="P4943">
        <v>0.93</v>
      </c>
      <c r="Q4943">
        <v>0.26</v>
      </c>
    </row>
    <row r="4944" spans="1:17" x14ac:dyDescent="0.25">
      <c r="A4944">
        <v>733873</v>
      </c>
      <c r="B4944" t="s">
        <v>6256</v>
      </c>
      <c r="C4944">
        <v>0.88</v>
      </c>
      <c r="D4944">
        <v>-0.08</v>
      </c>
      <c r="E4944">
        <v>0.89</v>
      </c>
      <c r="F4944">
        <v>0.9</v>
      </c>
      <c r="G4944">
        <v>0.88</v>
      </c>
      <c r="H4944">
        <v>0.89</v>
      </c>
      <c r="I4944" s="1">
        <v>619000</v>
      </c>
      <c r="J4944" s="1">
        <v>551350</v>
      </c>
      <c r="K4944">
        <v>11</v>
      </c>
      <c r="L4944">
        <v>0.83</v>
      </c>
      <c r="M4944">
        <v>0.84</v>
      </c>
      <c r="N4944" s="1">
        <v>6688000</v>
      </c>
      <c r="O4944">
        <v>0.88</v>
      </c>
      <c r="P4944">
        <v>1.45</v>
      </c>
      <c r="Q4944">
        <v>0.31</v>
      </c>
    </row>
    <row r="4945" spans="1:17" x14ac:dyDescent="0.25">
      <c r="A4945">
        <v>733874</v>
      </c>
      <c r="B4945" t="s">
        <v>6257</v>
      </c>
      <c r="C4945">
        <v>1.1100000000000001</v>
      </c>
      <c r="D4945">
        <v>0.02</v>
      </c>
      <c r="E4945">
        <v>1.1100000000000001</v>
      </c>
      <c r="F4945">
        <v>1.1200000000000001</v>
      </c>
      <c r="G4945">
        <v>1.1000000000000001</v>
      </c>
      <c r="H4945">
        <v>1.1100000000000001</v>
      </c>
      <c r="I4945" s="1">
        <v>215000</v>
      </c>
      <c r="J4945" s="1">
        <v>239050</v>
      </c>
      <c r="K4945">
        <v>5</v>
      </c>
      <c r="L4945">
        <v>1.1000000000000001</v>
      </c>
      <c r="M4945">
        <v>1.1100000000000001</v>
      </c>
      <c r="N4945" s="1">
        <v>5053000</v>
      </c>
      <c r="O4945">
        <v>1.1100000000000001</v>
      </c>
      <c r="P4945">
        <v>1.78</v>
      </c>
      <c r="Q4945">
        <v>0.43</v>
      </c>
    </row>
    <row r="4946" spans="1:17" x14ac:dyDescent="0.25">
      <c r="A4946">
        <v>733875</v>
      </c>
      <c r="B4946" t="s">
        <v>6258</v>
      </c>
      <c r="C4946">
        <v>0.84</v>
      </c>
      <c r="D4946">
        <v>-0.04</v>
      </c>
      <c r="E4946">
        <v>0.84</v>
      </c>
      <c r="F4946">
        <v>0.84</v>
      </c>
      <c r="G4946">
        <v>0.84</v>
      </c>
      <c r="H4946">
        <v>0.84</v>
      </c>
      <c r="I4946" s="1">
        <v>6000</v>
      </c>
      <c r="J4946" s="1">
        <v>5040</v>
      </c>
      <c r="K4946">
        <v>1</v>
      </c>
      <c r="L4946">
        <v>0.88</v>
      </c>
      <c r="M4946">
        <v>0.89</v>
      </c>
      <c r="N4946" s="1">
        <v>5000000</v>
      </c>
      <c r="O4946">
        <v>0.84</v>
      </c>
      <c r="P4946">
        <v>1.8</v>
      </c>
      <c r="Q4946">
        <v>0.01</v>
      </c>
    </row>
    <row r="4947" spans="1:17" x14ac:dyDescent="0.25">
      <c r="A4947">
        <v>733876</v>
      </c>
      <c r="B4947" t="s">
        <v>6259</v>
      </c>
      <c r="C4947">
        <v>0.82</v>
      </c>
      <c r="D4947">
        <v>0.01</v>
      </c>
      <c r="E4947">
        <v>0.83</v>
      </c>
      <c r="F4947">
        <v>0.83</v>
      </c>
      <c r="G4947">
        <v>0.81</v>
      </c>
      <c r="H4947">
        <v>0.82</v>
      </c>
      <c r="I4947" s="1">
        <v>629000</v>
      </c>
      <c r="J4947" s="1">
        <v>516670</v>
      </c>
      <c r="K4947">
        <v>11</v>
      </c>
      <c r="L4947">
        <v>0.81</v>
      </c>
      <c r="M4947">
        <v>0.82</v>
      </c>
      <c r="N4947" s="1">
        <v>10000000</v>
      </c>
      <c r="O4947">
        <v>0.82</v>
      </c>
      <c r="P4947">
        <v>1.54</v>
      </c>
      <c r="Q4947">
        <v>0.09</v>
      </c>
    </row>
    <row r="4948" spans="1:17" x14ac:dyDescent="0.25">
      <c r="A4948">
        <v>733877</v>
      </c>
      <c r="B4948" t="s">
        <v>6260</v>
      </c>
      <c r="C4948">
        <v>0.56000000000000005</v>
      </c>
      <c r="D4948">
        <v>-0.04</v>
      </c>
      <c r="E4948">
        <v>0.62</v>
      </c>
      <c r="F4948">
        <v>0.62</v>
      </c>
      <c r="G4948">
        <v>0.56000000000000005</v>
      </c>
      <c r="H4948">
        <v>0.61</v>
      </c>
      <c r="I4948" s="1">
        <v>970000</v>
      </c>
      <c r="J4948" s="1">
        <v>589270</v>
      </c>
      <c r="K4948">
        <v>13</v>
      </c>
      <c r="L4948">
        <v>0.56000000000000005</v>
      </c>
      <c r="M4948">
        <v>0.56999999999999995</v>
      </c>
      <c r="N4948" s="1">
        <v>16000000</v>
      </c>
      <c r="O4948">
        <v>0.56000000000000005</v>
      </c>
      <c r="P4948">
        <v>0.89</v>
      </c>
      <c r="Q4948">
        <v>0.23</v>
      </c>
    </row>
    <row r="4949" spans="1:17" x14ac:dyDescent="0.25">
      <c r="A4949">
        <v>733878</v>
      </c>
      <c r="B4949" t="s">
        <v>6261</v>
      </c>
      <c r="C4949">
        <v>0.77</v>
      </c>
      <c r="D4949">
        <v>0.01</v>
      </c>
      <c r="E4949">
        <v>0.77</v>
      </c>
      <c r="F4949">
        <v>0.8</v>
      </c>
      <c r="G4949">
        <v>0.77</v>
      </c>
      <c r="H4949">
        <v>0.78</v>
      </c>
      <c r="I4949" s="1">
        <v>139000</v>
      </c>
      <c r="J4949" s="1">
        <v>107910</v>
      </c>
      <c r="K4949">
        <v>15</v>
      </c>
      <c r="L4949">
        <v>0.74</v>
      </c>
      <c r="M4949">
        <v>0.75</v>
      </c>
      <c r="N4949" s="1">
        <v>10000000</v>
      </c>
      <c r="O4949">
        <v>0.77</v>
      </c>
      <c r="P4949">
        <v>1.01</v>
      </c>
      <c r="Q4949">
        <v>0.53</v>
      </c>
    </row>
    <row r="4950" spans="1:17" x14ac:dyDescent="0.25">
      <c r="A4950">
        <v>733879</v>
      </c>
      <c r="B4950" t="s">
        <v>6262</v>
      </c>
      <c r="C4950" t="s">
        <v>78</v>
      </c>
      <c r="D4950" t="s">
        <v>78</v>
      </c>
      <c r="E4950" t="s">
        <v>78</v>
      </c>
      <c r="F4950" t="s">
        <v>78</v>
      </c>
      <c r="G4950" t="s">
        <v>78</v>
      </c>
      <c r="H4950">
        <v>0</v>
      </c>
      <c r="I4950" s="1">
        <v>0</v>
      </c>
      <c r="J4950" s="1">
        <v>0</v>
      </c>
      <c r="K4950">
        <v>0</v>
      </c>
      <c r="L4950">
        <v>0.56000000000000005</v>
      </c>
      <c r="M4950">
        <v>0.56999999999999995</v>
      </c>
      <c r="N4950" s="1">
        <v>10000000</v>
      </c>
      <c r="O4950">
        <v>0.56999999999999995</v>
      </c>
      <c r="P4950">
        <v>1.64</v>
      </c>
      <c r="Q4950">
        <v>0.01</v>
      </c>
    </row>
    <row r="4951" spans="1:17" x14ac:dyDescent="0.25">
      <c r="A4951">
        <v>733880</v>
      </c>
      <c r="B4951" t="s">
        <v>6263</v>
      </c>
      <c r="C4951">
        <v>1.17</v>
      </c>
      <c r="D4951">
        <v>0.03</v>
      </c>
      <c r="E4951">
        <v>1.17</v>
      </c>
      <c r="F4951">
        <v>1.17</v>
      </c>
      <c r="G4951">
        <v>1.17</v>
      </c>
      <c r="H4951">
        <v>1.17</v>
      </c>
      <c r="I4951" s="1">
        <v>77000</v>
      </c>
      <c r="J4951" s="1">
        <v>90090</v>
      </c>
      <c r="K4951">
        <v>1</v>
      </c>
      <c r="L4951">
        <v>1.07</v>
      </c>
      <c r="M4951">
        <v>1.0900000000000001</v>
      </c>
      <c r="N4951" s="1">
        <v>5000000</v>
      </c>
      <c r="O4951">
        <v>1.17</v>
      </c>
      <c r="P4951">
        <v>2.12</v>
      </c>
      <c r="Q4951">
        <v>0.2</v>
      </c>
    </row>
    <row r="4952" spans="1:17" x14ac:dyDescent="0.25">
      <c r="A4952">
        <v>733881</v>
      </c>
      <c r="B4952" t="s">
        <v>6264</v>
      </c>
      <c r="C4952">
        <v>3.4</v>
      </c>
      <c r="D4952">
        <v>-0.01</v>
      </c>
      <c r="E4952">
        <v>3.37</v>
      </c>
      <c r="F4952">
        <v>3.44</v>
      </c>
      <c r="G4952">
        <v>3.25</v>
      </c>
      <c r="H4952">
        <v>3.37</v>
      </c>
      <c r="I4952" s="1">
        <v>15000</v>
      </c>
      <c r="J4952" s="1">
        <v>50570</v>
      </c>
      <c r="K4952">
        <v>4</v>
      </c>
      <c r="L4952">
        <v>3.68</v>
      </c>
      <c r="M4952">
        <v>3.69</v>
      </c>
      <c r="N4952" s="1">
        <v>20000000</v>
      </c>
      <c r="O4952">
        <v>3.4</v>
      </c>
      <c r="P4952">
        <v>4.66</v>
      </c>
      <c r="Q4952">
        <v>2.14</v>
      </c>
    </row>
    <row r="4953" spans="1:17" x14ac:dyDescent="0.25">
      <c r="A4953">
        <v>733882</v>
      </c>
      <c r="B4953" t="s">
        <v>6265</v>
      </c>
      <c r="C4953">
        <v>0.89</v>
      </c>
      <c r="D4953">
        <v>0.05</v>
      </c>
      <c r="E4953">
        <v>0.86</v>
      </c>
      <c r="F4953">
        <v>0.89</v>
      </c>
      <c r="G4953">
        <v>0.86</v>
      </c>
      <c r="H4953">
        <v>0.86</v>
      </c>
      <c r="I4953" s="1">
        <v>116000</v>
      </c>
      <c r="J4953" s="1">
        <v>100060</v>
      </c>
      <c r="K4953">
        <v>6</v>
      </c>
      <c r="L4953">
        <v>0.88</v>
      </c>
      <c r="M4953">
        <v>0.89</v>
      </c>
      <c r="N4953" s="1">
        <v>5560000</v>
      </c>
      <c r="O4953">
        <v>0.89</v>
      </c>
      <c r="P4953">
        <v>2.31</v>
      </c>
      <c r="Q4953">
        <v>0.01</v>
      </c>
    </row>
    <row r="4954" spans="1:17" x14ac:dyDescent="0.25">
      <c r="A4954">
        <v>733883</v>
      </c>
      <c r="B4954" t="s">
        <v>6266</v>
      </c>
      <c r="C4954">
        <v>0.88</v>
      </c>
      <c r="D4954">
        <v>0.02</v>
      </c>
      <c r="E4954">
        <v>0.88</v>
      </c>
      <c r="F4954">
        <v>0.88</v>
      </c>
      <c r="G4954">
        <v>0.88</v>
      </c>
      <c r="H4954">
        <v>0.88</v>
      </c>
      <c r="I4954" s="1">
        <v>81000</v>
      </c>
      <c r="J4954" s="1">
        <v>71280</v>
      </c>
      <c r="K4954">
        <v>2</v>
      </c>
      <c r="L4954">
        <v>0.88</v>
      </c>
      <c r="M4954">
        <v>0.89</v>
      </c>
      <c r="N4954" s="1">
        <v>5000000</v>
      </c>
      <c r="O4954">
        <v>0.88</v>
      </c>
      <c r="P4954">
        <v>1.43</v>
      </c>
      <c r="Q4954">
        <v>0.33</v>
      </c>
    </row>
    <row r="4955" spans="1:17" x14ac:dyDescent="0.25">
      <c r="A4955">
        <v>733884</v>
      </c>
      <c r="B4955" t="s">
        <v>6267</v>
      </c>
      <c r="C4955">
        <v>1.06</v>
      </c>
      <c r="D4955">
        <v>-0.11</v>
      </c>
      <c r="E4955">
        <v>1.0900000000000001</v>
      </c>
      <c r="F4955">
        <v>1.0900000000000001</v>
      </c>
      <c r="G4955">
        <v>1.06</v>
      </c>
      <c r="H4955">
        <v>1.07</v>
      </c>
      <c r="I4955" s="1">
        <v>345000</v>
      </c>
      <c r="J4955" s="1">
        <v>369750</v>
      </c>
      <c r="K4955">
        <v>15</v>
      </c>
      <c r="L4955">
        <v>1.07</v>
      </c>
      <c r="M4955">
        <v>1.0900000000000001</v>
      </c>
      <c r="N4955" s="1">
        <v>8000000</v>
      </c>
      <c r="O4955">
        <v>1.06</v>
      </c>
      <c r="P4955">
        <v>1.86</v>
      </c>
      <c r="Q4955">
        <v>0.26</v>
      </c>
    </row>
    <row r="4956" spans="1:17" x14ac:dyDescent="0.25">
      <c r="A4956">
        <v>733885</v>
      </c>
      <c r="B4956" t="s">
        <v>6268</v>
      </c>
      <c r="C4956">
        <v>1.1100000000000001</v>
      </c>
      <c r="D4956">
        <v>0</v>
      </c>
      <c r="E4956">
        <v>1.1100000000000001</v>
      </c>
      <c r="F4956">
        <v>1.1200000000000001</v>
      </c>
      <c r="G4956">
        <v>1.1100000000000001</v>
      </c>
      <c r="H4956">
        <v>1.1100000000000001</v>
      </c>
      <c r="I4956" s="1">
        <v>53000</v>
      </c>
      <c r="J4956" s="1">
        <v>58920</v>
      </c>
      <c r="K4956">
        <v>4</v>
      </c>
      <c r="L4956">
        <v>1.1000000000000001</v>
      </c>
      <c r="M4956">
        <v>1.1100000000000001</v>
      </c>
      <c r="N4956" s="1">
        <v>6000000</v>
      </c>
      <c r="O4956">
        <v>1.1100000000000001</v>
      </c>
      <c r="P4956">
        <v>1.57</v>
      </c>
      <c r="Q4956">
        <v>0.64</v>
      </c>
    </row>
    <row r="4957" spans="1:17" x14ac:dyDescent="0.25">
      <c r="A4957">
        <v>733886</v>
      </c>
      <c r="B4957" t="s">
        <v>6269</v>
      </c>
      <c r="C4957">
        <v>1</v>
      </c>
      <c r="D4957">
        <v>0.04</v>
      </c>
      <c r="E4957">
        <v>1</v>
      </c>
      <c r="F4957">
        <v>1</v>
      </c>
      <c r="G4957">
        <v>1</v>
      </c>
      <c r="H4957">
        <v>1</v>
      </c>
      <c r="I4957" s="1">
        <v>100000</v>
      </c>
      <c r="J4957" s="1">
        <v>100000</v>
      </c>
      <c r="K4957">
        <v>1</v>
      </c>
      <c r="L4957">
        <v>1.01</v>
      </c>
      <c r="M4957">
        <v>1.02</v>
      </c>
      <c r="N4957" s="1">
        <v>10000000</v>
      </c>
      <c r="O4957">
        <v>1</v>
      </c>
      <c r="P4957">
        <v>1.6</v>
      </c>
      <c r="Q4957">
        <v>0.4</v>
      </c>
    </row>
    <row r="4958" spans="1:17" x14ac:dyDescent="0.25">
      <c r="A4958">
        <v>733887</v>
      </c>
      <c r="B4958" t="s">
        <v>6270</v>
      </c>
      <c r="C4958">
        <v>1.5</v>
      </c>
      <c r="D4958">
        <v>-0.18</v>
      </c>
      <c r="E4958">
        <v>1.73</v>
      </c>
      <c r="F4958">
        <v>1.75</v>
      </c>
      <c r="G4958">
        <v>1.5</v>
      </c>
      <c r="H4958">
        <v>1.68</v>
      </c>
      <c r="I4958" s="1">
        <v>922000</v>
      </c>
      <c r="J4958" s="1">
        <v>1552050</v>
      </c>
      <c r="K4958">
        <v>41</v>
      </c>
      <c r="L4958">
        <v>1.46</v>
      </c>
      <c r="M4958">
        <v>1.5</v>
      </c>
      <c r="N4958" s="1">
        <v>10000000</v>
      </c>
      <c r="O4958">
        <v>1.5</v>
      </c>
      <c r="P4958">
        <v>2.46</v>
      </c>
      <c r="Q4958">
        <v>0.54</v>
      </c>
    </row>
    <row r="4959" spans="1:17" x14ac:dyDescent="0.25">
      <c r="A4959">
        <v>733888</v>
      </c>
      <c r="B4959" t="s">
        <v>6271</v>
      </c>
      <c r="C4959">
        <v>1.19</v>
      </c>
      <c r="D4959">
        <v>0.04</v>
      </c>
      <c r="E4959">
        <v>1.19</v>
      </c>
      <c r="F4959">
        <v>1.19</v>
      </c>
      <c r="G4959">
        <v>1.19</v>
      </c>
      <c r="H4959">
        <v>1.19</v>
      </c>
      <c r="I4959" s="1">
        <v>6000</v>
      </c>
      <c r="J4959" s="1">
        <v>7140</v>
      </c>
      <c r="K4959">
        <v>1</v>
      </c>
      <c r="L4959">
        <v>1.1399999999999999</v>
      </c>
      <c r="M4959">
        <v>1.1599999999999999</v>
      </c>
      <c r="N4959" s="1">
        <v>6000000</v>
      </c>
      <c r="O4959">
        <v>1.19</v>
      </c>
      <c r="P4959">
        <v>1.94</v>
      </c>
      <c r="Q4959">
        <v>0.44</v>
      </c>
    </row>
    <row r="4960" spans="1:17" x14ac:dyDescent="0.25">
      <c r="A4960">
        <v>733889</v>
      </c>
      <c r="B4960" t="s">
        <v>6272</v>
      </c>
      <c r="C4960">
        <v>0.92</v>
      </c>
      <c r="D4960">
        <v>-0.18</v>
      </c>
      <c r="E4960">
        <v>1.07</v>
      </c>
      <c r="F4960">
        <v>1.07</v>
      </c>
      <c r="G4960">
        <v>0.92</v>
      </c>
      <c r="H4960">
        <v>1.05</v>
      </c>
      <c r="I4960" s="1">
        <v>581000</v>
      </c>
      <c r="J4960" s="1">
        <v>607560</v>
      </c>
      <c r="K4960">
        <v>12</v>
      </c>
      <c r="L4960">
        <v>0.9</v>
      </c>
      <c r="M4960">
        <v>0.91</v>
      </c>
      <c r="N4960" s="1">
        <v>5000000</v>
      </c>
      <c r="O4960">
        <v>0.92</v>
      </c>
      <c r="P4960">
        <v>1.8</v>
      </c>
      <c r="Q4960">
        <v>0.04</v>
      </c>
    </row>
    <row r="4961" spans="1:17" x14ac:dyDescent="0.25">
      <c r="A4961">
        <v>733890</v>
      </c>
      <c r="B4961" t="s">
        <v>6273</v>
      </c>
      <c r="C4961">
        <v>0.59</v>
      </c>
      <c r="D4961">
        <v>-0.01</v>
      </c>
      <c r="E4961">
        <v>0.59</v>
      </c>
      <c r="F4961">
        <v>0.62</v>
      </c>
      <c r="G4961">
        <v>0.59</v>
      </c>
      <c r="H4961">
        <v>0.6</v>
      </c>
      <c r="I4961" s="1">
        <v>760000</v>
      </c>
      <c r="J4961" s="1">
        <v>453880</v>
      </c>
      <c r="K4961">
        <v>5</v>
      </c>
      <c r="L4961">
        <v>0.56000000000000005</v>
      </c>
      <c r="M4961">
        <v>0.56999999999999995</v>
      </c>
      <c r="N4961" s="1">
        <v>17000000</v>
      </c>
      <c r="O4961">
        <v>0.59</v>
      </c>
      <c r="P4961">
        <v>0.92</v>
      </c>
      <c r="Q4961">
        <v>0.26</v>
      </c>
    </row>
    <row r="4962" spans="1:17" x14ac:dyDescent="0.25">
      <c r="A4962">
        <v>733891</v>
      </c>
      <c r="B4962" t="s">
        <v>6274</v>
      </c>
      <c r="C4962" t="s">
        <v>78</v>
      </c>
      <c r="D4962" t="s">
        <v>78</v>
      </c>
      <c r="E4962" t="s">
        <v>78</v>
      </c>
      <c r="F4962" t="s">
        <v>78</v>
      </c>
      <c r="G4962" t="s">
        <v>78</v>
      </c>
      <c r="H4962">
        <v>1.05</v>
      </c>
      <c r="I4962" s="1">
        <v>0</v>
      </c>
      <c r="J4962" s="1">
        <v>0</v>
      </c>
      <c r="K4962">
        <v>0</v>
      </c>
      <c r="L4962">
        <v>0.97</v>
      </c>
      <c r="M4962">
        <v>0.98</v>
      </c>
      <c r="N4962" s="1">
        <v>10000000</v>
      </c>
      <c r="O4962">
        <v>0.98</v>
      </c>
      <c r="P4962">
        <v>1.73</v>
      </c>
      <c r="Q4962">
        <v>0.23</v>
      </c>
    </row>
    <row r="4963" spans="1:17" x14ac:dyDescent="0.25">
      <c r="A4963">
        <v>733892</v>
      </c>
      <c r="B4963" t="s">
        <v>6275</v>
      </c>
      <c r="C4963">
        <v>0.92</v>
      </c>
      <c r="D4963">
        <v>-0.04</v>
      </c>
      <c r="E4963">
        <v>0.94</v>
      </c>
      <c r="F4963">
        <v>0.98</v>
      </c>
      <c r="G4963">
        <v>0.92</v>
      </c>
      <c r="H4963">
        <v>0.95</v>
      </c>
      <c r="I4963" s="1">
        <v>848000</v>
      </c>
      <c r="J4963" s="1">
        <v>802360</v>
      </c>
      <c r="K4963">
        <v>26</v>
      </c>
      <c r="L4963">
        <v>0.88</v>
      </c>
      <c r="M4963">
        <v>0.89</v>
      </c>
      <c r="N4963" s="1">
        <v>5000000</v>
      </c>
      <c r="O4963">
        <v>0.92</v>
      </c>
      <c r="P4963">
        <v>1.9</v>
      </c>
      <c r="Q4963">
        <v>0.01</v>
      </c>
    </row>
    <row r="4964" spans="1:17" x14ac:dyDescent="0.25">
      <c r="A4964">
        <v>733893</v>
      </c>
      <c r="B4964" t="s">
        <v>6276</v>
      </c>
      <c r="C4964">
        <v>1.1000000000000001</v>
      </c>
      <c r="D4964">
        <v>-0.05</v>
      </c>
      <c r="E4964">
        <v>1.1100000000000001</v>
      </c>
      <c r="F4964">
        <v>1.1599999999999999</v>
      </c>
      <c r="G4964">
        <v>1.07</v>
      </c>
      <c r="H4964">
        <v>1.1200000000000001</v>
      </c>
      <c r="I4964" s="1">
        <v>341000</v>
      </c>
      <c r="J4964" s="1">
        <v>383140</v>
      </c>
      <c r="K4964">
        <v>14</v>
      </c>
      <c r="L4964">
        <v>1.1000000000000001</v>
      </c>
      <c r="M4964">
        <v>1.1200000000000001</v>
      </c>
      <c r="N4964" s="1">
        <v>10000000</v>
      </c>
      <c r="O4964">
        <v>1.1000000000000001</v>
      </c>
      <c r="P4964">
        <v>2.2599999999999998</v>
      </c>
      <c r="Q4964">
        <v>0.01</v>
      </c>
    </row>
    <row r="4965" spans="1:17" x14ac:dyDescent="0.25">
      <c r="A4965">
        <v>733894</v>
      </c>
      <c r="B4965" t="s">
        <v>6277</v>
      </c>
      <c r="C4965">
        <v>0.93</v>
      </c>
      <c r="D4965">
        <v>0</v>
      </c>
      <c r="E4965">
        <v>0.93</v>
      </c>
      <c r="F4965">
        <v>0.93</v>
      </c>
      <c r="G4965">
        <v>0.93</v>
      </c>
      <c r="H4965">
        <v>0.93</v>
      </c>
      <c r="I4965" s="1">
        <v>93000</v>
      </c>
      <c r="J4965" s="1">
        <v>86490</v>
      </c>
      <c r="K4965">
        <v>1</v>
      </c>
      <c r="L4965">
        <v>0.93</v>
      </c>
      <c r="M4965">
        <v>0.94</v>
      </c>
      <c r="N4965" s="1">
        <v>10000000</v>
      </c>
      <c r="O4965">
        <v>0.93</v>
      </c>
      <c r="P4965">
        <v>1.53</v>
      </c>
      <c r="Q4965">
        <v>0.33</v>
      </c>
    </row>
    <row r="4966" spans="1:17" x14ac:dyDescent="0.25">
      <c r="A4966">
        <v>733895</v>
      </c>
      <c r="B4966" t="s">
        <v>6278</v>
      </c>
      <c r="C4966">
        <v>0.86</v>
      </c>
      <c r="D4966">
        <v>0.06</v>
      </c>
      <c r="E4966">
        <v>0.86</v>
      </c>
      <c r="F4966">
        <v>0.86</v>
      </c>
      <c r="G4966">
        <v>0.86</v>
      </c>
      <c r="H4966">
        <v>0.86</v>
      </c>
      <c r="I4966" s="1">
        <v>50000</v>
      </c>
      <c r="J4966" s="1">
        <v>43000</v>
      </c>
      <c r="K4966">
        <v>1</v>
      </c>
      <c r="L4966">
        <v>0.81</v>
      </c>
      <c r="M4966">
        <v>0.84</v>
      </c>
      <c r="N4966" s="1">
        <v>5000000</v>
      </c>
      <c r="O4966">
        <v>0.86</v>
      </c>
      <c r="P4966">
        <v>2.16</v>
      </c>
      <c r="Q4966">
        <v>0.01</v>
      </c>
    </row>
    <row r="4967" spans="1:17" x14ac:dyDescent="0.25">
      <c r="A4967">
        <v>733896</v>
      </c>
      <c r="B4967" t="s">
        <v>6279</v>
      </c>
      <c r="C4967">
        <v>3.44</v>
      </c>
      <c r="D4967">
        <v>0.47</v>
      </c>
      <c r="E4967">
        <v>2.91</v>
      </c>
      <c r="F4967">
        <v>3.44</v>
      </c>
      <c r="G4967">
        <v>2.91</v>
      </c>
      <c r="H4967">
        <v>3.21</v>
      </c>
      <c r="I4967" s="1">
        <v>477000</v>
      </c>
      <c r="J4967" s="1">
        <v>1529520</v>
      </c>
      <c r="K4967">
        <v>9</v>
      </c>
      <c r="L4967">
        <v>3.48</v>
      </c>
      <c r="M4967">
        <v>3.53</v>
      </c>
      <c r="N4967" s="1">
        <v>10000000</v>
      </c>
      <c r="O4967">
        <v>3.44</v>
      </c>
      <c r="P4967">
        <v>6.7</v>
      </c>
      <c r="Q4967">
        <v>0.14000000000000001</v>
      </c>
    </row>
    <row r="4968" spans="1:17" x14ac:dyDescent="0.25">
      <c r="A4968">
        <v>733897</v>
      </c>
      <c r="B4968" t="s">
        <v>6280</v>
      </c>
      <c r="C4968">
        <v>1.1100000000000001</v>
      </c>
      <c r="D4968">
        <v>-0.14000000000000001</v>
      </c>
      <c r="E4968">
        <v>1.39</v>
      </c>
      <c r="F4968">
        <v>1.39</v>
      </c>
      <c r="G4968">
        <v>1.1100000000000001</v>
      </c>
      <c r="H4968">
        <v>1.3</v>
      </c>
      <c r="I4968" s="1">
        <v>339000</v>
      </c>
      <c r="J4968" s="1">
        <v>441160</v>
      </c>
      <c r="K4968">
        <v>31</v>
      </c>
      <c r="L4968">
        <v>1.1000000000000001</v>
      </c>
      <c r="M4968">
        <v>1.1299999999999999</v>
      </c>
      <c r="N4968" s="1">
        <v>10000000</v>
      </c>
      <c r="O4968">
        <v>1.1100000000000001</v>
      </c>
      <c r="P4968">
        <v>2.1800000000000002</v>
      </c>
      <c r="Q4968">
        <v>0.04</v>
      </c>
    </row>
    <row r="4969" spans="1:17" x14ac:dyDescent="0.25">
      <c r="A4969">
        <v>733898</v>
      </c>
      <c r="B4969" t="s">
        <v>6281</v>
      </c>
      <c r="C4969">
        <v>1.39</v>
      </c>
      <c r="D4969">
        <v>-0.08</v>
      </c>
      <c r="E4969">
        <v>1.4</v>
      </c>
      <c r="F4969">
        <v>1.4</v>
      </c>
      <c r="G4969">
        <v>1.37</v>
      </c>
      <c r="H4969">
        <v>1.4</v>
      </c>
      <c r="I4969" s="1">
        <v>445000</v>
      </c>
      <c r="J4969" s="1">
        <v>622190</v>
      </c>
      <c r="K4969">
        <v>6</v>
      </c>
      <c r="L4969">
        <v>1.37</v>
      </c>
      <c r="M4969">
        <v>1.39</v>
      </c>
      <c r="N4969" s="1">
        <v>10000000</v>
      </c>
      <c r="O4969">
        <v>1.39</v>
      </c>
      <c r="P4969">
        <v>2.81</v>
      </c>
      <c r="Q4969">
        <v>0.01</v>
      </c>
    </row>
    <row r="4970" spans="1:17" x14ac:dyDescent="0.25">
      <c r="A4970">
        <v>733899</v>
      </c>
      <c r="B4970" t="s">
        <v>6282</v>
      </c>
      <c r="C4970">
        <v>0.86</v>
      </c>
      <c r="D4970">
        <v>-0.03</v>
      </c>
      <c r="E4970">
        <v>0.92</v>
      </c>
      <c r="F4970">
        <v>0.93</v>
      </c>
      <c r="G4970">
        <v>0.86</v>
      </c>
      <c r="H4970">
        <v>0.9</v>
      </c>
      <c r="I4970" s="1">
        <v>447000</v>
      </c>
      <c r="J4970" s="1">
        <v>400260</v>
      </c>
      <c r="K4970">
        <v>10</v>
      </c>
      <c r="L4970">
        <v>0.86</v>
      </c>
      <c r="M4970">
        <v>0.87</v>
      </c>
      <c r="N4970" s="1">
        <v>5000000</v>
      </c>
      <c r="O4970">
        <v>0.86</v>
      </c>
      <c r="P4970">
        <v>1.81</v>
      </c>
      <c r="Q4970">
        <v>0.01</v>
      </c>
    </row>
    <row r="4971" spans="1:17" x14ac:dyDescent="0.25">
      <c r="A4971">
        <v>733900</v>
      </c>
      <c r="B4971" t="s">
        <v>6283</v>
      </c>
      <c r="C4971">
        <v>1.1399999999999999</v>
      </c>
      <c r="D4971">
        <v>-0.03</v>
      </c>
      <c r="E4971">
        <v>1.1599999999999999</v>
      </c>
      <c r="F4971">
        <v>1.1599999999999999</v>
      </c>
      <c r="G4971">
        <v>1.1299999999999999</v>
      </c>
      <c r="H4971">
        <v>1.1399999999999999</v>
      </c>
      <c r="I4971" s="1">
        <v>165000</v>
      </c>
      <c r="J4971" s="1">
        <v>188100</v>
      </c>
      <c r="K4971">
        <v>4</v>
      </c>
      <c r="L4971">
        <v>1.1299999999999999</v>
      </c>
      <c r="M4971">
        <v>1.1399999999999999</v>
      </c>
      <c r="N4971" s="1">
        <v>5000000</v>
      </c>
      <c r="O4971">
        <v>1.1399999999999999</v>
      </c>
      <c r="P4971">
        <v>2.56</v>
      </c>
      <c r="Q4971">
        <v>0.01</v>
      </c>
    </row>
    <row r="4972" spans="1:17" x14ac:dyDescent="0.25">
      <c r="A4972">
        <v>733901</v>
      </c>
      <c r="B4972" t="s">
        <v>6284</v>
      </c>
      <c r="C4972">
        <v>0.73</v>
      </c>
      <c r="D4972">
        <v>-0.2</v>
      </c>
      <c r="E4972">
        <v>0.88</v>
      </c>
      <c r="F4972">
        <v>0.89</v>
      </c>
      <c r="G4972">
        <v>0.73</v>
      </c>
      <c r="H4972">
        <v>0.84</v>
      </c>
      <c r="I4972" s="1">
        <v>377000</v>
      </c>
      <c r="J4972" s="1">
        <v>315110</v>
      </c>
      <c r="K4972">
        <v>33</v>
      </c>
      <c r="L4972">
        <v>0.73</v>
      </c>
      <c r="M4972">
        <v>0.76</v>
      </c>
      <c r="N4972" s="1">
        <v>5000000</v>
      </c>
      <c r="O4972">
        <v>0.73</v>
      </c>
      <c r="P4972">
        <v>1.59</v>
      </c>
      <c r="Q4972">
        <v>0.01</v>
      </c>
    </row>
    <row r="4973" spans="1:17" x14ac:dyDescent="0.25">
      <c r="A4973">
        <v>733902</v>
      </c>
      <c r="B4973" t="s">
        <v>6285</v>
      </c>
      <c r="C4973">
        <v>0.83</v>
      </c>
      <c r="D4973">
        <v>-0.05</v>
      </c>
      <c r="E4973">
        <v>0.86</v>
      </c>
      <c r="F4973">
        <v>0.87</v>
      </c>
      <c r="G4973">
        <v>0.83</v>
      </c>
      <c r="H4973">
        <v>0.87</v>
      </c>
      <c r="I4973" s="1">
        <v>241000</v>
      </c>
      <c r="J4973" s="1">
        <v>208570</v>
      </c>
      <c r="K4973">
        <v>4</v>
      </c>
      <c r="L4973">
        <v>0.85</v>
      </c>
      <c r="M4973">
        <v>0.86</v>
      </c>
      <c r="N4973" s="1">
        <v>10000000</v>
      </c>
      <c r="O4973">
        <v>0.83</v>
      </c>
      <c r="P4973">
        <v>1.46</v>
      </c>
      <c r="Q4973">
        <v>0.2</v>
      </c>
    </row>
    <row r="4974" spans="1:17" x14ac:dyDescent="0.25">
      <c r="A4974">
        <v>733903</v>
      </c>
      <c r="B4974" t="s">
        <v>6286</v>
      </c>
      <c r="C4974">
        <v>1.1299999999999999</v>
      </c>
      <c r="D4974">
        <v>-0.22</v>
      </c>
      <c r="E4974">
        <v>1.22</v>
      </c>
      <c r="F4974">
        <v>1.26</v>
      </c>
      <c r="G4974">
        <v>1.1299999999999999</v>
      </c>
      <c r="H4974">
        <v>1.2</v>
      </c>
      <c r="I4974" s="1">
        <v>80000</v>
      </c>
      <c r="J4974" s="1">
        <v>96320</v>
      </c>
      <c r="K4974">
        <v>6</v>
      </c>
      <c r="L4974">
        <v>1.1100000000000001</v>
      </c>
      <c r="M4974">
        <v>1.1200000000000001</v>
      </c>
      <c r="N4974" s="1">
        <v>10000000</v>
      </c>
      <c r="O4974">
        <v>1.1299999999999999</v>
      </c>
      <c r="P4974">
        <v>1.99</v>
      </c>
      <c r="Q4974">
        <v>0.27</v>
      </c>
    </row>
    <row r="4975" spans="1:17" x14ac:dyDescent="0.25">
      <c r="A4975">
        <v>733904</v>
      </c>
      <c r="B4975" t="s">
        <v>6287</v>
      </c>
      <c r="C4975">
        <v>0.97</v>
      </c>
      <c r="D4975">
        <v>-0.04</v>
      </c>
      <c r="E4975">
        <v>1.05</v>
      </c>
      <c r="F4975">
        <v>1.05</v>
      </c>
      <c r="G4975">
        <v>0.97</v>
      </c>
      <c r="H4975">
        <v>1.02</v>
      </c>
      <c r="I4975" s="1">
        <v>70000</v>
      </c>
      <c r="J4975" s="1">
        <v>71700</v>
      </c>
      <c r="K4975">
        <v>5</v>
      </c>
      <c r="L4975">
        <v>0.96</v>
      </c>
      <c r="M4975">
        <v>0.97</v>
      </c>
      <c r="N4975" s="1">
        <v>5000000</v>
      </c>
      <c r="O4975">
        <v>0.97</v>
      </c>
      <c r="P4975">
        <v>1.92</v>
      </c>
      <c r="Q4975">
        <v>0.01</v>
      </c>
    </row>
    <row r="4976" spans="1:17" x14ac:dyDescent="0.25">
      <c r="A4976">
        <v>733905</v>
      </c>
      <c r="B4976" t="s">
        <v>6288</v>
      </c>
      <c r="C4976">
        <v>0.71</v>
      </c>
      <c r="D4976">
        <v>-0.01</v>
      </c>
      <c r="E4976">
        <v>0.75</v>
      </c>
      <c r="F4976">
        <v>0.75</v>
      </c>
      <c r="G4976">
        <v>0.71</v>
      </c>
      <c r="H4976">
        <v>0.75</v>
      </c>
      <c r="I4976" s="1">
        <v>1013000</v>
      </c>
      <c r="J4976" s="1">
        <v>754700</v>
      </c>
      <c r="K4976">
        <v>9</v>
      </c>
      <c r="L4976">
        <v>0.66</v>
      </c>
      <c r="M4976">
        <v>0.67</v>
      </c>
      <c r="N4976" s="1">
        <v>5000000</v>
      </c>
      <c r="O4976">
        <v>0.71</v>
      </c>
      <c r="P4976">
        <v>1.41</v>
      </c>
      <c r="Q4976">
        <v>0.01</v>
      </c>
    </row>
    <row r="4977" spans="1:17" x14ac:dyDescent="0.25">
      <c r="A4977">
        <v>733906</v>
      </c>
      <c r="B4977" t="s">
        <v>6289</v>
      </c>
      <c r="C4977">
        <v>0.9</v>
      </c>
      <c r="D4977">
        <v>-0.02</v>
      </c>
      <c r="E4977">
        <v>0.9</v>
      </c>
      <c r="F4977">
        <v>0.91</v>
      </c>
      <c r="G4977">
        <v>0.9</v>
      </c>
      <c r="H4977">
        <v>0.9</v>
      </c>
      <c r="I4977" s="1">
        <v>35000</v>
      </c>
      <c r="J4977" s="1">
        <v>31550</v>
      </c>
      <c r="K4977">
        <v>3</v>
      </c>
      <c r="L4977">
        <v>0.9</v>
      </c>
      <c r="M4977">
        <v>0.91</v>
      </c>
      <c r="N4977" s="1">
        <v>10000000</v>
      </c>
      <c r="O4977">
        <v>0.9</v>
      </c>
      <c r="P4977">
        <v>1.57</v>
      </c>
      <c r="Q4977">
        <v>0.23</v>
      </c>
    </row>
    <row r="4978" spans="1:17" x14ac:dyDescent="0.25">
      <c r="A4978">
        <v>733907</v>
      </c>
      <c r="B4978" t="s">
        <v>6290</v>
      </c>
      <c r="C4978">
        <v>0.93</v>
      </c>
      <c r="D4978">
        <v>0</v>
      </c>
      <c r="E4978">
        <v>0.91</v>
      </c>
      <c r="F4978">
        <v>0.94</v>
      </c>
      <c r="G4978">
        <v>0.88</v>
      </c>
      <c r="H4978">
        <v>0.93</v>
      </c>
      <c r="I4978" s="1">
        <v>687000</v>
      </c>
      <c r="J4978" s="1">
        <v>637370</v>
      </c>
      <c r="K4978">
        <v>17</v>
      </c>
      <c r="L4978">
        <v>0.9</v>
      </c>
      <c r="M4978">
        <v>0.91</v>
      </c>
      <c r="N4978" s="1">
        <v>10000000</v>
      </c>
      <c r="O4978">
        <v>0.93</v>
      </c>
      <c r="P4978">
        <v>1.75</v>
      </c>
      <c r="Q4978">
        <v>0.11</v>
      </c>
    </row>
    <row r="4979" spans="1:17" x14ac:dyDescent="0.25">
      <c r="A4979">
        <v>733908</v>
      </c>
      <c r="B4979" t="s">
        <v>6291</v>
      </c>
      <c r="C4979">
        <v>0.85</v>
      </c>
      <c r="D4979">
        <v>-7.0000000000000007E-2</v>
      </c>
      <c r="E4979">
        <v>0.94</v>
      </c>
      <c r="F4979">
        <v>0.94</v>
      </c>
      <c r="G4979">
        <v>0.85</v>
      </c>
      <c r="H4979">
        <v>0.87</v>
      </c>
      <c r="I4979" s="1">
        <v>64000</v>
      </c>
      <c r="J4979" s="1">
        <v>55740</v>
      </c>
      <c r="K4979">
        <v>9</v>
      </c>
      <c r="L4979">
        <v>0.87</v>
      </c>
      <c r="M4979">
        <v>0.88</v>
      </c>
      <c r="N4979" s="1">
        <v>10000000</v>
      </c>
      <c r="O4979">
        <v>0.85</v>
      </c>
      <c r="P4979">
        <v>1.35</v>
      </c>
      <c r="Q4979">
        <v>0.35</v>
      </c>
    </row>
    <row r="4980" spans="1:17" x14ac:dyDescent="0.25">
      <c r="A4980">
        <v>733909</v>
      </c>
      <c r="B4980" t="s">
        <v>6292</v>
      </c>
      <c r="C4980">
        <v>1.06</v>
      </c>
      <c r="D4980">
        <v>0.09</v>
      </c>
      <c r="E4980">
        <v>0.95</v>
      </c>
      <c r="F4980">
        <v>1.06</v>
      </c>
      <c r="G4980">
        <v>0.94</v>
      </c>
      <c r="H4980">
        <v>1.01</v>
      </c>
      <c r="I4980" s="1">
        <v>610000</v>
      </c>
      <c r="J4980" s="1">
        <v>618260</v>
      </c>
      <c r="K4980">
        <v>14</v>
      </c>
      <c r="L4980">
        <v>1.05</v>
      </c>
      <c r="M4980">
        <v>1.0900000000000001</v>
      </c>
      <c r="N4980" s="1">
        <v>10000000</v>
      </c>
      <c r="O4980">
        <v>1.06</v>
      </c>
      <c r="P4980">
        <v>2.06</v>
      </c>
      <c r="Q4980">
        <v>0.06</v>
      </c>
    </row>
    <row r="4981" spans="1:17" x14ac:dyDescent="0.25">
      <c r="A4981">
        <v>733910</v>
      </c>
      <c r="B4981" t="s">
        <v>6293</v>
      </c>
      <c r="C4981">
        <v>1.1299999999999999</v>
      </c>
      <c r="D4981">
        <v>0.03</v>
      </c>
      <c r="E4981">
        <v>1.1299999999999999</v>
      </c>
      <c r="F4981">
        <v>1.1299999999999999</v>
      </c>
      <c r="G4981">
        <v>1.1299999999999999</v>
      </c>
      <c r="H4981">
        <v>1.1299999999999999</v>
      </c>
      <c r="I4981" s="1">
        <v>162000</v>
      </c>
      <c r="J4981" s="1">
        <v>183060</v>
      </c>
      <c r="K4981">
        <v>2</v>
      </c>
      <c r="L4981">
        <v>1.1100000000000001</v>
      </c>
      <c r="M4981">
        <v>1.1299999999999999</v>
      </c>
      <c r="N4981" s="1">
        <v>10000000</v>
      </c>
      <c r="O4981">
        <v>1.1299999999999999</v>
      </c>
      <c r="P4981">
        <v>1.79</v>
      </c>
      <c r="Q4981">
        <v>0.47</v>
      </c>
    </row>
    <row r="4982" spans="1:17" x14ac:dyDescent="0.25">
      <c r="A4982">
        <v>733911</v>
      </c>
      <c r="B4982" t="s">
        <v>6294</v>
      </c>
      <c r="C4982">
        <v>0.53</v>
      </c>
      <c r="D4982">
        <v>0.04</v>
      </c>
      <c r="E4982">
        <v>0.47</v>
      </c>
      <c r="F4982">
        <v>0.55000000000000004</v>
      </c>
      <c r="G4982">
        <v>0.47</v>
      </c>
      <c r="H4982">
        <v>0.51</v>
      </c>
      <c r="I4982" s="1">
        <v>1491000</v>
      </c>
      <c r="J4982" s="1">
        <v>760420</v>
      </c>
      <c r="K4982">
        <v>20</v>
      </c>
      <c r="L4982">
        <v>0.5</v>
      </c>
      <c r="M4982">
        <v>0.51</v>
      </c>
      <c r="N4982" s="1">
        <v>5031000</v>
      </c>
      <c r="O4982">
        <v>0.53</v>
      </c>
      <c r="P4982">
        <v>0.86</v>
      </c>
      <c r="Q4982">
        <v>0.19</v>
      </c>
    </row>
    <row r="4983" spans="1:17" x14ac:dyDescent="0.25">
      <c r="A4983">
        <v>733912</v>
      </c>
      <c r="B4983" t="s">
        <v>6295</v>
      </c>
      <c r="C4983">
        <v>0.85</v>
      </c>
      <c r="D4983">
        <v>0</v>
      </c>
      <c r="E4983">
        <v>0.84</v>
      </c>
      <c r="F4983">
        <v>0.86</v>
      </c>
      <c r="G4983">
        <v>0.84</v>
      </c>
      <c r="H4983">
        <v>0.85</v>
      </c>
      <c r="I4983" s="1">
        <v>321000</v>
      </c>
      <c r="J4983" s="1">
        <v>271850</v>
      </c>
      <c r="K4983">
        <v>4</v>
      </c>
      <c r="L4983">
        <v>0.85</v>
      </c>
      <c r="M4983">
        <v>0.86</v>
      </c>
      <c r="N4983" s="1">
        <v>5815000</v>
      </c>
      <c r="O4983">
        <v>0.85</v>
      </c>
      <c r="P4983">
        <v>1.65</v>
      </c>
      <c r="Q4983">
        <v>0.05</v>
      </c>
    </row>
    <row r="4984" spans="1:17" x14ac:dyDescent="0.25">
      <c r="A4984">
        <v>733913</v>
      </c>
      <c r="B4984" t="s">
        <v>6296</v>
      </c>
      <c r="C4984">
        <v>1.1100000000000001</v>
      </c>
      <c r="D4984">
        <v>0.09</v>
      </c>
      <c r="E4984">
        <v>0.94</v>
      </c>
      <c r="F4984">
        <v>1.1100000000000001</v>
      </c>
      <c r="G4984">
        <v>0.92</v>
      </c>
      <c r="H4984">
        <v>1.03</v>
      </c>
      <c r="I4984" s="1">
        <v>155000</v>
      </c>
      <c r="J4984" s="1">
        <v>159330</v>
      </c>
      <c r="K4984">
        <v>24</v>
      </c>
      <c r="L4984">
        <v>1.07</v>
      </c>
      <c r="M4984">
        <v>1.1100000000000001</v>
      </c>
      <c r="N4984" s="1">
        <v>5000000</v>
      </c>
      <c r="O4984">
        <v>1.1100000000000001</v>
      </c>
      <c r="P4984">
        <v>1.64</v>
      </c>
      <c r="Q4984">
        <v>0.57999999999999996</v>
      </c>
    </row>
    <row r="4985" spans="1:17" x14ac:dyDescent="0.25">
      <c r="A4985">
        <v>733914</v>
      </c>
      <c r="B4985" t="s">
        <v>6297</v>
      </c>
      <c r="C4985">
        <v>1.22</v>
      </c>
      <c r="D4985">
        <v>-0.09</v>
      </c>
      <c r="E4985">
        <v>1.1399999999999999</v>
      </c>
      <c r="F4985">
        <v>1.23</v>
      </c>
      <c r="G4985">
        <v>1.1000000000000001</v>
      </c>
      <c r="H4985">
        <v>1.1599999999999999</v>
      </c>
      <c r="I4985" s="1">
        <v>974000</v>
      </c>
      <c r="J4985" s="1">
        <v>1130090</v>
      </c>
      <c r="K4985">
        <v>52</v>
      </c>
      <c r="L4985">
        <v>1.21</v>
      </c>
      <c r="M4985">
        <v>1.22</v>
      </c>
      <c r="N4985" s="1">
        <v>5000000</v>
      </c>
      <c r="O4985">
        <v>1.22</v>
      </c>
      <c r="P4985">
        <v>2.0499999999999998</v>
      </c>
      <c r="Q4985">
        <v>0.39</v>
      </c>
    </row>
    <row r="4986" spans="1:17" x14ac:dyDescent="0.25">
      <c r="A4986">
        <v>733915</v>
      </c>
      <c r="B4986" t="s">
        <v>6298</v>
      </c>
      <c r="C4986" t="s">
        <v>78</v>
      </c>
      <c r="D4986" t="s">
        <v>78</v>
      </c>
      <c r="E4986" t="s">
        <v>78</v>
      </c>
      <c r="F4986" t="s">
        <v>78</v>
      </c>
      <c r="G4986" t="s">
        <v>78</v>
      </c>
      <c r="H4986">
        <v>0</v>
      </c>
      <c r="I4986" s="1">
        <v>0</v>
      </c>
      <c r="J4986" s="1">
        <v>0</v>
      </c>
      <c r="K4986">
        <v>0</v>
      </c>
      <c r="L4986">
        <v>0.79</v>
      </c>
      <c r="M4986">
        <v>0.8</v>
      </c>
      <c r="N4986" s="1">
        <v>5018000</v>
      </c>
      <c r="O4986">
        <v>0.79</v>
      </c>
      <c r="P4986">
        <v>2.14</v>
      </c>
      <c r="Q4986">
        <v>0.01</v>
      </c>
    </row>
    <row r="4987" spans="1:17" x14ac:dyDescent="0.25">
      <c r="A4987">
        <v>733916</v>
      </c>
      <c r="B4987" t="s">
        <v>6299</v>
      </c>
      <c r="C4987">
        <v>1.81</v>
      </c>
      <c r="D4987">
        <v>-0.08</v>
      </c>
      <c r="E4987">
        <v>1.92</v>
      </c>
      <c r="F4987">
        <v>1.92</v>
      </c>
      <c r="G4987">
        <v>1.81</v>
      </c>
      <c r="H4987">
        <v>1.87</v>
      </c>
      <c r="I4987" s="1">
        <v>71000</v>
      </c>
      <c r="J4987" s="1">
        <v>132500</v>
      </c>
      <c r="K4987">
        <v>8</v>
      </c>
      <c r="L4987">
        <v>1.8</v>
      </c>
      <c r="M4987">
        <v>1.82</v>
      </c>
      <c r="N4987" s="1">
        <v>6000000</v>
      </c>
      <c r="O4987">
        <v>1.81</v>
      </c>
      <c r="P4987">
        <v>2.95</v>
      </c>
      <c r="Q4987">
        <v>0.67</v>
      </c>
    </row>
    <row r="4988" spans="1:17" x14ac:dyDescent="0.25">
      <c r="A4988">
        <v>733917</v>
      </c>
      <c r="B4988" t="s">
        <v>6300</v>
      </c>
      <c r="C4988">
        <v>0.35</v>
      </c>
      <c r="D4988">
        <v>-0.02</v>
      </c>
      <c r="E4988">
        <v>0.36</v>
      </c>
      <c r="F4988">
        <v>0.36</v>
      </c>
      <c r="G4988">
        <v>0.35</v>
      </c>
      <c r="H4988">
        <v>0.36</v>
      </c>
      <c r="I4988" s="1">
        <v>330000</v>
      </c>
      <c r="J4988" s="1">
        <v>118400</v>
      </c>
      <c r="K4988">
        <v>4</v>
      </c>
      <c r="L4988">
        <v>0.35</v>
      </c>
      <c r="M4988">
        <v>0.36</v>
      </c>
      <c r="N4988" s="1">
        <v>10000000</v>
      </c>
      <c r="O4988">
        <v>0.35</v>
      </c>
      <c r="P4988">
        <v>0.49</v>
      </c>
      <c r="Q4988">
        <v>0.21</v>
      </c>
    </row>
    <row r="4989" spans="1:17" x14ac:dyDescent="0.25">
      <c r="A4989">
        <v>733918</v>
      </c>
      <c r="B4989" t="s">
        <v>6301</v>
      </c>
      <c r="C4989">
        <v>1.1499999999999999</v>
      </c>
      <c r="D4989">
        <v>0.09</v>
      </c>
      <c r="E4989">
        <v>1.1499999999999999</v>
      </c>
      <c r="F4989">
        <v>1.1499999999999999</v>
      </c>
      <c r="G4989">
        <v>1.1499999999999999</v>
      </c>
      <c r="H4989">
        <v>1.1499999999999999</v>
      </c>
      <c r="I4989" s="1">
        <v>300000</v>
      </c>
      <c r="J4989" s="1">
        <v>345000</v>
      </c>
      <c r="K4989">
        <v>1</v>
      </c>
      <c r="L4989">
        <v>1.06</v>
      </c>
      <c r="M4989">
        <v>1.08</v>
      </c>
      <c r="N4989" s="1">
        <v>10000000</v>
      </c>
      <c r="O4989">
        <v>1.1499999999999999</v>
      </c>
      <c r="P4989">
        <v>2.02</v>
      </c>
      <c r="Q4989">
        <v>0.27</v>
      </c>
    </row>
    <row r="4990" spans="1:17" x14ac:dyDescent="0.25">
      <c r="A4990">
        <v>733919</v>
      </c>
      <c r="B4990" t="s">
        <v>6302</v>
      </c>
      <c r="C4990">
        <v>1.22</v>
      </c>
      <c r="D4990">
        <v>-0.08</v>
      </c>
      <c r="E4990">
        <v>1.23</v>
      </c>
      <c r="F4990">
        <v>1.28</v>
      </c>
      <c r="G4990">
        <v>1.19</v>
      </c>
      <c r="H4990">
        <v>1.22</v>
      </c>
      <c r="I4990" s="1">
        <v>951000</v>
      </c>
      <c r="J4990" s="1">
        <v>1161620</v>
      </c>
      <c r="K4990">
        <v>24</v>
      </c>
      <c r="L4990">
        <v>1.22</v>
      </c>
      <c r="M4990">
        <v>1.23</v>
      </c>
      <c r="N4990" s="1">
        <v>10000000</v>
      </c>
      <c r="O4990">
        <v>1.22</v>
      </c>
      <c r="P4990">
        <v>2.38</v>
      </c>
      <c r="Q4990">
        <v>0.06</v>
      </c>
    </row>
    <row r="4991" spans="1:17" x14ac:dyDescent="0.25">
      <c r="A4991">
        <v>733920</v>
      </c>
      <c r="B4991" t="s">
        <v>6303</v>
      </c>
      <c r="C4991">
        <v>0.63</v>
      </c>
      <c r="D4991">
        <v>-0.09</v>
      </c>
      <c r="E4991">
        <v>0.72</v>
      </c>
      <c r="F4991">
        <v>0.72</v>
      </c>
      <c r="G4991">
        <v>0.63</v>
      </c>
      <c r="H4991">
        <v>0.68</v>
      </c>
      <c r="I4991" s="1">
        <v>213000</v>
      </c>
      <c r="J4991" s="1">
        <v>145040</v>
      </c>
      <c r="K4991">
        <v>9</v>
      </c>
      <c r="L4991">
        <v>0.59</v>
      </c>
      <c r="M4991">
        <v>0.61</v>
      </c>
      <c r="N4991" s="1">
        <v>5000000</v>
      </c>
      <c r="O4991">
        <v>0.63</v>
      </c>
      <c r="P4991">
        <v>1.4</v>
      </c>
      <c r="Q4991">
        <v>0.01</v>
      </c>
    </row>
    <row r="4992" spans="1:17" x14ac:dyDescent="0.25">
      <c r="A4992">
        <v>733921</v>
      </c>
      <c r="B4992" t="s">
        <v>6304</v>
      </c>
      <c r="C4992">
        <v>0.73</v>
      </c>
      <c r="D4992">
        <v>-0.04</v>
      </c>
      <c r="E4992">
        <v>0.73</v>
      </c>
      <c r="F4992">
        <v>0.74</v>
      </c>
      <c r="G4992">
        <v>0.73</v>
      </c>
      <c r="H4992">
        <v>0.74</v>
      </c>
      <c r="I4992" s="1">
        <v>37000</v>
      </c>
      <c r="J4992" s="1">
        <v>27210</v>
      </c>
      <c r="K4992">
        <v>6</v>
      </c>
      <c r="L4992">
        <v>0.72</v>
      </c>
      <c r="M4992">
        <v>0.73</v>
      </c>
      <c r="N4992" s="1">
        <v>5000000</v>
      </c>
      <c r="O4992">
        <v>0.73</v>
      </c>
      <c r="P4992">
        <v>1.49</v>
      </c>
      <c r="Q4992">
        <v>0.01</v>
      </c>
    </row>
    <row r="4993" spans="1:17" x14ac:dyDescent="0.25">
      <c r="A4993">
        <v>733922</v>
      </c>
      <c r="B4993" t="s">
        <v>6305</v>
      </c>
      <c r="C4993">
        <v>0.57999999999999996</v>
      </c>
      <c r="D4993">
        <v>-0.04</v>
      </c>
      <c r="E4993">
        <v>0.57999999999999996</v>
      </c>
      <c r="F4993">
        <v>0.57999999999999996</v>
      </c>
      <c r="G4993">
        <v>0.57999999999999996</v>
      </c>
      <c r="H4993">
        <v>0.57999999999999996</v>
      </c>
      <c r="I4993" s="1">
        <v>199000</v>
      </c>
      <c r="J4993" s="1">
        <v>115420</v>
      </c>
      <c r="K4993">
        <v>2</v>
      </c>
      <c r="L4993">
        <v>0.56999999999999995</v>
      </c>
      <c r="M4993">
        <v>0.57999999999999996</v>
      </c>
      <c r="N4993" s="1">
        <v>5000000</v>
      </c>
      <c r="O4993">
        <v>0.57999999999999996</v>
      </c>
      <c r="P4993">
        <v>1.48</v>
      </c>
      <c r="Q4993">
        <v>0.01</v>
      </c>
    </row>
    <row r="4994" spans="1:17" x14ac:dyDescent="0.25">
      <c r="A4994">
        <v>733923</v>
      </c>
      <c r="B4994" t="s">
        <v>6306</v>
      </c>
      <c r="C4994">
        <v>0.62</v>
      </c>
      <c r="D4994">
        <v>0</v>
      </c>
      <c r="E4994">
        <v>0.62</v>
      </c>
      <c r="F4994">
        <v>0.62</v>
      </c>
      <c r="G4994">
        <v>0.62</v>
      </c>
      <c r="H4994">
        <v>0.62</v>
      </c>
      <c r="I4994" s="1">
        <v>20000</v>
      </c>
      <c r="J4994" s="1">
        <v>12400</v>
      </c>
      <c r="K4994">
        <v>1</v>
      </c>
      <c r="L4994">
        <v>0.62</v>
      </c>
      <c r="M4994">
        <v>0.63</v>
      </c>
      <c r="N4994" s="1">
        <v>10000000</v>
      </c>
      <c r="O4994">
        <v>0.62</v>
      </c>
      <c r="P4994">
        <v>1.01</v>
      </c>
      <c r="Q4994">
        <v>0.23</v>
      </c>
    </row>
    <row r="4995" spans="1:17" x14ac:dyDescent="0.25">
      <c r="A4995">
        <v>733924</v>
      </c>
      <c r="B4995" t="s">
        <v>6307</v>
      </c>
      <c r="C4995">
        <v>0.97</v>
      </c>
      <c r="D4995">
        <v>-0.02</v>
      </c>
      <c r="E4995">
        <v>0.98</v>
      </c>
      <c r="F4995">
        <v>0.98</v>
      </c>
      <c r="G4995">
        <v>0.96</v>
      </c>
      <c r="H4995">
        <v>0.97</v>
      </c>
      <c r="I4995" s="1">
        <v>106000</v>
      </c>
      <c r="J4995" s="1">
        <v>103320</v>
      </c>
      <c r="K4995">
        <v>7</v>
      </c>
      <c r="L4995">
        <v>0.95</v>
      </c>
      <c r="M4995">
        <v>0.96</v>
      </c>
      <c r="N4995" s="1">
        <v>10000000</v>
      </c>
      <c r="O4995">
        <v>0.97</v>
      </c>
      <c r="P4995">
        <v>1.56</v>
      </c>
      <c r="Q4995">
        <v>0.38</v>
      </c>
    </row>
    <row r="4996" spans="1:17" x14ac:dyDescent="0.25">
      <c r="A4996">
        <v>733925</v>
      </c>
      <c r="B4996" t="s">
        <v>6308</v>
      </c>
      <c r="C4996">
        <v>1.1000000000000001</v>
      </c>
      <c r="D4996">
        <v>-0.03</v>
      </c>
      <c r="E4996">
        <v>1.1200000000000001</v>
      </c>
      <c r="F4996">
        <v>1.1299999999999999</v>
      </c>
      <c r="G4996">
        <v>1.1000000000000001</v>
      </c>
      <c r="H4996">
        <v>1.1100000000000001</v>
      </c>
      <c r="I4996" s="1">
        <v>805000</v>
      </c>
      <c r="J4996" s="1">
        <v>897380</v>
      </c>
      <c r="K4996">
        <v>12</v>
      </c>
      <c r="L4996">
        <v>0.96</v>
      </c>
      <c r="M4996">
        <v>0.98</v>
      </c>
      <c r="N4996" s="1">
        <v>10000000</v>
      </c>
      <c r="O4996">
        <v>1.1000000000000001</v>
      </c>
      <c r="P4996">
        <v>1.63</v>
      </c>
      <c r="Q4996">
        <v>0.56999999999999995</v>
      </c>
    </row>
    <row r="4997" spans="1:17" x14ac:dyDescent="0.25">
      <c r="A4997">
        <v>733926</v>
      </c>
      <c r="B4997" t="s">
        <v>6309</v>
      </c>
      <c r="C4997">
        <v>0.66</v>
      </c>
      <c r="D4997">
        <v>0.04</v>
      </c>
      <c r="E4997">
        <v>0.64</v>
      </c>
      <c r="F4997">
        <v>0.66</v>
      </c>
      <c r="G4997">
        <v>0.64</v>
      </c>
      <c r="H4997">
        <v>0.65</v>
      </c>
      <c r="I4997" s="1">
        <v>239000</v>
      </c>
      <c r="J4997" s="1">
        <v>155500</v>
      </c>
      <c r="K4997">
        <v>4</v>
      </c>
      <c r="L4997">
        <v>0.65</v>
      </c>
      <c r="M4997">
        <v>0.66</v>
      </c>
      <c r="N4997" s="1">
        <v>15000000</v>
      </c>
      <c r="O4997">
        <v>0.66</v>
      </c>
      <c r="P4997">
        <v>1.18</v>
      </c>
      <c r="Q4997">
        <v>0.14000000000000001</v>
      </c>
    </row>
    <row r="4998" spans="1:17" x14ac:dyDescent="0.25">
      <c r="A4998">
        <v>733927</v>
      </c>
      <c r="B4998" t="s">
        <v>6310</v>
      </c>
      <c r="C4998">
        <v>1.06</v>
      </c>
      <c r="D4998">
        <v>0.1</v>
      </c>
      <c r="E4998">
        <v>0.99</v>
      </c>
      <c r="F4998">
        <v>1.1399999999999999</v>
      </c>
      <c r="G4998">
        <v>0.99</v>
      </c>
      <c r="H4998">
        <v>1.08</v>
      </c>
      <c r="I4998" s="1">
        <v>1357000</v>
      </c>
      <c r="J4998" s="1">
        <v>1462480</v>
      </c>
      <c r="K4998">
        <v>32</v>
      </c>
      <c r="L4998">
        <v>1.04</v>
      </c>
      <c r="M4998">
        <v>1.05</v>
      </c>
      <c r="N4998" s="1">
        <v>8000000</v>
      </c>
      <c r="O4998">
        <v>1.06</v>
      </c>
      <c r="P4998">
        <v>1.48</v>
      </c>
      <c r="Q4998">
        <v>0.63</v>
      </c>
    </row>
    <row r="4999" spans="1:17" x14ac:dyDescent="0.25">
      <c r="A4999">
        <v>733928</v>
      </c>
      <c r="B4999" t="s">
        <v>6311</v>
      </c>
      <c r="C4999">
        <v>1.27</v>
      </c>
      <c r="D4999">
        <v>0.03</v>
      </c>
      <c r="E4999">
        <v>1.19</v>
      </c>
      <c r="F4999">
        <v>1.27</v>
      </c>
      <c r="G4999">
        <v>1.1499999999999999</v>
      </c>
      <c r="H4999">
        <v>1.22</v>
      </c>
      <c r="I4999" s="1">
        <v>823000</v>
      </c>
      <c r="J4999" s="1">
        <v>1004700</v>
      </c>
      <c r="K4999">
        <v>28</v>
      </c>
      <c r="L4999">
        <v>1.25</v>
      </c>
      <c r="M4999">
        <v>1.26</v>
      </c>
      <c r="N4999" s="1">
        <v>5000000</v>
      </c>
      <c r="O4999">
        <v>1.27</v>
      </c>
      <c r="P4999">
        <v>1.97</v>
      </c>
      <c r="Q4999">
        <v>0.56999999999999995</v>
      </c>
    </row>
    <row r="5000" spans="1:17" x14ac:dyDescent="0.25">
      <c r="A5000">
        <v>733929</v>
      </c>
      <c r="B5000" t="s">
        <v>6312</v>
      </c>
      <c r="C5000">
        <v>0.59</v>
      </c>
      <c r="D5000">
        <v>0.02</v>
      </c>
      <c r="E5000">
        <v>0.59</v>
      </c>
      <c r="F5000">
        <v>0.59</v>
      </c>
      <c r="G5000">
        <v>0.59</v>
      </c>
      <c r="H5000">
        <v>0.59</v>
      </c>
      <c r="I5000" s="1">
        <v>166000</v>
      </c>
      <c r="J5000" s="1">
        <v>97940</v>
      </c>
      <c r="K5000">
        <v>2</v>
      </c>
      <c r="L5000">
        <v>0.59</v>
      </c>
      <c r="M5000">
        <v>0.6</v>
      </c>
      <c r="N5000" s="1">
        <v>5000000</v>
      </c>
      <c r="O5000">
        <v>0.59</v>
      </c>
      <c r="P5000">
        <v>1.2</v>
      </c>
      <c r="Q5000">
        <v>0.01</v>
      </c>
    </row>
    <row r="5001" spans="1:17" x14ac:dyDescent="0.25">
      <c r="A5001">
        <v>733930</v>
      </c>
      <c r="B5001" t="s">
        <v>6313</v>
      </c>
      <c r="C5001">
        <v>0.94</v>
      </c>
      <c r="D5001">
        <v>0.12</v>
      </c>
      <c r="E5001">
        <v>1.02</v>
      </c>
      <c r="F5001">
        <v>1.02</v>
      </c>
      <c r="G5001">
        <v>0.94</v>
      </c>
      <c r="H5001">
        <v>0.99</v>
      </c>
      <c r="I5001" s="1">
        <v>98000</v>
      </c>
      <c r="J5001" s="1">
        <v>96760</v>
      </c>
      <c r="K5001">
        <v>2</v>
      </c>
      <c r="L5001">
        <v>0.95</v>
      </c>
      <c r="M5001">
        <v>0.96</v>
      </c>
      <c r="N5001" s="1">
        <v>10000000</v>
      </c>
      <c r="O5001">
        <v>0.94</v>
      </c>
      <c r="P5001">
        <v>1.58</v>
      </c>
      <c r="Q5001">
        <v>0.3</v>
      </c>
    </row>
    <row r="5002" spans="1:17" x14ac:dyDescent="0.25">
      <c r="A5002">
        <v>733931</v>
      </c>
      <c r="B5002" t="s">
        <v>6314</v>
      </c>
      <c r="C5002">
        <v>1.2</v>
      </c>
      <c r="D5002">
        <v>0.04</v>
      </c>
      <c r="E5002">
        <v>1.06</v>
      </c>
      <c r="F5002">
        <v>1.2</v>
      </c>
      <c r="G5002">
        <v>1.05</v>
      </c>
      <c r="H5002">
        <v>1.1200000000000001</v>
      </c>
      <c r="I5002" s="1">
        <v>695000</v>
      </c>
      <c r="J5002" s="1">
        <v>778450</v>
      </c>
      <c r="K5002">
        <v>18</v>
      </c>
      <c r="L5002">
        <v>1.19</v>
      </c>
      <c r="M5002">
        <v>0</v>
      </c>
      <c r="N5002" s="1">
        <v>5000000</v>
      </c>
      <c r="O5002">
        <v>1.2</v>
      </c>
      <c r="P5002">
        <v>2.0299999999999998</v>
      </c>
      <c r="Q5002">
        <v>0.37</v>
      </c>
    </row>
    <row r="5003" spans="1:17" x14ac:dyDescent="0.25">
      <c r="A5003">
        <v>733932</v>
      </c>
      <c r="B5003" t="s">
        <v>6315</v>
      </c>
      <c r="C5003">
        <v>0.93</v>
      </c>
      <c r="D5003">
        <v>-0.03</v>
      </c>
      <c r="E5003">
        <v>0.96</v>
      </c>
      <c r="F5003">
        <v>0.98</v>
      </c>
      <c r="G5003">
        <v>0.93</v>
      </c>
      <c r="H5003">
        <v>0.96</v>
      </c>
      <c r="I5003" s="1">
        <v>68000</v>
      </c>
      <c r="J5003" s="1">
        <v>65480</v>
      </c>
      <c r="K5003">
        <v>7</v>
      </c>
      <c r="L5003">
        <v>0.89</v>
      </c>
      <c r="M5003">
        <v>0.9</v>
      </c>
      <c r="N5003" s="1">
        <v>5000000</v>
      </c>
      <c r="O5003">
        <v>0.93</v>
      </c>
      <c r="P5003">
        <v>1.57</v>
      </c>
      <c r="Q5003">
        <v>0.28999999999999998</v>
      </c>
    </row>
    <row r="5004" spans="1:17" x14ac:dyDescent="0.25">
      <c r="A5004">
        <v>733933</v>
      </c>
      <c r="B5004" t="s">
        <v>6316</v>
      </c>
      <c r="C5004">
        <v>1.51</v>
      </c>
      <c r="D5004">
        <v>-0.13</v>
      </c>
      <c r="E5004">
        <v>1.63</v>
      </c>
      <c r="F5004">
        <v>1.63</v>
      </c>
      <c r="G5004">
        <v>1.35</v>
      </c>
      <c r="H5004">
        <v>1.45</v>
      </c>
      <c r="I5004" s="1">
        <v>2350000</v>
      </c>
      <c r="J5004" s="1">
        <v>3419240</v>
      </c>
      <c r="K5004">
        <v>109</v>
      </c>
      <c r="L5004">
        <v>1.5</v>
      </c>
      <c r="M5004">
        <v>1.71</v>
      </c>
      <c r="N5004" s="1">
        <v>5000000</v>
      </c>
      <c r="O5004">
        <v>1.51</v>
      </c>
      <c r="P5004">
        <v>2.41</v>
      </c>
      <c r="Q5004">
        <v>0.61</v>
      </c>
    </row>
    <row r="5005" spans="1:17" x14ac:dyDescent="0.25">
      <c r="A5005">
        <v>733934</v>
      </c>
      <c r="B5005" t="s">
        <v>6317</v>
      </c>
      <c r="C5005">
        <v>1.19</v>
      </c>
      <c r="D5005">
        <v>0.08</v>
      </c>
      <c r="E5005">
        <v>1.02</v>
      </c>
      <c r="F5005">
        <v>1.19</v>
      </c>
      <c r="G5005">
        <v>1.02</v>
      </c>
      <c r="H5005">
        <v>1.1100000000000001</v>
      </c>
      <c r="I5005" s="1">
        <v>1118000</v>
      </c>
      <c r="J5005" s="1">
        <v>1238310</v>
      </c>
      <c r="K5005">
        <v>15</v>
      </c>
      <c r="L5005">
        <v>1.1599999999999999</v>
      </c>
      <c r="M5005">
        <v>1.17</v>
      </c>
      <c r="N5005" s="1">
        <v>5000000</v>
      </c>
      <c r="O5005">
        <v>1.19</v>
      </c>
      <c r="P5005">
        <v>2.39</v>
      </c>
      <c r="Q5005">
        <v>0.01</v>
      </c>
    </row>
    <row r="5006" spans="1:17" x14ac:dyDescent="0.25">
      <c r="A5006">
        <v>733935</v>
      </c>
      <c r="B5006" t="s">
        <v>6318</v>
      </c>
      <c r="C5006">
        <v>1.01</v>
      </c>
      <c r="D5006">
        <v>-0.01</v>
      </c>
      <c r="E5006">
        <v>1</v>
      </c>
      <c r="F5006">
        <v>1.01</v>
      </c>
      <c r="G5006">
        <v>0.95</v>
      </c>
      <c r="H5006">
        <v>0.99</v>
      </c>
      <c r="I5006" s="1">
        <v>846000</v>
      </c>
      <c r="J5006" s="1">
        <v>833880</v>
      </c>
      <c r="K5006">
        <v>19</v>
      </c>
      <c r="L5006">
        <v>0.99</v>
      </c>
      <c r="M5006">
        <v>1</v>
      </c>
      <c r="N5006" s="1">
        <v>5000000</v>
      </c>
      <c r="O5006">
        <v>1.01</v>
      </c>
      <c r="P5006">
        <v>1.43</v>
      </c>
      <c r="Q5006">
        <v>0.57999999999999996</v>
      </c>
    </row>
    <row r="5007" spans="1:17" x14ac:dyDescent="0.25">
      <c r="A5007">
        <v>733936</v>
      </c>
      <c r="B5007" t="s">
        <v>6319</v>
      </c>
      <c r="C5007">
        <v>1.02</v>
      </c>
      <c r="D5007">
        <v>7.0000000000000007E-2</v>
      </c>
      <c r="E5007">
        <v>0.96</v>
      </c>
      <c r="F5007">
        <v>1.02</v>
      </c>
      <c r="G5007">
        <v>0.96</v>
      </c>
      <c r="H5007">
        <v>0.99</v>
      </c>
      <c r="I5007" s="1">
        <v>220000</v>
      </c>
      <c r="J5007" s="1">
        <v>217890</v>
      </c>
      <c r="K5007">
        <v>7</v>
      </c>
      <c r="L5007">
        <v>0.99</v>
      </c>
      <c r="M5007">
        <v>1.01</v>
      </c>
      <c r="N5007" s="1">
        <v>5000000</v>
      </c>
      <c r="O5007">
        <v>1.02</v>
      </c>
      <c r="P5007">
        <v>1.65</v>
      </c>
      <c r="Q5007">
        <v>0.39</v>
      </c>
    </row>
    <row r="5008" spans="1:17" x14ac:dyDescent="0.25">
      <c r="A5008">
        <v>733937</v>
      </c>
      <c r="B5008" t="s">
        <v>6320</v>
      </c>
      <c r="C5008">
        <v>1.05</v>
      </c>
      <c r="D5008">
        <v>0.04</v>
      </c>
      <c r="E5008">
        <v>1.03</v>
      </c>
      <c r="F5008">
        <v>1.05</v>
      </c>
      <c r="G5008">
        <v>0.97</v>
      </c>
      <c r="H5008">
        <v>1.01</v>
      </c>
      <c r="I5008" s="1">
        <v>265000</v>
      </c>
      <c r="J5008" s="1">
        <v>268740</v>
      </c>
      <c r="K5008">
        <v>10</v>
      </c>
      <c r="L5008">
        <v>1.02</v>
      </c>
      <c r="M5008">
        <v>1.03</v>
      </c>
      <c r="N5008" s="1">
        <v>5000000</v>
      </c>
      <c r="O5008">
        <v>1.05</v>
      </c>
      <c r="P5008">
        <v>1.67</v>
      </c>
      <c r="Q5008">
        <v>0.43</v>
      </c>
    </row>
    <row r="5009" spans="1:17" x14ac:dyDescent="0.25">
      <c r="A5009">
        <v>733938</v>
      </c>
      <c r="B5009" t="s">
        <v>6321</v>
      </c>
      <c r="C5009">
        <v>1.02</v>
      </c>
      <c r="D5009">
        <v>-0.06</v>
      </c>
      <c r="E5009">
        <v>1.1000000000000001</v>
      </c>
      <c r="F5009">
        <v>1.1000000000000001</v>
      </c>
      <c r="G5009">
        <v>1.02</v>
      </c>
      <c r="H5009">
        <v>1.0900000000000001</v>
      </c>
      <c r="I5009" s="1">
        <v>90000</v>
      </c>
      <c r="J5009" s="1">
        <v>98420</v>
      </c>
      <c r="K5009">
        <v>3</v>
      </c>
      <c r="L5009">
        <v>1.02</v>
      </c>
      <c r="M5009">
        <v>1.03</v>
      </c>
      <c r="N5009" s="1">
        <v>10000000</v>
      </c>
      <c r="O5009">
        <v>1.02</v>
      </c>
      <c r="P5009">
        <v>1.78</v>
      </c>
      <c r="Q5009">
        <v>0.26</v>
      </c>
    </row>
    <row r="5010" spans="1:17" x14ac:dyDescent="0.25">
      <c r="A5010">
        <v>733939</v>
      </c>
      <c r="B5010" t="s">
        <v>6322</v>
      </c>
      <c r="C5010">
        <v>0.87</v>
      </c>
      <c r="D5010">
        <v>0.05</v>
      </c>
      <c r="E5010">
        <v>0.8</v>
      </c>
      <c r="F5010">
        <v>0.87</v>
      </c>
      <c r="G5010">
        <v>0.8</v>
      </c>
      <c r="H5010">
        <v>0.84</v>
      </c>
      <c r="I5010" s="1">
        <v>585000</v>
      </c>
      <c r="J5010" s="1">
        <v>491080</v>
      </c>
      <c r="K5010">
        <v>13</v>
      </c>
      <c r="L5010">
        <v>0.9</v>
      </c>
      <c r="M5010">
        <v>0.91</v>
      </c>
      <c r="N5010" s="1">
        <v>10000000</v>
      </c>
      <c r="O5010">
        <v>0.87</v>
      </c>
      <c r="P5010">
        <v>1.54</v>
      </c>
      <c r="Q5010">
        <v>0.2</v>
      </c>
    </row>
    <row r="5011" spans="1:17" x14ac:dyDescent="0.25">
      <c r="A5011">
        <v>733940</v>
      </c>
      <c r="B5011" t="s">
        <v>6323</v>
      </c>
      <c r="C5011">
        <v>0.61</v>
      </c>
      <c r="D5011">
        <v>-0.01</v>
      </c>
      <c r="E5011">
        <v>0.61</v>
      </c>
      <c r="F5011">
        <v>0.61</v>
      </c>
      <c r="G5011">
        <v>0.61</v>
      </c>
      <c r="H5011">
        <v>0.61</v>
      </c>
      <c r="I5011" s="1">
        <v>200000</v>
      </c>
      <c r="J5011" s="1">
        <v>122000</v>
      </c>
      <c r="K5011">
        <v>1</v>
      </c>
      <c r="L5011">
        <v>0.62</v>
      </c>
      <c r="M5011">
        <v>0.63</v>
      </c>
      <c r="N5011" s="1">
        <v>10000000</v>
      </c>
      <c r="O5011">
        <v>0.61</v>
      </c>
      <c r="P5011">
        <v>1.45</v>
      </c>
      <c r="Q5011">
        <v>0.01</v>
      </c>
    </row>
    <row r="5012" spans="1:17" x14ac:dyDescent="0.25">
      <c r="A5012">
        <v>733941</v>
      </c>
      <c r="B5012" t="s">
        <v>6324</v>
      </c>
      <c r="C5012" t="s">
        <v>78</v>
      </c>
      <c r="D5012" t="s">
        <v>78</v>
      </c>
      <c r="E5012" t="s">
        <v>78</v>
      </c>
      <c r="F5012" t="s">
        <v>78</v>
      </c>
      <c r="G5012" t="s">
        <v>78</v>
      </c>
      <c r="H5012">
        <v>1.01</v>
      </c>
      <c r="I5012" s="1">
        <v>0</v>
      </c>
      <c r="J5012" s="1">
        <v>0</v>
      </c>
      <c r="K5012">
        <v>0</v>
      </c>
      <c r="L5012">
        <v>0.97</v>
      </c>
      <c r="M5012">
        <v>0.98</v>
      </c>
      <c r="N5012" s="1">
        <v>5000000</v>
      </c>
      <c r="O5012">
        <v>0.98</v>
      </c>
      <c r="P5012">
        <v>1.57</v>
      </c>
      <c r="Q5012">
        <v>0.39</v>
      </c>
    </row>
    <row r="5013" spans="1:17" x14ac:dyDescent="0.25">
      <c r="A5013">
        <v>733942</v>
      </c>
      <c r="B5013" t="s">
        <v>6325</v>
      </c>
      <c r="C5013">
        <v>0.73</v>
      </c>
      <c r="D5013">
        <v>0</v>
      </c>
      <c r="E5013">
        <v>0.71</v>
      </c>
      <c r="F5013">
        <v>0.74</v>
      </c>
      <c r="G5013">
        <v>0.7</v>
      </c>
      <c r="H5013">
        <v>0.72</v>
      </c>
      <c r="I5013" s="1">
        <v>805000</v>
      </c>
      <c r="J5013" s="1">
        <v>577940</v>
      </c>
      <c r="K5013">
        <v>14</v>
      </c>
      <c r="L5013">
        <v>0.72</v>
      </c>
      <c r="M5013">
        <v>0.73</v>
      </c>
      <c r="N5013" s="1">
        <v>10000000</v>
      </c>
      <c r="O5013">
        <v>0.73</v>
      </c>
      <c r="P5013">
        <v>1</v>
      </c>
      <c r="Q5013">
        <v>0.45</v>
      </c>
    </row>
    <row r="5014" spans="1:17" x14ac:dyDescent="0.25">
      <c r="A5014">
        <v>733943</v>
      </c>
      <c r="B5014" t="s">
        <v>6326</v>
      </c>
      <c r="C5014">
        <v>0.82</v>
      </c>
      <c r="D5014">
        <v>-7.0000000000000007E-2</v>
      </c>
      <c r="E5014">
        <v>0.77</v>
      </c>
      <c r="F5014">
        <v>0.82</v>
      </c>
      <c r="G5014">
        <v>0.75</v>
      </c>
      <c r="H5014">
        <v>0.79</v>
      </c>
      <c r="I5014" s="1">
        <v>309000</v>
      </c>
      <c r="J5014" s="1">
        <v>244180</v>
      </c>
      <c r="K5014">
        <v>19</v>
      </c>
      <c r="L5014">
        <v>0.81</v>
      </c>
      <c r="M5014">
        <v>0.85</v>
      </c>
      <c r="N5014" s="1">
        <v>5671000</v>
      </c>
      <c r="O5014">
        <v>0.82</v>
      </c>
      <c r="P5014">
        <v>1.57</v>
      </c>
      <c r="Q5014">
        <v>7.0000000000000007E-2</v>
      </c>
    </row>
    <row r="5015" spans="1:17" x14ac:dyDescent="0.25">
      <c r="A5015">
        <v>733944</v>
      </c>
      <c r="B5015" t="s">
        <v>6327</v>
      </c>
      <c r="C5015" t="s">
        <v>78</v>
      </c>
      <c r="D5015" t="s">
        <v>78</v>
      </c>
      <c r="E5015" t="s">
        <v>78</v>
      </c>
      <c r="F5015" t="s">
        <v>78</v>
      </c>
      <c r="G5015" t="s">
        <v>78</v>
      </c>
      <c r="H5015">
        <v>0</v>
      </c>
      <c r="I5015" s="1">
        <v>0</v>
      </c>
      <c r="J5015" s="1">
        <v>0</v>
      </c>
      <c r="K5015">
        <v>0</v>
      </c>
      <c r="L5015">
        <v>0.67</v>
      </c>
      <c r="M5015">
        <v>0.68</v>
      </c>
      <c r="N5015" s="1">
        <v>10000000</v>
      </c>
      <c r="O5015">
        <v>0.67</v>
      </c>
      <c r="P5015">
        <v>1.65</v>
      </c>
      <c r="Q5015">
        <v>0.01</v>
      </c>
    </row>
    <row r="5016" spans="1:17" x14ac:dyDescent="0.25">
      <c r="A5016">
        <v>733945</v>
      </c>
      <c r="B5016" t="s">
        <v>6328</v>
      </c>
      <c r="C5016" t="s">
        <v>78</v>
      </c>
      <c r="D5016" t="s">
        <v>78</v>
      </c>
      <c r="E5016" t="s">
        <v>78</v>
      </c>
      <c r="F5016" t="s">
        <v>78</v>
      </c>
      <c r="G5016" t="s">
        <v>78</v>
      </c>
      <c r="H5016">
        <v>0</v>
      </c>
      <c r="I5016" s="1">
        <v>0</v>
      </c>
      <c r="J5016" s="1">
        <v>0</v>
      </c>
      <c r="K5016">
        <v>0</v>
      </c>
      <c r="L5016">
        <v>0.75</v>
      </c>
      <c r="M5016">
        <v>0.76</v>
      </c>
      <c r="N5016" s="1">
        <v>5000000</v>
      </c>
      <c r="O5016">
        <v>0.76</v>
      </c>
      <c r="P5016">
        <v>1.61</v>
      </c>
      <c r="Q5016">
        <v>0.01</v>
      </c>
    </row>
    <row r="5017" spans="1:17" x14ac:dyDescent="0.25">
      <c r="A5017">
        <v>733946</v>
      </c>
      <c r="B5017" t="s">
        <v>6329</v>
      </c>
      <c r="C5017">
        <v>0.98</v>
      </c>
      <c r="D5017">
        <v>0.02</v>
      </c>
      <c r="E5017">
        <v>0.94</v>
      </c>
      <c r="F5017">
        <v>0.98</v>
      </c>
      <c r="G5017">
        <v>0.94</v>
      </c>
      <c r="H5017">
        <v>0.96</v>
      </c>
      <c r="I5017" s="1">
        <v>130000</v>
      </c>
      <c r="J5017" s="1">
        <v>124700</v>
      </c>
      <c r="K5017">
        <v>4</v>
      </c>
      <c r="L5017">
        <v>0.95</v>
      </c>
      <c r="M5017">
        <v>0.97</v>
      </c>
      <c r="N5017" s="1">
        <v>5000000</v>
      </c>
      <c r="O5017">
        <v>0.98</v>
      </c>
      <c r="P5017">
        <v>1.5</v>
      </c>
      <c r="Q5017">
        <v>0.44</v>
      </c>
    </row>
    <row r="5018" spans="1:17" x14ac:dyDescent="0.25">
      <c r="A5018">
        <v>733947</v>
      </c>
      <c r="B5018" t="s">
        <v>6330</v>
      </c>
      <c r="C5018" t="s">
        <v>78</v>
      </c>
      <c r="D5018" t="s">
        <v>78</v>
      </c>
      <c r="E5018" t="s">
        <v>78</v>
      </c>
      <c r="F5018" t="s">
        <v>78</v>
      </c>
      <c r="G5018" t="s">
        <v>78</v>
      </c>
      <c r="H5018">
        <v>0</v>
      </c>
      <c r="I5018" s="1">
        <v>0</v>
      </c>
      <c r="J5018" s="1">
        <v>0</v>
      </c>
      <c r="K5018">
        <v>0</v>
      </c>
      <c r="L5018">
        <v>1.1100000000000001</v>
      </c>
      <c r="M5018">
        <v>1.1299999999999999</v>
      </c>
      <c r="N5018" s="1">
        <v>5000000</v>
      </c>
      <c r="O5018">
        <v>1.1100000000000001</v>
      </c>
      <c r="P5018">
        <v>1.84</v>
      </c>
      <c r="Q5018">
        <v>0.35</v>
      </c>
    </row>
    <row r="5019" spans="1:17" x14ac:dyDescent="0.25">
      <c r="A5019">
        <v>733948</v>
      </c>
      <c r="B5019" t="s">
        <v>6331</v>
      </c>
      <c r="C5019">
        <v>1.1000000000000001</v>
      </c>
      <c r="D5019">
        <v>-0.01</v>
      </c>
      <c r="E5019">
        <v>1.1299999999999999</v>
      </c>
      <c r="F5019">
        <v>1.1299999999999999</v>
      </c>
      <c r="G5019">
        <v>1.1000000000000001</v>
      </c>
      <c r="H5019">
        <v>1.1100000000000001</v>
      </c>
      <c r="I5019" s="1">
        <v>209000</v>
      </c>
      <c r="J5019" s="1">
        <v>231400</v>
      </c>
      <c r="K5019">
        <v>4</v>
      </c>
      <c r="L5019">
        <v>1.08</v>
      </c>
      <c r="M5019">
        <v>1.0900000000000001</v>
      </c>
      <c r="N5019" s="1">
        <v>10000000</v>
      </c>
      <c r="O5019">
        <v>1.1000000000000001</v>
      </c>
      <c r="P5019">
        <v>1.77</v>
      </c>
      <c r="Q5019">
        <v>0.43</v>
      </c>
    </row>
    <row r="5020" spans="1:17" x14ac:dyDescent="0.25">
      <c r="A5020">
        <v>733949</v>
      </c>
      <c r="B5020" t="s">
        <v>6332</v>
      </c>
      <c r="C5020">
        <v>1.38</v>
      </c>
      <c r="D5020">
        <v>0.15</v>
      </c>
      <c r="E5020">
        <v>1.22</v>
      </c>
      <c r="F5020">
        <v>1.39</v>
      </c>
      <c r="G5020">
        <v>1.22</v>
      </c>
      <c r="H5020">
        <v>1.34</v>
      </c>
      <c r="I5020" s="1">
        <v>923000</v>
      </c>
      <c r="J5020" s="1">
        <v>1239770</v>
      </c>
      <c r="K5020">
        <v>10</v>
      </c>
      <c r="L5020">
        <v>1.37</v>
      </c>
      <c r="M5020">
        <v>1.38</v>
      </c>
      <c r="N5020" s="1">
        <v>5000000</v>
      </c>
      <c r="O5020">
        <v>1.38</v>
      </c>
      <c r="P5020">
        <v>2.58</v>
      </c>
      <c r="Q5020">
        <v>0.18</v>
      </c>
    </row>
    <row r="5021" spans="1:17" x14ac:dyDescent="0.25">
      <c r="A5021">
        <v>733950</v>
      </c>
      <c r="B5021" t="s">
        <v>6333</v>
      </c>
      <c r="C5021" t="s">
        <v>78</v>
      </c>
      <c r="D5021" t="s">
        <v>78</v>
      </c>
      <c r="E5021" t="s">
        <v>78</v>
      </c>
      <c r="F5021" t="s">
        <v>78</v>
      </c>
      <c r="G5021" t="s">
        <v>78</v>
      </c>
      <c r="H5021">
        <v>0</v>
      </c>
      <c r="I5021" s="1">
        <v>0</v>
      </c>
      <c r="J5021" s="1">
        <v>0</v>
      </c>
      <c r="K5021">
        <v>0</v>
      </c>
      <c r="L5021">
        <v>0.86</v>
      </c>
      <c r="M5021">
        <v>0.87</v>
      </c>
      <c r="N5021" s="1">
        <v>9449000</v>
      </c>
      <c r="O5021">
        <v>0.86</v>
      </c>
      <c r="P5021">
        <v>1.51</v>
      </c>
      <c r="Q5021">
        <v>0.21</v>
      </c>
    </row>
    <row r="5022" spans="1:17" x14ac:dyDescent="0.25">
      <c r="A5022">
        <v>733951</v>
      </c>
      <c r="B5022" t="s">
        <v>6334</v>
      </c>
      <c r="C5022">
        <v>1.75</v>
      </c>
      <c r="D5022">
        <v>0.02</v>
      </c>
      <c r="E5022">
        <v>1.68</v>
      </c>
      <c r="F5022">
        <v>1.75</v>
      </c>
      <c r="G5022">
        <v>1.66</v>
      </c>
      <c r="H5022">
        <v>1.7</v>
      </c>
      <c r="I5022" s="1">
        <v>271000</v>
      </c>
      <c r="J5022" s="1">
        <v>460880</v>
      </c>
      <c r="K5022">
        <v>6</v>
      </c>
      <c r="L5022">
        <v>1.72</v>
      </c>
      <c r="M5022">
        <v>1.73</v>
      </c>
      <c r="N5022" s="1">
        <v>10000000</v>
      </c>
      <c r="O5022">
        <v>1.75</v>
      </c>
      <c r="P5022">
        <v>2.8</v>
      </c>
      <c r="Q5022">
        <v>0.66</v>
      </c>
    </row>
    <row r="5023" spans="1:17" x14ac:dyDescent="0.25">
      <c r="A5023">
        <v>733953</v>
      </c>
      <c r="B5023" t="s">
        <v>6335</v>
      </c>
      <c r="C5023">
        <v>1.28</v>
      </c>
      <c r="D5023">
        <v>0.02</v>
      </c>
      <c r="E5023">
        <v>1.28</v>
      </c>
      <c r="F5023">
        <v>1.28</v>
      </c>
      <c r="G5023">
        <v>1.28</v>
      </c>
      <c r="H5023">
        <v>1.28</v>
      </c>
      <c r="I5023" s="1">
        <v>156000</v>
      </c>
      <c r="J5023" s="1">
        <v>199680</v>
      </c>
      <c r="K5023">
        <v>2</v>
      </c>
      <c r="L5023">
        <v>1.22</v>
      </c>
      <c r="M5023">
        <v>1.23</v>
      </c>
      <c r="N5023" s="1">
        <v>5000000</v>
      </c>
      <c r="O5023">
        <v>1.28</v>
      </c>
      <c r="P5023">
        <v>2.23</v>
      </c>
      <c r="Q5023">
        <v>0.31</v>
      </c>
    </row>
    <row r="5024" spans="1:17" x14ac:dyDescent="0.25">
      <c r="A5024">
        <v>733954</v>
      </c>
      <c r="B5024" t="s">
        <v>6336</v>
      </c>
      <c r="C5024">
        <v>2.84</v>
      </c>
      <c r="D5024">
        <v>7.0000000000000007E-2</v>
      </c>
      <c r="E5024">
        <v>2.99</v>
      </c>
      <c r="F5024">
        <v>2.99</v>
      </c>
      <c r="G5024">
        <v>2.81</v>
      </c>
      <c r="H5024">
        <v>2.83</v>
      </c>
      <c r="I5024" s="1">
        <v>26000</v>
      </c>
      <c r="J5024" s="1">
        <v>73540</v>
      </c>
      <c r="K5024">
        <v>3</v>
      </c>
      <c r="L5024">
        <v>2.78</v>
      </c>
      <c r="M5024">
        <v>2.79</v>
      </c>
      <c r="N5024" s="1">
        <v>8000000</v>
      </c>
      <c r="O5024">
        <v>2.84</v>
      </c>
      <c r="P5024">
        <v>4.8099999999999996</v>
      </c>
      <c r="Q5024">
        <v>0.87</v>
      </c>
    </row>
    <row r="5025" spans="1:17" x14ac:dyDescent="0.25">
      <c r="A5025">
        <v>733955</v>
      </c>
      <c r="B5025" t="s">
        <v>6337</v>
      </c>
      <c r="C5025">
        <v>1.43</v>
      </c>
      <c r="D5025">
        <v>0.05</v>
      </c>
      <c r="E5025">
        <v>1.37</v>
      </c>
      <c r="F5025">
        <v>1.43</v>
      </c>
      <c r="G5025">
        <v>1.31</v>
      </c>
      <c r="H5025">
        <v>1.36</v>
      </c>
      <c r="I5025" s="1">
        <v>2037000</v>
      </c>
      <c r="J5025" s="1">
        <v>2776490</v>
      </c>
      <c r="K5025">
        <v>52</v>
      </c>
      <c r="L5025">
        <v>1.42</v>
      </c>
      <c r="M5025">
        <v>1.43</v>
      </c>
      <c r="N5025" s="1">
        <v>10000000</v>
      </c>
      <c r="O5025">
        <v>1.43</v>
      </c>
      <c r="P5025">
        <v>2.0699999999999998</v>
      </c>
      <c r="Q5025">
        <v>0.79</v>
      </c>
    </row>
    <row r="5026" spans="1:17" x14ac:dyDescent="0.25">
      <c r="A5026">
        <v>733956</v>
      </c>
      <c r="B5026" t="s">
        <v>6338</v>
      </c>
      <c r="C5026">
        <v>1.27</v>
      </c>
      <c r="D5026">
        <v>0.02</v>
      </c>
      <c r="E5026">
        <v>1.26</v>
      </c>
      <c r="F5026">
        <v>1.27</v>
      </c>
      <c r="G5026">
        <v>1.25</v>
      </c>
      <c r="H5026">
        <v>1.27</v>
      </c>
      <c r="I5026" s="1">
        <v>42000</v>
      </c>
      <c r="J5026" s="1">
        <v>53210</v>
      </c>
      <c r="K5026">
        <v>4</v>
      </c>
      <c r="L5026">
        <v>1.26</v>
      </c>
      <c r="M5026">
        <v>1.27</v>
      </c>
      <c r="N5026" s="1">
        <v>10000000</v>
      </c>
      <c r="O5026">
        <v>1.27</v>
      </c>
      <c r="P5026">
        <v>1.7</v>
      </c>
      <c r="Q5026">
        <v>0.84</v>
      </c>
    </row>
    <row r="5027" spans="1:17" x14ac:dyDescent="0.25">
      <c r="A5027">
        <v>733957</v>
      </c>
      <c r="B5027" t="s">
        <v>6339</v>
      </c>
      <c r="C5027" t="s">
        <v>78</v>
      </c>
      <c r="D5027" t="s">
        <v>78</v>
      </c>
      <c r="E5027" t="s">
        <v>78</v>
      </c>
      <c r="F5027" t="s">
        <v>78</v>
      </c>
      <c r="G5027" t="s">
        <v>78</v>
      </c>
      <c r="H5027">
        <v>0</v>
      </c>
      <c r="I5027" s="1">
        <v>0</v>
      </c>
      <c r="J5027" s="1">
        <v>0</v>
      </c>
      <c r="K5027">
        <v>0</v>
      </c>
      <c r="L5027">
        <v>0.88</v>
      </c>
      <c r="M5027">
        <v>0.89</v>
      </c>
      <c r="N5027" s="1">
        <v>10000000</v>
      </c>
      <c r="O5027">
        <v>0.88</v>
      </c>
      <c r="P5027">
        <v>1.49</v>
      </c>
      <c r="Q5027">
        <v>0.27</v>
      </c>
    </row>
    <row r="5028" spans="1:17" x14ac:dyDescent="0.25">
      <c r="A5028">
        <v>733958</v>
      </c>
      <c r="B5028" t="s">
        <v>6340</v>
      </c>
      <c r="C5028">
        <v>1.1499999999999999</v>
      </c>
      <c r="D5028">
        <v>0.01</v>
      </c>
      <c r="E5028">
        <v>1.1299999999999999</v>
      </c>
      <c r="F5028">
        <v>1.1499999999999999</v>
      </c>
      <c r="G5028">
        <v>1.1100000000000001</v>
      </c>
      <c r="H5028">
        <v>1.1200000000000001</v>
      </c>
      <c r="I5028" s="1">
        <v>302000</v>
      </c>
      <c r="J5028" s="1">
        <v>339020</v>
      </c>
      <c r="K5028">
        <v>6</v>
      </c>
      <c r="L5028">
        <v>1.1299999999999999</v>
      </c>
      <c r="M5028">
        <v>1.1499999999999999</v>
      </c>
      <c r="N5028" s="1">
        <v>10000000</v>
      </c>
      <c r="O5028">
        <v>1.1499999999999999</v>
      </c>
      <c r="P5028">
        <v>1.57</v>
      </c>
      <c r="Q5028">
        <v>0.72</v>
      </c>
    </row>
    <row r="5029" spans="1:17" x14ac:dyDescent="0.25">
      <c r="A5029">
        <v>733959</v>
      </c>
      <c r="B5029" t="s">
        <v>6341</v>
      </c>
      <c r="C5029">
        <v>1.0900000000000001</v>
      </c>
      <c r="D5029">
        <v>-0.02</v>
      </c>
      <c r="E5029">
        <v>1.0900000000000001</v>
      </c>
      <c r="F5029">
        <v>1.0900000000000001</v>
      </c>
      <c r="G5029">
        <v>1.0900000000000001</v>
      </c>
      <c r="H5029">
        <v>1.0900000000000001</v>
      </c>
      <c r="I5029" s="1">
        <v>20000</v>
      </c>
      <c r="J5029" s="1">
        <v>21800</v>
      </c>
      <c r="K5029">
        <v>1</v>
      </c>
      <c r="L5029">
        <v>1.0900000000000001</v>
      </c>
      <c r="M5029">
        <v>1.1000000000000001</v>
      </c>
      <c r="N5029" s="1">
        <v>10000000</v>
      </c>
      <c r="O5029">
        <v>1.0900000000000001</v>
      </c>
      <c r="P5029">
        <v>1.56</v>
      </c>
      <c r="Q5029">
        <v>0.6</v>
      </c>
    </row>
    <row r="5030" spans="1:17" x14ac:dyDescent="0.25">
      <c r="A5030">
        <v>733961</v>
      </c>
      <c r="B5030" t="s">
        <v>6342</v>
      </c>
      <c r="C5030">
        <v>1.33</v>
      </c>
      <c r="D5030">
        <v>-0.1</v>
      </c>
      <c r="E5030">
        <v>1.47</v>
      </c>
      <c r="F5030">
        <v>1.49</v>
      </c>
      <c r="G5030">
        <v>1.31</v>
      </c>
      <c r="H5030">
        <v>1.39</v>
      </c>
      <c r="I5030" s="1">
        <v>628000</v>
      </c>
      <c r="J5030" s="1">
        <v>874630</v>
      </c>
      <c r="K5030">
        <v>22</v>
      </c>
      <c r="L5030">
        <v>1.33</v>
      </c>
      <c r="M5030">
        <v>1.34</v>
      </c>
      <c r="N5030" s="1">
        <v>10000000</v>
      </c>
      <c r="O5030">
        <v>1.33</v>
      </c>
      <c r="P5030">
        <v>1.82</v>
      </c>
      <c r="Q5030">
        <v>0.84</v>
      </c>
    </row>
    <row r="5031" spans="1:17" x14ac:dyDescent="0.25">
      <c r="A5031">
        <v>733962</v>
      </c>
      <c r="B5031" t="s">
        <v>6343</v>
      </c>
      <c r="C5031">
        <v>1.26</v>
      </c>
      <c r="D5031">
        <v>-0.1</v>
      </c>
      <c r="E5031">
        <v>1.1499999999999999</v>
      </c>
      <c r="F5031">
        <v>1.27</v>
      </c>
      <c r="G5031">
        <v>1.1499999999999999</v>
      </c>
      <c r="H5031">
        <v>1.21</v>
      </c>
      <c r="I5031" s="1">
        <v>682000</v>
      </c>
      <c r="J5031" s="1">
        <v>823380</v>
      </c>
      <c r="K5031">
        <v>40</v>
      </c>
      <c r="L5031">
        <v>1.29</v>
      </c>
      <c r="M5031">
        <v>1.33</v>
      </c>
      <c r="N5031" s="1">
        <v>10000000</v>
      </c>
      <c r="O5031">
        <v>1.26</v>
      </c>
      <c r="P5031">
        <v>1.89</v>
      </c>
      <c r="Q5031">
        <v>0.63</v>
      </c>
    </row>
    <row r="5032" spans="1:17" x14ac:dyDescent="0.25">
      <c r="A5032">
        <v>733963</v>
      </c>
      <c r="B5032" t="s">
        <v>6344</v>
      </c>
      <c r="C5032" t="s">
        <v>78</v>
      </c>
      <c r="D5032" t="s">
        <v>78</v>
      </c>
      <c r="E5032" t="s">
        <v>78</v>
      </c>
      <c r="F5032" t="s">
        <v>78</v>
      </c>
      <c r="G5032" t="s">
        <v>78</v>
      </c>
      <c r="H5032">
        <v>1.07</v>
      </c>
      <c r="I5032" s="1">
        <v>0</v>
      </c>
      <c r="J5032" s="1">
        <v>0</v>
      </c>
      <c r="K5032">
        <v>0</v>
      </c>
      <c r="L5032">
        <v>1.03</v>
      </c>
      <c r="M5032">
        <v>1.05</v>
      </c>
      <c r="N5032" s="1">
        <v>10000000</v>
      </c>
      <c r="O5032">
        <v>1.05</v>
      </c>
      <c r="P5032">
        <v>1.92</v>
      </c>
      <c r="Q5032">
        <v>0.18</v>
      </c>
    </row>
    <row r="5033" spans="1:17" x14ac:dyDescent="0.25">
      <c r="A5033">
        <v>733964</v>
      </c>
      <c r="B5033" t="s">
        <v>6345</v>
      </c>
      <c r="C5033">
        <v>1.47</v>
      </c>
      <c r="D5033">
        <v>0.3</v>
      </c>
      <c r="E5033">
        <v>1.35</v>
      </c>
      <c r="F5033">
        <v>1.47</v>
      </c>
      <c r="G5033">
        <v>1.35</v>
      </c>
      <c r="H5033">
        <v>1.41</v>
      </c>
      <c r="I5033" s="1">
        <v>846000</v>
      </c>
      <c r="J5033" s="1">
        <v>1193200</v>
      </c>
      <c r="K5033">
        <v>18</v>
      </c>
      <c r="L5033">
        <v>1.49</v>
      </c>
      <c r="M5033">
        <v>1.51</v>
      </c>
      <c r="N5033" s="1">
        <v>10000000</v>
      </c>
      <c r="O5033">
        <v>1.47</v>
      </c>
      <c r="P5033">
        <v>2.13</v>
      </c>
      <c r="Q5033">
        <v>0.81</v>
      </c>
    </row>
    <row r="5034" spans="1:17" x14ac:dyDescent="0.25">
      <c r="A5034">
        <v>733965</v>
      </c>
      <c r="B5034" t="s">
        <v>6346</v>
      </c>
      <c r="C5034">
        <v>1.37</v>
      </c>
      <c r="D5034">
        <v>-0.21</v>
      </c>
      <c r="E5034">
        <v>1.37</v>
      </c>
      <c r="F5034">
        <v>1.37</v>
      </c>
      <c r="G5034">
        <v>1.37</v>
      </c>
      <c r="H5034">
        <v>1.37</v>
      </c>
      <c r="I5034" s="1">
        <v>20000</v>
      </c>
      <c r="J5034" s="1">
        <v>27400</v>
      </c>
      <c r="K5034">
        <v>1</v>
      </c>
      <c r="L5034">
        <v>1.36</v>
      </c>
      <c r="M5034">
        <v>1.37</v>
      </c>
      <c r="N5034" s="1">
        <v>10000000</v>
      </c>
      <c r="O5034">
        <v>1.37</v>
      </c>
      <c r="P5034">
        <v>2.21</v>
      </c>
      <c r="Q5034">
        <v>0.5</v>
      </c>
    </row>
    <row r="5035" spans="1:17" x14ac:dyDescent="0.25">
      <c r="A5035">
        <v>733966</v>
      </c>
      <c r="B5035" t="s">
        <v>6347</v>
      </c>
      <c r="C5035">
        <v>0.72</v>
      </c>
      <c r="D5035">
        <v>-0.02</v>
      </c>
      <c r="E5035">
        <v>0.71</v>
      </c>
      <c r="F5035">
        <v>0.72</v>
      </c>
      <c r="G5035">
        <v>0.71</v>
      </c>
      <c r="H5035">
        <v>0.72</v>
      </c>
      <c r="I5035" s="1">
        <v>353000</v>
      </c>
      <c r="J5035" s="1">
        <v>252480</v>
      </c>
      <c r="K5035">
        <v>6</v>
      </c>
      <c r="L5035">
        <v>0.72</v>
      </c>
      <c r="M5035">
        <v>0.73</v>
      </c>
      <c r="N5035" s="1">
        <v>10000000</v>
      </c>
      <c r="O5035">
        <v>0.72</v>
      </c>
      <c r="P5035">
        <v>1.08</v>
      </c>
      <c r="Q5035">
        <v>0.34</v>
      </c>
    </row>
    <row r="5036" spans="1:17" x14ac:dyDescent="0.25">
      <c r="A5036">
        <v>733967</v>
      </c>
      <c r="B5036" t="s">
        <v>6348</v>
      </c>
      <c r="C5036">
        <v>1.25</v>
      </c>
      <c r="D5036">
        <v>0</v>
      </c>
      <c r="E5036">
        <v>1.18</v>
      </c>
      <c r="F5036">
        <v>1.25</v>
      </c>
      <c r="G5036">
        <v>1.18</v>
      </c>
      <c r="H5036">
        <v>1.22</v>
      </c>
      <c r="I5036" s="1">
        <v>381000</v>
      </c>
      <c r="J5036" s="1">
        <v>466140</v>
      </c>
      <c r="K5036">
        <v>8</v>
      </c>
      <c r="L5036">
        <v>1.22</v>
      </c>
      <c r="M5036">
        <v>1.23</v>
      </c>
      <c r="N5036" s="1">
        <v>11000000</v>
      </c>
      <c r="O5036">
        <v>1.25</v>
      </c>
      <c r="P5036">
        <v>1.77</v>
      </c>
      <c r="Q5036">
        <v>0.71</v>
      </c>
    </row>
    <row r="5037" spans="1:17" x14ac:dyDescent="0.25">
      <c r="A5037">
        <v>733968</v>
      </c>
      <c r="B5037" t="s">
        <v>6349</v>
      </c>
      <c r="C5037">
        <v>0.71</v>
      </c>
      <c r="D5037">
        <v>-0.25</v>
      </c>
      <c r="E5037">
        <v>0.68</v>
      </c>
      <c r="F5037">
        <v>0.71</v>
      </c>
      <c r="G5037">
        <v>0.68</v>
      </c>
      <c r="H5037">
        <v>0.7</v>
      </c>
      <c r="I5037" s="1">
        <v>26000</v>
      </c>
      <c r="J5037" s="1">
        <v>18220</v>
      </c>
      <c r="K5037">
        <v>3</v>
      </c>
      <c r="L5037">
        <v>0.7</v>
      </c>
      <c r="M5037">
        <v>0.71</v>
      </c>
      <c r="N5037" s="1">
        <v>15000000</v>
      </c>
      <c r="O5037">
        <v>0.71</v>
      </c>
      <c r="P5037">
        <v>1.04</v>
      </c>
      <c r="Q5037">
        <v>0.37</v>
      </c>
    </row>
    <row r="5038" spans="1:17" x14ac:dyDescent="0.25">
      <c r="A5038">
        <v>733970</v>
      </c>
      <c r="B5038" t="s">
        <v>6350</v>
      </c>
      <c r="C5038">
        <v>0.9</v>
      </c>
      <c r="D5038">
        <v>-0.01</v>
      </c>
      <c r="E5038">
        <v>0.92</v>
      </c>
      <c r="F5038">
        <v>0.92</v>
      </c>
      <c r="G5038">
        <v>0.89</v>
      </c>
      <c r="H5038">
        <v>0.91</v>
      </c>
      <c r="I5038" s="1">
        <v>38000</v>
      </c>
      <c r="J5038" s="1">
        <v>34650</v>
      </c>
      <c r="K5038">
        <v>5</v>
      </c>
      <c r="L5038">
        <v>0.9</v>
      </c>
      <c r="M5038">
        <v>0.91</v>
      </c>
      <c r="N5038" s="1">
        <v>10000000</v>
      </c>
      <c r="O5038">
        <v>0.9</v>
      </c>
      <c r="P5038">
        <v>1.51</v>
      </c>
      <c r="Q5038">
        <v>0.28999999999999998</v>
      </c>
    </row>
    <row r="5039" spans="1:17" x14ac:dyDescent="0.25">
      <c r="A5039">
        <v>733971</v>
      </c>
      <c r="B5039" t="s">
        <v>6351</v>
      </c>
      <c r="C5039" t="s">
        <v>78</v>
      </c>
      <c r="D5039" t="s">
        <v>78</v>
      </c>
      <c r="E5039" t="s">
        <v>78</v>
      </c>
      <c r="F5039" t="s">
        <v>78</v>
      </c>
      <c r="G5039" t="s">
        <v>78</v>
      </c>
      <c r="H5039">
        <v>0</v>
      </c>
      <c r="I5039" s="1">
        <v>0</v>
      </c>
      <c r="J5039" s="1">
        <v>0</v>
      </c>
      <c r="K5039">
        <v>0</v>
      </c>
      <c r="L5039">
        <v>0.69</v>
      </c>
      <c r="M5039">
        <v>0.71</v>
      </c>
      <c r="N5039" s="1">
        <v>10000000</v>
      </c>
      <c r="O5039">
        <v>0.71</v>
      </c>
      <c r="P5039">
        <v>1.1399999999999999</v>
      </c>
      <c r="Q5039">
        <v>0.28000000000000003</v>
      </c>
    </row>
    <row r="5040" spans="1:17" x14ac:dyDescent="0.25">
      <c r="A5040">
        <v>733972</v>
      </c>
      <c r="B5040" t="s">
        <v>6352</v>
      </c>
      <c r="C5040">
        <v>1.55</v>
      </c>
      <c r="D5040">
        <v>0.03</v>
      </c>
      <c r="E5040">
        <v>1.49</v>
      </c>
      <c r="F5040">
        <v>1.56</v>
      </c>
      <c r="G5040">
        <v>1.41</v>
      </c>
      <c r="H5040">
        <v>1.48</v>
      </c>
      <c r="I5040" s="1">
        <v>971000</v>
      </c>
      <c r="J5040" s="1">
        <v>1433490</v>
      </c>
      <c r="K5040">
        <v>30</v>
      </c>
      <c r="L5040">
        <v>1.55</v>
      </c>
      <c r="M5040">
        <v>1.56</v>
      </c>
      <c r="N5040" s="1">
        <v>10000000</v>
      </c>
      <c r="O5040">
        <v>1.55</v>
      </c>
      <c r="P5040">
        <v>2.41</v>
      </c>
      <c r="Q5040">
        <v>0.69</v>
      </c>
    </row>
    <row r="5041" spans="1:17" x14ac:dyDescent="0.25">
      <c r="A5041">
        <v>733973</v>
      </c>
      <c r="B5041" t="s">
        <v>6353</v>
      </c>
      <c r="C5041">
        <v>1.38</v>
      </c>
      <c r="D5041">
        <v>0</v>
      </c>
      <c r="E5041">
        <v>1.36</v>
      </c>
      <c r="F5041">
        <v>1.38</v>
      </c>
      <c r="G5041">
        <v>1.3</v>
      </c>
      <c r="H5041">
        <v>1.35</v>
      </c>
      <c r="I5041" s="1">
        <v>336000</v>
      </c>
      <c r="J5041" s="1">
        <v>455190</v>
      </c>
      <c r="K5041">
        <v>9</v>
      </c>
      <c r="L5041">
        <v>1.35</v>
      </c>
      <c r="M5041">
        <v>1.36</v>
      </c>
      <c r="N5041" s="1">
        <v>10000000</v>
      </c>
      <c r="O5041">
        <v>1.38</v>
      </c>
      <c r="P5041">
        <v>1.9</v>
      </c>
      <c r="Q5041">
        <v>0.84</v>
      </c>
    </row>
    <row r="5042" spans="1:17" x14ac:dyDescent="0.25">
      <c r="A5042">
        <v>733974</v>
      </c>
      <c r="B5042" t="s">
        <v>6354</v>
      </c>
      <c r="C5042" t="s">
        <v>78</v>
      </c>
      <c r="D5042" t="s">
        <v>78</v>
      </c>
      <c r="E5042" t="s">
        <v>78</v>
      </c>
      <c r="F5042" t="s">
        <v>78</v>
      </c>
      <c r="G5042" t="s">
        <v>78</v>
      </c>
      <c r="H5042">
        <v>0</v>
      </c>
      <c r="I5042" s="1">
        <v>0</v>
      </c>
      <c r="J5042" s="1">
        <v>0</v>
      </c>
      <c r="K5042">
        <v>0</v>
      </c>
      <c r="L5042">
        <v>1.08</v>
      </c>
      <c r="M5042">
        <v>1.0900000000000001</v>
      </c>
      <c r="N5042" s="1">
        <v>10000000</v>
      </c>
      <c r="O5042">
        <v>1.0900000000000001</v>
      </c>
      <c r="P5042">
        <v>1.61</v>
      </c>
      <c r="Q5042">
        <v>0.55000000000000004</v>
      </c>
    </row>
    <row r="5043" spans="1:17" x14ac:dyDescent="0.25">
      <c r="A5043">
        <v>733975</v>
      </c>
      <c r="B5043" t="s">
        <v>6355</v>
      </c>
      <c r="C5043">
        <v>0.92</v>
      </c>
      <c r="D5043">
        <v>-0.06</v>
      </c>
      <c r="E5043">
        <v>0.95</v>
      </c>
      <c r="F5043">
        <v>0.95</v>
      </c>
      <c r="G5043">
        <v>0.9</v>
      </c>
      <c r="H5043">
        <v>0.92</v>
      </c>
      <c r="I5043" s="1">
        <v>87000</v>
      </c>
      <c r="J5043" s="1">
        <v>79870</v>
      </c>
      <c r="K5043">
        <v>4</v>
      </c>
      <c r="L5043">
        <v>0.9</v>
      </c>
      <c r="M5043">
        <v>0.92</v>
      </c>
      <c r="N5043" s="1">
        <v>10000000</v>
      </c>
      <c r="O5043">
        <v>0.92</v>
      </c>
      <c r="P5043">
        <v>2.02</v>
      </c>
      <c r="Q5043">
        <v>0.01</v>
      </c>
    </row>
    <row r="5044" spans="1:17" x14ac:dyDescent="0.25">
      <c r="A5044">
        <v>733976</v>
      </c>
      <c r="B5044" t="s">
        <v>6356</v>
      </c>
      <c r="C5044">
        <v>0.8</v>
      </c>
      <c r="D5044">
        <v>-0.01</v>
      </c>
      <c r="E5044">
        <v>0.78</v>
      </c>
      <c r="F5044">
        <v>0.8</v>
      </c>
      <c r="G5044">
        <v>0.76</v>
      </c>
      <c r="H5044">
        <v>0.79</v>
      </c>
      <c r="I5044" s="1">
        <v>259000</v>
      </c>
      <c r="J5044" s="1">
        <v>203580</v>
      </c>
      <c r="K5044">
        <v>7</v>
      </c>
      <c r="L5044">
        <v>0.78</v>
      </c>
      <c r="M5044">
        <v>0.8</v>
      </c>
      <c r="N5044" s="1">
        <v>10000000</v>
      </c>
      <c r="O5044">
        <v>0.8</v>
      </c>
      <c r="P5044">
        <v>1.1499999999999999</v>
      </c>
      <c r="Q5044">
        <v>0.43</v>
      </c>
    </row>
    <row r="5045" spans="1:17" x14ac:dyDescent="0.25">
      <c r="A5045">
        <v>733977</v>
      </c>
      <c r="B5045" t="s">
        <v>6357</v>
      </c>
      <c r="C5045" t="s">
        <v>78</v>
      </c>
      <c r="D5045" t="s">
        <v>78</v>
      </c>
      <c r="E5045" t="s">
        <v>78</v>
      </c>
      <c r="F5045" t="s">
        <v>78</v>
      </c>
      <c r="G5045" t="s">
        <v>78</v>
      </c>
      <c r="H5045">
        <v>0</v>
      </c>
      <c r="I5045" s="1">
        <v>0</v>
      </c>
      <c r="J5045" s="1">
        <v>0</v>
      </c>
      <c r="K5045">
        <v>0</v>
      </c>
      <c r="L5045">
        <v>0.85</v>
      </c>
      <c r="M5045">
        <v>0.87</v>
      </c>
      <c r="N5045" s="1">
        <v>10000000</v>
      </c>
      <c r="O5045">
        <v>0.87</v>
      </c>
      <c r="P5045">
        <v>1.34</v>
      </c>
      <c r="Q5045">
        <v>0.38</v>
      </c>
    </row>
    <row r="5046" spans="1:17" x14ac:dyDescent="0.25">
      <c r="A5046">
        <v>733978</v>
      </c>
      <c r="B5046" t="s">
        <v>6358</v>
      </c>
      <c r="C5046">
        <v>1.32</v>
      </c>
      <c r="D5046">
        <v>0.15</v>
      </c>
      <c r="E5046">
        <v>1.32</v>
      </c>
      <c r="F5046">
        <v>1.32</v>
      </c>
      <c r="G5046">
        <v>1.32</v>
      </c>
      <c r="H5046">
        <v>1.32</v>
      </c>
      <c r="I5046" s="1">
        <v>10000</v>
      </c>
      <c r="J5046" s="1">
        <v>13200</v>
      </c>
      <c r="K5046">
        <v>1</v>
      </c>
      <c r="L5046">
        <v>1.2</v>
      </c>
      <c r="M5046">
        <v>1.21</v>
      </c>
      <c r="N5046" s="1">
        <v>10000000</v>
      </c>
      <c r="O5046">
        <v>1.32</v>
      </c>
      <c r="P5046">
        <v>2.08</v>
      </c>
      <c r="Q5046">
        <v>0.56000000000000005</v>
      </c>
    </row>
    <row r="5047" spans="1:17" x14ac:dyDescent="0.25">
      <c r="A5047">
        <v>733979</v>
      </c>
      <c r="B5047" t="s">
        <v>6359</v>
      </c>
      <c r="C5047" t="s">
        <v>78</v>
      </c>
      <c r="D5047" t="s">
        <v>78</v>
      </c>
      <c r="E5047" t="s">
        <v>78</v>
      </c>
      <c r="F5047" t="s">
        <v>78</v>
      </c>
      <c r="G5047" t="s">
        <v>78</v>
      </c>
      <c r="H5047">
        <v>0</v>
      </c>
      <c r="I5047" s="1">
        <v>0</v>
      </c>
      <c r="J5047" s="1">
        <v>0</v>
      </c>
      <c r="K5047">
        <v>0</v>
      </c>
      <c r="L5047">
        <v>0.52</v>
      </c>
      <c r="M5047">
        <v>0.53</v>
      </c>
      <c r="N5047" s="1">
        <v>10000000</v>
      </c>
      <c r="O5047">
        <v>0.53</v>
      </c>
      <c r="P5047">
        <v>0.79</v>
      </c>
      <c r="Q5047">
        <v>0.27</v>
      </c>
    </row>
    <row r="5048" spans="1:17" x14ac:dyDescent="0.25">
      <c r="A5048">
        <v>733980</v>
      </c>
      <c r="B5048" t="s">
        <v>6360</v>
      </c>
      <c r="C5048">
        <v>1.32</v>
      </c>
      <c r="D5048">
        <v>0.17</v>
      </c>
      <c r="E5048">
        <v>1.32</v>
      </c>
      <c r="F5048">
        <v>1.32</v>
      </c>
      <c r="G5048">
        <v>1.32</v>
      </c>
      <c r="H5048">
        <v>1.32</v>
      </c>
      <c r="I5048" s="1">
        <v>10000</v>
      </c>
      <c r="J5048" s="1">
        <v>13200</v>
      </c>
      <c r="K5048">
        <v>1</v>
      </c>
      <c r="L5048">
        <v>1.3</v>
      </c>
      <c r="M5048">
        <v>1.31</v>
      </c>
      <c r="N5048" s="1">
        <v>10000000</v>
      </c>
      <c r="O5048">
        <v>1.32</v>
      </c>
      <c r="P5048">
        <v>1.82</v>
      </c>
      <c r="Q5048">
        <v>0.82</v>
      </c>
    </row>
    <row r="5049" spans="1:17" x14ac:dyDescent="0.25">
      <c r="A5049">
        <v>733981</v>
      </c>
      <c r="B5049" t="s">
        <v>6361</v>
      </c>
      <c r="C5049">
        <v>1.83</v>
      </c>
      <c r="D5049">
        <v>0.48</v>
      </c>
      <c r="E5049">
        <v>1.83</v>
      </c>
      <c r="F5049">
        <v>1.83</v>
      </c>
      <c r="G5049">
        <v>1.83</v>
      </c>
      <c r="H5049">
        <v>1.83</v>
      </c>
      <c r="I5049" s="1">
        <v>10000</v>
      </c>
      <c r="J5049" s="1">
        <v>18300</v>
      </c>
      <c r="K5049">
        <v>1</v>
      </c>
      <c r="L5049">
        <v>1.81</v>
      </c>
      <c r="M5049">
        <v>1.82</v>
      </c>
      <c r="N5049" s="1">
        <v>10000000</v>
      </c>
      <c r="O5049">
        <v>1.83</v>
      </c>
      <c r="P5049">
        <v>2.94</v>
      </c>
      <c r="Q5049">
        <v>0.72</v>
      </c>
    </row>
    <row r="5050" spans="1:17" x14ac:dyDescent="0.25">
      <c r="A5050">
        <v>733983</v>
      </c>
      <c r="B5050" t="s">
        <v>6362</v>
      </c>
      <c r="C5050">
        <v>1.33</v>
      </c>
      <c r="D5050">
        <v>0.02</v>
      </c>
      <c r="E5050">
        <v>1.33</v>
      </c>
      <c r="F5050">
        <v>1.33</v>
      </c>
      <c r="G5050">
        <v>1.33</v>
      </c>
      <c r="H5050">
        <v>1.33</v>
      </c>
      <c r="I5050" s="1">
        <v>19000</v>
      </c>
      <c r="J5050" s="1">
        <v>25270</v>
      </c>
      <c r="K5050">
        <v>1</v>
      </c>
      <c r="L5050">
        <v>1.31</v>
      </c>
      <c r="M5050">
        <v>1.33</v>
      </c>
      <c r="N5050" s="1">
        <v>5000000</v>
      </c>
      <c r="O5050">
        <v>1.33</v>
      </c>
      <c r="P5050">
        <v>2.2599999999999998</v>
      </c>
      <c r="Q5050">
        <v>0.4</v>
      </c>
    </row>
    <row r="5051" spans="1:17" x14ac:dyDescent="0.25">
      <c r="A5051">
        <v>733984</v>
      </c>
      <c r="B5051" t="s">
        <v>6363</v>
      </c>
      <c r="C5051" t="s">
        <v>78</v>
      </c>
      <c r="D5051" t="s">
        <v>78</v>
      </c>
      <c r="E5051" t="s">
        <v>78</v>
      </c>
      <c r="F5051" t="s">
        <v>78</v>
      </c>
      <c r="G5051" t="s">
        <v>78</v>
      </c>
      <c r="H5051">
        <v>0</v>
      </c>
      <c r="I5051" s="1">
        <v>0</v>
      </c>
      <c r="J5051" s="1">
        <v>0</v>
      </c>
      <c r="K5051">
        <v>0</v>
      </c>
      <c r="L5051">
        <v>1.6</v>
      </c>
      <c r="M5051">
        <v>1.61</v>
      </c>
      <c r="N5051" s="1">
        <v>10000000</v>
      </c>
      <c r="O5051">
        <v>1.61</v>
      </c>
      <c r="P5051">
        <v>2.61</v>
      </c>
      <c r="Q5051">
        <v>0.61</v>
      </c>
    </row>
    <row r="5052" spans="1:17" x14ac:dyDescent="0.25">
      <c r="A5052">
        <v>733985</v>
      </c>
      <c r="B5052" t="s">
        <v>6364</v>
      </c>
      <c r="C5052">
        <v>1.81</v>
      </c>
      <c r="D5052">
        <v>0.46</v>
      </c>
      <c r="E5052">
        <v>1.81</v>
      </c>
      <c r="F5052">
        <v>1.81</v>
      </c>
      <c r="G5052">
        <v>1.81</v>
      </c>
      <c r="H5052">
        <v>1.81</v>
      </c>
      <c r="I5052" s="1">
        <v>1000</v>
      </c>
      <c r="J5052" s="1">
        <v>1810</v>
      </c>
      <c r="K5052">
        <v>1</v>
      </c>
      <c r="L5052">
        <v>1.83</v>
      </c>
      <c r="M5052">
        <v>1.86</v>
      </c>
      <c r="N5052" s="1">
        <v>5000000</v>
      </c>
      <c r="O5052">
        <v>1.81</v>
      </c>
      <c r="P5052">
        <v>2.98</v>
      </c>
      <c r="Q5052">
        <v>0.64</v>
      </c>
    </row>
    <row r="5053" spans="1:17" x14ac:dyDescent="0.25">
      <c r="A5053">
        <v>733986</v>
      </c>
      <c r="B5053" t="s">
        <v>6365</v>
      </c>
      <c r="C5053">
        <v>1.26</v>
      </c>
      <c r="D5053">
        <v>0.02</v>
      </c>
      <c r="E5053">
        <v>1.1399999999999999</v>
      </c>
      <c r="F5053">
        <v>1.26</v>
      </c>
      <c r="G5053">
        <v>1.1399999999999999</v>
      </c>
      <c r="H5053">
        <v>1.21</v>
      </c>
      <c r="I5053" s="1">
        <v>75000</v>
      </c>
      <c r="J5053" s="1">
        <v>90420</v>
      </c>
      <c r="K5053">
        <v>11</v>
      </c>
      <c r="L5053">
        <v>1.24</v>
      </c>
      <c r="M5053">
        <v>1.25</v>
      </c>
      <c r="N5053" s="1">
        <v>10000000</v>
      </c>
      <c r="O5053">
        <v>1.26</v>
      </c>
      <c r="P5053">
        <v>1.81</v>
      </c>
      <c r="Q5053">
        <v>0.71</v>
      </c>
    </row>
    <row r="5054" spans="1:17" x14ac:dyDescent="0.25">
      <c r="A5054">
        <v>733987</v>
      </c>
      <c r="B5054" t="s">
        <v>6366</v>
      </c>
      <c r="C5054" t="s">
        <v>78</v>
      </c>
      <c r="D5054" t="s">
        <v>78</v>
      </c>
      <c r="E5054" t="s">
        <v>78</v>
      </c>
      <c r="F5054" t="s">
        <v>78</v>
      </c>
      <c r="G5054" t="s">
        <v>78</v>
      </c>
      <c r="H5054">
        <v>0</v>
      </c>
      <c r="I5054" s="1">
        <v>0</v>
      </c>
      <c r="J5054" s="1">
        <v>0</v>
      </c>
      <c r="K5054">
        <v>0</v>
      </c>
      <c r="L5054">
        <v>0.84</v>
      </c>
      <c r="M5054">
        <v>0.85</v>
      </c>
      <c r="N5054" s="1">
        <v>10000000</v>
      </c>
      <c r="O5054">
        <v>0.85</v>
      </c>
      <c r="P5054">
        <v>1.37</v>
      </c>
      <c r="Q5054">
        <v>0.33</v>
      </c>
    </row>
    <row r="5055" spans="1:17" x14ac:dyDescent="0.25">
      <c r="A5055">
        <v>733988</v>
      </c>
      <c r="B5055" t="s">
        <v>6367</v>
      </c>
      <c r="C5055">
        <v>1.38</v>
      </c>
      <c r="D5055">
        <v>0.14000000000000001</v>
      </c>
      <c r="E5055">
        <v>1.43</v>
      </c>
      <c r="F5055">
        <v>1.47</v>
      </c>
      <c r="G5055">
        <v>1.38</v>
      </c>
      <c r="H5055">
        <v>1.44</v>
      </c>
      <c r="I5055" s="1">
        <v>326000</v>
      </c>
      <c r="J5055" s="1">
        <v>469350</v>
      </c>
      <c r="K5055">
        <v>7</v>
      </c>
      <c r="L5055">
        <v>1.31</v>
      </c>
      <c r="M5055">
        <v>1.32</v>
      </c>
      <c r="N5055" s="1">
        <v>10000000</v>
      </c>
      <c r="O5055">
        <v>1.38</v>
      </c>
      <c r="P5055">
        <v>2.14</v>
      </c>
      <c r="Q5055">
        <v>0.62</v>
      </c>
    </row>
    <row r="5056" spans="1:17" x14ac:dyDescent="0.25">
      <c r="A5056">
        <v>733989</v>
      </c>
      <c r="B5056" t="s">
        <v>6368</v>
      </c>
      <c r="C5056" t="s">
        <v>78</v>
      </c>
      <c r="D5056" t="s">
        <v>78</v>
      </c>
      <c r="E5056" t="s">
        <v>78</v>
      </c>
      <c r="F5056" t="s">
        <v>78</v>
      </c>
      <c r="G5056" t="s">
        <v>78</v>
      </c>
      <c r="H5056">
        <v>0</v>
      </c>
      <c r="I5056" s="1">
        <v>0</v>
      </c>
      <c r="J5056" s="1">
        <v>0</v>
      </c>
      <c r="K5056">
        <v>0</v>
      </c>
      <c r="L5056">
        <v>1.02</v>
      </c>
      <c r="M5056">
        <v>1.03</v>
      </c>
      <c r="N5056" s="1">
        <v>10000000</v>
      </c>
      <c r="O5056">
        <v>1.03</v>
      </c>
      <c r="P5056">
        <v>1.69</v>
      </c>
      <c r="Q5056">
        <v>0.37</v>
      </c>
    </row>
    <row r="5057" spans="1:17" x14ac:dyDescent="0.25">
      <c r="A5057">
        <v>733990</v>
      </c>
      <c r="B5057" t="s">
        <v>6369</v>
      </c>
      <c r="C5057">
        <v>0.66</v>
      </c>
      <c r="D5057">
        <v>0.01</v>
      </c>
      <c r="E5057">
        <v>0.63</v>
      </c>
      <c r="F5057">
        <v>0.66</v>
      </c>
      <c r="G5057">
        <v>0.63</v>
      </c>
      <c r="H5057">
        <v>0.64</v>
      </c>
      <c r="I5057" s="1">
        <v>11000</v>
      </c>
      <c r="J5057" s="1">
        <v>7020</v>
      </c>
      <c r="K5057">
        <v>3</v>
      </c>
      <c r="L5057">
        <v>0.64</v>
      </c>
      <c r="M5057">
        <v>0.65</v>
      </c>
      <c r="N5057" s="1">
        <v>10000000</v>
      </c>
      <c r="O5057">
        <v>0.66</v>
      </c>
      <c r="P5057">
        <v>1.04</v>
      </c>
      <c r="Q5057">
        <v>0.26</v>
      </c>
    </row>
    <row r="5058" spans="1:17" x14ac:dyDescent="0.25">
      <c r="A5058">
        <v>733991</v>
      </c>
      <c r="B5058" t="s">
        <v>6370</v>
      </c>
      <c r="C5058">
        <v>0.87</v>
      </c>
      <c r="D5058">
        <v>0.06</v>
      </c>
      <c r="E5058">
        <v>0.86</v>
      </c>
      <c r="F5058">
        <v>0.87</v>
      </c>
      <c r="G5058">
        <v>0.86</v>
      </c>
      <c r="H5058">
        <v>0.87</v>
      </c>
      <c r="I5058" s="1">
        <v>30000</v>
      </c>
      <c r="J5058" s="1">
        <v>26000</v>
      </c>
      <c r="K5058">
        <v>3</v>
      </c>
      <c r="L5058">
        <v>0.85</v>
      </c>
      <c r="M5058">
        <v>0.86</v>
      </c>
      <c r="N5058" s="1">
        <v>5000000</v>
      </c>
      <c r="O5058">
        <v>0.87</v>
      </c>
      <c r="P5058">
        <v>1.2</v>
      </c>
      <c r="Q5058">
        <v>0.54</v>
      </c>
    </row>
    <row r="5059" spans="1:17" x14ac:dyDescent="0.25">
      <c r="A5059">
        <v>733992</v>
      </c>
      <c r="B5059" t="s">
        <v>6371</v>
      </c>
      <c r="C5059" t="s">
        <v>78</v>
      </c>
      <c r="D5059" t="s">
        <v>78</v>
      </c>
      <c r="E5059" t="s">
        <v>78</v>
      </c>
      <c r="F5059" t="s">
        <v>78</v>
      </c>
      <c r="G5059" t="s">
        <v>78</v>
      </c>
      <c r="H5059">
        <v>0</v>
      </c>
      <c r="I5059" s="1">
        <v>0</v>
      </c>
      <c r="J5059" s="1">
        <v>0</v>
      </c>
      <c r="K5059">
        <v>0</v>
      </c>
      <c r="L5059">
        <v>0.85</v>
      </c>
      <c r="M5059">
        <v>0.86</v>
      </c>
      <c r="N5059" s="1">
        <v>10000000</v>
      </c>
      <c r="O5059">
        <v>0.85</v>
      </c>
      <c r="P5059">
        <v>1.75</v>
      </c>
      <c r="Q5059">
        <v>0.01</v>
      </c>
    </row>
    <row r="5060" spans="1:17" x14ac:dyDescent="0.25">
      <c r="A5060">
        <v>733993</v>
      </c>
      <c r="B5060" t="s">
        <v>6372</v>
      </c>
      <c r="C5060" t="s">
        <v>78</v>
      </c>
      <c r="D5060" t="s">
        <v>78</v>
      </c>
      <c r="E5060" t="s">
        <v>78</v>
      </c>
      <c r="F5060" t="s">
        <v>78</v>
      </c>
      <c r="G5060" t="s">
        <v>78</v>
      </c>
      <c r="H5060">
        <v>0</v>
      </c>
      <c r="I5060" s="1">
        <v>0</v>
      </c>
      <c r="J5060" s="1">
        <v>0</v>
      </c>
      <c r="K5060">
        <v>0</v>
      </c>
      <c r="L5060">
        <v>0.86</v>
      </c>
      <c r="M5060">
        <v>0.87</v>
      </c>
      <c r="N5060" s="1">
        <v>5000000</v>
      </c>
      <c r="O5060">
        <v>0.86</v>
      </c>
      <c r="P5060">
        <v>1.2</v>
      </c>
      <c r="Q5060">
        <v>0.52</v>
      </c>
    </row>
    <row r="5061" spans="1:17" x14ac:dyDescent="0.25">
      <c r="A5061">
        <v>733994</v>
      </c>
      <c r="B5061" t="s">
        <v>6373</v>
      </c>
      <c r="C5061" t="s">
        <v>78</v>
      </c>
      <c r="D5061" t="s">
        <v>78</v>
      </c>
      <c r="E5061" t="s">
        <v>78</v>
      </c>
      <c r="F5061" t="s">
        <v>78</v>
      </c>
      <c r="G5061" t="s">
        <v>78</v>
      </c>
      <c r="H5061">
        <v>0</v>
      </c>
      <c r="I5061" s="1">
        <v>0</v>
      </c>
      <c r="J5061" s="1">
        <v>0</v>
      </c>
      <c r="K5061">
        <v>0</v>
      </c>
      <c r="L5061">
        <v>0.64</v>
      </c>
      <c r="M5061">
        <v>0.65</v>
      </c>
      <c r="N5061" s="1">
        <v>5000000</v>
      </c>
      <c r="O5061">
        <v>0.65</v>
      </c>
      <c r="P5061">
        <v>1.24</v>
      </c>
      <c r="Q5061">
        <v>0.06</v>
      </c>
    </row>
    <row r="5062" spans="1:17" x14ac:dyDescent="0.25">
      <c r="A5062">
        <v>733995</v>
      </c>
      <c r="B5062" t="s">
        <v>6374</v>
      </c>
      <c r="C5062" t="s">
        <v>78</v>
      </c>
      <c r="D5062" t="s">
        <v>78</v>
      </c>
      <c r="E5062" t="s">
        <v>78</v>
      </c>
      <c r="F5062" t="s">
        <v>78</v>
      </c>
      <c r="G5062" t="s">
        <v>78</v>
      </c>
      <c r="H5062">
        <v>0</v>
      </c>
      <c r="I5062" s="1">
        <v>0</v>
      </c>
      <c r="J5062" s="1">
        <v>0</v>
      </c>
      <c r="K5062">
        <v>0</v>
      </c>
      <c r="L5062">
        <v>0.85</v>
      </c>
      <c r="M5062">
        <v>0.95</v>
      </c>
      <c r="N5062" s="1">
        <v>10000000</v>
      </c>
      <c r="O5062">
        <v>0.89</v>
      </c>
      <c r="P5062">
        <v>1.46</v>
      </c>
      <c r="Q5062">
        <v>0.32</v>
      </c>
    </row>
    <row r="5063" spans="1:17" x14ac:dyDescent="0.25">
      <c r="A5063">
        <v>733996</v>
      </c>
      <c r="B5063" t="s">
        <v>6375</v>
      </c>
      <c r="C5063" t="s">
        <v>78</v>
      </c>
      <c r="D5063" t="s">
        <v>78</v>
      </c>
      <c r="E5063" t="s">
        <v>78</v>
      </c>
      <c r="F5063" t="s">
        <v>78</v>
      </c>
      <c r="G5063" t="s">
        <v>78</v>
      </c>
      <c r="H5063">
        <v>0</v>
      </c>
      <c r="I5063" s="1">
        <v>0</v>
      </c>
      <c r="J5063" s="1">
        <v>0</v>
      </c>
      <c r="K5063">
        <v>0</v>
      </c>
      <c r="L5063">
        <v>0.93</v>
      </c>
      <c r="M5063">
        <v>1.03</v>
      </c>
      <c r="N5063" s="1">
        <v>10000000</v>
      </c>
      <c r="O5063">
        <v>0.98</v>
      </c>
      <c r="P5063">
        <v>1.66</v>
      </c>
      <c r="Q5063">
        <v>0.3</v>
      </c>
    </row>
    <row r="5064" spans="1:17" x14ac:dyDescent="0.25">
      <c r="A5064">
        <v>733997</v>
      </c>
      <c r="B5064" t="s">
        <v>6376</v>
      </c>
      <c r="C5064" t="s">
        <v>78</v>
      </c>
      <c r="D5064" t="s">
        <v>78</v>
      </c>
      <c r="E5064" t="s">
        <v>78</v>
      </c>
      <c r="F5064" t="s">
        <v>78</v>
      </c>
      <c r="G5064" t="s">
        <v>78</v>
      </c>
      <c r="H5064">
        <v>0</v>
      </c>
      <c r="I5064" s="1">
        <v>0</v>
      </c>
      <c r="J5064" s="1">
        <v>0</v>
      </c>
      <c r="K5064">
        <v>0</v>
      </c>
      <c r="L5064">
        <v>0.85</v>
      </c>
      <c r="M5064">
        <v>0.86</v>
      </c>
      <c r="N5064" s="1">
        <v>10000000</v>
      </c>
      <c r="O5064">
        <v>0.86</v>
      </c>
      <c r="P5064">
        <v>1.58</v>
      </c>
      <c r="Q5064">
        <v>0.14000000000000001</v>
      </c>
    </row>
    <row r="5065" spans="1:17" x14ac:dyDescent="0.25">
      <c r="A5065">
        <v>733999</v>
      </c>
      <c r="B5065" t="s">
        <v>6377</v>
      </c>
      <c r="C5065">
        <v>1.01</v>
      </c>
      <c r="D5065">
        <v>7.0000000000000007E-2</v>
      </c>
      <c r="E5065">
        <v>1.01</v>
      </c>
      <c r="F5065">
        <v>1.01</v>
      </c>
      <c r="G5065">
        <v>1.01</v>
      </c>
      <c r="H5065">
        <v>1.01</v>
      </c>
      <c r="I5065" s="1">
        <v>100000</v>
      </c>
      <c r="J5065" s="1">
        <v>101000</v>
      </c>
      <c r="K5065">
        <v>2</v>
      </c>
      <c r="L5065">
        <v>1</v>
      </c>
      <c r="M5065">
        <v>1.01</v>
      </c>
      <c r="N5065" s="1">
        <v>10000000</v>
      </c>
      <c r="O5065">
        <v>1.01</v>
      </c>
      <c r="P5065">
        <v>2.4900000000000002</v>
      </c>
      <c r="Q5065">
        <v>0.01</v>
      </c>
    </row>
    <row r="5066" spans="1:17" x14ac:dyDescent="0.25">
      <c r="A5066">
        <v>734001</v>
      </c>
      <c r="B5066" t="s">
        <v>6378</v>
      </c>
      <c r="C5066" t="s">
        <v>78</v>
      </c>
      <c r="D5066" t="s">
        <v>78</v>
      </c>
      <c r="E5066" t="s">
        <v>78</v>
      </c>
      <c r="F5066" t="s">
        <v>78</v>
      </c>
      <c r="G5066" t="s">
        <v>78</v>
      </c>
      <c r="H5066">
        <v>0</v>
      </c>
      <c r="I5066" s="1">
        <v>0</v>
      </c>
      <c r="J5066" s="1">
        <v>0</v>
      </c>
      <c r="K5066">
        <v>0</v>
      </c>
      <c r="L5066">
        <v>1.18</v>
      </c>
      <c r="M5066">
        <v>1.19</v>
      </c>
      <c r="N5066" s="1">
        <v>6160000</v>
      </c>
      <c r="O5066">
        <v>1.18</v>
      </c>
      <c r="P5066">
        <v>1.85</v>
      </c>
      <c r="Q5066">
        <v>0.51</v>
      </c>
    </row>
    <row r="5067" spans="1:17" x14ac:dyDescent="0.25">
      <c r="A5067">
        <v>734002</v>
      </c>
      <c r="B5067" t="s">
        <v>6379</v>
      </c>
      <c r="C5067" t="s">
        <v>78</v>
      </c>
      <c r="D5067" t="s">
        <v>78</v>
      </c>
      <c r="E5067" t="s">
        <v>78</v>
      </c>
      <c r="F5067" t="s">
        <v>78</v>
      </c>
      <c r="G5067" t="s">
        <v>78</v>
      </c>
      <c r="H5067">
        <v>0</v>
      </c>
      <c r="I5067" s="1">
        <v>0</v>
      </c>
      <c r="J5067" s="1">
        <v>0</v>
      </c>
      <c r="K5067">
        <v>0</v>
      </c>
      <c r="L5067">
        <v>1.71</v>
      </c>
      <c r="M5067">
        <v>1.73</v>
      </c>
      <c r="N5067" s="1">
        <v>5000000</v>
      </c>
      <c r="O5067">
        <v>1.71</v>
      </c>
      <c r="P5067">
        <v>2.66</v>
      </c>
      <c r="Q5067">
        <v>0.74</v>
      </c>
    </row>
    <row r="5068" spans="1:17" x14ac:dyDescent="0.25">
      <c r="A5068">
        <v>734003</v>
      </c>
      <c r="B5068" t="s">
        <v>6380</v>
      </c>
      <c r="C5068" t="s">
        <v>78</v>
      </c>
      <c r="D5068" t="s">
        <v>78</v>
      </c>
      <c r="E5068" t="s">
        <v>78</v>
      </c>
      <c r="F5068" t="s">
        <v>78</v>
      </c>
      <c r="G5068" t="s">
        <v>78</v>
      </c>
      <c r="H5068">
        <v>0</v>
      </c>
      <c r="I5068" s="1">
        <v>0</v>
      </c>
      <c r="J5068" s="1">
        <v>0</v>
      </c>
      <c r="K5068">
        <v>0</v>
      </c>
      <c r="L5068">
        <v>2.0299999999999998</v>
      </c>
      <c r="M5068">
        <v>2.04</v>
      </c>
      <c r="N5068" s="1">
        <v>5000000</v>
      </c>
      <c r="O5068">
        <v>2.04</v>
      </c>
      <c r="P5068">
        <v>3.14</v>
      </c>
      <c r="Q5068">
        <v>0.94</v>
      </c>
    </row>
    <row r="5069" spans="1:17" x14ac:dyDescent="0.25">
      <c r="A5069">
        <v>734004</v>
      </c>
      <c r="B5069" t="s">
        <v>6381</v>
      </c>
      <c r="C5069" t="s">
        <v>78</v>
      </c>
      <c r="D5069" t="s">
        <v>78</v>
      </c>
      <c r="E5069" t="s">
        <v>78</v>
      </c>
      <c r="F5069" t="s">
        <v>78</v>
      </c>
      <c r="G5069" t="s">
        <v>78</v>
      </c>
      <c r="H5069">
        <v>0</v>
      </c>
      <c r="I5069" s="1">
        <v>0</v>
      </c>
      <c r="J5069" s="1">
        <v>0</v>
      </c>
      <c r="K5069">
        <v>0</v>
      </c>
      <c r="L5069">
        <v>1.79</v>
      </c>
      <c r="M5069">
        <v>1.8</v>
      </c>
      <c r="N5069" s="1">
        <v>10000000</v>
      </c>
      <c r="O5069">
        <v>1.79</v>
      </c>
      <c r="P5069">
        <v>3.06</v>
      </c>
      <c r="Q5069">
        <v>0.52</v>
      </c>
    </row>
    <row r="5070" spans="1:17" x14ac:dyDescent="0.25">
      <c r="A5070">
        <v>734005</v>
      </c>
      <c r="B5070" t="s">
        <v>6382</v>
      </c>
      <c r="C5070">
        <v>0.67</v>
      </c>
      <c r="D5070">
        <v>0.04</v>
      </c>
      <c r="E5070">
        <v>0.67</v>
      </c>
      <c r="F5070">
        <v>0.67</v>
      </c>
      <c r="G5070">
        <v>0.67</v>
      </c>
      <c r="H5070">
        <v>0.67</v>
      </c>
      <c r="I5070" s="1">
        <v>10000</v>
      </c>
      <c r="J5070" s="1">
        <v>6700</v>
      </c>
      <c r="K5070">
        <v>1</v>
      </c>
      <c r="L5070">
        <v>0.65</v>
      </c>
      <c r="M5070">
        <v>0.66</v>
      </c>
      <c r="N5070" s="1">
        <v>10000000</v>
      </c>
      <c r="O5070">
        <v>0.67</v>
      </c>
      <c r="P5070">
        <v>1.01</v>
      </c>
      <c r="Q5070">
        <v>0.33</v>
      </c>
    </row>
    <row r="5071" spans="1:17" x14ac:dyDescent="0.25">
      <c r="A5071">
        <v>734006</v>
      </c>
      <c r="B5071" t="s">
        <v>6383</v>
      </c>
      <c r="C5071" t="s">
        <v>78</v>
      </c>
      <c r="D5071" t="s">
        <v>78</v>
      </c>
      <c r="E5071" t="s">
        <v>78</v>
      </c>
      <c r="F5071" t="s">
        <v>78</v>
      </c>
      <c r="G5071" t="s">
        <v>78</v>
      </c>
      <c r="H5071">
        <v>0</v>
      </c>
      <c r="I5071" s="1">
        <v>0</v>
      </c>
      <c r="J5071" s="1">
        <v>0</v>
      </c>
      <c r="K5071">
        <v>0</v>
      </c>
      <c r="L5071">
        <v>0.84</v>
      </c>
      <c r="M5071">
        <v>0.85</v>
      </c>
      <c r="N5071" s="1">
        <v>10000000</v>
      </c>
      <c r="O5071">
        <v>0.85</v>
      </c>
      <c r="P5071">
        <v>1.41</v>
      </c>
      <c r="Q5071">
        <v>0.28999999999999998</v>
      </c>
    </row>
    <row r="5072" spans="1:17" x14ac:dyDescent="0.25">
      <c r="A5072">
        <v>734007</v>
      </c>
      <c r="B5072" t="s">
        <v>6384</v>
      </c>
      <c r="C5072">
        <v>0.81</v>
      </c>
      <c r="D5072">
        <v>0.05</v>
      </c>
      <c r="E5072">
        <v>0.82</v>
      </c>
      <c r="F5072">
        <v>0.83</v>
      </c>
      <c r="G5072">
        <v>0.81</v>
      </c>
      <c r="H5072">
        <v>0.81</v>
      </c>
      <c r="I5072" s="1">
        <v>43000</v>
      </c>
      <c r="J5072" s="1">
        <v>34980</v>
      </c>
      <c r="K5072">
        <v>5</v>
      </c>
      <c r="L5072">
        <v>0.78</v>
      </c>
      <c r="M5072">
        <v>0.79</v>
      </c>
      <c r="N5072" s="1">
        <v>10000000</v>
      </c>
      <c r="O5072">
        <v>0.81</v>
      </c>
      <c r="P5072">
        <v>1.1200000000000001</v>
      </c>
      <c r="Q5072">
        <v>0.5</v>
      </c>
    </row>
    <row r="5073" spans="1:17" x14ac:dyDescent="0.25">
      <c r="A5073">
        <v>734008</v>
      </c>
      <c r="B5073" t="s">
        <v>6385</v>
      </c>
      <c r="C5073">
        <v>0.74</v>
      </c>
      <c r="D5073">
        <v>-0.01</v>
      </c>
      <c r="E5073">
        <v>0.74</v>
      </c>
      <c r="F5073">
        <v>0.74</v>
      </c>
      <c r="G5073">
        <v>0.74</v>
      </c>
      <c r="H5073">
        <v>0.74</v>
      </c>
      <c r="I5073" s="1">
        <v>50000</v>
      </c>
      <c r="J5073" s="1">
        <v>37000</v>
      </c>
      <c r="K5073">
        <v>1</v>
      </c>
      <c r="L5073">
        <v>0.72</v>
      </c>
      <c r="M5073">
        <v>0.74</v>
      </c>
      <c r="N5073" s="1">
        <v>10000000</v>
      </c>
      <c r="O5073">
        <v>0.74</v>
      </c>
      <c r="P5073">
        <v>1.1599999999999999</v>
      </c>
      <c r="Q5073">
        <v>0.32</v>
      </c>
    </row>
    <row r="5074" spans="1:17" x14ac:dyDescent="0.25">
      <c r="A5074">
        <v>734009</v>
      </c>
      <c r="B5074" t="s">
        <v>6386</v>
      </c>
      <c r="C5074" t="s">
        <v>78</v>
      </c>
      <c r="D5074" t="s">
        <v>78</v>
      </c>
      <c r="E5074" t="s">
        <v>78</v>
      </c>
      <c r="F5074" t="s">
        <v>78</v>
      </c>
      <c r="G5074" t="s">
        <v>78</v>
      </c>
      <c r="H5074">
        <v>0</v>
      </c>
      <c r="I5074" s="1">
        <v>0</v>
      </c>
      <c r="J5074" s="1">
        <v>0</v>
      </c>
      <c r="K5074">
        <v>0</v>
      </c>
      <c r="L5074">
        <v>0.94</v>
      </c>
      <c r="M5074">
        <v>0.95</v>
      </c>
      <c r="N5074" s="1">
        <v>10000000</v>
      </c>
      <c r="O5074">
        <v>0.95</v>
      </c>
      <c r="P5074">
        <v>1.55</v>
      </c>
      <c r="Q5074">
        <v>0.35</v>
      </c>
    </row>
    <row r="5075" spans="1:17" x14ac:dyDescent="0.25">
      <c r="A5075" t="s">
        <v>701</v>
      </c>
      <c r="B5075" t="s">
        <v>702</v>
      </c>
      <c r="C5075" t="s">
        <v>78</v>
      </c>
      <c r="D5075" t="s">
        <v>78</v>
      </c>
      <c r="E5075" t="s">
        <v>78</v>
      </c>
      <c r="F5075" t="s">
        <v>78</v>
      </c>
      <c r="G5075" t="s">
        <v>78</v>
      </c>
      <c r="H5075">
        <v>0.17</v>
      </c>
      <c r="I5075" s="1">
        <v>0</v>
      </c>
      <c r="J5075" s="1">
        <v>0</v>
      </c>
      <c r="K5075">
        <v>0</v>
      </c>
      <c r="L5075">
        <v>0</v>
      </c>
      <c r="M5075">
        <v>0.01</v>
      </c>
      <c r="N5075" s="1">
        <v>5000000</v>
      </c>
      <c r="O5075">
        <v>0.01</v>
      </c>
      <c r="P5075">
        <v>3.99</v>
      </c>
      <c r="Q5075">
        <v>0.01</v>
      </c>
    </row>
    <row r="5076" spans="1:17" x14ac:dyDescent="0.25">
      <c r="A5076" t="s">
        <v>703</v>
      </c>
      <c r="B5076" t="s">
        <v>704</v>
      </c>
      <c r="C5076" t="s">
        <v>78</v>
      </c>
      <c r="D5076" t="s">
        <v>78</v>
      </c>
      <c r="E5076" t="s">
        <v>78</v>
      </c>
      <c r="F5076" t="s">
        <v>78</v>
      </c>
      <c r="G5076" t="s">
        <v>78</v>
      </c>
      <c r="H5076">
        <v>0.04</v>
      </c>
      <c r="I5076" s="1">
        <v>0</v>
      </c>
      <c r="J5076" s="1">
        <v>0</v>
      </c>
      <c r="K5076">
        <v>0</v>
      </c>
      <c r="L5076">
        <v>0</v>
      </c>
      <c r="M5076">
        <v>0.01</v>
      </c>
      <c r="N5076" s="1">
        <v>10000000</v>
      </c>
      <c r="O5076">
        <v>0.01</v>
      </c>
      <c r="P5076">
        <v>0.94</v>
      </c>
      <c r="Q5076">
        <v>0.01</v>
      </c>
    </row>
    <row r="5077" spans="1:17" x14ac:dyDescent="0.25">
      <c r="A5077" t="s">
        <v>6387</v>
      </c>
      <c r="B5077" t="s">
        <v>6388</v>
      </c>
      <c r="C5077" t="s">
        <v>78</v>
      </c>
      <c r="D5077" t="s">
        <v>78</v>
      </c>
      <c r="E5077" t="s">
        <v>78</v>
      </c>
      <c r="F5077" t="s">
        <v>78</v>
      </c>
      <c r="G5077" t="s">
        <v>78</v>
      </c>
      <c r="H5077">
        <v>0.72</v>
      </c>
      <c r="I5077" s="1">
        <v>0</v>
      </c>
      <c r="J5077" s="1">
        <v>0</v>
      </c>
      <c r="K5077">
        <v>0</v>
      </c>
      <c r="L5077">
        <v>0.6</v>
      </c>
      <c r="M5077">
        <v>0.63</v>
      </c>
      <c r="N5077" s="1">
        <v>5000000</v>
      </c>
      <c r="O5077">
        <v>0.6</v>
      </c>
      <c r="P5077">
        <v>1.1200000000000001</v>
      </c>
      <c r="Q5077">
        <v>0.08</v>
      </c>
    </row>
    <row r="5078" spans="1:17" x14ac:dyDescent="0.25">
      <c r="A5078" t="s">
        <v>6389</v>
      </c>
      <c r="B5078" t="s">
        <v>6390</v>
      </c>
      <c r="C5078" t="s">
        <v>78</v>
      </c>
      <c r="D5078" t="s">
        <v>78</v>
      </c>
      <c r="E5078" t="s">
        <v>78</v>
      </c>
      <c r="F5078" t="s">
        <v>78</v>
      </c>
      <c r="G5078" t="s">
        <v>78</v>
      </c>
      <c r="H5078">
        <v>0.48</v>
      </c>
      <c r="I5078" s="1">
        <v>0</v>
      </c>
      <c r="J5078" s="1">
        <v>0</v>
      </c>
      <c r="K5078">
        <v>0</v>
      </c>
      <c r="L5078">
        <v>0</v>
      </c>
      <c r="M5078">
        <v>0.01</v>
      </c>
      <c r="N5078" s="1">
        <v>10000000</v>
      </c>
      <c r="O5078">
        <v>0.01</v>
      </c>
      <c r="P5078">
        <v>0.73</v>
      </c>
      <c r="Q5078">
        <v>0.01</v>
      </c>
    </row>
    <row r="5079" spans="1:17" x14ac:dyDescent="0.25">
      <c r="A5079" t="s">
        <v>6391</v>
      </c>
      <c r="B5079" t="s">
        <v>6392</v>
      </c>
      <c r="C5079" t="s">
        <v>78</v>
      </c>
      <c r="D5079" t="s">
        <v>78</v>
      </c>
      <c r="E5079" t="s">
        <v>78</v>
      </c>
      <c r="F5079" t="s">
        <v>78</v>
      </c>
      <c r="G5079" t="s">
        <v>78</v>
      </c>
      <c r="H5079">
        <v>0.66</v>
      </c>
      <c r="I5079" s="1">
        <v>0</v>
      </c>
      <c r="J5079" s="1">
        <v>0</v>
      </c>
      <c r="K5079">
        <v>0</v>
      </c>
      <c r="L5079">
        <v>0.4</v>
      </c>
      <c r="M5079">
        <v>0.43</v>
      </c>
      <c r="N5079" s="1">
        <v>10000000</v>
      </c>
      <c r="O5079">
        <v>0.43</v>
      </c>
      <c r="P5079">
        <v>0.71</v>
      </c>
      <c r="Q5079">
        <v>0.15</v>
      </c>
    </row>
    <row r="5080" spans="1:17" x14ac:dyDescent="0.25">
      <c r="A5080" t="s">
        <v>6393</v>
      </c>
      <c r="B5080" t="s">
        <v>6394</v>
      </c>
      <c r="C5080">
        <v>0.02</v>
      </c>
      <c r="D5080">
        <v>0.01</v>
      </c>
      <c r="E5080">
        <v>0.02</v>
      </c>
      <c r="F5080">
        <v>0.02</v>
      </c>
      <c r="G5080">
        <v>0.02</v>
      </c>
      <c r="H5080">
        <v>0.02</v>
      </c>
      <c r="I5080" s="1">
        <v>1000</v>
      </c>
      <c r="J5080" s="1">
        <v>20</v>
      </c>
      <c r="K5080">
        <v>1</v>
      </c>
      <c r="L5080">
        <v>0.01</v>
      </c>
      <c r="M5080">
        <v>0.02</v>
      </c>
      <c r="N5080" s="1">
        <v>15000000</v>
      </c>
      <c r="O5080">
        <v>0.02</v>
      </c>
      <c r="P5080">
        <v>1.25</v>
      </c>
      <c r="Q5080">
        <v>0.01</v>
      </c>
    </row>
    <row r="5081" spans="1:17" x14ac:dyDescent="0.25">
      <c r="A5081" t="s">
        <v>6395</v>
      </c>
      <c r="B5081" t="s">
        <v>6396</v>
      </c>
      <c r="C5081" t="s">
        <v>78</v>
      </c>
      <c r="D5081" t="s">
        <v>78</v>
      </c>
      <c r="E5081" t="s">
        <v>78</v>
      </c>
      <c r="F5081" t="s">
        <v>78</v>
      </c>
      <c r="G5081" t="s">
        <v>78</v>
      </c>
      <c r="H5081">
        <v>0.21</v>
      </c>
      <c r="I5081" s="1">
        <v>0</v>
      </c>
      <c r="J5081" s="1">
        <v>0</v>
      </c>
      <c r="K5081">
        <v>0</v>
      </c>
      <c r="L5081">
        <v>0.18</v>
      </c>
      <c r="M5081">
        <v>0.24</v>
      </c>
      <c r="N5081" s="1">
        <v>10000000</v>
      </c>
      <c r="O5081">
        <v>0.21</v>
      </c>
      <c r="P5081">
        <v>0.38</v>
      </c>
      <c r="Q5081">
        <v>0.04</v>
      </c>
    </row>
    <row r="5082" spans="1:17" x14ac:dyDescent="0.25">
      <c r="A5082" t="s">
        <v>6397</v>
      </c>
      <c r="B5082" t="s">
        <v>6398</v>
      </c>
      <c r="C5082" t="s">
        <v>78</v>
      </c>
      <c r="D5082" t="s">
        <v>78</v>
      </c>
      <c r="E5082" t="s">
        <v>78</v>
      </c>
      <c r="F5082" t="s">
        <v>78</v>
      </c>
      <c r="G5082" t="s">
        <v>78</v>
      </c>
      <c r="H5082">
        <v>0.22</v>
      </c>
      <c r="I5082" s="1">
        <v>0</v>
      </c>
      <c r="J5082" s="1">
        <v>0</v>
      </c>
      <c r="K5082">
        <v>0</v>
      </c>
      <c r="L5082">
        <v>7.0000000000000007E-2</v>
      </c>
      <c r="M5082">
        <v>0.08</v>
      </c>
      <c r="N5082" s="1">
        <v>5000000</v>
      </c>
      <c r="O5082">
        <v>0.08</v>
      </c>
      <c r="P5082">
        <v>1.05</v>
      </c>
      <c r="Q5082">
        <v>0.01</v>
      </c>
    </row>
    <row r="5083" spans="1:17" x14ac:dyDescent="0.25">
      <c r="A5083">
        <v>7402</v>
      </c>
      <c r="B5083" t="s">
        <v>705</v>
      </c>
      <c r="C5083">
        <v>46.5</v>
      </c>
      <c r="D5083">
        <v>0</v>
      </c>
      <c r="E5083">
        <v>47</v>
      </c>
      <c r="F5083">
        <v>47</v>
      </c>
      <c r="G5083">
        <v>46.5</v>
      </c>
      <c r="H5083">
        <v>46.78</v>
      </c>
      <c r="I5083" s="1">
        <v>6000</v>
      </c>
      <c r="J5083" s="1">
        <v>280700</v>
      </c>
      <c r="K5083">
        <v>6</v>
      </c>
      <c r="L5083">
        <v>46.5</v>
      </c>
      <c r="M5083">
        <v>47.5</v>
      </c>
      <c r="N5083" s="1">
        <v>21468327</v>
      </c>
      <c r="O5083">
        <v>46.5</v>
      </c>
      <c r="P5083">
        <v>51.1</v>
      </c>
      <c r="Q5083">
        <v>41.85</v>
      </c>
    </row>
    <row r="5084" spans="1:17" x14ac:dyDescent="0.25">
      <c r="A5084">
        <v>8024</v>
      </c>
      <c r="B5084" t="s">
        <v>706</v>
      </c>
      <c r="C5084">
        <v>11.2</v>
      </c>
      <c r="D5084">
        <v>-0.05</v>
      </c>
      <c r="E5084">
        <v>11.2</v>
      </c>
      <c r="F5084">
        <v>11.2</v>
      </c>
      <c r="G5084">
        <v>11.2</v>
      </c>
      <c r="H5084">
        <v>11.19</v>
      </c>
      <c r="I5084" s="1">
        <v>8600</v>
      </c>
      <c r="J5084" s="1">
        <v>96259</v>
      </c>
      <c r="K5084">
        <v>9</v>
      </c>
      <c r="L5084">
        <v>11.15</v>
      </c>
      <c r="M5084">
        <v>11.2</v>
      </c>
      <c r="N5084" s="1">
        <v>46013100</v>
      </c>
      <c r="O5084">
        <v>11.2</v>
      </c>
      <c r="P5084">
        <v>12.3</v>
      </c>
      <c r="Q5084">
        <v>10.1</v>
      </c>
    </row>
    <row r="5085" spans="1:17" x14ac:dyDescent="0.25">
      <c r="A5085">
        <v>8027</v>
      </c>
      <c r="B5085" t="s">
        <v>707</v>
      </c>
      <c r="C5085">
        <v>40</v>
      </c>
      <c r="D5085">
        <v>0.55000000000000004</v>
      </c>
      <c r="E5085">
        <v>39.700000000000003</v>
      </c>
      <c r="F5085">
        <v>40.200000000000003</v>
      </c>
      <c r="G5085">
        <v>38.950000000000003</v>
      </c>
      <c r="H5085">
        <v>39.6</v>
      </c>
      <c r="I5085" s="1">
        <v>1560472</v>
      </c>
      <c r="J5085" s="1">
        <v>61798538</v>
      </c>
      <c r="K5085">
        <v>690</v>
      </c>
      <c r="L5085">
        <v>40</v>
      </c>
      <c r="M5085">
        <v>40.049999999999997</v>
      </c>
      <c r="N5085" s="1">
        <v>77235092</v>
      </c>
      <c r="O5085">
        <v>40</v>
      </c>
      <c r="P5085">
        <v>44</v>
      </c>
      <c r="Q5085">
        <v>36</v>
      </c>
    </row>
    <row r="5086" spans="1:17" x14ac:dyDescent="0.25">
      <c r="A5086">
        <v>8032</v>
      </c>
      <c r="B5086" t="s">
        <v>708</v>
      </c>
      <c r="C5086">
        <v>23.85</v>
      </c>
      <c r="D5086">
        <v>0.05</v>
      </c>
      <c r="E5086">
        <v>23.9</v>
      </c>
      <c r="F5086">
        <v>23.95</v>
      </c>
      <c r="G5086">
        <v>23.85</v>
      </c>
      <c r="H5086">
        <v>23.9</v>
      </c>
      <c r="I5086" s="1">
        <v>8000</v>
      </c>
      <c r="J5086" s="1">
        <v>191200</v>
      </c>
      <c r="K5086">
        <v>7</v>
      </c>
      <c r="L5086">
        <v>23.8</v>
      </c>
      <c r="M5086">
        <v>23.9</v>
      </c>
      <c r="N5086" s="1">
        <v>51810300</v>
      </c>
      <c r="O5086">
        <v>23.85</v>
      </c>
      <c r="P5086">
        <v>26.2</v>
      </c>
      <c r="Q5086">
        <v>21.5</v>
      </c>
    </row>
    <row r="5087" spans="1:17" x14ac:dyDescent="0.25">
      <c r="A5087">
        <v>8034</v>
      </c>
      <c r="B5087" t="s">
        <v>709</v>
      </c>
      <c r="C5087">
        <v>13</v>
      </c>
      <c r="D5087">
        <v>0.25</v>
      </c>
      <c r="E5087">
        <v>12.8</v>
      </c>
      <c r="F5087">
        <v>13</v>
      </c>
      <c r="G5087">
        <v>12.8</v>
      </c>
      <c r="H5087">
        <v>12.92</v>
      </c>
      <c r="I5087" s="1">
        <v>300049</v>
      </c>
      <c r="J5087" s="1">
        <v>3877476</v>
      </c>
      <c r="K5087">
        <v>113</v>
      </c>
      <c r="L5087">
        <v>12.95</v>
      </c>
      <c r="M5087">
        <v>13</v>
      </c>
      <c r="N5087" s="1">
        <v>62873725</v>
      </c>
      <c r="O5087">
        <v>13</v>
      </c>
      <c r="P5087">
        <v>14.3</v>
      </c>
      <c r="Q5087">
        <v>11.7</v>
      </c>
    </row>
    <row r="5088" spans="1:17" x14ac:dyDescent="0.25">
      <c r="A5088">
        <v>8038</v>
      </c>
      <c r="B5088" t="s">
        <v>710</v>
      </c>
      <c r="C5088">
        <v>41.65</v>
      </c>
      <c r="D5088">
        <v>-0.25</v>
      </c>
      <c r="E5088">
        <v>41.6</v>
      </c>
      <c r="F5088">
        <v>41.95</v>
      </c>
      <c r="G5088">
        <v>41.6</v>
      </c>
      <c r="H5088">
        <v>41.78</v>
      </c>
      <c r="I5088" s="1">
        <v>42508</v>
      </c>
      <c r="J5088" s="1">
        <v>1775810</v>
      </c>
      <c r="K5088">
        <v>39</v>
      </c>
      <c r="L5088">
        <v>41.65</v>
      </c>
      <c r="M5088">
        <v>41.75</v>
      </c>
      <c r="N5088" s="1">
        <v>56608190</v>
      </c>
      <c r="O5088">
        <v>41.65</v>
      </c>
      <c r="P5088">
        <v>45.8</v>
      </c>
      <c r="Q5088">
        <v>37.5</v>
      </c>
    </row>
    <row r="5089" spans="1:17" x14ac:dyDescent="0.25">
      <c r="A5089">
        <v>8040</v>
      </c>
      <c r="B5089" t="s">
        <v>711</v>
      </c>
      <c r="C5089">
        <v>9.0299999999999994</v>
      </c>
      <c r="D5089">
        <v>-0.12</v>
      </c>
      <c r="E5089">
        <v>9.35</v>
      </c>
      <c r="F5089">
        <v>9.39</v>
      </c>
      <c r="G5089">
        <v>9</v>
      </c>
      <c r="H5089">
        <v>9.08</v>
      </c>
      <c r="I5089" s="1">
        <v>691905</v>
      </c>
      <c r="J5089" s="1">
        <v>6285882</v>
      </c>
      <c r="K5089">
        <v>232</v>
      </c>
      <c r="L5089">
        <v>9</v>
      </c>
      <c r="M5089">
        <v>9.0299999999999994</v>
      </c>
      <c r="N5089" s="1">
        <v>82725258</v>
      </c>
      <c r="O5089">
        <v>9.0299999999999994</v>
      </c>
      <c r="P5089">
        <v>9.93</v>
      </c>
      <c r="Q5089">
        <v>8.1300000000000008</v>
      </c>
    </row>
    <row r="5090" spans="1:17" x14ac:dyDescent="0.25">
      <c r="A5090">
        <v>8042</v>
      </c>
      <c r="B5090" t="s">
        <v>712</v>
      </c>
      <c r="C5090">
        <v>67.8</v>
      </c>
      <c r="D5090">
        <v>2.4</v>
      </c>
      <c r="E5090">
        <v>65.599999999999994</v>
      </c>
      <c r="F5090">
        <v>68.099999999999994</v>
      </c>
      <c r="G5090">
        <v>65.099999999999994</v>
      </c>
      <c r="H5090">
        <v>66.91</v>
      </c>
      <c r="I5090" s="1">
        <v>5057375</v>
      </c>
      <c r="J5090" s="1">
        <v>338389481</v>
      </c>
      <c r="K5090" s="1">
        <v>3100</v>
      </c>
      <c r="L5090">
        <v>67.7</v>
      </c>
      <c r="M5090">
        <v>67.8</v>
      </c>
      <c r="N5090" s="1">
        <v>113029482</v>
      </c>
      <c r="O5090">
        <v>67.8</v>
      </c>
      <c r="P5090">
        <v>74.5</v>
      </c>
      <c r="Q5090">
        <v>61.1</v>
      </c>
    </row>
    <row r="5091" spans="1:17" x14ac:dyDescent="0.25">
      <c r="A5091">
        <v>8043</v>
      </c>
      <c r="B5091" t="s">
        <v>713</v>
      </c>
      <c r="C5091">
        <v>25</v>
      </c>
      <c r="D5091">
        <v>-0.3</v>
      </c>
      <c r="E5091">
        <v>24.95</v>
      </c>
      <c r="F5091">
        <v>25.45</v>
      </c>
      <c r="G5091">
        <v>24.9</v>
      </c>
      <c r="H5091">
        <v>25.07</v>
      </c>
      <c r="I5091" s="1">
        <v>404843</v>
      </c>
      <c r="J5091" s="1">
        <v>10149040</v>
      </c>
      <c r="K5091">
        <v>257</v>
      </c>
      <c r="L5091">
        <v>24.95</v>
      </c>
      <c r="M5091">
        <v>25</v>
      </c>
      <c r="N5091" s="1">
        <v>79907170</v>
      </c>
      <c r="O5091">
        <v>25</v>
      </c>
      <c r="P5091">
        <v>27.5</v>
      </c>
      <c r="Q5091">
        <v>22.5</v>
      </c>
    </row>
    <row r="5092" spans="1:17" x14ac:dyDescent="0.25">
      <c r="A5092">
        <v>8044</v>
      </c>
      <c r="B5092" t="s">
        <v>714</v>
      </c>
      <c r="C5092">
        <v>137</v>
      </c>
      <c r="D5092">
        <v>-1</v>
      </c>
      <c r="E5092">
        <v>138.5</v>
      </c>
      <c r="F5092">
        <v>139.5</v>
      </c>
      <c r="G5092">
        <v>136.5</v>
      </c>
      <c r="H5092">
        <v>137.97999999999999</v>
      </c>
      <c r="I5092" s="1">
        <v>490725</v>
      </c>
      <c r="J5092" s="1">
        <v>67708325</v>
      </c>
      <c r="K5092">
        <v>427</v>
      </c>
      <c r="L5092">
        <v>137</v>
      </c>
      <c r="M5092">
        <v>137.5</v>
      </c>
      <c r="N5092" s="1">
        <v>117159446</v>
      </c>
      <c r="O5092">
        <v>137</v>
      </c>
      <c r="P5092">
        <v>150.5</v>
      </c>
      <c r="Q5092">
        <v>123.5</v>
      </c>
    </row>
    <row r="5093" spans="1:17" x14ac:dyDescent="0.25">
      <c r="A5093">
        <v>8047</v>
      </c>
      <c r="B5093" t="s">
        <v>715</v>
      </c>
      <c r="C5093">
        <v>12.2</v>
      </c>
      <c r="D5093">
        <v>-0.1</v>
      </c>
      <c r="E5093">
        <v>12.15</v>
      </c>
      <c r="F5093">
        <v>12.2</v>
      </c>
      <c r="G5093">
        <v>12.15</v>
      </c>
      <c r="H5093">
        <v>12.16</v>
      </c>
      <c r="I5093" s="1">
        <v>59000</v>
      </c>
      <c r="J5093" s="1">
        <v>717350</v>
      </c>
      <c r="K5093">
        <v>5</v>
      </c>
      <c r="L5093">
        <v>12.15</v>
      </c>
      <c r="M5093">
        <v>12.25</v>
      </c>
      <c r="N5093" s="1">
        <v>41666343</v>
      </c>
      <c r="O5093">
        <v>12.2</v>
      </c>
      <c r="P5093">
        <v>13.4</v>
      </c>
      <c r="Q5093">
        <v>11</v>
      </c>
    </row>
    <row r="5094" spans="1:17" x14ac:dyDescent="0.25">
      <c r="A5094">
        <v>8048</v>
      </c>
      <c r="B5094" t="s">
        <v>716</v>
      </c>
      <c r="C5094">
        <v>32.25</v>
      </c>
      <c r="D5094">
        <v>0.15</v>
      </c>
      <c r="E5094">
        <v>32.200000000000003</v>
      </c>
      <c r="F5094">
        <v>32.35</v>
      </c>
      <c r="G5094">
        <v>32.15</v>
      </c>
      <c r="H5094">
        <v>32.24</v>
      </c>
      <c r="I5094" s="1">
        <v>82396</v>
      </c>
      <c r="J5094" s="1">
        <v>2656350</v>
      </c>
      <c r="K5094">
        <v>42</v>
      </c>
      <c r="L5094">
        <v>32.200000000000003</v>
      </c>
      <c r="M5094">
        <v>32.299999999999997</v>
      </c>
      <c r="N5094" s="1">
        <v>53264938</v>
      </c>
      <c r="O5094">
        <v>32.25</v>
      </c>
      <c r="P5094">
        <v>35.450000000000003</v>
      </c>
      <c r="Q5094">
        <v>29.05</v>
      </c>
    </row>
    <row r="5095" spans="1:17" x14ac:dyDescent="0.25">
      <c r="A5095">
        <v>8049</v>
      </c>
      <c r="B5095" t="s">
        <v>717</v>
      </c>
      <c r="C5095">
        <v>16.95</v>
      </c>
      <c r="D5095">
        <v>-0.15</v>
      </c>
      <c r="E5095">
        <v>17</v>
      </c>
      <c r="F5095">
        <v>17.100000000000001</v>
      </c>
      <c r="G5095">
        <v>16.8</v>
      </c>
      <c r="H5095">
        <v>16.89</v>
      </c>
      <c r="I5095" s="1">
        <v>567637</v>
      </c>
      <c r="J5095" s="1">
        <v>9587089</v>
      </c>
      <c r="K5095">
        <v>270</v>
      </c>
      <c r="L5095">
        <v>16.899999999999999</v>
      </c>
      <c r="M5095">
        <v>16.95</v>
      </c>
      <c r="N5095" s="1">
        <v>118234308</v>
      </c>
      <c r="O5095">
        <v>16.95</v>
      </c>
      <c r="P5095">
        <v>18.600000000000001</v>
      </c>
      <c r="Q5095">
        <v>15.3</v>
      </c>
    </row>
    <row r="5096" spans="1:17" x14ac:dyDescent="0.25">
      <c r="A5096">
        <v>8050</v>
      </c>
      <c r="B5096" t="s">
        <v>718</v>
      </c>
      <c r="C5096">
        <v>49.55</v>
      </c>
      <c r="D5096">
        <v>0.4</v>
      </c>
      <c r="E5096">
        <v>49.15</v>
      </c>
      <c r="F5096">
        <v>49.6</v>
      </c>
      <c r="G5096">
        <v>49.15</v>
      </c>
      <c r="H5096">
        <v>49.37</v>
      </c>
      <c r="I5096" s="1">
        <v>202394</v>
      </c>
      <c r="J5096" s="1">
        <v>9991803</v>
      </c>
      <c r="K5096">
        <v>167</v>
      </c>
      <c r="L5096">
        <v>49.55</v>
      </c>
      <c r="M5096">
        <v>49.6</v>
      </c>
      <c r="N5096" s="1">
        <v>123465593</v>
      </c>
      <c r="O5096">
        <v>49.55</v>
      </c>
      <c r="P5096">
        <v>54.5</v>
      </c>
      <c r="Q5096">
        <v>44.6</v>
      </c>
    </row>
    <row r="5097" spans="1:17" x14ac:dyDescent="0.25">
      <c r="A5097">
        <v>8054</v>
      </c>
      <c r="B5097" t="s">
        <v>719</v>
      </c>
      <c r="C5097">
        <v>20.2</v>
      </c>
      <c r="D5097">
        <v>-0.05</v>
      </c>
      <c r="E5097">
        <v>20.25</v>
      </c>
      <c r="F5097">
        <v>20.3</v>
      </c>
      <c r="G5097">
        <v>20.100000000000001</v>
      </c>
      <c r="H5097">
        <v>20.2</v>
      </c>
      <c r="I5097" s="1">
        <v>179264</v>
      </c>
      <c r="J5097" s="1">
        <v>3620330</v>
      </c>
      <c r="K5097">
        <v>101</v>
      </c>
      <c r="L5097">
        <v>20.2</v>
      </c>
      <c r="M5097">
        <v>20.25</v>
      </c>
      <c r="N5097" s="1">
        <v>73775286</v>
      </c>
      <c r="O5097">
        <v>20.2</v>
      </c>
      <c r="P5097">
        <v>22.2</v>
      </c>
      <c r="Q5097">
        <v>18.2</v>
      </c>
    </row>
    <row r="5098" spans="1:17" x14ac:dyDescent="0.25">
      <c r="A5098">
        <v>8059</v>
      </c>
      <c r="B5098" t="s">
        <v>720</v>
      </c>
      <c r="C5098">
        <v>9.4700000000000006</v>
      </c>
      <c r="D5098">
        <v>0</v>
      </c>
      <c r="E5098">
        <v>9.36</v>
      </c>
      <c r="F5098">
        <v>9.4700000000000006</v>
      </c>
      <c r="G5098">
        <v>9.36</v>
      </c>
      <c r="H5098">
        <v>9.41</v>
      </c>
      <c r="I5098" s="1">
        <v>13000</v>
      </c>
      <c r="J5098" s="1">
        <v>122330</v>
      </c>
      <c r="K5098">
        <v>10</v>
      </c>
      <c r="L5098">
        <v>9.3699999999999992</v>
      </c>
      <c r="M5098">
        <v>9.4700000000000006</v>
      </c>
      <c r="N5098" s="1">
        <v>91118000</v>
      </c>
      <c r="O5098">
        <v>9.4700000000000006</v>
      </c>
      <c r="P5098">
        <v>10.4</v>
      </c>
      <c r="Q5098">
        <v>8.5299999999999994</v>
      </c>
    </row>
    <row r="5099" spans="1:17" x14ac:dyDescent="0.25">
      <c r="A5099">
        <v>8064</v>
      </c>
      <c r="B5099" t="s">
        <v>721</v>
      </c>
      <c r="C5099">
        <v>16.05</v>
      </c>
      <c r="D5099">
        <v>-0.05</v>
      </c>
      <c r="E5099">
        <v>16.25</v>
      </c>
      <c r="F5099">
        <v>16.25</v>
      </c>
      <c r="G5099">
        <v>16</v>
      </c>
      <c r="H5099">
        <v>16.079999999999998</v>
      </c>
      <c r="I5099" s="1">
        <v>334010</v>
      </c>
      <c r="J5099" s="1">
        <v>5369560</v>
      </c>
      <c r="K5099">
        <v>170</v>
      </c>
      <c r="L5099">
        <v>16.05</v>
      </c>
      <c r="M5099">
        <v>16.100000000000001</v>
      </c>
      <c r="N5099" s="1">
        <v>164817836</v>
      </c>
      <c r="O5099">
        <v>16.05</v>
      </c>
      <c r="P5099">
        <v>17.649999999999999</v>
      </c>
      <c r="Q5099">
        <v>14.45</v>
      </c>
    </row>
    <row r="5100" spans="1:17" x14ac:dyDescent="0.25">
      <c r="A5100">
        <v>8066</v>
      </c>
      <c r="B5100" t="s">
        <v>722</v>
      </c>
      <c r="C5100">
        <v>119.5</v>
      </c>
      <c r="D5100">
        <v>0.5</v>
      </c>
      <c r="E5100">
        <v>118.5</v>
      </c>
      <c r="F5100">
        <v>119.5</v>
      </c>
      <c r="G5100">
        <v>117.5</v>
      </c>
      <c r="H5100">
        <v>118.48</v>
      </c>
      <c r="I5100" s="1">
        <v>108058</v>
      </c>
      <c r="J5100" s="1">
        <v>12802373</v>
      </c>
      <c r="K5100">
        <v>70</v>
      </c>
      <c r="L5100">
        <v>119</v>
      </c>
      <c r="M5100">
        <v>119.5</v>
      </c>
      <c r="N5100" s="1">
        <v>30152304</v>
      </c>
      <c r="O5100">
        <v>119.5</v>
      </c>
      <c r="P5100">
        <v>131</v>
      </c>
      <c r="Q5100">
        <v>108</v>
      </c>
    </row>
    <row r="5101" spans="1:17" x14ac:dyDescent="0.25">
      <c r="A5101">
        <v>8067</v>
      </c>
      <c r="B5101" t="s">
        <v>723</v>
      </c>
      <c r="C5101">
        <v>9.9499999999999993</v>
      </c>
      <c r="D5101">
        <v>-0.25</v>
      </c>
      <c r="E5101">
        <v>10.8</v>
      </c>
      <c r="F5101">
        <v>10.8</v>
      </c>
      <c r="G5101">
        <v>9.86</v>
      </c>
      <c r="H5101">
        <v>10.07</v>
      </c>
      <c r="I5101" s="1">
        <v>40931</v>
      </c>
      <c r="J5101" s="1">
        <v>412070</v>
      </c>
      <c r="K5101">
        <v>32</v>
      </c>
      <c r="L5101">
        <v>9.98</v>
      </c>
      <c r="M5101">
        <v>10.199999999999999</v>
      </c>
      <c r="N5101" s="1">
        <v>30000000</v>
      </c>
      <c r="O5101">
        <v>9.9499999999999993</v>
      </c>
      <c r="P5101">
        <v>10.9</v>
      </c>
      <c r="Q5101">
        <v>8.9600000000000009</v>
      </c>
    </row>
    <row r="5102" spans="1:17" x14ac:dyDescent="0.25">
      <c r="A5102">
        <v>8068</v>
      </c>
      <c r="B5102" t="s">
        <v>724</v>
      </c>
      <c r="C5102">
        <v>21</v>
      </c>
      <c r="D5102">
        <v>0.65</v>
      </c>
      <c r="E5102">
        <v>20.3</v>
      </c>
      <c r="F5102">
        <v>21.35</v>
      </c>
      <c r="G5102">
        <v>20.3</v>
      </c>
      <c r="H5102">
        <v>20.86</v>
      </c>
      <c r="I5102" s="1">
        <v>59014</v>
      </c>
      <c r="J5102" s="1">
        <v>1230951</v>
      </c>
      <c r="K5102">
        <v>43</v>
      </c>
      <c r="L5102">
        <v>21</v>
      </c>
      <c r="M5102">
        <v>21.25</v>
      </c>
      <c r="N5102" s="1">
        <v>66955992</v>
      </c>
      <c r="O5102">
        <v>21</v>
      </c>
      <c r="P5102">
        <v>23.1</v>
      </c>
      <c r="Q5102">
        <v>18.899999999999999</v>
      </c>
    </row>
    <row r="5103" spans="1:17" x14ac:dyDescent="0.25">
      <c r="A5103">
        <v>8069</v>
      </c>
      <c r="B5103" t="s">
        <v>725</v>
      </c>
      <c r="C5103">
        <v>48</v>
      </c>
      <c r="D5103">
        <v>-0.65</v>
      </c>
      <c r="E5103">
        <v>48.75</v>
      </c>
      <c r="F5103">
        <v>49.25</v>
      </c>
      <c r="G5103">
        <v>47.8</v>
      </c>
      <c r="H5103">
        <v>48.32</v>
      </c>
      <c r="I5103" s="1">
        <v>6011018</v>
      </c>
      <c r="J5103" s="1">
        <v>290434914</v>
      </c>
      <c r="K5103" s="1">
        <v>3387</v>
      </c>
      <c r="L5103">
        <v>48</v>
      </c>
      <c r="M5103">
        <v>48.1</v>
      </c>
      <c r="N5103" s="1">
        <v>1140467715</v>
      </c>
      <c r="O5103">
        <v>48</v>
      </c>
      <c r="P5103">
        <v>52.8</v>
      </c>
      <c r="Q5103">
        <v>43.2</v>
      </c>
    </row>
    <row r="5104" spans="1:17" x14ac:dyDescent="0.25">
      <c r="A5104">
        <v>8071</v>
      </c>
      <c r="B5104" t="s">
        <v>6399</v>
      </c>
      <c r="C5104">
        <v>18.149999999999999</v>
      </c>
      <c r="D5104">
        <v>-0.1</v>
      </c>
      <c r="E5104">
        <v>18.5</v>
      </c>
      <c r="F5104">
        <v>18.5</v>
      </c>
      <c r="G5104">
        <v>18.05</v>
      </c>
      <c r="H5104">
        <v>18.21</v>
      </c>
      <c r="I5104" s="1">
        <v>225036</v>
      </c>
      <c r="J5104" s="1">
        <v>4097853</v>
      </c>
      <c r="K5104">
        <v>130</v>
      </c>
      <c r="L5104">
        <v>18.149999999999999</v>
      </c>
      <c r="M5104">
        <v>18.2</v>
      </c>
      <c r="N5104" s="1">
        <v>51854283</v>
      </c>
      <c r="O5104">
        <v>18.149999999999999</v>
      </c>
      <c r="P5104">
        <v>19.95</v>
      </c>
      <c r="Q5104">
        <v>16.350000000000001</v>
      </c>
    </row>
    <row r="5105" spans="1:17" x14ac:dyDescent="0.25">
      <c r="A5105">
        <v>8074</v>
      </c>
      <c r="B5105" t="s">
        <v>727</v>
      </c>
      <c r="C5105">
        <v>26.35</v>
      </c>
      <c r="D5105">
        <v>0.25</v>
      </c>
      <c r="E5105">
        <v>26.15</v>
      </c>
      <c r="F5105">
        <v>26.35</v>
      </c>
      <c r="G5105">
        <v>26.15</v>
      </c>
      <c r="H5105">
        <v>26.26</v>
      </c>
      <c r="I5105" s="1">
        <v>73002</v>
      </c>
      <c r="J5105" s="1">
        <v>1917254</v>
      </c>
      <c r="K5105">
        <v>50</v>
      </c>
      <c r="L5105">
        <v>26.3</v>
      </c>
      <c r="M5105">
        <v>26.35</v>
      </c>
      <c r="N5105" s="1">
        <v>81265988</v>
      </c>
      <c r="O5105">
        <v>26.35</v>
      </c>
      <c r="P5105">
        <v>28.95</v>
      </c>
      <c r="Q5105">
        <v>23.75</v>
      </c>
    </row>
    <row r="5106" spans="1:17" x14ac:dyDescent="0.25">
      <c r="A5106">
        <v>8076</v>
      </c>
      <c r="B5106" t="s">
        <v>728</v>
      </c>
      <c r="C5106">
        <v>41.7</v>
      </c>
      <c r="D5106">
        <v>0.1</v>
      </c>
      <c r="E5106">
        <v>41.9</v>
      </c>
      <c r="F5106">
        <v>41.95</v>
      </c>
      <c r="G5106">
        <v>41.3</v>
      </c>
      <c r="H5106">
        <v>41.63</v>
      </c>
      <c r="I5106" s="1">
        <v>377894</v>
      </c>
      <c r="J5106" s="1">
        <v>15730377</v>
      </c>
      <c r="K5106">
        <v>290</v>
      </c>
      <c r="L5106">
        <v>41.65</v>
      </c>
      <c r="M5106">
        <v>41.7</v>
      </c>
      <c r="N5106" s="1">
        <v>254765380</v>
      </c>
      <c r="O5106">
        <v>41.7</v>
      </c>
      <c r="P5106">
        <v>45.85</v>
      </c>
      <c r="Q5106">
        <v>37.549999999999997</v>
      </c>
    </row>
    <row r="5107" spans="1:17" x14ac:dyDescent="0.25">
      <c r="A5107">
        <v>8077</v>
      </c>
      <c r="B5107" t="s">
        <v>729</v>
      </c>
      <c r="C5107">
        <v>21.5</v>
      </c>
      <c r="D5107">
        <v>0.1</v>
      </c>
      <c r="E5107">
        <v>21.45</v>
      </c>
      <c r="F5107">
        <v>21.5</v>
      </c>
      <c r="G5107">
        <v>21.45</v>
      </c>
      <c r="H5107">
        <v>21.48</v>
      </c>
      <c r="I5107" s="1">
        <v>2000</v>
      </c>
      <c r="J5107" s="1">
        <v>42950</v>
      </c>
      <c r="K5107">
        <v>2</v>
      </c>
      <c r="L5107">
        <v>21.15</v>
      </c>
      <c r="M5107">
        <v>21.45</v>
      </c>
      <c r="N5107" s="1">
        <v>109728343</v>
      </c>
      <c r="O5107">
        <v>21.5</v>
      </c>
      <c r="P5107">
        <v>23.65</v>
      </c>
      <c r="Q5107">
        <v>19.350000000000001</v>
      </c>
    </row>
    <row r="5108" spans="1:17" x14ac:dyDescent="0.25">
      <c r="A5108">
        <v>8080</v>
      </c>
      <c r="B5108" t="s">
        <v>730</v>
      </c>
      <c r="C5108">
        <v>9.49</v>
      </c>
      <c r="D5108">
        <v>0.02</v>
      </c>
      <c r="E5108">
        <v>9.52</v>
      </c>
      <c r="F5108">
        <v>9.5299999999999994</v>
      </c>
      <c r="G5108">
        <v>9.3699999999999992</v>
      </c>
      <c r="H5108">
        <v>9.4600000000000009</v>
      </c>
      <c r="I5108" s="1">
        <v>173604</v>
      </c>
      <c r="J5108" s="1">
        <v>1642537</v>
      </c>
      <c r="K5108">
        <v>107</v>
      </c>
      <c r="L5108">
        <v>9.39</v>
      </c>
      <c r="M5108">
        <v>9.49</v>
      </c>
      <c r="N5108" s="1">
        <v>63991604</v>
      </c>
      <c r="O5108">
        <v>9.49</v>
      </c>
      <c r="P5108">
        <v>10.4</v>
      </c>
      <c r="Q5108">
        <v>8.5500000000000007</v>
      </c>
    </row>
    <row r="5109" spans="1:17" x14ac:dyDescent="0.25">
      <c r="A5109">
        <v>8083</v>
      </c>
      <c r="B5109" t="s">
        <v>731</v>
      </c>
      <c r="C5109">
        <v>140</v>
      </c>
      <c r="D5109">
        <v>1</v>
      </c>
      <c r="E5109">
        <v>140</v>
      </c>
      <c r="F5109">
        <v>140</v>
      </c>
      <c r="G5109">
        <v>138</v>
      </c>
      <c r="H5109">
        <v>138.68</v>
      </c>
      <c r="I5109" s="1">
        <v>45000</v>
      </c>
      <c r="J5109" s="1">
        <v>6240500</v>
      </c>
      <c r="K5109">
        <v>32</v>
      </c>
      <c r="L5109">
        <v>139.5</v>
      </c>
      <c r="M5109">
        <v>140</v>
      </c>
      <c r="N5109" s="1">
        <v>35133193</v>
      </c>
      <c r="O5109">
        <v>140</v>
      </c>
      <c r="P5109">
        <v>154</v>
      </c>
      <c r="Q5109">
        <v>126</v>
      </c>
    </row>
    <row r="5110" spans="1:17" x14ac:dyDescent="0.25">
      <c r="A5110">
        <v>8084</v>
      </c>
      <c r="B5110" t="s">
        <v>732</v>
      </c>
      <c r="C5110">
        <v>39</v>
      </c>
      <c r="D5110">
        <v>0</v>
      </c>
      <c r="E5110">
        <v>39</v>
      </c>
      <c r="F5110">
        <v>40</v>
      </c>
      <c r="G5110">
        <v>39</v>
      </c>
      <c r="H5110">
        <v>39.270000000000003</v>
      </c>
      <c r="I5110" s="1">
        <v>56188</v>
      </c>
      <c r="J5110" s="1">
        <v>2206241</v>
      </c>
      <c r="K5110">
        <v>41</v>
      </c>
      <c r="L5110">
        <v>39</v>
      </c>
      <c r="M5110">
        <v>39.549999999999997</v>
      </c>
      <c r="N5110" s="1">
        <v>53936544</v>
      </c>
      <c r="O5110">
        <v>39</v>
      </c>
      <c r="P5110">
        <v>42.9</v>
      </c>
      <c r="Q5110">
        <v>35.1</v>
      </c>
    </row>
    <row r="5111" spans="1:17" x14ac:dyDescent="0.25">
      <c r="A5111">
        <v>8085</v>
      </c>
      <c r="B5111" t="s">
        <v>733</v>
      </c>
      <c r="C5111">
        <v>5.3</v>
      </c>
      <c r="D5111">
        <v>-0.03</v>
      </c>
      <c r="E5111">
        <v>5.3</v>
      </c>
      <c r="F5111">
        <v>5.33</v>
      </c>
      <c r="G5111">
        <v>5.28</v>
      </c>
      <c r="H5111">
        <v>5.29</v>
      </c>
      <c r="I5111" s="1">
        <v>144205</v>
      </c>
      <c r="J5111" s="1">
        <v>762793</v>
      </c>
      <c r="K5111">
        <v>55</v>
      </c>
      <c r="L5111">
        <v>5.3</v>
      </c>
      <c r="M5111">
        <v>5.32</v>
      </c>
      <c r="N5111" s="1">
        <v>157257242</v>
      </c>
      <c r="O5111">
        <v>5.3</v>
      </c>
      <c r="P5111">
        <v>5.83</v>
      </c>
      <c r="Q5111">
        <v>4.7699999999999996</v>
      </c>
    </row>
    <row r="5112" spans="1:17" x14ac:dyDescent="0.25">
      <c r="A5112">
        <v>8086</v>
      </c>
      <c r="B5112" t="s">
        <v>734</v>
      </c>
      <c r="C5112">
        <v>68.2</v>
      </c>
      <c r="D5112">
        <v>0</v>
      </c>
      <c r="E5112">
        <v>68.5</v>
      </c>
      <c r="F5112">
        <v>68.599999999999994</v>
      </c>
      <c r="G5112">
        <v>66.8</v>
      </c>
      <c r="H5112">
        <v>67.790000000000006</v>
      </c>
      <c r="I5112" s="1">
        <v>5201190</v>
      </c>
      <c r="J5112" s="1">
        <v>352568953</v>
      </c>
      <c r="K5112" s="1">
        <v>3611</v>
      </c>
      <c r="L5112">
        <v>68.099999999999994</v>
      </c>
      <c r="M5112">
        <v>68.2</v>
      </c>
      <c r="N5112" s="1">
        <v>143829623</v>
      </c>
      <c r="O5112">
        <v>68.2</v>
      </c>
      <c r="P5112">
        <v>75</v>
      </c>
      <c r="Q5112">
        <v>61.4</v>
      </c>
    </row>
    <row r="5113" spans="1:17" x14ac:dyDescent="0.25">
      <c r="A5113">
        <v>8087</v>
      </c>
      <c r="B5113" t="s">
        <v>735</v>
      </c>
      <c r="C5113">
        <v>9.76</v>
      </c>
      <c r="D5113">
        <v>0.13</v>
      </c>
      <c r="E5113">
        <v>9.6</v>
      </c>
      <c r="F5113">
        <v>9.99</v>
      </c>
      <c r="G5113">
        <v>9.51</v>
      </c>
      <c r="H5113">
        <v>9.66</v>
      </c>
      <c r="I5113" s="1">
        <v>65002</v>
      </c>
      <c r="J5113" s="1">
        <v>627818</v>
      </c>
      <c r="K5113">
        <v>40</v>
      </c>
      <c r="L5113">
        <v>9.57</v>
      </c>
      <c r="M5113">
        <v>9.76</v>
      </c>
      <c r="N5113" s="1">
        <v>29868965</v>
      </c>
      <c r="O5113">
        <v>9.76</v>
      </c>
      <c r="P5113">
        <v>10.7</v>
      </c>
      <c r="Q5113">
        <v>8.7899999999999991</v>
      </c>
    </row>
    <row r="5114" spans="1:17" x14ac:dyDescent="0.25">
      <c r="A5114">
        <v>8088</v>
      </c>
      <c r="B5114" t="s">
        <v>736</v>
      </c>
      <c r="C5114">
        <v>17.8</v>
      </c>
      <c r="D5114">
        <v>0</v>
      </c>
      <c r="E5114">
        <v>17.850000000000001</v>
      </c>
      <c r="F5114">
        <v>18.05</v>
      </c>
      <c r="G5114">
        <v>17.8</v>
      </c>
      <c r="H5114">
        <v>17.88</v>
      </c>
      <c r="I5114" s="1">
        <v>152117</v>
      </c>
      <c r="J5114" s="1">
        <v>2719984</v>
      </c>
      <c r="K5114">
        <v>111</v>
      </c>
      <c r="L5114">
        <v>17.8</v>
      </c>
      <c r="M5114">
        <v>18</v>
      </c>
      <c r="N5114" s="1">
        <v>60921749</v>
      </c>
      <c r="O5114">
        <v>17.8</v>
      </c>
      <c r="P5114">
        <v>19.55</v>
      </c>
      <c r="Q5114">
        <v>16.05</v>
      </c>
    </row>
    <row r="5115" spans="1:17" x14ac:dyDescent="0.25">
      <c r="A5115">
        <v>8091</v>
      </c>
      <c r="B5115" t="s">
        <v>737</v>
      </c>
      <c r="C5115">
        <v>116.5</v>
      </c>
      <c r="D5115">
        <v>-2</v>
      </c>
      <c r="E5115">
        <v>116</v>
      </c>
      <c r="F5115">
        <v>121</v>
      </c>
      <c r="G5115">
        <v>114</v>
      </c>
      <c r="H5115">
        <v>117.2</v>
      </c>
      <c r="I5115" s="1">
        <v>436160</v>
      </c>
      <c r="J5115" s="1">
        <v>51118632</v>
      </c>
      <c r="K5115">
        <v>408</v>
      </c>
      <c r="L5115">
        <v>116</v>
      </c>
      <c r="M5115">
        <v>116.5</v>
      </c>
      <c r="N5115" s="1">
        <v>42476114</v>
      </c>
      <c r="O5115">
        <v>116.5</v>
      </c>
      <c r="P5115">
        <v>128</v>
      </c>
      <c r="Q5115">
        <v>105</v>
      </c>
    </row>
    <row r="5116" spans="1:17" x14ac:dyDescent="0.25">
      <c r="A5116">
        <v>8092</v>
      </c>
      <c r="B5116" t="s">
        <v>738</v>
      </c>
      <c r="C5116">
        <v>8.19</v>
      </c>
      <c r="D5116">
        <v>0.16</v>
      </c>
      <c r="E5116">
        <v>8.0500000000000007</v>
      </c>
      <c r="F5116">
        <v>8.27</v>
      </c>
      <c r="G5116">
        <v>8.02</v>
      </c>
      <c r="H5116">
        <v>8.15</v>
      </c>
      <c r="I5116" s="1">
        <v>56000</v>
      </c>
      <c r="J5116" s="1">
        <v>456290</v>
      </c>
      <c r="K5116">
        <v>24</v>
      </c>
      <c r="L5116">
        <v>8.06</v>
      </c>
      <c r="M5116">
        <v>8.19</v>
      </c>
      <c r="N5116" s="1">
        <v>38850616</v>
      </c>
      <c r="O5116">
        <v>8.19</v>
      </c>
      <c r="P5116">
        <v>9</v>
      </c>
      <c r="Q5116">
        <v>7.38</v>
      </c>
    </row>
    <row r="5117" spans="1:17" x14ac:dyDescent="0.25">
      <c r="A5117">
        <v>8093</v>
      </c>
      <c r="B5117" t="s">
        <v>739</v>
      </c>
      <c r="C5117">
        <v>6.9</v>
      </c>
      <c r="D5117">
        <v>0.06</v>
      </c>
      <c r="E5117">
        <v>6.59</v>
      </c>
      <c r="F5117">
        <v>6.9</v>
      </c>
      <c r="G5117">
        <v>6.59</v>
      </c>
      <c r="H5117">
        <v>6.79</v>
      </c>
      <c r="I5117" s="1">
        <v>7100</v>
      </c>
      <c r="J5117" s="1">
        <v>48240</v>
      </c>
      <c r="K5117">
        <v>6</v>
      </c>
      <c r="L5117">
        <v>6.9</v>
      </c>
      <c r="M5117">
        <v>6.96</v>
      </c>
      <c r="N5117" s="1">
        <v>64208493</v>
      </c>
      <c r="O5117">
        <v>6.9</v>
      </c>
      <c r="P5117">
        <v>7.59</v>
      </c>
      <c r="Q5117">
        <v>6.21</v>
      </c>
    </row>
    <row r="5118" spans="1:17" x14ac:dyDescent="0.25">
      <c r="A5118">
        <v>8096</v>
      </c>
      <c r="B5118" t="s">
        <v>740</v>
      </c>
      <c r="C5118">
        <v>15</v>
      </c>
      <c r="D5118">
        <v>-0.1</v>
      </c>
      <c r="E5118">
        <v>15.2</v>
      </c>
      <c r="F5118">
        <v>15.2</v>
      </c>
      <c r="G5118">
        <v>15</v>
      </c>
      <c r="H5118">
        <v>15.05</v>
      </c>
      <c r="I5118" s="1">
        <v>329843</v>
      </c>
      <c r="J5118" s="1">
        <v>4964354</v>
      </c>
      <c r="K5118">
        <v>175</v>
      </c>
      <c r="L5118">
        <v>15</v>
      </c>
      <c r="M5118">
        <v>15.05</v>
      </c>
      <c r="N5118" s="1">
        <v>139623950</v>
      </c>
      <c r="O5118">
        <v>15</v>
      </c>
      <c r="P5118">
        <v>16.5</v>
      </c>
      <c r="Q5118">
        <v>13.5</v>
      </c>
    </row>
    <row r="5119" spans="1:17" x14ac:dyDescent="0.25">
      <c r="A5119">
        <v>8097</v>
      </c>
      <c r="B5119" t="s">
        <v>741</v>
      </c>
      <c r="C5119" t="s">
        <v>78</v>
      </c>
      <c r="D5119" t="s">
        <v>78</v>
      </c>
      <c r="E5119" t="s">
        <v>78</v>
      </c>
      <c r="F5119" t="s">
        <v>78</v>
      </c>
      <c r="G5119" t="s">
        <v>78</v>
      </c>
      <c r="H5119">
        <v>10</v>
      </c>
      <c r="I5119" s="1">
        <v>1</v>
      </c>
      <c r="J5119" s="1">
        <v>10</v>
      </c>
      <c r="K5119">
        <v>1</v>
      </c>
      <c r="L5119">
        <v>10.85</v>
      </c>
      <c r="M5119">
        <v>10.95</v>
      </c>
      <c r="N5119" s="1">
        <v>26674306</v>
      </c>
      <c r="O5119">
        <v>10.95</v>
      </c>
      <c r="P5119">
        <v>12</v>
      </c>
      <c r="Q5119">
        <v>9.86</v>
      </c>
    </row>
    <row r="5120" spans="1:17" x14ac:dyDescent="0.25">
      <c r="A5120">
        <v>8099</v>
      </c>
      <c r="B5120" t="s">
        <v>742</v>
      </c>
      <c r="C5120">
        <v>20.8</v>
      </c>
      <c r="D5120">
        <v>0</v>
      </c>
      <c r="E5120">
        <v>20.85</v>
      </c>
      <c r="F5120">
        <v>20.85</v>
      </c>
      <c r="G5120">
        <v>20.7</v>
      </c>
      <c r="H5120">
        <v>20.74</v>
      </c>
      <c r="I5120" s="1">
        <v>72050</v>
      </c>
      <c r="J5120" s="1">
        <v>1494600</v>
      </c>
      <c r="K5120">
        <v>37</v>
      </c>
      <c r="L5120">
        <v>20.8</v>
      </c>
      <c r="M5120">
        <v>20.9</v>
      </c>
      <c r="N5120" s="1">
        <v>67200000</v>
      </c>
      <c r="O5120">
        <v>20.8</v>
      </c>
      <c r="P5120">
        <v>22.85</v>
      </c>
      <c r="Q5120">
        <v>18.75</v>
      </c>
    </row>
    <row r="5121" spans="1:17" x14ac:dyDescent="0.25">
      <c r="A5121">
        <v>8107</v>
      </c>
      <c r="B5121" t="s">
        <v>6400</v>
      </c>
      <c r="C5121">
        <v>39.799999999999997</v>
      </c>
      <c r="D5121">
        <v>0.05</v>
      </c>
      <c r="E5121">
        <v>40</v>
      </c>
      <c r="F5121">
        <v>40.450000000000003</v>
      </c>
      <c r="G5121">
        <v>39.200000000000003</v>
      </c>
      <c r="H5121">
        <v>39.86</v>
      </c>
      <c r="I5121" s="1">
        <v>200070</v>
      </c>
      <c r="J5121" s="1">
        <v>7973916</v>
      </c>
      <c r="K5121">
        <v>139</v>
      </c>
      <c r="L5121">
        <v>39.799999999999997</v>
      </c>
      <c r="M5121">
        <v>39.9</v>
      </c>
      <c r="N5121" s="1">
        <v>75000000</v>
      </c>
      <c r="O5121">
        <v>39.799999999999997</v>
      </c>
      <c r="P5121">
        <v>43.75</v>
      </c>
      <c r="Q5121">
        <v>35.85</v>
      </c>
    </row>
    <row r="5122" spans="1:17" x14ac:dyDescent="0.25">
      <c r="A5122">
        <v>8109</v>
      </c>
      <c r="B5122" t="s">
        <v>744</v>
      </c>
      <c r="C5122">
        <v>67</v>
      </c>
      <c r="D5122">
        <v>-0.1</v>
      </c>
      <c r="E5122">
        <v>67</v>
      </c>
      <c r="F5122">
        <v>67.2</v>
      </c>
      <c r="G5122">
        <v>66.8</v>
      </c>
      <c r="H5122">
        <v>66.97</v>
      </c>
      <c r="I5122" s="1">
        <v>67724</v>
      </c>
      <c r="J5122" s="1">
        <v>4535208</v>
      </c>
      <c r="K5122">
        <v>34</v>
      </c>
      <c r="L5122">
        <v>66.900000000000006</v>
      </c>
      <c r="M5122">
        <v>67.2</v>
      </c>
      <c r="N5122" s="1">
        <v>66008549</v>
      </c>
      <c r="O5122">
        <v>67</v>
      </c>
      <c r="P5122">
        <v>73.7</v>
      </c>
      <c r="Q5122">
        <v>60.3</v>
      </c>
    </row>
    <row r="5123" spans="1:17" x14ac:dyDescent="0.25">
      <c r="A5123">
        <v>8111</v>
      </c>
      <c r="B5123" t="s">
        <v>745</v>
      </c>
      <c r="C5123">
        <v>9.5</v>
      </c>
      <c r="D5123">
        <v>-0.09</v>
      </c>
      <c r="E5123">
        <v>9.6</v>
      </c>
      <c r="F5123">
        <v>9.6</v>
      </c>
      <c r="G5123">
        <v>9.49</v>
      </c>
      <c r="H5123">
        <v>9.52</v>
      </c>
      <c r="I5123" s="1">
        <v>156189</v>
      </c>
      <c r="J5123" s="1">
        <v>1487622</v>
      </c>
      <c r="K5123">
        <v>74</v>
      </c>
      <c r="L5123">
        <v>9.5</v>
      </c>
      <c r="M5123">
        <v>9.5399999999999991</v>
      </c>
      <c r="N5123" s="1">
        <v>117102223</v>
      </c>
      <c r="O5123">
        <v>9.5</v>
      </c>
      <c r="P5123">
        <v>10.45</v>
      </c>
      <c r="Q5123">
        <v>8.5500000000000007</v>
      </c>
    </row>
    <row r="5124" spans="1:17" x14ac:dyDescent="0.25">
      <c r="A5124">
        <v>8121</v>
      </c>
      <c r="B5124" t="s">
        <v>746</v>
      </c>
      <c r="C5124">
        <v>18.399999999999999</v>
      </c>
      <c r="D5124">
        <v>0.05</v>
      </c>
      <c r="E5124">
        <v>18.399999999999999</v>
      </c>
      <c r="F5124">
        <v>18.649999999999999</v>
      </c>
      <c r="G5124">
        <v>18.25</v>
      </c>
      <c r="H5124">
        <v>18.41</v>
      </c>
      <c r="I5124" s="1">
        <v>328951</v>
      </c>
      <c r="J5124" s="1">
        <v>6055990</v>
      </c>
      <c r="K5124">
        <v>197</v>
      </c>
      <c r="L5124">
        <v>18.399999999999999</v>
      </c>
      <c r="M5124">
        <v>18.5</v>
      </c>
      <c r="N5124" s="1">
        <v>182422743</v>
      </c>
      <c r="O5124">
        <v>18.399999999999999</v>
      </c>
      <c r="P5124">
        <v>20.2</v>
      </c>
      <c r="Q5124">
        <v>16.600000000000001</v>
      </c>
    </row>
    <row r="5125" spans="1:17" x14ac:dyDescent="0.25">
      <c r="A5125">
        <v>8147</v>
      </c>
      <c r="B5125" t="s">
        <v>747</v>
      </c>
      <c r="C5125">
        <v>34.799999999999997</v>
      </c>
      <c r="D5125">
        <v>0.25</v>
      </c>
      <c r="E5125">
        <v>34.9</v>
      </c>
      <c r="F5125">
        <v>34.9</v>
      </c>
      <c r="G5125">
        <v>34.4</v>
      </c>
      <c r="H5125">
        <v>34.56</v>
      </c>
      <c r="I5125" s="1">
        <v>30000</v>
      </c>
      <c r="J5125" s="1">
        <v>1036700</v>
      </c>
      <c r="K5125">
        <v>19</v>
      </c>
      <c r="L5125">
        <v>34.4</v>
      </c>
      <c r="M5125">
        <v>34.85</v>
      </c>
      <c r="N5125" s="1">
        <v>24887730</v>
      </c>
      <c r="O5125">
        <v>34.799999999999997</v>
      </c>
      <c r="P5125">
        <v>38.25</v>
      </c>
      <c r="Q5125">
        <v>31.35</v>
      </c>
    </row>
    <row r="5126" spans="1:17" x14ac:dyDescent="0.25">
      <c r="A5126">
        <v>8155</v>
      </c>
      <c r="B5126" t="s">
        <v>748</v>
      </c>
      <c r="C5126">
        <v>79</v>
      </c>
      <c r="D5126">
        <v>1</v>
      </c>
      <c r="E5126">
        <v>79.599999999999994</v>
      </c>
      <c r="F5126">
        <v>80</v>
      </c>
      <c r="G5126">
        <v>78.5</v>
      </c>
      <c r="H5126">
        <v>79.150000000000006</v>
      </c>
      <c r="I5126" s="1">
        <v>631500</v>
      </c>
      <c r="J5126" s="1">
        <v>49980100</v>
      </c>
      <c r="K5126">
        <v>402</v>
      </c>
      <c r="L5126">
        <v>78.900000000000006</v>
      </c>
      <c r="M5126">
        <v>79</v>
      </c>
      <c r="N5126" s="1">
        <v>49756000</v>
      </c>
      <c r="O5126">
        <v>79</v>
      </c>
      <c r="P5126">
        <v>86.9</v>
      </c>
      <c r="Q5126">
        <v>71.099999999999994</v>
      </c>
    </row>
    <row r="5127" spans="1:17" x14ac:dyDescent="0.25">
      <c r="A5127">
        <v>8171</v>
      </c>
      <c r="B5127" t="s">
        <v>749</v>
      </c>
      <c r="C5127">
        <v>17.45</v>
      </c>
      <c r="D5127">
        <v>-0.75</v>
      </c>
      <c r="E5127">
        <v>18.75</v>
      </c>
      <c r="F5127">
        <v>18.75</v>
      </c>
      <c r="G5127">
        <v>17.45</v>
      </c>
      <c r="H5127">
        <v>17.87</v>
      </c>
      <c r="I5127" s="1">
        <v>1416509</v>
      </c>
      <c r="J5127" s="1">
        <v>25314854</v>
      </c>
      <c r="K5127">
        <v>480</v>
      </c>
      <c r="L5127">
        <v>17.45</v>
      </c>
      <c r="M5127">
        <v>17.5</v>
      </c>
      <c r="N5127" s="1">
        <v>51493230</v>
      </c>
      <c r="O5127">
        <v>17.45</v>
      </c>
      <c r="P5127">
        <v>19.149999999999999</v>
      </c>
      <c r="Q5127">
        <v>15.75</v>
      </c>
    </row>
    <row r="5128" spans="1:17" x14ac:dyDescent="0.25">
      <c r="A5128">
        <v>8176</v>
      </c>
      <c r="B5128" t="s">
        <v>750</v>
      </c>
      <c r="C5128">
        <v>17.350000000000001</v>
      </c>
      <c r="D5128">
        <v>-0.25</v>
      </c>
      <c r="E5128">
        <v>17.850000000000001</v>
      </c>
      <c r="F5128">
        <v>18.05</v>
      </c>
      <c r="G5128">
        <v>17.100000000000001</v>
      </c>
      <c r="H5128">
        <v>17.54</v>
      </c>
      <c r="I5128" s="1">
        <v>2185136</v>
      </c>
      <c r="J5128" s="1">
        <v>38317876</v>
      </c>
      <c r="K5128">
        <v>986</v>
      </c>
      <c r="L5128">
        <v>17.350000000000001</v>
      </c>
      <c r="M5128">
        <v>17.399999999999999</v>
      </c>
      <c r="N5128" s="1">
        <v>72500000</v>
      </c>
      <c r="O5128">
        <v>17.350000000000001</v>
      </c>
      <c r="P5128">
        <v>19.05</v>
      </c>
      <c r="Q5128">
        <v>15.65</v>
      </c>
    </row>
    <row r="5129" spans="1:17" x14ac:dyDescent="0.25">
      <c r="A5129">
        <v>8182</v>
      </c>
      <c r="B5129" t="s">
        <v>751</v>
      </c>
      <c r="C5129">
        <v>19.399999999999999</v>
      </c>
      <c r="D5129">
        <v>0</v>
      </c>
      <c r="E5129">
        <v>19.3</v>
      </c>
      <c r="F5129">
        <v>19.399999999999999</v>
      </c>
      <c r="G5129">
        <v>19.149999999999999</v>
      </c>
      <c r="H5129">
        <v>19.28</v>
      </c>
      <c r="I5129" s="1">
        <v>206000</v>
      </c>
      <c r="J5129" s="1">
        <v>3971900</v>
      </c>
      <c r="K5129">
        <v>73</v>
      </c>
      <c r="L5129">
        <v>19.350000000000001</v>
      </c>
      <c r="M5129">
        <v>19.399999999999999</v>
      </c>
      <c r="N5129" s="1">
        <v>107041215</v>
      </c>
      <c r="O5129">
        <v>19.399999999999999</v>
      </c>
      <c r="P5129">
        <v>21.3</v>
      </c>
      <c r="Q5129">
        <v>17.5</v>
      </c>
    </row>
    <row r="5130" spans="1:17" x14ac:dyDescent="0.25">
      <c r="A5130">
        <v>8183</v>
      </c>
      <c r="B5130" t="s">
        <v>752</v>
      </c>
      <c r="C5130">
        <v>23.4</v>
      </c>
      <c r="D5130">
        <v>0.2</v>
      </c>
      <c r="E5130">
        <v>23.6</v>
      </c>
      <c r="F5130">
        <v>23.8</v>
      </c>
      <c r="G5130">
        <v>23.2</v>
      </c>
      <c r="H5130">
        <v>23.38</v>
      </c>
      <c r="I5130" s="1">
        <v>993263</v>
      </c>
      <c r="J5130" s="1">
        <v>23223423</v>
      </c>
      <c r="K5130">
        <v>591</v>
      </c>
      <c r="L5130">
        <v>23.35</v>
      </c>
      <c r="M5130">
        <v>23.4</v>
      </c>
      <c r="N5130" s="1">
        <v>121251068</v>
      </c>
      <c r="O5130">
        <v>23.4</v>
      </c>
      <c r="P5130">
        <v>25.7</v>
      </c>
      <c r="Q5130">
        <v>21.1</v>
      </c>
    </row>
    <row r="5131" spans="1:17" x14ac:dyDescent="0.25">
      <c r="A5131">
        <v>8234</v>
      </c>
      <c r="B5131" t="s">
        <v>753</v>
      </c>
      <c r="C5131">
        <v>32.75</v>
      </c>
      <c r="D5131">
        <v>-0.2</v>
      </c>
      <c r="E5131">
        <v>33.049999999999997</v>
      </c>
      <c r="F5131">
        <v>33.1</v>
      </c>
      <c r="G5131">
        <v>32.299999999999997</v>
      </c>
      <c r="H5131">
        <v>32.64</v>
      </c>
      <c r="I5131" s="1">
        <v>1174327</v>
      </c>
      <c r="J5131" s="1">
        <v>38330687</v>
      </c>
      <c r="K5131">
        <v>638</v>
      </c>
      <c r="L5131">
        <v>32.700000000000003</v>
      </c>
      <c r="M5131">
        <v>32.75</v>
      </c>
      <c r="N5131" s="1">
        <v>141226472</v>
      </c>
      <c r="O5131">
        <v>32.75</v>
      </c>
      <c r="P5131">
        <v>36</v>
      </c>
      <c r="Q5131">
        <v>29.5</v>
      </c>
    </row>
    <row r="5132" spans="1:17" x14ac:dyDescent="0.25">
      <c r="A5132">
        <v>8240</v>
      </c>
      <c r="B5132" t="s">
        <v>754</v>
      </c>
      <c r="C5132">
        <v>20.149999999999999</v>
      </c>
      <c r="D5132">
        <v>-0.95</v>
      </c>
      <c r="E5132">
        <v>21.4</v>
      </c>
      <c r="F5132">
        <v>21.4</v>
      </c>
      <c r="G5132">
        <v>20.05</v>
      </c>
      <c r="H5132">
        <v>20.57</v>
      </c>
      <c r="I5132" s="1">
        <v>341407</v>
      </c>
      <c r="J5132" s="1">
        <v>7021050</v>
      </c>
      <c r="K5132">
        <v>233</v>
      </c>
      <c r="L5132">
        <v>20.149999999999999</v>
      </c>
      <c r="M5132">
        <v>20.2</v>
      </c>
      <c r="N5132" s="1">
        <v>100004414</v>
      </c>
      <c r="O5132">
        <v>20.149999999999999</v>
      </c>
      <c r="P5132">
        <v>22.15</v>
      </c>
      <c r="Q5132">
        <v>18.149999999999999</v>
      </c>
    </row>
    <row r="5133" spans="1:17" x14ac:dyDescent="0.25">
      <c r="A5133">
        <v>8255</v>
      </c>
      <c r="B5133" t="s">
        <v>755</v>
      </c>
      <c r="C5133">
        <v>115.5</v>
      </c>
      <c r="D5133">
        <v>2.5</v>
      </c>
      <c r="E5133">
        <v>114</v>
      </c>
      <c r="F5133">
        <v>116</v>
      </c>
      <c r="G5133">
        <v>113.5</v>
      </c>
      <c r="H5133">
        <v>114.64</v>
      </c>
      <c r="I5133" s="1">
        <v>277902</v>
      </c>
      <c r="J5133" s="1">
        <v>31859230</v>
      </c>
      <c r="K5133">
        <v>207</v>
      </c>
      <c r="L5133">
        <v>115</v>
      </c>
      <c r="M5133">
        <v>115.5</v>
      </c>
      <c r="N5133" s="1">
        <v>74865000</v>
      </c>
      <c r="O5133">
        <v>115.5</v>
      </c>
      <c r="P5133">
        <v>127</v>
      </c>
      <c r="Q5133">
        <v>104</v>
      </c>
    </row>
    <row r="5134" spans="1:17" x14ac:dyDescent="0.25">
      <c r="A5134">
        <v>8277</v>
      </c>
      <c r="B5134" t="s">
        <v>756</v>
      </c>
      <c r="C5134">
        <v>8.91</v>
      </c>
      <c r="D5134">
        <v>-0.09</v>
      </c>
      <c r="E5134">
        <v>9</v>
      </c>
      <c r="F5134">
        <v>9.07</v>
      </c>
      <c r="G5134">
        <v>8.91</v>
      </c>
      <c r="H5134">
        <v>9</v>
      </c>
      <c r="I5134" s="1">
        <v>83012</v>
      </c>
      <c r="J5134" s="1">
        <v>747270</v>
      </c>
      <c r="K5134">
        <v>43</v>
      </c>
      <c r="L5134">
        <v>8.91</v>
      </c>
      <c r="M5134">
        <v>9.01</v>
      </c>
      <c r="N5134" s="1">
        <v>91628833</v>
      </c>
      <c r="O5134">
        <v>8.91</v>
      </c>
      <c r="P5134">
        <v>9.8000000000000007</v>
      </c>
      <c r="Q5134">
        <v>8.02</v>
      </c>
    </row>
    <row r="5135" spans="1:17" x14ac:dyDescent="0.25">
      <c r="A5135">
        <v>8279</v>
      </c>
      <c r="B5135" t="s">
        <v>757</v>
      </c>
      <c r="C5135">
        <v>153.5</v>
      </c>
      <c r="D5135">
        <v>1</v>
      </c>
      <c r="E5135">
        <v>150</v>
      </c>
      <c r="F5135">
        <v>153.5</v>
      </c>
      <c r="G5135">
        <v>150</v>
      </c>
      <c r="H5135">
        <v>152.07</v>
      </c>
      <c r="I5135" s="1">
        <v>84132</v>
      </c>
      <c r="J5135" s="1">
        <v>12793828</v>
      </c>
      <c r="K5135">
        <v>73</v>
      </c>
      <c r="L5135">
        <v>152</v>
      </c>
      <c r="M5135">
        <v>154</v>
      </c>
      <c r="N5135" s="1">
        <v>21000774</v>
      </c>
      <c r="O5135">
        <v>153.5</v>
      </c>
      <c r="P5135">
        <v>168.5</v>
      </c>
      <c r="Q5135">
        <v>138.5</v>
      </c>
    </row>
    <row r="5136" spans="1:17" x14ac:dyDescent="0.25">
      <c r="A5136">
        <v>8287</v>
      </c>
      <c r="B5136" t="s">
        <v>758</v>
      </c>
      <c r="C5136">
        <v>7.29</v>
      </c>
      <c r="D5136">
        <v>0.28000000000000003</v>
      </c>
      <c r="E5136">
        <v>7.05</v>
      </c>
      <c r="F5136">
        <v>7.32</v>
      </c>
      <c r="G5136">
        <v>7.05</v>
      </c>
      <c r="H5136">
        <v>7.21</v>
      </c>
      <c r="I5136" s="1">
        <v>636384</v>
      </c>
      <c r="J5136" s="1">
        <v>4586243</v>
      </c>
      <c r="K5136">
        <v>200</v>
      </c>
      <c r="L5136">
        <v>7.28</v>
      </c>
      <c r="M5136">
        <v>7.29</v>
      </c>
      <c r="N5136" s="1">
        <v>145621349</v>
      </c>
      <c r="O5136">
        <v>7.29</v>
      </c>
      <c r="P5136">
        <v>8.01</v>
      </c>
      <c r="Q5136">
        <v>6.57</v>
      </c>
    </row>
    <row r="5137" spans="1:17" x14ac:dyDescent="0.25">
      <c r="A5137">
        <v>8289</v>
      </c>
      <c r="B5137" t="s">
        <v>759</v>
      </c>
      <c r="C5137">
        <v>11.05</v>
      </c>
      <c r="D5137">
        <v>-0.05</v>
      </c>
      <c r="E5137">
        <v>11.2</v>
      </c>
      <c r="F5137">
        <v>11.2</v>
      </c>
      <c r="G5137">
        <v>11</v>
      </c>
      <c r="H5137">
        <v>11.09</v>
      </c>
      <c r="I5137" s="1">
        <v>67413</v>
      </c>
      <c r="J5137" s="1">
        <v>747422</v>
      </c>
      <c r="K5137">
        <v>39</v>
      </c>
      <c r="L5137">
        <v>11</v>
      </c>
      <c r="M5137">
        <v>11.05</v>
      </c>
      <c r="N5137" s="1">
        <v>76946405</v>
      </c>
      <c r="O5137">
        <v>11.05</v>
      </c>
      <c r="P5137">
        <v>12.15</v>
      </c>
      <c r="Q5137">
        <v>9.9499999999999993</v>
      </c>
    </row>
    <row r="5138" spans="1:17" x14ac:dyDescent="0.25">
      <c r="A5138">
        <v>8291</v>
      </c>
      <c r="B5138" t="s">
        <v>760</v>
      </c>
      <c r="C5138">
        <v>6.36</v>
      </c>
      <c r="D5138">
        <v>0.01</v>
      </c>
      <c r="E5138">
        <v>6.4</v>
      </c>
      <c r="F5138">
        <v>6.4</v>
      </c>
      <c r="G5138">
        <v>6.36</v>
      </c>
      <c r="H5138">
        <v>6.36</v>
      </c>
      <c r="I5138" s="1">
        <v>11006</v>
      </c>
      <c r="J5138" s="1">
        <v>70036</v>
      </c>
      <c r="K5138">
        <v>6</v>
      </c>
      <c r="L5138">
        <v>6.36</v>
      </c>
      <c r="M5138">
        <v>6.39</v>
      </c>
      <c r="N5138" s="1">
        <v>76024000</v>
      </c>
      <c r="O5138">
        <v>6.36</v>
      </c>
      <c r="P5138">
        <v>6.99</v>
      </c>
      <c r="Q5138">
        <v>5.73</v>
      </c>
    </row>
    <row r="5139" spans="1:17" x14ac:dyDescent="0.25">
      <c r="A5139">
        <v>8299</v>
      </c>
      <c r="B5139" t="s">
        <v>761</v>
      </c>
      <c r="C5139">
        <v>292</v>
      </c>
      <c r="D5139">
        <v>-1.5</v>
      </c>
      <c r="E5139">
        <v>293</v>
      </c>
      <c r="F5139">
        <v>294</v>
      </c>
      <c r="G5139">
        <v>291</v>
      </c>
      <c r="H5139">
        <v>292.24</v>
      </c>
      <c r="I5139" s="1">
        <v>652302</v>
      </c>
      <c r="J5139" s="1">
        <v>190628788</v>
      </c>
      <c r="K5139">
        <v>573</v>
      </c>
      <c r="L5139">
        <v>291.5</v>
      </c>
      <c r="M5139">
        <v>292</v>
      </c>
      <c r="N5139" s="1">
        <v>197073993</v>
      </c>
      <c r="O5139">
        <v>292</v>
      </c>
      <c r="P5139">
        <v>321</v>
      </c>
      <c r="Q5139">
        <v>263</v>
      </c>
    </row>
    <row r="5140" spans="1:17" x14ac:dyDescent="0.25">
      <c r="A5140">
        <v>8342</v>
      </c>
      <c r="B5140" t="s">
        <v>6401</v>
      </c>
      <c r="C5140">
        <v>42.85</v>
      </c>
      <c r="D5140">
        <v>0.05</v>
      </c>
      <c r="E5140">
        <v>43</v>
      </c>
      <c r="F5140">
        <v>43</v>
      </c>
      <c r="G5140">
        <v>42.8</v>
      </c>
      <c r="H5140">
        <v>42.88</v>
      </c>
      <c r="I5140" s="1">
        <v>21200</v>
      </c>
      <c r="J5140" s="1">
        <v>909118</v>
      </c>
      <c r="K5140">
        <v>18</v>
      </c>
      <c r="L5140">
        <v>42.85</v>
      </c>
      <c r="M5140">
        <v>42.95</v>
      </c>
      <c r="N5140" s="1">
        <v>33042692</v>
      </c>
      <c r="O5140">
        <v>42.85</v>
      </c>
      <c r="P5140">
        <v>47.1</v>
      </c>
      <c r="Q5140">
        <v>38.6</v>
      </c>
    </row>
    <row r="5141" spans="1:17" x14ac:dyDescent="0.25">
      <c r="A5141">
        <v>8349</v>
      </c>
      <c r="B5141" t="s">
        <v>762</v>
      </c>
      <c r="C5141">
        <v>110</v>
      </c>
      <c r="D5141">
        <v>1</v>
      </c>
      <c r="E5141">
        <v>110.5</v>
      </c>
      <c r="F5141">
        <v>111</v>
      </c>
      <c r="G5141">
        <v>109</v>
      </c>
      <c r="H5141">
        <v>109.84</v>
      </c>
      <c r="I5141" s="1">
        <v>181016</v>
      </c>
      <c r="J5141" s="1">
        <v>19882760</v>
      </c>
      <c r="K5141">
        <v>168</v>
      </c>
      <c r="L5141">
        <v>109.5</v>
      </c>
      <c r="M5141">
        <v>110</v>
      </c>
      <c r="N5141" s="1">
        <v>107594860</v>
      </c>
      <c r="O5141">
        <v>110</v>
      </c>
      <c r="P5141">
        <v>121</v>
      </c>
      <c r="Q5141">
        <v>99</v>
      </c>
    </row>
    <row r="5142" spans="1:17" x14ac:dyDescent="0.25">
      <c r="A5142">
        <v>8354</v>
      </c>
      <c r="B5142" t="s">
        <v>763</v>
      </c>
      <c r="C5142">
        <v>19.2</v>
      </c>
      <c r="D5142">
        <v>0.2</v>
      </c>
      <c r="E5142">
        <v>18.8</v>
      </c>
      <c r="F5142">
        <v>19.2</v>
      </c>
      <c r="G5142">
        <v>18.8</v>
      </c>
      <c r="H5142">
        <v>19.059999999999999</v>
      </c>
      <c r="I5142" s="1">
        <v>28390</v>
      </c>
      <c r="J5142" s="1">
        <v>541010</v>
      </c>
      <c r="K5142">
        <v>24</v>
      </c>
      <c r="L5142">
        <v>19.149999999999999</v>
      </c>
      <c r="M5142">
        <v>19.2</v>
      </c>
      <c r="N5142" s="1">
        <v>63743720</v>
      </c>
      <c r="O5142">
        <v>19.2</v>
      </c>
      <c r="P5142">
        <v>21.1</v>
      </c>
      <c r="Q5142">
        <v>17.3</v>
      </c>
    </row>
    <row r="5143" spans="1:17" x14ac:dyDescent="0.25">
      <c r="A5143">
        <v>8358</v>
      </c>
      <c r="B5143" t="s">
        <v>764</v>
      </c>
      <c r="C5143">
        <v>40.75</v>
      </c>
      <c r="D5143">
        <v>-0.55000000000000004</v>
      </c>
      <c r="E5143">
        <v>41.5</v>
      </c>
      <c r="F5143">
        <v>41.75</v>
      </c>
      <c r="G5143">
        <v>40.700000000000003</v>
      </c>
      <c r="H5143">
        <v>41.04</v>
      </c>
      <c r="I5143" s="1">
        <v>4653609</v>
      </c>
      <c r="J5143" s="1">
        <v>190987441</v>
      </c>
      <c r="K5143" s="1">
        <v>2473</v>
      </c>
      <c r="L5143">
        <v>40.75</v>
      </c>
      <c r="M5143">
        <v>40.799999999999997</v>
      </c>
      <c r="N5143" s="1">
        <v>252588000</v>
      </c>
      <c r="O5143">
        <v>40.75</v>
      </c>
      <c r="P5143">
        <v>44.8</v>
      </c>
      <c r="Q5143">
        <v>36.700000000000003</v>
      </c>
    </row>
    <row r="5144" spans="1:17" x14ac:dyDescent="0.25">
      <c r="A5144">
        <v>8383</v>
      </c>
      <c r="B5144" t="s">
        <v>765</v>
      </c>
      <c r="C5144">
        <v>49.35</v>
      </c>
      <c r="D5144">
        <v>0.1</v>
      </c>
      <c r="E5144">
        <v>49.25</v>
      </c>
      <c r="F5144">
        <v>49.6</v>
      </c>
      <c r="G5144">
        <v>49.05</v>
      </c>
      <c r="H5144">
        <v>49.35</v>
      </c>
      <c r="I5144" s="1">
        <v>686322</v>
      </c>
      <c r="J5144" s="1">
        <v>33872334</v>
      </c>
      <c r="K5144">
        <v>382</v>
      </c>
      <c r="L5144">
        <v>49.35</v>
      </c>
      <c r="M5144">
        <v>49.4</v>
      </c>
      <c r="N5144" s="1">
        <v>118192482</v>
      </c>
      <c r="O5144">
        <v>49.35</v>
      </c>
      <c r="P5144">
        <v>54.2</v>
      </c>
      <c r="Q5144">
        <v>44.45</v>
      </c>
    </row>
    <row r="5145" spans="1:17" x14ac:dyDescent="0.25">
      <c r="A5145">
        <v>8390</v>
      </c>
      <c r="B5145" t="s">
        <v>766</v>
      </c>
      <c r="C5145">
        <v>20.399999999999999</v>
      </c>
      <c r="D5145">
        <v>1.5</v>
      </c>
      <c r="E5145">
        <v>20.350000000000001</v>
      </c>
      <c r="F5145">
        <v>20.75</v>
      </c>
      <c r="G5145">
        <v>20.05</v>
      </c>
      <c r="H5145">
        <v>20.45</v>
      </c>
      <c r="I5145" s="1">
        <v>5978923</v>
      </c>
      <c r="J5145" s="1">
        <v>122289671</v>
      </c>
      <c r="K5145" s="1">
        <v>2657</v>
      </c>
      <c r="L5145">
        <v>20.399999999999999</v>
      </c>
      <c r="M5145">
        <v>20.45</v>
      </c>
      <c r="N5145" s="1">
        <v>95899487</v>
      </c>
      <c r="O5145">
        <v>20.399999999999999</v>
      </c>
      <c r="P5145">
        <v>22.4</v>
      </c>
      <c r="Q5145">
        <v>18.399999999999999</v>
      </c>
    </row>
    <row r="5146" spans="1:17" x14ac:dyDescent="0.25">
      <c r="A5146">
        <v>8401</v>
      </c>
      <c r="B5146" t="s">
        <v>767</v>
      </c>
      <c r="C5146">
        <v>16.149999999999999</v>
      </c>
      <c r="D5146">
        <v>0.05</v>
      </c>
      <c r="E5146">
        <v>16.100000000000001</v>
      </c>
      <c r="F5146">
        <v>16.149999999999999</v>
      </c>
      <c r="G5146">
        <v>15.8</v>
      </c>
      <c r="H5146">
        <v>15.97</v>
      </c>
      <c r="I5146" s="1">
        <v>70250</v>
      </c>
      <c r="J5146" s="1">
        <v>1122174</v>
      </c>
      <c r="K5146">
        <v>36</v>
      </c>
      <c r="L5146">
        <v>16.149999999999999</v>
      </c>
      <c r="M5146">
        <v>16.2</v>
      </c>
      <c r="N5146" s="1">
        <v>61103120</v>
      </c>
      <c r="O5146">
        <v>16.149999999999999</v>
      </c>
      <c r="P5146">
        <v>17.75</v>
      </c>
      <c r="Q5146">
        <v>14.55</v>
      </c>
    </row>
    <row r="5147" spans="1:17" x14ac:dyDescent="0.25">
      <c r="A5147">
        <v>8403</v>
      </c>
      <c r="B5147" t="s">
        <v>768</v>
      </c>
      <c r="C5147">
        <v>37.049999999999997</v>
      </c>
      <c r="D5147">
        <v>0.1</v>
      </c>
      <c r="E5147">
        <v>37.049999999999997</v>
      </c>
      <c r="F5147">
        <v>37.200000000000003</v>
      </c>
      <c r="G5147">
        <v>36.950000000000003</v>
      </c>
      <c r="H5147">
        <v>37.049999999999997</v>
      </c>
      <c r="I5147" s="1">
        <v>127298</v>
      </c>
      <c r="J5147" s="1">
        <v>4716386</v>
      </c>
      <c r="K5147">
        <v>90</v>
      </c>
      <c r="L5147">
        <v>37.049999999999997</v>
      </c>
      <c r="M5147">
        <v>37.15</v>
      </c>
      <c r="N5147" s="1">
        <v>79288868</v>
      </c>
      <c r="O5147">
        <v>37.049999999999997</v>
      </c>
      <c r="P5147">
        <v>40.75</v>
      </c>
      <c r="Q5147">
        <v>33.35</v>
      </c>
    </row>
    <row r="5148" spans="1:17" x14ac:dyDescent="0.25">
      <c r="A5148">
        <v>8406</v>
      </c>
      <c r="B5148" t="s">
        <v>769</v>
      </c>
      <c r="C5148">
        <v>217</v>
      </c>
      <c r="D5148">
        <v>-8.5</v>
      </c>
      <c r="E5148">
        <v>226</v>
      </c>
      <c r="F5148">
        <v>229.5</v>
      </c>
      <c r="G5148">
        <v>217</v>
      </c>
      <c r="H5148">
        <v>221.91</v>
      </c>
      <c r="I5148" s="1">
        <v>1767436</v>
      </c>
      <c r="J5148" s="1">
        <v>392207420</v>
      </c>
      <c r="K5148" s="1">
        <v>1368</v>
      </c>
      <c r="L5148">
        <v>217</v>
      </c>
      <c r="M5148">
        <v>218.5</v>
      </c>
      <c r="N5148" s="1">
        <v>92450472</v>
      </c>
      <c r="O5148">
        <v>217</v>
      </c>
      <c r="P5148">
        <v>238.5</v>
      </c>
      <c r="Q5148">
        <v>195.5</v>
      </c>
    </row>
    <row r="5149" spans="1:17" x14ac:dyDescent="0.25">
      <c r="A5149">
        <v>8409</v>
      </c>
      <c r="B5149" t="s">
        <v>770</v>
      </c>
      <c r="C5149">
        <v>14.7</v>
      </c>
      <c r="D5149">
        <v>-0.25</v>
      </c>
      <c r="E5149">
        <v>14.85</v>
      </c>
      <c r="F5149">
        <v>14.85</v>
      </c>
      <c r="G5149">
        <v>14.7</v>
      </c>
      <c r="H5149">
        <v>14.72</v>
      </c>
      <c r="I5149" s="1">
        <v>6029</v>
      </c>
      <c r="J5149" s="1">
        <v>88767</v>
      </c>
      <c r="K5149">
        <v>23</v>
      </c>
      <c r="L5149">
        <v>14.65</v>
      </c>
      <c r="M5149">
        <v>14.8</v>
      </c>
      <c r="N5149" s="1">
        <v>28000000</v>
      </c>
      <c r="O5149">
        <v>14.7</v>
      </c>
      <c r="P5149">
        <v>16.149999999999999</v>
      </c>
      <c r="Q5149">
        <v>13.25</v>
      </c>
    </row>
    <row r="5150" spans="1:17" x14ac:dyDescent="0.25">
      <c r="A5150">
        <v>8410</v>
      </c>
      <c r="B5150" t="s">
        <v>771</v>
      </c>
      <c r="C5150">
        <v>39.1</v>
      </c>
      <c r="D5150">
        <v>0.05</v>
      </c>
      <c r="E5150">
        <v>39.15</v>
      </c>
      <c r="F5150">
        <v>39.15</v>
      </c>
      <c r="G5150">
        <v>39.049999999999997</v>
      </c>
      <c r="H5150">
        <v>39.06</v>
      </c>
      <c r="I5150" s="1">
        <v>28070</v>
      </c>
      <c r="J5150" s="1">
        <v>1096523</v>
      </c>
      <c r="K5150">
        <v>13</v>
      </c>
      <c r="L5150">
        <v>39.049999999999997</v>
      </c>
      <c r="M5150">
        <v>39.1</v>
      </c>
      <c r="N5150" s="1">
        <v>36589200</v>
      </c>
      <c r="O5150">
        <v>39.1</v>
      </c>
      <c r="P5150">
        <v>43</v>
      </c>
      <c r="Q5150">
        <v>35.200000000000003</v>
      </c>
    </row>
    <row r="5151" spans="1:17" x14ac:dyDescent="0.25">
      <c r="A5151">
        <v>8415</v>
      </c>
      <c r="B5151" t="s">
        <v>772</v>
      </c>
      <c r="C5151">
        <v>23.2</v>
      </c>
      <c r="D5151">
        <v>0</v>
      </c>
      <c r="E5151">
        <v>23.25</v>
      </c>
      <c r="F5151">
        <v>23.5</v>
      </c>
      <c r="G5151">
        <v>22.8</v>
      </c>
      <c r="H5151">
        <v>23.08</v>
      </c>
      <c r="I5151" s="1">
        <v>415011</v>
      </c>
      <c r="J5151" s="1">
        <v>9578258</v>
      </c>
      <c r="K5151">
        <v>167</v>
      </c>
      <c r="L5151">
        <v>23.15</v>
      </c>
      <c r="M5151">
        <v>23.25</v>
      </c>
      <c r="N5151" s="1">
        <v>611500000</v>
      </c>
      <c r="O5151">
        <v>23.2</v>
      </c>
      <c r="P5151">
        <v>25.5</v>
      </c>
      <c r="Q5151">
        <v>20.9</v>
      </c>
    </row>
    <row r="5152" spans="1:17" x14ac:dyDescent="0.25">
      <c r="A5152">
        <v>8416</v>
      </c>
      <c r="B5152" t="s">
        <v>773</v>
      </c>
      <c r="C5152">
        <v>97.5</v>
      </c>
      <c r="D5152">
        <v>-0.5</v>
      </c>
      <c r="E5152">
        <v>98</v>
      </c>
      <c r="F5152">
        <v>98</v>
      </c>
      <c r="G5152">
        <v>97.1</v>
      </c>
      <c r="H5152">
        <v>97.34</v>
      </c>
      <c r="I5152" s="1">
        <v>30000</v>
      </c>
      <c r="J5152" s="1">
        <v>2920200</v>
      </c>
      <c r="K5152">
        <v>28</v>
      </c>
      <c r="L5152">
        <v>97.2</v>
      </c>
      <c r="M5152">
        <v>97.5</v>
      </c>
      <c r="N5152" s="1">
        <v>25646100</v>
      </c>
      <c r="O5152">
        <v>97.5</v>
      </c>
      <c r="P5152">
        <v>107</v>
      </c>
      <c r="Q5152">
        <v>87.8</v>
      </c>
    </row>
    <row r="5153" spans="1:17" x14ac:dyDescent="0.25">
      <c r="A5153">
        <v>8418</v>
      </c>
      <c r="B5153" t="s">
        <v>774</v>
      </c>
      <c r="C5153">
        <v>13</v>
      </c>
      <c r="D5153">
        <v>-0.15</v>
      </c>
      <c r="E5153">
        <v>13.15</v>
      </c>
      <c r="F5153">
        <v>13.15</v>
      </c>
      <c r="G5153">
        <v>13</v>
      </c>
      <c r="H5153">
        <v>13.11</v>
      </c>
      <c r="I5153" s="1">
        <v>18000</v>
      </c>
      <c r="J5153" s="1">
        <v>235950</v>
      </c>
      <c r="K5153">
        <v>6</v>
      </c>
      <c r="L5153">
        <v>12.65</v>
      </c>
      <c r="M5153">
        <v>12.9</v>
      </c>
      <c r="N5153" s="1">
        <v>72995000</v>
      </c>
      <c r="O5153">
        <v>13</v>
      </c>
      <c r="P5153">
        <v>14.3</v>
      </c>
      <c r="Q5153">
        <v>11.7</v>
      </c>
    </row>
    <row r="5154" spans="1:17" x14ac:dyDescent="0.25">
      <c r="A5154">
        <v>8420</v>
      </c>
      <c r="B5154" t="s">
        <v>775</v>
      </c>
      <c r="C5154">
        <v>18.399999999999999</v>
      </c>
      <c r="D5154">
        <v>0.1</v>
      </c>
      <c r="E5154">
        <v>18.399999999999999</v>
      </c>
      <c r="F5154">
        <v>18.399999999999999</v>
      </c>
      <c r="G5154">
        <v>18.399999999999999</v>
      </c>
      <c r="H5154">
        <v>18.399999999999999</v>
      </c>
      <c r="I5154" s="1">
        <v>2000</v>
      </c>
      <c r="J5154" s="1">
        <v>36800</v>
      </c>
      <c r="K5154">
        <v>1</v>
      </c>
      <c r="L5154">
        <v>18</v>
      </c>
      <c r="M5154">
        <v>18.05</v>
      </c>
      <c r="N5154" s="1">
        <v>50990000</v>
      </c>
      <c r="O5154">
        <v>18.399999999999999</v>
      </c>
      <c r="P5154">
        <v>20.2</v>
      </c>
      <c r="Q5154">
        <v>16.600000000000001</v>
      </c>
    </row>
    <row r="5155" spans="1:17" x14ac:dyDescent="0.25">
      <c r="A5155">
        <v>8421</v>
      </c>
      <c r="B5155" t="s">
        <v>776</v>
      </c>
      <c r="C5155">
        <v>16.8</v>
      </c>
      <c r="D5155">
        <v>0</v>
      </c>
      <c r="E5155">
        <v>16.7</v>
      </c>
      <c r="F5155">
        <v>16.8</v>
      </c>
      <c r="G5155">
        <v>16.649999999999999</v>
      </c>
      <c r="H5155">
        <v>16.760000000000002</v>
      </c>
      <c r="I5155" s="1">
        <v>15000</v>
      </c>
      <c r="J5155" s="1">
        <v>251350</v>
      </c>
      <c r="K5155">
        <v>13</v>
      </c>
      <c r="L5155">
        <v>16.8</v>
      </c>
      <c r="M5155">
        <v>16.850000000000001</v>
      </c>
      <c r="N5155" s="1">
        <v>53480137</v>
      </c>
      <c r="O5155">
        <v>16.8</v>
      </c>
      <c r="P5155">
        <v>18.45</v>
      </c>
      <c r="Q5155">
        <v>15.15</v>
      </c>
    </row>
    <row r="5156" spans="1:17" x14ac:dyDescent="0.25">
      <c r="A5156">
        <v>8423</v>
      </c>
      <c r="B5156" t="s">
        <v>777</v>
      </c>
      <c r="C5156">
        <v>21</v>
      </c>
      <c r="D5156">
        <v>-0.4</v>
      </c>
      <c r="E5156">
        <v>21.1</v>
      </c>
      <c r="F5156">
        <v>21.15</v>
      </c>
      <c r="G5156">
        <v>21</v>
      </c>
      <c r="H5156">
        <v>21.09</v>
      </c>
      <c r="I5156" s="1">
        <v>4000</v>
      </c>
      <c r="J5156" s="1">
        <v>84350</v>
      </c>
      <c r="K5156">
        <v>4</v>
      </c>
      <c r="L5156">
        <v>20.6</v>
      </c>
      <c r="M5156">
        <v>21.1</v>
      </c>
      <c r="N5156" s="1">
        <v>20022000</v>
      </c>
      <c r="O5156">
        <v>21</v>
      </c>
      <c r="P5156">
        <v>23.1</v>
      </c>
      <c r="Q5156">
        <v>18.899999999999999</v>
      </c>
    </row>
    <row r="5157" spans="1:17" x14ac:dyDescent="0.25">
      <c r="A5157">
        <v>8424</v>
      </c>
      <c r="B5157" t="s">
        <v>778</v>
      </c>
      <c r="C5157">
        <v>45</v>
      </c>
      <c r="D5157">
        <v>0.15</v>
      </c>
      <c r="E5157">
        <v>44.8</v>
      </c>
      <c r="F5157">
        <v>45</v>
      </c>
      <c r="G5157">
        <v>44.8</v>
      </c>
      <c r="H5157">
        <v>44.92</v>
      </c>
      <c r="I5157" s="1">
        <v>11000</v>
      </c>
      <c r="J5157" s="1">
        <v>494150</v>
      </c>
      <c r="K5157">
        <v>9</v>
      </c>
      <c r="L5157">
        <v>44.85</v>
      </c>
      <c r="M5157">
        <v>44.95</v>
      </c>
      <c r="N5157" s="1">
        <v>36054368</v>
      </c>
      <c r="O5157">
        <v>45</v>
      </c>
      <c r="P5157">
        <v>49.5</v>
      </c>
      <c r="Q5157">
        <v>40.5</v>
      </c>
    </row>
    <row r="5158" spans="1:17" x14ac:dyDescent="0.25">
      <c r="A5158">
        <v>8426</v>
      </c>
      <c r="B5158" t="s">
        <v>779</v>
      </c>
      <c r="C5158">
        <v>41.1</v>
      </c>
      <c r="D5158">
        <v>-0.05</v>
      </c>
      <c r="E5158">
        <v>41.15</v>
      </c>
      <c r="F5158">
        <v>41.15</v>
      </c>
      <c r="G5158">
        <v>41</v>
      </c>
      <c r="H5158">
        <v>41.06</v>
      </c>
      <c r="I5158" s="1">
        <v>14629</v>
      </c>
      <c r="J5158" s="1">
        <v>600689</v>
      </c>
      <c r="K5158">
        <v>14</v>
      </c>
      <c r="L5158">
        <v>40.85</v>
      </c>
      <c r="M5158">
        <v>41.15</v>
      </c>
      <c r="N5158" s="1">
        <v>50692500</v>
      </c>
      <c r="O5158">
        <v>41.1</v>
      </c>
      <c r="P5158">
        <v>45.2</v>
      </c>
      <c r="Q5158">
        <v>37</v>
      </c>
    </row>
    <row r="5159" spans="1:17" x14ac:dyDescent="0.25">
      <c r="A5159">
        <v>8431</v>
      </c>
      <c r="B5159" t="s">
        <v>780</v>
      </c>
      <c r="C5159">
        <v>63.3</v>
      </c>
      <c r="D5159">
        <v>0.9</v>
      </c>
      <c r="E5159">
        <v>62.6</v>
      </c>
      <c r="F5159">
        <v>63.3</v>
      </c>
      <c r="G5159">
        <v>61.6</v>
      </c>
      <c r="H5159">
        <v>62.38</v>
      </c>
      <c r="I5159" s="1">
        <v>426000</v>
      </c>
      <c r="J5159" s="1">
        <v>26572500</v>
      </c>
      <c r="K5159">
        <v>289</v>
      </c>
      <c r="L5159">
        <v>63.2</v>
      </c>
      <c r="M5159">
        <v>63.4</v>
      </c>
      <c r="N5159" s="1">
        <v>44237597</v>
      </c>
      <c r="O5159">
        <v>63.3</v>
      </c>
      <c r="P5159">
        <v>69.599999999999994</v>
      </c>
      <c r="Q5159">
        <v>57</v>
      </c>
    </row>
    <row r="5160" spans="1:17" x14ac:dyDescent="0.25">
      <c r="A5160">
        <v>8432</v>
      </c>
      <c r="B5160" t="s">
        <v>781</v>
      </c>
      <c r="C5160">
        <v>59</v>
      </c>
      <c r="D5160">
        <v>-0.1</v>
      </c>
      <c r="E5160">
        <v>59.9</v>
      </c>
      <c r="F5160">
        <v>59.9</v>
      </c>
      <c r="G5160">
        <v>59</v>
      </c>
      <c r="H5160">
        <v>59.1</v>
      </c>
      <c r="I5160" s="1">
        <v>84002</v>
      </c>
      <c r="J5160" s="1">
        <v>4964730</v>
      </c>
      <c r="K5160">
        <v>57</v>
      </c>
      <c r="L5160">
        <v>58.9</v>
      </c>
      <c r="M5160">
        <v>59</v>
      </c>
      <c r="N5160" s="1">
        <v>38398140</v>
      </c>
      <c r="O5160">
        <v>59</v>
      </c>
      <c r="P5160">
        <v>64.900000000000006</v>
      </c>
      <c r="Q5160">
        <v>53.1</v>
      </c>
    </row>
    <row r="5161" spans="1:17" x14ac:dyDescent="0.25">
      <c r="A5161">
        <v>8433</v>
      </c>
      <c r="B5161" t="s">
        <v>782</v>
      </c>
      <c r="C5161">
        <v>71.7</v>
      </c>
      <c r="D5161">
        <v>1.2</v>
      </c>
      <c r="E5161">
        <v>71.099999999999994</v>
      </c>
      <c r="F5161">
        <v>71.7</v>
      </c>
      <c r="G5161">
        <v>70.5</v>
      </c>
      <c r="H5161">
        <v>71.45</v>
      </c>
      <c r="I5161" s="1">
        <v>142357</v>
      </c>
      <c r="J5161" s="1">
        <v>10171332</v>
      </c>
      <c r="K5161">
        <v>57</v>
      </c>
      <c r="L5161">
        <v>71.5</v>
      </c>
      <c r="M5161">
        <v>71.7</v>
      </c>
      <c r="N5161" s="1">
        <v>52577600</v>
      </c>
      <c r="O5161">
        <v>71.7</v>
      </c>
      <c r="P5161">
        <v>78.8</v>
      </c>
      <c r="Q5161">
        <v>64.599999999999994</v>
      </c>
    </row>
    <row r="5162" spans="1:17" x14ac:dyDescent="0.25">
      <c r="A5162">
        <v>8435</v>
      </c>
      <c r="B5162" t="s">
        <v>783</v>
      </c>
      <c r="C5162">
        <v>51.2</v>
      </c>
      <c r="D5162">
        <v>1.2</v>
      </c>
      <c r="E5162">
        <v>50.4</v>
      </c>
      <c r="F5162">
        <v>51.2</v>
      </c>
      <c r="G5162">
        <v>50.4</v>
      </c>
      <c r="H5162">
        <v>50.87</v>
      </c>
      <c r="I5162" s="1">
        <v>84141</v>
      </c>
      <c r="J5162" s="1">
        <v>4280505</v>
      </c>
      <c r="K5162">
        <v>70</v>
      </c>
      <c r="L5162">
        <v>51</v>
      </c>
      <c r="M5162">
        <v>51.2</v>
      </c>
      <c r="N5162" s="1">
        <v>31700450</v>
      </c>
      <c r="O5162">
        <v>51.2</v>
      </c>
      <c r="P5162">
        <v>56.3</v>
      </c>
      <c r="Q5162">
        <v>46.1</v>
      </c>
    </row>
    <row r="5163" spans="1:17" x14ac:dyDescent="0.25">
      <c r="A5163">
        <v>8436</v>
      </c>
      <c r="B5163" t="s">
        <v>784</v>
      </c>
      <c r="C5163">
        <v>287</v>
      </c>
      <c r="D5163">
        <v>1</v>
      </c>
      <c r="E5163">
        <v>285.5</v>
      </c>
      <c r="F5163">
        <v>289.5</v>
      </c>
      <c r="G5163">
        <v>284.5</v>
      </c>
      <c r="H5163">
        <v>287.37</v>
      </c>
      <c r="I5163" s="1">
        <v>496842</v>
      </c>
      <c r="J5163" s="1">
        <v>142775228</v>
      </c>
      <c r="K5163">
        <v>434</v>
      </c>
      <c r="L5163">
        <v>287</v>
      </c>
      <c r="M5163">
        <v>287.5</v>
      </c>
      <c r="N5163" s="1">
        <v>87011707</v>
      </c>
      <c r="O5163">
        <v>287</v>
      </c>
      <c r="P5163">
        <v>315.5</v>
      </c>
      <c r="Q5163">
        <v>258.5</v>
      </c>
    </row>
    <row r="5164" spans="1:17" x14ac:dyDescent="0.25">
      <c r="A5164">
        <v>8437</v>
      </c>
      <c r="B5164" t="s">
        <v>785</v>
      </c>
      <c r="C5164">
        <v>243.5</v>
      </c>
      <c r="D5164">
        <v>-2.5</v>
      </c>
      <c r="E5164">
        <v>248</v>
      </c>
      <c r="F5164">
        <v>251.5</v>
      </c>
      <c r="G5164">
        <v>242</v>
      </c>
      <c r="H5164">
        <v>246.77</v>
      </c>
      <c r="I5164" s="1">
        <v>254390</v>
      </c>
      <c r="J5164" s="1">
        <v>62774962</v>
      </c>
      <c r="K5164">
        <v>234</v>
      </c>
      <c r="L5164">
        <v>243.5</v>
      </c>
      <c r="M5164">
        <v>244.5</v>
      </c>
      <c r="N5164" s="1">
        <v>33963049</v>
      </c>
      <c r="O5164">
        <v>243.5</v>
      </c>
      <c r="P5164">
        <v>267.5</v>
      </c>
      <c r="Q5164">
        <v>219.5</v>
      </c>
    </row>
    <row r="5165" spans="1:17" x14ac:dyDescent="0.25">
      <c r="A5165">
        <v>8444</v>
      </c>
      <c r="B5165" t="s">
        <v>786</v>
      </c>
      <c r="C5165">
        <v>156</v>
      </c>
      <c r="D5165">
        <v>6</v>
      </c>
      <c r="E5165">
        <v>151</v>
      </c>
      <c r="F5165">
        <v>156</v>
      </c>
      <c r="G5165">
        <v>150</v>
      </c>
      <c r="H5165">
        <v>153.32</v>
      </c>
      <c r="I5165" s="1">
        <v>142010</v>
      </c>
      <c r="J5165" s="1">
        <v>21772574</v>
      </c>
      <c r="K5165">
        <v>102</v>
      </c>
      <c r="L5165">
        <v>156</v>
      </c>
      <c r="M5165">
        <v>156.5</v>
      </c>
      <c r="N5165" s="1">
        <v>74770300</v>
      </c>
      <c r="O5165">
        <v>156</v>
      </c>
      <c r="P5165">
        <v>171.5</v>
      </c>
      <c r="Q5165">
        <v>140.5</v>
      </c>
    </row>
    <row r="5166" spans="1:17" x14ac:dyDescent="0.25">
      <c r="A5166">
        <v>8446</v>
      </c>
      <c r="B5166" t="s">
        <v>787</v>
      </c>
      <c r="C5166">
        <v>101.5</v>
      </c>
      <c r="D5166">
        <v>1</v>
      </c>
      <c r="E5166">
        <v>100.5</v>
      </c>
      <c r="F5166">
        <v>103</v>
      </c>
      <c r="G5166">
        <v>100.5</v>
      </c>
      <c r="H5166">
        <v>101.52</v>
      </c>
      <c r="I5166" s="1">
        <v>78102</v>
      </c>
      <c r="J5166" s="1">
        <v>7929250</v>
      </c>
      <c r="K5166">
        <v>79</v>
      </c>
      <c r="L5166">
        <v>101</v>
      </c>
      <c r="M5166">
        <v>101.5</v>
      </c>
      <c r="N5166" s="1">
        <v>47045700</v>
      </c>
      <c r="O5166">
        <v>101.5</v>
      </c>
      <c r="P5166">
        <v>111.5</v>
      </c>
      <c r="Q5166">
        <v>91.4</v>
      </c>
    </row>
    <row r="5167" spans="1:17" x14ac:dyDescent="0.25">
      <c r="A5167">
        <v>8450</v>
      </c>
      <c r="B5167" t="s">
        <v>788</v>
      </c>
      <c r="C5167">
        <v>60.8</v>
      </c>
      <c r="D5167">
        <v>0.8</v>
      </c>
      <c r="E5167">
        <v>60</v>
      </c>
      <c r="F5167">
        <v>61.2</v>
      </c>
      <c r="G5167">
        <v>60</v>
      </c>
      <c r="H5167">
        <v>60.64</v>
      </c>
      <c r="I5167" s="1">
        <v>19600</v>
      </c>
      <c r="J5167" s="1">
        <v>1188580</v>
      </c>
      <c r="K5167">
        <v>17</v>
      </c>
      <c r="L5167">
        <v>60.8</v>
      </c>
      <c r="M5167">
        <v>60.9</v>
      </c>
      <c r="N5167" s="1">
        <v>47957406</v>
      </c>
      <c r="O5167">
        <v>60.8</v>
      </c>
      <c r="P5167">
        <v>66.8</v>
      </c>
      <c r="Q5167">
        <v>54.8</v>
      </c>
    </row>
    <row r="5168" spans="1:17" x14ac:dyDescent="0.25">
      <c r="A5168">
        <v>8455</v>
      </c>
      <c r="B5168" t="s">
        <v>789</v>
      </c>
      <c r="C5168">
        <v>23</v>
      </c>
      <c r="D5168">
        <v>-0.4</v>
      </c>
      <c r="E5168">
        <v>23.2</v>
      </c>
      <c r="F5168">
        <v>23.2</v>
      </c>
      <c r="G5168">
        <v>23</v>
      </c>
      <c r="H5168">
        <v>23.04</v>
      </c>
      <c r="I5168" s="1">
        <v>6000</v>
      </c>
      <c r="J5168" s="1">
        <v>138250</v>
      </c>
      <c r="K5168">
        <v>6</v>
      </c>
      <c r="L5168">
        <v>23</v>
      </c>
      <c r="M5168">
        <v>23.35</v>
      </c>
      <c r="N5168" s="1">
        <v>25219056</v>
      </c>
      <c r="O5168">
        <v>23</v>
      </c>
      <c r="P5168">
        <v>25.3</v>
      </c>
      <c r="Q5168">
        <v>20.7</v>
      </c>
    </row>
    <row r="5169" spans="1:17" x14ac:dyDescent="0.25">
      <c r="A5169">
        <v>8462</v>
      </c>
      <c r="B5169" t="s">
        <v>790</v>
      </c>
      <c r="C5169">
        <v>154</v>
      </c>
      <c r="D5169">
        <v>1</v>
      </c>
      <c r="E5169">
        <v>153</v>
      </c>
      <c r="F5169">
        <v>156</v>
      </c>
      <c r="G5169">
        <v>153</v>
      </c>
      <c r="H5169">
        <v>154.96</v>
      </c>
      <c r="I5169" s="1">
        <v>101330</v>
      </c>
      <c r="J5169" s="1">
        <v>15701825</v>
      </c>
      <c r="K5169">
        <v>97</v>
      </c>
      <c r="L5169">
        <v>154</v>
      </c>
      <c r="M5169">
        <v>154.5</v>
      </c>
      <c r="N5169" s="1">
        <v>47617375</v>
      </c>
      <c r="O5169">
        <v>154</v>
      </c>
      <c r="P5169">
        <v>169</v>
      </c>
      <c r="Q5169">
        <v>139</v>
      </c>
    </row>
    <row r="5170" spans="1:17" x14ac:dyDescent="0.25">
      <c r="A5170">
        <v>8472</v>
      </c>
      <c r="B5170" t="s">
        <v>791</v>
      </c>
      <c r="C5170">
        <v>38.200000000000003</v>
      </c>
      <c r="D5170">
        <v>0</v>
      </c>
      <c r="E5170">
        <v>37.9</v>
      </c>
      <c r="F5170">
        <v>38.200000000000003</v>
      </c>
      <c r="G5170">
        <v>37.700000000000003</v>
      </c>
      <c r="H5170">
        <v>37.950000000000003</v>
      </c>
      <c r="I5170" s="1">
        <v>12000</v>
      </c>
      <c r="J5170" s="1">
        <v>455350</v>
      </c>
      <c r="K5170">
        <v>10</v>
      </c>
      <c r="L5170">
        <v>38.15</v>
      </c>
      <c r="M5170">
        <v>38.299999999999997</v>
      </c>
      <c r="N5170" s="1">
        <v>20311800</v>
      </c>
      <c r="O5170">
        <v>38.200000000000003</v>
      </c>
      <c r="P5170">
        <v>42</v>
      </c>
      <c r="Q5170">
        <v>34.4</v>
      </c>
    </row>
    <row r="5171" spans="1:17" x14ac:dyDescent="0.25">
      <c r="A5171">
        <v>8476</v>
      </c>
      <c r="B5171" t="s">
        <v>792</v>
      </c>
      <c r="C5171">
        <v>38.15</v>
      </c>
      <c r="D5171">
        <v>0.25</v>
      </c>
      <c r="E5171">
        <v>38.299999999999997</v>
      </c>
      <c r="F5171">
        <v>38.6</v>
      </c>
      <c r="G5171">
        <v>38.15</v>
      </c>
      <c r="H5171">
        <v>38.43</v>
      </c>
      <c r="I5171" s="1">
        <v>99120</v>
      </c>
      <c r="J5171" s="1">
        <v>3809071</v>
      </c>
      <c r="K5171">
        <v>54</v>
      </c>
      <c r="L5171">
        <v>38.1</v>
      </c>
      <c r="M5171">
        <v>38.15</v>
      </c>
      <c r="N5171" s="1">
        <v>34109140</v>
      </c>
      <c r="O5171">
        <v>38.15</v>
      </c>
      <c r="P5171">
        <v>41.95</v>
      </c>
      <c r="Q5171">
        <v>34.35</v>
      </c>
    </row>
    <row r="5172" spans="1:17" x14ac:dyDescent="0.25">
      <c r="A5172">
        <v>8477</v>
      </c>
      <c r="B5172" t="s">
        <v>793</v>
      </c>
      <c r="C5172">
        <v>41.35</v>
      </c>
      <c r="D5172">
        <v>0.05</v>
      </c>
      <c r="E5172">
        <v>41.85</v>
      </c>
      <c r="F5172">
        <v>41.85</v>
      </c>
      <c r="G5172">
        <v>41.35</v>
      </c>
      <c r="H5172">
        <v>41.49</v>
      </c>
      <c r="I5172" s="1">
        <v>10000</v>
      </c>
      <c r="J5172" s="1">
        <v>414900</v>
      </c>
      <c r="K5172">
        <v>10</v>
      </c>
      <c r="L5172">
        <v>41.3</v>
      </c>
      <c r="M5172">
        <v>41.6</v>
      </c>
      <c r="N5172" s="1">
        <v>20602368</v>
      </c>
      <c r="O5172">
        <v>41.35</v>
      </c>
      <c r="P5172">
        <v>45.45</v>
      </c>
      <c r="Q5172">
        <v>37.25</v>
      </c>
    </row>
    <row r="5173" spans="1:17" x14ac:dyDescent="0.25">
      <c r="A5173">
        <v>8489</v>
      </c>
      <c r="B5173" t="s">
        <v>794</v>
      </c>
      <c r="C5173">
        <v>298.5</v>
      </c>
      <c r="D5173">
        <v>3.5</v>
      </c>
      <c r="E5173">
        <v>300</v>
      </c>
      <c r="F5173">
        <v>302.5</v>
      </c>
      <c r="G5173">
        <v>296</v>
      </c>
      <c r="H5173">
        <v>298.61</v>
      </c>
      <c r="I5173" s="1">
        <v>817470</v>
      </c>
      <c r="J5173" s="1">
        <v>244107790</v>
      </c>
      <c r="K5173">
        <v>691</v>
      </c>
      <c r="L5173">
        <v>298.5</v>
      </c>
      <c r="M5173">
        <v>299</v>
      </c>
      <c r="N5173" s="1">
        <v>30017431</v>
      </c>
      <c r="O5173">
        <v>298.5</v>
      </c>
      <c r="P5173">
        <v>328</v>
      </c>
      <c r="Q5173">
        <v>269</v>
      </c>
    </row>
    <row r="5174" spans="1:17" x14ac:dyDescent="0.25">
      <c r="A5174">
        <v>8905</v>
      </c>
      <c r="B5174" t="s">
        <v>795</v>
      </c>
      <c r="C5174">
        <v>16.899999999999999</v>
      </c>
      <c r="D5174">
        <v>0</v>
      </c>
      <c r="E5174">
        <v>16.899999999999999</v>
      </c>
      <c r="F5174">
        <v>16.95</v>
      </c>
      <c r="G5174">
        <v>16.899999999999999</v>
      </c>
      <c r="H5174">
        <v>16.91</v>
      </c>
      <c r="I5174" s="1">
        <v>111018</v>
      </c>
      <c r="J5174" s="1">
        <v>1877706</v>
      </c>
      <c r="K5174">
        <v>52</v>
      </c>
      <c r="L5174">
        <v>16.899999999999999</v>
      </c>
      <c r="M5174">
        <v>16.95</v>
      </c>
      <c r="N5174" s="1">
        <v>119440000</v>
      </c>
      <c r="O5174">
        <v>16.899999999999999</v>
      </c>
      <c r="P5174">
        <v>18.55</v>
      </c>
      <c r="Q5174">
        <v>15.25</v>
      </c>
    </row>
    <row r="5175" spans="1:17" x14ac:dyDescent="0.25">
      <c r="A5175">
        <v>8906</v>
      </c>
      <c r="B5175" t="s">
        <v>796</v>
      </c>
      <c r="C5175">
        <v>8</v>
      </c>
      <c r="D5175">
        <v>-0.25</v>
      </c>
      <c r="E5175">
        <v>8.23</v>
      </c>
      <c r="F5175">
        <v>8.23</v>
      </c>
      <c r="G5175">
        <v>7.85</v>
      </c>
      <c r="H5175">
        <v>7.95</v>
      </c>
      <c r="I5175" s="1">
        <v>84001</v>
      </c>
      <c r="J5175" s="1">
        <v>667847</v>
      </c>
      <c r="K5175">
        <v>57</v>
      </c>
      <c r="L5175">
        <v>8</v>
      </c>
      <c r="M5175">
        <v>8.1</v>
      </c>
      <c r="N5175" s="1">
        <v>51321600</v>
      </c>
      <c r="O5175">
        <v>8</v>
      </c>
      <c r="P5175">
        <v>8.8000000000000007</v>
      </c>
      <c r="Q5175">
        <v>7.2</v>
      </c>
    </row>
    <row r="5176" spans="1:17" x14ac:dyDescent="0.25">
      <c r="A5176">
        <v>8908</v>
      </c>
      <c r="B5176" t="s">
        <v>797</v>
      </c>
      <c r="C5176">
        <v>30.6</v>
      </c>
      <c r="D5176">
        <v>-0.3</v>
      </c>
      <c r="E5176">
        <v>30.9</v>
      </c>
      <c r="F5176">
        <v>30.9</v>
      </c>
      <c r="G5176">
        <v>30.6</v>
      </c>
      <c r="H5176">
        <v>30.72</v>
      </c>
      <c r="I5176" s="1">
        <v>12135</v>
      </c>
      <c r="J5176" s="1">
        <v>372816</v>
      </c>
      <c r="K5176">
        <v>16</v>
      </c>
      <c r="L5176">
        <v>30.65</v>
      </c>
      <c r="M5176">
        <v>30.9</v>
      </c>
      <c r="N5176" s="1">
        <v>153402098</v>
      </c>
      <c r="O5176">
        <v>30.6</v>
      </c>
      <c r="P5176">
        <v>33.65</v>
      </c>
      <c r="Q5176">
        <v>27.55</v>
      </c>
    </row>
    <row r="5177" spans="1:17" x14ac:dyDescent="0.25">
      <c r="A5177">
        <v>8913</v>
      </c>
      <c r="B5177" t="s">
        <v>838</v>
      </c>
      <c r="C5177">
        <v>138.5</v>
      </c>
      <c r="D5177">
        <v>0.5</v>
      </c>
      <c r="E5177">
        <v>137</v>
      </c>
      <c r="F5177">
        <v>138.5</v>
      </c>
      <c r="G5177">
        <v>136.5</v>
      </c>
      <c r="H5177">
        <v>137.63999999999999</v>
      </c>
      <c r="I5177" s="1">
        <v>33000</v>
      </c>
      <c r="J5177" s="1">
        <v>4542000</v>
      </c>
      <c r="K5177">
        <v>41</v>
      </c>
      <c r="L5177">
        <v>136.5</v>
      </c>
      <c r="M5177">
        <v>139</v>
      </c>
      <c r="N5177" s="1">
        <v>8743873</v>
      </c>
      <c r="O5177">
        <v>138.5</v>
      </c>
      <c r="P5177">
        <v>152</v>
      </c>
      <c r="Q5177">
        <v>125</v>
      </c>
    </row>
    <row r="5178" spans="1:17" x14ac:dyDescent="0.25">
      <c r="A5178">
        <v>8916</v>
      </c>
      <c r="B5178" t="s">
        <v>798</v>
      </c>
      <c r="C5178">
        <v>43.95</v>
      </c>
      <c r="D5178">
        <v>0.5</v>
      </c>
      <c r="E5178">
        <v>43.4</v>
      </c>
      <c r="F5178">
        <v>43.95</v>
      </c>
      <c r="G5178">
        <v>43.4</v>
      </c>
      <c r="H5178">
        <v>43.61</v>
      </c>
      <c r="I5178" s="1">
        <v>70103</v>
      </c>
      <c r="J5178" s="1">
        <v>3057442</v>
      </c>
      <c r="K5178">
        <v>51</v>
      </c>
      <c r="L5178">
        <v>43.95</v>
      </c>
      <c r="M5178">
        <v>44</v>
      </c>
      <c r="N5178" s="1">
        <v>108939750</v>
      </c>
      <c r="O5178">
        <v>43.95</v>
      </c>
      <c r="P5178">
        <v>48.3</v>
      </c>
      <c r="Q5178">
        <v>39.6</v>
      </c>
    </row>
    <row r="5179" spans="1:17" x14ac:dyDescent="0.25">
      <c r="A5179">
        <v>8917</v>
      </c>
      <c r="B5179" t="s">
        <v>799</v>
      </c>
      <c r="C5179">
        <v>47.2</v>
      </c>
      <c r="D5179">
        <v>0</v>
      </c>
      <c r="E5179">
        <v>47.2</v>
      </c>
      <c r="F5179">
        <v>47.2</v>
      </c>
      <c r="G5179">
        <v>47.2</v>
      </c>
      <c r="H5179">
        <v>47.21</v>
      </c>
      <c r="I5179" s="1">
        <v>1006</v>
      </c>
      <c r="J5179" s="1">
        <v>47489</v>
      </c>
      <c r="K5179">
        <v>2</v>
      </c>
      <c r="L5179">
        <v>46.7</v>
      </c>
      <c r="M5179">
        <v>47.85</v>
      </c>
      <c r="N5179" s="1">
        <v>122203200</v>
      </c>
      <c r="O5179">
        <v>47.2</v>
      </c>
      <c r="P5179">
        <v>51.9</v>
      </c>
      <c r="Q5179">
        <v>42.5</v>
      </c>
    </row>
    <row r="5180" spans="1:17" x14ac:dyDescent="0.25">
      <c r="A5180">
        <v>8921</v>
      </c>
      <c r="B5180" t="s">
        <v>800</v>
      </c>
      <c r="C5180" t="s">
        <v>78</v>
      </c>
      <c r="D5180" t="s">
        <v>78</v>
      </c>
      <c r="E5180" t="s">
        <v>78</v>
      </c>
      <c r="F5180" t="s">
        <v>78</v>
      </c>
      <c r="G5180" t="s">
        <v>78</v>
      </c>
      <c r="H5180">
        <v>13.78</v>
      </c>
      <c r="I5180" s="1">
        <v>23</v>
      </c>
      <c r="J5180" s="1">
        <v>317</v>
      </c>
      <c r="K5180">
        <v>1</v>
      </c>
      <c r="L5180">
        <v>12.6</v>
      </c>
      <c r="M5180">
        <v>13.45</v>
      </c>
      <c r="N5180" s="1">
        <v>46592159</v>
      </c>
      <c r="O5180">
        <v>12.9</v>
      </c>
      <c r="P5180">
        <v>14.15</v>
      </c>
      <c r="Q5180">
        <v>11.65</v>
      </c>
    </row>
    <row r="5181" spans="1:17" x14ac:dyDescent="0.25">
      <c r="A5181">
        <v>8923</v>
      </c>
      <c r="B5181" t="s">
        <v>801</v>
      </c>
      <c r="C5181" t="s">
        <v>78</v>
      </c>
      <c r="D5181" t="s">
        <v>78</v>
      </c>
      <c r="E5181" t="s">
        <v>78</v>
      </c>
      <c r="F5181" t="s">
        <v>78</v>
      </c>
      <c r="G5181" t="s">
        <v>78</v>
      </c>
      <c r="H5181">
        <v>15</v>
      </c>
      <c r="I5181" s="1">
        <v>3</v>
      </c>
      <c r="J5181" s="1">
        <v>45</v>
      </c>
      <c r="K5181">
        <v>3</v>
      </c>
      <c r="L5181">
        <v>14.45</v>
      </c>
      <c r="M5181">
        <v>14.6</v>
      </c>
      <c r="N5181" s="1">
        <v>30375800</v>
      </c>
      <c r="O5181">
        <v>14.45</v>
      </c>
      <c r="P5181">
        <v>15.85</v>
      </c>
      <c r="Q5181">
        <v>13.05</v>
      </c>
    </row>
    <row r="5182" spans="1:17" x14ac:dyDescent="0.25">
      <c r="A5182">
        <v>8924</v>
      </c>
      <c r="B5182" t="s">
        <v>802</v>
      </c>
      <c r="C5182">
        <v>35.200000000000003</v>
      </c>
      <c r="D5182">
        <v>0.1</v>
      </c>
      <c r="E5182">
        <v>35.4</v>
      </c>
      <c r="F5182">
        <v>35.4</v>
      </c>
      <c r="G5182">
        <v>34.700000000000003</v>
      </c>
      <c r="H5182">
        <v>35.11</v>
      </c>
      <c r="I5182" s="1">
        <v>568493</v>
      </c>
      <c r="J5182" s="1">
        <v>19957254</v>
      </c>
      <c r="K5182">
        <v>353</v>
      </c>
      <c r="L5182">
        <v>35.200000000000003</v>
      </c>
      <c r="M5182">
        <v>35.25</v>
      </c>
      <c r="N5182" s="1">
        <v>121263282</v>
      </c>
      <c r="O5182">
        <v>35.200000000000003</v>
      </c>
      <c r="P5182">
        <v>38.700000000000003</v>
      </c>
      <c r="Q5182">
        <v>31.7</v>
      </c>
    </row>
    <row r="5183" spans="1:17" x14ac:dyDescent="0.25">
      <c r="A5183">
        <v>8927</v>
      </c>
      <c r="B5183" t="s">
        <v>803</v>
      </c>
      <c r="C5183">
        <v>11.3</v>
      </c>
      <c r="D5183">
        <v>0</v>
      </c>
      <c r="E5183">
        <v>11.3</v>
      </c>
      <c r="F5183">
        <v>11.3</v>
      </c>
      <c r="G5183">
        <v>11.25</v>
      </c>
      <c r="H5183">
        <v>11.27</v>
      </c>
      <c r="I5183" s="1">
        <v>41784</v>
      </c>
      <c r="J5183" s="1">
        <v>470736</v>
      </c>
      <c r="K5183">
        <v>20</v>
      </c>
      <c r="L5183">
        <v>11.2</v>
      </c>
      <c r="M5183">
        <v>11.3</v>
      </c>
      <c r="N5183" s="1">
        <v>191833166</v>
      </c>
      <c r="O5183">
        <v>11.3</v>
      </c>
      <c r="P5183">
        <v>12.4</v>
      </c>
      <c r="Q5183">
        <v>10.199999999999999</v>
      </c>
    </row>
    <row r="5184" spans="1:17" x14ac:dyDescent="0.25">
      <c r="A5184">
        <v>8928</v>
      </c>
      <c r="B5184" t="s">
        <v>804</v>
      </c>
      <c r="C5184">
        <v>23.8</v>
      </c>
      <c r="D5184">
        <v>0.95</v>
      </c>
      <c r="E5184">
        <v>22.9</v>
      </c>
      <c r="F5184">
        <v>23.8</v>
      </c>
      <c r="G5184">
        <v>22.85</v>
      </c>
      <c r="H5184">
        <v>23.5</v>
      </c>
      <c r="I5184" s="1">
        <v>53286</v>
      </c>
      <c r="J5184" s="1">
        <v>1251978</v>
      </c>
      <c r="K5184">
        <v>37</v>
      </c>
      <c r="L5184">
        <v>22.95</v>
      </c>
      <c r="M5184">
        <v>23.9</v>
      </c>
      <c r="N5184" s="1">
        <v>50854015</v>
      </c>
      <c r="O5184">
        <v>23.8</v>
      </c>
      <c r="P5184">
        <v>26.15</v>
      </c>
      <c r="Q5184">
        <v>21.45</v>
      </c>
    </row>
    <row r="5185" spans="1:17" x14ac:dyDescent="0.25">
      <c r="A5185">
        <v>8929</v>
      </c>
      <c r="B5185" t="s">
        <v>805</v>
      </c>
      <c r="C5185">
        <v>43</v>
      </c>
      <c r="D5185">
        <v>0.25</v>
      </c>
      <c r="E5185">
        <v>42.75</v>
      </c>
      <c r="F5185">
        <v>43</v>
      </c>
      <c r="G5185">
        <v>42.75</v>
      </c>
      <c r="H5185">
        <v>42.86</v>
      </c>
      <c r="I5185" s="1">
        <v>29692</v>
      </c>
      <c r="J5185" s="1">
        <v>1272563</v>
      </c>
      <c r="K5185">
        <v>35</v>
      </c>
      <c r="L5185">
        <v>42.8</v>
      </c>
      <c r="M5185">
        <v>43</v>
      </c>
      <c r="N5185" s="1">
        <v>42702289</v>
      </c>
      <c r="O5185">
        <v>43</v>
      </c>
      <c r="P5185">
        <v>47.3</v>
      </c>
      <c r="Q5185">
        <v>38.700000000000003</v>
      </c>
    </row>
    <row r="5186" spans="1:17" x14ac:dyDescent="0.25">
      <c r="A5186">
        <v>8930</v>
      </c>
      <c r="B5186" t="s">
        <v>806</v>
      </c>
      <c r="C5186">
        <v>14.4</v>
      </c>
      <c r="D5186">
        <v>-0.1</v>
      </c>
      <c r="E5186">
        <v>14.5</v>
      </c>
      <c r="F5186">
        <v>14.5</v>
      </c>
      <c r="G5186">
        <v>14.35</v>
      </c>
      <c r="H5186">
        <v>14.41</v>
      </c>
      <c r="I5186" s="1">
        <v>99000</v>
      </c>
      <c r="J5186" s="1">
        <v>1426850</v>
      </c>
      <c r="K5186">
        <v>44</v>
      </c>
      <c r="L5186">
        <v>14.35</v>
      </c>
      <c r="M5186">
        <v>14.45</v>
      </c>
      <c r="N5186" s="1">
        <v>67423226</v>
      </c>
      <c r="O5186">
        <v>14.4</v>
      </c>
      <c r="P5186">
        <v>15.8</v>
      </c>
      <c r="Q5186">
        <v>13</v>
      </c>
    </row>
    <row r="5187" spans="1:17" x14ac:dyDescent="0.25">
      <c r="A5187">
        <v>8931</v>
      </c>
      <c r="B5187" t="s">
        <v>807</v>
      </c>
      <c r="C5187">
        <v>20.8</v>
      </c>
      <c r="D5187">
        <v>0</v>
      </c>
      <c r="E5187">
        <v>20.8</v>
      </c>
      <c r="F5187">
        <v>20.8</v>
      </c>
      <c r="G5187">
        <v>20.75</v>
      </c>
      <c r="H5187">
        <v>20.79</v>
      </c>
      <c r="I5187" s="1">
        <v>55046</v>
      </c>
      <c r="J5187" s="1">
        <v>1144451</v>
      </c>
      <c r="K5187">
        <v>34</v>
      </c>
      <c r="L5187">
        <v>20.7</v>
      </c>
      <c r="M5187">
        <v>20.85</v>
      </c>
      <c r="N5187" s="1">
        <v>116433202</v>
      </c>
      <c r="O5187">
        <v>20.8</v>
      </c>
      <c r="P5187">
        <v>22.85</v>
      </c>
      <c r="Q5187">
        <v>18.75</v>
      </c>
    </row>
    <row r="5188" spans="1:17" x14ac:dyDescent="0.25">
      <c r="A5188">
        <v>8932</v>
      </c>
      <c r="B5188" t="s">
        <v>808</v>
      </c>
      <c r="C5188">
        <v>8.43</v>
      </c>
      <c r="D5188">
        <v>-0.34</v>
      </c>
      <c r="E5188">
        <v>8.4</v>
      </c>
      <c r="F5188">
        <v>8.43</v>
      </c>
      <c r="G5188">
        <v>8.4</v>
      </c>
      <c r="H5188">
        <v>8.42</v>
      </c>
      <c r="I5188" s="1">
        <v>2000</v>
      </c>
      <c r="J5188" s="1">
        <v>16830</v>
      </c>
      <c r="K5188">
        <v>2</v>
      </c>
      <c r="L5188">
        <v>8.43</v>
      </c>
      <c r="M5188">
        <v>8.5</v>
      </c>
      <c r="N5188" s="1">
        <v>48800000</v>
      </c>
      <c r="O5188">
        <v>8.43</v>
      </c>
      <c r="P5188">
        <v>9.27</v>
      </c>
      <c r="Q5188">
        <v>7.59</v>
      </c>
    </row>
    <row r="5189" spans="1:17" x14ac:dyDescent="0.25">
      <c r="A5189">
        <v>8933</v>
      </c>
      <c r="B5189" t="s">
        <v>809</v>
      </c>
      <c r="C5189">
        <v>14.5</v>
      </c>
      <c r="D5189">
        <v>0.65</v>
      </c>
      <c r="E5189">
        <v>14.05</v>
      </c>
      <c r="F5189">
        <v>14.7</v>
      </c>
      <c r="G5189">
        <v>14</v>
      </c>
      <c r="H5189">
        <v>14.42</v>
      </c>
      <c r="I5189" s="1">
        <v>9824201</v>
      </c>
      <c r="J5189" s="1">
        <v>141645325</v>
      </c>
      <c r="K5189" s="1">
        <v>3179</v>
      </c>
      <c r="L5189">
        <v>14.45</v>
      </c>
      <c r="M5189">
        <v>14.5</v>
      </c>
      <c r="N5189" s="1">
        <v>178376732</v>
      </c>
      <c r="O5189">
        <v>14.5</v>
      </c>
      <c r="P5189">
        <v>15.95</v>
      </c>
      <c r="Q5189">
        <v>13.05</v>
      </c>
    </row>
    <row r="5190" spans="1:17" x14ac:dyDescent="0.25">
      <c r="A5190">
        <v>8934</v>
      </c>
      <c r="B5190" t="s">
        <v>810</v>
      </c>
      <c r="C5190">
        <v>32</v>
      </c>
      <c r="D5190">
        <v>-0.85</v>
      </c>
      <c r="E5190">
        <v>33</v>
      </c>
      <c r="F5190">
        <v>33</v>
      </c>
      <c r="G5190">
        <v>31.85</v>
      </c>
      <c r="H5190">
        <v>32.200000000000003</v>
      </c>
      <c r="I5190" s="1">
        <v>4201</v>
      </c>
      <c r="J5190" s="1">
        <v>135282</v>
      </c>
      <c r="K5190">
        <v>5</v>
      </c>
      <c r="L5190">
        <v>32.5</v>
      </c>
      <c r="M5190">
        <v>33.5</v>
      </c>
      <c r="N5190" s="1">
        <v>8510511</v>
      </c>
      <c r="O5190">
        <v>32</v>
      </c>
      <c r="P5190">
        <v>35.200000000000003</v>
      </c>
      <c r="Q5190">
        <v>28.8</v>
      </c>
    </row>
    <row r="5191" spans="1:17" x14ac:dyDescent="0.25">
      <c r="A5191">
        <v>8935</v>
      </c>
      <c r="B5191" t="s">
        <v>811</v>
      </c>
      <c r="C5191">
        <v>8.1199999999999992</v>
      </c>
      <c r="D5191">
        <v>-0.03</v>
      </c>
      <c r="E5191">
        <v>8.1300000000000008</v>
      </c>
      <c r="F5191">
        <v>8.2799999999999994</v>
      </c>
      <c r="G5191">
        <v>8.1</v>
      </c>
      <c r="H5191">
        <v>8.1300000000000008</v>
      </c>
      <c r="I5191" s="1">
        <v>137028</v>
      </c>
      <c r="J5191" s="1">
        <v>1114072</v>
      </c>
      <c r="K5191">
        <v>74</v>
      </c>
      <c r="L5191">
        <v>8.1199999999999992</v>
      </c>
      <c r="M5191">
        <v>8.19</v>
      </c>
      <c r="N5191" s="1">
        <v>84300000</v>
      </c>
      <c r="O5191">
        <v>8.1199999999999992</v>
      </c>
      <c r="P5191">
        <v>8.93</v>
      </c>
      <c r="Q5191">
        <v>7.31</v>
      </c>
    </row>
    <row r="5192" spans="1:17" x14ac:dyDescent="0.25">
      <c r="A5192">
        <v>8936</v>
      </c>
      <c r="B5192" t="s">
        <v>812</v>
      </c>
      <c r="C5192">
        <v>19</v>
      </c>
      <c r="D5192">
        <v>0.55000000000000004</v>
      </c>
      <c r="E5192">
        <v>18.600000000000001</v>
      </c>
      <c r="F5192">
        <v>19.350000000000001</v>
      </c>
      <c r="G5192">
        <v>18.45</v>
      </c>
      <c r="H5192">
        <v>18.97</v>
      </c>
      <c r="I5192" s="1">
        <v>4208914</v>
      </c>
      <c r="J5192" s="1">
        <v>79842449</v>
      </c>
      <c r="K5192" s="1">
        <v>1774</v>
      </c>
      <c r="L5192">
        <v>18.95</v>
      </c>
      <c r="M5192">
        <v>19</v>
      </c>
      <c r="N5192" s="1">
        <v>225836608</v>
      </c>
      <c r="O5192">
        <v>19</v>
      </c>
      <c r="P5192">
        <v>20.9</v>
      </c>
      <c r="Q5192">
        <v>17.100000000000001</v>
      </c>
    </row>
    <row r="5193" spans="1:17" x14ac:dyDescent="0.25">
      <c r="A5193">
        <v>8937</v>
      </c>
      <c r="B5193" t="s">
        <v>813</v>
      </c>
      <c r="C5193">
        <v>14.65</v>
      </c>
      <c r="D5193">
        <v>0</v>
      </c>
      <c r="E5193">
        <v>15</v>
      </c>
      <c r="F5193">
        <v>15</v>
      </c>
      <c r="G5193">
        <v>14.5</v>
      </c>
      <c r="H5193">
        <v>14.65</v>
      </c>
      <c r="I5193" s="1">
        <v>5041248</v>
      </c>
      <c r="J5193" s="1">
        <v>73849888</v>
      </c>
      <c r="K5193">
        <v>112</v>
      </c>
      <c r="L5193">
        <v>14.6</v>
      </c>
      <c r="M5193">
        <v>14.65</v>
      </c>
      <c r="N5193" s="1">
        <v>72478800</v>
      </c>
      <c r="O5193">
        <v>14.65</v>
      </c>
      <c r="P5193">
        <v>16.100000000000001</v>
      </c>
      <c r="Q5193">
        <v>13.2</v>
      </c>
    </row>
    <row r="5194" spans="1:17" x14ac:dyDescent="0.25">
      <c r="A5194">
        <v>8938</v>
      </c>
      <c r="B5194" t="s">
        <v>814</v>
      </c>
      <c r="C5194">
        <v>35.5</v>
      </c>
      <c r="D5194">
        <v>0.1</v>
      </c>
      <c r="E5194">
        <v>35.4</v>
      </c>
      <c r="F5194">
        <v>35.950000000000003</v>
      </c>
      <c r="G5194">
        <v>35.4</v>
      </c>
      <c r="H5194">
        <v>35.76</v>
      </c>
      <c r="I5194" s="1">
        <v>118031</v>
      </c>
      <c r="J5194" s="1">
        <v>4221194</v>
      </c>
      <c r="K5194">
        <v>97</v>
      </c>
      <c r="L5194">
        <v>35.5</v>
      </c>
      <c r="M5194">
        <v>35.799999999999997</v>
      </c>
      <c r="N5194" s="1">
        <v>135312722</v>
      </c>
      <c r="O5194">
        <v>35.5</v>
      </c>
      <c r="P5194">
        <v>39.049999999999997</v>
      </c>
      <c r="Q5194">
        <v>31.95</v>
      </c>
    </row>
    <row r="5195" spans="1:17" x14ac:dyDescent="0.25">
      <c r="A5195">
        <v>8941</v>
      </c>
      <c r="B5195" t="s">
        <v>815</v>
      </c>
      <c r="C5195">
        <v>68.3</v>
      </c>
      <c r="D5195">
        <v>-0.7</v>
      </c>
      <c r="E5195">
        <v>68</v>
      </c>
      <c r="F5195">
        <v>68.3</v>
      </c>
      <c r="G5195">
        <v>66.7</v>
      </c>
      <c r="H5195">
        <v>67.27</v>
      </c>
      <c r="I5195" s="1">
        <v>34130</v>
      </c>
      <c r="J5195" s="1">
        <v>2296053</v>
      </c>
      <c r="K5195">
        <v>34</v>
      </c>
      <c r="L5195">
        <v>67.5</v>
      </c>
      <c r="M5195">
        <v>68.400000000000006</v>
      </c>
      <c r="N5195" s="1">
        <v>23632403</v>
      </c>
      <c r="O5195">
        <v>68.3</v>
      </c>
      <c r="P5195">
        <v>75.099999999999994</v>
      </c>
      <c r="Q5195">
        <v>61.5</v>
      </c>
    </row>
    <row r="5196" spans="1:17" x14ac:dyDescent="0.25">
      <c r="A5196">
        <v>8942</v>
      </c>
      <c r="B5196" t="s">
        <v>816</v>
      </c>
      <c r="C5196">
        <v>65</v>
      </c>
      <c r="D5196">
        <v>0</v>
      </c>
      <c r="E5196">
        <v>65.2</v>
      </c>
      <c r="F5196">
        <v>65.2</v>
      </c>
      <c r="G5196">
        <v>64.400000000000006</v>
      </c>
      <c r="H5196">
        <v>64.900000000000006</v>
      </c>
      <c r="I5196" s="1">
        <v>435099</v>
      </c>
      <c r="J5196" s="1">
        <v>28236195</v>
      </c>
      <c r="K5196">
        <v>257</v>
      </c>
      <c r="L5196">
        <v>64.599999999999994</v>
      </c>
      <c r="M5196">
        <v>65</v>
      </c>
      <c r="N5196" s="1">
        <v>165840080</v>
      </c>
      <c r="O5196">
        <v>65</v>
      </c>
      <c r="P5196">
        <v>71.5</v>
      </c>
      <c r="Q5196">
        <v>58.5</v>
      </c>
    </row>
    <row r="5197" spans="1:17" x14ac:dyDescent="0.25">
      <c r="A5197">
        <v>9949</v>
      </c>
      <c r="B5197" t="s">
        <v>817</v>
      </c>
      <c r="C5197">
        <v>11.25</v>
      </c>
      <c r="D5197">
        <v>-0.15</v>
      </c>
      <c r="E5197">
        <v>11.65</v>
      </c>
      <c r="F5197">
        <v>11.65</v>
      </c>
      <c r="G5197">
        <v>11.15</v>
      </c>
      <c r="H5197">
        <v>11.24</v>
      </c>
      <c r="I5197" s="1">
        <v>125500</v>
      </c>
      <c r="J5197" s="1">
        <v>1410824</v>
      </c>
      <c r="K5197">
        <v>88</v>
      </c>
      <c r="L5197">
        <v>11.2</v>
      </c>
      <c r="M5197">
        <v>11.25</v>
      </c>
      <c r="N5197" s="1">
        <v>47033360</v>
      </c>
      <c r="O5197">
        <v>11.25</v>
      </c>
      <c r="P5197">
        <v>12.35</v>
      </c>
      <c r="Q5197">
        <v>10.15</v>
      </c>
    </row>
    <row r="5198" spans="1:17" x14ac:dyDescent="0.25">
      <c r="A5198">
        <v>9950</v>
      </c>
      <c r="B5198" t="s">
        <v>818</v>
      </c>
      <c r="C5198">
        <v>13.6</v>
      </c>
      <c r="D5198">
        <v>0</v>
      </c>
      <c r="E5198">
        <v>13.6</v>
      </c>
      <c r="F5198">
        <v>13.6</v>
      </c>
      <c r="G5198">
        <v>13.5</v>
      </c>
      <c r="H5198">
        <v>13.57</v>
      </c>
      <c r="I5198" s="1">
        <v>20616</v>
      </c>
      <c r="J5198" s="1">
        <v>279816</v>
      </c>
      <c r="K5198">
        <v>5</v>
      </c>
      <c r="L5198">
        <v>13.5</v>
      </c>
      <c r="M5198">
        <v>13.7</v>
      </c>
      <c r="N5198" s="1">
        <v>99716309</v>
      </c>
      <c r="O5198">
        <v>13.6</v>
      </c>
      <c r="P5198">
        <v>14.95</v>
      </c>
      <c r="Q5198">
        <v>12.25</v>
      </c>
    </row>
    <row r="5199" spans="1:17" x14ac:dyDescent="0.25">
      <c r="A5199">
        <v>9951</v>
      </c>
      <c r="B5199" t="s">
        <v>819</v>
      </c>
      <c r="C5199">
        <v>175.5</v>
      </c>
      <c r="D5199">
        <v>1</v>
      </c>
      <c r="E5199">
        <v>172</v>
      </c>
      <c r="F5199">
        <v>176.5</v>
      </c>
      <c r="G5199">
        <v>172</v>
      </c>
      <c r="H5199">
        <v>175.24</v>
      </c>
      <c r="I5199" s="1">
        <v>367126</v>
      </c>
      <c r="J5199" s="1">
        <v>64336176</v>
      </c>
      <c r="K5199">
        <v>350</v>
      </c>
      <c r="L5199">
        <v>175.5</v>
      </c>
      <c r="M5199">
        <v>176</v>
      </c>
      <c r="N5199" s="1">
        <v>74900000</v>
      </c>
      <c r="O5199">
        <v>175.5</v>
      </c>
      <c r="P5199">
        <v>193</v>
      </c>
      <c r="Q5199">
        <v>158</v>
      </c>
    </row>
    <row r="5200" spans="1:17" x14ac:dyDescent="0.25">
      <c r="A5200">
        <v>9960</v>
      </c>
      <c r="B5200" t="s">
        <v>820</v>
      </c>
      <c r="C5200">
        <v>36.9</v>
      </c>
      <c r="D5200">
        <v>1.1499999999999999</v>
      </c>
      <c r="E5200">
        <v>35.75</v>
      </c>
      <c r="F5200">
        <v>37.799999999999997</v>
      </c>
      <c r="G5200">
        <v>34.9</v>
      </c>
      <c r="H5200">
        <v>36.25</v>
      </c>
      <c r="I5200" s="1">
        <v>107291</v>
      </c>
      <c r="J5200" s="1">
        <v>3889199</v>
      </c>
      <c r="K5200">
        <v>68</v>
      </c>
      <c r="L5200">
        <v>36.9</v>
      </c>
      <c r="M5200">
        <v>36.950000000000003</v>
      </c>
      <c r="N5200" s="1">
        <v>33592500</v>
      </c>
      <c r="O5200">
        <v>36.9</v>
      </c>
      <c r="P5200">
        <v>40.549999999999997</v>
      </c>
      <c r="Q5200">
        <v>33.25</v>
      </c>
    </row>
    <row r="5201" spans="1:17" x14ac:dyDescent="0.25">
      <c r="A5201">
        <v>9962</v>
      </c>
      <c r="B5201" t="s">
        <v>821</v>
      </c>
      <c r="C5201">
        <v>10.199999999999999</v>
      </c>
      <c r="D5201">
        <v>-0.05</v>
      </c>
      <c r="E5201">
        <v>10.3</v>
      </c>
      <c r="F5201">
        <v>10.3</v>
      </c>
      <c r="G5201">
        <v>10.199999999999999</v>
      </c>
      <c r="H5201">
        <v>10.27</v>
      </c>
      <c r="I5201" s="1">
        <v>15885</v>
      </c>
      <c r="J5201" s="1">
        <v>163137</v>
      </c>
      <c r="K5201">
        <v>12</v>
      </c>
      <c r="L5201">
        <v>10.1</v>
      </c>
      <c r="M5201">
        <v>10.199999999999999</v>
      </c>
      <c r="N5201" s="1">
        <v>90220260</v>
      </c>
      <c r="O5201">
        <v>10.199999999999999</v>
      </c>
      <c r="P5201">
        <v>11.2</v>
      </c>
      <c r="Q5201">
        <v>9.18</v>
      </c>
    </row>
    <row r="5202" spans="1:17" x14ac:dyDescent="0.25">
      <c r="A5202" t="s">
        <v>18</v>
      </c>
      <c r="I5202" s="1"/>
      <c r="J5202" s="1"/>
      <c r="N5202" s="1"/>
    </row>
    <row r="5203" spans="1:17" x14ac:dyDescent="0.25">
      <c r="A5203">
        <v>4415</v>
      </c>
      <c r="B5203" t="s">
        <v>860</v>
      </c>
      <c r="C5203">
        <v>7.5</v>
      </c>
      <c r="D5203">
        <v>0.01</v>
      </c>
      <c r="E5203">
        <v>7.5</v>
      </c>
      <c r="F5203">
        <v>7.5</v>
      </c>
      <c r="G5203">
        <v>7.5</v>
      </c>
      <c r="H5203">
        <v>7.3</v>
      </c>
      <c r="I5203" s="1">
        <v>1940</v>
      </c>
      <c r="J5203" s="1">
        <v>14153</v>
      </c>
      <c r="K5203">
        <v>12</v>
      </c>
      <c r="L5203">
        <v>7.15</v>
      </c>
      <c r="M5203">
        <v>7.8</v>
      </c>
      <c r="N5203" s="1">
        <v>33627168</v>
      </c>
      <c r="O5203">
        <v>7.5</v>
      </c>
      <c r="P5203">
        <v>8.25</v>
      </c>
      <c r="Q5203">
        <v>6.75</v>
      </c>
    </row>
    <row r="5204" spans="1:17" x14ac:dyDescent="0.25">
      <c r="A5204" t="s">
        <v>6402</v>
      </c>
      <c r="F5204" t="s">
        <v>6403</v>
      </c>
      <c r="I5204" s="1"/>
      <c r="J5204" s="1" t="s">
        <v>6404</v>
      </c>
      <c r="N5204" s="1" t="s">
        <v>6405</v>
      </c>
    </row>
    <row r="5205" spans="1:17" x14ac:dyDescent="0.25">
      <c r="A5205" t="s">
        <v>19</v>
      </c>
      <c r="I5205" s="1"/>
      <c r="J5205" s="1"/>
      <c r="N5205" s="1"/>
    </row>
    <row r="5206" spans="1:17" x14ac:dyDescent="0.25">
      <c r="A5206" t="s">
        <v>20</v>
      </c>
      <c r="I5206" s="1"/>
      <c r="J5206" s="1"/>
      <c r="N5206" s="1"/>
    </row>
    <row r="5207" spans="1:17" x14ac:dyDescent="0.25">
      <c r="A5207" t="s">
        <v>6406</v>
      </c>
      <c r="I5207" s="1"/>
      <c r="J5207" s="1"/>
      <c r="N5207" s="1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rgb="FF00B050"/>
  </sheetPr>
  <dimension ref="A1:I24"/>
  <sheetViews>
    <sheetView workbookViewId="0"/>
  </sheetViews>
  <sheetFormatPr defaultRowHeight="16.5" x14ac:dyDescent="0.25"/>
  <cols>
    <col min="1" max="1" width="63.25" bestFit="1" customWidth="1"/>
    <col min="2" max="3" width="9.5" bestFit="1" customWidth="1"/>
    <col min="4" max="7" width="6.5" bestFit="1" customWidth="1"/>
    <col min="8" max="8" width="6.125" bestFit="1" customWidth="1"/>
    <col min="9" max="9" width="7" bestFit="1" customWidth="1"/>
  </cols>
  <sheetData>
    <row r="1" spans="1:9" x14ac:dyDescent="0.25">
      <c r="A1" t="s">
        <v>6595</v>
      </c>
    </row>
    <row r="2" spans="1:9" x14ac:dyDescent="0.25">
      <c r="A2" t="s">
        <v>23</v>
      </c>
      <c r="B2" t="s">
        <v>24</v>
      </c>
      <c r="C2" t="s">
        <v>25</v>
      </c>
      <c r="D2" t="s">
        <v>4</v>
      </c>
      <c r="E2" t="s">
        <v>5</v>
      </c>
      <c r="F2" t="s">
        <v>6</v>
      </c>
      <c r="G2" t="s">
        <v>2</v>
      </c>
      <c r="H2" t="s">
        <v>3</v>
      </c>
      <c r="I2" t="s">
        <v>26</v>
      </c>
    </row>
    <row r="3" spans="1:9" x14ac:dyDescent="0.25">
      <c r="A3" s="9" t="s">
        <v>1365</v>
      </c>
      <c r="B3" s="1">
        <v>2727</v>
      </c>
      <c r="C3" s="1">
        <v>44364</v>
      </c>
      <c r="D3">
        <v>16.55</v>
      </c>
      <c r="E3">
        <v>16.649999999999999</v>
      </c>
      <c r="F3">
        <v>16</v>
      </c>
      <c r="G3">
        <v>16</v>
      </c>
      <c r="H3">
        <v>-0.5</v>
      </c>
      <c r="I3" s="1">
        <v>1101</v>
      </c>
    </row>
    <row r="4" spans="1:9" x14ac:dyDescent="0.25">
      <c r="A4" s="2" t="s">
        <v>1366</v>
      </c>
      <c r="B4">
        <v>822</v>
      </c>
      <c r="C4" s="1">
        <v>13315</v>
      </c>
      <c r="D4">
        <v>16.05</v>
      </c>
      <c r="E4">
        <v>16.350000000000001</v>
      </c>
      <c r="F4">
        <v>16.05</v>
      </c>
      <c r="G4">
        <v>16.2</v>
      </c>
      <c r="H4">
        <v>0.2</v>
      </c>
      <c r="I4">
        <v>383</v>
      </c>
    </row>
    <row r="5" spans="1:9" x14ac:dyDescent="0.25">
      <c r="A5" s="2" t="s">
        <v>1367</v>
      </c>
      <c r="B5" s="1">
        <v>1094</v>
      </c>
      <c r="C5" s="1">
        <v>17610</v>
      </c>
      <c r="D5">
        <v>16.25</v>
      </c>
      <c r="E5">
        <v>16.3</v>
      </c>
      <c r="F5">
        <v>15.95</v>
      </c>
      <c r="G5">
        <v>15.95</v>
      </c>
      <c r="H5">
        <v>-0.25</v>
      </c>
      <c r="I5">
        <v>404</v>
      </c>
    </row>
    <row r="6" spans="1:9" x14ac:dyDescent="0.25">
      <c r="A6" s="2" t="s">
        <v>1368</v>
      </c>
      <c r="B6">
        <v>774</v>
      </c>
      <c r="C6" s="1">
        <v>12280</v>
      </c>
      <c r="D6">
        <v>16.05</v>
      </c>
      <c r="E6">
        <v>16.149999999999999</v>
      </c>
      <c r="F6">
        <v>15.65</v>
      </c>
      <c r="G6">
        <v>15.8</v>
      </c>
      <c r="H6">
        <v>-0.15</v>
      </c>
      <c r="I6">
        <v>381</v>
      </c>
    </row>
    <row r="7" spans="1:9" x14ac:dyDescent="0.25">
      <c r="A7" s="2" t="s">
        <v>1369</v>
      </c>
      <c r="B7">
        <v>956</v>
      </c>
      <c r="C7" s="1">
        <v>14957</v>
      </c>
      <c r="D7">
        <v>15.85</v>
      </c>
      <c r="E7">
        <v>15.9</v>
      </c>
      <c r="F7">
        <v>15.5</v>
      </c>
      <c r="G7">
        <v>15.55</v>
      </c>
      <c r="H7">
        <v>-0.25</v>
      </c>
      <c r="I7">
        <v>372</v>
      </c>
    </row>
    <row r="8" spans="1:9" x14ac:dyDescent="0.25">
      <c r="A8" s="2" t="s">
        <v>1370</v>
      </c>
      <c r="B8">
        <v>891</v>
      </c>
      <c r="C8" s="1">
        <v>13765</v>
      </c>
      <c r="D8">
        <v>15.65</v>
      </c>
      <c r="E8">
        <v>15.8</v>
      </c>
      <c r="F8">
        <v>15.15</v>
      </c>
      <c r="G8">
        <v>15.45</v>
      </c>
      <c r="H8">
        <v>-0.1</v>
      </c>
      <c r="I8">
        <v>466</v>
      </c>
    </row>
    <row r="9" spans="1:9" x14ac:dyDescent="0.25">
      <c r="A9" s="2" t="s">
        <v>1371</v>
      </c>
      <c r="B9" s="1">
        <v>5275</v>
      </c>
      <c r="C9" s="1">
        <v>88251</v>
      </c>
      <c r="D9">
        <v>16.600000000000001</v>
      </c>
      <c r="E9">
        <v>16.95</v>
      </c>
      <c r="F9">
        <v>16.25</v>
      </c>
      <c r="G9">
        <v>16.95</v>
      </c>
      <c r="H9">
        <v>1.5</v>
      </c>
      <c r="I9" s="1">
        <v>1829</v>
      </c>
    </row>
    <row r="10" spans="1:9" x14ac:dyDescent="0.25">
      <c r="A10" s="2" t="s">
        <v>1372</v>
      </c>
      <c r="B10" s="1">
        <v>6737</v>
      </c>
      <c r="C10" s="1">
        <v>115262</v>
      </c>
      <c r="D10">
        <v>17.05</v>
      </c>
      <c r="E10">
        <v>17.5</v>
      </c>
      <c r="F10">
        <v>16.7</v>
      </c>
      <c r="G10">
        <v>16.8</v>
      </c>
      <c r="H10">
        <v>-0.15</v>
      </c>
      <c r="I10" s="1">
        <v>2303</v>
      </c>
    </row>
    <row r="11" spans="1:9" x14ac:dyDescent="0.25">
      <c r="A11" s="2" t="s">
        <v>1373</v>
      </c>
      <c r="B11" s="1">
        <v>1815</v>
      </c>
      <c r="C11" s="1">
        <v>30138</v>
      </c>
      <c r="D11">
        <v>16.5</v>
      </c>
      <c r="E11">
        <v>17</v>
      </c>
      <c r="F11">
        <v>16.3</v>
      </c>
      <c r="G11">
        <v>16.3</v>
      </c>
      <c r="H11">
        <v>-0.5</v>
      </c>
      <c r="I11">
        <v>784</v>
      </c>
    </row>
    <row r="12" spans="1:9" x14ac:dyDescent="0.25">
      <c r="A12" s="2" t="s">
        <v>1374</v>
      </c>
      <c r="B12" s="1">
        <v>2489</v>
      </c>
      <c r="C12" s="1">
        <v>41700</v>
      </c>
      <c r="D12">
        <v>16.600000000000001</v>
      </c>
      <c r="E12">
        <v>16.95</v>
      </c>
      <c r="F12">
        <v>16.45</v>
      </c>
      <c r="G12">
        <v>16.850000000000001</v>
      </c>
      <c r="H12">
        <v>0.55000000000000004</v>
      </c>
      <c r="I12">
        <v>941</v>
      </c>
    </row>
    <row r="13" spans="1:9" x14ac:dyDescent="0.25">
      <c r="A13" s="2" t="s">
        <v>1375</v>
      </c>
      <c r="B13" s="1">
        <v>1199</v>
      </c>
      <c r="C13" s="1">
        <v>19964</v>
      </c>
      <c r="D13">
        <v>16.850000000000001</v>
      </c>
      <c r="E13">
        <v>16.850000000000001</v>
      </c>
      <c r="F13">
        <v>16.5</v>
      </c>
      <c r="G13">
        <v>16.7</v>
      </c>
      <c r="H13">
        <v>-0.15</v>
      </c>
      <c r="I13">
        <v>482</v>
      </c>
    </row>
    <row r="14" spans="1:9" x14ac:dyDescent="0.25">
      <c r="A14" s="2" t="s">
        <v>1376</v>
      </c>
      <c r="B14" s="1">
        <v>3287</v>
      </c>
      <c r="C14" s="1">
        <v>55865</v>
      </c>
      <c r="D14">
        <v>16.75</v>
      </c>
      <c r="E14">
        <v>17.2</v>
      </c>
      <c r="F14">
        <v>16.55</v>
      </c>
      <c r="G14">
        <v>17.100000000000001</v>
      </c>
      <c r="H14">
        <v>0.4</v>
      </c>
      <c r="I14" s="1">
        <v>1043</v>
      </c>
    </row>
    <row r="15" spans="1:9" x14ac:dyDescent="0.25">
      <c r="A15" s="2" t="s">
        <v>1377</v>
      </c>
      <c r="B15" s="1">
        <v>1536</v>
      </c>
      <c r="C15" s="1">
        <v>26105</v>
      </c>
      <c r="D15">
        <v>17</v>
      </c>
      <c r="E15">
        <v>17.2</v>
      </c>
      <c r="F15">
        <v>16.850000000000001</v>
      </c>
      <c r="G15">
        <v>16.899999999999999</v>
      </c>
      <c r="H15">
        <v>-0.2</v>
      </c>
      <c r="I15">
        <v>586</v>
      </c>
    </row>
    <row r="16" spans="1:9" x14ac:dyDescent="0.25">
      <c r="A16" s="2" t="s">
        <v>1378</v>
      </c>
      <c r="B16" s="1">
        <v>5108</v>
      </c>
      <c r="C16" s="1">
        <v>88308</v>
      </c>
      <c r="D16">
        <v>16.75</v>
      </c>
      <c r="E16">
        <v>17.45</v>
      </c>
      <c r="F16">
        <v>16.75</v>
      </c>
      <c r="G16">
        <v>17.25</v>
      </c>
      <c r="H16">
        <v>0.35</v>
      </c>
      <c r="I16" s="1">
        <v>1547</v>
      </c>
    </row>
    <row r="17" spans="1:9" x14ac:dyDescent="0.25">
      <c r="A17" s="2" t="s">
        <v>1379</v>
      </c>
      <c r="B17" s="1">
        <v>1332</v>
      </c>
      <c r="C17" s="1">
        <v>22920</v>
      </c>
      <c r="D17">
        <v>17.25</v>
      </c>
      <c r="E17">
        <v>17.399999999999999</v>
      </c>
      <c r="F17">
        <v>17.05</v>
      </c>
      <c r="G17">
        <v>17.2</v>
      </c>
      <c r="H17">
        <v>-0.05</v>
      </c>
      <c r="I17">
        <v>601</v>
      </c>
    </row>
    <row r="18" spans="1:9" x14ac:dyDescent="0.25">
      <c r="A18" s="2" t="s">
        <v>1380</v>
      </c>
      <c r="B18" s="1">
        <v>1705</v>
      </c>
      <c r="C18" s="1">
        <v>29452</v>
      </c>
      <c r="D18">
        <v>17.3</v>
      </c>
      <c r="E18">
        <v>17.350000000000001</v>
      </c>
      <c r="F18">
        <v>17.149999999999999</v>
      </c>
      <c r="G18">
        <v>17.2</v>
      </c>
      <c r="H18">
        <v>0</v>
      </c>
      <c r="I18">
        <v>632</v>
      </c>
    </row>
    <row r="19" spans="1:9" x14ac:dyDescent="0.25">
      <c r="A19" s="2" t="s">
        <v>1381</v>
      </c>
      <c r="B19" s="1">
        <v>16414</v>
      </c>
      <c r="C19" s="1">
        <v>301722</v>
      </c>
      <c r="D19">
        <v>17.25</v>
      </c>
      <c r="E19">
        <v>18.899999999999999</v>
      </c>
      <c r="F19">
        <v>17.2</v>
      </c>
      <c r="G19">
        <v>18.850000000000001</v>
      </c>
      <c r="H19">
        <v>1.65</v>
      </c>
      <c r="I19" s="1">
        <v>4828</v>
      </c>
    </row>
    <row r="20" spans="1:9" x14ac:dyDescent="0.25">
      <c r="A20" s="2" t="s">
        <v>1382</v>
      </c>
      <c r="B20" s="1">
        <v>13914</v>
      </c>
      <c r="C20" s="1">
        <v>262693</v>
      </c>
      <c r="D20">
        <v>18.75</v>
      </c>
      <c r="E20">
        <v>19.600000000000001</v>
      </c>
      <c r="F20">
        <v>18.100000000000001</v>
      </c>
      <c r="G20">
        <v>18.100000000000001</v>
      </c>
      <c r="H20">
        <v>-0.75</v>
      </c>
      <c r="I20" s="1">
        <v>4715</v>
      </c>
    </row>
    <row r="21" spans="1:9" x14ac:dyDescent="0.25">
      <c r="A21" s="2" t="s">
        <v>1383</v>
      </c>
      <c r="B21" s="1">
        <v>15046</v>
      </c>
      <c r="C21" s="1">
        <v>290787</v>
      </c>
      <c r="D21">
        <v>18.100000000000001</v>
      </c>
      <c r="E21">
        <v>19.899999999999999</v>
      </c>
      <c r="F21">
        <v>18</v>
      </c>
      <c r="G21">
        <v>19.899999999999999</v>
      </c>
      <c r="H21">
        <v>1.8</v>
      </c>
      <c r="I21" s="1">
        <v>5078</v>
      </c>
    </row>
    <row r="22" spans="1:9" x14ac:dyDescent="0.25">
      <c r="A22" s="2" t="s">
        <v>1384</v>
      </c>
      <c r="B22" s="1">
        <v>35099</v>
      </c>
      <c r="C22" s="1">
        <v>739304</v>
      </c>
      <c r="D22">
        <v>20.100000000000001</v>
      </c>
      <c r="E22">
        <v>21.85</v>
      </c>
      <c r="F22">
        <v>20</v>
      </c>
      <c r="G22">
        <v>20.65</v>
      </c>
      <c r="H22">
        <v>0.75</v>
      </c>
      <c r="I22" s="1">
        <v>12038</v>
      </c>
    </row>
    <row r="23" spans="1:9" x14ac:dyDescent="0.25">
      <c r="A23" s="2" t="s">
        <v>1385</v>
      </c>
      <c r="B23" s="1">
        <v>13165</v>
      </c>
      <c r="C23" s="1">
        <v>276622</v>
      </c>
      <c r="D23">
        <v>20.399999999999999</v>
      </c>
      <c r="E23">
        <v>21.4</v>
      </c>
      <c r="F23">
        <v>20.399999999999999</v>
      </c>
      <c r="G23">
        <v>21.2</v>
      </c>
      <c r="H23">
        <v>0.55000000000000004</v>
      </c>
      <c r="I23" s="1">
        <v>4856</v>
      </c>
    </row>
    <row r="24" spans="1:9" x14ac:dyDescent="0.25">
      <c r="A24" s="2" t="s">
        <v>973</v>
      </c>
      <c r="C24" s="1"/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I24"/>
  <sheetViews>
    <sheetView workbookViewId="0">
      <selection activeCell="A3" sqref="A3:I26"/>
    </sheetView>
  </sheetViews>
  <sheetFormatPr defaultRowHeight="16.5" x14ac:dyDescent="0.25"/>
  <cols>
    <col min="1" max="1" width="63.25" customWidth="1"/>
    <col min="2" max="3" width="9.5" customWidth="1"/>
    <col min="4" max="7" width="6.5" customWidth="1"/>
    <col min="8" max="8" width="6.125" customWidth="1"/>
    <col min="9" max="9" width="7" customWidth="1"/>
  </cols>
  <sheetData>
    <row r="1" spans="1:9" x14ac:dyDescent="0.25">
      <c r="A1" t="s">
        <v>6595</v>
      </c>
    </row>
    <row r="2" spans="1:9" x14ac:dyDescent="0.25">
      <c r="A2" t="s">
        <v>23</v>
      </c>
      <c r="B2" t="s">
        <v>24</v>
      </c>
      <c r="C2" t="s">
        <v>25</v>
      </c>
      <c r="D2" t="s">
        <v>4</v>
      </c>
      <c r="E2" t="s">
        <v>5</v>
      </c>
      <c r="F2" t="s">
        <v>6</v>
      </c>
      <c r="G2" t="s">
        <v>2</v>
      </c>
      <c r="H2" t="s">
        <v>3</v>
      </c>
      <c r="I2" t="s">
        <v>26</v>
      </c>
    </row>
    <row r="3" spans="1:9" x14ac:dyDescent="0.25">
      <c r="A3" s="9" t="s">
        <v>1365</v>
      </c>
      <c r="B3" s="1">
        <v>2727</v>
      </c>
      <c r="C3" s="1">
        <v>44364</v>
      </c>
      <c r="D3">
        <v>16.55</v>
      </c>
      <c r="E3">
        <v>16.649999999999999</v>
      </c>
      <c r="F3">
        <v>16</v>
      </c>
      <c r="G3">
        <v>16</v>
      </c>
      <c r="H3">
        <v>-0.5</v>
      </c>
      <c r="I3" s="1">
        <v>1101</v>
      </c>
    </row>
    <row r="4" spans="1:9" x14ac:dyDescent="0.25">
      <c r="A4" t="s">
        <v>1366</v>
      </c>
      <c r="B4" s="1">
        <v>822</v>
      </c>
      <c r="C4" s="1">
        <v>13315</v>
      </c>
      <c r="D4">
        <v>16.05</v>
      </c>
      <c r="E4">
        <v>16.350000000000001</v>
      </c>
      <c r="F4">
        <v>16.05</v>
      </c>
      <c r="G4">
        <v>16.2</v>
      </c>
      <c r="H4">
        <v>0.2</v>
      </c>
      <c r="I4" s="1">
        <v>383</v>
      </c>
    </row>
    <row r="5" spans="1:9" x14ac:dyDescent="0.25">
      <c r="A5" t="s">
        <v>1367</v>
      </c>
      <c r="B5" s="1">
        <v>1094</v>
      </c>
      <c r="C5" s="1">
        <v>17610</v>
      </c>
      <c r="D5">
        <v>16.25</v>
      </c>
      <c r="E5">
        <v>16.3</v>
      </c>
      <c r="F5">
        <v>15.95</v>
      </c>
      <c r="G5">
        <v>15.95</v>
      </c>
      <c r="H5">
        <v>-0.25</v>
      </c>
      <c r="I5" s="1">
        <v>404</v>
      </c>
    </row>
    <row r="6" spans="1:9" x14ac:dyDescent="0.25">
      <c r="A6" t="s">
        <v>1368</v>
      </c>
      <c r="B6" s="1">
        <v>774</v>
      </c>
      <c r="C6" s="1">
        <v>12280</v>
      </c>
      <c r="D6">
        <v>16.05</v>
      </c>
      <c r="E6">
        <v>16.149999999999999</v>
      </c>
      <c r="F6">
        <v>15.65</v>
      </c>
      <c r="G6">
        <v>15.8</v>
      </c>
      <c r="H6">
        <v>-0.15</v>
      </c>
      <c r="I6" s="1">
        <v>381</v>
      </c>
    </row>
    <row r="7" spans="1:9" x14ac:dyDescent="0.25">
      <c r="A7" t="s">
        <v>1369</v>
      </c>
      <c r="B7" s="1">
        <v>956</v>
      </c>
      <c r="C7" s="1">
        <v>14957</v>
      </c>
      <c r="D7">
        <v>15.85</v>
      </c>
      <c r="E7">
        <v>15.9</v>
      </c>
      <c r="F7">
        <v>15.5</v>
      </c>
      <c r="G7">
        <v>15.55</v>
      </c>
      <c r="H7">
        <v>-0.25</v>
      </c>
      <c r="I7" s="1">
        <v>372</v>
      </c>
    </row>
    <row r="8" spans="1:9" x14ac:dyDescent="0.25">
      <c r="A8" t="s">
        <v>1370</v>
      </c>
      <c r="B8" s="1">
        <v>891</v>
      </c>
      <c r="C8" s="1">
        <v>13765</v>
      </c>
      <c r="D8">
        <v>15.65</v>
      </c>
      <c r="E8">
        <v>15.8</v>
      </c>
      <c r="F8">
        <v>15.15</v>
      </c>
      <c r="G8">
        <v>15.45</v>
      </c>
      <c r="H8">
        <v>-0.1</v>
      </c>
      <c r="I8" s="1">
        <v>466</v>
      </c>
    </row>
    <row r="9" spans="1:9" x14ac:dyDescent="0.25">
      <c r="A9" t="s">
        <v>1371</v>
      </c>
      <c r="B9" s="1">
        <v>5275</v>
      </c>
      <c r="C9" s="1">
        <v>88251</v>
      </c>
      <c r="D9">
        <v>16.600000000000001</v>
      </c>
      <c r="E9">
        <v>16.95</v>
      </c>
      <c r="F9">
        <v>16.25</v>
      </c>
      <c r="G9">
        <v>16.95</v>
      </c>
      <c r="H9">
        <v>1.5</v>
      </c>
      <c r="I9" s="1">
        <v>1829</v>
      </c>
    </row>
    <row r="10" spans="1:9" x14ac:dyDescent="0.25">
      <c r="A10" t="s">
        <v>1372</v>
      </c>
      <c r="B10" s="1">
        <v>6737</v>
      </c>
      <c r="C10" s="1">
        <v>115262</v>
      </c>
      <c r="D10">
        <v>17.05</v>
      </c>
      <c r="E10">
        <v>17.5</v>
      </c>
      <c r="F10">
        <v>16.7</v>
      </c>
      <c r="G10">
        <v>16.8</v>
      </c>
      <c r="H10">
        <v>-0.15</v>
      </c>
      <c r="I10" s="1">
        <v>2303</v>
      </c>
    </row>
    <row r="11" spans="1:9" x14ac:dyDescent="0.25">
      <c r="A11" t="s">
        <v>1373</v>
      </c>
      <c r="B11" s="1">
        <v>1815</v>
      </c>
      <c r="C11" s="1">
        <v>30138</v>
      </c>
      <c r="D11">
        <v>16.5</v>
      </c>
      <c r="E11">
        <v>17</v>
      </c>
      <c r="F11">
        <v>16.3</v>
      </c>
      <c r="G11">
        <v>16.3</v>
      </c>
      <c r="H11">
        <v>-0.5</v>
      </c>
      <c r="I11" s="1">
        <v>784</v>
      </c>
    </row>
    <row r="12" spans="1:9" x14ac:dyDescent="0.25">
      <c r="A12" t="s">
        <v>1374</v>
      </c>
      <c r="B12" s="1">
        <v>2489</v>
      </c>
      <c r="C12" s="1">
        <v>41700</v>
      </c>
      <c r="D12">
        <v>16.600000000000001</v>
      </c>
      <c r="E12">
        <v>16.95</v>
      </c>
      <c r="F12">
        <v>16.45</v>
      </c>
      <c r="G12">
        <v>16.850000000000001</v>
      </c>
      <c r="H12">
        <v>0.55000000000000004</v>
      </c>
      <c r="I12" s="1">
        <v>941</v>
      </c>
    </row>
    <row r="13" spans="1:9" x14ac:dyDescent="0.25">
      <c r="A13" t="s">
        <v>1375</v>
      </c>
      <c r="B13" s="1">
        <v>1199</v>
      </c>
      <c r="C13" s="1">
        <v>19964</v>
      </c>
      <c r="D13">
        <v>16.850000000000001</v>
      </c>
      <c r="E13">
        <v>16.850000000000001</v>
      </c>
      <c r="F13">
        <v>16.5</v>
      </c>
      <c r="G13">
        <v>16.7</v>
      </c>
      <c r="H13">
        <v>-0.15</v>
      </c>
      <c r="I13" s="1">
        <v>482</v>
      </c>
    </row>
    <row r="14" spans="1:9" x14ac:dyDescent="0.25">
      <c r="A14" t="s">
        <v>1376</v>
      </c>
      <c r="B14" s="1">
        <v>3287</v>
      </c>
      <c r="C14" s="1">
        <v>55865</v>
      </c>
      <c r="D14">
        <v>16.75</v>
      </c>
      <c r="E14">
        <v>17.2</v>
      </c>
      <c r="F14">
        <v>16.55</v>
      </c>
      <c r="G14">
        <v>17.100000000000001</v>
      </c>
      <c r="H14">
        <v>0.4</v>
      </c>
      <c r="I14" s="1">
        <v>1043</v>
      </c>
    </row>
    <row r="15" spans="1:9" x14ac:dyDescent="0.25">
      <c r="A15" t="s">
        <v>1377</v>
      </c>
      <c r="B15" s="1">
        <v>1536</v>
      </c>
      <c r="C15" s="1">
        <v>26105</v>
      </c>
      <c r="D15">
        <v>17</v>
      </c>
      <c r="E15">
        <v>17.2</v>
      </c>
      <c r="F15">
        <v>16.850000000000001</v>
      </c>
      <c r="G15">
        <v>16.899999999999999</v>
      </c>
      <c r="H15">
        <v>-0.2</v>
      </c>
      <c r="I15" s="1">
        <v>586</v>
      </c>
    </row>
    <row r="16" spans="1:9" x14ac:dyDescent="0.25">
      <c r="A16" t="s">
        <v>1378</v>
      </c>
      <c r="B16" s="1">
        <v>5108</v>
      </c>
      <c r="C16" s="1">
        <v>88308</v>
      </c>
      <c r="D16">
        <v>16.75</v>
      </c>
      <c r="E16">
        <v>17.45</v>
      </c>
      <c r="F16">
        <v>16.75</v>
      </c>
      <c r="G16">
        <v>17.25</v>
      </c>
      <c r="H16">
        <v>0.35</v>
      </c>
      <c r="I16" s="1">
        <v>1547</v>
      </c>
    </row>
    <row r="17" spans="1:9" x14ac:dyDescent="0.25">
      <c r="A17" t="s">
        <v>1379</v>
      </c>
      <c r="B17" s="1">
        <v>1332</v>
      </c>
      <c r="C17" s="1">
        <v>22920</v>
      </c>
      <c r="D17">
        <v>17.25</v>
      </c>
      <c r="E17">
        <v>17.399999999999999</v>
      </c>
      <c r="F17">
        <v>17.05</v>
      </c>
      <c r="G17">
        <v>17.2</v>
      </c>
      <c r="H17">
        <v>-0.05</v>
      </c>
      <c r="I17" s="1">
        <v>601</v>
      </c>
    </row>
    <row r="18" spans="1:9" x14ac:dyDescent="0.25">
      <c r="A18" t="s">
        <v>1380</v>
      </c>
      <c r="B18" s="1">
        <v>1705</v>
      </c>
      <c r="C18" s="1">
        <v>29452</v>
      </c>
      <c r="D18">
        <v>17.3</v>
      </c>
      <c r="E18">
        <v>17.350000000000001</v>
      </c>
      <c r="F18">
        <v>17.149999999999999</v>
      </c>
      <c r="G18">
        <v>17.2</v>
      </c>
      <c r="H18">
        <v>0</v>
      </c>
      <c r="I18" s="1">
        <v>632</v>
      </c>
    </row>
    <row r="19" spans="1:9" x14ac:dyDescent="0.25">
      <c r="A19" t="s">
        <v>1381</v>
      </c>
      <c r="B19" s="1">
        <v>16414</v>
      </c>
      <c r="C19" s="1">
        <v>301722</v>
      </c>
      <c r="D19">
        <v>17.25</v>
      </c>
      <c r="E19">
        <v>18.899999999999999</v>
      </c>
      <c r="F19">
        <v>17.2</v>
      </c>
      <c r="G19">
        <v>18.850000000000001</v>
      </c>
      <c r="H19">
        <v>1.65</v>
      </c>
      <c r="I19" s="1">
        <v>4828</v>
      </c>
    </row>
    <row r="20" spans="1:9" x14ac:dyDescent="0.25">
      <c r="A20" t="s">
        <v>1382</v>
      </c>
      <c r="B20" s="1">
        <v>13914</v>
      </c>
      <c r="C20" s="1">
        <v>262693</v>
      </c>
      <c r="D20">
        <v>18.75</v>
      </c>
      <c r="E20">
        <v>19.600000000000001</v>
      </c>
      <c r="F20">
        <v>18.100000000000001</v>
      </c>
      <c r="G20">
        <v>18.100000000000001</v>
      </c>
      <c r="H20">
        <v>-0.75</v>
      </c>
      <c r="I20" s="1">
        <v>4715</v>
      </c>
    </row>
    <row r="21" spans="1:9" x14ac:dyDescent="0.25">
      <c r="A21" t="s">
        <v>1383</v>
      </c>
      <c r="B21" s="1">
        <v>15046</v>
      </c>
      <c r="C21" s="1">
        <v>290787</v>
      </c>
      <c r="D21">
        <v>18.100000000000001</v>
      </c>
      <c r="E21">
        <v>19.899999999999999</v>
      </c>
      <c r="F21">
        <v>18</v>
      </c>
      <c r="G21">
        <v>19.899999999999999</v>
      </c>
      <c r="H21">
        <v>1.8</v>
      </c>
      <c r="I21" s="1">
        <v>5078</v>
      </c>
    </row>
    <row r="22" spans="1:9" x14ac:dyDescent="0.25">
      <c r="A22" t="s">
        <v>1384</v>
      </c>
      <c r="B22" s="1">
        <v>35099</v>
      </c>
      <c r="C22" s="1">
        <v>739304</v>
      </c>
      <c r="D22">
        <v>20.100000000000001</v>
      </c>
      <c r="E22">
        <v>21.85</v>
      </c>
      <c r="F22">
        <v>20</v>
      </c>
      <c r="G22">
        <v>20.65</v>
      </c>
      <c r="H22">
        <v>0.75</v>
      </c>
      <c r="I22" s="1">
        <v>12038</v>
      </c>
    </row>
    <row r="23" spans="1:9" x14ac:dyDescent="0.25">
      <c r="A23" t="s">
        <v>1385</v>
      </c>
      <c r="B23" s="1">
        <v>13165</v>
      </c>
      <c r="C23" s="1">
        <v>276622</v>
      </c>
      <c r="D23">
        <v>20.399999999999999</v>
      </c>
      <c r="E23">
        <v>21.4</v>
      </c>
      <c r="F23">
        <v>20.399999999999999</v>
      </c>
      <c r="G23">
        <v>21.2</v>
      </c>
      <c r="H23">
        <v>0.55000000000000004</v>
      </c>
      <c r="I23" s="1">
        <v>4856</v>
      </c>
    </row>
    <row r="24" spans="1:9" x14ac:dyDescent="0.25">
      <c r="A24" t="s">
        <v>973</v>
      </c>
      <c r="B24" s="1"/>
      <c r="C24" s="1"/>
      <c r="I24" s="1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>
    <tabColor rgb="FFFFC000"/>
  </sheetPr>
  <dimension ref="A1:I10632"/>
  <sheetViews>
    <sheetView workbookViewId="0">
      <selection sqref="A1:XFD1"/>
    </sheetView>
  </sheetViews>
  <sheetFormatPr defaultRowHeight="16.5" x14ac:dyDescent="0.25"/>
  <sheetData>
    <row r="1" spans="1:9" x14ac:dyDescent="0.25">
      <c r="A1" s="9" t="s">
        <v>1365</v>
      </c>
      <c r="B1" s="1">
        <v>2727</v>
      </c>
      <c r="C1" s="1">
        <v>44364</v>
      </c>
      <c r="D1">
        <v>16.55</v>
      </c>
      <c r="E1">
        <v>16.649999999999999</v>
      </c>
      <c r="F1">
        <v>16</v>
      </c>
      <c r="G1">
        <v>16</v>
      </c>
      <c r="H1">
        <v>-0.5</v>
      </c>
      <c r="I1" s="1">
        <v>1101</v>
      </c>
    </row>
    <row r="2" spans="1:9" x14ac:dyDescent="0.25">
      <c r="A2" t="s">
        <v>1366</v>
      </c>
      <c r="B2" s="1">
        <v>822</v>
      </c>
      <c r="C2" s="1">
        <v>13315</v>
      </c>
      <c r="D2">
        <v>16.05</v>
      </c>
      <c r="E2">
        <v>16.350000000000001</v>
      </c>
      <c r="F2">
        <v>16.05</v>
      </c>
      <c r="G2">
        <v>16.2</v>
      </c>
      <c r="H2">
        <v>0.2</v>
      </c>
      <c r="I2" s="1">
        <v>383</v>
      </c>
    </row>
    <row r="3" spans="1:9" x14ac:dyDescent="0.25">
      <c r="A3" t="s">
        <v>1367</v>
      </c>
      <c r="B3" s="1">
        <v>1094</v>
      </c>
      <c r="C3" s="1">
        <v>17610</v>
      </c>
      <c r="D3">
        <v>16.25</v>
      </c>
      <c r="E3">
        <v>16.3</v>
      </c>
      <c r="F3">
        <v>15.95</v>
      </c>
      <c r="G3">
        <v>15.95</v>
      </c>
      <c r="H3">
        <v>-0.25</v>
      </c>
      <c r="I3" s="1">
        <v>404</v>
      </c>
    </row>
    <row r="4" spans="1:9" x14ac:dyDescent="0.25">
      <c r="A4" t="s">
        <v>1368</v>
      </c>
      <c r="B4" s="1">
        <v>774</v>
      </c>
      <c r="C4" s="1">
        <v>12280</v>
      </c>
      <c r="D4">
        <v>16.05</v>
      </c>
      <c r="E4">
        <v>16.149999999999999</v>
      </c>
      <c r="F4">
        <v>15.65</v>
      </c>
      <c r="G4">
        <v>15.8</v>
      </c>
      <c r="H4">
        <v>-0.15</v>
      </c>
      <c r="I4" s="1">
        <v>381</v>
      </c>
    </row>
    <row r="5" spans="1:9" x14ac:dyDescent="0.25">
      <c r="A5" t="s">
        <v>1369</v>
      </c>
      <c r="B5" s="1">
        <v>956</v>
      </c>
      <c r="C5" s="1">
        <v>14957</v>
      </c>
      <c r="D5">
        <v>15.85</v>
      </c>
      <c r="E5">
        <v>15.9</v>
      </c>
      <c r="F5">
        <v>15.5</v>
      </c>
      <c r="G5">
        <v>15.55</v>
      </c>
      <c r="H5">
        <v>-0.25</v>
      </c>
      <c r="I5" s="1">
        <v>372</v>
      </c>
    </row>
    <row r="6" spans="1:9" x14ac:dyDescent="0.25">
      <c r="A6" t="s">
        <v>1370</v>
      </c>
      <c r="B6" s="1">
        <v>891</v>
      </c>
      <c r="C6" s="1">
        <v>13765</v>
      </c>
      <c r="D6">
        <v>15.65</v>
      </c>
      <c r="E6">
        <v>15.8</v>
      </c>
      <c r="F6">
        <v>15.15</v>
      </c>
      <c r="G6">
        <v>15.45</v>
      </c>
      <c r="H6">
        <v>-0.1</v>
      </c>
      <c r="I6" s="1">
        <v>466</v>
      </c>
    </row>
    <row r="7" spans="1:9" x14ac:dyDescent="0.25">
      <c r="A7" t="s">
        <v>1371</v>
      </c>
      <c r="B7" s="1">
        <v>5275</v>
      </c>
      <c r="C7" s="1">
        <v>88251</v>
      </c>
      <c r="D7">
        <v>16.600000000000001</v>
      </c>
      <c r="E7">
        <v>16.95</v>
      </c>
      <c r="F7">
        <v>16.25</v>
      </c>
      <c r="G7">
        <v>16.95</v>
      </c>
      <c r="H7">
        <v>1.5</v>
      </c>
      <c r="I7" s="1">
        <v>1829</v>
      </c>
    </row>
    <row r="8" spans="1:9" x14ac:dyDescent="0.25">
      <c r="A8" t="s">
        <v>1372</v>
      </c>
      <c r="B8" s="1">
        <v>6737</v>
      </c>
      <c r="C8" s="1">
        <v>115262</v>
      </c>
      <c r="D8">
        <v>17.05</v>
      </c>
      <c r="E8">
        <v>17.5</v>
      </c>
      <c r="F8">
        <v>16.7</v>
      </c>
      <c r="G8">
        <v>16.8</v>
      </c>
      <c r="H8">
        <v>-0.15</v>
      </c>
      <c r="I8" s="1">
        <v>2303</v>
      </c>
    </row>
    <row r="9" spans="1:9" x14ac:dyDescent="0.25">
      <c r="A9" t="s">
        <v>1373</v>
      </c>
      <c r="B9" s="1">
        <v>1815</v>
      </c>
      <c r="C9" s="1">
        <v>30138</v>
      </c>
      <c r="D9">
        <v>16.5</v>
      </c>
      <c r="E9">
        <v>17</v>
      </c>
      <c r="F9">
        <v>16.3</v>
      </c>
      <c r="G9">
        <v>16.3</v>
      </c>
      <c r="H9">
        <v>-0.5</v>
      </c>
      <c r="I9" s="1">
        <v>784</v>
      </c>
    </row>
    <row r="10" spans="1:9" x14ac:dyDescent="0.25">
      <c r="A10" t="s">
        <v>1374</v>
      </c>
      <c r="B10" s="1">
        <v>2489</v>
      </c>
      <c r="C10" s="1">
        <v>41700</v>
      </c>
      <c r="D10">
        <v>16.600000000000001</v>
      </c>
      <c r="E10">
        <v>16.95</v>
      </c>
      <c r="F10">
        <v>16.45</v>
      </c>
      <c r="G10">
        <v>16.850000000000001</v>
      </c>
      <c r="H10">
        <v>0.55000000000000004</v>
      </c>
      <c r="I10" s="1">
        <v>941</v>
      </c>
    </row>
    <row r="11" spans="1:9" x14ac:dyDescent="0.25">
      <c r="A11" t="s">
        <v>1375</v>
      </c>
      <c r="B11" s="1">
        <v>1199</v>
      </c>
      <c r="C11" s="1">
        <v>19964</v>
      </c>
      <c r="D11">
        <v>16.850000000000001</v>
      </c>
      <c r="E11">
        <v>16.850000000000001</v>
      </c>
      <c r="F11">
        <v>16.5</v>
      </c>
      <c r="G11">
        <v>16.7</v>
      </c>
      <c r="H11">
        <v>-0.15</v>
      </c>
      <c r="I11" s="1">
        <v>482</v>
      </c>
    </row>
    <row r="12" spans="1:9" x14ac:dyDescent="0.25">
      <c r="A12" t="s">
        <v>1376</v>
      </c>
      <c r="B12" s="1">
        <v>3287</v>
      </c>
      <c r="C12" s="1">
        <v>55865</v>
      </c>
      <c r="D12">
        <v>16.75</v>
      </c>
      <c r="E12">
        <v>17.2</v>
      </c>
      <c r="F12">
        <v>16.55</v>
      </c>
      <c r="G12">
        <v>17.100000000000001</v>
      </c>
      <c r="H12">
        <v>0.4</v>
      </c>
      <c r="I12" s="1">
        <v>1043</v>
      </c>
    </row>
    <row r="13" spans="1:9" x14ac:dyDescent="0.25">
      <c r="A13" t="s">
        <v>1377</v>
      </c>
      <c r="B13" s="1">
        <v>1536</v>
      </c>
      <c r="C13" s="1">
        <v>26105</v>
      </c>
      <c r="D13">
        <v>17</v>
      </c>
      <c r="E13">
        <v>17.2</v>
      </c>
      <c r="F13">
        <v>16.850000000000001</v>
      </c>
      <c r="G13">
        <v>16.899999999999999</v>
      </c>
      <c r="H13">
        <v>-0.2</v>
      </c>
      <c r="I13" s="1">
        <v>586</v>
      </c>
    </row>
    <row r="14" spans="1:9" x14ac:dyDescent="0.25">
      <c r="A14" t="s">
        <v>1378</v>
      </c>
      <c r="B14" s="1">
        <v>5108</v>
      </c>
      <c r="C14" s="1">
        <v>88308</v>
      </c>
      <c r="D14">
        <v>16.75</v>
      </c>
      <c r="E14">
        <v>17.45</v>
      </c>
      <c r="F14">
        <v>16.75</v>
      </c>
      <c r="G14">
        <v>17.25</v>
      </c>
      <c r="H14">
        <v>0.35</v>
      </c>
      <c r="I14" s="1">
        <v>1547</v>
      </c>
    </row>
    <row r="15" spans="1:9" x14ac:dyDescent="0.25">
      <c r="A15" t="s">
        <v>1379</v>
      </c>
      <c r="B15" s="1">
        <v>1332</v>
      </c>
      <c r="C15" s="1">
        <v>22920</v>
      </c>
      <c r="D15">
        <v>17.25</v>
      </c>
      <c r="E15">
        <v>17.399999999999999</v>
      </c>
      <c r="F15">
        <v>17.05</v>
      </c>
      <c r="G15">
        <v>17.2</v>
      </c>
      <c r="H15">
        <v>-0.05</v>
      </c>
      <c r="I15" s="1">
        <v>601</v>
      </c>
    </row>
    <row r="16" spans="1:9" x14ac:dyDescent="0.25">
      <c r="A16" t="s">
        <v>1380</v>
      </c>
      <c r="B16" s="1">
        <v>1705</v>
      </c>
      <c r="C16" s="1">
        <v>29452</v>
      </c>
      <c r="D16">
        <v>17.3</v>
      </c>
      <c r="E16">
        <v>17.350000000000001</v>
      </c>
      <c r="F16">
        <v>17.149999999999999</v>
      </c>
      <c r="G16">
        <v>17.2</v>
      </c>
      <c r="H16">
        <v>0</v>
      </c>
      <c r="I16" s="1">
        <v>632</v>
      </c>
    </row>
    <row r="17" spans="1:9" x14ac:dyDescent="0.25">
      <c r="A17" t="s">
        <v>1381</v>
      </c>
      <c r="B17" s="1">
        <v>16414</v>
      </c>
      <c r="C17" s="1">
        <v>301722</v>
      </c>
      <c r="D17">
        <v>17.25</v>
      </c>
      <c r="E17">
        <v>18.899999999999999</v>
      </c>
      <c r="F17">
        <v>17.2</v>
      </c>
      <c r="G17">
        <v>18.850000000000001</v>
      </c>
      <c r="H17">
        <v>1.65</v>
      </c>
      <c r="I17" s="1">
        <v>4828</v>
      </c>
    </row>
    <row r="18" spans="1:9" x14ac:dyDescent="0.25">
      <c r="A18" t="s">
        <v>1382</v>
      </c>
      <c r="B18" s="1">
        <v>13914</v>
      </c>
      <c r="C18" s="1">
        <v>262693</v>
      </c>
      <c r="D18">
        <v>18.75</v>
      </c>
      <c r="E18">
        <v>19.600000000000001</v>
      </c>
      <c r="F18">
        <v>18.100000000000001</v>
      </c>
      <c r="G18">
        <v>18.100000000000001</v>
      </c>
      <c r="H18">
        <v>-0.75</v>
      </c>
      <c r="I18" s="1">
        <v>4715</v>
      </c>
    </row>
    <row r="19" spans="1:9" x14ac:dyDescent="0.25">
      <c r="A19" t="s">
        <v>1383</v>
      </c>
      <c r="B19" s="1">
        <v>15046</v>
      </c>
      <c r="C19" s="1">
        <v>290787</v>
      </c>
      <c r="D19">
        <v>18.100000000000001</v>
      </c>
      <c r="E19">
        <v>19.899999999999999</v>
      </c>
      <c r="F19">
        <v>18</v>
      </c>
      <c r="G19">
        <v>19.899999999999999</v>
      </c>
      <c r="H19">
        <v>1.8</v>
      </c>
      <c r="I19" s="1">
        <v>5078</v>
      </c>
    </row>
    <row r="20" spans="1:9" x14ac:dyDescent="0.25">
      <c r="A20" t="s">
        <v>1384</v>
      </c>
      <c r="B20" s="1">
        <v>35099</v>
      </c>
      <c r="C20" s="1">
        <v>739304</v>
      </c>
      <c r="D20">
        <v>20.100000000000001</v>
      </c>
      <c r="E20">
        <v>21.85</v>
      </c>
      <c r="F20">
        <v>20</v>
      </c>
      <c r="G20">
        <v>20.65</v>
      </c>
      <c r="H20">
        <v>0.75</v>
      </c>
      <c r="I20" s="1">
        <v>12038</v>
      </c>
    </row>
    <row r="21" spans="1:9" x14ac:dyDescent="0.25">
      <c r="A21" t="s">
        <v>1385</v>
      </c>
      <c r="B21" s="1">
        <v>13165</v>
      </c>
      <c r="C21" s="1">
        <v>276622</v>
      </c>
      <c r="D21">
        <v>20.399999999999999</v>
      </c>
      <c r="E21">
        <v>21.4</v>
      </c>
      <c r="F21">
        <v>20.399999999999999</v>
      </c>
      <c r="G21">
        <v>21.2</v>
      </c>
      <c r="H21">
        <v>0.55000000000000004</v>
      </c>
      <c r="I21" s="1">
        <v>4856</v>
      </c>
    </row>
    <row r="22" spans="1:9" x14ac:dyDescent="0.25">
      <c r="A22" t="s">
        <v>973</v>
      </c>
      <c r="B22" s="1"/>
      <c r="C22" s="1"/>
      <c r="I22" s="1"/>
    </row>
    <row r="25" spans="1:9" x14ac:dyDescent="0.25">
      <c r="A25" s="9" t="s">
        <v>1343</v>
      </c>
      <c r="B25" s="1">
        <v>537</v>
      </c>
      <c r="C25" s="1">
        <v>7675</v>
      </c>
      <c r="D25">
        <v>14.3</v>
      </c>
      <c r="E25">
        <v>14.4</v>
      </c>
      <c r="F25">
        <v>14.2</v>
      </c>
      <c r="G25">
        <v>14.35</v>
      </c>
      <c r="H25">
        <v>0.05</v>
      </c>
      <c r="I25" s="1">
        <v>265</v>
      </c>
    </row>
    <row r="26" spans="1:9" x14ac:dyDescent="0.25">
      <c r="A26" t="s">
        <v>1344</v>
      </c>
      <c r="B26" s="1">
        <v>1636</v>
      </c>
      <c r="C26" s="1">
        <v>24412</v>
      </c>
      <c r="D26">
        <v>14.45</v>
      </c>
      <c r="E26">
        <v>15.15</v>
      </c>
      <c r="F26">
        <v>14.35</v>
      </c>
      <c r="G26">
        <v>15.05</v>
      </c>
      <c r="H26">
        <v>0.7</v>
      </c>
      <c r="I26" s="1">
        <v>748</v>
      </c>
    </row>
    <row r="27" spans="1:9" x14ac:dyDescent="0.25">
      <c r="A27" t="s">
        <v>1345</v>
      </c>
      <c r="B27" s="1">
        <v>624</v>
      </c>
      <c r="C27" s="1">
        <v>9345</v>
      </c>
      <c r="D27">
        <v>15.15</v>
      </c>
      <c r="E27">
        <v>15.15</v>
      </c>
      <c r="F27">
        <v>14.85</v>
      </c>
      <c r="G27">
        <v>14.85</v>
      </c>
      <c r="H27">
        <v>-0.2</v>
      </c>
      <c r="I27" s="1">
        <v>337</v>
      </c>
    </row>
    <row r="28" spans="1:9" x14ac:dyDescent="0.25">
      <c r="A28" t="s">
        <v>1346</v>
      </c>
      <c r="B28" s="1">
        <v>583</v>
      </c>
      <c r="C28" s="1">
        <v>8572</v>
      </c>
      <c r="D28">
        <v>14.85</v>
      </c>
      <c r="E28">
        <v>14.85</v>
      </c>
      <c r="F28">
        <v>14.55</v>
      </c>
      <c r="G28">
        <v>14.75</v>
      </c>
      <c r="H28">
        <v>-0.1</v>
      </c>
      <c r="I28" s="1">
        <v>235</v>
      </c>
    </row>
    <row r="29" spans="1:9" x14ac:dyDescent="0.25">
      <c r="A29" t="s">
        <v>1347</v>
      </c>
      <c r="B29" s="1">
        <v>405</v>
      </c>
      <c r="C29" s="1">
        <v>5985</v>
      </c>
      <c r="D29">
        <v>14.75</v>
      </c>
      <c r="E29">
        <v>14.85</v>
      </c>
      <c r="F29">
        <v>14.7</v>
      </c>
      <c r="G29">
        <v>14.8</v>
      </c>
      <c r="H29">
        <v>0.05</v>
      </c>
      <c r="I29" s="1">
        <v>191</v>
      </c>
    </row>
    <row r="30" spans="1:9" x14ac:dyDescent="0.25">
      <c r="A30" t="s">
        <v>1348</v>
      </c>
      <c r="B30" s="1">
        <v>849</v>
      </c>
      <c r="C30" s="1">
        <v>12873</v>
      </c>
      <c r="D30">
        <v>14.85</v>
      </c>
      <c r="E30">
        <v>15.35</v>
      </c>
      <c r="F30">
        <v>14.85</v>
      </c>
      <c r="G30">
        <v>15.15</v>
      </c>
      <c r="H30">
        <v>0.35</v>
      </c>
      <c r="I30" s="1">
        <v>441</v>
      </c>
    </row>
    <row r="31" spans="1:9" x14ac:dyDescent="0.25">
      <c r="A31" t="s">
        <v>1349</v>
      </c>
      <c r="B31" s="1">
        <v>1003</v>
      </c>
      <c r="C31" s="1">
        <v>15216</v>
      </c>
      <c r="D31">
        <v>15.2</v>
      </c>
      <c r="E31">
        <v>15.3</v>
      </c>
      <c r="F31">
        <v>15</v>
      </c>
      <c r="G31">
        <v>15.2</v>
      </c>
      <c r="H31">
        <v>0.05</v>
      </c>
      <c r="I31" s="1">
        <v>352</v>
      </c>
    </row>
    <row r="32" spans="1:9" x14ac:dyDescent="0.25">
      <c r="A32" t="s">
        <v>1350</v>
      </c>
      <c r="B32" s="1">
        <v>751</v>
      </c>
      <c r="C32" s="1">
        <v>11503</v>
      </c>
      <c r="D32">
        <v>15.1</v>
      </c>
      <c r="E32">
        <v>15.6</v>
      </c>
      <c r="F32">
        <v>15.05</v>
      </c>
      <c r="G32">
        <v>15.6</v>
      </c>
      <c r="H32">
        <v>0.4</v>
      </c>
      <c r="I32" s="1">
        <v>334</v>
      </c>
    </row>
    <row r="33" spans="1:9" x14ac:dyDescent="0.25">
      <c r="A33" t="s">
        <v>1351</v>
      </c>
      <c r="B33" s="1">
        <v>3236</v>
      </c>
      <c r="C33" s="1">
        <v>51433</v>
      </c>
      <c r="D33">
        <v>15.6</v>
      </c>
      <c r="E33">
        <v>16.100000000000001</v>
      </c>
      <c r="F33">
        <v>15.6</v>
      </c>
      <c r="G33">
        <v>15.7</v>
      </c>
      <c r="H33">
        <v>0.1</v>
      </c>
      <c r="I33" s="1">
        <v>1095</v>
      </c>
    </row>
    <row r="34" spans="1:9" x14ac:dyDescent="0.25">
      <c r="A34" t="s">
        <v>1352</v>
      </c>
      <c r="B34" s="1">
        <v>1513</v>
      </c>
      <c r="C34" s="1">
        <v>23084</v>
      </c>
      <c r="D34">
        <v>15.65</v>
      </c>
      <c r="E34">
        <v>15.65</v>
      </c>
      <c r="F34">
        <v>15.1</v>
      </c>
      <c r="G34">
        <v>15.25</v>
      </c>
      <c r="H34">
        <v>-0.45</v>
      </c>
      <c r="I34" s="1">
        <v>638</v>
      </c>
    </row>
    <row r="35" spans="1:9" x14ac:dyDescent="0.25">
      <c r="A35" t="s">
        <v>1353</v>
      </c>
      <c r="B35" s="1">
        <v>513</v>
      </c>
      <c r="C35" s="1">
        <v>7868</v>
      </c>
      <c r="D35">
        <v>15.2</v>
      </c>
      <c r="E35">
        <v>15.5</v>
      </c>
      <c r="F35">
        <v>15.2</v>
      </c>
      <c r="G35">
        <v>15.25</v>
      </c>
      <c r="H35">
        <v>0</v>
      </c>
      <c r="I35" s="1">
        <v>236</v>
      </c>
    </row>
    <row r="36" spans="1:9" x14ac:dyDescent="0.25">
      <c r="A36" t="s">
        <v>1354</v>
      </c>
      <c r="B36" s="1">
        <v>820</v>
      </c>
      <c r="C36" s="1">
        <v>12373</v>
      </c>
      <c r="D36">
        <v>15.25</v>
      </c>
      <c r="E36">
        <v>15.25</v>
      </c>
      <c r="F36">
        <v>14.95</v>
      </c>
      <c r="G36">
        <v>15.05</v>
      </c>
      <c r="H36">
        <v>-0.2</v>
      </c>
      <c r="I36" s="1">
        <v>345</v>
      </c>
    </row>
    <row r="37" spans="1:9" x14ac:dyDescent="0.25">
      <c r="A37" t="s">
        <v>1355</v>
      </c>
      <c r="B37" s="1">
        <v>401</v>
      </c>
      <c r="C37" s="1">
        <v>6066</v>
      </c>
      <c r="D37">
        <v>15.05</v>
      </c>
      <c r="E37">
        <v>15.2</v>
      </c>
      <c r="F37">
        <v>15.05</v>
      </c>
      <c r="G37">
        <v>15.15</v>
      </c>
      <c r="H37">
        <v>0.1</v>
      </c>
      <c r="I37" s="1">
        <v>230</v>
      </c>
    </row>
    <row r="38" spans="1:9" x14ac:dyDescent="0.25">
      <c r="A38" t="s">
        <v>1356</v>
      </c>
      <c r="B38" s="1">
        <v>550</v>
      </c>
      <c r="C38" s="1">
        <v>8356</v>
      </c>
      <c r="D38">
        <v>15.35</v>
      </c>
      <c r="E38">
        <v>15.35</v>
      </c>
      <c r="F38">
        <v>15.1</v>
      </c>
      <c r="G38">
        <v>15.15</v>
      </c>
      <c r="H38">
        <v>0</v>
      </c>
      <c r="I38" s="1">
        <v>252</v>
      </c>
    </row>
    <row r="39" spans="1:9" x14ac:dyDescent="0.25">
      <c r="A39" t="s">
        <v>1357</v>
      </c>
      <c r="B39" s="1">
        <v>1380</v>
      </c>
      <c r="C39" s="1">
        <v>21150</v>
      </c>
      <c r="D39">
        <v>15.2</v>
      </c>
      <c r="E39">
        <v>15.45</v>
      </c>
      <c r="F39">
        <v>15.1</v>
      </c>
      <c r="G39">
        <v>15.3</v>
      </c>
      <c r="H39">
        <v>0.15</v>
      </c>
      <c r="I39" s="1">
        <v>456</v>
      </c>
    </row>
    <row r="40" spans="1:9" x14ac:dyDescent="0.25">
      <c r="A40" t="s">
        <v>1358</v>
      </c>
      <c r="B40" s="1">
        <v>19223</v>
      </c>
      <c r="C40" s="1">
        <v>318002</v>
      </c>
      <c r="D40">
        <v>15.5</v>
      </c>
      <c r="E40">
        <v>16.8</v>
      </c>
      <c r="F40">
        <v>15.4</v>
      </c>
      <c r="G40">
        <v>16.8</v>
      </c>
      <c r="H40">
        <v>1.5</v>
      </c>
      <c r="I40" s="1">
        <v>4947</v>
      </c>
    </row>
    <row r="41" spans="1:9" x14ac:dyDescent="0.25">
      <c r="A41" t="s">
        <v>1359</v>
      </c>
      <c r="B41" s="1">
        <v>21876</v>
      </c>
      <c r="C41" s="1">
        <v>376618</v>
      </c>
      <c r="D41">
        <v>16.899999999999999</v>
      </c>
      <c r="E41">
        <v>17.649999999999999</v>
      </c>
      <c r="F41">
        <v>16.55</v>
      </c>
      <c r="G41">
        <v>17.2</v>
      </c>
      <c r="H41">
        <v>0.4</v>
      </c>
      <c r="I41" s="1">
        <v>5759</v>
      </c>
    </row>
    <row r="42" spans="1:9" x14ac:dyDescent="0.25">
      <c r="A42" t="s">
        <v>1360</v>
      </c>
      <c r="B42" s="1">
        <v>4733</v>
      </c>
      <c r="C42" s="1">
        <v>79534</v>
      </c>
      <c r="D42">
        <v>16.95</v>
      </c>
      <c r="E42">
        <v>17.2</v>
      </c>
      <c r="F42">
        <v>16.600000000000001</v>
      </c>
      <c r="G42">
        <v>16.7</v>
      </c>
      <c r="H42">
        <v>-0.5</v>
      </c>
      <c r="I42" s="1">
        <v>1622</v>
      </c>
    </row>
    <row r="43" spans="1:9" x14ac:dyDescent="0.25">
      <c r="A43" t="s">
        <v>1361</v>
      </c>
      <c r="B43" s="1">
        <v>2841</v>
      </c>
      <c r="C43" s="1">
        <v>46600</v>
      </c>
      <c r="D43">
        <v>16.7</v>
      </c>
      <c r="E43">
        <v>16.7</v>
      </c>
      <c r="F43">
        <v>16.25</v>
      </c>
      <c r="G43">
        <v>16.5</v>
      </c>
      <c r="H43">
        <v>-0.2</v>
      </c>
      <c r="I43" s="1">
        <v>1126</v>
      </c>
    </row>
    <row r="44" spans="1:9" x14ac:dyDescent="0.25">
      <c r="A44" t="s">
        <v>1362</v>
      </c>
      <c r="B44" s="1">
        <v>4992</v>
      </c>
      <c r="C44" s="1">
        <v>84548</v>
      </c>
      <c r="D44">
        <v>16.5</v>
      </c>
      <c r="E44">
        <v>17.2</v>
      </c>
      <c r="F44">
        <v>16.5</v>
      </c>
      <c r="G44">
        <v>16.7</v>
      </c>
      <c r="H44">
        <v>0.2</v>
      </c>
      <c r="I44" s="1">
        <v>1588</v>
      </c>
    </row>
    <row r="45" spans="1:9" x14ac:dyDescent="0.25">
      <c r="A45" t="s">
        <v>1363</v>
      </c>
      <c r="B45" s="1">
        <v>1655</v>
      </c>
      <c r="C45" s="1">
        <v>27888</v>
      </c>
      <c r="D45">
        <v>16.8</v>
      </c>
      <c r="E45">
        <v>17</v>
      </c>
      <c r="F45">
        <v>16.75</v>
      </c>
      <c r="G45">
        <v>16.850000000000001</v>
      </c>
      <c r="H45">
        <v>0.15</v>
      </c>
      <c r="I45" s="1">
        <v>622</v>
      </c>
    </row>
    <row r="46" spans="1:9" x14ac:dyDescent="0.25">
      <c r="A46" t="s">
        <v>1364</v>
      </c>
      <c r="B46" s="1">
        <v>2068</v>
      </c>
      <c r="C46" s="1">
        <v>34411</v>
      </c>
      <c r="D46">
        <v>16.899999999999999</v>
      </c>
      <c r="E46">
        <v>16.95</v>
      </c>
      <c r="F46">
        <v>16.5</v>
      </c>
      <c r="G46">
        <v>16.5</v>
      </c>
      <c r="H46">
        <v>-0.35</v>
      </c>
      <c r="I46" s="1">
        <v>725</v>
      </c>
    </row>
    <row r="47" spans="1:9" x14ac:dyDescent="0.25">
      <c r="A47" t="s">
        <v>1177</v>
      </c>
      <c r="B47" s="1"/>
      <c r="C47" s="1"/>
      <c r="I47" s="1"/>
    </row>
    <row r="49" spans="1:9" x14ac:dyDescent="0.25">
      <c r="A49" s="9" t="s">
        <v>1324</v>
      </c>
      <c r="B49" s="1">
        <v>1036</v>
      </c>
      <c r="C49" s="1">
        <v>16443</v>
      </c>
      <c r="D49">
        <v>16</v>
      </c>
      <c r="E49">
        <v>16</v>
      </c>
      <c r="F49">
        <v>15.7</v>
      </c>
      <c r="G49">
        <v>15.85</v>
      </c>
      <c r="H49">
        <v>-0.15</v>
      </c>
      <c r="I49" s="1">
        <v>550</v>
      </c>
    </row>
    <row r="50" spans="1:9" x14ac:dyDescent="0.25">
      <c r="A50" t="s">
        <v>1325</v>
      </c>
      <c r="B50" s="1">
        <v>983</v>
      </c>
      <c r="C50" s="1">
        <v>15451</v>
      </c>
      <c r="D50">
        <v>15.85</v>
      </c>
      <c r="E50">
        <v>15.95</v>
      </c>
      <c r="F50">
        <v>15.55</v>
      </c>
      <c r="G50">
        <v>15.55</v>
      </c>
      <c r="H50">
        <v>-0.3</v>
      </c>
      <c r="I50" s="1">
        <v>432</v>
      </c>
    </row>
    <row r="51" spans="1:9" x14ac:dyDescent="0.25">
      <c r="A51" t="s">
        <v>1326</v>
      </c>
      <c r="B51" s="1">
        <v>1118</v>
      </c>
      <c r="C51" s="1">
        <v>17747</v>
      </c>
      <c r="D51">
        <v>15.65</v>
      </c>
      <c r="E51">
        <v>16</v>
      </c>
      <c r="F51">
        <v>15.6</v>
      </c>
      <c r="G51">
        <v>16</v>
      </c>
      <c r="H51">
        <v>0.45</v>
      </c>
      <c r="I51" s="1">
        <v>547</v>
      </c>
    </row>
    <row r="52" spans="1:9" x14ac:dyDescent="0.25">
      <c r="A52" t="s">
        <v>1327</v>
      </c>
      <c r="B52" s="1">
        <v>1987</v>
      </c>
      <c r="C52" s="1">
        <v>31834</v>
      </c>
      <c r="D52">
        <v>16.05</v>
      </c>
      <c r="E52">
        <v>16.2</v>
      </c>
      <c r="F52">
        <v>15.8</v>
      </c>
      <c r="G52">
        <v>15.85</v>
      </c>
      <c r="H52">
        <v>-0.15</v>
      </c>
      <c r="I52" s="1">
        <v>693</v>
      </c>
    </row>
    <row r="53" spans="1:9" x14ac:dyDescent="0.25">
      <c r="A53" t="s">
        <v>1328</v>
      </c>
      <c r="B53" s="1">
        <v>774</v>
      </c>
      <c r="C53" s="1">
        <v>12215</v>
      </c>
      <c r="D53">
        <v>15.95</v>
      </c>
      <c r="E53">
        <v>15.95</v>
      </c>
      <c r="F53">
        <v>15.6</v>
      </c>
      <c r="G53">
        <v>15.6</v>
      </c>
      <c r="H53">
        <v>-0.25</v>
      </c>
      <c r="I53" s="1">
        <v>417</v>
      </c>
    </row>
    <row r="54" spans="1:9" x14ac:dyDescent="0.25">
      <c r="A54" t="s">
        <v>1329</v>
      </c>
      <c r="B54" s="1">
        <v>981</v>
      </c>
      <c r="C54" s="1">
        <v>15451</v>
      </c>
      <c r="D54">
        <v>15.7</v>
      </c>
      <c r="E54">
        <v>15.9</v>
      </c>
      <c r="F54">
        <v>15.65</v>
      </c>
      <c r="G54">
        <v>15.8</v>
      </c>
      <c r="H54">
        <v>0.2</v>
      </c>
      <c r="I54" s="1">
        <v>363</v>
      </c>
    </row>
    <row r="55" spans="1:9" x14ac:dyDescent="0.25">
      <c r="A55" t="s">
        <v>1330</v>
      </c>
      <c r="B55" s="1">
        <v>713</v>
      </c>
      <c r="C55" s="1">
        <v>11257</v>
      </c>
      <c r="D55">
        <v>15.85</v>
      </c>
      <c r="E55">
        <v>15.9</v>
      </c>
      <c r="F55">
        <v>15.7</v>
      </c>
      <c r="G55">
        <v>15.7</v>
      </c>
      <c r="H55">
        <v>-0.1</v>
      </c>
      <c r="I55" s="1">
        <v>349</v>
      </c>
    </row>
    <row r="56" spans="1:9" x14ac:dyDescent="0.25">
      <c r="A56" t="s">
        <v>1331</v>
      </c>
      <c r="B56" s="1">
        <v>1683</v>
      </c>
      <c r="C56" s="1">
        <v>26016</v>
      </c>
      <c r="D56">
        <v>15.8</v>
      </c>
      <c r="E56">
        <v>15.8</v>
      </c>
      <c r="F56">
        <v>15.3</v>
      </c>
      <c r="G56">
        <v>15.35</v>
      </c>
      <c r="H56">
        <v>-0.35</v>
      </c>
      <c r="I56" s="1">
        <v>746</v>
      </c>
    </row>
    <row r="57" spans="1:9" x14ac:dyDescent="0.25">
      <c r="A57" t="s">
        <v>1332</v>
      </c>
      <c r="B57" s="1">
        <v>1723</v>
      </c>
      <c r="C57" s="1">
        <v>26850</v>
      </c>
      <c r="D57">
        <v>15.4</v>
      </c>
      <c r="E57">
        <v>15.8</v>
      </c>
      <c r="F57">
        <v>15.35</v>
      </c>
      <c r="G57">
        <v>15.55</v>
      </c>
      <c r="H57">
        <v>0.2</v>
      </c>
      <c r="I57" s="1">
        <v>593</v>
      </c>
    </row>
    <row r="58" spans="1:9" x14ac:dyDescent="0.25">
      <c r="A58" t="s">
        <v>1333</v>
      </c>
      <c r="B58" s="1">
        <v>979</v>
      </c>
      <c r="C58" s="1">
        <v>15144</v>
      </c>
      <c r="D58">
        <v>15.5</v>
      </c>
      <c r="E58">
        <v>15.7</v>
      </c>
      <c r="F58">
        <v>15.25</v>
      </c>
      <c r="G58">
        <v>15.35</v>
      </c>
      <c r="H58">
        <v>-0.2</v>
      </c>
      <c r="I58" s="1">
        <v>414</v>
      </c>
    </row>
    <row r="59" spans="1:9" x14ac:dyDescent="0.25">
      <c r="A59" t="s">
        <v>1334</v>
      </c>
      <c r="B59" s="1">
        <v>1154</v>
      </c>
      <c r="C59" s="1">
        <v>17651</v>
      </c>
      <c r="D59">
        <v>15.35</v>
      </c>
      <c r="E59">
        <v>15.55</v>
      </c>
      <c r="F59">
        <v>15.15</v>
      </c>
      <c r="G59">
        <v>15.3</v>
      </c>
      <c r="H59">
        <v>-0.05</v>
      </c>
      <c r="I59" s="1">
        <v>483</v>
      </c>
    </row>
    <row r="60" spans="1:9" x14ac:dyDescent="0.25">
      <c r="A60" t="s">
        <v>1335</v>
      </c>
      <c r="B60" s="1">
        <v>2379</v>
      </c>
      <c r="C60" s="1">
        <v>36504</v>
      </c>
      <c r="D60">
        <v>15.4</v>
      </c>
      <c r="E60">
        <v>15.55</v>
      </c>
      <c r="F60">
        <v>14.95</v>
      </c>
      <c r="G60">
        <v>15.3</v>
      </c>
      <c r="H60">
        <v>0</v>
      </c>
      <c r="I60" s="1">
        <v>713</v>
      </c>
    </row>
    <row r="61" spans="1:9" x14ac:dyDescent="0.25">
      <c r="A61" t="s">
        <v>1336</v>
      </c>
      <c r="B61" s="1">
        <v>767</v>
      </c>
      <c r="C61" s="1">
        <v>11913</v>
      </c>
      <c r="D61">
        <v>15.55</v>
      </c>
      <c r="E61">
        <v>15.65</v>
      </c>
      <c r="F61">
        <v>15.4</v>
      </c>
      <c r="G61">
        <v>15.55</v>
      </c>
      <c r="H61">
        <v>0.25</v>
      </c>
      <c r="I61" s="1">
        <v>327</v>
      </c>
    </row>
    <row r="62" spans="1:9" x14ac:dyDescent="0.25">
      <c r="A62" t="s">
        <v>1337</v>
      </c>
      <c r="B62" s="1">
        <v>793</v>
      </c>
      <c r="C62" s="1">
        <v>12116</v>
      </c>
      <c r="D62">
        <v>15.55</v>
      </c>
      <c r="E62">
        <v>15.55</v>
      </c>
      <c r="F62">
        <v>15.2</v>
      </c>
      <c r="G62">
        <v>15.25</v>
      </c>
      <c r="H62">
        <v>-0.3</v>
      </c>
      <c r="I62" s="1">
        <v>402</v>
      </c>
    </row>
    <row r="63" spans="1:9" x14ac:dyDescent="0.25">
      <c r="A63" t="s">
        <v>1338</v>
      </c>
      <c r="B63" s="1">
        <v>1125</v>
      </c>
      <c r="C63" s="1">
        <v>16994</v>
      </c>
      <c r="D63">
        <v>15.3</v>
      </c>
      <c r="E63">
        <v>15.3</v>
      </c>
      <c r="F63">
        <v>15</v>
      </c>
      <c r="G63">
        <v>15.05</v>
      </c>
      <c r="H63">
        <v>-0.2</v>
      </c>
      <c r="I63" s="1">
        <v>508</v>
      </c>
    </row>
    <row r="64" spans="1:9" x14ac:dyDescent="0.25">
      <c r="A64" t="s">
        <v>1339</v>
      </c>
      <c r="B64" s="1">
        <v>1824</v>
      </c>
      <c r="C64" s="1">
        <v>27023</v>
      </c>
      <c r="D64">
        <v>15.05</v>
      </c>
      <c r="E64">
        <v>15.05</v>
      </c>
      <c r="F64">
        <v>14.65</v>
      </c>
      <c r="G64">
        <v>14.75</v>
      </c>
      <c r="H64">
        <v>-0.3</v>
      </c>
      <c r="I64" s="1">
        <v>649</v>
      </c>
    </row>
    <row r="65" spans="1:9" x14ac:dyDescent="0.25">
      <c r="A65" t="s">
        <v>1340</v>
      </c>
      <c r="B65" s="1">
        <v>1042</v>
      </c>
      <c r="C65" s="1">
        <v>15434</v>
      </c>
      <c r="D65">
        <v>14.85</v>
      </c>
      <c r="E65">
        <v>14.95</v>
      </c>
      <c r="F65">
        <v>14.7</v>
      </c>
      <c r="G65">
        <v>14.7</v>
      </c>
      <c r="H65">
        <v>-0.05</v>
      </c>
      <c r="I65" s="1">
        <v>422</v>
      </c>
    </row>
    <row r="66" spans="1:9" x14ac:dyDescent="0.25">
      <c r="A66" t="s">
        <v>1341</v>
      </c>
      <c r="B66" s="1">
        <v>1564</v>
      </c>
      <c r="C66" s="1">
        <v>22569</v>
      </c>
      <c r="D66">
        <v>14.7</v>
      </c>
      <c r="E66">
        <v>14.85</v>
      </c>
      <c r="F66">
        <v>14.2</v>
      </c>
      <c r="G66">
        <v>14.2</v>
      </c>
      <c r="H66">
        <v>-0.5</v>
      </c>
      <c r="I66" s="1">
        <v>588</v>
      </c>
    </row>
    <row r="67" spans="1:9" x14ac:dyDescent="0.25">
      <c r="A67" t="s">
        <v>1342</v>
      </c>
      <c r="B67" s="1">
        <v>946</v>
      </c>
      <c r="C67" s="1">
        <v>13459</v>
      </c>
      <c r="D67">
        <v>14.2</v>
      </c>
      <c r="E67">
        <v>14.45</v>
      </c>
      <c r="F67">
        <v>14.05</v>
      </c>
      <c r="G67">
        <v>14.3</v>
      </c>
      <c r="H67">
        <v>0.1</v>
      </c>
      <c r="I67" s="1">
        <v>370</v>
      </c>
    </row>
    <row r="68" spans="1:9" x14ac:dyDescent="0.25">
      <c r="A68" t="s">
        <v>1030</v>
      </c>
      <c r="B68" s="1"/>
      <c r="C68" s="1"/>
      <c r="I68" s="1"/>
    </row>
    <row r="73" spans="1:9" x14ac:dyDescent="0.25">
      <c r="A73" s="9" t="s">
        <v>1302</v>
      </c>
      <c r="B73" s="1">
        <v>9848</v>
      </c>
      <c r="C73" s="1">
        <v>147296</v>
      </c>
      <c r="D73">
        <v>14.75</v>
      </c>
      <c r="E73">
        <v>15.2</v>
      </c>
      <c r="F73">
        <v>14.7</v>
      </c>
      <c r="G73">
        <v>15.1</v>
      </c>
      <c r="H73">
        <v>0.6</v>
      </c>
      <c r="I73" s="1">
        <v>2506</v>
      </c>
    </row>
    <row r="74" spans="1:9" x14ac:dyDescent="0.25">
      <c r="A74" t="s">
        <v>1303</v>
      </c>
      <c r="B74" s="1">
        <v>20827</v>
      </c>
      <c r="C74" s="1">
        <v>326859</v>
      </c>
      <c r="D74">
        <v>15.3</v>
      </c>
      <c r="E74">
        <v>16.05</v>
      </c>
      <c r="F74">
        <v>15.2</v>
      </c>
      <c r="G74">
        <v>15.5</v>
      </c>
      <c r="H74">
        <v>0.4</v>
      </c>
      <c r="I74" s="1">
        <v>5528</v>
      </c>
    </row>
    <row r="75" spans="1:9" x14ac:dyDescent="0.25">
      <c r="A75" t="s">
        <v>1304</v>
      </c>
      <c r="B75" s="1">
        <v>5528</v>
      </c>
      <c r="C75" s="1">
        <v>85830</v>
      </c>
      <c r="D75">
        <v>15.65</v>
      </c>
      <c r="E75">
        <v>15.75</v>
      </c>
      <c r="F75">
        <v>15.35</v>
      </c>
      <c r="G75">
        <v>15.55</v>
      </c>
      <c r="H75">
        <v>0.05</v>
      </c>
      <c r="I75" s="1">
        <v>1767</v>
      </c>
    </row>
    <row r="76" spans="1:9" x14ac:dyDescent="0.25">
      <c r="A76" t="s">
        <v>1305</v>
      </c>
      <c r="B76" s="1">
        <v>11013</v>
      </c>
      <c r="C76" s="1">
        <v>176059</v>
      </c>
      <c r="D76">
        <v>15.55</v>
      </c>
      <c r="E76">
        <v>16.399999999999999</v>
      </c>
      <c r="F76">
        <v>15.5</v>
      </c>
      <c r="G76">
        <v>15.8</v>
      </c>
      <c r="H76">
        <v>0.25</v>
      </c>
      <c r="I76" s="1">
        <v>3358</v>
      </c>
    </row>
    <row r="77" spans="1:9" x14ac:dyDescent="0.25">
      <c r="A77" t="s">
        <v>1306</v>
      </c>
      <c r="B77" s="1">
        <v>6822</v>
      </c>
      <c r="C77" s="1">
        <v>106150</v>
      </c>
      <c r="D77">
        <v>16.05</v>
      </c>
      <c r="E77">
        <v>16.05</v>
      </c>
      <c r="F77">
        <v>15.05</v>
      </c>
      <c r="G77">
        <v>15.2</v>
      </c>
      <c r="H77">
        <v>-0.6</v>
      </c>
      <c r="I77" s="1">
        <v>2288</v>
      </c>
    </row>
    <row r="78" spans="1:9" x14ac:dyDescent="0.25">
      <c r="A78" t="s">
        <v>1307</v>
      </c>
      <c r="B78" s="1">
        <v>3841</v>
      </c>
      <c r="C78" s="1">
        <v>58897</v>
      </c>
      <c r="D78">
        <v>15.4</v>
      </c>
      <c r="E78">
        <v>15.6</v>
      </c>
      <c r="F78">
        <v>15.15</v>
      </c>
      <c r="G78">
        <v>15.2</v>
      </c>
      <c r="H78">
        <v>0</v>
      </c>
      <c r="I78" s="1">
        <v>1343</v>
      </c>
    </row>
    <row r="79" spans="1:9" x14ac:dyDescent="0.25">
      <c r="A79" t="s">
        <v>1308</v>
      </c>
      <c r="B79" s="1">
        <v>5734</v>
      </c>
      <c r="C79" s="1">
        <v>85372</v>
      </c>
      <c r="D79">
        <v>15</v>
      </c>
      <c r="E79">
        <v>15.15</v>
      </c>
      <c r="F79">
        <v>14.7</v>
      </c>
      <c r="G79">
        <v>14.9</v>
      </c>
      <c r="H79">
        <v>-0.3</v>
      </c>
      <c r="I79" s="1">
        <v>1553</v>
      </c>
    </row>
    <row r="80" spans="1:9" x14ac:dyDescent="0.25">
      <c r="A80" t="s">
        <v>1309</v>
      </c>
      <c r="B80" s="1">
        <v>4299</v>
      </c>
      <c r="C80" s="1">
        <v>64348</v>
      </c>
      <c r="D80">
        <v>14.9</v>
      </c>
      <c r="E80">
        <v>15.15</v>
      </c>
      <c r="F80">
        <v>14.85</v>
      </c>
      <c r="G80">
        <v>15.15</v>
      </c>
      <c r="H80">
        <v>0.25</v>
      </c>
      <c r="I80" s="1">
        <v>1174</v>
      </c>
    </row>
    <row r="81" spans="1:9" x14ac:dyDescent="0.25">
      <c r="A81" t="s">
        <v>1310</v>
      </c>
      <c r="B81" s="1">
        <v>4997</v>
      </c>
      <c r="C81" s="1">
        <v>75173</v>
      </c>
      <c r="D81">
        <v>15.25</v>
      </c>
      <c r="E81">
        <v>15.3</v>
      </c>
      <c r="F81">
        <v>14.9</v>
      </c>
      <c r="G81">
        <v>15</v>
      </c>
      <c r="H81">
        <v>-0.15</v>
      </c>
      <c r="I81" s="1">
        <v>1332</v>
      </c>
    </row>
    <row r="82" spans="1:9" x14ac:dyDescent="0.25">
      <c r="A82" t="s">
        <v>1321</v>
      </c>
      <c r="B82" s="1">
        <v>6550</v>
      </c>
      <c r="C82" s="1">
        <v>103610</v>
      </c>
      <c r="D82">
        <v>17</v>
      </c>
      <c r="E82">
        <v>17</v>
      </c>
      <c r="F82">
        <v>15.35</v>
      </c>
      <c r="G82">
        <v>15.85</v>
      </c>
      <c r="H82">
        <v>-1.1499999999999999</v>
      </c>
      <c r="I82" s="1">
        <v>2584</v>
      </c>
    </row>
    <row r="83" spans="1:9" x14ac:dyDescent="0.25">
      <c r="A83" t="s">
        <v>1322</v>
      </c>
      <c r="B83" s="1">
        <v>1709</v>
      </c>
      <c r="C83" s="1">
        <v>26477</v>
      </c>
      <c r="D83">
        <v>15.85</v>
      </c>
      <c r="E83">
        <v>15.9</v>
      </c>
      <c r="F83">
        <v>15.15</v>
      </c>
      <c r="G83">
        <v>15.5</v>
      </c>
      <c r="H83">
        <v>-0.35</v>
      </c>
      <c r="I83" s="1">
        <v>1052</v>
      </c>
    </row>
    <row r="84" spans="1:9" x14ac:dyDescent="0.25">
      <c r="A84" t="s">
        <v>1323</v>
      </c>
      <c r="B84" s="1">
        <v>2067</v>
      </c>
      <c r="C84" s="1">
        <v>33052</v>
      </c>
      <c r="D84">
        <v>15.7</v>
      </c>
      <c r="E84">
        <v>16.2</v>
      </c>
      <c r="F84">
        <v>15.7</v>
      </c>
      <c r="G84">
        <v>16</v>
      </c>
      <c r="H84">
        <v>0.5</v>
      </c>
      <c r="I84" s="1">
        <v>1006</v>
      </c>
    </row>
    <row r="85" spans="1:9" x14ac:dyDescent="0.25">
      <c r="A85" t="s">
        <v>7651</v>
      </c>
      <c r="B85" s="1"/>
      <c r="C85" s="1"/>
      <c r="I85" s="1"/>
    </row>
    <row r="97" spans="1:9" x14ac:dyDescent="0.25">
      <c r="A97" s="9" t="s">
        <v>1279</v>
      </c>
      <c r="B97" s="1">
        <v>1245</v>
      </c>
      <c r="C97" s="1">
        <v>16491</v>
      </c>
      <c r="D97">
        <v>13.25</v>
      </c>
      <c r="E97">
        <v>13.3</v>
      </c>
      <c r="F97">
        <v>13.15</v>
      </c>
      <c r="G97">
        <v>13.3</v>
      </c>
      <c r="H97">
        <v>0.15</v>
      </c>
      <c r="I97" s="1">
        <v>445</v>
      </c>
    </row>
    <row r="98" spans="1:9" x14ac:dyDescent="0.25">
      <c r="A98" t="s">
        <v>1280</v>
      </c>
      <c r="B98" s="1">
        <v>10564</v>
      </c>
      <c r="C98" s="1">
        <v>147898</v>
      </c>
      <c r="D98">
        <v>13.4</v>
      </c>
      <c r="E98">
        <v>14.3</v>
      </c>
      <c r="F98">
        <v>13.4</v>
      </c>
      <c r="G98">
        <v>13.95</v>
      </c>
      <c r="H98">
        <v>0.65</v>
      </c>
      <c r="I98" s="1">
        <v>3012</v>
      </c>
    </row>
    <row r="99" spans="1:9" x14ac:dyDescent="0.25">
      <c r="A99" t="s">
        <v>1281</v>
      </c>
      <c r="B99" s="1">
        <v>24058</v>
      </c>
      <c r="C99" s="1">
        <v>359613</v>
      </c>
      <c r="D99">
        <v>14.1</v>
      </c>
      <c r="E99">
        <v>15.3</v>
      </c>
      <c r="F99">
        <v>14.1</v>
      </c>
      <c r="G99">
        <v>14.7</v>
      </c>
      <c r="H99">
        <v>0.75</v>
      </c>
      <c r="I99" s="1">
        <v>5652</v>
      </c>
    </row>
    <row r="100" spans="1:9" x14ac:dyDescent="0.25">
      <c r="A100" t="s">
        <v>1282</v>
      </c>
      <c r="B100" s="1">
        <v>4905</v>
      </c>
      <c r="C100" s="1">
        <v>73195</v>
      </c>
      <c r="D100">
        <v>14.9</v>
      </c>
      <c r="E100">
        <v>15.2</v>
      </c>
      <c r="F100">
        <v>14.7</v>
      </c>
      <c r="G100">
        <v>14.95</v>
      </c>
      <c r="H100">
        <v>0.25</v>
      </c>
      <c r="I100" s="1">
        <v>1639</v>
      </c>
    </row>
    <row r="101" spans="1:9" x14ac:dyDescent="0.25">
      <c r="A101" t="s">
        <v>1283</v>
      </c>
      <c r="B101" s="1">
        <v>5157</v>
      </c>
      <c r="C101" s="1">
        <v>76678</v>
      </c>
      <c r="D101">
        <v>15.05</v>
      </c>
      <c r="E101">
        <v>15.2</v>
      </c>
      <c r="F101">
        <v>14.65</v>
      </c>
      <c r="G101">
        <v>14.7</v>
      </c>
      <c r="H101">
        <v>-0.25</v>
      </c>
      <c r="I101" s="1">
        <v>1387</v>
      </c>
    </row>
    <row r="102" spans="1:9" x14ac:dyDescent="0.25">
      <c r="A102" t="s">
        <v>1284</v>
      </c>
      <c r="B102" s="1">
        <v>4073</v>
      </c>
      <c r="C102" s="1">
        <v>58431</v>
      </c>
      <c r="D102">
        <v>14.9</v>
      </c>
      <c r="E102">
        <v>14.9</v>
      </c>
      <c r="F102">
        <v>13.95</v>
      </c>
      <c r="G102">
        <v>13.95</v>
      </c>
      <c r="H102">
        <v>-0.75</v>
      </c>
      <c r="I102" s="1">
        <v>1141</v>
      </c>
    </row>
    <row r="103" spans="1:9" x14ac:dyDescent="0.25">
      <c r="A103" t="s">
        <v>1285</v>
      </c>
      <c r="B103" s="1">
        <v>2660</v>
      </c>
      <c r="C103" s="1">
        <v>37664</v>
      </c>
      <c r="D103">
        <v>14</v>
      </c>
      <c r="E103">
        <v>14.5</v>
      </c>
      <c r="F103">
        <v>13.95</v>
      </c>
      <c r="G103">
        <v>14.1</v>
      </c>
      <c r="H103">
        <v>0.15</v>
      </c>
      <c r="I103" s="1">
        <v>984</v>
      </c>
    </row>
    <row r="104" spans="1:9" x14ac:dyDescent="0.25">
      <c r="A104" t="s">
        <v>1286</v>
      </c>
      <c r="B104" s="1">
        <v>4375</v>
      </c>
      <c r="C104" s="1">
        <v>59766</v>
      </c>
      <c r="D104">
        <v>14.25</v>
      </c>
      <c r="E104">
        <v>14.35</v>
      </c>
      <c r="F104">
        <v>13.35</v>
      </c>
      <c r="G104">
        <v>13.4</v>
      </c>
      <c r="H104">
        <v>-0.7</v>
      </c>
      <c r="I104" s="1">
        <v>1392</v>
      </c>
    </row>
    <row r="105" spans="1:9" x14ac:dyDescent="0.25">
      <c r="A105" t="s">
        <v>1287</v>
      </c>
      <c r="B105" s="1">
        <v>1463</v>
      </c>
      <c r="C105" s="1">
        <v>19829</v>
      </c>
      <c r="D105">
        <v>13.3</v>
      </c>
      <c r="E105">
        <v>13.7</v>
      </c>
      <c r="F105">
        <v>13.3</v>
      </c>
      <c r="G105">
        <v>13.65</v>
      </c>
      <c r="H105">
        <v>0.25</v>
      </c>
      <c r="I105" s="1">
        <v>527</v>
      </c>
    </row>
    <row r="106" spans="1:9" x14ac:dyDescent="0.25">
      <c r="A106" t="s">
        <v>1288</v>
      </c>
      <c r="B106" s="1">
        <v>1740</v>
      </c>
      <c r="C106" s="1">
        <v>23578</v>
      </c>
      <c r="D106">
        <v>13.8</v>
      </c>
      <c r="E106">
        <v>13.9</v>
      </c>
      <c r="F106">
        <v>13.35</v>
      </c>
      <c r="G106">
        <v>13.4</v>
      </c>
      <c r="H106">
        <v>-0.25</v>
      </c>
      <c r="I106" s="1">
        <v>534</v>
      </c>
    </row>
    <row r="107" spans="1:9" x14ac:dyDescent="0.25">
      <c r="A107" t="s">
        <v>1289</v>
      </c>
      <c r="B107" s="1">
        <v>1309</v>
      </c>
      <c r="C107" s="1">
        <v>17757</v>
      </c>
      <c r="D107">
        <v>13.55</v>
      </c>
      <c r="E107">
        <v>13.75</v>
      </c>
      <c r="F107">
        <v>13.45</v>
      </c>
      <c r="G107">
        <v>13.5</v>
      </c>
      <c r="H107">
        <v>0.1</v>
      </c>
      <c r="I107" s="1">
        <v>420</v>
      </c>
    </row>
    <row r="108" spans="1:9" x14ac:dyDescent="0.25">
      <c r="A108" t="s">
        <v>1290</v>
      </c>
      <c r="B108" s="1">
        <v>3581</v>
      </c>
      <c r="C108" s="1">
        <v>50306</v>
      </c>
      <c r="D108">
        <v>13.5</v>
      </c>
      <c r="E108">
        <v>14.3</v>
      </c>
      <c r="F108">
        <v>13.5</v>
      </c>
      <c r="G108">
        <v>14.15</v>
      </c>
      <c r="H108">
        <v>0.65</v>
      </c>
      <c r="I108" s="1">
        <v>1022</v>
      </c>
    </row>
    <row r="109" spans="1:9" x14ac:dyDescent="0.25">
      <c r="A109" t="s">
        <v>1291</v>
      </c>
      <c r="B109" s="1">
        <v>2636</v>
      </c>
      <c r="C109" s="1">
        <v>37879</v>
      </c>
      <c r="D109">
        <v>14.3</v>
      </c>
      <c r="E109">
        <v>14.5</v>
      </c>
      <c r="F109">
        <v>14.25</v>
      </c>
      <c r="G109">
        <v>14.25</v>
      </c>
      <c r="H109">
        <v>0.1</v>
      </c>
      <c r="I109" s="1">
        <v>803</v>
      </c>
    </row>
    <row r="110" spans="1:9" x14ac:dyDescent="0.25">
      <c r="A110" t="s">
        <v>1292</v>
      </c>
      <c r="B110" s="1">
        <v>1572</v>
      </c>
      <c r="C110" s="1">
        <v>22075</v>
      </c>
      <c r="D110">
        <v>14.2</v>
      </c>
      <c r="E110">
        <v>14.2</v>
      </c>
      <c r="F110">
        <v>13.95</v>
      </c>
      <c r="G110">
        <v>14.1</v>
      </c>
      <c r="H110">
        <v>-0.15</v>
      </c>
      <c r="I110" s="1">
        <v>403</v>
      </c>
    </row>
    <row r="111" spans="1:9" x14ac:dyDescent="0.25">
      <c r="A111" t="s">
        <v>1293</v>
      </c>
      <c r="B111" s="1">
        <v>1577</v>
      </c>
      <c r="C111" s="1">
        <v>22293</v>
      </c>
      <c r="D111">
        <v>14.25</v>
      </c>
      <c r="E111">
        <v>14.3</v>
      </c>
      <c r="F111">
        <v>13.95</v>
      </c>
      <c r="G111">
        <v>14.05</v>
      </c>
      <c r="H111">
        <v>-0.05</v>
      </c>
      <c r="I111" s="1">
        <v>467</v>
      </c>
    </row>
    <row r="112" spans="1:9" x14ac:dyDescent="0.25">
      <c r="A112" t="s">
        <v>1294</v>
      </c>
      <c r="B112" s="1">
        <v>1259</v>
      </c>
      <c r="C112" s="1">
        <v>17722</v>
      </c>
      <c r="D112">
        <v>14.1</v>
      </c>
      <c r="E112">
        <v>14.2</v>
      </c>
      <c r="F112">
        <v>14</v>
      </c>
      <c r="G112">
        <v>14.05</v>
      </c>
      <c r="H112">
        <v>0</v>
      </c>
      <c r="I112" s="1">
        <v>371</v>
      </c>
    </row>
    <row r="113" spans="1:9" x14ac:dyDescent="0.25">
      <c r="A113" s="9" t="s">
        <v>1295</v>
      </c>
      <c r="B113" s="1">
        <v>1410</v>
      </c>
      <c r="C113" s="1">
        <v>19849</v>
      </c>
      <c r="D113">
        <v>14.2</v>
      </c>
      <c r="E113">
        <v>14.25</v>
      </c>
      <c r="F113">
        <v>13.9</v>
      </c>
      <c r="G113">
        <v>14.05</v>
      </c>
      <c r="H113">
        <v>0</v>
      </c>
      <c r="I113" s="1">
        <v>471</v>
      </c>
    </row>
    <row r="114" spans="1:9" x14ac:dyDescent="0.25">
      <c r="A114" t="s">
        <v>1296</v>
      </c>
      <c r="B114" s="1">
        <v>1903</v>
      </c>
      <c r="C114" s="1">
        <v>26771</v>
      </c>
      <c r="D114">
        <v>14.1</v>
      </c>
      <c r="E114">
        <v>14.15</v>
      </c>
      <c r="F114">
        <v>14</v>
      </c>
      <c r="G114">
        <v>14.05</v>
      </c>
      <c r="H114">
        <v>0</v>
      </c>
      <c r="I114" s="1">
        <v>577</v>
      </c>
    </row>
    <row r="115" spans="1:9" x14ac:dyDescent="0.25">
      <c r="A115" s="9" t="s">
        <v>1297</v>
      </c>
      <c r="B115" s="1">
        <v>1719</v>
      </c>
      <c r="C115" s="1">
        <v>24270</v>
      </c>
      <c r="D115">
        <v>14.15</v>
      </c>
      <c r="E115">
        <v>14.2</v>
      </c>
      <c r="F115">
        <v>14.05</v>
      </c>
      <c r="G115">
        <v>14.2</v>
      </c>
      <c r="H115">
        <v>0.15</v>
      </c>
      <c r="I115" s="1">
        <v>590</v>
      </c>
    </row>
    <row r="116" spans="1:9" x14ac:dyDescent="0.25">
      <c r="A116" t="s">
        <v>1298</v>
      </c>
      <c r="B116" s="1">
        <v>5192</v>
      </c>
      <c r="C116" s="1">
        <v>75792</v>
      </c>
      <c r="D116">
        <v>14.25</v>
      </c>
      <c r="E116">
        <v>15.05</v>
      </c>
      <c r="F116">
        <v>14.15</v>
      </c>
      <c r="G116">
        <v>14.9</v>
      </c>
      <c r="H116">
        <v>0.7</v>
      </c>
      <c r="I116" s="1">
        <v>1550</v>
      </c>
    </row>
    <row r="117" spans="1:9" x14ac:dyDescent="0.25">
      <c r="A117" s="9" t="s">
        <v>1299</v>
      </c>
      <c r="B117" s="1">
        <v>12441</v>
      </c>
      <c r="C117" s="1">
        <v>189740</v>
      </c>
      <c r="D117">
        <v>15.15</v>
      </c>
      <c r="E117">
        <v>15.55</v>
      </c>
      <c r="F117">
        <v>15</v>
      </c>
      <c r="G117">
        <v>15</v>
      </c>
      <c r="H117">
        <v>0.1</v>
      </c>
      <c r="I117" s="1">
        <v>3490</v>
      </c>
    </row>
    <row r="118" spans="1:9" x14ac:dyDescent="0.25">
      <c r="A118" t="s">
        <v>1300</v>
      </c>
      <c r="B118" s="1">
        <v>9351</v>
      </c>
      <c r="C118" s="1">
        <v>135542</v>
      </c>
      <c r="D118">
        <v>15.1</v>
      </c>
      <c r="E118">
        <v>15.15</v>
      </c>
      <c r="F118">
        <v>14.05</v>
      </c>
      <c r="G118">
        <v>14.35</v>
      </c>
      <c r="H118">
        <v>-0.65</v>
      </c>
      <c r="I118" s="1">
        <v>2686</v>
      </c>
    </row>
    <row r="119" spans="1:9" x14ac:dyDescent="0.25">
      <c r="A119" s="9" t="s">
        <v>1301</v>
      </c>
      <c r="B119" s="1">
        <v>3382</v>
      </c>
      <c r="C119" s="1">
        <v>49203</v>
      </c>
      <c r="D119">
        <v>14.25</v>
      </c>
      <c r="E119">
        <v>14.7</v>
      </c>
      <c r="F119">
        <v>14.25</v>
      </c>
      <c r="G119">
        <v>14.5</v>
      </c>
      <c r="H119">
        <v>0.15</v>
      </c>
      <c r="I119" s="1">
        <v>1072</v>
      </c>
    </row>
    <row r="120" spans="1:9" x14ac:dyDescent="0.25">
      <c r="A120" t="s">
        <v>951</v>
      </c>
      <c r="B120" s="1"/>
      <c r="C120" s="1"/>
      <c r="I120" s="1"/>
    </row>
    <row r="121" spans="1:9" x14ac:dyDescent="0.25">
      <c r="A121" s="9" t="s">
        <v>1258</v>
      </c>
      <c r="B121" s="1">
        <v>975</v>
      </c>
      <c r="C121" s="1">
        <v>12170</v>
      </c>
      <c r="D121">
        <v>12.5</v>
      </c>
      <c r="E121">
        <v>12.6</v>
      </c>
      <c r="F121">
        <v>12.35</v>
      </c>
      <c r="G121">
        <v>12.55</v>
      </c>
      <c r="H121">
        <v>0</v>
      </c>
      <c r="I121" s="1">
        <v>367</v>
      </c>
    </row>
    <row r="122" spans="1:9" x14ac:dyDescent="0.25">
      <c r="A122" t="s">
        <v>1259</v>
      </c>
      <c r="B122" s="1">
        <v>1379</v>
      </c>
      <c r="C122" s="1">
        <v>17191</v>
      </c>
      <c r="D122">
        <v>12.5</v>
      </c>
      <c r="E122">
        <v>12.6</v>
      </c>
      <c r="F122">
        <v>12.35</v>
      </c>
      <c r="G122">
        <v>12.4</v>
      </c>
      <c r="H122">
        <v>-0.15</v>
      </c>
      <c r="I122" s="1">
        <v>397</v>
      </c>
    </row>
    <row r="123" spans="1:9" x14ac:dyDescent="0.25">
      <c r="A123" t="s">
        <v>1260</v>
      </c>
      <c r="B123" s="1">
        <v>975</v>
      </c>
      <c r="C123" s="1">
        <v>12183</v>
      </c>
      <c r="D123">
        <v>12.4</v>
      </c>
      <c r="E123">
        <v>12.65</v>
      </c>
      <c r="F123">
        <v>12.3</v>
      </c>
      <c r="G123">
        <v>12.6</v>
      </c>
      <c r="H123">
        <v>0.2</v>
      </c>
      <c r="I123" s="1">
        <v>391</v>
      </c>
    </row>
    <row r="124" spans="1:9" x14ac:dyDescent="0.25">
      <c r="A124" t="s">
        <v>1261</v>
      </c>
      <c r="B124" s="1">
        <v>3773</v>
      </c>
      <c r="C124" s="1">
        <v>49220</v>
      </c>
      <c r="D124">
        <v>12.6</v>
      </c>
      <c r="E124">
        <v>13.35</v>
      </c>
      <c r="F124">
        <v>12.6</v>
      </c>
      <c r="G124">
        <v>13</v>
      </c>
      <c r="H124">
        <v>0.4</v>
      </c>
      <c r="I124" s="1">
        <v>1142</v>
      </c>
    </row>
    <row r="125" spans="1:9" x14ac:dyDescent="0.25">
      <c r="A125" t="s">
        <v>1262</v>
      </c>
      <c r="B125" s="1">
        <v>1032</v>
      </c>
      <c r="C125" s="1">
        <v>13255</v>
      </c>
      <c r="D125">
        <v>13</v>
      </c>
      <c r="E125">
        <v>13.05</v>
      </c>
      <c r="F125">
        <v>12.65</v>
      </c>
      <c r="G125">
        <v>12.7</v>
      </c>
      <c r="H125">
        <v>-0.3</v>
      </c>
      <c r="I125" s="1">
        <v>342</v>
      </c>
    </row>
    <row r="126" spans="1:9" x14ac:dyDescent="0.25">
      <c r="A126" t="s">
        <v>1263</v>
      </c>
      <c r="B126" s="1">
        <v>650</v>
      </c>
      <c r="C126" s="1">
        <v>8249</v>
      </c>
      <c r="D126">
        <v>12.75</v>
      </c>
      <c r="E126">
        <v>12.95</v>
      </c>
      <c r="F126">
        <v>12.5</v>
      </c>
      <c r="G126">
        <v>12.5</v>
      </c>
      <c r="H126">
        <v>-0.2</v>
      </c>
      <c r="I126" s="1">
        <v>274</v>
      </c>
    </row>
    <row r="127" spans="1:9" x14ac:dyDescent="0.25">
      <c r="A127" t="s">
        <v>1264</v>
      </c>
      <c r="B127" s="1">
        <v>658</v>
      </c>
      <c r="C127" s="1">
        <v>8205</v>
      </c>
      <c r="D127">
        <v>12.5</v>
      </c>
      <c r="E127">
        <v>12.65</v>
      </c>
      <c r="F127">
        <v>12.35</v>
      </c>
      <c r="G127">
        <v>12.5</v>
      </c>
      <c r="H127">
        <v>0</v>
      </c>
      <c r="I127" s="1">
        <v>241</v>
      </c>
    </row>
    <row r="128" spans="1:9" x14ac:dyDescent="0.25">
      <c r="A128" t="s">
        <v>1265</v>
      </c>
      <c r="B128" s="1">
        <v>522</v>
      </c>
      <c r="C128" s="1">
        <v>6491</v>
      </c>
      <c r="D128">
        <v>12.6</v>
      </c>
      <c r="E128">
        <v>12.6</v>
      </c>
      <c r="F128">
        <v>12.4</v>
      </c>
      <c r="G128">
        <v>12.4</v>
      </c>
      <c r="H128">
        <v>-0.1</v>
      </c>
      <c r="I128" s="1">
        <v>200</v>
      </c>
    </row>
    <row r="129" spans="1:9" x14ac:dyDescent="0.25">
      <c r="A129" t="s">
        <v>1266</v>
      </c>
      <c r="B129" s="1">
        <v>498</v>
      </c>
      <c r="C129" s="1">
        <v>6254</v>
      </c>
      <c r="D129">
        <v>12.45</v>
      </c>
      <c r="E129">
        <v>12.7</v>
      </c>
      <c r="F129">
        <v>12.45</v>
      </c>
      <c r="G129">
        <v>12.5</v>
      </c>
      <c r="H129">
        <v>0.1</v>
      </c>
      <c r="I129" s="1">
        <v>229</v>
      </c>
    </row>
    <row r="130" spans="1:9" x14ac:dyDescent="0.25">
      <c r="A130" t="s">
        <v>1267</v>
      </c>
      <c r="B130" s="1">
        <v>550</v>
      </c>
      <c r="C130" s="1">
        <v>6902</v>
      </c>
      <c r="D130">
        <v>12.45</v>
      </c>
      <c r="E130">
        <v>12.6</v>
      </c>
      <c r="F130">
        <v>12.45</v>
      </c>
      <c r="G130">
        <v>12.45</v>
      </c>
      <c r="H130">
        <v>-0.05</v>
      </c>
      <c r="I130" s="1">
        <v>174</v>
      </c>
    </row>
    <row r="131" spans="1:9" x14ac:dyDescent="0.25">
      <c r="A131" t="s">
        <v>1268</v>
      </c>
      <c r="B131" s="1">
        <v>422</v>
      </c>
      <c r="C131" s="1">
        <v>5337</v>
      </c>
      <c r="D131">
        <v>12.5</v>
      </c>
      <c r="E131">
        <v>12.8</v>
      </c>
      <c r="F131">
        <v>12.5</v>
      </c>
      <c r="G131">
        <v>12.55</v>
      </c>
      <c r="H131">
        <v>0.1</v>
      </c>
      <c r="I131" s="1">
        <v>189</v>
      </c>
    </row>
    <row r="132" spans="1:9" x14ac:dyDescent="0.25">
      <c r="A132" t="s">
        <v>1269</v>
      </c>
      <c r="B132" s="1">
        <v>545</v>
      </c>
      <c r="C132" s="1">
        <v>6885</v>
      </c>
      <c r="D132">
        <v>12.6</v>
      </c>
      <c r="E132">
        <v>12.7</v>
      </c>
      <c r="F132">
        <v>12.55</v>
      </c>
      <c r="G132">
        <v>12.7</v>
      </c>
      <c r="H132">
        <v>0.15</v>
      </c>
      <c r="I132" s="1">
        <v>203</v>
      </c>
    </row>
    <row r="133" spans="1:9" x14ac:dyDescent="0.25">
      <c r="A133" t="s">
        <v>1270</v>
      </c>
      <c r="B133" s="1">
        <v>1044</v>
      </c>
      <c r="C133" s="1">
        <v>13258</v>
      </c>
      <c r="D133">
        <v>12.7</v>
      </c>
      <c r="E133">
        <v>12.8</v>
      </c>
      <c r="F133">
        <v>12.6</v>
      </c>
      <c r="G133">
        <v>12.6</v>
      </c>
      <c r="H133">
        <v>-0.1</v>
      </c>
      <c r="I133" s="1">
        <v>331</v>
      </c>
    </row>
    <row r="134" spans="1:9" x14ac:dyDescent="0.25">
      <c r="A134" t="s">
        <v>1271</v>
      </c>
      <c r="B134" s="1">
        <v>695</v>
      </c>
      <c r="C134" s="1">
        <v>8809</v>
      </c>
      <c r="D134">
        <v>12.65</v>
      </c>
      <c r="E134">
        <v>12.75</v>
      </c>
      <c r="F134">
        <v>12.6</v>
      </c>
      <c r="G134">
        <v>12.65</v>
      </c>
      <c r="H134">
        <v>0.05</v>
      </c>
      <c r="I134" s="1">
        <v>244</v>
      </c>
    </row>
    <row r="135" spans="1:9" x14ac:dyDescent="0.25">
      <c r="A135" t="s">
        <v>1272</v>
      </c>
      <c r="B135" s="1">
        <v>2240</v>
      </c>
      <c r="C135" s="1">
        <v>28686</v>
      </c>
      <c r="D135">
        <v>12.7</v>
      </c>
      <c r="E135">
        <v>12.95</v>
      </c>
      <c r="F135">
        <v>12.7</v>
      </c>
      <c r="G135">
        <v>12.7</v>
      </c>
      <c r="H135">
        <v>0.05</v>
      </c>
      <c r="I135" s="1">
        <v>674</v>
      </c>
    </row>
    <row r="136" spans="1:9" x14ac:dyDescent="0.25">
      <c r="A136" t="s">
        <v>1273</v>
      </c>
      <c r="B136" s="1">
        <v>1103</v>
      </c>
      <c r="C136" s="1">
        <v>14124</v>
      </c>
      <c r="D136">
        <v>12.75</v>
      </c>
      <c r="E136">
        <v>12.9</v>
      </c>
      <c r="F136">
        <v>12.7</v>
      </c>
      <c r="G136">
        <v>12.75</v>
      </c>
      <c r="H136">
        <v>0.05</v>
      </c>
      <c r="I136" s="1">
        <v>322</v>
      </c>
    </row>
    <row r="137" spans="1:9" x14ac:dyDescent="0.25">
      <c r="A137" s="9" t="s">
        <v>1274</v>
      </c>
      <c r="B137" s="1">
        <v>707</v>
      </c>
      <c r="C137" s="1">
        <v>9026</v>
      </c>
      <c r="D137">
        <v>12.75</v>
      </c>
      <c r="E137">
        <v>12.85</v>
      </c>
      <c r="F137">
        <v>12.65</v>
      </c>
      <c r="G137">
        <v>12.7</v>
      </c>
      <c r="H137">
        <v>-0.05</v>
      </c>
      <c r="I137" s="1">
        <v>231</v>
      </c>
    </row>
    <row r="138" spans="1:9" x14ac:dyDescent="0.25">
      <c r="A138" t="s">
        <v>1275</v>
      </c>
      <c r="B138" s="1">
        <v>751</v>
      </c>
      <c r="C138" s="1">
        <v>9547</v>
      </c>
      <c r="D138">
        <v>12.75</v>
      </c>
      <c r="E138">
        <v>12.8</v>
      </c>
      <c r="F138">
        <v>12.6</v>
      </c>
      <c r="G138">
        <v>12.65</v>
      </c>
      <c r="H138">
        <v>-0.05</v>
      </c>
      <c r="I138" s="1">
        <v>218</v>
      </c>
    </row>
    <row r="139" spans="1:9" x14ac:dyDescent="0.25">
      <c r="A139" s="9" t="s">
        <v>1276</v>
      </c>
      <c r="B139" s="1">
        <v>872</v>
      </c>
      <c r="C139" s="1">
        <v>11114</v>
      </c>
      <c r="D139">
        <v>12.7</v>
      </c>
      <c r="E139">
        <v>12.85</v>
      </c>
      <c r="F139">
        <v>12.7</v>
      </c>
      <c r="G139">
        <v>12.8</v>
      </c>
      <c r="H139">
        <v>0.15</v>
      </c>
      <c r="I139" s="1">
        <v>275</v>
      </c>
    </row>
    <row r="140" spans="1:9" x14ac:dyDescent="0.25">
      <c r="A140" t="s">
        <v>1277</v>
      </c>
      <c r="B140" s="1">
        <v>6505</v>
      </c>
      <c r="C140" s="1">
        <v>86124</v>
      </c>
      <c r="D140">
        <v>12.8</v>
      </c>
      <c r="E140">
        <v>13.6</v>
      </c>
      <c r="F140">
        <v>12.8</v>
      </c>
      <c r="G140">
        <v>13</v>
      </c>
      <c r="H140">
        <v>0.2</v>
      </c>
      <c r="I140" s="1">
        <v>1732</v>
      </c>
    </row>
    <row r="141" spans="1:9" x14ac:dyDescent="0.25">
      <c r="A141" s="9" t="s">
        <v>1278</v>
      </c>
      <c r="B141" s="1">
        <v>1824</v>
      </c>
      <c r="C141" s="1">
        <v>24158</v>
      </c>
      <c r="D141">
        <v>13.15</v>
      </c>
      <c r="E141">
        <v>13.4</v>
      </c>
      <c r="F141">
        <v>13.1</v>
      </c>
      <c r="G141">
        <v>13.15</v>
      </c>
      <c r="H141">
        <v>0.15</v>
      </c>
      <c r="I141" s="1">
        <v>604</v>
      </c>
    </row>
    <row r="142" spans="1:9" x14ac:dyDescent="0.25">
      <c r="A142" t="s">
        <v>973</v>
      </c>
      <c r="B142" s="1"/>
      <c r="C142" s="1"/>
      <c r="I142" s="1"/>
    </row>
    <row r="145" spans="1:9" x14ac:dyDescent="0.25">
      <c r="A145" s="9" t="s">
        <v>928</v>
      </c>
      <c r="B145" s="1">
        <v>498</v>
      </c>
      <c r="C145" s="1">
        <v>5807</v>
      </c>
      <c r="D145">
        <v>11.55</v>
      </c>
      <c r="E145">
        <v>11.75</v>
      </c>
      <c r="F145">
        <v>11.5</v>
      </c>
      <c r="G145">
        <v>11.7</v>
      </c>
      <c r="H145">
        <v>0.15</v>
      </c>
      <c r="I145" s="1">
        <v>196</v>
      </c>
    </row>
    <row r="146" spans="1:9" x14ac:dyDescent="0.25">
      <c r="A146" t="s">
        <v>929</v>
      </c>
      <c r="B146" s="1">
        <v>421</v>
      </c>
      <c r="C146" s="1">
        <v>4945</v>
      </c>
      <c r="D146">
        <v>11.7</v>
      </c>
      <c r="E146">
        <v>11.85</v>
      </c>
      <c r="F146">
        <v>11.65</v>
      </c>
      <c r="G146">
        <v>11.7</v>
      </c>
      <c r="H146">
        <v>0</v>
      </c>
      <c r="I146" s="1">
        <v>155</v>
      </c>
    </row>
    <row r="147" spans="1:9" x14ac:dyDescent="0.25">
      <c r="A147" t="s">
        <v>930</v>
      </c>
      <c r="B147" s="1">
        <v>303</v>
      </c>
      <c r="C147" s="1">
        <v>3558</v>
      </c>
      <c r="D147">
        <v>11.7</v>
      </c>
      <c r="E147">
        <v>11.8</v>
      </c>
      <c r="F147">
        <v>11.7</v>
      </c>
      <c r="G147">
        <v>11.8</v>
      </c>
      <c r="H147">
        <v>0.1</v>
      </c>
      <c r="I147" s="1">
        <v>147</v>
      </c>
    </row>
    <row r="148" spans="1:9" x14ac:dyDescent="0.25">
      <c r="A148" t="s">
        <v>931</v>
      </c>
      <c r="B148" s="1">
        <v>643</v>
      </c>
      <c r="C148" s="1">
        <v>7578</v>
      </c>
      <c r="D148">
        <v>11.8</v>
      </c>
      <c r="E148">
        <v>11.85</v>
      </c>
      <c r="F148">
        <v>11.7</v>
      </c>
      <c r="G148">
        <v>11.8</v>
      </c>
      <c r="H148">
        <v>0</v>
      </c>
      <c r="I148" s="1">
        <v>213</v>
      </c>
    </row>
    <row r="149" spans="1:9" x14ac:dyDescent="0.25">
      <c r="A149" t="s">
        <v>932</v>
      </c>
      <c r="B149" s="1">
        <v>2909</v>
      </c>
      <c r="C149" s="1">
        <v>35604</v>
      </c>
      <c r="D149">
        <v>11.85</v>
      </c>
      <c r="E149">
        <v>12.45</v>
      </c>
      <c r="F149">
        <v>11.8</v>
      </c>
      <c r="G149">
        <v>12.35</v>
      </c>
      <c r="H149">
        <v>0.55000000000000004</v>
      </c>
      <c r="I149" s="1">
        <v>923</v>
      </c>
    </row>
    <row r="150" spans="1:9" x14ac:dyDescent="0.25">
      <c r="A150" t="s">
        <v>933</v>
      </c>
      <c r="B150" s="1">
        <v>1194</v>
      </c>
      <c r="C150" s="1">
        <v>14583</v>
      </c>
      <c r="D150">
        <v>12.45</v>
      </c>
      <c r="E150">
        <v>12.5</v>
      </c>
      <c r="F150">
        <v>12.1</v>
      </c>
      <c r="G150">
        <v>12.1</v>
      </c>
      <c r="H150">
        <v>-0.25</v>
      </c>
      <c r="I150" s="1">
        <v>392</v>
      </c>
    </row>
    <row r="151" spans="1:9" x14ac:dyDescent="0.25">
      <c r="A151" t="s">
        <v>934</v>
      </c>
      <c r="B151" s="1">
        <v>1194</v>
      </c>
      <c r="C151" s="1">
        <v>14682</v>
      </c>
      <c r="D151">
        <v>12.2</v>
      </c>
      <c r="E151">
        <v>12.45</v>
      </c>
      <c r="F151">
        <v>12.15</v>
      </c>
      <c r="G151">
        <v>12.25</v>
      </c>
      <c r="H151">
        <v>0.15</v>
      </c>
      <c r="I151" s="1">
        <v>368</v>
      </c>
    </row>
    <row r="152" spans="1:9" x14ac:dyDescent="0.25">
      <c r="A152" t="s">
        <v>935</v>
      </c>
      <c r="B152" s="1">
        <v>901</v>
      </c>
      <c r="C152" s="1">
        <v>10986</v>
      </c>
      <c r="D152">
        <v>12.25</v>
      </c>
      <c r="E152">
        <v>12.35</v>
      </c>
      <c r="F152">
        <v>12.1</v>
      </c>
      <c r="G152">
        <v>12.15</v>
      </c>
      <c r="H152">
        <v>-0.1</v>
      </c>
      <c r="I152" s="1">
        <v>251</v>
      </c>
    </row>
    <row r="153" spans="1:9" x14ac:dyDescent="0.25">
      <c r="A153" t="s">
        <v>936</v>
      </c>
      <c r="B153" s="1">
        <v>1119</v>
      </c>
      <c r="C153" s="1">
        <v>13431</v>
      </c>
      <c r="D153">
        <v>12.2</v>
      </c>
      <c r="E153">
        <v>12.2</v>
      </c>
      <c r="F153">
        <v>11.85</v>
      </c>
      <c r="G153">
        <v>11.9</v>
      </c>
      <c r="H153">
        <v>-0.25</v>
      </c>
      <c r="I153" s="1">
        <v>303</v>
      </c>
    </row>
    <row r="154" spans="1:9" x14ac:dyDescent="0.25">
      <c r="A154" t="s">
        <v>937</v>
      </c>
      <c r="B154" s="1">
        <v>663</v>
      </c>
      <c r="C154" s="1">
        <v>7817</v>
      </c>
      <c r="D154">
        <v>11.95</v>
      </c>
      <c r="E154">
        <v>12</v>
      </c>
      <c r="F154">
        <v>11.7</v>
      </c>
      <c r="G154">
        <v>11.75</v>
      </c>
      <c r="H154">
        <v>-0.15</v>
      </c>
      <c r="I154" s="1">
        <v>229</v>
      </c>
    </row>
    <row r="155" spans="1:9" x14ac:dyDescent="0.25">
      <c r="A155" t="s">
        <v>938</v>
      </c>
      <c r="B155" s="1">
        <v>1427</v>
      </c>
      <c r="C155" s="1">
        <v>16491</v>
      </c>
      <c r="D155">
        <v>11.8</v>
      </c>
      <c r="E155">
        <v>11.8</v>
      </c>
      <c r="F155">
        <v>11.5</v>
      </c>
      <c r="G155">
        <v>11.55</v>
      </c>
      <c r="H155">
        <v>-0.2</v>
      </c>
      <c r="I155" s="1">
        <v>344</v>
      </c>
    </row>
    <row r="156" spans="1:9" x14ac:dyDescent="0.25">
      <c r="A156" t="s">
        <v>939</v>
      </c>
      <c r="B156" s="1">
        <v>460</v>
      </c>
      <c r="C156" s="1">
        <v>5314</v>
      </c>
      <c r="D156">
        <v>11.55</v>
      </c>
      <c r="E156">
        <v>11.65</v>
      </c>
      <c r="F156">
        <v>11.5</v>
      </c>
      <c r="G156">
        <v>11.55</v>
      </c>
      <c r="H156">
        <v>0</v>
      </c>
      <c r="I156" s="1">
        <v>186</v>
      </c>
    </row>
    <row r="157" spans="1:9" x14ac:dyDescent="0.25">
      <c r="A157" t="s">
        <v>940</v>
      </c>
      <c r="B157" s="1">
        <v>921</v>
      </c>
      <c r="C157" s="1">
        <v>10896</v>
      </c>
      <c r="D157">
        <v>11.65</v>
      </c>
      <c r="E157">
        <v>11.9</v>
      </c>
      <c r="F157">
        <v>11.65</v>
      </c>
      <c r="G157">
        <v>11.8</v>
      </c>
      <c r="H157">
        <v>0.25</v>
      </c>
      <c r="I157" s="1">
        <v>357</v>
      </c>
    </row>
    <row r="158" spans="1:9" x14ac:dyDescent="0.25">
      <c r="A158" t="s">
        <v>941</v>
      </c>
      <c r="B158" s="1">
        <v>3571</v>
      </c>
      <c r="C158" s="1">
        <v>45435</v>
      </c>
      <c r="D158">
        <v>11.9</v>
      </c>
      <c r="E158">
        <v>12.95</v>
      </c>
      <c r="F158">
        <v>11.85</v>
      </c>
      <c r="G158">
        <v>12.95</v>
      </c>
      <c r="H158">
        <v>1.1499999999999999</v>
      </c>
      <c r="I158" s="1">
        <v>785</v>
      </c>
    </row>
    <row r="159" spans="1:9" x14ac:dyDescent="0.25">
      <c r="A159" t="s">
        <v>942</v>
      </c>
      <c r="B159" s="1">
        <v>9231</v>
      </c>
      <c r="C159" s="1">
        <v>125434</v>
      </c>
      <c r="D159">
        <v>13.6</v>
      </c>
      <c r="E159">
        <v>14</v>
      </c>
      <c r="F159">
        <v>13.1</v>
      </c>
      <c r="G159">
        <v>13.25</v>
      </c>
      <c r="H159">
        <v>0.3</v>
      </c>
      <c r="I159" s="1">
        <v>2747</v>
      </c>
    </row>
    <row r="160" spans="1:9" x14ac:dyDescent="0.25">
      <c r="A160" t="s">
        <v>943</v>
      </c>
      <c r="B160" s="1">
        <v>2210</v>
      </c>
      <c r="C160" s="1">
        <v>28768</v>
      </c>
      <c r="D160">
        <v>13.1</v>
      </c>
      <c r="E160">
        <v>13.15</v>
      </c>
      <c r="F160">
        <v>12.85</v>
      </c>
      <c r="G160">
        <v>13.05</v>
      </c>
      <c r="H160">
        <v>-0.2</v>
      </c>
      <c r="I160" s="1">
        <v>936</v>
      </c>
    </row>
    <row r="161" spans="1:9" x14ac:dyDescent="0.25">
      <c r="A161" s="9" t="s">
        <v>944</v>
      </c>
      <c r="B161" s="1">
        <v>2255</v>
      </c>
      <c r="C161" s="1">
        <v>29128</v>
      </c>
      <c r="D161">
        <v>13</v>
      </c>
      <c r="E161">
        <v>13.2</v>
      </c>
      <c r="F161">
        <v>12.75</v>
      </c>
      <c r="G161">
        <v>12.8</v>
      </c>
      <c r="H161">
        <v>-0.25</v>
      </c>
      <c r="I161" s="1">
        <v>771</v>
      </c>
    </row>
    <row r="162" spans="1:9" x14ac:dyDescent="0.25">
      <c r="A162" t="s">
        <v>945</v>
      </c>
      <c r="B162" s="1">
        <v>1254</v>
      </c>
      <c r="C162" s="1">
        <v>16295</v>
      </c>
      <c r="D162">
        <v>12.9</v>
      </c>
      <c r="E162">
        <v>13.15</v>
      </c>
      <c r="F162">
        <v>12.9</v>
      </c>
      <c r="G162">
        <v>12.9</v>
      </c>
      <c r="H162">
        <v>0.1</v>
      </c>
      <c r="I162" s="1">
        <v>526</v>
      </c>
    </row>
    <row r="163" spans="1:9" x14ac:dyDescent="0.25">
      <c r="A163" s="9" t="s">
        <v>946</v>
      </c>
      <c r="B163" s="1">
        <v>1940</v>
      </c>
      <c r="C163" s="1">
        <v>24749</v>
      </c>
      <c r="D163">
        <v>12.95</v>
      </c>
      <c r="E163">
        <v>13.05</v>
      </c>
      <c r="F163">
        <v>12.5</v>
      </c>
      <c r="G163">
        <v>12.55</v>
      </c>
      <c r="H163">
        <v>-0.35</v>
      </c>
      <c r="I163" s="1">
        <v>635</v>
      </c>
    </row>
    <row r="164" spans="1:9" x14ac:dyDescent="0.25">
      <c r="A164" t="s">
        <v>947</v>
      </c>
      <c r="B164" s="1">
        <v>643</v>
      </c>
      <c r="C164" s="1">
        <v>8100</v>
      </c>
      <c r="D164">
        <v>12.55</v>
      </c>
      <c r="E164">
        <v>12.7</v>
      </c>
      <c r="F164">
        <v>12.45</v>
      </c>
      <c r="G164">
        <v>12.65</v>
      </c>
      <c r="H164">
        <v>0.1</v>
      </c>
      <c r="I164" s="1">
        <v>303</v>
      </c>
    </row>
    <row r="165" spans="1:9" x14ac:dyDescent="0.25">
      <c r="A165" s="9" t="s">
        <v>948</v>
      </c>
      <c r="B165" s="1">
        <v>717</v>
      </c>
      <c r="C165" s="1">
        <v>8994</v>
      </c>
      <c r="D165">
        <v>12.7</v>
      </c>
      <c r="E165">
        <v>12.7</v>
      </c>
      <c r="F165">
        <v>12.45</v>
      </c>
      <c r="G165">
        <v>12.55</v>
      </c>
      <c r="H165">
        <v>-0.1</v>
      </c>
      <c r="I165" s="1">
        <v>271</v>
      </c>
    </row>
    <row r="166" spans="1:9" x14ac:dyDescent="0.25">
      <c r="A166" t="s">
        <v>949</v>
      </c>
      <c r="B166" s="1">
        <v>657</v>
      </c>
      <c r="C166" s="1">
        <v>8287</v>
      </c>
      <c r="D166">
        <v>12.65</v>
      </c>
      <c r="E166">
        <v>12.7</v>
      </c>
      <c r="F166">
        <v>12.55</v>
      </c>
      <c r="G166">
        <v>12.6</v>
      </c>
      <c r="H166">
        <v>0.05</v>
      </c>
      <c r="I166" s="1">
        <v>262</v>
      </c>
    </row>
    <row r="167" spans="1:9" x14ac:dyDescent="0.25">
      <c r="A167" t="s">
        <v>950</v>
      </c>
      <c r="B167" s="1">
        <v>630</v>
      </c>
      <c r="C167" s="1">
        <v>7912</v>
      </c>
      <c r="D167">
        <v>12.6</v>
      </c>
      <c r="E167">
        <v>12.65</v>
      </c>
      <c r="F167">
        <v>12.5</v>
      </c>
      <c r="G167">
        <v>12.55</v>
      </c>
      <c r="H167">
        <v>-0.05</v>
      </c>
      <c r="I167" s="1">
        <v>227</v>
      </c>
    </row>
    <row r="168" spans="1:9" x14ac:dyDescent="0.25">
      <c r="A168" s="9" t="s">
        <v>951</v>
      </c>
      <c r="B168" s="1"/>
      <c r="C168" s="1"/>
      <c r="I168" s="1"/>
    </row>
    <row r="169" spans="1:9" x14ac:dyDescent="0.25">
      <c r="A169" s="9" t="s">
        <v>907</v>
      </c>
      <c r="B169" s="1">
        <v>1305</v>
      </c>
      <c r="C169" s="1">
        <v>14463</v>
      </c>
      <c r="D169">
        <v>11.35</v>
      </c>
      <c r="E169">
        <v>11.35</v>
      </c>
      <c r="F169">
        <v>11</v>
      </c>
      <c r="G169">
        <v>11.05</v>
      </c>
      <c r="H169">
        <v>-0.2</v>
      </c>
      <c r="I169" s="1">
        <v>424</v>
      </c>
    </row>
    <row r="170" spans="1:9" x14ac:dyDescent="0.25">
      <c r="A170" t="s">
        <v>908</v>
      </c>
      <c r="B170" s="1">
        <v>1092</v>
      </c>
      <c r="C170" s="1">
        <v>12031</v>
      </c>
      <c r="D170">
        <v>11</v>
      </c>
      <c r="E170">
        <v>11.1</v>
      </c>
      <c r="F170">
        <v>10.95</v>
      </c>
      <c r="G170">
        <v>11</v>
      </c>
      <c r="H170">
        <v>-0.05</v>
      </c>
      <c r="I170" s="1">
        <v>309</v>
      </c>
    </row>
    <row r="171" spans="1:9" x14ac:dyDescent="0.25">
      <c r="A171" t="s">
        <v>909</v>
      </c>
      <c r="B171" s="1">
        <v>827</v>
      </c>
      <c r="C171" s="1">
        <v>9035</v>
      </c>
      <c r="D171">
        <v>11</v>
      </c>
      <c r="E171">
        <v>11.1</v>
      </c>
      <c r="F171">
        <v>10.8</v>
      </c>
      <c r="G171">
        <v>11</v>
      </c>
      <c r="H171">
        <v>0</v>
      </c>
      <c r="I171" s="1">
        <v>310</v>
      </c>
    </row>
    <row r="172" spans="1:9" x14ac:dyDescent="0.25">
      <c r="A172" t="s">
        <v>910</v>
      </c>
      <c r="B172" s="1">
        <v>909</v>
      </c>
      <c r="C172" s="1">
        <v>9843</v>
      </c>
      <c r="D172">
        <v>10.95</v>
      </c>
      <c r="E172">
        <v>11</v>
      </c>
      <c r="F172">
        <v>10.75</v>
      </c>
      <c r="G172">
        <v>10.9</v>
      </c>
      <c r="H172">
        <v>-0.1</v>
      </c>
      <c r="I172" s="1">
        <v>412</v>
      </c>
    </row>
    <row r="173" spans="1:9" x14ac:dyDescent="0.25">
      <c r="A173" t="s">
        <v>911</v>
      </c>
      <c r="B173" s="1">
        <v>3897</v>
      </c>
      <c r="C173" s="1">
        <v>45746</v>
      </c>
      <c r="D173">
        <v>11</v>
      </c>
      <c r="E173">
        <v>11.95</v>
      </c>
      <c r="F173">
        <v>11</v>
      </c>
      <c r="G173">
        <v>11.95</v>
      </c>
      <c r="H173">
        <v>1.05</v>
      </c>
      <c r="I173" s="1">
        <v>1150</v>
      </c>
    </row>
    <row r="174" spans="1:9" x14ac:dyDescent="0.25">
      <c r="A174" t="s">
        <v>912</v>
      </c>
      <c r="B174" s="1">
        <v>2773</v>
      </c>
      <c r="C174" s="1">
        <v>32521</v>
      </c>
      <c r="D174">
        <v>11.55</v>
      </c>
      <c r="E174">
        <v>11.95</v>
      </c>
      <c r="F174">
        <v>11.55</v>
      </c>
      <c r="G174">
        <v>11.8</v>
      </c>
      <c r="H174">
        <v>-0.15</v>
      </c>
      <c r="I174" s="1">
        <v>1117</v>
      </c>
    </row>
    <row r="175" spans="1:9" x14ac:dyDescent="0.25">
      <c r="A175" t="s">
        <v>913</v>
      </c>
      <c r="B175" s="1">
        <v>3438</v>
      </c>
      <c r="C175" s="1">
        <v>43241</v>
      </c>
      <c r="D175">
        <v>11.8</v>
      </c>
      <c r="E175">
        <v>12.9</v>
      </c>
      <c r="F175">
        <v>11.8</v>
      </c>
      <c r="G175">
        <v>12.7</v>
      </c>
      <c r="H175">
        <v>0.9</v>
      </c>
      <c r="I175" s="1">
        <v>1268</v>
      </c>
    </row>
    <row r="176" spans="1:9" x14ac:dyDescent="0.25">
      <c r="A176" t="s">
        <v>914</v>
      </c>
      <c r="B176" s="1">
        <v>1489</v>
      </c>
      <c r="C176" s="1">
        <v>18367</v>
      </c>
      <c r="D176">
        <v>12.5</v>
      </c>
      <c r="E176">
        <v>12.6</v>
      </c>
      <c r="F176">
        <v>12.1</v>
      </c>
      <c r="G176">
        <v>12.15</v>
      </c>
      <c r="H176">
        <v>-0.55000000000000004</v>
      </c>
      <c r="I176" s="1">
        <v>606</v>
      </c>
    </row>
    <row r="177" spans="1:9" x14ac:dyDescent="0.25">
      <c r="A177" t="s">
        <v>915</v>
      </c>
      <c r="B177" s="1">
        <v>1011</v>
      </c>
      <c r="C177" s="1">
        <v>12501</v>
      </c>
      <c r="D177">
        <v>12.15</v>
      </c>
      <c r="E177">
        <v>12.55</v>
      </c>
      <c r="F177">
        <v>12.15</v>
      </c>
      <c r="G177">
        <v>12.2</v>
      </c>
      <c r="H177">
        <v>0.05</v>
      </c>
      <c r="I177" s="1">
        <v>420</v>
      </c>
    </row>
    <row r="178" spans="1:9" x14ac:dyDescent="0.25">
      <c r="A178" t="s">
        <v>916</v>
      </c>
      <c r="B178" s="1">
        <v>994</v>
      </c>
      <c r="C178" s="1">
        <v>11947</v>
      </c>
      <c r="D178">
        <v>12.45</v>
      </c>
      <c r="E178">
        <v>12.45</v>
      </c>
      <c r="F178">
        <v>11.8</v>
      </c>
      <c r="G178">
        <v>11.9</v>
      </c>
      <c r="H178">
        <v>-0.3</v>
      </c>
      <c r="I178" s="1">
        <v>422</v>
      </c>
    </row>
    <row r="179" spans="1:9" x14ac:dyDescent="0.25">
      <c r="A179" t="s">
        <v>917</v>
      </c>
      <c r="B179" s="1">
        <v>709</v>
      </c>
      <c r="C179" s="1">
        <v>8371</v>
      </c>
      <c r="D179">
        <v>11.95</v>
      </c>
      <c r="E179">
        <v>12</v>
      </c>
      <c r="F179">
        <v>11.65</v>
      </c>
      <c r="G179">
        <v>11.75</v>
      </c>
      <c r="H179">
        <v>-0.15</v>
      </c>
      <c r="I179" s="1">
        <v>264</v>
      </c>
    </row>
    <row r="180" spans="1:9" x14ac:dyDescent="0.25">
      <c r="A180" t="s">
        <v>918</v>
      </c>
      <c r="B180" s="1">
        <v>749</v>
      </c>
      <c r="C180" s="1">
        <v>8644</v>
      </c>
      <c r="D180">
        <v>11.75</v>
      </c>
      <c r="E180">
        <v>11.75</v>
      </c>
      <c r="F180">
        <v>11.4</v>
      </c>
      <c r="G180">
        <v>11.5</v>
      </c>
      <c r="H180">
        <v>-0.25</v>
      </c>
      <c r="I180" s="1">
        <v>336</v>
      </c>
    </row>
    <row r="181" spans="1:9" x14ac:dyDescent="0.25">
      <c r="A181" t="s">
        <v>919</v>
      </c>
      <c r="B181" s="1">
        <v>1426</v>
      </c>
      <c r="C181" s="1">
        <v>16900</v>
      </c>
      <c r="D181">
        <v>11.25</v>
      </c>
      <c r="E181">
        <v>12.25</v>
      </c>
      <c r="F181">
        <v>11.25</v>
      </c>
      <c r="G181">
        <v>11.95</v>
      </c>
      <c r="H181">
        <v>0.45</v>
      </c>
      <c r="I181" s="1">
        <v>483</v>
      </c>
    </row>
    <row r="182" spans="1:9" x14ac:dyDescent="0.25">
      <c r="A182" t="s">
        <v>920</v>
      </c>
      <c r="B182" s="1">
        <v>580</v>
      </c>
      <c r="C182" s="1">
        <v>6829</v>
      </c>
      <c r="D182">
        <v>11.75</v>
      </c>
      <c r="E182">
        <v>12</v>
      </c>
      <c r="F182">
        <v>11.6</v>
      </c>
      <c r="G182">
        <v>11.65</v>
      </c>
      <c r="H182">
        <v>-0.3</v>
      </c>
      <c r="I182" s="1">
        <v>212</v>
      </c>
    </row>
    <row r="183" spans="1:9" x14ac:dyDescent="0.25">
      <c r="A183" t="s">
        <v>921</v>
      </c>
      <c r="B183" s="1">
        <v>420</v>
      </c>
      <c r="C183" s="1">
        <v>4891</v>
      </c>
      <c r="D183">
        <v>11.8</v>
      </c>
      <c r="E183">
        <v>11.9</v>
      </c>
      <c r="F183">
        <v>11.45</v>
      </c>
      <c r="G183">
        <v>11.55</v>
      </c>
      <c r="H183">
        <v>-0.1</v>
      </c>
      <c r="I183" s="1">
        <v>196</v>
      </c>
    </row>
    <row r="184" spans="1:9" x14ac:dyDescent="0.25">
      <c r="A184" t="s">
        <v>922</v>
      </c>
      <c r="B184" s="1">
        <v>458</v>
      </c>
      <c r="C184" s="1">
        <v>5322</v>
      </c>
      <c r="D184">
        <v>11.55</v>
      </c>
      <c r="E184">
        <v>11.7</v>
      </c>
      <c r="F184">
        <v>11.5</v>
      </c>
      <c r="G184">
        <v>11.55</v>
      </c>
      <c r="H184">
        <v>0</v>
      </c>
      <c r="I184" s="1">
        <v>172</v>
      </c>
    </row>
    <row r="185" spans="1:9" x14ac:dyDescent="0.25">
      <c r="A185" s="9" t="s">
        <v>923</v>
      </c>
      <c r="B185" s="1">
        <v>320</v>
      </c>
      <c r="C185" s="1">
        <v>3708</v>
      </c>
      <c r="D185">
        <v>11.6</v>
      </c>
      <c r="E185">
        <v>11.7</v>
      </c>
      <c r="F185">
        <v>11.5</v>
      </c>
      <c r="G185">
        <v>11.55</v>
      </c>
      <c r="H185">
        <v>0</v>
      </c>
      <c r="I185" s="1">
        <v>151</v>
      </c>
    </row>
    <row r="186" spans="1:9" x14ac:dyDescent="0.25">
      <c r="A186" t="s">
        <v>924</v>
      </c>
      <c r="B186" s="1">
        <v>1147</v>
      </c>
      <c r="C186" s="1">
        <v>13572</v>
      </c>
      <c r="D186">
        <v>11.6</v>
      </c>
      <c r="E186">
        <v>12</v>
      </c>
      <c r="F186">
        <v>11.6</v>
      </c>
      <c r="G186">
        <v>11.8</v>
      </c>
      <c r="H186">
        <v>0.25</v>
      </c>
      <c r="I186" s="1">
        <v>416</v>
      </c>
    </row>
    <row r="187" spans="1:9" x14ac:dyDescent="0.25">
      <c r="A187" s="9" t="s">
        <v>925</v>
      </c>
      <c r="B187" s="1">
        <v>618</v>
      </c>
      <c r="C187" s="1">
        <v>7325</v>
      </c>
      <c r="D187">
        <v>11.9</v>
      </c>
      <c r="E187">
        <v>11.95</v>
      </c>
      <c r="F187">
        <v>11.75</v>
      </c>
      <c r="G187">
        <v>11.8</v>
      </c>
      <c r="H187">
        <v>0</v>
      </c>
      <c r="I187" s="1">
        <v>228</v>
      </c>
    </row>
    <row r="188" spans="1:9" x14ac:dyDescent="0.25">
      <c r="A188" t="s">
        <v>926</v>
      </c>
      <c r="B188" s="1">
        <v>570</v>
      </c>
      <c r="C188" s="1">
        <v>6650</v>
      </c>
      <c r="D188">
        <v>11.8</v>
      </c>
      <c r="E188">
        <v>11.8</v>
      </c>
      <c r="F188">
        <v>11.55</v>
      </c>
      <c r="G188">
        <v>11.55</v>
      </c>
      <c r="H188">
        <v>-0.25</v>
      </c>
      <c r="I188" s="1">
        <v>238</v>
      </c>
    </row>
    <row r="189" spans="1:9" x14ac:dyDescent="0.25">
      <c r="A189" s="9" t="s">
        <v>927</v>
      </c>
      <c r="B189" s="1"/>
      <c r="C189" s="1"/>
      <c r="I189" s="1"/>
    </row>
    <row r="193" spans="1:9" x14ac:dyDescent="0.25">
      <c r="A193" s="9" t="s">
        <v>840</v>
      </c>
      <c r="B193" s="1">
        <v>2379</v>
      </c>
      <c r="C193" s="1">
        <v>30174</v>
      </c>
      <c r="D193">
        <v>13.2</v>
      </c>
      <c r="E193">
        <v>13.25</v>
      </c>
      <c r="F193">
        <v>12.55</v>
      </c>
      <c r="G193">
        <v>12.6</v>
      </c>
      <c r="H193">
        <v>-0.5</v>
      </c>
      <c r="I193" s="1">
        <v>1064</v>
      </c>
    </row>
    <row r="194" spans="1:9" x14ac:dyDescent="0.25">
      <c r="A194" t="s">
        <v>841</v>
      </c>
      <c r="B194" s="1">
        <v>1370</v>
      </c>
      <c r="C194" s="1">
        <v>17274</v>
      </c>
      <c r="D194">
        <v>12.6</v>
      </c>
      <c r="E194">
        <v>12.8</v>
      </c>
      <c r="F194">
        <v>12.5</v>
      </c>
      <c r="G194">
        <v>12.6</v>
      </c>
      <c r="H194">
        <v>0</v>
      </c>
      <c r="I194" s="1">
        <v>625</v>
      </c>
    </row>
    <row r="195" spans="1:9" x14ac:dyDescent="0.25">
      <c r="A195" t="s">
        <v>839</v>
      </c>
      <c r="B195" s="1">
        <v>2124</v>
      </c>
      <c r="C195" s="1">
        <v>27119</v>
      </c>
      <c r="D195">
        <v>12.65</v>
      </c>
      <c r="E195">
        <v>13</v>
      </c>
      <c r="F195">
        <v>12.5</v>
      </c>
      <c r="G195">
        <v>12.85</v>
      </c>
      <c r="H195">
        <v>0.25</v>
      </c>
      <c r="I195" s="1">
        <v>787</v>
      </c>
    </row>
    <row r="196" spans="1:9" x14ac:dyDescent="0.25">
      <c r="A196" t="s">
        <v>842</v>
      </c>
      <c r="B196" s="1">
        <v>678</v>
      </c>
      <c r="C196" s="1">
        <v>8654</v>
      </c>
      <c r="D196">
        <v>12.9</v>
      </c>
      <c r="E196">
        <v>12.9</v>
      </c>
      <c r="F196">
        <v>12.65</v>
      </c>
      <c r="G196">
        <v>12.75</v>
      </c>
      <c r="H196">
        <v>-0.1</v>
      </c>
      <c r="I196" s="1">
        <v>444</v>
      </c>
    </row>
    <row r="197" spans="1:9" x14ac:dyDescent="0.25">
      <c r="A197" t="s">
        <v>843</v>
      </c>
      <c r="B197" s="1">
        <v>2585</v>
      </c>
      <c r="C197" s="1">
        <v>31718</v>
      </c>
      <c r="D197">
        <v>12.7</v>
      </c>
      <c r="E197">
        <v>12.7</v>
      </c>
      <c r="F197">
        <v>12.1</v>
      </c>
      <c r="G197">
        <v>12.15</v>
      </c>
      <c r="H197">
        <v>-0.6</v>
      </c>
      <c r="I197" s="1">
        <v>929</v>
      </c>
    </row>
    <row r="198" spans="1:9" x14ac:dyDescent="0.25">
      <c r="A198" t="s">
        <v>844</v>
      </c>
      <c r="B198" s="1">
        <v>3224</v>
      </c>
      <c r="C198" s="1">
        <v>37402</v>
      </c>
      <c r="D198">
        <v>12.15</v>
      </c>
      <c r="E198">
        <v>12.15</v>
      </c>
      <c r="F198">
        <v>11.2</v>
      </c>
      <c r="G198">
        <v>11.4</v>
      </c>
      <c r="H198">
        <v>-0.75</v>
      </c>
      <c r="I198" s="1">
        <v>1155</v>
      </c>
    </row>
    <row r="199" spans="1:9" x14ac:dyDescent="0.25">
      <c r="A199" t="s">
        <v>845</v>
      </c>
      <c r="B199" s="1">
        <v>1608</v>
      </c>
      <c r="C199" s="1">
        <v>18411</v>
      </c>
      <c r="D199">
        <v>11.4</v>
      </c>
      <c r="E199">
        <v>11.6</v>
      </c>
      <c r="F199">
        <v>11.3</v>
      </c>
      <c r="G199">
        <v>11.45</v>
      </c>
      <c r="H199">
        <v>0.05</v>
      </c>
      <c r="I199">
        <v>924</v>
      </c>
    </row>
    <row r="200" spans="1:9" x14ac:dyDescent="0.25">
      <c r="A200" t="s">
        <v>846</v>
      </c>
      <c r="B200" s="1">
        <v>1156</v>
      </c>
      <c r="C200" s="1">
        <v>13073</v>
      </c>
      <c r="D200">
        <v>11.45</v>
      </c>
      <c r="E200">
        <v>11.45</v>
      </c>
      <c r="F200">
        <v>11.15</v>
      </c>
      <c r="G200">
        <v>11.15</v>
      </c>
      <c r="H200">
        <v>-0.3</v>
      </c>
      <c r="I200" s="1">
        <v>409</v>
      </c>
    </row>
    <row r="201" spans="1:9" x14ac:dyDescent="0.25">
      <c r="A201" t="s">
        <v>847</v>
      </c>
      <c r="B201" s="1">
        <v>1205</v>
      </c>
      <c r="C201" s="1">
        <v>14012</v>
      </c>
      <c r="D201">
        <v>11.45</v>
      </c>
      <c r="E201">
        <v>11.85</v>
      </c>
      <c r="F201">
        <v>11.4</v>
      </c>
      <c r="G201">
        <v>11.65</v>
      </c>
      <c r="H201">
        <v>0.5</v>
      </c>
      <c r="I201" s="1">
        <v>592</v>
      </c>
    </row>
    <row r="202" spans="1:9" x14ac:dyDescent="0.25">
      <c r="A202" t="s">
        <v>848</v>
      </c>
      <c r="B202" s="1">
        <v>745</v>
      </c>
      <c r="C202" s="1">
        <v>8740</v>
      </c>
      <c r="D202">
        <v>11.85</v>
      </c>
      <c r="E202">
        <v>11.85</v>
      </c>
      <c r="F202">
        <v>11.65</v>
      </c>
      <c r="G202">
        <v>11.75</v>
      </c>
      <c r="H202">
        <v>0.1</v>
      </c>
      <c r="I202" s="1">
        <v>301</v>
      </c>
    </row>
    <row r="203" spans="1:9" x14ac:dyDescent="0.25">
      <c r="A203" t="s">
        <v>849</v>
      </c>
      <c r="B203" s="1">
        <v>637</v>
      </c>
      <c r="C203" s="1">
        <v>7510</v>
      </c>
      <c r="D203">
        <v>11.85</v>
      </c>
      <c r="E203">
        <v>11.9</v>
      </c>
      <c r="F203">
        <v>11.6</v>
      </c>
      <c r="G203">
        <v>11.7</v>
      </c>
      <c r="H203">
        <v>-0.05</v>
      </c>
      <c r="I203" s="1">
        <v>261</v>
      </c>
    </row>
    <row r="204" spans="1:9" x14ac:dyDescent="0.25">
      <c r="A204" t="s">
        <v>850</v>
      </c>
      <c r="B204" s="1">
        <v>623</v>
      </c>
      <c r="C204" s="1">
        <v>7230</v>
      </c>
      <c r="D204">
        <v>11.65</v>
      </c>
      <c r="E204">
        <v>11.8</v>
      </c>
      <c r="F204">
        <v>11.5</v>
      </c>
      <c r="G204">
        <v>11.55</v>
      </c>
      <c r="H204">
        <v>-0.15</v>
      </c>
      <c r="I204" s="1">
        <v>222</v>
      </c>
    </row>
    <row r="205" spans="1:9" x14ac:dyDescent="0.25">
      <c r="A205" t="s">
        <v>851</v>
      </c>
      <c r="B205" s="1">
        <v>446</v>
      </c>
      <c r="C205" s="1">
        <v>5223</v>
      </c>
      <c r="D205">
        <v>11.6</v>
      </c>
      <c r="E205">
        <v>11.8</v>
      </c>
      <c r="F205">
        <v>11.6</v>
      </c>
      <c r="G205">
        <v>11.7</v>
      </c>
      <c r="H205">
        <v>0.15</v>
      </c>
      <c r="I205" s="1">
        <v>204</v>
      </c>
    </row>
    <row r="206" spans="1:9" x14ac:dyDescent="0.25">
      <c r="A206" t="s">
        <v>852</v>
      </c>
      <c r="B206" s="1">
        <v>340</v>
      </c>
      <c r="C206" s="1">
        <v>3960</v>
      </c>
      <c r="D206">
        <v>11.8</v>
      </c>
      <c r="E206">
        <v>11.8</v>
      </c>
      <c r="F206">
        <v>11.6</v>
      </c>
      <c r="G206">
        <v>11.6</v>
      </c>
      <c r="H206">
        <v>-0.1</v>
      </c>
      <c r="I206" s="1">
        <v>130</v>
      </c>
    </row>
    <row r="207" spans="1:9" x14ac:dyDescent="0.25">
      <c r="A207" t="s">
        <v>853</v>
      </c>
      <c r="B207" s="1">
        <v>430</v>
      </c>
      <c r="C207" s="1">
        <v>5006</v>
      </c>
      <c r="D207">
        <v>11.7</v>
      </c>
      <c r="E207">
        <v>11.75</v>
      </c>
      <c r="F207">
        <v>11.6</v>
      </c>
      <c r="G207">
        <v>11.65</v>
      </c>
      <c r="H207">
        <v>0.05</v>
      </c>
      <c r="I207" s="1">
        <v>178</v>
      </c>
    </row>
    <row r="208" spans="1:9" x14ac:dyDescent="0.25">
      <c r="A208" t="s">
        <v>854</v>
      </c>
      <c r="B208" s="1">
        <v>612</v>
      </c>
      <c r="C208" s="1">
        <v>7094</v>
      </c>
      <c r="D208">
        <v>11.7</v>
      </c>
      <c r="E208">
        <v>11.75</v>
      </c>
      <c r="F208">
        <v>11.5</v>
      </c>
      <c r="G208">
        <v>11.5</v>
      </c>
      <c r="H208">
        <v>-0.15</v>
      </c>
      <c r="I208" s="1">
        <v>211</v>
      </c>
    </row>
    <row r="209" spans="1:9" x14ac:dyDescent="0.25">
      <c r="A209" s="9" t="s">
        <v>855</v>
      </c>
      <c r="B209" s="1">
        <v>763</v>
      </c>
      <c r="C209" s="1">
        <v>8682</v>
      </c>
      <c r="D209">
        <v>11.45</v>
      </c>
      <c r="E209">
        <v>11.45</v>
      </c>
      <c r="F209">
        <v>11.3</v>
      </c>
      <c r="G209">
        <v>11.3</v>
      </c>
      <c r="H209">
        <v>-0.2</v>
      </c>
      <c r="I209" s="1">
        <v>243</v>
      </c>
    </row>
    <row r="210" spans="1:9" x14ac:dyDescent="0.25">
      <c r="A210" t="s">
        <v>856</v>
      </c>
      <c r="B210" s="1">
        <v>741</v>
      </c>
      <c r="C210" s="1">
        <v>8367</v>
      </c>
      <c r="D210">
        <v>11.3</v>
      </c>
      <c r="E210">
        <v>11.45</v>
      </c>
      <c r="F210">
        <v>11.15</v>
      </c>
      <c r="G210">
        <v>11.25</v>
      </c>
      <c r="H210">
        <v>-0.05</v>
      </c>
      <c r="I210" s="1">
        <v>237</v>
      </c>
    </row>
    <row r="211" spans="1:9" x14ac:dyDescent="0.25">
      <c r="A211" s="9" t="s">
        <v>857</v>
      </c>
      <c r="B211" s="1"/>
      <c r="C211" s="1"/>
      <c r="I211" s="1"/>
    </row>
    <row r="217" spans="1:9" x14ac:dyDescent="0.25">
      <c r="A217" s="9" t="s">
        <v>1235</v>
      </c>
      <c r="B217" s="1">
        <v>3865</v>
      </c>
      <c r="C217" s="1">
        <v>56404</v>
      </c>
      <c r="D217">
        <v>15.1</v>
      </c>
      <c r="E217">
        <v>15.1</v>
      </c>
      <c r="F217">
        <v>14.45</v>
      </c>
      <c r="G217">
        <v>14.45</v>
      </c>
      <c r="H217">
        <v>-0.65</v>
      </c>
      <c r="I217" s="1">
        <v>1464</v>
      </c>
    </row>
    <row r="218" spans="1:9" x14ac:dyDescent="0.25">
      <c r="A218" t="s">
        <v>1236</v>
      </c>
      <c r="B218" s="1">
        <v>1930</v>
      </c>
      <c r="C218" s="1">
        <v>27844</v>
      </c>
      <c r="D218">
        <v>14.6</v>
      </c>
      <c r="E218">
        <v>14.75</v>
      </c>
      <c r="F218">
        <v>14.2</v>
      </c>
      <c r="G218">
        <v>14.35</v>
      </c>
      <c r="H218">
        <v>-0.1</v>
      </c>
      <c r="I218" s="1">
        <v>764</v>
      </c>
    </row>
    <row r="219" spans="1:9" x14ac:dyDescent="0.25">
      <c r="A219" t="s">
        <v>1237</v>
      </c>
      <c r="B219" s="1">
        <v>1079</v>
      </c>
      <c r="C219" s="1">
        <v>15632</v>
      </c>
      <c r="D219">
        <v>14.45</v>
      </c>
      <c r="E219">
        <v>14.65</v>
      </c>
      <c r="F219">
        <v>14.3</v>
      </c>
      <c r="G219">
        <v>14.4</v>
      </c>
      <c r="H219">
        <v>0.05</v>
      </c>
      <c r="I219" s="1">
        <v>525</v>
      </c>
    </row>
    <row r="220" spans="1:9" x14ac:dyDescent="0.25">
      <c r="A220" t="s">
        <v>1238</v>
      </c>
      <c r="B220" s="1">
        <v>566</v>
      </c>
      <c r="C220" s="1">
        <v>8154</v>
      </c>
      <c r="D220">
        <v>14.45</v>
      </c>
      <c r="E220">
        <v>14.55</v>
      </c>
      <c r="F220">
        <v>14.35</v>
      </c>
      <c r="G220">
        <v>14.4</v>
      </c>
      <c r="H220">
        <v>0</v>
      </c>
      <c r="I220" s="1">
        <v>346</v>
      </c>
    </row>
    <row r="221" spans="1:9" x14ac:dyDescent="0.25">
      <c r="A221" t="s">
        <v>1239</v>
      </c>
      <c r="B221" s="1">
        <v>2899</v>
      </c>
      <c r="C221" s="1">
        <v>43822</v>
      </c>
      <c r="D221">
        <v>14.5</v>
      </c>
      <c r="E221">
        <v>15.45</v>
      </c>
      <c r="F221">
        <v>14.35</v>
      </c>
      <c r="G221">
        <v>15.15</v>
      </c>
      <c r="H221">
        <v>0.75</v>
      </c>
      <c r="I221" s="1">
        <v>1335</v>
      </c>
    </row>
    <row r="222" spans="1:9" x14ac:dyDescent="0.25">
      <c r="A222" t="s">
        <v>1240</v>
      </c>
      <c r="B222" s="1">
        <v>5542</v>
      </c>
      <c r="C222" s="1">
        <v>86512</v>
      </c>
      <c r="D222">
        <v>15.3</v>
      </c>
      <c r="E222">
        <v>15.9</v>
      </c>
      <c r="F222">
        <v>15.25</v>
      </c>
      <c r="G222">
        <v>15.35</v>
      </c>
      <c r="H222">
        <v>0.2</v>
      </c>
      <c r="I222" s="1">
        <v>1919</v>
      </c>
    </row>
    <row r="223" spans="1:9" x14ac:dyDescent="0.25">
      <c r="A223" t="s">
        <v>1241</v>
      </c>
      <c r="B223" s="1">
        <v>1604</v>
      </c>
      <c r="C223" s="1">
        <v>24244</v>
      </c>
      <c r="D223">
        <v>15.45</v>
      </c>
      <c r="E223">
        <v>15.45</v>
      </c>
      <c r="F223">
        <v>14.9</v>
      </c>
      <c r="G223">
        <v>15</v>
      </c>
      <c r="H223">
        <v>-0.35</v>
      </c>
      <c r="I223">
        <v>700</v>
      </c>
    </row>
    <row r="224" spans="1:9" x14ac:dyDescent="0.25">
      <c r="A224" t="s">
        <v>1242</v>
      </c>
      <c r="B224" s="1">
        <v>1054</v>
      </c>
      <c r="C224" s="1">
        <v>15642</v>
      </c>
      <c r="D224">
        <v>15</v>
      </c>
      <c r="E224">
        <v>15</v>
      </c>
      <c r="F224">
        <v>14.7</v>
      </c>
      <c r="G224">
        <v>15</v>
      </c>
      <c r="H224">
        <v>0</v>
      </c>
      <c r="I224" s="1">
        <v>499</v>
      </c>
    </row>
    <row r="225" spans="1:9" x14ac:dyDescent="0.25">
      <c r="A225" t="s">
        <v>1243</v>
      </c>
      <c r="B225" s="1">
        <v>1399</v>
      </c>
      <c r="C225" s="1">
        <v>20493</v>
      </c>
      <c r="D225">
        <v>14.7</v>
      </c>
      <c r="E225">
        <v>14.8</v>
      </c>
      <c r="F225">
        <v>14.45</v>
      </c>
      <c r="G225">
        <v>14.65</v>
      </c>
      <c r="H225">
        <v>-0.35</v>
      </c>
      <c r="I225" s="1">
        <v>683</v>
      </c>
    </row>
    <row r="226" spans="1:9" x14ac:dyDescent="0.25">
      <c r="A226" t="s">
        <v>1244</v>
      </c>
      <c r="B226" s="1">
        <v>3508</v>
      </c>
      <c r="C226" s="1">
        <v>53763</v>
      </c>
      <c r="D226">
        <v>14.9</v>
      </c>
      <c r="E226">
        <v>15.65</v>
      </c>
      <c r="F226">
        <v>14.85</v>
      </c>
      <c r="G226">
        <v>15.2</v>
      </c>
      <c r="H226">
        <v>0.55000000000000004</v>
      </c>
      <c r="I226" s="1">
        <v>1448</v>
      </c>
    </row>
    <row r="227" spans="1:9" x14ac:dyDescent="0.25">
      <c r="A227" t="s">
        <v>1245</v>
      </c>
      <c r="B227" s="1">
        <v>950</v>
      </c>
      <c r="C227" s="1">
        <v>14350</v>
      </c>
      <c r="D227">
        <v>15.2</v>
      </c>
      <c r="E227">
        <v>15.35</v>
      </c>
      <c r="F227">
        <v>15</v>
      </c>
      <c r="G227">
        <v>15.1</v>
      </c>
      <c r="H227">
        <v>-0.1</v>
      </c>
      <c r="I227" s="1">
        <v>438</v>
      </c>
    </row>
    <row r="228" spans="1:9" x14ac:dyDescent="0.25">
      <c r="A228" t="s">
        <v>1246</v>
      </c>
      <c r="B228" s="1">
        <v>1400</v>
      </c>
      <c r="C228" s="1">
        <v>20996</v>
      </c>
      <c r="D228">
        <v>15.2</v>
      </c>
      <c r="E228">
        <v>15.2</v>
      </c>
      <c r="F228">
        <v>14.85</v>
      </c>
      <c r="G228">
        <v>14.85</v>
      </c>
      <c r="H228">
        <v>-0.25</v>
      </c>
      <c r="I228" s="1">
        <v>579</v>
      </c>
    </row>
    <row r="229" spans="1:9" x14ac:dyDescent="0.25">
      <c r="A229" t="s">
        <v>1247</v>
      </c>
      <c r="B229" s="1">
        <v>863</v>
      </c>
      <c r="C229" s="1">
        <v>12872</v>
      </c>
      <c r="D229">
        <v>15</v>
      </c>
      <c r="E229">
        <v>15.1</v>
      </c>
      <c r="F229">
        <v>14.85</v>
      </c>
      <c r="G229">
        <v>14.85</v>
      </c>
      <c r="H229">
        <v>0</v>
      </c>
      <c r="I229" s="1">
        <v>397</v>
      </c>
    </row>
    <row r="230" spans="1:9" x14ac:dyDescent="0.25">
      <c r="A230" t="s">
        <v>1248</v>
      </c>
      <c r="B230" s="1">
        <v>1181</v>
      </c>
      <c r="C230" s="1">
        <v>17403</v>
      </c>
      <c r="D230">
        <v>14.9</v>
      </c>
      <c r="E230">
        <v>14.95</v>
      </c>
      <c r="F230">
        <v>14.65</v>
      </c>
      <c r="G230">
        <v>14.85</v>
      </c>
      <c r="H230">
        <v>0</v>
      </c>
      <c r="I230" s="1">
        <v>508</v>
      </c>
    </row>
    <row r="231" spans="1:9" x14ac:dyDescent="0.25">
      <c r="A231" t="s">
        <v>1249</v>
      </c>
      <c r="B231" s="1">
        <v>1434</v>
      </c>
      <c r="C231" s="1">
        <v>20988</v>
      </c>
      <c r="D231">
        <v>14.9</v>
      </c>
      <c r="E231">
        <v>14.9</v>
      </c>
      <c r="F231">
        <v>14.5</v>
      </c>
      <c r="G231">
        <v>14.55</v>
      </c>
      <c r="H231">
        <v>-0.3</v>
      </c>
      <c r="I231" s="1">
        <v>788</v>
      </c>
    </row>
    <row r="232" spans="1:9" x14ac:dyDescent="0.25">
      <c r="A232" t="s">
        <v>1250</v>
      </c>
      <c r="B232" s="1">
        <v>3094</v>
      </c>
      <c r="C232" s="1">
        <v>43564</v>
      </c>
      <c r="D232">
        <v>14.35</v>
      </c>
      <c r="E232">
        <v>14.4</v>
      </c>
      <c r="F232">
        <v>13.75</v>
      </c>
      <c r="G232">
        <v>14.15</v>
      </c>
      <c r="H232">
        <v>-0.4</v>
      </c>
      <c r="I232" s="1">
        <v>1180</v>
      </c>
    </row>
    <row r="233" spans="1:9" x14ac:dyDescent="0.25">
      <c r="A233" s="9" t="s">
        <v>1251</v>
      </c>
      <c r="B233" s="1">
        <v>2622</v>
      </c>
      <c r="C233" s="1">
        <v>37559</v>
      </c>
      <c r="D233">
        <v>14.1</v>
      </c>
      <c r="E233">
        <v>14.9</v>
      </c>
      <c r="F233">
        <v>14.05</v>
      </c>
      <c r="G233">
        <v>14.1</v>
      </c>
      <c r="H233">
        <v>-0.05</v>
      </c>
      <c r="I233" s="1">
        <v>1075</v>
      </c>
    </row>
    <row r="234" spans="1:9" x14ac:dyDescent="0.25">
      <c r="A234" t="s">
        <v>1252</v>
      </c>
      <c r="B234" s="1">
        <v>2316</v>
      </c>
      <c r="C234" s="1">
        <v>32265</v>
      </c>
      <c r="D234">
        <v>14.1</v>
      </c>
      <c r="E234">
        <v>14.25</v>
      </c>
      <c r="F234">
        <v>13.8</v>
      </c>
      <c r="G234">
        <v>13.85</v>
      </c>
      <c r="H234">
        <v>-0.25</v>
      </c>
      <c r="I234" s="1">
        <v>914</v>
      </c>
    </row>
    <row r="235" spans="1:9" x14ac:dyDescent="0.25">
      <c r="A235" s="9" t="s">
        <v>1253</v>
      </c>
      <c r="B235" s="1">
        <v>2553</v>
      </c>
      <c r="C235" s="1">
        <v>34498</v>
      </c>
      <c r="D235">
        <v>13.7</v>
      </c>
      <c r="E235">
        <v>13.95</v>
      </c>
      <c r="F235">
        <v>13.3</v>
      </c>
      <c r="G235">
        <v>13.35</v>
      </c>
      <c r="H235">
        <v>-0.5</v>
      </c>
      <c r="I235" s="1">
        <v>1099</v>
      </c>
    </row>
    <row r="236" spans="1:9" x14ac:dyDescent="0.25">
      <c r="A236" t="s">
        <v>1254</v>
      </c>
      <c r="B236" s="1">
        <v>2201</v>
      </c>
      <c r="C236" s="1">
        <v>28909</v>
      </c>
      <c r="D236">
        <v>13.35</v>
      </c>
      <c r="E236">
        <v>13.55</v>
      </c>
      <c r="F236">
        <v>12.85</v>
      </c>
      <c r="G236">
        <v>13</v>
      </c>
      <c r="H236">
        <v>-0.35</v>
      </c>
      <c r="I236" s="1">
        <v>875</v>
      </c>
    </row>
    <row r="237" spans="1:9" x14ac:dyDescent="0.25">
      <c r="A237" t="s">
        <v>1255</v>
      </c>
      <c r="B237" s="1">
        <v>3633</v>
      </c>
      <c r="C237" s="1">
        <v>45484</v>
      </c>
      <c r="D237">
        <v>13</v>
      </c>
      <c r="E237">
        <v>13</v>
      </c>
      <c r="F237">
        <v>12.25</v>
      </c>
      <c r="G237">
        <v>12.5</v>
      </c>
      <c r="H237">
        <v>-0.5</v>
      </c>
      <c r="I237" s="1">
        <v>1309</v>
      </c>
    </row>
    <row r="238" spans="1:9" x14ac:dyDescent="0.25">
      <c r="A238" t="s">
        <v>1256</v>
      </c>
      <c r="B238" s="1">
        <v>4001</v>
      </c>
      <c r="C238" s="1">
        <v>52462</v>
      </c>
      <c r="D238">
        <v>12.5</v>
      </c>
      <c r="E238">
        <v>13.5</v>
      </c>
      <c r="F238">
        <v>12.45</v>
      </c>
      <c r="G238">
        <v>13</v>
      </c>
      <c r="H238">
        <v>0.5</v>
      </c>
      <c r="I238" s="1">
        <v>1483</v>
      </c>
    </row>
    <row r="239" spans="1:9" x14ac:dyDescent="0.25">
      <c r="A239" t="s">
        <v>1257</v>
      </c>
      <c r="B239" s="1">
        <v>1562</v>
      </c>
      <c r="C239" s="1">
        <v>20525</v>
      </c>
      <c r="D239">
        <v>13.05</v>
      </c>
      <c r="E239">
        <v>13.35</v>
      </c>
      <c r="F239">
        <v>13.05</v>
      </c>
      <c r="G239">
        <v>13.1</v>
      </c>
      <c r="H239">
        <v>0.1</v>
      </c>
      <c r="I239" s="1">
        <v>536</v>
      </c>
    </row>
    <row r="240" spans="1:9" x14ac:dyDescent="0.25">
      <c r="A240" s="9" t="s">
        <v>951</v>
      </c>
      <c r="B240" s="1"/>
      <c r="C240" s="1"/>
      <c r="I240" s="1"/>
    </row>
    <row r="241" spans="1:9" x14ac:dyDescent="0.25">
      <c r="A241" s="9" t="s">
        <v>1217</v>
      </c>
      <c r="B241" s="1">
        <v>6297</v>
      </c>
      <c r="C241" s="1">
        <v>110285</v>
      </c>
      <c r="D241">
        <v>17.649999999999999</v>
      </c>
      <c r="E241">
        <v>17.899999999999999</v>
      </c>
      <c r="F241">
        <v>17.149999999999999</v>
      </c>
      <c r="G241">
        <v>17.149999999999999</v>
      </c>
      <c r="H241">
        <v>-0.05</v>
      </c>
      <c r="I241" s="1">
        <v>2119</v>
      </c>
    </row>
    <row r="242" spans="1:9" x14ac:dyDescent="0.25">
      <c r="A242" t="s">
        <v>1218</v>
      </c>
      <c r="B242" s="1">
        <v>4704</v>
      </c>
      <c r="C242" s="1">
        <v>77009</v>
      </c>
      <c r="D242">
        <v>17.3</v>
      </c>
      <c r="E242">
        <v>17.3</v>
      </c>
      <c r="F242">
        <v>16</v>
      </c>
      <c r="G242">
        <v>16.25</v>
      </c>
      <c r="H242">
        <v>-0.9</v>
      </c>
      <c r="I242" s="1">
        <v>1806</v>
      </c>
    </row>
    <row r="243" spans="1:9" x14ac:dyDescent="0.25">
      <c r="A243" t="s">
        <v>1219</v>
      </c>
      <c r="B243" s="1">
        <v>2568</v>
      </c>
      <c r="C243" s="1">
        <v>41648</v>
      </c>
      <c r="D243">
        <v>16.350000000000001</v>
      </c>
      <c r="E243">
        <v>16.55</v>
      </c>
      <c r="F243">
        <v>16.05</v>
      </c>
      <c r="G243">
        <v>16.05</v>
      </c>
      <c r="H243">
        <v>-0.2</v>
      </c>
      <c r="I243" s="1">
        <v>970</v>
      </c>
    </row>
    <row r="244" spans="1:9" x14ac:dyDescent="0.25">
      <c r="A244" t="s">
        <v>1220</v>
      </c>
      <c r="B244" s="1">
        <v>2088</v>
      </c>
      <c r="C244" s="1">
        <v>34090</v>
      </c>
      <c r="D244">
        <v>16.2</v>
      </c>
      <c r="E244">
        <v>16.45</v>
      </c>
      <c r="F244">
        <v>16.100000000000001</v>
      </c>
      <c r="G244">
        <v>16.399999999999999</v>
      </c>
      <c r="H244">
        <v>0.35</v>
      </c>
      <c r="I244" s="1">
        <v>875</v>
      </c>
    </row>
    <row r="245" spans="1:9" x14ac:dyDescent="0.25">
      <c r="A245" t="s">
        <v>1221</v>
      </c>
      <c r="B245" s="1">
        <v>2191</v>
      </c>
      <c r="C245" s="1">
        <v>35384</v>
      </c>
      <c r="D245">
        <v>16.55</v>
      </c>
      <c r="E245">
        <v>16.600000000000001</v>
      </c>
      <c r="F245">
        <v>16</v>
      </c>
      <c r="G245">
        <v>16.05</v>
      </c>
      <c r="H245">
        <v>-0.35</v>
      </c>
      <c r="I245" s="1">
        <v>816</v>
      </c>
    </row>
    <row r="246" spans="1:9" x14ac:dyDescent="0.25">
      <c r="A246" t="s">
        <v>1222</v>
      </c>
      <c r="B246" s="1">
        <v>1722</v>
      </c>
      <c r="C246" s="1">
        <v>27772</v>
      </c>
      <c r="D246">
        <v>16.100000000000001</v>
      </c>
      <c r="E246">
        <v>16.3</v>
      </c>
      <c r="F246">
        <v>16</v>
      </c>
      <c r="G246">
        <v>16.2</v>
      </c>
      <c r="H246">
        <v>0.15</v>
      </c>
      <c r="I246">
        <v>663</v>
      </c>
    </row>
    <row r="247" spans="1:9" x14ac:dyDescent="0.25">
      <c r="A247" t="s">
        <v>1223</v>
      </c>
      <c r="B247" s="1">
        <v>2437</v>
      </c>
      <c r="C247" s="1">
        <v>39243</v>
      </c>
      <c r="D247">
        <v>16.149999999999999</v>
      </c>
      <c r="E247">
        <v>16.45</v>
      </c>
      <c r="F247">
        <v>15.6</v>
      </c>
      <c r="G247">
        <v>16.149999999999999</v>
      </c>
      <c r="H247">
        <v>-0.05</v>
      </c>
      <c r="I247">
        <v>901</v>
      </c>
    </row>
    <row r="248" spans="1:9" x14ac:dyDescent="0.25">
      <c r="A248" t="s">
        <v>1224</v>
      </c>
      <c r="B248" s="1">
        <v>10788</v>
      </c>
      <c r="C248" s="1">
        <v>161534</v>
      </c>
      <c r="D248">
        <v>16.2</v>
      </c>
      <c r="E248">
        <v>16.3</v>
      </c>
      <c r="F248">
        <v>14.55</v>
      </c>
      <c r="G248">
        <v>14.55</v>
      </c>
      <c r="H248">
        <v>-1.6</v>
      </c>
      <c r="I248" s="1">
        <v>2777</v>
      </c>
    </row>
    <row r="249" spans="1:9" x14ac:dyDescent="0.25">
      <c r="A249" t="s">
        <v>1225</v>
      </c>
      <c r="B249" s="1">
        <v>7061</v>
      </c>
      <c r="C249" s="1">
        <v>96344</v>
      </c>
      <c r="D249">
        <v>14.1</v>
      </c>
      <c r="E249">
        <v>14.35</v>
      </c>
      <c r="F249">
        <v>13.25</v>
      </c>
      <c r="G249">
        <v>13.7</v>
      </c>
      <c r="H249">
        <v>-0.85</v>
      </c>
      <c r="I249" s="1">
        <v>2589</v>
      </c>
    </row>
    <row r="250" spans="1:9" x14ac:dyDescent="0.25">
      <c r="A250" t="s">
        <v>1226</v>
      </c>
      <c r="B250" s="1">
        <v>9484</v>
      </c>
      <c r="C250" s="1">
        <v>139229</v>
      </c>
      <c r="D250">
        <v>13.75</v>
      </c>
      <c r="E250">
        <v>15.05</v>
      </c>
      <c r="F250">
        <v>13.55</v>
      </c>
      <c r="G250">
        <v>15.05</v>
      </c>
      <c r="H250">
        <v>1.35</v>
      </c>
      <c r="I250" s="1">
        <v>2744</v>
      </c>
    </row>
    <row r="251" spans="1:9" x14ac:dyDescent="0.25">
      <c r="A251" t="s">
        <v>1227</v>
      </c>
      <c r="B251" s="1">
        <v>13126</v>
      </c>
      <c r="C251" s="1">
        <v>206770</v>
      </c>
      <c r="D251">
        <v>15.6</v>
      </c>
      <c r="E251">
        <v>16.2</v>
      </c>
      <c r="F251">
        <v>15.3</v>
      </c>
      <c r="G251">
        <v>15.75</v>
      </c>
      <c r="H251">
        <v>0.7</v>
      </c>
      <c r="I251" s="1">
        <v>4585</v>
      </c>
    </row>
    <row r="252" spans="1:9" x14ac:dyDescent="0.25">
      <c r="A252" t="s">
        <v>1228</v>
      </c>
      <c r="B252" s="1">
        <v>5145</v>
      </c>
      <c r="C252" s="1">
        <v>80989</v>
      </c>
      <c r="D252">
        <v>15.8</v>
      </c>
      <c r="E252">
        <v>16.149999999999999</v>
      </c>
      <c r="F252">
        <v>15.35</v>
      </c>
      <c r="G252">
        <v>15.5</v>
      </c>
      <c r="H252">
        <v>-0.25</v>
      </c>
      <c r="I252" s="1">
        <v>1937</v>
      </c>
    </row>
    <row r="253" spans="1:9" x14ac:dyDescent="0.25">
      <c r="A253" t="s">
        <v>1229</v>
      </c>
      <c r="B253" s="1">
        <v>7944</v>
      </c>
      <c r="C253" s="1">
        <v>129578</v>
      </c>
      <c r="D253">
        <v>15.6</v>
      </c>
      <c r="E253">
        <v>16.8</v>
      </c>
      <c r="F253">
        <v>15.6</v>
      </c>
      <c r="G253">
        <v>16.3</v>
      </c>
      <c r="H253">
        <v>0.8</v>
      </c>
      <c r="I253" s="1">
        <v>2864</v>
      </c>
    </row>
    <row r="254" spans="1:9" x14ac:dyDescent="0.25">
      <c r="A254" t="s">
        <v>1230</v>
      </c>
      <c r="B254" s="1">
        <v>4908</v>
      </c>
      <c r="C254" s="1">
        <v>79419</v>
      </c>
      <c r="D254">
        <v>16.399999999999999</v>
      </c>
      <c r="E254">
        <v>16.649999999999999</v>
      </c>
      <c r="F254">
        <v>15.85</v>
      </c>
      <c r="G254">
        <v>15.85</v>
      </c>
      <c r="H254">
        <v>-0.45</v>
      </c>
      <c r="I254" s="1">
        <v>1711</v>
      </c>
    </row>
    <row r="255" spans="1:9" x14ac:dyDescent="0.25">
      <c r="A255" t="s">
        <v>1231</v>
      </c>
      <c r="B255" s="1">
        <v>2138</v>
      </c>
      <c r="C255" s="1">
        <v>33715</v>
      </c>
      <c r="D255">
        <v>16.05</v>
      </c>
      <c r="E255">
        <v>16.05</v>
      </c>
      <c r="F255">
        <v>15.5</v>
      </c>
      <c r="G255">
        <v>15.75</v>
      </c>
      <c r="H255">
        <v>-0.1</v>
      </c>
      <c r="I255" s="1">
        <v>817</v>
      </c>
    </row>
    <row r="256" spans="1:9" x14ac:dyDescent="0.25">
      <c r="A256" t="s">
        <v>1232</v>
      </c>
      <c r="B256" s="1">
        <v>2889</v>
      </c>
      <c r="C256" s="1">
        <v>44938</v>
      </c>
      <c r="D256">
        <v>15.85</v>
      </c>
      <c r="E256">
        <v>16</v>
      </c>
      <c r="F256">
        <v>15.3</v>
      </c>
      <c r="G256">
        <v>15.4</v>
      </c>
      <c r="H256">
        <v>-0.35</v>
      </c>
      <c r="I256" s="1">
        <v>1154</v>
      </c>
    </row>
    <row r="257" spans="1:9" x14ac:dyDescent="0.25">
      <c r="A257" s="9" t="s">
        <v>1233</v>
      </c>
      <c r="B257" s="1">
        <v>3071</v>
      </c>
      <c r="C257" s="1">
        <v>46316</v>
      </c>
      <c r="D257">
        <v>15.3</v>
      </c>
      <c r="E257">
        <v>15.35</v>
      </c>
      <c r="F257">
        <v>14.95</v>
      </c>
      <c r="G257">
        <v>15.05</v>
      </c>
      <c r="H257">
        <v>-0.35</v>
      </c>
      <c r="I257" s="1">
        <v>1166</v>
      </c>
    </row>
    <row r="258" spans="1:9" x14ac:dyDescent="0.25">
      <c r="A258" t="s">
        <v>1234</v>
      </c>
      <c r="B258" s="1">
        <v>1617</v>
      </c>
      <c r="C258" s="1">
        <v>24590</v>
      </c>
      <c r="D258">
        <v>15</v>
      </c>
      <c r="E258">
        <v>15.45</v>
      </c>
      <c r="F258">
        <v>14.9</v>
      </c>
      <c r="G258">
        <v>15.1</v>
      </c>
      <c r="H258">
        <v>0.05</v>
      </c>
      <c r="I258" s="1">
        <v>751</v>
      </c>
    </row>
    <row r="259" spans="1:9" x14ac:dyDescent="0.25">
      <c r="A259" s="9" t="s">
        <v>857</v>
      </c>
      <c r="B259" s="1"/>
      <c r="C259" s="1"/>
      <c r="I259" s="1"/>
    </row>
    <row r="265" spans="1:9" x14ac:dyDescent="0.25">
      <c r="A265" s="9" t="s">
        <v>1200</v>
      </c>
      <c r="B265" s="1">
        <v>486</v>
      </c>
      <c r="C265" s="1">
        <v>4671</v>
      </c>
      <c r="D265">
        <v>9.6199999999999992</v>
      </c>
      <c r="E265">
        <v>9.6199999999999992</v>
      </c>
      <c r="F265">
        <v>9.6199999999999992</v>
      </c>
      <c r="G265">
        <v>9.6199999999999992</v>
      </c>
      <c r="H265">
        <v>0.87</v>
      </c>
      <c r="I265" s="1">
        <v>158</v>
      </c>
    </row>
    <row r="266" spans="1:9" x14ac:dyDescent="0.25">
      <c r="A266" t="s">
        <v>1201</v>
      </c>
      <c r="B266" s="1">
        <v>1122</v>
      </c>
      <c r="C266" s="1">
        <v>11839</v>
      </c>
      <c r="D266">
        <v>10.55</v>
      </c>
      <c r="E266">
        <v>10.55</v>
      </c>
      <c r="F266">
        <v>10.55</v>
      </c>
      <c r="G266">
        <v>10.55</v>
      </c>
      <c r="H266">
        <v>0.93</v>
      </c>
      <c r="I266">
        <v>178</v>
      </c>
    </row>
    <row r="267" spans="1:9" x14ac:dyDescent="0.25">
      <c r="A267" t="s">
        <v>1202</v>
      </c>
      <c r="B267" s="1">
        <v>15602</v>
      </c>
      <c r="C267" s="1">
        <v>180980</v>
      </c>
      <c r="D267">
        <v>11.6</v>
      </c>
      <c r="E267">
        <v>11.6</v>
      </c>
      <c r="F267">
        <v>11.6</v>
      </c>
      <c r="G267">
        <v>11.6</v>
      </c>
      <c r="H267">
        <v>1.05</v>
      </c>
      <c r="I267" s="1">
        <v>1327</v>
      </c>
    </row>
    <row r="268" spans="1:9" x14ac:dyDescent="0.25">
      <c r="A268" t="s">
        <v>1203</v>
      </c>
      <c r="B268" s="1">
        <v>7138</v>
      </c>
      <c r="C268" s="1">
        <v>87998</v>
      </c>
      <c r="D268">
        <v>11.9</v>
      </c>
      <c r="E268">
        <v>12.75</v>
      </c>
      <c r="F268">
        <v>11.7</v>
      </c>
      <c r="G268">
        <v>12.75</v>
      </c>
      <c r="H268">
        <v>1.1499999999999999</v>
      </c>
      <c r="I268" s="1">
        <v>1564</v>
      </c>
    </row>
    <row r="269" spans="1:9" x14ac:dyDescent="0.25">
      <c r="A269" t="s">
        <v>1204</v>
      </c>
      <c r="B269" s="1">
        <v>4543</v>
      </c>
      <c r="C269" s="1">
        <v>61715</v>
      </c>
      <c r="D269">
        <v>13.5</v>
      </c>
      <c r="E269">
        <v>14</v>
      </c>
      <c r="F269">
        <v>13.1</v>
      </c>
      <c r="G269">
        <v>13.95</v>
      </c>
      <c r="H269">
        <v>1.2</v>
      </c>
      <c r="I269" s="1">
        <v>1150</v>
      </c>
    </row>
    <row r="270" spans="1:9" x14ac:dyDescent="0.25">
      <c r="A270" t="s">
        <v>1205</v>
      </c>
      <c r="B270" s="1">
        <v>1595</v>
      </c>
      <c r="C270" s="1">
        <v>21917</v>
      </c>
      <c r="D270">
        <v>13.95</v>
      </c>
      <c r="E270">
        <v>14</v>
      </c>
      <c r="F270">
        <v>13.4</v>
      </c>
      <c r="G270">
        <v>13.9</v>
      </c>
      <c r="H270">
        <v>-0.05</v>
      </c>
      <c r="I270">
        <v>563</v>
      </c>
    </row>
    <row r="271" spans="1:9" x14ac:dyDescent="0.25">
      <c r="A271" t="s">
        <v>1206</v>
      </c>
      <c r="B271" s="1">
        <v>3559</v>
      </c>
      <c r="C271" s="1">
        <v>46020</v>
      </c>
      <c r="D271">
        <v>13.6</v>
      </c>
      <c r="E271">
        <v>13.9</v>
      </c>
      <c r="F271">
        <v>12.55</v>
      </c>
      <c r="G271">
        <v>12.55</v>
      </c>
      <c r="H271">
        <v>-1.35</v>
      </c>
      <c r="I271">
        <v>807</v>
      </c>
    </row>
    <row r="272" spans="1:9" x14ac:dyDescent="0.25">
      <c r="A272" t="s">
        <v>1207</v>
      </c>
      <c r="B272" s="1">
        <v>1954</v>
      </c>
      <c r="C272" s="1">
        <v>24660</v>
      </c>
      <c r="D272">
        <v>12.4</v>
      </c>
      <c r="E272">
        <v>13</v>
      </c>
      <c r="F272">
        <v>12.15</v>
      </c>
      <c r="G272">
        <v>12.75</v>
      </c>
      <c r="H272">
        <v>0.2</v>
      </c>
      <c r="I272">
        <v>801</v>
      </c>
    </row>
    <row r="273" spans="1:9" x14ac:dyDescent="0.25">
      <c r="A273" t="s">
        <v>1208</v>
      </c>
      <c r="B273" s="1">
        <v>1551</v>
      </c>
      <c r="C273" s="1">
        <v>20780</v>
      </c>
      <c r="D273">
        <v>12.6</v>
      </c>
      <c r="E273">
        <v>14</v>
      </c>
      <c r="F273">
        <v>12.6</v>
      </c>
      <c r="G273">
        <v>13.45</v>
      </c>
      <c r="H273">
        <v>0.7</v>
      </c>
      <c r="I273">
        <v>560</v>
      </c>
    </row>
    <row r="274" spans="1:9" x14ac:dyDescent="0.25">
      <c r="A274" t="s">
        <v>1209</v>
      </c>
      <c r="B274" s="1">
        <v>2487</v>
      </c>
      <c r="C274" s="1">
        <v>34794</v>
      </c>
      <c r="D274">
        <v>13.7</v>
      </c>
      <c r="E274">
        <v>14.35</v>
      </c>
      <c r="F274">
        <v>13.45</v>
      </c>
      <c r="G274">
        <v>13.8</v>
      </c>
      <c r="H274">
        <v>0.35</v>
      </c>
      <c r="I274">
        <v>910</v>
      </c>
    </row>
    <row r="275" spans="1:9" x14ac:dyDescent="0.25">
      <c r="A275" t="s">
        <v>1210</v>
      </c>
      <c r="B275" s="1">
        <v>12562</v>
      </c>
      <c r="C275" s="1">
        <v>187851</v>
      </c>
      <c r="D275">
        <v>14</v>
      </c>
      <c r="E275">
        <v>15.15</v>
      </c>
      <c r="F275">
        <v>14</v>
      </c>
      <c r="G275">
        <v>15.15</v>
      </c>
      <c r="H275">
        <v>1.35</v>
      </c>
      <c r="I275" s="1">
        <v>3552</v>
      </c>
    </row>
    <row r="276" spans="1:9" x14ac:dyDescent="0.25">
      <c r="A276" t="s">
        <v>1211</v>
      </c>
      <c r="B276" s="1">
        <v>14143</v>
      </c>
      <c r="C276" s="1">
        <v>222653</v>
      </c>
      <c r="D276">
        <v>15.35</v>
      </c>
      <c r="E276">
        <v>16.3</v>
      </c>
      <c r="F276">
        <v>14.85</v>
      </c>
      <c r="G276">
        <v>15.95</v>
      </c>
      <c r="H276">
        <v>0.8</v>
      </c>
      <c r="I276" s="1">
        <v>4359</v>
      </c>
    </row>
    <row r="277" spans="1:9" x14ac:dyDescent="0.25">
      <c r="A277" t="s">
        <v>1212</v>
      </c>
      <c r="B277" s="1">
        <v>9212</v>
      </c>
      <c r="C277" s="1">
        <v>150158</v>
      </c>
      <c r="D277">
        <v>15.8</v>
      </c>
      <c r="E277">
        <v>16.899999999999999</v>
      </c>
      <c r="F277">
        <v>15.75</v>
      </c>
      <c r="G277">
        <v>15.9</v>
      </c>
      <c r="H277">
        <v>-0.05</v>
      </c>
      <c r="I277" s="1">
        <v>2995</v>
      </c>
    </row>
    <row r="278" spans="1:9" x14ac:dyDescent="0.25">
      <c r="A278" t="s">
        <v>1213</v>
      </c>
      <c r="B278" s="1">
        <v>4222</v>
      </c>
      <c r="C278" s="1">
        <v>68290</v>
      </c>
      <c r="D278">
        <v>16.2</v>
      </c>
      <c r="E278">
        <v>16.45</v>
      </c>
      <c r="F278">
        <v>15.9</v>
      </c>
      <c r="G278">
        <v>16</v>
      </c>
      <c r="H278">
        <v>0.1</v>
      </c>
      <c r="I278" s="1">
        <v>1416</v>
      </c>
    </row>
    <row r="279" spans="1:9" x14ac:dyDescent="0.25">
      <c r="A279" t="s">
        <v>1214</v>
      </c>
      <c r="B279" s="1">
        <v>4151</v>
      </c>
      <c r="C279" s="1">
        <v>67873</v>
      </c>
      <c r="D279">
        <v>16.2</v>
      </c>
      <c r="E279">
        <v>16.600000000000001</v>
      </c>
      <c r="F279">
        <v>16</v>
      </c>
      <c r="G279">
        <v>16.5</v>
      </c>
      <c r="H279">
        <v>0.5</v>
      </c>
      <c r="I279" s="1">
        <v>1447</v>
      </c>
    </row>
    <row r="280" spans="1:9" x14ac:dyDescent="0.25">
      <c r="A280" t="s">
        <v>1215</v>
      </c>
      <c r="B280" s="1">
        <v>8579</v>
      </c>
      <c r="C280" s="1">
        <v>147453</v>
      </c>
      <c r="D280">
        <v>16.600000000000001</v>
      </c>
      <c r="E280">
        <v>17.649999999999999</v>
      </c>
      <c r="F280">
        <v>16.600000000000001</v>
      </c>
      <c r="G280">
        <v>17.2</v>
      </c>
      <c r="H280">
        <v>0.7</v>
      </c>
      <c r="I280" s="1">
        <v>3028</v>
      </c>
    </row>
    <row r="281" spans="1:9" x14ac:dyDescent="0.25">
      <c r="A281" s="9" t="s">
        <v>1216</v>
      </c>
      <c r="B281" s="1"/>
      <c r="C281" s="1"/>
      <c r="I281" s="1"/>
    </row>
    <row r="289" spans="1:9" x14ac:dyDescent="0.25">
      <c r="A289" s="9" t="s">
        <v>6407</v>
      </c>
      <c r="B289" s="1"/>
      <c r="C289" s="1"/>
      <c r="I289" s="1"/>
    </row>
    <row r="313" spans="1:9" x14ac:dyDescent="0.25">
      <c r="A313" s="9" t="s">
        <v>6407</v>
      </c>
      <c r="B313" s="1"/>
      <c r="C313" s="1"/>
      <c r="I313" s="1"/>
    </row>
    <row r="337" spans="1:9" x14ac:dyDescent="0.25">
      <c r="A337" s="9" t="s">
        <v>6407</v>
      </c>
      <c r="B337" s="1"/>
      <c r="C337" s="1"/>
      <c r="I337" s="1"/>
    </row>
    <row r="361" spans="1:9" x14ac:dyDescent="0.25">
      <c r="A361" s="9" t="s">
        <v>6407</v>
      </c>
      <c r="B361" s="1"/>
      <c r="C361" s="1"/>
      <c r="I361" s="1"/>
    </row>
    <row r="385" spans="1:9" x14ac:dyDescent="0.25">
      <c r="A385" s="9" t="s">
        <v>6407</v>
      </c>
      <c r="B385" s="1"/>
      <c r="C385" s="1"/>
      <c r="I385" s="1"/>
    </row>
    <row r="409" spans="1:9" x14ac:dyDescent="0.25">
      <c r="A409" s="9" t="s">
        <v>6407</v>
      </c>
      <c r="B409" s="1"/>
      <c r="C409" s="1"/>
      <c r="I409" s="1"/>
    </row>
    <row r="433" spans="1:9" x14ac:dyDescent="0.25">
      <c r="A433" s="9" t="s">
        <v>6407</v>
      </c>
      <c r="B433" s="1"/>
      <c r="C433" s="1"/>
      <c r="I433" s="1"/>
    </row>
    <row r="457" spans="1:9" x14ac:dyDescent="0.25">
      <c r="A457" s="9" t="s">
        <v>1031</v>
      </c>
      <c r="B457" s="1">
        <v>671</v>
      </c>
      <c r="C457" s="1">
        <v>11345</v>
      </c>
      <c r="D457">
        <v>17.100000000000001</v>
      </c>
      <c r="E457">
        <v>17.2</v>
      </c>
      <c r="F457">
        <v>16.600000000000001</v>
      </c>
      <c r="G457">
        <v>16.8</v>
      </c>
      <c r="H457">
        <v>-0.15</v>
      </c>
      <c r="I457" s="1">
        <v>261</v>
      </c>
    </row>
    <row r="458" spans="1:9" x14ac:dyDescent="0.25">
      <c r="A458" t="s">
        <v>1032</v>
      </c>
      <c r="B458" s="1">
        <v>674</v>
      </c>
      <c r="C458" s="1">
        <v>11091</v>
      </c>
      <c r="D458">
        <v>16.8</v>
      </c>
      <c r="E458">
        <v>16.8</v>
      </c>
      <c r="F458">
        <v>16.3</v>
      </c>
      <c r="G458">
        <v>16.350000000000001</v>
      </c>
      <c r="H458">
        <v>-0.45</v>
      </c>
      <c r="I458" s="1">
        <v>277</v>
      </c>
    </row>
    <row r="459" spans="1:9" x14ac:dyDescent="0.25">
      <c r="A459" t="s">
        <v>1033</v>
      </c>
      <c r="B459" s="1">
        <v>549</v>
      </c>
      <c r="C459" s="1">
        <v>8978</v>
      </c>
      <c r="D459">
        <v>16.2</v>
      </c>
      <c r="E459">
        <v>16.55</v>
      </c>
      <c r="F459">
        <v>16.2</v>
      </c>
      <c r="G459">
        <v>16.3</v>
      </c>
      <c r="H459">
        <v>-0.05</v>
      </c>
      <c r="I459" s="1">
        <v>264</v>
      </c>
    </row>
    <row r="460" spans="1:9" x14ac:dyDescent="0.25">
      <c r="A460" t="s">
        <v>1034</v>
      </c>
      <c r="B460" s="1">
        <v>354</v>
      </c>
      <c r="C460" s="1">
        <v>5779</v>
      </c>
      <c r="D460">
        <v>16.399999999999999</v>
      </c>
      <c r="E460">
        <v>16.649999999999999</v>
      </c>
      <c r="F460">
        <v>16.149999999999999</v>
      </c>
      <c r="G460">
        <v>16.3</v>
      </c>
      <c r="H460">
        <v>0</v>
      </c>
      <c r="I460" s="1">
        <v>182</v>
      </c>
    </row>
    <row r="461" spans="1:9" x14ac:dyDescent="0.25">
      <c r="A461" t="s">
        <v>1035</v>
      </c>
      <c r="B461" s="1">
        <v>196</v>
      </c>
      <c r="C461" s="1">
        <v>2880</v>
      </c>
      <c r="D461">
        <v>14.7</v>
      </c>
      <c r="E461">
        <v>14.7</v>
      </c>
      <c r="F461">
        <v>14.7</v>
      </c>
      <c r="G461">
        <v>14.7</v>
      </c>
      <c r="H461">
        <v>-1.6</v>
      </c>
      <c r="I461" s="1">
        <v>112</v>
      </c>
    </row>
    <row r="462" spans="1:9" x14ac:dyDescent="0.25">
      <c r="A462" t="s">
        <v>1036</v>
      </c>
      <c r="B462" s="1">
        <v>4</v>
      </c>
      <c r="C462" s="1">
        <v>53</v>
      </c>
      <c r="D462">
        <v>13.25</v>
      </c>
      <c r="E462">
        <v>13.25</v>
      </c>
      <c r="F462">
        <v>13.25</v>
      </c>
      <c r="G462">
        <v>13.25</v>
      </c>
      <c r="H462">
        <v>-1.45</v>
      </c>
      <c r="I462" s="1">
        <v>4</v>
      </c>
    </row>
    <row r="463" spans="1:9" x14ac:dyDescent="0.25">
      <c r="A463" t="s">
        <v>1037</v>
      </c>
      <c r="B463" s="1">
        <v>34</v>
      </c>
      <c r="C463" s="1">
        <v>409</v>
      </c>
      <c r="D463">
        <v>11.95</v>
      </c>
      <c r="E463">
        <v>11.95</v>
      </c>
      <c r="F463">
        <v>11.95</v>
      </c>
      <c r="G463">
        <v>11.95</v>
      </c>
      <c r="H463">
        <v>-1.3</v>
      </c>
      <c r="I463" s="1">
        <v>18</v>
      </c>
    </row>
    <row r="464" spans="1:9" x14ac:dyDescent="0.25">
      <c r="A464" t="s">
        <v>1038</v>
      </c>
      <c r="B464" s="1">
        <v>286</v>
      </c>
      <c r="C464" s="1">
        <v>3087</v>
      </c>
      <c r="D464">
        <v>10.8</v>
      </c>
      <c r="E464">
        <v>10.8</v>
      </c>
      <c r="F464">
        <v>10.8</v>
      </c>
      <c r="G464">
        <v>10.8</v>
      </c>
      <c r="H464">
        <v>-1.1499999999999999</v>
      </c>
      <c r="I464" s="1">
        <v>32</v>
      </c>
    </row>
    <row r="465" spans="1:9" x14ac:dyDescent="0.25">
      <c r="A465" t="s">
        <v>1039</v>
      </c>
      <c r="B465" s="1">
        <v>1647</v>
      </c>
      <c r="C465" s="1">
        <v>16005</v>
      </c>
      <c r="D465">
        <v>9.7200000000000006</v>
      </c>
      <c r="E465">
        <v>9.7200000000000006</v>
      </c>
      <c r="F465">
        <v>9.7200000000000006</v>
      </c>
      <c r="G465">
        <v>9.7200000000000006</v>
      </c>
      <c r="H465">
        <v>-1.08</v>
      </c>
      <c r="I465" s="1">
        <v>310</v>
      </c>
    </row>
    <row r="466" spans="1:9" x14ac:dyDescent="0.25">
      <c r="A466" t="s">
        <v>1040</v>
      </c>
      <c r="B466" s="1">
        <v>743</v>
      </c>
      <c r="C466" s="1">
        <v>6497</v>
      </c>
      <c r="D466">
        <v>8.75</v>
      </c>
      <c r="E466">
        <v>8.75</v>
      </c>
      <c r="F466">
        <v>8.75</v>
      </c>
      <c r="G466">
        <v>8.75</v>
      </c>
      <c r="H466">
        <v>-0.97</v>
      </c>
      <c r="I466" s="1">
        <v>125</v>
      </c>
    </row>
    <row r="467" spans="1:9" x14ac:dyDescent="0.25">
      <c r="A467" t="s">
        <v>7650</v>
      </c>
      <c r="B467" s="1"/>
      <c r="C467" s="1"/>
      <c r="I467" s="1"/>
    </row>
    <row r="481" spans="1:9" x14ac:dyDescent="0.25">
      <c r="A481" s="9" t="s">
        <v>1011</v>
      </c>
      <c r="B481" s="1">
        <v>8964</v>
      </c>
      <c r="C481" s="1">
        <v>154219</v>
      </c>
      <c r="D481">
        <v>17.05</v>
      </c>
      <c r="E481">
        <v>18</v>
      </c>
      <c r="F481">
        <v>17.05</v>
      </c>
      <c r="G481">
        <v>17.600000000000001</v>
      </c>
      <c r="H481">
        <v>-1.3</v>
      </c>
      <c r="I481" s="1">
        <v>2726</v>
      </c>
    </row>
    <row r="482" spans="1:9" x14ac:dyDescent="0.25">
      <c r="A482" t="s">
        <v>1012</v>
      </c>
      <c r="B482" s="1">
        <v>1730</v>
      </c>
      <c r="C482" s="1">
        <v>29954</v>
      </c>
      <c r="D482">
        <v>17.600000000000001</v>
      </c>
      <c r="E482">
        <v>17.600000000000001</v>
      </c>
      <c r="F482">
        <v>17.05</v>
      </c>
      <c r="G482">
        <v>17.5</v>
      </c>
      <c r="H482">
        <v>-0.1</v>
      </c>
      <c r="I482" s="1">
        <v>792</v>
      </c>
    </row>
    <row r="483" spans="1:9" x14ac:dyDescent="0.25">
      <c r="A483" t="s">
        <v>1013</v>
      </c>
      <c r="B483" s="1">
        <v>872</v>
      </c>
      <c r="C483" s="1">
        <v>15195</v>
      </c>
      <c r="D483">
        <v>17.5</v>
      </c>
      <c r="E483">
        <v>17.55</v>
      </c>
      <c r="F483">
        <v>17.3</v>
      </c>
      <c r="G483">
        <v>17.350000000000001</v>
      </c>
      <c r="H483">
        <v>-0.15</v>
      </c>
      <c r="I483" s="1">
        <v>403</v>
      </c>
    </row>
    <row r="484" spans="1:9" x14ac:dyDescent="0.25">
      <c r="A484" t="s">
        <v>1014</v>
      </c>
      <c r="B484" s="1">
        <v>571</v>
      </c>
      <c r="C484" s="1">
        <v>9951</v>
      </c>
      <c r="D484">
        <v>17.399999999999999</v>
      </c>
      <c r="E484">
        <v>17.55</v>
      </c>
      <c r="F484">
        <v>17.350000000000001</v>
      </c>
      <c r="G484">
        <v>17.5</v>
      </c>
      <c r="H484">
        <v>0.15</v>
      </c>
      <c r="I484" s="1">
        <v>299</v>
      </c>
    </row>
    <row r="485" spans="1:9" x14ac:dyDescent="0.25">
      <c r="A485" t="s">
        <v>1015</v>
      </c>
      <c r="B485" s="1">
        <v>765</v>
      </c>
      <c r="C485" s="1">
        <v>13349</v>
      </c>
      <c r="D485">
        <v>17.55</v>
      </c>
      <c r="E485">
        <v>17.600000000000001</v>
      </c>
      <c r="F485">
        <v>17.350000000000001</v>
      </c>
      <c r="G485">
        <v>17.350000000000001</v>
      </c>
      <c r="H485">
        <v>-0.15</v>
      </c>
      <c r="I485" s="1">
        <v>287</v>
      </c>
    </row>
    <row r="486" spans="1:9" x14ac:dyDescent="0.25">
      <c r="A486" t="s">
        <v>1016</v>
      </c>
      <c r="B486" s="1">
        <v>2300</v>
      </c>
      <c r="C486" s="1">
        <v>38302</v>
      </c>
      <c r="D486">
        <v>17.350000000000001</v>
      </c>
      <c r="E486">
        <v>17.399999999999999</v>
      </c>
      <c r="F486">
        <v>16.25</v>
      </c>
      <c r="G486">
        <v>16.45</v>
      </c>
      <c r="H486">
        <v>-0.9</v>
      </c>
      <c r="I486" s="1">
        <v>1141</v>
      </c>
    </row>
    <row r="487" spans="1:9" x14ac:dyDescent="0.25">
      <c r="A487" t="s">
        <v>1017</v>
      </c>
      <c r="B487" s="1">
        <v>1450</v>
      </c>
      <c r="C487" s="1">
        <v>24161</v>
      </c>
      <c r="D487">
        <v>16.5</v>
      </c>
      <c r="E487">
        <v>16.95</v>
      </c>
      <c r="F487">
        <v>16.399999999999999</v>
      </c>
      <c r="G487">
        <v>16.45</v>
      </c>
      <c r="H487">
        <v>0</v>
      </c>
      <c r="I487" s="1">
        <v>732</v>
      </c>
    </row>
    <row r="488" spans="1:9" x14ac:dyDescent="0.25">
      <c r="A488" t="s">
        <v>1018</v>
      </c>
      <c r="B488" s="1">
        <v>1213</v>
      </c>
      <c r="C488" s="1">
        <v>20581</v>
      </c>
      <c r="D488">
        <v>16.7</v>
      </c>
      <c r="E488">
        <v>17.2</v>
      </c>
      <c r="F488">
        <v>16.649999999999999</v>
      </c>
      <c r="G488">
        <v>17.100000000000001</v>
      </c>
      <c r="H488">
        <v>0.65</v>
      </c>
      <c r="I488" s="1">
        <v>608</v>
      </c>
    </row>
    <row r="489" spans="1:9" x14ac:dyDescent="0.25">
      <c r="A489" t="s">
        <v>1019</v>
      </c>
      <c r="B489" s="1">
        <v>625</v>
      </c>
      <c r="C489" s="1">
        <v>10617</v>
      </c>
      <c r="D489">
        <v>17.149999999999999</v>
      </c>
      <c r="E489">
        <v>17.2</v>
      </c>
      <c r="F489">
        <v>16.850000000000001</v>
      </c>
      <c r="G489">
        <v>16.899999999999999</v>
      </c>
      <c r="H489">
        <v>-0.2</v>
      </c>
      <c r="I489" s="1">
        <v>369</v>
      </c>
    </row>
    <row r="490" spans="1:9" x14ac:dyDescent="0.25">
      <c r="A490" t="s">
        <v>1020</v>
      </c>
      <c r="B490" s="1">
        <v>476</v>
      </c>
      <c r="C490" s="1">
        <v>8065</v>
      </c>
      <c r="D490">
        <v>16.850000000000001</v>
      </c>
      <c r="E490">
        <v>17.100000000000001</v>
      </c>
      <c r="F490">
        <v>16.8</v>
      </c>
      <c r="G490">
        <v>17</v>
      </c>
      <c r="H490">
        <v>0.1</v>
      </c>
      <c r="I490" s="1">
        <v>363</v>
      </c>
    </row>
    <row r="491" spans="1:9" x14ac:dyDescent="0.25">
      <c r="A491" t="s">
        <v>1021</v>
      </c>
      <c r="B491" s="1">
        <v>1484</v>
      </c>
      <c r="C491" s="1">
        <v>26044</v>
      </c>
      <c r="D491">
        <v>17.05</v>
      </c>
      <c r="E491">
        <v>18</v>
      </c>
      <c r="F491">
        <v>17.05</v>
      </c>
      <c r="G491">
        <v>17.600000000000001</v>
      </c>
      <c r="H491">
        <v>0.6</v>
      </c>
      <c r="I491" s="1">
        <v>823</v>
      </c>
    </row>
    <row r="492" spans="1:9" x14ac:dyDescent="0.25">
      <c r="A492" t="s">
        <v>1022</v>
      </c>
      <c r="B492" s="1">
        <v>1253</v>
      </c>
      <c r="C492" s="1">
        <v>21877</v>
      </c>
      <c r="D492">
        <v>17.850000000000001</v>
      </c>
      <c r="E492">
        <v>17.850000000000001</v>
      </c>
      <c r="F492">
        <v>17.2</v>
      </c>
      <c r="G492">
        <v>17.350000000000001</v>
      </c>
      <c r="H492">
        <v>-0.25</v>
      </c>
      <c r="I492" s="1">
        <v>591</v>
      </c>
    </row>
    <row r="493" spans="1:9" x14ac:dyDescent="0.25">
      <c r="A493" t="s">
        <v>1023</v>
      </c>
      <c r="B493" s="1">
        <v>599</v>
      </c>
      <c r="C493" s="1">
        <v>10440</v>
      </c>
      <c r="D493">
        <v>17.45</v>
      </c>
      <c r="E493">
        <v>17.7</v>
      </c>
      <c r="F493">
        <v>17.25</v>
      </c>
      <c r="G493">
        <v>17.399999999999999</v>
      </c>
      <c r="H493">
        <v>0.05</v>
      </c>
      <c r="I493" s="1">
        <v>286</v>
      </c>
    </row>
    <row r="494" spans="1:9" x14ac:dyDescent="0.25">
      <c r="A494" t="s">
        <v>1024</v>
      </c>
      <c r="B494" s="1">
        <v>539</v>
      </c>
      <c r="C494" s="1">
        <v>9427</v>
      </c>
      <c r="D494">
        <v>17.3</v>
      </c>
      <c r="E494">
        <v>17.600000000000001</v>
      </c>
      <c r="F494">
        <v>17.3</v>
      </c>
      <c r="G494">
        <v>17.45</v>
      </c>
      <c r="H494">
        <v>0.05</v>
      </c>
      <c r="I494" s="1">
        <v>315</v>
      </c>
    </row>
    <row r="495" spans="1:9" x14ac:dyDescent="0.25">
      <c r="A495" t="s">
        <v>1025</v>
      </c>
      <c r="B495" s="1">
        <v>511</v>
      </c>
      <c r="C495" s="1">
        <v>8819</v>
      </c>
      <c r="D495">
        <v>17.3</v>
      </c>
      <c r="E495">
        <v>17.45</v>
      </c>
      <c r="F495">
        <v>17.149999999999999</v>
      </c>
      <c r="G495">
        <v>17.3</v>
      </c>
      <c r="H495">
        <v>-0.15</v>
      </c>
      <c r="I495" s="1">
        <v>300</v>
      </c>
    </row>
    <row r="496" spans="1:9" x14ac:dyDescent="0.25">
      <c r="A496" t="s">
        <v>1026</v>
      </c>
      <c r="B496" s="1">
        <v>837</v>
      </c>
      <c r="C496" s="1">
        <v>14306</v>
      </c>
      <c r="D496">
        <v>17.3</v>
      </c>
      <c r="E496">
        <v>17.45</v>
      </c>
      <c r="F496">
        <v>16.899999999999999</v>
      </c>
      <c r="G496">
        <v>17</v>
      </c>
      <c r="H496">
        <v>-0.3</v>
      </c>
      <c r="I496" s="1">
        <v>369</v>
      </c>
    </row>
    <row r="497" spans="1:9" x14ac:dyDescent="0.25">
      <c r="A497" t="s">
        <v>1027</v>
      </c>
      <c r="B497" s="1">
        <v>456</v>
      </c>
      <c r="C497" s="1">
        <v>7744</v>
      </c>
      <c r="D497">
        <v>17.05</v>
      </c>
      <c r="E497">
        <v>17.149999999999999</v>
      </c>
      <c r="F497">
        <v>16.850000000000001</v>
      </c>
      <c r="G497">
        <v>16.95</v>
      </c>
      <c r="H497">
        <v>-0.05</v>
      </c>
      <c r="I497" s="1">
        <v>252</v>
      </c>
    </row>
    <row r="498" spans="1:9" x14ac:dyDescent="0.25">
      <c r="A498" t="s">
        <v>1028</v>
      </c>
      <c r="B498" s="1">
        <v>879</v>
      </c>
      <c r="C498" s="1">
        <v>14662</v>
      </c>
      <c r="D498">
        <v>16.899999999999999</v>
      </c>
      <c r="E498">
        <v>16.899999999999999</v>
      </c>
      <c r="F498">
        <v>16.55</v>
      </c>
      <c r="G498">
        <v>16.7</v>
      </c>
      <c r="H498">
        <v>-0.25</v>
      </c>
      <c r="I498" s="1">
        <v>385</v>
      </c>
    </row>
    <row r="499" spans="1:9" x14ac:dyDescent="0.25">
      <c r="A499" t="s">
        <v>1029</v>
      </c>
      <c r="B499" s="1">
        <v>618</v>
      </c>
      <c r="C499" s="1">
        <v>10400</v>
      </c>
      <c r="D499">
        <v>16.7</v>
      </c>
      <c r="E499">
        <v>17</v>
      </c>
      <c r="F499">
        <v>16.5</v>
      </c>
      <c r="G499">
        <v>16.95</v>
      </c>
      <c r="H499">
        <v>0.25</v>
      </c>
      <c r="I499" s="1">
        <v>327</v>
      </c>
    </row>
    <row r="500" spans="1:9" x14ac:dyDescent="0.25">
      <c r="A500" t="s">
        <v>1030</v>
      </c>
      <c r="B500" s="1"/>
      <c r="C500" s="1"/>
      <c r="I500" s="1"/>
    </row>
    <row r="505" spans="1:9" x14ac:dyDescent="0.25">
      <c r="A505" s="9" t="s">
        <v>988</v>
      </c>
      <c r="B505" s="1">
        <v>506</v>
      </c>
      <c r="C505" s="1">
        <v>9865</v>
      </c>
      <c r="D505">
        <v>19.350000000000001</v>
      </c>
      <c r="E505">
        <v>19.649999999999999</v>
      </c>
      <c r="F505">
        <v>19.350000000000001</v>
      </c>
      <c r="G505">
        <v>19.600000000000001</v>
      </c>
      <c r="H505">
        <v>0.25</v>
      </c>
      <c r="I505" s="1">
        <v>279</v>
      </c>
    </row>
    <row r="506" spans="1:9" x14ac:dyDescent="0.25">
      <c r="A506" t="s">
        <v>989</v>
      </c>
      <c r="B506" s="1">
        <v>832</v>
      </c>
      <c r="C506" s="1">
        <v>16497</v>
      </c>
      <c r="D506">
        <v>19.7</v>
      </c>
      <c r="E506">
        <v>20</v>
      </c>
      <c r="F506">
        <v>19.600000000000001</v>
      </c>
      <c r="G506">
        <v>19.850000000000001</v>
      </c>
      <c r="H506">
        <v>0.25</v>
      </c>
      <c r="I506" s="1">
        <v>455</v>
      </c>
    </row>
    <row r="507" spans="1:9" x14ac:dyDescent="0.25">
      <c r="A507" t="s">
        <v>990</v>
      </c>
      <c r="B507" s="1">
        <v>515</v>
      </c>
      <c r="C507" s="1">
        <v>10143</v>
      </c>
      <c r="D507">
        <v>20</v>
      </c>
      <c r="E507">
        <v>20</v>
      </c>
      <c r="F507">
        <v>19.55</v>
      </c>
      <c r="G507">
        <v>19.55</v>
      </c>
      <c r="H507">
        <v>-0.3</v>
      </c>
      <c r="I507" s="1">
        <v>262</v>
      </c>
    </row>
    <row r="508" spans="1:9" x14ac:dyDescent="0.25">
      <c r="A508" t="s">
        <v>991</v>
      </c>
      <c r="B508" s="1">
        <v>1328</v>
      </c>
      <c r="C508" s="1">
        <v>26429</v>
      </c>
      <c r="D508">
        <v>19.649999999999999</v>
      </c>
      <c r="E508">
        <v>20.2</v>
      </c>
      <c r="F508">
        <v>19.649999999999999</v>
      </c>
      <c r="G508">
        <v>20</v>
      </c>
      <c r="H508">
        <v>0.45</v>
      </c>
      <c r="I508" s="1">
        <v>609</v>
      </c>
    </row>
    <row r="509" spans="1:9" x14ac:dyDescent="0.25">
      <c r="A509" t="s">
        <v>992</v>
      </c>
      <c r="B509" s="1">
        <v>6895</v>
      </c>
      <c r="C509" s="1">
        <v>150076</v>
      </c>
      <c r="D509">
        <v>20.2</v>
      </c>
      <c r="E509">
        <v>22</v>
      </c>
      <c r="F509">
        <v>20.149999999999999</v>
      </c>
      <c r="G509">
        <v>22</v>
      </c>
      <c r="H509">
        <v>2</v>
      </c>
      <c r="I509" s="1">
        <v>2257</v>
      </c>
    </row>
    <row r="510" spans="1:9" x14ac:dyDescent="0.25">
      <c r="A510" t="s">
        <v>993</v>
      </c>
      <c r="B510" s="1">
        <v>5549</v>
      </c>
      <c r="C510" s="1">
        <v>127051</v>
      </c>
      <c r="D510">
        <v>22.9</v>
      </c>
      <c r="E510">
        <v>23.45</v>
      </c>
      <c r="F510">
        <v>22.6</v>
      </c>
      <c r="G510">
        <v>22.7</v>
      </c>
      <c r="H510">
        <v>0.7</v>
      </c>
      <c r="I510" s="1">
        <v>2348</v>
      </c>
    </row>
    <row r="511" spans="1:9" x14ac:dyDescent="0.25">
      <c r="A511" t="s">
        <v>994</v>
      </c>
      <c r="B511" s="1">
        <v>2298</v>
      </c>
      <c r="C511" s="1">
        <v>51118</v>
      </c>
      <c r="D511">
        <v>22.35</v>
      </c>
      <c r="E511">
        <v>22.9</v>
      </c>
      <c r="F511">
        <v>22</v>
      </c>
      <c r="G511">
        <v>22</v>
      </c>
      <c r="H511">
        <v>-0.7</v>
      </c>
      <c r="I511" s="1">
        <v>1045</v>
      </c>
    </row>
    <row r="512" spans="1:9" x14ac:dyDescent="0.25">
      <c r="A512" t="s">
        <v>995</v>
      </c>
      <c r="B512" s="1">
        <v>1463</v>
      </c>
      <c r="C512" s="1">
        <v>31974</v>
      </c>
      <c r="D512">
        <v>21.7</v>
      </c>
      <c r="E512">
        <v>22.1</v>
      </c>
      <c r="F512">
        <v>21.65</v>
      </c>
      <c r="G512">
        <v>22</v>
      </c>
      <c r="H512">
        <v>0</v>
      </c>
      <c r="I512" s="1">
        <v>668</v>
      </c>
    </row>
    <row r="513" spans="1:9" x14ac:dyDescent="0.25">
      <c r="A513" t="s">
        <v>996</v>
      </c>
      <c r="B513" s="1">
        <v>4332</v>
      </c>
      <c r="C513" s="1">
        <v>98517</v>
      </c>
      <c r="D513">
        <v>22.25</v>
      </c>
      <c r="E513">
        <v>23.2</v>
      </c>
      <c r="F513">
        <v>22.2</v>
      </c>
      <c r="G513">
        <v>22.85</v>
      </c>
      <c r="H513">
        <v>0.85</v>
      </c>
      <c r="I513" s="1">
        <v>1764</v>
      </c>
    </row>
    <row r="514" spans="1:9" x14ac:dyDescent="0.25">
      <c r="A514" t="s">
        <v>997</v>
      </c>
      <c r="B514" s="1">
        <v>2498</v>
      </c>
      <c r="C514" s="1">
        <v>55709</v>
      </c>
      <c r="D514">
        <v>22.8</v>
      </c>
      <c r="E514">
        <v>22.8</v>
      </c>
      <c r="F514">
        <v>22</v>
      </c>
      <c r="G514">
        <v>22.6</v>
      </c>
      <c r="H514">
        <v>-0.25</v>
      </c>
      <c r="I514" s="1">
        <v>1227</v>
      </c>
    </row>
    <row r="515" spans="1:9" x14ac:dyDescent="0.25">
      <c r="A515" t="s">
        <v>998</v>
      </c>
      <c r="B515" s="1">
        <v>2227</v>
      </c>
      <c r="C515" s="1">
        <v>47693</v>
      </c>
      <c r="D515">
        <v>22.5</v>
      </c>
      <c r="E515">
        <v>22.5</v>
      </c>
      <c r="F515">
        <v>20.55</v>
      </c>
      <c r="G515">
        <v>20.55</v>
      </c>
      <c r="H515">
        <v>-2.0499999999999998</v>
      </c>
      <c r="I515" s="1">
        <v>1063</v>
      </c>
    </row>
    <row r="516" spans="1:9" x14ac:dyDescent="0.25">
      <c r="A516" t="s">
        <v>999</v>
      </c>
      <c r="B516" s="1">
        <v>2083</v>
      </c>
      <c r="C516" s="1">
        <v>44380</v>
      </c>
      <c r="D516">
        <v>20.65</v>
      </c>
      <c r="E516">
        <v>21.85</v>
      </c>
      <c r="F516">
        <v>20.65</v>
      </c>
      <c r="G516">
        <v>21.65</v>
      </c>
      <c r="H516">
        <v>1.1000000000000001</v>
      </c>
      <c r="I516" s="1">
        <v>1181</v>
      </c>
    </row>
    <row r="517" spans="1:9" x14ac:dyDescent="0.25">
      <c r="A517" t="s">
        <v>1000</v>
      </c>
      <c r="B517" s="1">
        <v>1884</v>
      </c>
      <c r="C517" s="1">
        <v>39750</v>
      </c>
      <c r="D517">
        <v>21.95</v>
      </c>
      <c r="E517">
        <v>22</v>
      </c>
      <c r="F517">
        <v>20.7</v>
      </c>
      <c r="G517">
        <v>20.8</v>
      </c>
      <c r="H517">
        <v>-0.85</v>
      </c>
      <c r="I517" s="1">
        <v>874</v>
      </c>
    </row>
    <row r="518" spans="1:9" x14ac:dyDescent="0.25">
      <c r="A518" t="s">
        <v>1001</v>
      </c>
      <c r="B518" s="1">
        <v>1261</v>
      </c>
      <c r="C518" s="1">
        <v>26391</v>
      </c>
      <c r="D518">
        <v>21</v>
      </c>
      <c r="E518">
        <v>21.2</v>
      </c>
      <c r="F518">
        <v>20.7</v>
      </c>
      <c r="G518">
        <v>21</v>
      </c>
      <c r="H518">
        <v>0.2</v>
      </c>
      <c r="I518" s="1">
        <v>532</v>
      </c>
    </row>
    <row r="519" spans="1:9" x14ac:dyDescent="0.25">
      <c r="A519" t="s">
        <v>1002</v>
      </c>
      <c r="B519" s="1">
        <v>1159</v>
      </c>
      <c r="C519" s="1">
        <v>23966</v>
      </c>
      <c r="D519">
        <v>21.05</v>
      </c>
      <c r="E519">
        <v>21.1</v>
      </c>
      <c r="F519">
        <v>20.55</v>
      </c>
      <c r="G519">
        <v>20.6</v>
      </c>
      <c r="H519">
        <v>-0.4</v>
      </c>
      <c r="I519" s="1">
        <v>558</v>
      </c>
    </row>
    <row r="520" spans="1:9" x14ac:dyDescent="0.25">
      <c r="A520" t="s">
        <v>1003</v>
      </c>
      <c r="B520" s="1">
        <v>1657</v>
      </c>
      <c r="C520" s="1">
        <v>33585</v>
      </c>
      <c r="D520">
        <v>20.7</v>
      </c>
      <c r="E520">
        <v>20.75</v>
      </c>
      <c r="F520">
        <v>20</v>
      </c>
      <c r="G520">
        <v>20.05</v>
      </c>
      <c r="H520">
        <v>-0.55000000000000004</v>
      </c>
      <c r="I520" s="1">
        <v>763</v>
      </c>
    </row>
    <row r="521" spans="1:9" x14ac:dyDescent="0.25">
      <c r="A521" t="s">
        <v>1004</v>
      </c>
      <c r="B521" s="1">
        <v>973</v>
      </c>
      <c r="C521" s="1">
        <v>19709</v>
      </c>
      <c r="D521">
        <v>20.3</v>
      </c>
      <c r="E521">
        <v>20.5</v>
      </c>
      <c r="F521">
        <v>20</v>
      </c>
      <c r="G521">
        <v>20.05</v>
      </c>
      <c r="H521">
        <v>0</v>
      </c>
      <c r="I521" s="1">
        <v>521</v>
      </c>
    </row>
    <row r="522" spans="1:9" x14ac:dyDescent="0.25">
      <c r="A522" t="s">
        <v>1005</v>
      </c>
      <c r="B522" s="1">
        <v>886</v>
      </c>
      <c r="C522" s="1">
        <v>17448</v>
      </c>
      <c r="D522">
        <v>20.05</v>
      </c>
      <c r="E522">
        <v>20.05</v>
      </c>
      <c r="F522">
        <v>19.45</v>
      </c>
      <c r="G522">
        <v>19.55</v>
      </c>
      <c r="H522">
        <v>-0.5</v>
      </c>
      <c r="I522" s="1">
        <v>483</v>
      </c>
    </row>
    <row r="523" spans="1:9" x14ac:dyDescent="0.25">
      <c r="A523" t="s">
        <v>1006</v>
      </c>
      <c r="B523" s="1">
        <v>465</v>
      </c>
      <c r="C523" s="1">
        <v>9199</v>
      </c>
      <c r="D523">
        <v>19.55</v>
      </c>
      <c r="E523">
        <v>20</v>
      </c>
      <c r="F523">
        <v>19.55</v>
      </c>
      <c r="G523">
        <v>19.7</v>
      </c>
      <c r="H523">
        <v>0.15</v>
      </c>
      <c r="I523" s="1">
        <v>291</v>
      </c>
    </row>
    <row r="524" spans="1:9" x14ac:dyDescent="0.25">
      <c r="A524" t="s">
        <v>1007</v>
      </c>
      <c r="B524" s="1">
        <v>389</v>
      </c>
      <c r="C524" s="1">
        <v>7613</v>
      </c>
      <c r="D524">
        <v>19.7</v>
      </c>
      <c r="E524">
        <v>19.7</v>
      </c>
      <c r="F524">
        <v>19.5</v>
      </c>
      <c r="G524">
        <v>19.5</v>
      </c>
      <c r="H524">
        <v>-0.2</v>
      </c>
      <c r="I524" s="1">
        <v>204</v>
      </c>
    </row>
    <row r="525" spans="1:9" x14ac:dyDescent="0.25">
      <c r="A525" t="s">
        <v>1008</v>
      </c>
      <c r="B525" s="1">
        <v>735</v>
      </c>
      <c r="C525" s="1">
        <v>14144</v>
      </c>
      <c r="D525">
        <v>19.399999999999999</v>
      </c>
      <c r="E525">
        <v>19.649999999999999</v>
      </c>
      <c r="F525">
        <v>19</v>
      </c>
      <c r="G525">
        <v>19</v>
      </c>
      <c r="H525">
        <v>-0.5</v>
      </c>
      <c r="I525" s="1">
        <v>392</v>
      </c>
    </row>
    <row r="526" spans="1:9" x14ac:dyDescent="0.25">
      <c r="A526" t="s">
        <v>1009</v>
      </c>
      <c r="B526" s="1">
        <v>543</v>
      </c>
      <c r="C526" s="1">
        <v>10419</v>
      </c>
      <c r="D526">
        <v>19.3</v>
      </c>
      <c r="E526">
        <v>19.3</v>
      </c>
      <c r="F526">
        <v>19.05</v>
      </c>
      <c r="G526">
        <v>19.3</v>
      </c>
      <c r="H526">
        <v>0.3</v>
      </c>
      <c r="I526" s="1">
        <v>292</v>
      </c>
    </row>
    <row r="527" spans="1:9" x14ac:dyDescent="0.25">
      <c r="A527" t="s">
        <v>1010</v>
      </c>
      <c r="B527" s="1">
        <v>1002</v>
      </c>
      <c r="C527" s="1">
        <v>19009</v>
      </c>
      <c r="D527">
        <v>19.399999999999999</v>
      </c>
      <c r="E527">
        <v>19.399999999999999</v>
      </c>
      <c r="F527">
        <v>18.850000000000001</v>
      </c>
      <c r="G527">
        <v>18.899999999999999</v>
      </c>
      <c r="H527">
        <v>-0.4</v>
      </c>
      <c r="I527" s="1">
        <v>459</v>
      </c>
    </row>
    <row r="528" spans="1:9" x14ac:dyDescent="0.25">
      <c r="A528" t="s">
        <v>951</v>
      </c>
      <c r="B528" s="1"/>
      <c r="C528" s="1"/>
      <c r="I528" s="1"/>
    </row>
    <row r="529" spans="1:9" x14ac:dyDescent="0.25">
      <c r="A529" s="9" t="s">
        <v>974</v>
      </c>
      <c r="B529" s="1">
        <v>337</v>
      </c>
      <c r="C529" s="1">
        <v>6108</v>
      </c>
      <c r="D529">
        <v>18.149999999999999</v>
      </c>
      <c r="E529">
        <v>18.25</v>
      </c>
      <c r="F529">
        <v>18</v>
      </c>
      <c r="G529">
        <v>18</v>
      </c>
      <c r="H529">
        <v>-0.15</v>
      </c>
      <c r="I529" s="1">
        <v>189</v>
      </c>
    </row>
    <row r="530" spans="1:9" x14ac:dyDescent="0.25">
      <c r="A530" t="s">
        <v>975</v>
      </c>
      <c r="B530" s="1">
        <v>375</v>
      </c>
      <c r="C530" s="1">
        <v>6784</v>
      </c>
      <c r="D530">
        <v>18.100000000000001</v>
      </c>
      <c r="E530">
        <v>18.2</v>
      </c>
      <c r="F530">
        <v>18</v>
      </c>
      <c r="G530">
        <v>18</v>
      </c>
      <c r="H530">
        <v>0</v>
      </c>
      <c r="I530" s="1">
        <v>208</v>
      </c>
    </row>
    <row r="531" spans="1:9" x14ac:dyDescent="0.25">
      <c r="A531" t="s">
        <v>976</v>
      </c>
      <c r="B531" s="1">
        <v>424</v>
      </c>
      <c r="C531" s="1">
        <v>7646</v>
      </c>
      <c r="D531">
        <v>18</v>
      </c>
      <c r="E531">
        <v>18.149999999999999</v>
      </c>
      <c r="F531">
        <v>17.850000000000001</v>
      </c>
      <c r="G531">
        <v>18.05</v>
      </c>
      <c r="H531">
        <v>0.05</v>
      </c>
      <c r="I531" s="1">
        <v>200</v>
      </c>
    </row>
    <row r="532" spans="1:9" x14ac:dyDescent="0.25">
      <c r="A532" t="s">
        <v>977</v>
      </c>
      <c r="B532" s="1">
        <v>1061</v>
      </c>
      <c r="C532" s="1">
        <v>19736</v>
      </c>
      <c r="D532">
        <v>18.75</v>
      </c>
      <c r="E532">
        <v>18.899999999999999</v>
      </c>
      <c r="F532">
        <v>18.350000000000001</v>
      </c>
      <c r="G532">
        <v>18.399999999999999</v>
      </c>
      <c r="H532">
        <v>0.35</v>
      </c>
      <c r="I532" s="1">
        <v>554</v>
      </c>
    </row>
    <row r="533" spans="1:9" x14ac:dyDescent="0.25">
      <c r="A533" t="s">
        <v>978</v>
      </c>
      <c r="B533" s="1">
        <v>883</v>
      </c>
      <c r="C533" s="1">
        <v>16342</v>
      </c>
      <c r="D533">
        <v>18.5</v>
      </c>
      <c r="E533">
        <v>18.7</v>
      </c>
      <c r="F533">
        <v>18.350000000000001</v>
      </c>
      <c r="G533">
        <v>18.5</v>
      </c>
      <c r="H533">
        <v>0.1</v>
      </c>
      <c r="I533" s="1">
        <v>426</v>
      </c>
    </row>
    <row r="534" spans="1:9" x14ac:dyDescent="0.25">
      <c r="A534" t="s">
        <v>979</v>
      </c>
      <c r="B534" s="1">
        <v>523</v>
      </c>
      <c r="C534" s="1">
        <v>9671</v>
      </c>
      <c r="D534">
        <v>18.649999999999999</v>
      </c>
      <c r="E534">
        <v>18.649999999999999</v>
      </c>
      <c r="F534">
        <v>18.399999999999999</v>
      </c>
      <c r="G534">
        <v>18.5</v>
      </c>
      <c r="H534">
        <v>0</v>
      </c>
      <c r="I534" s="1">
        <v>279</v>
      </c>
    </row>
    <row r="535" spans="1:9" x14ac:dyDescent="0.25">
      <c r="A535" t="s">
        <v>980</v>
      </c>
      <c r="B535" s="1">
        <v>661</v>
      </c>
      <c r="C535" s="1">
        <v>12276</v>
      </c>
      <c r="D535">
        <v>18.600000000000001</v>
      </c>
      <c r="E535">
        <v>18.7</v>
      </c>
      <c r="F535">
        <v>18.45</v>
      </c>
      <c r="G535">
        <v>18.5</v>
      </c>
      <c r="H535">
        <v>0</v>
      </c>
      <c r="I535" s="1">
        <v>295</v>
      </c>
    </row>
    <row r="536" spans="1:9" x14ac:dyDescent="0.25">
      <c r="A536" t="s">
        <v>981</v>
      </c>
      <c r="B536" s="1">
        <v>739</v>
      </c>
      <c r="C536" s="1">
        <v>13806</v>
      </c>
      <c r="D536">
        <v>18.55</v>
      </c>
      <c r="E536">
        <v>18.899999999999999</v>
      </c>
      <c r="F536">
        <v>18.5</v>
      </c>
      <c r="G536">
        <v>18.899999999999999</v>
      </c>
      <c r="H536">
        <v>0.4</v>
      </c>
      <c r="I536" s="1">
        <v>443</v>
      </c>
    </row>
    <row r="537" spans="1:9" x14ac:dyDescent="0.25">
      <c r="A537" t="s">
        <v>982</v>
      </c>
      <c r="B537" s="1">
        <v>644</v>
      </c>
      <c r="C537" s="1">
        <v>12293</v>
      </c>
      <c r="D537">
        <v>19.100000000000001</v>
      </c>
      <c r="E537">
        <v>19.3</v>
      </c>
      <c r="F537">
        <v>18.899999999999999</v>
      </c>
      <c r="G537">
        <v>18.95</v>
      </c>
      <c r="H537">
        <v>0.05</v>
      </c>
      <c r="I537" s="1">
        <v>358</v>
      </c>
    </row>
    <row r="538" spans="1:9" x14ac:dyDescent="0.25">
      <c r="A538" t="s">
        <v>983</v>
      </c>
      <c r="B538" s="1">
        <v>403</v>
      </c>
      <c r="C538" s="1">
        <v>7648</v>
      </c>
      <c r="D538">
        <v>19</v>
      </c>
      <c r="E538">
        <v>19.100000000000001</v>
      </c>
      <c r="F538">
        <v>18.899999999999999</v>
      </c>
      <c r="G538">
        <v>18.95</v>
      </c>
      <c r="H538">
        <v>0</v>
      </c>
      <c r="I538" s="1">
        <v>237</v>
      </c>
    </row>
    <row r="539" spans="1:9" x14ac:dyDescent="0.25">
      <c r="A539" t="s">
        <v>984</v>
      </c>
      <c r="B539" s="1">
        <v>998</v>
      </c>
      <c r="C539" s="1">
        <v>19345</v>
      </c>
      <c r="D539">
        <v>19.149999999999999</v>
      </c>
      <c r="E539">
        <v>19.7</v>
      </c>
      <c r="F539">
        <v>18.95</v>
      </c>
      <c r="G539">
        <v>19.3</v>
      </c>
      <c r="H539">
        <v>0.35</v>
      </c>
      <c r="I539" s="1">
        <v>506</v>
      </c>
    </row>
    <row r="540" spans="1:9" x14ac:dyDescent="0.25">
      <c r="A540" t="s">
        <v>985</v>
      </c>
      <c r="B540" s="1">
        <v>675</v>
      </c>
      <c r="C540" s="1">
        <v>13219</v>
      </c>
      <c r="D540">
        <v>19.7</v>
      </c>
      <c r="E540">
        <v>19.8</v>
      </c>
      <c r="F540">
        <v>19.350000000000001</v>
      </c>
      <c r="G540">
        <v>19.350000000000001</v>
      </c>
      <c r="H540">
        <v>0.05</v>
      </c>
      <c r="I540" s="1">
        <v>370</v>
      </c>
    </row>
    <row r="541" spans="1:9" x14ac:dyDescent="0.25">
      <c r="A541" t="s">
        <v>986</v>
      </c>
      <c r="B541" s="1">
        <v>445</v>
      </c>
      <c r="C541" s="1">
        <v>8614</v>
      </c>
      <c r="D541">
        <v>19.3</v>
      </c>
      <c r="E541">
        <v>19.5</v>
      </c>
      <c r="F541">
        <v>19.2</v>
      </c>
      <c r="G541">
        <v>19.350000000000001</v>
      </c>
      <c r="H541">
        <v>0</v>
      </c>
      <c r="I541" s="1">
        <v>260</v>
      </c>
    </row>
    <row r="542" spans="1:9" x14ac:dyDescent="0.25">
      <c r="A542" t="s">
        <v>987</v>
      </c>
      <c r="B542" s="1"/>
      <c r="C542" s="1"/>
      <c r="I542" s="1"/>
    </row>
    <row r="553" spans="1:9" x14ac:dyDescent="0.25">
      <c r="A553" s="9" t="s">
        <v>952</v>
      </c>
      <c r="B553" s="1">
        <v>242</v>
      </c>
      <c r="C553" s="1">
        <v>4508</v>
      </c>
      <c r="D553">
        <v>19</v>
      </c>
      <c r="E553">
        <v>19</v>
      </c>
      <c r="F553">
        <v>18.5</v>
      </c>
      <c r="G553">
        <v>18.75</v>
      </c>
      <c r="H553">
        <v>-0.2</v>
      </c>
      <c r="I553" s="1">
        <v>139</v>
      </c>
    </row>
    <row r="554" spans="1:9" x14ac:dyDescent="0.25">
      <c r="A554" t="s">
        <v>953</v>
      </c>
      <c r="B554" s="1">
        <v>4109</v>
      </c>
      <c r="C554" s="1">
        <v>82962</v>
      </c>
      <c r="D554">
        <v>19</v>
      </c>
      <c r="E554">
        <v>20.6</v>
      </c>
      <c r="F554">
        <v>19</v>
      </c>
      <c r="G554">
        <v>19.55</v>
      </c>
      <c r="H554">
        <v>0.8</v>
      </c>
      <c r="I554" s="1">
        <v>1787</v>
      </c>
    </row>
    <row r="555" spans="1:9" x14ac:dyDescent="0.25">
      <c r="A555" t="s">
        <v>954</v>
      </c>
      <c r="B555" s="1">
        <v>1020</v>
      </c>
      <c r="C555" s="1">
        <v>19268</v>
      </c>
      <c r="D555">
        <v>19.55</v>
      </c>
      <c r="E555">
        <v>19.55</v>
      </c>
      <c r="F555">
        <v>18.600000000000001</v>
      </c>
      <c r="G555">
        <v>18.600000000000001</v>
      </c>
      <c r="H555">
        <v>-0.95</v>
      </c>
      <c r="I555" s="1">
        <v>621</v>
      </c>
    </row>
    <row r="556" spans="1:9" x14ac:dyDescent="0.25">
      <c r="A556" t="s">
        <v>955</v>
      </c>
      <c r="B556" s="1">
        <v>844</v>
      </c>
      <c r="C556" s="1">
        <v>15399</v>
      </c>
      <c r="D556">
        <v>18.55</v>
      </c>
      <c r="E556">
        <v>18.600000000000001</v>
      </c>
      <c r="F556">
        <v>17.899999999999999</v>
      </c>
      <c r="G556">
        <v>18.3</v>
      </c>
      <c r="H556">
        <v>-0.3</v>
      </c>
      <c r="I556" s="1">
        <v>402</v>
      </c>
    </row>
    <row r="557" spans="1:9" x14ac:dyDescent="0.25">
      <c r="A557" t="s">
        <v>956</v>
      </c>
      <c r="B557" s="1">
        <v>320</v>
      </c>
      <c r="C557" s="1">
        <v>5885</v>
      </c>
      <c r="D557">
        <v>18.2</v>
      </c>
      <c r="E557">
        <v>18.649999999999999</v>
      </c>
      <c r="F557">
        <v>17.899999999999999</v>
      </c>
      <c r="G557">
        <v>18.600000000000001</v>
      </c>
      <c r="H557">
        <v>0.3</v>
      </c>
      <c r="I557" s="1">
        <v>194</v>
      </c>
    </row>
    <row r="558" spans="1:9" x14ac:dyDescent="0.25">
      <c r="A558" t="s">
        <v>957</v>
      </c>
      <c r="B558" s="1">
        <v>500</v>
      </c>
      <c r="C558" s="1">
        <v>9077</v>
      </c>
      <c r="D558">
        <v>18.5</v>
      </c>
      <c r="E558">
        <v>18.5</v>
      </c>
      <c r="F558">
        <v>18.05</v>
      </c>
      <c r="G558">
        <v>18.350000000000001</v>
      </c>
      <c r="H558">
        <v>-0.25</v>
      </c>
      <c r="I558" s="1">
        <v>221</v>
      </c>
    </row>
    <row r="559" spans="1:9" x14ac:dyDescent="0.25">
      <c r="A559" t="s">
        <v>958</v>
      </c>
      <c r="B559" s="1">
        <v>496</v>
      </c>
      <c r="C559" s="1">
        <v>8968</v>
      </c>
      <c r="D559">
        <v>18.350000000000001</v>
      </c>
      <c r="E559">
        <v>18.350000000000001</v>
      </c>
      <c r="F559">
        <v>17.899999999999999</v>
      </c>
      <c r="G559">
        <v>18.149999999999999</v>
      </c>
      <c r="H559">
        <v>-0.2</v>
      </c>
      <c r="I559" s="1">
        <v>318</v>
      </c>
    </row>
    <row r="560" spans="1:9" x14ac:dyDescent="0.25">
      <c r="A560" t="s">
        <v>959</v>
      </c>
      <c r="B560" s="1">
        <v>387</v>
      </c>
      <c r="C560" s="1">
        <v>7004</v>
      </c>
      <c r="D560">
        <v>18.149999999999999</v>
      </c>
      <c r="E560">
        <v>18.3</v>
      </c>
      <c r="F560">
        <v>18</v>
      </c>
      <c r="G560">
        <v>18.2</v>
      </c>
      <c r="H560">
        <v>0.05</v>
      </c>
      <c r="I560" s="1">
        <v>185</v>
      </c>
    </row>
    <row r="561" spans="1:9" x14ac:dyDescent="0.25">
      <c r="A561" t="s">
        <v>960</v>
      </c>
      <c r="B561" s="1">
        <v>585</v>
      </c>
      <c r="C561" s="1">
        <v>10494</v>
      </c>
      <c r="D561">
        <v>18.100000000000001</v>
      </c>
      <c r="E561">
        <v>18.100000000000001</v>
      </c>
      <c r="F561">
        <v>17.75</v>
      </c>
      <c r="G561">
        <v>18.100000000000001</v>
      </c>
      <c r="H561">
        <v>-0.1</v>
      </c>
      <c r="I561" s="1">
        <v>227</v>
      </c>
    </row>
    <row r="562" spans="1:9" x14ac:dyDescent="0.25">
      <c r="A562" t="s">
        <v>961</v>
      </c>
      <c r="B562" s="1">
        <v>591</v>
      </c>
      <c r="C562" s="1">
        <v>10640</v>
      </c>
      <c r="D562">
        <v>18.100000000000001</v>
      </c>
      <c r="E562">
        <v>18.3</v>
      </c>
      <c r="F562">
        <v>17.75</v>
      </c>
      <c r="G562">
        <v>18.149999999999999</v>
      </c>
      <c r="H562">
        <v>0.05</v>
      </c>
      <c r="I562" s="1">
        <v>303</v>
      </c>
    </row>
    <row r="563" spans="1:9" x14ac:dyDescent="0.25">
      <c r="A563" t="s">
        <v>962</v>
      </c>
      <c r="B563" s="1">
        <v>302</v>
      </c>
      <c r="C563" s="1">
        <v>5426</v>
      </c>
      <c r="D563">
        <v>17.899999999999999</v>
      </c>
      <c r="E563">
        <v>18.2</v>
      </c>
      <c r="F563">
        <v>17.8</v>
      </c>
      <c r="G563">
        <v>18.05</v>
      </c>
      <c r="H563">
        <v>-0.1</v>
      </c>
      <c r="I563" s="1">
        <v>149</v>
      </c>
    </row>
    <row r="564" spans="1:9" x14ac:dyDescent="0.25">
      <c r="A564" t="s">
        <v>963</v>
      </c>
      <c r="B564" s="1">
        <v>194</v>
      </c>
      <c r="C564" s="1">
        <v>3522</v>
      </c>
      <c r="D564">
        <v>18.100000000000001</v>
      </c>
      <c r="E564">
        <v>18.25</v>
      </c>
      <c r="F564">
        <v>18.05</v>
      </c>
      <c r="G564">
        <v>18.2</v>
      </c>
      <c r="H564">
        <v>0.15</v>
      </c>
      <c r="I564" s="1">
        <v>100</v>
      </c>
    </row>
    <row r="565" spans="1:9" x14ac:dyDescent="0.25">
      <c r="A565" t="s">
        <v>964</v>
      </c>
      <c r="B565" s="1">
        <v>191</v>
      </c>
      <c r="C565" s="1">
        <v>3444</v>
      </c>
      <c r="D565">
        <v>18.2</v>
      </c>
      <c r="E565">
        <v>18.2</v>
      </c>
      <c r="F565">
        <v>17.95</v>
      </c>
      <c r="G565">
        <v>17.95</v>
      </c>
      <c r="H565">
        <v>-0.25</v>
      </c>
      <c r="I565" s="1">
        <v>117</v>
      </c>
    </row>
    <row r="566" spans="1:9" x14ac:dyDescent="0.25">
      <c r="A566" t="s">
        <v>965</v>
      </c>
      <c r="B566" s="1">
        <v>230</v>
      </c>
      <c r="C566" s="1">
        <v>4097</v>
      </c>
      <c r="D566">
        <v>17.899999999999999</v>
      </c>
      <c r="E566">
        <v>17.95</v>
      </c>
      <c r="F566">
        <v>17.75</v>
      </c>
      <c r="G566">
        <v>17.75</v>
      </c>
      <c r="H566">
        <v>-0.2</v>
      </c>
      <c r="I566" s="1">
        <v>138</v>
      </c>
    </row>
    <row r="567" spans="1:9" x14ac:dyDescent="0.25">
      <c r="A567" t="s">
        <v>966</v>
      </c>
      <c r="B567" s="1">
        <v>340</v>
      </c>
      <c r="C567" s="1">
        <v>6081</v>
      </c>
      <c r="D567">
        <v>17.75</v>
      </c>
      <c r="E567">
        <v>18.149999999999999</v>
      </c>
      <c r="F567">
        <v>17.7</v>
      </c>
      <c r="G567">
        <v>18</v>
      </c>
      <c r="H567">
        <v>0.25</v>
      </c>
      <c r="I567" s="1">
        <v>179</v>
      </c>
    </row>
    <row r="568" spans="1:9" x14ac:dyDescent="0.25">
      <c r="A568" t="s">
        <v>967</v>
      </c>
      <c r="B568" s="1">
        <v>214</v>
      </c>
      <c r="C568" s="1">
        <v>3869</v>
      </c>
      <c r="D568">
        <v>18.100000000000001</v>
      </c>
      <c r="E568">
        <v>18.2</v>
      </c>
      <c r="F568">
        <v>18</v>
      </c>
      <c r="G568">
        <v>18</v>
      </c>
      <c r="H568">
        <v>0</v>
      </c>
      <c r="I568" s="1">
        <v>155</v>
      </c>
    </row>
    <row r="569" spans="1:9" x14ac:dyDescent="0.25">
      <c r="A569" t="s">
        <v>968</v>
      </c>
      <c r="B569" s="1">
        <v>175</v>
      </c>
      <c r="C569" s="1">
        <v>3132</v>
      </c>
      <c r="D569">
        <v>18.05</v>
      </c>
      <c r="E569">
        <v>18.2</v>
      </c>
      <c r="F569">
        <v>17.8</v>
      </c>
      <c r="G569">
        <v>18</v>
      </c>
      <c r="H569">
        <v>0</v>
      </c>
      <c r="I569" s="1">
        <v>103</v>
      </c>
    </row>
    <row r="570" spans="1:9" x14ac:dyDescent="0.25">
      <c r="A570" t="s">
        <v>969</v>
      </c>
      <c r="B570" s="1">
        <v>303</v>
      </c>
      <c r="C570" s="1">
        <v>5433</v>
      </c>
      <c r="D570">
        <v>18.100000000000001</v>
      </c>
      <c r="E570">
        <v>18.100000000000001</v>
      </c>
      <c r="F570">
        <v>17.8</v>
      </c>
      <c r="G570">
        <v>18</v>
      </c>
      <c r="H570">
        <v>0</v>
      </c>
      <c r="I570" s="1">
        <v>168</v>
      </c>
    </row>
    <row r="571" spans="1:9" x14ac:dyDescent="0.25">
      <c r="A571" t="s">
        <v>970</v>
      </c>
      <c r="B571" s="1">
        <v>221</v>
      </c>
      <c r="C571" s="1">
        <v>3973</v>
      </c>
      <c r="D571">
        <v>17.850000000000001</v>
      </c>
      <c r="E571">
        <v>18.100000000000001</v>
      </c>
      <c r="F571">
        <v>17.850000000000001</v>
      </c>
      <c r="G571">
        <v>18</v>
      </c>
      <c r="H571">
        <v>0</v>
      </c>
      <c r="I571" s="1">
        <v>133</v>
      </c>
    </row>
    <row r="572" spans="1:9" x14ac:dyDescent="0.25">
      <c r="A572" t="s">
        <v>971</v>
      </c>
      <c r="B572" s="1">
        <v>334</v>
      </c>
      <c r="C572" s="1">
        <v>6044</v>
      </c>
      <c r="D572">
        <v>17.899999999999999</v>
      </c>
      <c r="E572">
        <v>18.2</v>
      </c>
      <c r="F572">
        <v>17.899999999999999</v>
      </c>
      <c r="G572">
        <v>18.100000000000001</v>
      </c>
      <c r="H572">
        <v>0.1</v>
      </c>
      <c r="I572" s="1">
        <v>155</v>
      </c>
    </row>
    <row r="573" spans="1:9" x14ac:dyDescent="0.25">
      <c r="A573" t="s">
        <v>972</v>
      </c>
      <c r="B573" s="1">
        <v>344</v>
      </c>
      <c r="C573" s="1">
        <v>6246</v>
      </c>
      <c r="D573">
        <v>18.149999999999999</v>
      </c>
      <c r="E573">
        <v>18.3</v>
      </c>
      <c r="F573">
        <v>18.100000000000001</v>
      </c>
      <c r="G573">
        <v>18.149999999999999</v>
      </c>
      <c r="H573">
        <v>0.05</v>
      </c>
      <c r="I573" s="1">
        <v>147</v>
      </c>
    </row>
    <row r="574" spans="1:9" x14ac:dyDescent="0.25">
      <c r="A574" t="s">
        <v>973</v>
      </c>
      <c r="B574" s="1"/>
      <c r="C574" s="1"/>
      <c r="I574" s="1"/>
    </row>
    <row r="577" spans="1:9" x14ac:dyDescent="0.25">
      <c r="A577" s="9" t="s">
        <v>6572</v>
      </c>
      <c r="B577" s="1">
        <v>202</v>
      </c>
      <c r="C577" s="1">
        <v>3794</v>
      </c>
      <c r="D577">
        <v>18.899999999999999</v>
      </c>
      <c r="E577">
        <v>19</v>
      </c>
      <c r="F577">
        <v>18.600000000000001</v>
      </c>
      <c r="G577">
        <v>18.75</v>
      </c>
      <c r="H577">
        <v>-0.25</v>
      </c>
      <c r="I577" s="1">
        <v>163</v>
      </c>
    </row>
    <row r="578" spans="1:9" x14ac:dyDescent="0.25">
      <c r="A578" t="s">
        <v>6573</v>
      </c>
      <c r="B578" s="1">
        <v>259</v>
      </c>
      <c r="C578" s="1">
        <v>4849</v>
      </c>
      <c r="D578">
        <v>18.75</v>
      </c>
      <c r="E578">
        <v>18.850000000000001</v>
      </c>
      <c r="F578">
        <v>18.600000000000001</v>
      </c>
      <c r="G578">
        <v>18.75</v>
      </c>
      <c r="H578">
        <v>0</v>
      </c>
      <c r="I578" s="1">
        <v>203</v>
      </c>
    </row>
    <row r="579" spans="1:9" x14ac:dyDescent="0.25">
      <c r="A579" t="s">
        <v>6574</v>
      </c>
      <c r="B579" s="1">
        <v>413</v>
      </c>
      <c r="C579" s="1">
        <v>7837</v>
      </c>
      <c r="D579">
        <v>18.7</v>
      </c>
      <c r="E579">
        <v>19.2</v>
      </c>
      <c r="F579">
        <v>18.649999999999999</v>
      </c>
      <c r="G579">
        <v>19.149999999999999</v>
      </c>
      <c r="H579">
        <v>0.4</v>
      </c>
      <c r="I579" s="1">
        <v>254</v>
      </c>
    </row>
    <row r="580" spans="1:9" x14ac:dyDescent="0.25">
      <c r="A580" t="s">
        <v>6575</v>
      </c>
      <c r="B580" s="1">
        <v>118</v>
      </c>
      <c r="C580" s="1">
        <v>2248</v>
      </c>
      <c r="D580">
        <v>19.05</v>
      </c>
      <c r="E580">
        <v>19.149999999999999</v>
      </c>
      <c r="F580">
        <v>18.850000000000001</v>
      </c>
      <c r="G580">
        <v>19</v>
      </c>
      <c r="H580">
        <v>-0.15</v>
      </c>
      <c r="I580" s="1">
        <v>110</v>
      </c>
    </row>
    <row r="581" spans="1:9" x14ac:dyDescent="0.25">
      <c r="A581" t="s">
        <v>6576</v>
      </c>
      <c r="B581" s="1">
        <v>237</v>
      </c>
      <c r="C581" s="1">
        <v>4500</v>
      </c>
      <c r="D581">
        <v>19.149999999999999</v>
      </c>
      <c r="E581">
        <v>19.25</v>
      </c>
      <c r="F581">
        <v>18.8</v>
      </c>
      <c r="G581">
        <v>18.8</v>
      </c>
      <c r="H581">
        <v>-0.2</v>
      </c>
      <c r="I581" s="1">
        <v>154</v>
      </c>
    </row>
    <row r="582" spans="1:9" x14ac:dyDescent="0.25">
      <c r="A582" t="s">
        <v>6577</v>
      </c>
      <c r="B582" s="1">
        <v>208</v>
      </c>
      <c r="C582" s="1">
        <v>3921</v>
      </c>
      <c r="D582">
        <v>18.8</v>
      </c>
      <c r="E582">
        <v>19.100000000000001</v>
      </c>
      <c r="F582">
        <v>18.7</v>
      </c>
      <c r="G582">
        <v>18.899999999999999</v>
      </c>
      <c r="H582">
        <v>0.1</v>
      </c>
      <c r="I582" s="1">
        <v>142</v>
      </c>
    </row>
    <row r="583" spans="1:9" x14ac:dyDescent="0.25">
      <c r="A583" t="s">
        <v>6578</v>
      </c>
      <c r="B583" s="1">
        <v>203</v>
      </c>
      <c r="C583" s="1">
        <v>3749</v>
      </c>
      <c r="D583">
        <v>18.899999999999999</v>
      </c>
      <c r="E583">
        <v>18.899999999999999</v>
      </c>
      <c r="F583">
        <v>18.2</v>
      </c>
      <c r="G583">
        <v>18.399999999999999</v>
      </c>
      <c r="H583">
        <v>-0.5</v>
      </c>
      <c r="I583" s="1">
        <v>132</v>
      </c>
    </row>
    <row r="584" spans="1:9" x14ac:dyDescent="0.25">
      <c r="A584" t="s">
        <v>6579</v>
      </c>
      <c r="B584" s="1">
        <v>361</v>
      </c>
      <c r="C584" s="1">
        <v>6506</v>
      </c>
      <c r="D584">
        <v>18.25</v>
      </c>
      <c r="E584">
        <v>18.25</v>
      </c>
      <c r="F584">
        <v>17.899999999999999</v>
      </c>
      <c r="G584">
        <v>18</v>
      </c>
      <c r="H584">
        <v>-0.4</v>
      </c>
      <c r="I584" s="1">
        <v>189</v>
      </c>
    </row>
    <row r="585" spans="1:9" x14ac:dyDescent="0.25">
      <c r="A585" t="s">
        <v>6580</v>
      </c>
      <c r="B585" s="1">
        <v>210</v>
      </c>
      <c r="C585" s="1">
        <v>3752</v>
      </c>
      <c r="D585">
        <v>18</v>
      </c>
      <c r="E585">
        <v>18.05</v>
      </c>
      <c r="F585">
        <v>17.7</v>
      </c>
      <c r="G585">
        <v>17.850000000000001</v>
      </c>
      <c r="H585">
        <v>-0.15</v>
      </c>
      <c r="I585" s="1">
        <v>128</v>
      </c>
    </row>
    <row r="586" spans="1:9" x14ac:dyDescent="0.25">
      <c r="A586" t="s">
        <v>6581</v>
      </c>
      <c r="B586" s="1">
        <v>476</v>
      </c>
      <c r="C586" s="1">
        <v>8285</v>
      </c>
      <c r="D586">
        <v>17.600000000000001</v>
      </c>
      <c r="E586">
        <v>17.7</v>
      </c>
      <c r="F586">
        <v>17.25</v>
      </c>
      <c r="G586">
        <v>17.3</v>
      </c>
      <c r="H586">
        <v>-0.55000000000000004</v>
      </c>
      <c r="I586" s="1">
        <v>268</v>
      </c>
    </row>
    <row r="587" spans="1:9" x14ac:dyDescent="0.25">
      <c r="A587" t="s">
        <v>6582</v>
      </c>
      <c r="B587" s="1">
        <v>194</v>
      </c>
      <c r="C587" s="1">
        <v>3374</v>
      </c>
      <c r="D587">
        <v>17.3</v>
      </c>
      <c r="E587">
        <v>17.600000000000001</v>
      </c>
      <c r="F587">
        <v>17.25</v>
      </c>
      <c r="G587">
        <v>17.399999999999999</v>
      </c>
      <c r="H587">
        <v>0.1</v>
      </c>
      <c r="I587" s="1">
        <v>142</v>
      </c>
    </row>
    <row r="588" spans="1:9" x14ac:dyDescent="0.25">
      <c r="A588" t="s">
        <v>6583</v>
      </c>
      <c r="B588" s="1">
        <v>222</v>
      </c>
      <c r="C588" s="1">
        <v>3932</v>
      </c>
      <c r="D588">
        <v>17.45</v>
      </c>
      <c r="E588">
        <v>17.899999999999999</v>
      </c>
      <c r="F588">
        <v>17.45</v>
      </c>
      <c r="G588">
        <v>17.899999999999999</v>
      </c>
      <c r="H588">
        <v>0.5</v>
      </c>
      <c r="I588" s="1">
        <v>170</v>
      </c>
    </row>
    <row r="589" spans="1:9" x14ac:dyDescent="0.25">
      <c r="A589" t="s">
        <v>6584</v>
      </c>
      <c r="B589" s="1">
        <v>864</v>
      </c>
      <c r="C589" s="1">
        <v>16479</v>
      </c>
      <c r="D589">
        <v>19.100000000000001</v>
      </c>
      <c r="E589">
        <v>19.399999999999999</v>
      </c>
      <c r="F589">
        <v>18.7</v>
      </c>
      <c r="G589">
        <v>18.850000000000001</v>
      </c>
      <c r="H589">
        <v>0.95</v>
      </c>
      <c r="I589" s="1">
        <v>499</v>
      </c>
    </row>
    <row r="590" spans="1:9" x14ac:dyDescent="0.25">
      <c r="A590" t="s">
        <v>6585</v>
      </c>
      <c r="B590" s="1">
        <v>391</v>
      </c>
      <c r="C590" s="1">
        <v>7345</v>
      </c>
      <c r="D590">
        <v>19</v>
      </c>
      <c r="E590">
        <v>19</v>
      </c>
      <c r="F590">
        <v>18.649999999999999</v>
      </c>
      <c r="G590">
        <v>18.899999999999999</v>
      </c>
      <c r="H590">
        <v>0.05</v>
      </c>
      <c r="I590" s="1">
        <v>227</v>
      </c>
    </row>
    <row r="591" spans="1:9" x14ac:dyDescent="0.25">
      <c r="A591" t="s">
        <v>6586</v>
      </c>
      <c r="B591" s="1">
        <v>421</v>
      </c>
      <c r="C591" s="1">
        <v>7936</v>
      </c>
      <c r="D591">
        <v>18.600000000000001</v>
      </c>
      <c r="E591">
        <v>19.2</v>
      </c>
      <c r="F591">
        <v>18.55</v>
      </c>
      <c r="G591">
        <v>18.95</v>
      </c>
      <c r="H591">
        <v>0.05</v>
      </c>
      <c r="I591" s="1">
        <v>279</v>
      </c>
    </row>
    <row r="592" spans="1:9" x14ac:dyDescent="0.25">
      <c r="A592" t="s">
        <v>6587</v>
      </c>
      <c r="B592" s="1">
        <v>407</v>
      </c>
      <c r="C592" s="1">
        <v>7714</v>
      </c>
      <c r="D592">
        <v>18.95</v>
      </c>
      <c r="E592">
        <v>19.100000000000001</v>
      </c>
      <c r="F592">
        <v>18.8</v>
      </c>
      <c r="G592">
        <v>18.899999999999999</v>
      </c>
      <c r="H592">
        <v>-0.05</v>
      </c>
      <c r="I592" s="1">
        <v>217</v>
      </c>
    </row>
    <row r="593" spans="1:9" x14ac:dyDescent="0.25">
      <c r="A593" t="s">
        <v>6588</v>
      </c>
      <c r="B593" s="1">
        <v>213</v>
      </c>
      <c r="C593" s="1">
        <v>4040</v>
      </c>
      <c r="D593">
        <v>19.100000000000001</v>
      </c>
      <c r="E593">
        <v>19.100000000000001</v>
      </c>
      <c r="F593">
        <v>18.8</v>
      </c>
      <c r="G593">
        <v>18.8</v>
      </c>
      <c r="H593">
        <v>-0.1</v>
      </c>
      <c r="I593" s="1">
        <v>141</v>
      </c>
    </row>
    <row r="594" spans="1:9" x14ac:dyDescent="0.25">
      <c r="A594" t="s">
        <v>6589</v>
      </c>
      <c r="B594" s="1">
        <v>134</v>
      </c>
      <c r="C594" s="1">
        <v>2523</v>
      </c>
      <c r="D594">
        <v>18.899999999999999</v>
      </c>
      <c r="E594">
        <v>19.05</v>
      </c>
      <c r="F594">
        <v>18.75</v>
      </c>
      <c r="G594">
        <v>18.899999999999999</v>
      </c>
      <c r="H594">
        <v>0.1</v>
      </c>
      <c r="I594" s="1">
        <v>99</v>
      </c>
    </row>
    <row r="595" spans="1:9" x14ac:dyDescent="0.25">
      <c r="A595" t="s">
        <v>6590</v>
      </c>
      <c r="B595" s="1">
        <v>267</v>
      </c>
      <c r="C595" s="1">
        <v>5074</v>
      </c>
      <c r="D595">
        <v>18.899999999999999</v>
      </c>
      <c r="E595">
        <v>19.350000000000001</v>
      </c>
      <c r="F595">
        <v>18.8</v>
      </c>
      <c r="G595">
        <v>18.850000000000001</v>
      </c>
      <c r="H595">
        <v>-0.05</v>
      </c>
      <c r="I595" s="1">
        <v>158</v>
      </c>
    </row>
    <row r="596" spans="1:9" x14ac:dyDescent="0.25">
      <c r="A596" t="s">
        <v>6591</v>
      </c>
      <c r="B596" s="1">
        <v>245</v>
      </c>
      <c r="C596" s="1">
        <v>4627</v>
      </c>
      <c r="D596">
        <v>19.100000000000001</v>
      </c>
      <c r="E596">
        <v>19.100000000000001</v>
      </c>
      <c r="F596">
        <v>18.7</v>
      </c>
      <c r="G596">
        <v>19</v>
      </c>
      <c r="H596">
        <v>0.15</v>
      </c>
      <c r="I596" s="1">
        <v>153</v>
      </c>
    </row>
    <row r="597" spans="1:9" x14ac:dyDescent="0.25">
      <c r="A597" t="s">
        <v>6592</v>
      </c>
      <c r="B597" s="1">
        <v>138</v>
      </c>
      <c r="C597" s="1">
        <v>2600</v>
      </c>
      <c r="D597">
        <v>19.05</v>
      </c>
      <c r="E597">
        <v>19.05</v>
      </c>
      <c r="F597">
        <v>18.75</v>
      </c>
      <c r="G597">
        <v>18.95</v>
      </c>
      <c r="H597">
        <v>-0.05</v>
      </c>
      <c r="I597" s="1">
        <v>88</v>
      </c>
    </row>
    <row r="598" spans="1:9" x14ac:dyDescent="0.25">
      <c r="A598" t="s">
        <v>6593</v>
      </c>
      <c r="B598" s="1">
        <v>170</v>
      </c>
      <c r="C598" s="1">
        <v>3215</v>
      </c>
      <c r="D598">
        <v>18.95</v>
      </c>
      <c r="E598">
        <v>18.95</v>
      </c>
      <c r="F598">
        <v>18.75</v>
      </c>
      <c r="G598">
        <v>18.899999999999999</v>
      </c>
      <c r="H598">
        <v>-0.05</v>
      </c>
      <c r="I598" s="1">
        <v>97</v>
      </c>
    </row>
    <row r="599" spans="1:9" x14ac:dyDescent="0.25">
      <c r="A599" t="s">
        <v>6594</v>
      </c>
      <c r="B599" s="1">
        <v>173</v>
      </c>
      <c r="C599" s="1">
        <v>3251</v>
      </c>
      <c r="D599">
        <v>18.95</v>
      </c>
      <c r="E599">
        <v>18.95</v>
      </c>
      <c r="F599">
        <v>18.8</v>
      </c>
      <c r="G599">
        <v>18.95</v>
      </c>
      <c r="H599">
        <v>0.05</v>
      </c>
      <c r="I599" s="1">
        <v>72</v>
      </c>
    </row>
    <row r="600" spans="1:9" x14ac:dyDescent="0.25">
      <c r="A600" t="s">
        <v>951</v>
      </c>
      <c r="B600" s="1"/>
      <c r="C600" s="1"/>
      <c r="I600" s="1"/>
    </row>
    <row r="601" spans="1:9" x14ac:dyDescent="0.25">
      <c r="A601" s="9" t="s">
        <v>6551</v>
      </c>
      <c r="B601" s="1">
        <v>184</v>
      </c>
      <c r="C601" s="1">
        <v>3817</v>
      </c>
      <c r="D601">
        <v>20.6</v>
      </c>
      <c r="E601">
        <v>20.9</v>
      </c>
      <c r="F601">
        <v>20.6</v>
      </c>
      <c r="G601">
        <v>20.75</v>
      </c>
      <c r="H601">
        <v>-0.05</v>
      </c>
      <c r="I601" s="1">
        <v>140</v>
      </c>
    </row>
    <row r="602" spans="1:9" x14ac:dyDescent="0.25">
      <c r="A602" t="s">
        <v>6552</v>
      </c>
      <c r="B602" s="1">
        <v>649</v>
      </c>
      <c r="C602" s="1">
        <v>13329</v>
      </c>
      <c r="D602">
        <v>20.8</v>
      </c>
      <c r="E602">
        <v>20.95</v>
      </c>
      <c r="F602">
        <v>20.3</v>
      </c>
      <c r="G602">
        <v>20.7</v>
      </c>
      <c r="H602">
        <v>-0.05</v>
      </c>
      <c r="I602" s="1">
        <v>344</v>
      </c>
    </row>
    <row r="603" spans="1:9" x14ac:dyDescent="0.25">
      <c r="A603" t="s">
        <v>6553</v>
      </c>
      <c r="B603" s="1">
        <v>518</v>
      </c>
      <c r="C603" s="1">
        <v>10806</v>
      </c>
      <c r="D603">
        <v>20.8</v>
      </c>
      <c r="E603">
        <v>20.95</v>
      </c>
      <c r="F603">
        <v>20.7</v>
      </c>
      <c r="G603">
        <v>20.8</v>
      </c>
      <c r="H603">
        <v>0.1</v>
      </c>
      <c r="I603" s="1">
        <v>322</v>
      </c>
    </row>
    <row r="604" spans="1:9" x14ac:dyDescent="0.25">
      <c r="A604" t="s">
        <v>6554</v>
      </c>
      <c r="B604" s="1">
        <v>1073</v>
      </c>
      <c r="C604" s="1">
        <v>22987</v>
      </c>
      <c r="D604">
        <v>20.9</v>
      </c>
      <c r="E604">
        <v>21.75</v>
      </c>
      <c r="F604">
        <v>20.85</v>
      </c>
      <c r="G604">
        <v>21.3</v>
      </c>
      <c r="H604">
        <v>0.5</v>
      </c>
      <c r="I604" s="1">
        <v>583</v>
      </c>
    </row>
    <row r="605" spans="1:9" x14ac:dyDescent="0.25">
      <c r="A605" t="s">
        <v>6555</v>
      </c>
      <c r="B605" s="1">
        <v>472</v>
      </c>
      <c r="C605" s="1">
        <v>9980</v>
      </c>
      <c r="D605">
        <v>21.4</v>
      </c>
      <c r="E605">
        <v>21.55</v>
      </c>
      <c r="F605">
        <v>20.95</v>
      </c>
      <c r="G605">
        <v>20.95</v>
      </c>
      <c r="H605">
        <v>-0.35</v>
      </c>
      <c r="I605" s="1">
        <v>290</v>
      </c>
    </row>
    <row r="606" spans="1:9" x14ac:dyDescent="0.25">
      <c r="A606" t="s">
        <v>6556</v>
      </c>
      <c r="B606" s="1">
        <v>895</v>
      </c>
      <c r="C606" s="1">
        <v>18115</v>
      </c>
      <c r="D606">
        <v>20.5</v>
      </c>
      <c r="E606">
        <v>20.55</v>
      </c>
      <c r="F606">
        <v>19.899999999999999</v>
      </c>
      <c r="G606">
        <v>20.45</v>
      </c>
      <c r="H606">
        <v>-0.5</v>
      </c>
      <c r="I606" s="1">
        <v>485</v>
      </c>
    </row>
    <row r="607" spans="1:9" x14ac:dyDescent="0.25">
      <c r="A607" t="s">
        <v>6557</v>
      </c>
      <c r="B607" s="1">
        <v>458</v>
      </c>
      <c r="C607" s="1">
        <v>9280</v>
      </c>
      <c r="D607">
        <v>20</v>
      </c>
      <c r="E607">
        <v>20.55</v>
      </c>
      <c r="F607">
        <v>20</v>
      </c>
      <c r="G607">
        <v>20.45</v>
      </c>
      <c r="H607">
        <v>0</v>
      </c>
      <c r="I607" s="1">
        <v>263</v>
      </c>
    </row>
    <row r="608" spans="1:9" x14ac:dyDescent="0.25">
      <c r="A608" t="s">
        <v>6558</v>
      </c>
      <c r="B608" s="1">
        <v>507</v>
      </c>
      <c r="C608" s="1">
        <v>10096</v>
      </c>
      <c r="D608">
        <v>20.45</v>
      </c>
      <c r="E608">
        <v>20.45</v>
      </c>
      <c r="F608">
        <v>19.8</v>
      </c>
      <c r="G608">
        <v>19.8</v>
      </c>
      <c r="H608">
        <v>-0.65</v>
      </c>
      <c r="I608" s="1">
        <v>282</v>
      </c>
    </row>
    <row r="609" spans="1:9" x14ac:dyDescent="0.25">
      <c r="A609" t="s">
        <v>6559</v>
      </c>
      <c r="B609" s="1">
        <v>739</v>
      </c>
      <c r="C609" s="1">
        <v>14228</v>
      </c>
      <c r="D609">
        <v>19.7</v>
      </c>
      <c r="E609">
        <v>20</v>
      </c>
      <c r="F609">
        <v>19</v>
      </c>
      <c r="G609">
        <v>19.149999999999999</v>
      </c>
      <c r="H609">
        <v>-0.65</v>
      </c>
      <c r="I609" s="1">
        <v>336</v>
      </c>
    </row>
    <row r="610" spans="1:9" x14ac:dyDescent="0.25">
      <c r="A610" t="s">
        <v>6560</v>
      </c>
      <c r="B610" s="1">
        <v>308</v>
      </c>
      <c r="C610" s="1">
        <v>5848</v>
      </c>
      <c r="D610">
        <v>19</v>
      </c>
      <c r="E610">
        <v>19.25</v>
      </c>
      <c r="F610">
        <v>18.850000000000001</v>
      </c>
      <c r="G610">
        <v>19</v>
      </c>
      <c r="H610">
        <v>-0.15</v>
      </c>
      <c r="I610" s="1">
        <v>195</v>
      </c>
    </row>
    <row r="611" spans="1:9" x14ac:dyDescent="0.25">
      <c r="A611" t="s">
        <v>6561</v>
      </c>
      <c r="B611" s="1">
        <v>266</v>
      </c>
      <c r="C611" s="1">
        <v>5008</v>
      </c>
      <c r="D611">
        <v>18.95</v>
      </c>
      <c r="E611">
        <v>18.95</v>
      </c>
      <c r="F611">
        <v>18.55</v>
      </c>
      <c r="G611">
        <v>18.75</v>
      </c>
      <c r="H611">
        <v>-0.25</v>
      </c>
      <c r="I611" s="1">
        <v>158</v>
      </c>
    </row>
    <row r="612" spans="1:9" x14ac:dyDescent="0.25">
      <c r="A612" t="s">
        <v>6562</v>
      </c>
      <c r="B612" s="1">
        <v>183</v>
      </c>
      <c r="C612" s="1">
        <v>3465</v>
      </c>
      <c r="D612">
        <v>18.899999999999999</v>
      </c>
      <c r="E612">
        <v>19.3</v>
      </c>
      <c r="F612">
        <v>18.8</v>
      </c>
      <c r="G612">
        <v>19</v>
      </c>
      <c r="H612">
        <v>0.25</v>
      </c>
      <c r="I612" s="1">
        <v>137</v>
      </c>
    </row>
    <row r="613" spans="1:9" x14ac:dyDescent="0.25">
      <c r="A613" t="s">
        <v>6563</v>
      </c>
      <c r="B613" s="1">
        <v>168</v>
      </c>
      <c r="C613" s="1">
        <v>3164</v>
      </c>
      <c r="D613">
        <v>19.100000000000001</v>
      </c>
      <c r="E613">
        <v>19.100000000000001</v>
      </c>
      <c r="F613">
        <v>18.649999999999999</v>
      </c>
      <c r="G613">
        <v>18.649999999999999</v>
      </c>
      <c r="H613">
        <v>-0.35</v>
      </c>
      <c r="I613" s="1">
        <v>153</v>
      </c>
    </row>
    <row r="614" spans="1:9" x14ac:dyDescent="0.25">
      <c r="A614" t="s">
        <v>6564</v>
      </c>
      <c r="B614" s="1">
        <v>180</v>
      </c>
      <c r="C614" s="1">
        <v>3398</v>
      </c>
      <c r="D614">
        <v>18.649999999999999</v>
      </c>
      <c r="E614">
        <v>19</v>
      </c>
      <c r="F614">
        <v>18.649999999999999</v>
      </c>
      <c r="G614">
        <v>18.899999999999999</v>
      </c>
      <c r="H614">
        <v>0.25</v>
      </c>
      <c r="I614" s="1">
        <v>131</v>
      </c>
    </row>
    <row r="615" spans="1:9" x14ac:dyDescent="0.25">
      <c r="A615" t="s">
        <v>6565</v>
      </c>
      <c r="B615" s="1">
        <v>148</v>
      </c>
      <c r="C615" s="1">
        <v>2804</v>
      </c>
      <c r="D615">
        <v>18.95</v>
      </c>
      <c r="E615">
        <v>19.149999999999999</v>
      </c>
      <c r="F615">
        <v>18.8</v>
      </c>
      <c r="G615">
        <v>19.100000000000001</v>
      </c>
      <c r="H615">
        <v>0.2</v>
      </c>
      <c r="I615" s="1">
        <v>120</v>
      </c>
    </row>
    <row r="616" spans="1:9" x14ac:dyDescent="0.25">
      <c r="A616" t="s">
        <v>6566</v>
      </c>
      <c r="B616" s="1">
        <v>166</v>
      </c>
      <c r="C616" s="1">
        <v>3173</v>
      </c>
      <c r="D616">
        <v>19.100000000000001</v>
      </c>
      <c r="E616">
        <v>19.350000000000001</v>
      </c>
      <c r="F616">
        <v>19</v>
      </c>
      <c r="G616">
        <v>19.100000000000001</v>
      </c>
      <c r="H616">
        <v>0</v>
      </c>
      <c r="I616" s="1">
        <v>130</v>
      </c>
    </row>
    <row r="617" spans="1:9" x14ac:dyDescent="0.25">
      <c r="A617" t="s">
        <v>6567</v>
      </c>
      <c r="B617" s="1">
        <v>145</v>
      </c>
      <c r="C617" s="1">
        <v>2747</v>
      </c>
      <c r="D617">
        <v>19.100000000000001</v>
      </c>
      <c r="E617">
        <v>19.100000000000001</v>
      </c>
      <c r="F617">
        <v>18.899999999999999</v>
      </c>
      <c r="G617">
        <v>19.05</v>
      </c>
      <c r="H617">
        <v>-0.05</v>
      </c>
      <c r="I617" s="1">
        <v>124</v>
      </c>
    </row>
    <row r="618" spans="1:9" x14ac:dyDescent="0.25">
      <c r="A618" t="s">
        <v>6568</v>
      </c>
      <c r="B618" s="1">
        <v>243</v>
      </c>
      <c r="C618" s="1">
        <v>4601</v>
      </c>
      <c r="D618">
        <v>19.05</v>
      </c>
      <c r="E618">
        <v>19.2</v>
      </c>
      <c r="F618">
        <v>18.8</v>
      </c>
      <c r="G618">
        <v>18.8</v>
      </c>
      <c r="H618">
        <v>-0.25</v>
      </c>
      <c r="I618" s="1">
        <v>130</v>
      </c>
    </row>
    <row r="619" spans="1:9" x14ac:dyDescent="0.25">
      <c r="A619" t="s">
        <v>6569</v>
      </c>
      <c r="B619" s="1">
        <v>186</v>
      </c>
      <c r="C619" s="1">
        <v>3533</v>
      </c>
      <c r="D619">
        <v>18.8</v>
      </c>
      <c r="E619">
        <v>19.100000000000001</v>
      </c>
      <c r="F619">
        <v>18.8</v>
      </c>
      <c r="G619">
        <v>19.05</v>
      </c>
      <c r="H619">
        <v>0.25</v>
      </c>
      <c r="I619" s="1">
        <v>142</v>
      </c>
    </row>
    <row r="620" spans="1:9" x14ac:dyDescent="0.25">
      <c r="A620" t="s">
        <v>6570</v>
      </c>
      <c r="B620" s="1">
        <v>121</v>
      </c>
      <c r="C620" s="1">
        <v>2274</v>
      </c>
      <c r="D620">
        <v>19.100000000000001</v>
      </c>
      <c r="E620">
        <v>19.100000000000001</v>
      </c>
      <c r="F620">
        <v>18.649999999999999</v>
      </c>
      <c r="G620">
        <v>18.7</v>
      </c>
      <c r="H620">
        <v>-0.35</v>
      </c>
      <c r="I620" s="1">
        <v>105</v>
      </c>
    </row>
    <row r="621" spans="1:9" x14ac:dyDescent="0.25">
      <c r="A621" t="s">
        <v>6571</v>
      </c>
      <c r="B621" s="1">
        <v>206</v>
      </c>
      <c r="C621" s="1">
        <v>3853</v>
      </c>
      <c r="D621">
        <v>18.5</v>
      </c>
      <c r="E621">
        <v>19.100000000000001</v>
      </c>
      <c r="F621">
        <v>18.399999999999999</v>
      </c>
      <c r="G621">
        <v>19</v>
      </c>
      <c r="H621">
        <v>0.3</v>
      </c>
      <c r="I621" s="1">
        <v>131</v>
      </c>
    </row>
    <row r="622" spans="1:9" x14ac:dyDescent="0.25">
      <c r="A622" t="s">
        <v>973</v>
      </c>
      <c r="B622" s="1"/>
      <c r="C622" s="1"/>
      <c r="I622" s="1"/>
    </row>
    <row r="625" spans="1:9" x14ac:dyDescent="0.25">
      <c r="A625" s="9" t="s">
        <v>6530</v>
      </c>
      <c r="B625" s="1">
        <v>166</v>
      </c>
      <c r="C625" s="1">
        <v>3178</v>
      </c>
      <c r="D625">
        <v>18.95</v>
      </c>
      <c r="E625">
        <v>19.149999999999999</v>
      </c>
      <c r="F625">
        <v>18.95</v>
      </c>
      <c r="G625">
        <v>19.149999999999999</v>
      </c>
      <c r="H625">
        <v>0.25</v>
      </c>
      <c r="I625" s="1">
        <v>102</v>
      </c>
    </row>
    <row r="626" spans="1:9" x14ac:dyDescent="0.25">
      <c r="A626" t="s">
        <v>6531</v>
      </c>
      <c r="B626" s="1">
        <v>179</v>
      </c>
      <c r="C626" s="1">
        <v>3439</v>
      </c>
      <c r="D626">
        <v>19.2</v>
      </c>
      <c r="E626">
        <v>19.3</v>
      </c>
      <c r="F626">
        <v>19.100000000000001</v>
      </c>
      <c r="G626">
        <v>19.2</v>
      </c>
      <c r="H626">
        <v>0.05</v>
      </c>
      <c r="I626" s="1">
        <v>121</v>
      </c>
    </row>
    <row r="627" spans="1:9" x14ac:dyDescent="0.25">
      <c r="A627" t="s">
        <v>6532</v>
      </c>
      <c r="B627" s="1">
        <v>254</v>
      </c>
      <c r="C627" s="1">
        <v>4914</v>
      </c>
      <c r="D627">
        <v>19.25</v>
      </c>
      <c r="E627">
        <v>19.600000000000001</v>
      </c>
      <c r="F627">
        <v>19.149999999999999</v>
      </c>
      <c r="G627">
        <v>19.5</v>
      </c>
      <c r="H627">
        <v>0.3</v>
      </c>
      <c r="I627" s="1">
        <v>164</v>
      </c>
    </row>
    <row r="628" spans="1:9" x14ac:dyDescent="0.25">
      <c r="A628" t="s">
        <v>6533</v>
      </c>
      <c r="B628" s="1">
        <v>335</v>
      </c>
      <c r="C628" s="1">
        <v>6541</v>
      </c>
      <c r="D628">
        <v>19.600000000000001</v>
      </c>
      <c r="E628">
        <v>19.600000000000001</v>
      </c>
      <c r="F628">
        <v>19.45</v>
      </c>
      <c r="G628">
        <v>19.600000000000001</v>
      </c>
      <c r="H628">
        <v>0.1</v>
      </c>
      <c r="I628" s="1">
        <v>156</v>
      </c>
    </row>
    <row r="629" spans="1:9" x14ac:dyDescent="0.25">
      <c r="A629" t="s">
        <v>6534</v>
      </c>
      <c r="B629" s="1">
        <v>332</v>
      </c>
      <c r="C629" s="1">
        <v>6534</v>
      </c>
      <c r="D629">
        <v>19.7</v>
      </c>
      <c r="E629">
        <v>19.8</v>
      </c>
      <c r="F629">
        <v>19.5</v>
      </c>
      <c r="G629">
        <v>19.75</v>
      </c>
      <c r="H629">
        <v>0.15</v>
      </c>
      <c r="I629" s="1">
        <v>218</v>
      </c>
    </row>
    <row r="630" spans="1:9" x14ac:dyDescent="0.25">
      <c r="A630" t="s">
        <v>6535</v>
      </c>
      <c r="B630" s="1">
        <v>174</v>
      </c>
      <c r="C630" s="1">
        <v>3415</v>
      </c>
      <c r="D630">
        <v>19.649999999999999</v>
      </c>
      <c r="E630">
        <v>19.8</v>
      </c>
      <c r="F630">
        <v>19.5</v>
      </c>
      <c r="G630">
        <v>19.8</v>
      </c>
      <c r="H630">
        <v>0.05</v>
      </c>
      <c r="I630" s="1">
        <v>113</v>
      </c>
    </row>
    <row r="631" spans="1:9" x14ac:dyDescent="0.25">
      <c r="A631" t="s">
        <v>6536</v>
      </c>
      <c r="B631" s="1">
        <v>3313</v>
      </c>
      <c r="C631" s="1">
        <v>71579</v>
      </c>
      <c r="D631">
        <v>20.3</v>
      </c>
      <c r="E631">
        <v>21.75</v>
      </c>
      <c r="F631">
        <v>20.3</v>
      </c>
      <c r="G631">
        <v>21.75</v>
      </c>
      <c r="H631">
        <v>1.95</v>
      </c>
      <c r="I631" s="1">
        <v>1375</v>
      </c>
    </row>
    <row r="632" spans="1:9" x14ac:dyDescent="0.25">
      <c r="A632" t="s">
        <v>6537</v>
      </c>
      <c r="B632" s="1">
        <v>1701</v>
      </c>
      <c r="C632" s="1">
        <v>37040</v>
      </c>
      <c r="D632">
        <v>21.75</v>
      </c>
      <c r="E632">
        <v>22.2</v>
      </c>
      <c r="F632">
        <v>21.35</v>
      </c>
      <c r="G632">
        <v>21.7</v>
      </c>
      <c r="H632">
        <v>-0.05</v>
      </c>
      <c r="I632" s="1">
        <v>1001</v>
      </c>
    </row>
    <row r="633" spans="1:9" x14ac:dyDescent="0.25">
      <c r="A633" t="s">
        <v>6538</v>
      </c>
      <c r="B633" s="1">
        <v>683</v>
      </c>
      <c r="C633" s="1">
        <v>14857</v>
      </c>
      <c r="D633">
        <v>21.7</v>
      </c>
      <c r="E633">
        <v>21.9</v>
      </c>
      <c r="F633">
        <v>21.5</v>
      </c>
      <c r="G633">
        <v>21.55</v>
      </c>
      <c r="H633">
        <v>-0.15</v>
      </c>
      <c r="I633" s="1">
        <v>410</v>
      </c>
    </row>
    <row r="634" spans="1:9" x14ac:dyDescent="0.25">
      <c r="A634" t="s">
        <v>6539</v>
      </c>
      <c r="B634" s="1">
        <v>1685</v>
      </c>
      <c r="C634" s="1">
        <v>37444</v>
      </c>
      <c r="D634">
        <v>21.75</v>
      </c>
      <c r="E634">
        <v>22.7</v>
      </c>
      <c r="F634">
        <v>21.75</v>
      </c>
      <c r="G634">
        <v>21.8</v>
      </c>
      <c r="H634">
        <v>0.25</v>
      </c>
      <c r="I634" s="1">
        <v>798</v>
      </c>
    </row>
    <row r="635" spans="1:9" x14ac:dyDescent="0.25">
      <c r="A635" t="s">
        <v>6540</v>
      </c>
      <c r="B635" s="1">
        <v>717</v>
      </c>
      <c r="C635" s="1">
        <v>15524</v>
      </c>
      <c r="D635">
        <v>21.85</v>
      </c>
      <c r="E635">
        <v>22.15</v>
      </c>
      <c r="F635">
        <v>21.25</v>
      </c>
      <c r="G635">
        <v>21.45</v>
      </c>
      <c r="H635">
        <v>-0.35</v>
      </c>
      <c r="I635" s="1">
        <v>426</v>
      </c>
    </row>
    <row r="636" spans="1:9" x14ac:dyDescent="0.25">
      <c r="A636" t="s">
        <v>6541</v>
      </c>
      <c r="B636" s="1">
        <v>420</v>
      </c>
      <c r="C636" s="1">
        <v>8894</v>
      </c>
      <c r="D636">
        <v>21.45</v>
      </c>
      <c r="E636">
        <v>21.5</v>
      </c>
      <c r="F636">
        <v>21.05</v>
      </c>
      <c r="G636">
        <v>21.1</v>
      </c>
      <c r="H636">
        <v>-0.35</v>
      </c>
      <c r="I636" s="1">
        <v>236</v>
      </c>
    </row>
    <row r="637" spans="1:9" x14ac:dyDescent="0.25">
      <c r="A637" t="s">
        <v>6542</v>
      </c>
      <c r="B637" s="1">
        <v>412</v>
      </c>
      <c r="C637" s="1">
        <v>8713</v>
      </c>
      <c r="D637">
        <v>21.1</v>
      </c>
      <c r="E637">
        <v>21.3</v>
      </c>
      <c r="F637">
        <v>21</v>
      </c>
      <c r="G637">
        <v>21.25</v>
      </c>
      <c r="H637">
        <v>0.15</v>
      </c>
      <c r="I637" s="1">
        <v>229</v>
      </c>
    </row>
    <row r="638" spans="1:9" x14ac:dyDescent="0.25">
      <c r="A638" t="s">
        <v>6543</v>
      </c>
      <c r="B638" s="1">
        <v>512</v>
      </c>
      <c r="C638" s="1">
        <v>10709</v>
      </c>
      <c r="D638">
        <v>21.1</v>
      </c>
      <c r="E638">
        <v>21.25</v>
      </c>
      <c r="F638">
        <v>20.8</v>
      </c>
      <c r="G638">
        <v>20.8</v>
      </c>
      <c r="H638">
        <v>-0.45</v>
      </c>
      <c r="I638" s="1">
        <v>281</v>
      </c>
    </row>
    <row r="639" spans="1:9" x14ac:dyDescent="0.25">
      <c r="A639" t="s">
        <v>6544</v>
      </c>
      <c r="B639" s="1">
        <v>374</v>
      </c>
      <c r="C639" s="1">
        <v>7884</v>
      </c>
      <c r="D639">
        <v>20.75</v>
      </c>
      <c r="E639">
        <v>21.45</v>
      </c>
      <c r="F639">
        <v>20.75</v>
      </c>
      <c r="G639">
        <v>21.1</v>
      </c>
      <c r="H639">
        <v>0.3</v>
      </c>
      <c r="I639" s="1">
        <v>224</v>
      </c>
    </row>
    <row r="640" spans="1:9" x14ac:dyDescent="0.25">
      <c r="A640" t="s">
        <v>6545</v>
      </c>
      <c r="B640" s="1">
        <v>307</v>
      </c>
      <c r="C640" s="1">
        <v>6459</v>
      </c>
      <c r="D640">
        <v>21.15</v>
      </c>
      <c r="E640">
        <v>21.35</v>
      </c>
      <c r="F640">
        <v>20.9</v>
      </c>
      <c r="G640">
        <v>20.9</v>
      </c>
      <c r="H640">
        <v>-0.2</v>
      </c>
      <c r="I640" s="1">
        <v>215</v>
      </c>
    </row>
    <row r="641" spans="1:9" x14ac:dyDescent="0.25">
      <c r="A641" t="s">
        <v>6546</v>
      </c>
      <c r="B641" s="1">
        <v>276</v>
      </c>
      <c r="C641" s="1">
        <v>5754</v>
      </c>
      <c r="D641">
        <v>21.1</v>
      </c>
      <c r="E641">
        <v>21.1</v>
      </c>
      <c r="F641">
        <v>20.6</v>
      </c>
      <c r="G641">
        <v>20.9</v>
      </c>
      <c r="H641">
        <v>0</v>
      </c>
      <c r="I641" s="1">
        <v>186</v>
      </c>
    </row>
    <row r="642" spans="1:9" x14ac:dyDescent="0.25">
      <c r="A642" t="s">
        <v>6547</v>
      </c>
      <c r="B642" s="1">
        <v>485</v>
      </c>
      <c r="C642" s="1">
        <v>10067</v>
      </c>
      <c r="D642">
        <v>20.9</v>
      </c>
      <c r="E642">
        <v>21.05</v>
      </c>
      <c r="F642">
        <v>20.6</v>
      </c>
      <c r="G642">
        <v>20.8</v>
      </c>
      <c r="H642">
        <v>-0.1</v>
      </c>
      <c r="I642" s="1">
        <v>208</v>
      </c>
    </row>
    <row r="643" spans="1:9" x14ac:dyDescent="0.25">
      <c r="A643" t="s">
        <v>6548</v>
      </c>
      <c r="B643" s="1">
        <v>679</v>
      </c>
      <c r="C643" s="1">
        <v>13995</v>
      </c>
      <c r="D643">
        <v>20.75</v>
      </c>
      <c r="E643">
        <v>20.8</v>
      </c>
      <c r="F643">
        <v>20.45</v>
      </c>
      <c r="G643">
        <v>20.55</v>
      </c>
      <c r="H643">
        <v>-0.25</v>
      </c>
      <c r="I643" s="1">
        <v>269</v>
      </c>
    </row>
    <row r="644" spans="1:9" x14ac:dyDescent="0.25">
      <c r="A644" t="s">
        <v>6549</v>
      </c>
      <c r="B644" s="1">
        <v>339</v>
      </c>
      <c r="C644" s="1">
        <v>6994</v>
      </c>
      <c r="D644">
        <v>20.8</v>
      </c>
      <c r="E644">
        <v>20.8</v>
      </c>
      <c r="F644">
        <v>20.5</v>
      </c>
      <c r="G644">
        <v>20.5</v>
      </c>
      <c r="H644">
        <v>-0.05</v>
      </c>
      <c r="I644" s="1">
        <v>179</v>
      </c>
    </row>
    <row r="645" spans="1:9" x14ac:dyDescent="0.25">
      <c r="A645" t="s">
        <v>6550</v>
      </c>
      <c r="B645" s="1">
        <v>428</v>
      </c>
      <c r="C645" s="1">
        <v>8744</v>
      </c>
      <c r="D645">
        <v>20.5</v>
      </c>
      <c r="E645">
        <v>20.8</v>
      </c>
      <c r="F645">
        <v>20.100000000000001</v>
      </c>
      <c r="G645">
        <v>20.8</v>
      </c>
      <c r="H645">
        <v>0.3</v>
      </c>
      <c r="I645" s="1">
        <v>208</v>
      </c>
    </row>
    <row r="646" spans="1:9" x14ac:dyDescent="0.25">
      <c r="A646" t="s">
        <v>973</v>
      </c>
      <c r="B646" s="1"/>
      <c r="C646" s="1"/>
      <c r="I646" s="1"/>
    </row>
    <row r="649" spans="1:9" x14ac:dyDescent="0.25">
      <c r="A649" s="9" t="s">
        <v>6510</v>
      </c>
      <c r="B649" s="1">
        <v>192</v>
      </c>
      <c r="C649" s="1">
        <v>3429</v>
      </c>
      <c r="D649">
        <v>17.95</v>
      </c>
      <c r="E649">
        <v>18</v>
      </c>
      <c r="F649">
        <v>17.55</v>
      </c>
      <c r="G649">
        <v>18</v>
      </c>
      <c r="H649">
        <v>-0.05</v>
      </c>
      <c r="I649" s="1">
        <v>129</v>
      </c>
    </row>
    <row r="650" spans="1:9" x14ac:dyDescent="0.25">
      <c r="A650" t="s">
        <v>6511</v>
      </c>
      <c r="B650" s="1">
        <v>182</v>
      </c>
      <c r="C650" s="1">
        <v>3236</v>
      </c>
      <c r="D650">
        <v>17.55</v>
      </c>
      <c r="E650">
        <v>18</v>
      </c>
      <c r="F650">
        <v>17.55</v>
      </c>
      <c r="G650">
        <v>18</v>
      </c>
      <c r="H650">
        <v>0</v>
      </c>
      <c r="I650" s="1">
        <v>100</v>
      </c>
    </row>
    <row r="651" spans="1:9" x14ac:dyDescent="0.25">
      <c r="A651" t="s">
        <v>6512</v>
      </c>
      <c r="B651" s="1">
        <v>362</v>
      </c>
      <c r="C651" s="1">
        <v>6585</v>
      </c>
      <c r="D651">
        <v>18</v>
      </c>
      <c r="E651">
        <v>18.3</v>
      </c>
      <c r="F651">
        <v>17.8</v>
      </c>
      <c r="G651">
        <v>18.3</v>
      </c>
      <c r="H651">
        <v>0.3</v>
      </c>
      <c r="I651" s="1">
        <v>207</v>
      </c>
    </row>
    <row r="652" spans="1:9" x14ac:dyDescent="0.25">
      <c r="A652" t="s">
        <v>6513</v>
      </c>
      <c r="B652" s="1">
        <v>255</v>
      </c>
      <c r="C652" s="1">
        <v>4608</v>
      </c>
      <c r="D652">
        <v>18.3</v>
      </c>
      <c r="E652">
        <v>18.399999999999999</v>
      </c>
      <c r="F652">
        <v>18</v>
      </c>
      <c r="G652">
        <v>18</v>
      </c>
      <c r="H652">
        <v>-0.3</v>
      </c>
      <c r="I652" s="1">
        <v>130</v>
      </c>
    </row>
    <row r="653" spans="1:9" x14ac:dyDescent="0.25">
      <c r="A653" t="s">
        <v>6514</v>
      </c>
      <c r="B653" s="1">
        <v>140</v>
      </c>
      <c r="C653" s="1">
        <v>2493</v>
      </c>
      <c r="D653">
        <v>17.8</v>
      </c>
      <c r="E653">
        <v>17.95</v>
      </c>
      <c r="F653">
        <v>17.55</v>
      </c>
      <c r="G653">
        <v>17.95</v>
      </c>
      <c r="H653">
        <v>-0.05</v>
      </c>
      <c r="I653" s="1">
        <v>110</v>
      </c>
    </row>
    <row r="654" spans="1:9" x14ac:dyDescent="0.25">
      <c r="A654" t="s">
        <v>6515</v>
      </c>
      <c r="B654" s="1">
        <v>212</v>
      </c>
      <c r="C654" s="1">
        <v>3807</v>
      </c>
      <c r="D654">
        <v>17.7</v>
      </c>
      <c r="E654">
        <v>18.100000000000001</v>
      </c>
      <c r="F654">
        <v>17.7</v>
      </c>
      <c r="G654">
        <v>18</v>
      </c>
      <c r="H654">
        <v>0.05</v>
      </c>
      <c r="I654" s="1">
        <v>107</v>
      </c>
    </row>
    <row r="655" spans="1:9" x14ac:dyDescent="0.25">
      <c r="A655" t="s">
        <v>6516</v>
      </c>
      <c r="B655" s="1">
        <v>337</v>
      </c>
      <c r="C655" s="1">
        <v>6135</v>
      </c>
      <c r="D655">
        <v>18.350000000000001</v>
      </c>
      <c r="E655">
        <v>18.350000000000001</v>
      </c>
      <c r="F655">
        <v>18.100000000000001</v>
      </c>
      <c r="G655">
        <v>18.2</v>
      </c>
      <c r="H655">
        <v>0.2</v>
      </c>
      <c r="I655" s="1">
        <v>161</v>
      </c>
    </row>
    <row r="656" spans="1:9" x14ac:dyDescent="0.25">
      <c r="A656" t="s">
        <v>6517</v>
      </c>
      <c r="B656" s="1">
        <v>613</v>
      </c>
      <c r="C656" s="1">
        <v>11342</v>
      </c>
      <c r="D656">
        <v>18.399999999999999</v>
      </c>
      <c r="E656">
        <v>18.7</v>
      </c>
      <c r="F656">
        <v>18.3</v>
      </c>
      <c r="G656">
        <v>18.7</v>
      </c>
      <c r="H656">
        <v>0.5</v>
      </c>
      <c r="I656" s="1">
        <v>317</v>
      </c>
    </row>
    <row r="657" spans="1:9" x14ac:dyDescent="0.25">
      <c r="A657" t="s">
        <v>6518</v>
      </c>
      <c r="B657" s="1">
        <v>996</v>
      </c>
      <c r="C657" s="1">
        <v>19152</v>
      </c>
      <c r="D657">
        <v>18.8</v>
      </c>
      <c r="E657">
        <v>19.7</v>
      </c>
      <c r="F657">
        <v>18.649999999999999</v>
      </c>
      <c r="G657">
        <v>19.399999999999999</v>
      </c>
      <c r="H657">
        <v>0.7</v>
      </c>
      <c r="I657" s="1">
        <v>468</v>
      </c>
    </row>
    <row r="658" spans="1:9" x14ac:dyDescent="0.25">
      <c r="A658" t="s">
        <v>6519</v>
      </c>
      <c r="B658" s="1">
        <v>592</v>
      </c>
      <c r="C658" s="1">
        <v>11697</v>
      </c>
      <c r="D658">
        <v>19.850000000000001</v>
      </c>
      <c r="E658">
        <v>19.95</v>
      </c>
      <c r="F658">
        <v>19.649999999999999</v>
      </c>
      <c r="G658">
        <v>19.7</v>
      </c>
      <c r="H658">
        <v>0.3</v>
      </c>
      <c r="I658" s="1">
        <v>280</v>
      </c>
    </row>
    <row r="659" spans="1:9" x14ac:dyDescent="0.25">
      <c r="A659" t="s">
        <v>6520</v>
      </c>
      <c r="B659" s="1">
        <v>183</v>
      </c>
      <c r="C659" s="1">
        <v>3557</v>
      </c>
      <c r="D659">
        <v>19.7</v>
      </c>
      <c r="E659">
        <v>19.7</v>
      </c>
      <c r="F659">
        <v>19.2</v>
      </c>
      <c r="G659">
        <v>19.45</v>
      </c>
      <c r="H659">
        <v>-0.25</v>
      </c>
      <c r="I659" s="1">
        <v>117</v>
      </c>
    </row>
    <row r="660" spans="1:9" x14ac:dyDescent="0.25">
      <c r="A660" t="s">
        <v>6521</v>
      </c>
      <c r="B660" s="1">
        <v>405</v>
      </c>
      <c r="C660" s="1">
        <v>7908</v>
      </c>
      <c r="D660">
        <v>19.45</v>
      </c>
      <c r="E660">
        <v>19.75</v>
      </c>
      <c r="F660">
        <v>19.399999999999999</v>
      </c>
      <c r="G660">
        <v>19.600000000000001</v>
      </c>
      <c r="H660">
        <v>0.15</v>
      </c>
      <c r="I660" s="1">
        <v>121</v>
      </c>
    </row>
    <row r="661" spans="1:9" x14ac:dyDescent="0.25">
      <c r="A661" t="s">
        <v>6522</v>
      </c>
      <c r="B661" s="1">
        <v>358</v>
      </c>
      <c r="C661" s="1">
        <v>7070</v>
      </c>
      <c r="D661">
        <v>19.75</v>
      </c>
      <c r="E661">
        <v>19.850000000000001</v>
      </c>
      <c r="F661">
        <v>19.649999999999999</v>
      </c>
      <c r="G661">
        <v>19.75</v>
      </c>
      <c r="H661">
        <v>0.15</v>
      </c>
      <c r="I661" s="1">
        <v>152</v>
      </c>
    </row>
    <row r="662" spans="1:9" x14ac:dyDescent="0.25">
      <c r="A662" t="s">
        <v>6523</v>
      </c>
      <c r="B662" s="1">
        <v>257</v>
      </c>
      <c r="C662" s="1">
        <v>5122</v>
      </c>
      <c r="D662">
        <v>19.649999999999999</v>
      </c>
      <c r="E662">
        <v>20.149999999999999</v>
      </c>
      <c r="F662">
        <v>19.649999999999999</v>
      </c>
      <c r="G662">
        <v>19.95</v>
      </c>
      <c r="H662">
        <v>0.2</v>
      </c>
      <c r="I662" s="1">
        <v>147</v>
      </c>
    </row>
    <row r="663" spans="1:9" x14ac:dyDescent="0.25">
      <c r="A663" t="s">
        <v>6524</v>
      </c>
      <c r="B663" s="1">
        <v>263</v>
      </c>
      <c r="C663" s="1">
        <v>5147</v>
      </c>
      <c r="D663">
        <v>19.55</v>
      </c>
      <c r="E663">
        <v>19.7</v>
      </c>
      <c r="F663">
        <v>19.399999999999999</v>
      </c>
      <c r="G663">
        <v>19.649999999999999</v>
      </c>
      <c r="H663">
        <v>-0.3</v>
      </c>
      <c r="I663" s="1">
        <v>157</v>
      </c>
    </row>
    <row r="664" spans="1:9" x14ac:dyDescent="0.25">
      <c r="A664" t="s">
        <v>6525</v>
      </c>
      <c r="B664" s="1">
        <v>141</v>
      </c>
      <c r="C664" s="1">
        <v>2762</v>
      </c>
      <c r="D664">
        <v>19.5</v>
      </c>
      <c r="E664">
        <v>19.75</v>
      </c>
      <c r="F664">
        <v>19.5</v>
      </c>
      <c r="G664">
        <v>19.7</v>
      </c>
      <c r="H664">
        <v>0.05</v>
      </c>
      <c r="I664" s="1">
        <v>92</v>
      </c>
    </row>
    <row r="665" spans="1:9" x14ac:dyDescent="0.25">
      <c r="A665" t="s">
        <v>6526</v>
      </c>
      <c r="B665" s="1">
        <v>198</v>
      </c>
      <c r="C665" s="1">
        <v>3863</v>
      </c>
      <c r="D665">
        <v>19.649999999999999</v>
      </c>
      <c r="E665">
        <v>19.649999999999999</v>
      </c>
      <c r="F665">
        <v>19.399999999999999</v>
      </c>
      <c r="G665">
        <v>19.600000000000001</v>
      </c>
      <c r="H665">
        <v>-0.1</v>
      </c>
      <c r="I665" s="1">
        <v>92</v>
      </c>
    </row>
    <row r="666" spans="1:9" x14ac:dyDescent="0.25">
      <c r="A666" t="s">
        <v>6527</v>
      </c>
      <c r="B666" s="1">
        <v>306</v>
      </c>
      <c r="C666" s="1">
        <v>5862</v>
      </c>
      <c r="D666">
        <v>19.5</v>
      </c>
      <c r="E666">
        <v>19.5</v>
      </c>
      <c r="F666">
        <v>18.899999999999999</v>
      </c>
      <c r="G666">
        <v>19.45</v>
      </c>
      <c r="H666">
        <v>-0.15</v>
      </c>
      <c r="I666" s="1">
        <v>175</v>
      </c>
    </row>
    <row r="667" spans="1:9" x14ac:dyDescent="0.25">
      <c r="A667" t="s">
        <v>6528</v>
      </c>
      <c r="B667" s="1">
        <v>401</v>
      </c>
      <c r="C667" s="1">
        <v>7701</v>
      </c>
      <c r="D667">
        <v>19.05</v>
      </c>
      <c r="E667">
        <v>19.3</v>
      </c>
      <c r="F667">
        <v>19</v>
      </c>
      <c r="G667">
        <v>19.25</v>
      </c>
      <c r="H667">
        <v>-0.2</v>
      </c>
      <c r="I667" s="1">
        <v>188</v>
      </c>
    </row>
    <row r="668" spans="1:9" x14ac:dyDescent="0.25">
      <c r="A668" t="s">
        <v>6529</v>
      </c>
      <c r="B668" s="1">
        <v>365</v>
      </c>
      <c r="C668" s="1">
        <v>6892</v>
      </c>
      <c r="D668">
        <v>18.8</v>
      </c>
      <c r="E668">
        <v>19</v>
      </c>
      <c r="F668">
        <v>18.8</v>
      </c>
      <c r="G668">
        <v>18.899999999999999</v>
      </c>
      <c r="H668">
        <v>-0.35</v>
      </c>
      <c r="I668" s="1">
        <v>174</v>
      </c>
    </row>
    <row r="669" spans="1:9" x14ac:dyDescent="0.25">
      <c r="A669" t="s">
        <v>927</v>
      </c>
      <c r="B669" s="1"/>
      <c r="C669" s="1"/>
      <c r="I669" s="1"/>
    </row>
    <row r="673" spans="1:9" x14ac:dyDescent="0.25">
      <c r="A673" s="9" t="s">
        <v>6489</v>
      </c>
      <c r="B673" s="1">
        <v>312</v>
      </c>
      <c r="C673" s="1">
        <v>6157</v>
      </c>
      <c r="D673">
        <v>19.8</v>
      </c>
      <c r="E673">
        <v>19.95</v>
      </c>
      <c r="F673">
        <v>19.600000000000001</v>
      </c>
      <c r="G673">
        <v>19.8</v>
      </c>
      <c r="H673">
        <v>-0.15</v>
      </c>
      <c r="I673" s="1">
        <v>138</v>
      </c>
    </row>
    <row r="674" spans="1:9" x14ac:dyDescent="0.25">
      <c r="A674" t="s">
        <v>6490</v>
      </c>
      <c r="B674" s="1">
        <v>475</v>
      </c>
      <c r="C674" s="1">
        <v>9322</v>
      </c>
      <c r="D674">
        <v>19.5</v>
      </c>
      <c r="E674">
        <v>20</v>
      </c>
      <c r="F674">
        <v>19.350000000000001</v>
      </c>
      <c r="G674">
        <v>19.55</v>
      </c>
      <c r="H674">
        <v>-0.25</v>
      </c>
      <c r="I674" s="1">
        <v>175</v>
      </c>
    </row>
    <row r="675" spans="1:9" x14ac:dyDescent="0.25">
      <c r="A675" t="s">
        <v>6491</v>
      </c>
      <c r="B675" s="1">
        <v>158</v>
      </c>
      <c r="C675" s="1">
        <v>3091</v>
      </c>
      <c r="D675">
        <v>19.399999999999999</v>
      </c>
      <c r="E675">
        <v>19.75</v>
      </c>
      <c r="F675">
        <v>19.350000000000001</v>
      </c>
      <c r="G675">
        <v>19.75</v>
      </c>
      <c r="H675">
        <v>0.2</v>
      </c>
      <c r="I675" s="1">
        <v>92</v>
      </c>
    </row>
    <row r="676" spans="1:9" x14ac:dyDescent="0.25">
      <c r="A676" t="s">
        <v>6492</v>
      </c>
      <c r="B676" s="1">
        <v>258</v>
      </c>
      <c r="C676" s="1">
        <v>5060</v>
      </c>
      <c r="D676">
        <v>19.8</v>
      </c>
      <c r="E676">
        <v>19.95</v>
      </c>
      <c r="F676">
        <v>19.5</v>
      </c>
      <c r="G676">
        <v>19.55</v>
      </c>
      <c r="H676">
        <v>-0.2</v>
      </c>
      <c r="I676" s="1">
        <v>110</v>
      </c>
    </row>
    <row r="677" spans="1:9" x14ac:dyDescent="0.25">
      <c r="A677" t="s">
        <v>6493</v>
      </c>
      <c r="B677" s="1">
        <v>159</v>
      </c>
      <c r="C677" s="1">
        <v>3107</v>
      </c>
      <c r="D677">
        <v>19.399999999999999</v>
      </c>
      <c r="E677">
        <v>19.95</v>
      </c>
      <c r="F677">
        <v>19.3</v>
      </c>
      <c r="G677">
        <v>19.8</v>
      </c>
      <c r="H677">
        <v>0.25</v>
      </c>
      <c r="I677" s="1">
        <v>95</v>
      </c>
    </row>
    <row r="678" spans="1:9" x14ac:dyDescent="0.25">
      <c r="A678" t="s">
        <v>6494</v>
      </c>
      <c r="B678" s="1">
        <v>551</v>
      </c>
      <c r="C678" s="1">
        <v>10451</v>
      </c>
      <c r="D678">
        <v>19.55</v>
      </c>
      <c r="E678">
        <v>19.55</v>
      </c>
      <c r="F678">
        <v>18.600000000000001</v>
      </c>
      <c r="G678">
        <v>19.149999999999999</v>
      </c>
      <c r="H678">
        <v>-0.65</v>
      </c>
      <c r="I678" s="1">
        <v>256</v>
      </c>
    </row>
    <row r="679" spans="1:9" x14ac:dyDescent="0.25">
      <c r="A679" t="s">
        <v>6495</v>
      </c>
      <c r="B679" s="1">
        <v>303</v>
      </c>
      <c r="C679" s="1">
        <v>5825</v>
      </c>
      <c r="D679">
        <v>19.05</v>
      </c>
      <c r="E679">
        <v>19.350000000000001</v>
      </c>
      <c r="F679">
        <v>19.05</v>
      </c>
      <c r="G679">
        <v>19.25</v>
      </c>
      <c r="H679">
        <v>0.1</v>
      </c>
      <c r="I679" s="1">
        <v>162</v>
      </c>
    </row>
    <row r="680" spans="1:9" x14ac:dyDescent="0.25">
      <c r="A680" t="s">
        <v>6496</v>
      </c>
      <c r="B680" s="1">
        <v>369</v>
      </c>
      <c r="C680" s="1">
        <v>7073</v>
      </c>
      <c r="D680">
        <v>19.2</v>
      </c>
      <c r="E680">
        <v>19.399999999999999</v>
      </c>
      <c r="F680">
        <v>18.8</v>
      </c>
      <c r="G680">
        <v>19.350000000000001</v>
      </c>
      <c r="H680">
        <v>0.1</v>
      </c>
      <c r="I680" s="1">
        <v>133</v>
      </c>
    </row>
    <row r="681" spans="1:9" x14ac:dyDescent="0.25">
      <c r="A681" t="s">
        <v>6497</v>
      </c>
      <c r="B681" s="1">
        <v>201</v>
      </c>
      <c r="C681" s="1">
        <v>3898</v>
      </c>
      <c r="D681">
        <v>19.399999999999999</v>
      </c>
      <c r="E681">
        <v>19.55</v>
      </c>
      <c r="F681">
        <v>19.25</v>
      </c>
      <c r="G681">
        <v>19.45</v>
      </c>
      <c r="H681">
        <v>0.1</v>
      </c>
      <c r="I681" s="1">
        <v>119</v>
      </c>
    </row>
    <row r="682" spans="1:9" x14ac:dyDescent="0.25">
      <c r="A682" t="s">
        <v>6498</v>
      </c>
      <c r="B682" s="1">
        <v>196</v>
      </c>
      <c r="C682" s="1">
        <v>3815</v>
      </c>
      <c r="D682">
        <v>19.600000000000001</v>
      </c>
      <c r="E682">
        <v>19.600000000000001</v>
      </c>
      <c r="F682">
        <v>19.350000000000001</v>
      </c>
      <c r="G682">
        <v>19.45</v>
      </c>
      <c r="H682">
        <v>0</v>
      </c>
      <c r="I682" s="1">
        <v>91</v>
      </c>
    </row>
    <row r="683" spans="1:9" x14ac:dyDescent="0.25">
      <c r="A683" t="s">
        <v>6499</v>
      </c>
      <c r="B683" s="1">
        <v>253</v>
      </c>
      <c r="C683" s="1">
        <v>4885</v>
      </c>
      <c r="D683">
        <v>19.25</v>
      </c>
      <c r="E683">
        <v>19.5</v>
      </c>
      <c r="F683">
        <v>19.25</v>
      </c>
      <c r="G683">
        <v>19.5</v>
      </c>
      <c r="H683">
        <v>0.05</v>
      </c>
      <c r="I683" s="1">
        <v>92</v>
      </c>
    </row>
    <row r="684" spans="1:9" x14ac:dyDescent="0.25">
      <c r="A684" t="s">
        <v>6500</v>
      </c>
      <c r="B684" s="1">
        <v>386</v>
      </c>
      <c r="C684" s="1">
        <v>7501</v>
      </c>
      <c r="D684">
        <v>19.45</v>
      </c>
      <c r="E684">
        <v>19.600000000000001</v>
      </c>
      <c r="F684">
        <v>19.3</v>
      </c>
      <c r="G684">
        <v>19.45</v>
      </c>
      <c r="H684">
        <v>-0.05</v>
      </c>
      <c r="I684" s="1">
        <v>133</v>
      </c>
    </row>
    <row r="685" spans="1:9" x14ac:dyDescent="0.25">
      <c r="A685" t="s">
        <v>6501</v>
      </c>
      <c r="B685" s="1">
        <v>611</v>
      </c>
      <c r="C685" s="1">
        <v>11740</v>
      </c>
      <c r="D685">
        <v>19.350000000000001</v>
      </c>
      <c r="E685">
        <v>19.5</v>
      </c>
      <c r="F685">
        <v>18.95</v>
      </c>
      <c r="G685">
        <v>19.3</v>
      </c>
      <c r="H685">
        <v>-0.15</v>
      </c>
      <c r="I685" s="1">
        <v>237</v>
      </c>
    </row>
    <row r="686" spans="1:9" x14ac:dyDescent="0.25">
      <c r="A686" t="s">
        <v>6502</v>
      </c>
      <c r="B686" s="1">
        <v>440</v>
      </c>
      <c r="C686" s="1">
        <v>8458</v>
      </c>
      <c r="D686">
        <v>19.3</v>
      </c>
      <c r="E686">
        <v>19.350000000000001</v>
      </c>
      <c r="F686">
        <v>19.100000000000001</v>
      </c>
      <c r="G686">
        <v>19.3</v>
      </c>
      <c r="H686">
        <v>0</v>
      </c>
      <c r="I686" s="1">
        <v>153</v>
      </c>
    </row>
    <row r="687" spans="1:9" x14ac:dyDescent="0.25">
      <c r="A687" t="s">
        <v>6503</v>
      </c>
      <c r="B687" s="1">
        <v>638</v>
      </c>
      <c r="C687" s="1">
        <v>12095</v>
      </c>
      <c r="D687">
        <v>18.8</v>
      </c>
      <c r="E687">
        <v>19.2</v>
      </c>
      <c r="F687">
        <v>18.8</v>
      </c>
      <c r="G687">
        <v>18.8</v>
      </c>
      <c r="H687">
        <v>-0.5</v>
      </c>
      <c r="I687" s="1">
        <v>256</v>
      </c>
    </row>
    <row r="688" spans="1:9" x14ac:dyDescent="0.25">
      <c r="A688" t="s">
        <v>6504</v>
      </c>
      <c r="B688" s="1">
        <v>1477</v>
      </c>
      <c r="C688" s="1">
        <v>25138</v>
      </c>
      <c r="D688">
        <v>17.649999999999999</v>
      </c>
      <c r="E688">
        <v>18</v>
      </c>
      <c r="F688">
        <v>16.95</v>
      </c>
      <c r="G688">
        <v>16.95</v>
      </c>
      <c r="H688">
        <v>-1.85</v>
      </c>
      <c r="I688" s="1">
        <v>418</v>
      </c>
    </row>
    <row r="689" spans="1:9" x14ac:dyDescent="0.25">
      <c r="A689" t="s">
        <v>6505</v>
      </c>
      <c r="B689" s="1">
        <v>1048</v>
      </c>
      <c r="C689" s="1">
        <v>17431</v>
      </c>
      <c r="D689">
        <v>16.05</v>
      </c>
      <c r="E689">
        <v>17.2</v>
      </c>
      <c r="F689">
        <v>15.8</v>
      </c>
      <c r="G689">
        <v>17.2</v>
      </c>
      <c r="H689">
        <v>0.25</v>
      </c>
      <c r="I689" s="1">
        <v>389</v>
      </c>
    </row>
    <row r="690" spans="1:9" x14ac:dyDescent="0.25">
      <c r="A690" t="s">
        <v>6506</v>
      </c>
      <c r="B690" s="1">
        <v>885</v>
      </c>
      <c r="C690" s="1">
        <v>14998</v>
      </c>
      <c r="D690">
        <v>16.8</v>
      </c>
      <c r="E690">
        <v>17.25</v>
      </c>
      <c r="F690">
        <v>16.350000000000001</v>
      </c>
      <c r="G690">
        <v>17.25</v>
      </c>
      <c r="H690">
        <v>0.05</v>
      </c>
      <c r="I690" s="1">
        <v>232</v>
      </c>
    </row>
    <row r="691" spans="1:9" x14ac:dyDescent="0.25">
      <c r="A691" t="s">
        <v>6507</v>
      </c>
      <c r="B691" s="1">
        <v>758</v>
      </c>
      <c r="C691" s="1">
        <v>13268</v>
      </c>
      <c r="D691">
        <v>17.25</v>
      </c>
      <c r="E691">
        <v>17.7</v>
      </c>
      <c r="F691">
        <v>17.25</v>
      </c>
      <c r="G691">
        <v>17.7</v>
      </c>
      <c r="H691">
        <v>0.45</v>
      </c>
      <c r="I691" s="1">
        <v>240</v>
      </c>
    </row>
    <row r="692" spans="1:9" x14ac:dyDescent="0.25">
      <c r="A692" t="s">
        <v>6508</v>
      </c>
      <c r="B692" s="1">
        <v>350</v>
      </c>
      <c r="C692" s="1">
        <v>6290</v>
      </c>
      <c r="D692">
        <v>17.75</v>
      </c>
      <c r="E692">
        <v>18.05</v>
      </c>
      <c r="F692">
        <v>17.75</v>
      </c>
      <c r="G692">
        <v>18</v>
      </c>
      <c r="H692">
        <v>0.3</v>
      </c>
      <c r="I692" s="1">
        <v>183</v>
      </c>
    </row>
    <row r="693" spans="1:9" x14ac:dyDescent="0.25">
      <c r="A693" t="s">
        <v>6509</v>
      </c>
      <c r="B693" s="1">
        <v>399</v>
      </c>
      <c r="C693" s="1">
        <v>7128</v>
      </c>
      <c r="D693">
        <v>18</v>
      </c>
      <c r="E693">
        <v>18.05</v>
      </c>
      <c r="F693">
        <v>17.649999999999999</v>
      </c>
      <c r="G693">
        <v>18.05</v>
      </c>
      <c r="H693">
        <v>0.05</v>
      </c>
      <c r="I693" s="1">
        <v>178</v>
      </c>
    </row>
    <row r="694" spans="1:9" x14ac:dyDescent="0.25">
      <c r="A694" t="s">
        <v>973</v>
      </c>
      <c r="B694" s="1"/>
      <c r="C694" s="1"/>
      <c r="I694" s="1"/>
    </row>
    <row r="697" spans="1:9" x14ac:dyDescent="0.25">
      <c r="A697" s="9" t="s">
        <v>6467</v>
      </c>
      <c r="B697" s="1">
        <v>258</v>
      </c>
      <c r="C697" s="1">
        <v>5922</v>
      </c>
      <c r="D697">
        <v>23</v>
      </c>
      <c r="E697">
        <v>23.1</v>
      </c>
      <c r="F697">
        <v>22.85</v>
      </c>
      <c r="G697">
        <v>22.95</v>
      </c>
      <c r="H697">
        <v>-0.15</v>
      </c>
      <c r="I697" s="1">
        <v>174</v>
      </c>
    </row>
    <row r="698" spans="1:9" x14ac:dyDescent="0.25">
      <c r="A698" t="s">
        <v>6468</v>
      </c>
      <c r="B698" s="1">
        <v>208</v>
      </c>
      <c r="C698" s="1">
        <v>4777</v>
      </c>
      <c r="D698">
        <v>22.85</v>
      </c>
      <c r="E698">
        <v>23.1</v>
      </c>
      <c r="F698">
        <v>22.85</v>
      </c>
      <c r="G698">
        <v>23</v>
      </c>
      <c r="H698">
        <v>0.05</v>
      </c>
      <c r="I698" s="1">
        <v>125</v>
      </c>
    </row>
    <row r="699" spans="1:9" x14ac:dyDescent="0.25">
      <c r="A699" t="s">
        <v>6469</v>
      </c>
      <c r="B699" s="1">
        <v>405</v>
      </c>
      <c r="C699" s="1">
        <v>9266</v>
      </c>
      <c r="D699">
        <v>22.9</v>
      </c>
      <c r="E699">
        <v>23.1</v>
      </c>
      <c r="F699">
        <v>22.75</v>
      </c>
      <c r="G699">
        <v>22.75</v>
      </c>
      <c r="H699">
        <v>-0.25</v>
      </c>
      <c r="I699" s="1">
        <v>187</v>
      </c>
    </row>
    <row r="700" spans="1:9" x14ac:dyDescent="0.25">
      <c r="A700" t="s">
        <v>6470</v>
      </c>
      <c r="B700" s="1">
        <v>582</v>
      </c>
      <c r="C700" s="1">
        <v>13091</v>
      </c>
      <c r="D700">
        <v>22.5</v>
      </c>
      <c r="E700">
        <v>22.75</v>
      </c>
      <c r="F700">
        <v>22.3</v>
      </c>
      <c r="G700">
        <v>22.3</v>
      </c>
      <c r="H700">
        <v>-0.45</v>
      </c>
      <c r="I700" s="1">
        <v>320</v>
      </c>
    </row>
    <row r="701" spans="1:9" x14ac:dyDescent="0.25">
      <c r="A701" t="s">
        <v>6471</v>
      </c>
      <c r="B701" s="1">
        <v>675</v>
      </c>
      <c r="C701" s="1">
        <v>14945</v>
      </c>
      <c r="D701">
        <v>22.3</v>
      </c>
      <c r="E701">
        <v>22.45</v>
      </c>
      <c r="F701">
        <v>22</v>
      </c>
      <c r="G701">
        <v>22</v>
      </c>
      <c r="H701">
        <v>-0.3</v>
      </c>
      <c r="I701" s="1">
        <v>345</v>
      </c>
    </row>
    <row r="702" spans="1:9" x14ac:dyDescent="0.25">
      <c r="A702" t="s">
        <v>6472</v>
      </c>
      <c r="B702" s="1">
        <v>1174</v>
      </c>
      <c r="C702" s="1">
        <v>24987</v>
      </c>
      <c r="D702">
        <v>22</v>
      </c>
      <c r="E702">
        <v>22</v>
      </c>
      <c r="F702">
        <v>20.8</v>
      </c>
      <c r="G702">
        <v>21</v>
      </c>
      <c r="H702">
        <v>-1</v>
      </c>
      <c r="I702" s="1">
        <v>551</v>
      </c>
    </row>
    <row r="703" spans="1:9" x14ac:dyDescent="0.25">
      <c r="A703" t="s">
        <v>6473</v>
      </c>
      <c r="B703" s="1">
        <v>998</v>
      </c>
      <c r="C703" s="1">
        <v>19810</v>
      </c>
      <c r="D703">
        <v>20</v>
      </c>
      <c r="E703">
        <v>20.2</v>
      </c>
      <c r="F703">
        <v>19.5</v>
      </c>
      <c r="G703">
        <v>20.2</v>
      </c>
      <c r="H703">
        <v>0</v>
      </c>
      <c r="I703" s="1">
        <v>419</v>
      </c>
    </row>
    <row r="704" spans="1:9" x14ac:dyDescent="0.25">
      <c r="A704" t="s">
        <v>6474</v>
      </c>
      <c r="B704" s="1">
        <v>684</v>
      </c>
      <c r="C704" s="1">
        <v>14582</v>
      </c>
      <c r="D704">
        <v>21.5</v>
      </c>
      <c r="E704">
        <v>21.75</v>
      </c>
      <c r="F704">
        <v>21.05</v>
      </c>
      <c r="G704">
        <v>21.05</v>
      </c>
      <c r="H704">
        <v>0.85</v>
      </c>
      <c r="I704" s="1">
        <v>352</v>
      </c>
    </row>
    <row r="705" spans="1:9" x14ac:dyDescent="0.25">
      <c r="A705" t="s">
        <v>6475</v>
      </c>
      <c r="B705" s="1">
        <v>468</v>
      </c>
      <c r="C705" s="1">
        <v>9931</v>
      </c>
      <c r="D705">
        <v>21</v>
      </c>
      <c r="E705">
        <v>21.45</v>
      </c>
      <c r="F705">
        <v>20.8</v>
      </c>
      <c r="G705">
        <v>21.45</v>
      </c>
      <c r="H705">
        <v>0.4</v>
      </c>
      <c r="I705" s="1">
        <v>254</v>
      </c>
    </row>
    <row r="706" spans="1:9" x14ac:dyDescent="0.25">
      <c r="A706" t="s">
        <v>6476</v>
      </c>
      <c r="B706" s="1">
        <v>374</v>
      </c>
      <c r="C706" s="1">
        <v>7991</v>
      </c>
      <c r="D706">
        <v>21.45</v>
      </c>
      <c r="E706">
        <v>21.5</v>
      </c>
      <c r="F706">
        <v>21.15</v>
      </c>
      <c r="G706">
        <v>21.5</v>
      </c>
      <c r="H706">
        <v>0.05</v>
      </c>
      <c r="I706" s="1">
        <v>173</v>
      </c>
    </row>
    <row r="707" spans="1:9" x14ac:dyDescent="0.25">
      <c r="A707" t="s">
        <v>6477</v>
      </c>
      <c r="B707" s="1">
        <v>221</v>
      </c>
      <c r="C707" s="1">
        <v>4710</v>
      </c>
      <c r="D707">
        <v>21.45</v>
      </c>
      <c r="E707">
        <v>21.5</v>
      </c>
      <c r="F707">
        <v>21.2</v>
      </c>
      <c r="G707">
        <v>21.25</v>
      </c>
      <c r="H707">
        <v>-0.25</v>
      </c>
      <c r="I707" s="1">
        <v>144</v>
      </c>
    </row>
    <row r="708" spans="1:9" x14ac:dyDescent="0.25">
      <c r="A708" t="s">
        <v>6478</v>
      </c>
      <c r="B708" s="1">
        <v>213</v>
      </c>
      <c r="C708" s="1">
        <v>4543</v>
      </c>
      <c r="D708">
        <v>21.2</v>
      </c>
      <c r="E708">
        <v>21.4</v>
      </c>
      <c r="F708">
        <v>21.2</v>
      </c>
      <c r="G708">
        <v>21.25</v>
      </c>
      <c r="H708">
        <v>0</v>
      </c>
      <c r="I708" s="1">
        <v>98</v>
      </c>
    </row>
    <row r="709" spans="1:9" x14ac:dyDescent="0.25">
      <c r="A709" t="s">
        <v>6479</v>
      </c>
      <c r="B709" s="1">
        <v>359</v>
      </c>
      <c r="C709" s="1">
        <v>7639</v>
      </c>
      <c r="D709">
        <v>21.3</v>
      </c>
      <c r="E709">
        <v>21.4</v>
      </c>
      <c r="F709">
        <v>21.15</v>
      </c>
      <c r="G709">
        <v>21.25</v>
      </c>
      <c r="H709">
        <v>0</v>
      </c>
      <c r="I709" s="1">
        <v>152</v>
      </c>
    </row>
    <row r="710" spans="1:9" x14ac:dyDescent="0.25">
      <c r="A710" t="s">
        <v>6480</v>
      </c>
      <c r="B710" s="1">
        <v>301</v>
      </c>
      <c r="C710" s="1">
        <v>6382</v>
      </c>
      <c r="D710">
        <v>21.3</v>
      </c>
      <c r="E710">
        <v>21.3</v>
      </c>
      <c r="F710">
        <v>21.2</v>
      </c>
      <c r="G710">
        <v>21.3</v>
      </c>
      <c r="H710">
        <v>0.05</v>
      </c>
      <c r="I710" s="1">
        <v>125</v>
      </c>
    </row>
    <row r="711" spans="1:9" x14ac:dyDescent="0.25">
      <c r="A711" t="s">
        <v>6481</v>
      </c>
      <c r="B711" s="1">
        <v>327</v>
      </c>
      <c r="C711" s="1">
        <v>6943</v>
      </c>
      <c r="D711">
        <v>21.3</v>
      </c>
      <c r="E711">
        <v>21.35</v>
      </c>
      <c r="F711">
        <v>21.1</v>
      </c>
      <c r="G711">
        <v>21.25</v>
      </c>
      <c r="H711">
        <v>-0.05</v>
      </c>
      <c r="I711" s="1">
        <v>102</v>
      </c>
    </row>
    <row r="712" spans="1:9" x14ac:dyDescent="0.25">
      <c r="A712" t="s">
        <v>6482</v>
      </c>
      <c r="B712" s="1">
        <v>454</v>
      </c>
      <c r="C712" s="1">
        <v>9650</v>
      </c>
      <c r="D712">
        <v>21.35</v>
      </c>
      <c r="E712">
        <v>21.35</v>
      </c>
      <c r="F712">
        <v>21.15</v>
      </c>
      <c r="G712">
        <v>21.15</v>
      </c>
      <c r="H712">
        <v>-0.1</v>
      </c>
      <c r="I712" s="1">
        <v>134</v>
      </c>
    </row>
    <row r="713" spans="1:9" x14ac:dyDescent="0.25">
      <c r="A713" t="s">
        <v>6483</v>
      </c>
      <c r="B713" s="1">
        <v>302</v>
      </c>
      <c r="C713" s="1">
        <v>6212</v>
      </c>
      <c r="D713">
        <v>21.15</v>
      </c>
      <c r="E713">
        <v>21.15</v>
      </c>
      <c r="F713">
        <v>20.100000000000001</v>
      </c>
      <c r="G713">
        <v>20.25</v>
      </c>
      <c r="H713">
        <v>-0.9</v>
      </c>
      <c r="I713" s="1">
        <v>185</v>
      </c>
    </row>
    <row r="714" spans="1:9" x14ac:dyDescent="0.25">
      <c r="A714" t="s">
        <v>6484</v>
      </c>
      <c r="B714" s="1">
        <v>870</v>
      </c>
      <c r="C714" s="1">
        <v>16963</v>
      </c>
      <c r="D714">
        <v>20</v>
      </c>
      <c r="E714">
        <v>20</v>
      </c>
      <c r="F714">
        <v>19</v>
      </c>
      <c r="G714">
        <v>19</v>
      </c>
      <c r="H714">
        <v>-1.25</v>
      </c>
      <c r="I714" s="1">
        <v>354</v>
      </c>
    </row>
    <row r="715" spans="1:9" x14ac:dyDescent="0.25">
      <c r="A715" t="s">
        <v>6485</v>
      </c>
      <c r="B715" s="1">
        <v>515</v>
      </c>
      <c r="C715" s="1">
        <v>9680</v>
      </c>
      <c r="D715">
        <v>18.5</v>
      </c>
      <c r="E715">
        <v>19.149999999999999</v>
      </c>
      <c r="F715">
        <v>18.5</v>
      </c>
      <c r="G715">
        <v>19</v>
      </c>
      <c r="H715">
        <v>0</v>
      </c>
      <c r="I715" s="1">
        <v>236</v>
      </c>
    </row>
    <row r="716" spans="1:9" x14ac:dyDescent="0.25">
      <c r="A716" t="s">
        <v>6486</v>
      </c>
      <c r="B716" s="1">
        <v>324</v>
      </c>
      <c r="C716" s="1">
        <v>6188</v>
      </c>
      <c r="D716">
        <v>19.100000000000001</v>
      </c>
      <c r="E716">
        <v>19.3</v>
      </c>
      <c r="F716">
        <v>18.95</v>
      </c>
      <c r="G716">
        <v>19.3</v>
      </c>
      <c r="H716">
        <v>0.3</v>
      </c>
      <c r="I716" s="1">
        <v>151</v>
      </c>
    </row>
    <row r="717" spans="1:9" x14ac:dyDescent="0.25">
      <c r="A717" t="s">
        <v>6487</v>
      </c>
      <c r="B717" s="1">
        <v>190</v>
      </c>
      <c r="C717" s="1">
        <v>3735</v>
      </c>
      <c r="D717">
        <v>19.3</v>
      </c>
      <c r="E717">
        <v>19.8</v>
      </c>
      <c r="F717">
        <v>19.3</v>
      </c>
      <c r="G717">
        <v>19.7</v>
      </c>
      <c r="H717">
        <v>0.4</v>
      </c>
      <c r="I717" s="1">
        <v>114</v>
      </c>
    </row>
    <row r="718" spans="1:9" x14ac:dyDescent="0.25">
      <c r="A718" t="s">
        <v>6488</v>
      </c>
      <c r="B718" s="1">
        <v>181</v>
      </c>
      <c r="C718" s="1">
        <v>3567</v>
      </c>
      <c r="D718">
        <v>19.7</v>
      </c>
      <c r="E718">
        <v>19.95</v>
      </c>
      <c r="F718">
        <v>19.5</v>
      </c>
      <c r="G718">
        <v>19.95</v>
      </c>
      <c r="H718">
        <v>0.25</v>
      </c>
      <c r="I718" s="1">
        <v>83</v>
      </c>
    </row>
    <row r="719" spans="1:9" x14ac:dyDescent="0.25">
      <c r="A719" t="s">
        <v>1177</v>
      </c>
      <c r="B719" s="1"/>
      <c r="C719" s="1"/>
      <c r="I719" s="1"/>
    </row>
    <row r="721" spans="1:9" x14ac:dyDescent="0.25">
      <c r="A721" s="9" t="s">
        <v>6446</v>
      </c>
      <c r="B721" s="1">
        <v>239</v>
      </c>
      <c r="C721" s="1">
        <v>5726</v>
      </c>
      <c r="D721">
        <v>23.9</v>
      </c>
      <c r="E721">
        <v>24.05</v>
      </c>
      <c r="F721">
        <v>23.8</v>
      </c>
      <c r="G721">
        <v>23.85</v>
      </c>
      <c r="H721">
        <v>-0.05</v>
      </c>
      <c r="I721" s="1">
        <v>111</v>
      </c>
    </row>
    <row r="722" spans="1:9" x14ac:dyDescent="0.25">
      <c r="A722" t="s">
        <v>6447</v>
      </c>
      <c r="B722" s="1">
        <v>214</v>
      </c>
      <c r="C722" s="1">
        <v>5115</v>
      </c>
      <c r="D722">
        <v>23.8</v>
      </c>
      <c r="E722">
        <v>24.05</v>
      </c>
      <c r="F722">
        <v>23.8</v>
      </c>
      <c r="G722">
        <v>23.8</v>
      </c>
      <c r="H722">
        <v>-0.05</v>
      </c>
      <c r="I722" s="1">
        <v>135</v>
      </c>
    </row>
    <row r="723" spans="1:9" x14ac:dyDescent="0.25">
      <c r="A723" t="s">
        <v>6448</v>
      </c>
      <c r="B723" s="1">
        <v>532</v>
      </c>
      <c r="C723" s="1">
        <v>12649</v>
      </c>
      <c r="D723">
        <v>23.8</v>
      </c>
      <c r="E723">
        <v>24</v>
      </c>
      <c r="F723">
        <v>23.7</v>
      </c>
      <c r="G723">
        <v>23.7</v>
      </c>
      <c r="H723">
        <v>-0.1</v>
      </c>
      <c r="I723" s="1">
        <v>273</v>
      </c>
    </row>
    <row r="724" spans="1:9" x14ac:dyDescent="0.25">
      <c r="A724" t="s">
        <v>6449</v>
      </c>
      <c r="B724" s="1">
        <v>678</v>
      </c>
      <c r="C724" s="1">
        <v>16074</v>
      </c>
      <c r="D724">
        <v>23.55</v>
      </c>
      <c r="E724">
        <v>24.1</v>
      </c>
      <c r="F724">
        <v>23.5</v>
      </c>
      <c r="G724">
        <v>23.8</v>
      </c>
      <c r="H724">
        <v>0.1</v>
      </c>
      <c r="I724" s="1">
        <v>283</v>
      </c>
    </row>
    <row r="725" spans="1:9" x14ac:dyDescent="0.25">
      <c r="A725" t="s">
        <v>6450</v>
      </c>
      <c r="B725" s="1">
        <v>684</v>
      </c>
      <c r="C725" s="1">
        <v>16012</v>
      </c>
      <c r="D725">
        <v>23.6</v>
      </c>
      <c r="E725">
        <v>23.7</v>
      </c>
      <c r="F725">
        <v>23.3</v>
      </c>
      <c r="G725">
        <v>23.35</v>
      </c>
      <c r="H725">
        <v>-0.45</v>
      </c>
      <c r="I725" s="1">
        <v>336</v>
      </c>
    </row>
    <row r="726" spans="1:9" x14ac:dyDescent="0.25">
      <c r="A726" t="s">
        <v>6451</v>
      </c>
      <c r="B726" s="1">
        <v>297</v>
      </c>
      <c r="C726" s="1">
        <v>7027</v>
      </c>
      <c r="D726">
        <v>23.5</v>
      </c>
      <c r="E726">
        <v>24</v>
      </c>
      <c r="F726">
        <v>23.4</v>
      </c>
      <c r="G726">
        <v>23.55</v>
      </c>
      <c r="H726">
        <v>0.2</v>
      </c>
      <c r="I726" s="1">
        <v>167</v>
      </c>
    </row>
    <row r="727" spans="1:9" x14ac:dyDescent="0.25">
      <c r="A727" t="s">
        <v>6452</v>
      </c>
      <c r="B727" s="1">
        <v>678</v>
      </c>
      <c r="C727" s="1">
        <v>15519</v>
      </c>
      <c r="D727">
        <v>23.65</v>
      </c>
      <c r="E727">
        <v>23.7</v>
      </c>
      <c r="F727">
        <v>22.5</v>
      </c>
      <c r="G727">
        <v>22.5</v>
      </c>
      <c r="H727">
        <v>-1.05</v>
      </c>
      <c r="I727" s="1">
        <v>338</v>
      </c>
    </row>
    <row r="728" spans="1:9" x14ac:dyDescent="0.25">
      <c r="A728" t="s">
        <v>6453</v>
      </c>
      <c r="B728" s="1">
        <v>340</v>
      </c>
      <c r="C728" s="1">
        <v>7785</v>
      </c>
      <c r="D728">
        <v>22.5</v>
      </c>
      <c r="E728">
        <v>23.1</v>
      </c>
      <c r="F728">
        <v>22.5</v>
      </c>
      <c r="G728">
        <v>22.85</v>
      </c>
      <c r="H728">
        <v>0.35</v>
      </c>
      <c r="I728" s="1">
        <v>208</v>
      </c>
    </row>
    <row r="729" spans="1:9" x14ac:dyDescent="0.25">
      <c r="A729" t="s">
        <v>6454</v>
      </c>
      <c r="B729" s="1">
        <v>222</v>
      </c>
      <c r="C729" s="1">
        <v>5047</v>
      </c>
      <c r="D729">
        <v>23.1</v>
      </c>
      <c r="E729">
        <v>23.1</v>
      </c>
      <c r="F729">
        <v>22.65</v>
      </c>
      <c r="G729">
        <v>22.65</v>
      </c>
      <c r="H729">
        <v>-0.2</v>
      </c>
      <c r="I729" s="1">
        <v>121</v>
      </c>
    </row>
    <row r="730" spans="1:9" x14ac:dyDescent="0.25">
      <c r="A730" t="s">
        <v>6455</v>
      </c>
      <c r="B730" s="1">
        <v>323</v>
      </c>
      <c r="C730" s="1">
        <v>7322</v>
      </c>
      <c r="D730">
        <v>22.8</v>
      </c>
      <c r="E730">
        <v>22.8</v>
      </c>
      <c r="F730">
        <v>22.6</v>
      </c>
      <c r="G730">
        <v>22.75</v>
      </c>
      <c r="H730">
        <v>0.1</v>
      </c>
      <c r="I730" s="1">
        <v>134</v>
      </c>
    </row>
    <row r="731" spans="1:9" x14ac:dyDescent="0.25">
      <c r="A731" t="s">
        <v>6456</v>
      </c>
      <c r="B731" s="1">
        <v>280</v>
      </c>
      <c r="C731" s="1">
        <v>6384</v>
      </c>
      <c r="D731">
        <v>22.5</v>
      </c>
      <c r="E731">
        <v>22.95</v>
      </c>
      <c r="F731">
        <v>22.5</v>
      </c>
      <c r="G731">
        <v>22.7</v>
      </c>
      <c r="H731">
        <v>-0.05</v>
      </c>
      <c r="I731" s="1">
        <v>146</v>
      </c>
    </row>
    <row r="732" spans="1:9" x14ac:dyDescent="0.25">
      <c r="A732" t="s">
        <v>6457</v>
      </c>
      <c r="B732" s="1">
        <v>279</v>
      </c>
      <c r="C732" s="1">
        <v>6291</v>
      </c>
      <c r="D732">
        <v>22.7</v>
      </c>
      <c r="E732">
        <v>22.85</v>
      </c>
      <c r="F732">
        <v>22.35</v>
      </c>
      <c r="G732">
        <v>22.8</v>
      </c>
      <c r="H732">
        <v>0.1</v>
      </c>
      <c r="I732" s="1">
        <v>155</v>
      </c>
    </row>
    <row r="733" spans="1:9" x14ac:dyDescent="0.25">
      <c r="A733" t="s">
        <v>6458</v>
      </c>
      <c r="B733" s="1">
        <v>715</v>
      </c>
      <c r="C733" s="1">
        <v>16068</v>
      </c>
      <c r="D733">
        <v>22.75</v>
      </c>
      <c r="E733">
        <v>22.85</v>
      </c>
      <c r="F733">
        <v>22.35</v>
      </c>
      <c r="G733">
        <v>22.85</v>
      </c>
      <c r="H733">
        <v>0.05</v>
      </c>
      <c r="I733" s="1">
        <v>315</v>
      </c>
    </row>
    <row r="734" spans="1:9" x14ac:dyDescent="0.25">
      <c r="A734" t="s">
        <v>6459</v>
      </c>
      <c r="B734" s="1">
        <v>1052</v>
      </c>
      <c r="C734" s="1">
        <v>23875</v>
      </c>
      <c r="D734">
        <v>22.85</v>
      </c>
      <c r="E734">
        <v>23.1</v>
      </c>
      <c r="F734">
        <v>22.45</v>
      </c>
      <c r="G734">
        <v>22.9</v>
      </c>
      <c r="H734">
        <v>0.05</v>
      </c>
      <c r="I734" s="1">
        <v>396</v>
      </c>
    </row>
    <row r="735" spans="1:9" x14ac:dyDescent="0.25">
      <c r="A735" t="s">
        <v>6460</v>
      </c>
      <c r="B735" s="1">
        <v>480</v>
      </c>
      <c r="C735" s="1">
        <v>11058</v>
      </c>
      <c r="D735">
        <v>22.95</v>
      </c>
      <c r="E735">
        <v>23.65</v>
      </c>
      <c r="F735">
        <v>22.75</v>
      </c>
      <c r="G735">
        <v>22.8</v>
      </c>
      <c r="H735">
        <v>-0.1</v>
      </c>
      <c r="I735" s="1">
        <v>268</v>
      </c>
    </row>
    <row r="736" spans="1:9" x14ac:dyDescent="0.25">
      <c r="A736" t="s">
        <v>6461</v>
      </c>
      <c r="B736" s="1">
        <v>225</v>
      </c>
      <c r="C736" s="1">
        <v>5174</v>
      </c>
      <c r="D736">
        <v>23.1</v>
      </c>
      <c r="E736">
        <v>23.1</v>
      </c>
      <c r="F736">
        <v>22.85</v>
      </c>
      <c r="G736">
        <v>23.05</v>
      </c>
      <c r="H736">
        <v>0.25</v>
      </c>
      <c r="I736" s="1">
        <v>163</v>
      </c>
    </row>
    <row r="737" spans="1:9" x14ac:dyDescent="0.25">
      <c r="A737" t="s">
        <v>6462</v>
      </c>
      <c r="B737" s="1">
        <v>234</v>
      </c>
      <c r="C737" s="1">
        <v>5391</v>
      </c>
      <c r="D737">
        <v>23.15</v>
      </c>
      <c r="E737">
        <v>23.15</v>
      </c>
      <c r="F737">
        <v>23</v>
      </c>
      <c r="G737">
        <v>23</v>
      </c>
      <c r="H737">
        <v>-0.05</v>
      </c>
      <c r="I737" s="1">
        <v>146</v>
      </c>
    </row>
    <row r="738" spans="1:9" x14ac:dyDescent="0.25">
      <c r="A738" t="s">
        <v>6463</v>
      </c>
      <c r="B738" s="1">
        <v>582</v>
      </c>
      <c r="C738" s="1">
        <v>13367</v>
      </c>
      <c r="D738">
        <v>23</v>
      </c>
      <c r="E738">
        <v>23.2</v>
      </c>
      <c r="F738">
        <v>22.65</v>
      </c>
      <c r="G738">
        <v>23</v>
      </c>
      <c r="H738">
        <v>0</v>
      </c>
      <c r="I738" s="1">
        <v>292</v>
      </c>
    </row>
    <row r="739" spans="1:9" x14ac:dyDescent="0.25">
      <c r="A739" t="s">
        <v>6464</v>
      </c>
      <c r="B739" s="1">
        <v>1039</v>
      </c>
      <c r="C739" s="1">
        <v>24129</v>
      </c>
      <c r="D739">
        <v>22.8</v>
      </c>
      <c r="E739">
        <v>23.6</v>
      </c>
      <c r="F739">
        <v>22.8</v>
      </c>
      <c r="G739">
        <v>23.55</v>
      </c>
      <c r="H739">
        <v>0.55000000000000004</v>
      </c>
      <c r="I739" s="1">
        <v>500</v>
      </c>
    </row>
    <row r="740" spans="1:9" x14ac:dyDescent="0.25">
      <c r="A740" t="s">
        <v>6465</v>
      </c>
      <c r="B740" s="1">
        <v>424</v>
      </c>
      <c r="C740" s="1">
        <v>9808</v>
      </c>
      <c r="D740">
        <v>23.3</v>
      </c>
      <c r="E740">
        <v>23.3</v>
      </c>
      <c r="F740">
        <v>23</v>
      </c>
      <c r="G740">
        <v>23.05</v>
      </c>
      <c r="H740">
        <v>-0.5</v>
      </c>
      <c r="I740" s="1">
        <v>185</v>
      </c>
    </row>
    <row r="741" spans="1:9" x14ac:dyDescent="0.25">
      <c r="A741" t="s">
        <v>6466</v>
      </c>
      <c r="B741" s="1">
        <v>257</v>
      </c>
      <c r="C741" s="1">
        <v>5880</v>
      </c>
      <c r="D741">
        <v>22.8</v>
      </c>
      <c r="E741">
        <v>23.1</v>
      </c>
      <c r="F741">
        <v>22.65</v>
      </c>
      <c r="G741">
        <v>23.1</v>
      </c>
      <c r="H741">
        <v>0.05</v>
      </c>
      <c r="I741" s="1">
        <v>171</v>
      </c>
    </row>
    <row r="742" spans="1:9" x14ac:dyDescent="0.25">
      <c r="A742" t="s">
        <v>973</v>
      </c>
      <c r="B742" s="1"/>
      <c r="C742" s="1"/>
      <c r="I742" s="1"/>
    </row>
    <row r="745" spans="1:9" x14ac:dyDescent="0.25">
      <c r="A745" s="9" t="s">
        <v>6426</v>
      </c>
      <c r="B745" s="1">
        <v>3108</v>
      </c>
      <c r="C745" s="1">
        <v>81200</v>
      </c>
      <c r="D745">
        <v>26.7</v>
      </c>
      <c r="E745">
        <v>26.8</v>
      </c>
      <c r="F745">
        <v>25.85</v>
      </c>
      <c r="G745">
        <v>26</v>
      </c>
      <c r="H745">
        <v>-0.9</v>
      </c>
      <c r="I745" s="1">
        <v>1081</v>
      </c>
    </row>
    <row r="746" spans="1:9" x14ac:dyDescent="0.25">
      <c r="A746" t="s">
        <v>6427</v>
      </c>
      <c r="B746" s="1">
        <v>2982</v>
      </c>
      <c r="C746" s="1">
        <v>74500</v>
      </c>
      <c r="D746">
        <v>25.75</v>
      </c>
      <c r="E746">
        <v>25.75</v>
      </c>
      <c r="F746">
        <v>24.4</v>
      </c>
      <c r="G746">
        <v>24.45</v>
      </c>
      <c r="H746">
        <v>-1.55</v>
      </c>
      <c r="I746" s="1">
        <v>1227</v>
      </c>
    </row>
    <row r="747" spans="1:9" x14ac:dyDescent="0.25">
      <c r="A747" t="s">
        <v>6428</v>
      </c>
      <c r="B747" s="1">
        <v>1463</v>
      </c>
      <c r="C747" s="1">
        <v>35972</v>
      </c>
      <c r="D747">
        <v>24.05</v>
      </c>
      <c r="E747">
        <v>25.3</v>
      </c>
      <c r="F747">
        <v>23.8</v>
      </c>
      <c r="G747">
        <v>25.3</v>
      </c>
      <c r="H747">
        <v>0.85</v>
      </c>
      <c r="I747" s="1">
        <v>780</v>
      </c>
    </row>
    <row r="748" spans="1:9" x14ac:dyDescent="0.25">
      <c r="A748" t="s">
        <v>6429</v>
      </c>
      <c r="B748" s="1">
        <v>354</v>
      </c>
      <c r="C748" s="1">
        <v>8836</v>
      </c>
      <c r="D748">
        <v>25.15</v>
      </c>
      <c r="E748">
        <v>25.15</v>
      </c>
      <c r="F748">
        <v>24.85</v>
      </c>
      <c r="G748">
        <v>24.9</v>
      </c>
      <c r="H748">
        <v>-0.4</v>
      </c>
      <c r="I748" s="1">
        <v>260</v>
      </c>
    </row>
    <row r="749" spans="1:9" x14ac:dyDescent="0.25">
      <c r="A749" t="s">
        <v>6430</v>
      </c>
      <c r="B749" s="1">
        <v>315</v>
      </c>
      <c r="C749" s="1">
        <v>7798</v>
      </c>
      <c r="D749">
        <v>24.8</v>
      </c>
      <c r="E749">
        <v>25</v>
      </c>
      <c r="F749">
        <v>24.6</v>
      </c>
      <c r="G749">
        <v>24.6</v>
      </c>
      <c r="H749">
        <v>-0.3</v>
      </c>
      <c r="I749" s="1">
        <v>207</v>
      </c>
    </row>
    <row r="750" spans="1:9" x14ac:dyDescent="0.25">
      <c r="A750" t="s">
        <v>6431</v>
      </c>
      <c r="B750" s="1">
        <v>827</v>
      </c>
      <c r="C750" s="1">
        <v>20003</v>
      </c>
      <c r="D750">
        <v>24.9</v>
      </c>
      <c r="E750">
        <v>25</v>
      </c>
      <c r="F750">
        <v>24</v>
      </c>
      <c r="G750">
        <v>24</v>
      </c>
      <c r="H750">
        <v>-0.6</v>
      </c>
      <c r="I750" s="1">
        <v>416</v>
      </c>
    </row>
    <row r="751" spans="1:9" x14ac:dyDescent="0.25">
      <c r="A751" t="s">
        <v>6432</v>
      </c>
      <c r="B751" s="1">
        <v>354</v>
      </c>
      <c r="C751" s="1">
        <v>8572</v>
      </c>
      <c r="D751">
        <v>24.3</v>
      </c>
      <c r="E751">
        <v>24.3</v>
      </c>
      <c r="F751">
        <v>24</v>
      </c>
      <c r="G751">
        <v>24.3</v>
      </c>
      <c r="H751">
        <v>0.3</v>
      </c>
      <c r="I751" s="1">
        <v>248</v>
      </c>
    </row>
    <row r="752" spans="1:9" x14ac:dyDescent="0.25">
      <c r="A752" t="s">
        <v>6433</v>
      </c>
      <c r="B752" s="1">
        <v>557</v>
      </c>
      <c r="C752" s="1">
        <v>13599</v>
      </c>
      <c r="D752">
        <v>24.3</v>
      </c>
      <c r="E752">
        <v>24.65</v>
      </c>
      <c r="F752">
        <v>24.2</v>
      </c>
      <c r="G752">
        <v>24.5</v>
      </c>
      <c r="H752">
        <v>0.2</v>
      </c>
      <c r="I752" s="1">
        <v>273</v>
      </c>
    </row>
    <row r="753" spans="1:9" x14ac:dyDescent="0.25">
      <c r="A753" t="s">
        <v>6434</v>
      </c>
      <c r="B753" s="1">
        <v>653</v>
      </c>
      <c r="C753" s="1">
        <v>15991</v>
      </c>
      <c r="D753">
        <v>24.4</v>
      </c>
      <c r="E753">
        <v>24.75</v>
      </c>
      <c r="F753">
        <v>24.3</v>
      </c>
      <c r="G753">
        <v>24.75</v>
      </c>
      <c r="H753">
        <v>0.25</v>
      </c>
      <c r="I753" s="1">
        <v>289</v>
      </c>
    </row>
    <row r="754" spans="1:9" x14ac:dyDescent="0.25">
      <c r="A754" t="s">
        <v>6435</v>
      </c>
      <c r="B754" s="1">
        <v>331</v>
      </c>
      <c r="C754" s="1">
        <v>8147</v>
      </c>
      <c r="D754">
        <v>24.8</v>
      </c>
      <c r="E754">
        <v>24.8</v>
      </c>
      <c r="F754">
        <v>24.5</v>
      </c>
      <c r="G754">
        <v>24.5</v>
      </c>
      <c r="H754">
        <v>-0.25</v>
      </c>
      <c r="I754" s="1">
        <v>220</v>
      </c>
    </row>
    <row r="755" spans="1:9" x14ac:dyDescent="0.25">
      <c r="A755" t="s">
        <v>6436</v>
      </c>
      <c r="B755" s="1">
        <v>516</v>
      </c>
      <c r="C755" s="1">
        <v>12534</v>
      </c>
      <c r="D755">
        <v>24.5</v>
      </c>
      <c r="E755">
        <v>24.6</v>
      </c>
      <c r="F755">
        <v>24</v>
      </c>
      <c r="G755">
        <v>24.6</v>
      </c>
      <c r="H755">
        <v>0.1</v>
      </c>
      <c r="I755" s="1">
        <v>310</v>
      </c>
    </row>
    <row r="756" spans="1:9" x14ac:dyDescent="0.25">
      <c r="A756" t="s">
        <v>6437</v>
      </c>
      <c r="B756" s="1">
        <v>313</v>
      </c>
      <c r="C756" s="1">
        <v>7689</v>
      </c>
      <c r="D756">
        <v>24.6</v>
      </c>
      <c r="E756">
        <v>24.85</v>
      </c>
      <c r="F756">
        <v>24.45</v>
      </c>
      <c r="G756">
        <v>24.45</v>
      </c>
      <c r="H756">
        <v>-0.15</v>
      </c>
      <c r="I756" s="1">
        <v>243</v>
      </c>
    </row>
    <row r="757" spans="1:9" x14ac:dyDescent="0.25">
      <c r="A757" t="s">
        <v>6438</v>
      </c>
      <c r="B757" s="1">
        <v>206</v>
      </c>
      <c r="C757" s="1">
        <v>5021</v>
      </c>
      <c r="D757">
        <v>24.45</v>
      </c>
      <c r="E757">
        <v>24.55</v>
      </c>
      <c r="F757">
        <v>24.25</v>
      </c>
      <c r="G757">
        <v>24.4</v>
      </c>
      <c r="H757">
        <v>-0.05</v>
      </c>
      <c r="I757" s="1">
        <v>144</v>
      </c>
    </row>
    <row r="758" spans="1:9" x14ac:dyDescent="0.25">
      <c r="A758" t="s">
        <v>6439</v>
      </c>
      <c r="B758" s="1">
        <v>524</v>
      </c>
      <c r="C758" s="1">
        <v>12635</v>
      </c>
      <c r="D758">
        <v>24.2</v>
      </c>
      <c r="E758">
        <v>24.25</v>
      </c>
      <c r="F758">
        <v>23.9</v>
      </c>
      <c r="G758">
        <v>24.25</v>
      </c>
      <c r="H758">
        <v>-0.15</v>
      </c>
      <c r="I758" s="1">
        <v>255</v>
      </c>
    </row>
    <row r="759" spans="1:9" x14ac:dyDescent="0.25">
      <c r="A759" t="s">
        <v>6440</v>
      </c>
      <c r="B759" s="1">
        <v>346</v>
      </c>
      <c r="C759" s="1">
        <v>8416</v>
      </c>
      <c r="D759">
        <v>24.05</v>
      </c>
      <c r="E759">
        <v>24.55</v>
      </c>
      <c r="F759">
        <v>24.05</v>
      </c>
      <c r="G759">
        <v>24.35</v>
      </c>
      <c r="H759">
        <v>0.1</v>
      </c>
      <c r="I759" s="1">
        <v>187</v>
      </c>
    </row>
    <row r="760" spans="1:9" x14ac:dyDescent="0.25">
      <c r="A760" t="s">
        <v>6441</v>
      </c>
      <c r="B760" s="1">
        <v>348</v>
      </c>
      <c r="C760" s="1">
        <v>8395</v>
      </c>
      <c r="D760">
        <v>24.2</v>
      </c>
      <c r="E760">
        <v>24.5</v>
      </c>
      <c r="F760">
        <v>24.05</v>
      </c>
      <c r="G760">
        <v>24.05</v>
      </c>
      <c r="H760">
        <v>-0.3</v>
      </c>
      <c r="I760" s="1">
        <v>183</v>
      </c>
    </row>
    <row r="761" spans="1:9" x14ac:dyDescent="0.25">
      <c r="A761" t="s">
        <v>6442</v>
      </c>
      <c r="B761" s="1">
        <v>501</v>
      </c>
      <c r="C761" s="1">
        <v>11999</v>
      </c>
      <c r="D761">
        <v>24.2</v>
      </c>
      <c r="E761">
        <v>24.2</v>
      </c>
      <c r="F761">
        <v>23.85</v>
      </c>
      <c r="G761">
        <v>24</v>
      </c>
      <c r="H761">
        <v>-0.05</v>
      </c>
      <c r="I761" s="1">
        <v>243</v>
      </c>
    </row>
    <row r="762" spans="1:9" x14ac:dyDescent="0.25">
      <c r="A762" t="s">
        <v>6443</v>
      </c>
      <c r="B762" s="1">
        <v>394</v>
      </c>
      <c r="C762" s="1">
        <v>9408</v>
      </c>
      <c r="D762">
        <v>23.9</v>
      </c>
      <c r="E762">
        <v>23.95</v>
      </c>
      <c r="F762">
        <v>23.85</v>
      </c>
      <c r="G762">
        <v>23.85</v>
      </c>
      <c r="H762">
        <v>-0.15</v>
      </c>
      <c r="I762" s="1">
        <v>196</v>
      </c>
    </row>
    <row r="763" spans="1:9" x14ac:dyDescent="0.25">
      <c r="A763" t="s">
        <v>6444</v>
      </c>
      <c r="B763" s="1">
        <v>548</v>
      </c>
      <c r="C763" s="1">
        <v>13116</v>
      </c>
      <c r="D763">
        <v>23.9</v>
      </c>
      <c r="E763">
        <v>24.15</v>
      </c>
      <c r="F763">
        <v>23.8</v>
      </c>
      <c r="G763">
        <v>24.15</v>
      </c>
      <c r="H763">
        <v>0.3</v>
      </c>
      <c r="I763" s="1">
        <v>269</v>
      </c>
    </row>
    <row r="764" spans="1:9" x14ac:dyDescent="0.25">
      <c r="A764" t="s">
        <v>6445</v>
      </c>
      <c r="B764" s="1">
        <v>421</v>
      </c>
      <c r="C764" s="1">
        <v>10125</v>
      </c>
      <c r="D764">
        <v>24.15</v>
      </c>
      <c r="E764">
        <v>24.3</v>
      </c>
      <c r="F764">
        <v>23.9</v>
      </c>
      <c r="G764">
        <v>23.9</v>
      </c>
      <c r="H764">
        <v>-0.25</v>
      </c>
      <c r="I764" s="1">
        <v>254</v>
      </c>
    </row>
    <row r="765" spans="1:9" x14ac:dyDescent="0.25">
      <c r="A765" t="s">
        <v>927</v>
      </c>
      <c r="B765" s="1"/>
      <c r="C765" s="1"/>
      <c r="I765" s="1"/>
    </row>
    <row r="769" spans="1:9" x14ac:dyDescent="0.25">
      <c r="A769" s="9" t="s">
        <v>7645</v>
      </c>
      <c r="B769" s="1">
        <v>631</v>
      </c>
      <c r="C769" s="1">
        <v>16480</v>
      </c>
      <c r="D769">
        <v>26.35</v>
      </c>
      <c r="E769">
        <v>26.65</v>
      </c>
      <c r="F769">
        <v>25.85</v>
      </c>
      <c r="G769">
        <v>25.95</v>
      </c>
      <c r="H769">
        <v>-0.5</v>
      </c>
      <c r="I769" s="1">
        <v>476</v>
      </c>
    </row>
    <row r="770" spans="1:9" x14ac:dyDescent="0.25">
      <c r="A770" t="s">
        <v>7646</v>
      </c>
      <c r="B770" s="1">
        <v>500</v>
      </c>
      <c r="C770" s="1">
        <v>13007</v>
      </c>
      <c r="D770">
        <v>25.95</v>
      </c>
      <c r="E770">
        <v>26.3</v>
      </c>
      <c r="F770">
        <v>25.9</v>
      </c>
      <c r="G770">
        <v>25.95</v>
      </c>
      <c r="H770">
        <v>0</v>
      </c>
      <c r="I770" s="1">
        <v>382</v>
      </c>
    </row>
    <row r="771" spans="1:9" x14ac:dyDescent="0.25">
      <c r="A771" t="s">
        <v>7647</v>
      </c>
      <c r="B771" s="1">
        <v>491</v>
      </c>
      <c r="C771" s="1">
        <v>12814</v>
      </c>
      <c r="D771">
        <v>26.25</v>
      </c>
      <c r="E771">
        <v>26.25</v>
      </c>
      <c r="F771">
        <v>25.95</v>
      </c>
      <c r="G771">
        <v>26.25</v>
      </c>
      <c r="H771">
        <v>0.3</v>
      </c>
      <c r="I771" s="1">
        <v>437</v>
      </c>
    </row>
    <row r="772" spans="1:9" x14ac:dyDescent="0.25">
      <c r="A772" t="s">
        <v>7648</v>
      </c>
      <c r="B772" s="1">
        <v>1246</v>
      </c>
      <c r="C772" s="1">
        <v>33202</v>
      </c>
      <c r="D772">
        <v>26.25</v>
      </c>
      <c r="E772">
        <v>27.1</v>
      </c>
      <c r="F772">
        <v>26.2</v>
      </c>
      <c r="G772">
        <v>27.05</v>
      </c>
      <c r="H772">
        <v>0.8</v>
      </c>
      <c r="I772" s="1">
        <v>722</v>
      </c>
    </row>
    <row r="773" spans="1:9" x14ac:dyDescent="0.25">
      <c r="A773" t="s">
        <v>7649</v>
      </c>
      <c r="B773" s="1">
        <v>1191</v>
      </c>
      <c r="C773" s="1">
        <v>32138</v>
      </c>
      <c r="D773">
        <v>27.05</v>
      </c>
      <c r="E773">
        <v>27.25</v>
      </c>
      <c r="F773">
        <v>26.75</v>
      </c>
      <c r="G773">
        <v>26.9</v>
      </c>
      <c r="H773">
        <v>-0.15</v>
      </c>
      <c r="I773" s="1">
        <v>631</v>
      </c>
    </row>
    <row r="774" spans="1:9" x14ac:dyDescent="0.25">
      <c r="A774" t="s">
        <v>6409</v>
      </c>
      <c r="B774" s="1">
        <v>1626</v>
      </c>
      <c r="C774" s="1">
        <v>43877</v>
      </c>
      <c r="D774">
        <v>27.4</v>
      </c>
      <c r="E774">
        <v>27.5</v>
      </c>
      <c r="F774">
        <v>26.55</v>
      </c>
      <c r="G774">
        <v>26.55</v>
      </c>
      <c r="H774">
        <v>-0.35</v>
      </c>
      <c r="I774" s="1">
        <v>674</v>
      </c>
    </row>
    <row r="775" spans="1:9" x14ac:dyDescent="0.25">
      <c r="A775" t="s">
        <v>6410</v>
      </c>
      <c r="B775" s="1">
        <v>683</v>
      </c>
      <c r="C775" s="1">
        <v>18174</v>
      </c>
      <c r="D775">
        <v>26.8</v>
      </c>
      <c r="E775">
        <v>26.85</v>
      </c>
      <c r="F775">
        <v>26.45</v>
      </c>
      <c r="G775">
        <v>26.65</v>
      </c>
      <c r="H775">
        <v>0.1</v>
      </c>
      <c r="I775" s="1">
        <v>338</v>
      </c>
    </row>
    <row r="776" spans="1:9" x14ac:dyDescent="0.25">
      <c r="A776" t="s">
        <v>6411</v>
      </c>
      <c r="B776" s="1">
        <v>1196</v>
      </c>
      <c r="C776" s="1">
        <v>32199</v>
      </c>
      <c r="D776">
        <v>26.5</v>
      </c>
      <c r="E776">
        <v>27.15</v>
      </c>
      <c r="F776">
        <v>26.5</v>
      </c>
      <c r="G776">
        <v>27.05</v>
      </c>
      <c r="H776">
        <v>0.4</v>
      </c>
      <c r="I776" s="1">
        <v>506</v>
      </c>
    </row>
    <row r="777" spans="1:9" x14ac:dyDescent="0.25">
      <c r="A777" t="s">
        <v>6412</v>
      </c>
      <c r="B777" s="1">
        <v>1040</v>
      </c>
      <c r="C777" s="1">
        <v>27976</v>
      </c>
      <c r="D777">
        <v>27.25</v>
      </c>
      <c r="E777">
        <v>27.3</v>
      </c>
      <c r="F777">
        <v>26.65</v>
      </c>
      <c r="G777">
        <v>26.8</v>
      </c>
      <c r="H777">
        <v>-0.25</v>
      </c>
      <c r="I777" s="1">
        <v>423</v>
      </c>
    </row>
    <row r="778" spans="1:9" x14ac:dyDescent="0.25">
      <c r="A778" t="s">
        <v>6413</v>
      </c>
      <c r="B778" s="1">
        <v>526</v>
      </c>
      <c r="C778" s="1">
        <v>14093</v>
      </c>
      <c r="D778">
        <v>26.8</v>
      </c>
      <c r="E778">
        <v>26.95</v>
      </c>
      <c r="F778">
        <v>26.65</v>
      </c>
      <c r="G778">
        <v>26.85</v>
      </c>
      <c r="H778">
        <v>0.05</v>
      </c>
      <c r="I778" s="1">
        <v>249</v>
      </c>
    </row>
    <row r="779" spans="1:9" x14ac:dyDescent="0.25">
      <c r="A779" t="s">
        <v>6414</v>
      </c>
      <c r="B779" s="1">
        <v>2428</v>
      </c>
      <c r="C779" s="1">
        <v>66162</v>
      </c>
      <c r="D779">
        <v>26.85</v>
      </c>
      <c r="E779">
        <v>27.45</v>
      </c>
      <c r="F779">
        <v>26.85</v>
      </c>
      <c r="G779">
        <v>27.2</v>
      </c>
      <c r="H779">
        <v>0.35</v>
      </c>
      <c r="I779" s="1">
        <v>1020</v>
      </c>
    </row>
    <row r="780" spans="1:9" x14ac:dyDescent="0.25">
      <c r="A780" t="s">
        <v>6415</v>
      </c>
      <c r="B780" s="1">
        <v>864</v>
      </c>
      <c r="C780" s="1">
        <v>23476</v>
      </c>
      <c r="D780">
        <v>27.5</v>
      </c>
      <c r="E780">
        <v>27.5</v>
      </c>
      <c r="F780">
        <v>26.9</v>
      </c>
      <c r="G780">
        <v>27.05</v>
      </c>
      <c r="H780">
        <v>-0.15</v>
      </c>
      <c r="I780" s="1">
        <v>498</v>
      </c>
    </row>
    <row r="781" spans="1:9" x14ac:dyDescent="0.25">
      <c r="A781" t="s">
        <v>6416</v>
      </c>
      <c r="B781" s="1">
        <v>1241</v>
      </c>
      <c r="C781" s="1">
        <v>32987</v>
      </c>
      <c r="D781">
        <v>27.3</v>
      </c>
      <c r="E781">
        <v>27.3</v>
      </c>
      <c r="F781">
        <v>26.35</v>
      </c>
      <c r="G781">
        <v>26.35</v>
      </c>
      <c r="H781">
        <v>-0.7</v>
      </c>
      <c r="I781" s="1">
        <v>633</v>
      </c>
    </row>
    <row r="782" spans="1:9" x14ac:dyDescent="0.25">
      <c r="A782" t="s">
        <v>6417</v>
      </c>
      <c r="B782" s="1">
        <v>1109</v>
      </c>
      <c r="C782" s="1">
        <v>29109</v>
      </c>
      <c r="D782">
        <v>26.4</v>
      </c>
      <c r="E782">
        <v>26.6</v>
      </c>
      <c r="F782">
        <v>25.95</v>
      </c>
      <c r="G782">
        <v>26.45</v>
      </c>
      <c r="H782">
        <v>0.1</v>
      </c>
      <c r="I782" s="1">
        <v>455</v>
      </c>
    </row>
    <row r="783" spans="1:9" x14ac:dyDescent="0.25">
      <c r="A783" t="s">
        <v>6418</v>
      </c>
      <c r="B783" s="1">
        <v>497</v>
      </c>
      <c r="C783" s="1">
        <v>13167</v>
      </c>
      <c r="D783">
        <v>26.45</v>
      </c>
      <c r="E783">
        <v>26.65</v>
      </c>
      <c r="F783">
        <v>26.35</v>
      </c>
      <c r="G783">
        <v>26.4</v>
      </c>
      <c r="H783">
        <v>-0.05</v>
      </c>
      <c r="I783" s="1">
        <v>271</v>
      </c>
    </row>
    <row r="784" spans="1:9" x14ac:dyDescent="0.25">
      <c r="A784" t="s">
        <v>6419</v>
      </c>
      <c r="B784" s="1">
        <v>804</v>
      </c>
      <c r="C784" s="1">
        <v>21403</v>
      </c>
      <c r="D784">
        <v>26.45</v>
      </c>
      <c r="E784">
        <v>26.85</v>
      </c>
      <c r="F784">
        <v>26.45</v>
      </c>
      <c r="G784">
        <v>26.55</v>
      </c>
      <c r="H784">
        <v>0.15</v>
      </c>
      <c r="I784" s="1">
        <v>330</v>
      </c>
    </row>
    <row r="785" spans="1:9" x14ac:dyDescent="0.25">
      <c r="A785" t="s">
        <v>6420</v>
      </c>
      <c r="B785" s="1">
        <v>995</v>
      </c>
      <c r="C785" s="1">
        <v>26626</v>
      </c>
      <c r="D785">
        <v>26.6</v>
      </c>
      <c r="E785">
        <v>26.9</v>
      </c>
      <c r="F785">
        <v>26.55</v>
      </c>
      <c r="G785">
        <v>26.85</v>
      </c>
      <c r="H785">
        <v>0.3</v>
      </c>
      <c r="I785" s="1">
        <v>416</v>
      </c>
    </row>
    <row r="786" spans="1:9" x14ac:dyDescent="0.25">
      <c r="A786" t="s">
        <v>6421</v>
      </c>
      <c r="B786" s="1">
        <v>1943</v>
      </c>
      <c r="C786" s="1">
        <v>52675</v>
      </c>
      <c r="D786">
        <v>27</v>
      </c>
      <c r="E786">
        <v>27.35</v>
      </c>
      <c r="F786">
        <v>26.8</v>
      </c>
      <c r="G786">
        <v>26.9</v>
      </c>
      <c r="H786">
        <v>0.05</v>
      </c>
      <c r="I786" s="1">
        <v>785</v>
      </c>
    </row>
    <row r="787" spans="1:9" x14ac:dyDescent="0.25">
      <c r="A787" t="s">
        <v>6422</v>
      </c>
      <c r="B787" s="1">
        <v>1000</v>
      </c>
      <c r="C787" s="1">
        <v>26942</v>
      </c>
      <c r="D787">
        <v>27</v>
      </c>
      <c r="E787">
        <v>27.15</v>
      </c>
      <c r="F787">
        <v>26.65</v>
      </c>
      <c r="G787">
        <v>27.1</v>
      </c>
      <c r="H787">
        <v>0.2</v>
      </c>
      <c r="I787" s="1">
        <v>482</v>
      </c>
    </row>
    <row r="788" spans="1:9" x14ac:dyDescent="0.25">
      <c r="A788" t="s">
        <v>6423</v>
      </c>
      <c r="B788" s="1">
        <v>471</v>
      </c>
      <c r="C788" s="1">
        <v>12699</v>
      </c>
      <c r="D788">
        <v>27.1</v>
      </c>
      <c r="E788">
        <v>27.2</v>
      </c>
      <c r="F788">
        <v>26.9</v>
      </c>
      <c r="G788">
        <v>26.9</v>
      </c>
      <c r="H788">
        <v>-0.2</v>
      </c>
      <c r="I788" s="1">
        <v>288</v>
      </c>
    </row>
    <row r="789" spans="1:9" x14ac:dyDescent="0.25">
      <c r="A789" t="s">
        <v>927</v>
      </c>
      <c r="B789" s="1"/>
      <c r="C789" s="1"/>
      <c r="I789" s="1"/>
    </row>
    <row r="793" spans="1:9" x14ac:dyDescent="0.25">
      <c r="A793" s="9" t="s">
        <v>7623</v>
      </c>
      <c r="B793" s="1">
        <v>350</v>
      </c>
      <c r="C793" s="1">
        <v>9061</v>
      </c>
      <c r="D793">
        <v>26</v>
      </c>
      <c r="E793">
        <v>26</v>
      </c>
      <c r="F793">
        <v>25.75</v>
      </c>
      <c r="G793">
        <v>25.9</v>
      </c>
      <c r="H793">
        <v>0.05</v>
      </c>
      <c r="I793" s="1">
        <v>227</v>
      </c>
    </row>
    <row r="794" spans="1:9" x14ac:dyDescent="0.25">
      <c r="A794" t="s">
        <v>7624</v>
      </c>
      <c r="B794" s="1">
        <v>396</v>
      </c>
      <c r="C794" s="1">
        <v>10233</v>
      </c>
      <c r="D794">
        <v>25.9</v>
      </c>
      <c r="E794">
        <v>26</v>
      </c>
      <c r="F794">
        <v>25.75</v>
      </c>
      <c r="G794">
        <v>25.95</v>
      </c>
      <c r="H794">
        <v>0.05</v>
      </c>
      <c r="I794" s="1">
        <v>202</v>
      </c>
    </row>
    <row r="795" spans="1:9" x14ac:dyDescent="0.25">
      <c r="A795" t="s">
        <v>7625</v>
      </c>
      <c r="B795" s="1">
        <v>727</v>
      </c>
      <c r="C795" s="1">
        <v>18950</v>
      </c>
      <c r="D795">
        <v>26</v>
      </c>
      <c r="E795">
        <v>26.2</v>
      </c>
      <c r="F795">
        <v>25.9</v>
      </c>
      <c r="G795">
        <v>26.2</v>
      </c>
      <c r="H795">
        <v>0.25</v>
      </c>
      <c r="I795" s="1">
        <v>411</v>
      </c>
    </row>
    <row r="796" spans="1:9" x14ac:dyDescent="0.25">
      <c r="A796" t="s">
        <v>7626</v>
      </c>
      <c r="B796" s="1">
        <v>855</v>
      </c>
      <c r="C796" s="1">
        <v>22523</v>
      </c>
      <c r="D796">
        <v>26.3</v>
      </c>
      <c r="E796">
        <v>26.5</v>
      </c>
      <c r="F796">
        <v>26.15</v>
      </c>
      <c r="G796">
        <v>26.25</v>
      </c>
      <c r="H796">
        <v>0.05</v>
      </c>
      <c r="I796" s="1">
        <v>447</v>
      </c>
    </row>
    <row r="797" spans="1:9" x14ac:dyDescent="0.25">
      <c r="A797" t="s">
        <v>7627</v>
      </c>
      <c r="B797" s="1">
        <v>423</v>
      </c>
      <c r="C797" s="1">
        <v>11140</v>
      </c>
      <c r="D797">
        <v>26.4</v>
      </c>
      <c r="E797">
        <v>26.4</v>
      </c>
      <c r="F797">
        <v>26.25</v>
      </c>
      <c r="G797">
        <v>26.35</v>
      </c>
      <c r="H797">
        <v>0.1</v>
      </c>
      <c r="I797" s="1">
        <v>233</v>
      </c>
    </row>
    <row r="798" spans="1:9" x14ac:dyDescent="0.25">
      <c r="A798" t="s">
        <v>7628</v>
      </c>
      <c r="B798" s="1">
        <v>782</v>
      </c>
      <c r="C798" s="1">
        <v>20662</v>
      </c>
      <c r="D798">
        <v>26.35</v>
      </c>
      <c r="E798">
        <v>26.6</v>
      </c>
      <c r="F798">
        <v>26.1</v>
      </c>
      <c r="G798">
        <v>26.6</v>
      </c>
      <c r="H798">
        <v>0.25</v>
      </c>
      <c r="I798" s="1">
        <v>393</v>
      </c>
    </row>
    <row r="799" spans="1:9" x14ac:dyDescent="0.25">
      <c r="A799" t="s">
        <v>7629</v>
      </c>
      <c r="B799" s="1">
        <v>5077</v>
      </c>
      <c r="C799" s="1">
        <v>139369</v>
      </c>
      <c r="D799">
        <v>26.95</v>
      </c>
      <c r="E799">
        <v>27.9</v>
      </c>
      <c r="F799">
        <v>26.9</v>
      </c>
      <c r="G799">
        <v>27.4</v>
      </c>
      <c r="H799">
        <v>0.8</v>
      </c>
      <c r="I799" s="1">
        <v>2152</v>
      </c>
    </row>
    <row r="800" spans="1:9" x14ac:dyDescent="0.25">
      <c r="A800" t="s">
        <v>7630</v>
      </c>
      <c r="B800" s="1">
        <v>3588</v>
      </c>
      <c r="C800" s="1">
        <v>97876</v>
      </c>
      <c r="D800">
        <v>27.3</v>
      </c>
      <c r="E800">
        <v>27.75</v>
      </c>
      <c r="F800">
        <v>26.75</v>
      </c>
      <c r="G800">
        <v>27.75</v>
      </c>
      <c r="H800">
        <v>0.35</v>
      </c>
      <c r="I800" s="1">
        <v>1503</v>
      </c>
    </row>
    <row r="801" spans="1:9" x14ac:dyDescent="0.25">
      <c r="A801" t="s">
        <v>7631</v>
      </c>
      <c r="B801" s="1">
        <v>2454</v>
      </c>
      <c r="C801" s="1">
        <v>67545</v>
      </c>
      <c r="D801">
        <v>27.7</v>
      </c>
      <c r="E801">
        <v>27.75</v>
      </c>
      <c r="F801">
        <v>27.2</v>
      </c>
      <c r="G801">
        <v>27.4</v>
      </c>
      <c r="H801">
        <v>-0.35</v>
      </c>
      <c r="I801" s="1">
        <v>958</v>
      </c>
    </row>
    <row r="802" spans="1:9" x14ac:dyDescent="0.25">
      <c r="A802" t="s">
        <v>7632</v>
      </c>
      <c r="B802" s="1">
        <v>1738</v>
      </c>
      <c r="C802" s="1">
        <v>47269</v>
      </c>
      <c r="D802">
        <v>27.5</v>
      </c>
      <c r="E802">
        <v>27.7</v>
      </c>
      <c r="F802">
        <v>27</v>
      </c>
      <c r="G802">
        <v>27.05</v>
      </c>
      <c r="H802">
        <v>-0.35</v>
      </c>
      <c r="I802" s="1">
        <v>749</v>
      </c>
    </row>
    <row r="803" spans="1:9" x14ac:dyDescent="0.25">
      <c r="A803" t="s">
        <v>7633</v>
      </c>
      <c r="B803" s="1">
        <v>1220</v>
      </c>
      <c r="C803" s="1">
        <v>32854</v>
      </c>
      <c r="D803">
        <v>27.05</v>
      </c>
      <c r="E803">
        <v>27.25</v>
      </c>
      <c r="F803">
        <v>26.8</v>
      </c>
      <c r="G803">
        <v>26.8</v>
      </c>
      <c r="H803">
        <v>-0.25</v>
      </c>
      <c r="I803" s="1">
        <v>534</v>
      </c>
    </row>
    <row r="804" spans="1:9" x14ac:dyDescent="0.25">
      <c r="A804" t="s">
        <v>7634</v>
      </c>
      <c r="B804" s="1">
        <v>848</v>
      </c>
      <c r="C804" s="1">
        <v>22761</v>
      </c>
      <c r="D804">
        <v>27</v>
      </c>
      <c r="E804">
        <v>27.2</v>
      </c>
      <c r="F804">
        <v>26.7</v>
      </c>
      <c r="G804">
        <v>26.7</v>
      </c>
      <c r="H804">
        <v>-0.1</v>
      </c>
      <c r="I804" s="1">
        <v>415</v>
      </c>
    </row>
    <row r="805" spans="1:9" x14ac:dyDescent="0.25">
      <c r="A805" t="s">
        <v>7635</v>
      </c>
      <c r="B805" s="1">
        <v>581</v>
      </c>
      <c r="C805" s="1">
        <v>15567</v>
      </c>
      <c r="D805">
        <v>26.7</v>
      </c>
      <c r="E805">
        <v>26.85</v>
      </c>
      <c r="F805">
        <v>26.7</v>
      </c>
      <c r="G805">
        <v>26.8</v>
      </c>
      <c r="H805">
        <v>0.1</v>
      </c>
      <c r="I805" s="1">
        <v>297</v>
      </c>
    </row>
    <row r="806" spans="1:9" x14ac:dyDescent="0.25">
      <c r="A806" t="s">
        <v>7636</v>
      </c>
      <c r="B806" s="1">
        <v>734</v>
      </c>
      <c r="C806" s="1">
        <v>19859</v>
      </c>
      <c r="D806">
        <v>26.95</v>
      </c>
      <c r="E806">
        <v>27.25</v>
      </c>
      <c r="F806">
        <v>26.9</v>
      </c>
      <c r="G806">
        <v>27.15</v>
      </c>
      <c r="H806">
        <v>0.35</v>
      </c>
      <c r="I806" s="1">
        <v>384</v>
      </c>
    </row>
    <row r="807" spans="1:9" x14ac:dyDescent="0.25">
      <c r="A807" t="s">
        <v>7637</v>
      </c>
      <c r="B807" s="1">
        <v>959</v>
      </c>
      <c r="C807" s="1">
        <v>25938</v>
      </c>
      <c r="D807">
        <v>27.15</v>
      </c>
      <c r="E807">
        <v>27.2</v>
      </c>
      <c r="F807">
        <v>26.9</v>
      </c>
      <c r="G807">
        <v>27.2</v>
      </c>
      <c r="H807">
        <v>0.05</v>
      </c>
      <c r="I807" s="1">
        <v>451</v>
      </c>
    </row>
    <row r="808" spans="1:9" x14ac:dyDescent="0.25">
      <c r="A808" t="s">
        <v>7638</v>
      </c>
      <c r="B808" s="1">
        <v>1197</v>
      </c>
      <c r="C808" s="1">
        <v>32277</v>
      </c>
      <c r="D808">
        <v>27.2</v>
      </c>
      <c r="E808">
        <v>27.2</v>
      </c>
      <c r="F808">
        <v>26.85</v>
      </c>
      <c r="G808">
        <v>26.85</v>
      </c>
      <c r="H808">
        <v>-0.35</v>
      </c>
      <c r="I808" s="1">
        <v>415</v>
      </c>
    </row>
    <row r="809" spans="1:9" x14ac:dyDescent="0.25">
      <c r="A809" t="s">
        <v>7639</v>
      </c>
      <c r="B809" s="1">
        <v>639</v>
      </c>
      <c r="C809" s="1">
        <v>17109</v>
      </c>
      <c r="D809">
        <v>26.85</v>
      </c>
      <c r="E809">
        <v>27.15</v>
      </c>
      <c r="F809">
        <v>26.65</v>
      </c>
      <c r="G809">
        <v>26.7</v>
      </c>
      <c r="H809">
        <v>-0.15</v>
      </c>
      <c r="I809" s="1">
        <v>329</v>
      </c>
    </row>
    <row r="810" spans="1:9" x14ac:dyDescent="0.25">
      <c r="A810" t="s">
        <v>7640</v>
      </c>
      <c r="B810" s="1">
        <v>776</v>
      </c>
      <c r="C810" s="1">
        <v>20598</v>
      </c>
      <c r="D810">
        <v>26.7</v>
      </c>
      <c r="E810">
        <v>26.8</v>
      </c>
      <c r="F810">
        <v>26.35</v>
      </c>
      <c r="G810">
        <v>26.35</v>
      </c>
      <c r="H810">
        <v>-0.35</v>
      </c>
      <c r="I810" s="1">
        <v>499</v>
      </c>
    </row>
    <row r="811" spans="1:9" x14ac:dyDescent="0.25">
      <c r="A811" t="s">
        <v>7641</v>
      </c>
      <c r="B811" s="1">
        <v>579</v>
      </c>
      <c r="C811" s="1">
        <v>15199</v>
      </c>
      <c r="D811">
        <v>26.05</v>
      </c>
      <c r="E811">
        <v>26.55</v>
      </c>
      <c r="F811">
        <v>26.05</v>
      </c>
      <c r="G811">
        <v>26.55</v>
      </c>
      <c r="H811">
        <v>0.2</v>
      </c>
      <c r="I811" s="1">
        <v>369</v>
      </c>
    </row>
    <row r="812" spans="1:9" x14ac:dyDescent="0.25">
      <c r="A812" t="s">
        <v>7642</v>
      </c>
      <c r="B812" s="1">
        <v>382</v>
      </c>
      <c r="C812" s="1">
        <v>10112</v>
      </c>
      <c r="D812">
        <v>26.55</v>
      </c>
      <c r="E812">
        <v>26.8</v>
      </c>
      <c r="F812">
        <v>26.3</v>
      </c>
      <c r="G812">
        <v>26.35</v>
      </c>
      <c r="H812">
        <v>-0.2</v>
      </c>
      <c r="I812" s="1">
        <v>299</v>
      </c>
    </row>
    <row r="813" spans="1:9" x14ac:dyDescent="0.25">
      <c r="A813" t="s">
        <v>7643</v>
      </c>
      <c r="B813" s="1">
        <v>491</v>
      </c>
      <c r="C813" s="1">
        <v>12919</v>
      </c>
      <c r="D813">
        <v>26.35</v>
      </c>
      <c r="E813">
        <v>26.45</v>
      </c>
      <c r="F813">
        <v>26.2</v>
      </c>
      <c r="G813">
        <v>26.45</v>
      </c>
      <c r="H813">
        <v>0.1</v>
      </c>
      <c r="I813" s="1">
        <v>349</v>
      </c>
    </row>
    <row r="814" spans="1:9" x14ac:dyDescent="0.25">
      <c r="A814" t="s">
        <v>7644</v>
      </c>
      <c r="B814" s="1">
        <v>539</v>
      </c>
      <c r="C814" s="1">
        <v>14220</v>
      </c>
      <c r="D814">
        <v>26.65</v>
      </c>
      <c r="E814">
        <v>26.65</v>
      </c>
      <c r="F814">
        <v>26.25</v>
      </c>
      <c r="G814">
        <v>26.45</v>
      </c>
      <c r="H814">
        <v>0</v>
      </c>
      <c r="I814" s="1">
        <v>411</v>
      </c>
    </row>
    <row r="815" spans="1:9" x14ac:dyDescent="0.25">
      <c r="A815" t="s">
        <v>1177</v>
      </c>
      <c r="B815" s="1"/>
      <c r="C815" s="1"/>
      <c r="I815" s="1"/>
    </row>
    <row r="817" spans="1:9" x14ac:dyDescent="0.25">
      <c r="A817" s="9" t="s">
        <v>7610</v>
      </c>
      <c r="B817" s="1">
        <v>409</v>
      </c>
      <c r="C817" s="1">
        <v>10790</v>
      </c>
      <c r="D817">
        <v>26.4</v>
      </c>
      <c r="E817">
        <v>26.5</v>
      </c>
      <c r="F817">
        <v>26.3</v>
      </c>
      <c r="G817">
        <v>26.3</v>
      </c>
      <c r="H817">
        <v>-0.1</v>
      </c>
      <c r="I817" s="1">
        <v>205</v>
      </c>
    </row>
    <row r="818" spans="1:9" x14ac:dyDescent="0.25">
      <c r="A818" t="s">
        <v>7611</v>
      </c>
      <c r="B818" s="1">
        <v>1452</v>
      </c>
      <c r="C818" s="1">
        <v>38866</v>
      </c>
      <c r="D818">
        <v>26.65</v>
      </c>
      <c r="E818">
        <v>26.95</v>
      </c>
      <c r="F818">
        <v>26.6</v>
      </c>
      <c r="G818">
        <v>26.75</v>
      </c>
      <c r="H818">
        <v>0.45</v>
      </c>
      <c r="I818" s="1">
        <v>659</v>
      </c>
    </row>
    <row r="819" spans="1:9" x14ac:dyDescent="0.25">
      <c r="A819" t="s">
        <v>7612</v>
      </c>
      <c r="B819" s="1">
        <v>1005</v>
      </c>
      <c r="C819" s="1">
        <v>26833</v>
      </c>
      <c r="D819">
        <v>26.95</v>
      </c>
      <c r="E819">
        <v>27.05</v>
      </c>
      <c r="F819">
        <v>26.45</v>
      </c>
      <c r="G819">
        <v>26.45</v>
      </c>
      <c r="H819">
        <v>-0.3</v>
      </c>
      <c r="I819" s="1">
        <v>489</v>
      </c>
    </row>
    <row r="820" spans="1:9" x14ac:dyDescent="0.25">
      <c r="A820" t="s">
        <v>7613</v>
      </c>
      <c r="B820" s="1">
        <v>765</v>
      </c>
      <c r="C820" s="1">
        <v>20365</v>
      </c>
      <c r="D820">
        <v>26.45</v>
      </c>
      <c r="E820">
        <v>26.95</v>
      </c>
      <c r="F820">
        <v>26.4</v>
      </c>
      <c r="G820">
        <v>26.5</v>
      </c>
      <c r="H820">
        <v>0.05</v>
      </c>
      <c r="I820" s="1">
        <v>344</v>
      </c>
    </row>
    <row r="821" spans="1:9" x14ac:dyDescent="0.25">
      <c r="A821" t="s">
        <v>7614</v>
      </c>
      <c r="B821" s="1">
        <v>671</v>
      </c>
      <c r="C821" s="1">
        <v>17733</v>
      </c>
      <c r="D821">
        <v>26.5</v>
      </c>
      <c r="E821">
        <v>26.7</v>
      </c>
      <c r="F821">
        <v>26.3</v>
      </c>
      <c r="G821">
        <v>26.45</v>
      </c>
      <c r="H821">
        <v>-0.05</v>
      </c>
      <c r="I821" s="1">
        <v>297</v>
      </c>
    </row>
    <row r="822" spans="1:9" x14ac:dyDescent="0.25">
      <c r="A822" t="s">
        <v>7615</v>
      </c>
      <c r="B822" s="1">
        <v>1022</v>
      </c>
      <c r="C822" s="1">
        <v>26759</v>
      </c>
      <c r="D822">
        <v>26.45</v>
      </c>
      <c r="E822">
        <v>26.45</v>
      </c>
      <c r="F822">
        <v>26</v>
      </c>
      <c r="G822">
        <v>26.1</v>
      </c>
      <c r="H822">
        <v>-0.35</v>
      </c>
      <c r="I822" s="1">
        <v>361</v>
      </c>
    </row>
    <row r="823" spans="1:9" x14ac:dyDescent="0.25">
      <c r="A823" t="s">
        <v>7616</v>
      </c>
      <c r="B823" s="1">
        <v>2471</v>
      </c>
      <c r="C823" s="1">
        <v>66366</v>
      </c>
      <c r="D823">
        <v>27.3</v>
      </c>
      <c r="E823">
        <v>27.4</v>
      </c>
      <c r="F823">
        <v>26.4</v>
      </c>
      <c r="G823">
        <v>26.4</v>
      </c>
      <c r="H823">
        <v>0.3</v>
      </c>
      <c r="I823" s="1">
        <v>978</v>
      </c>
    </row>
    <row r="824" spans="1:9" x14ac:dyDescent="0.25">
      <c r="A824" t="s">
        <v>7617</v>
      </c>
      <c r="B824" s="1">
        <v>883</v>
      </c>
      <c r="C824" s="1">
        <v>23267</v>
      </c>
      <c r="D824">
        <v>26.4</v>
      </c>
      <c r="E824">
        <v>26.5</v>
      </c>
      <c r="F824">
        <v>26.25</v>
      </c>
      <c r="G824">
        <v>26.25</v>
      </c>
      <c r="H824">
        <v>-0.15</v>
      </c>
      <c r="I824" s="1">
        <v>427</v>
      </c>
    </row>
    <row r="825" spans="1:9" x14ac:dyDescent="0.25">
      <c r="A825" t="s">
        <v>7618</v>
      </c>
      <c r="B825" s="1">
        <v>730</v>
      </c>
      <c r="C825" s="1">
        <v>19092</v>
      </c>
      <c r="D825">
        <v>26.35</v>
      </c>
      <c r="E825">
        <v>26.4</v>
      </c>
      <c r="F825">
        <v>26</v>
      </c>
      <c r="G825">
        <v>26</v>
      </c>
      <c r="H825">
        <v>-0.25</v>
      </c>
      <c r="I825" s="1">
        <v>365</v>
      </c>
    </row>
    <row r="826" spans="1:9" x14ac:dyDescent="0.25">
      <c r="A826" t="s">
        <v>7619</v>
      </c>
      <c r="B826" s="1">
        <v>795</v>
      </c>
      <c r="C826" s="1">
        <v>20554</v>
      </c>
      <c r="D826">
        <v>26.05</v>
      </c>
      <c r="E826">
        <v>26.15</v>
      </c>
      <c r="F826">
        <v>25.7</v>
      </c>
      <c r="G826">
        <v>25.7</v>
      </c>
      <c r="H826">
        <v>-0.3</v>
      </c>
      <c r="I826" s="1">
        <v>456</v>
      </c>
    </row>
    <row r="827" spans="1:9" x14ac:dyDescent="0.25">
      <c r="A827" t="s">
        <v>7620</v>
      </c>
      <c r="B827" s="1">
        <v>455</v>
      </c>
      <c r="C827" s="1">
        <v>11755</v>
      </c>
      <c r="D827">
        <v>25.7</v>
      </c>
      <c r="E827">
        <v>26</v>
      </c>
      <c r="F827">
        <v>25.7</v>
      </c>
      <c r="G827">
        <v>25.75</v>
      </c>
      <c r="H827">
        <v>0.05</v>
      </c>
      <c r="I827" s="1">
        <v>246</v>
      </c>
    </row>
    <row r="828" spans="1:9" x14ac:dyDescent="0.25">
      <c r="A828" t="s">
        <v>7621</v>
      </c>
      <c r="B828" s="1">
        <v>445</v>
      </c>
      <c r="C828" s="1">
        <v>11477</v>
      </c>
      <c r="D828">
        <v>25.75</v>
      </c>
      <c r="E828">
        <v>25.9</v>
      </c>
      <c r="F828">
        <v>25.75</v>
      </c>
      <c r="G828">
        <v>25.8</v>
      </c>
      <c r="H828">
        <v>0.05</v>
      </c>
      <c r="I828" s="1">
        <v>270</v>
      </c>
    </row>
    <row r="829" spans="1:9" x14ac:dyDescent="0.25">
      <c r="A829" t="s">
        <v>7622</v>
      </c>
      <c r="B829" s="1">
        <v>348</v>
      </c>
      <c r="C829" s="1">
        <v>8996</v>
      </c>
      <c r="D829">
        <v>25.8</v>
      </c>
      <c r="E829">
        <v>25.9</v>
      </c>
      <c r="F829">
        <v>25.8</v>
      </c>
      <c r="G829">
        <v>25.85</v>
      </c>
      <c r="H829">
        <v>0.05</v>
      </c>
      <c r="I829" s="1">
        <v>217</v>
      </c>
    </row>
    <row r="830" spans="1:9" x14ac:dyDescent="0.25">
      <c r="A830" t="s">
        <v>987</v>
      </c>
      <c r="B830" s="1"/>
      <c r="C830" s="1"/>
      <c r="I830" s="1"/>
    </row>
    <row r="841" spans="1:9" x14ac:dyDescent="0.25">
      <c r="A841" s="9" t="s">
        <v>7590</v>
      </c>
      <c r="B841" s="1">
        <v>517</v>
      </c>
      <c r="C841" s="1">
        <v>12919</v>
      </c>
      <c r="D841">
        <v>25.15</v>
      </c>
      <c r="E841">
        <v>25.2</v>
      </c>
      <c r="F841">
        <v>24.9</v>
      </c>
      <c r="G841">
        <v>25</v>
      </c>
      <c r="H841">
        <v>-0.15</v>
      </c>
      <c r="I841" s="1">
        <v>272</v>
      </c>
    </row>
    <row r="842" spans="1:9" x14ac:dyDescent="0.25">
      <c r="A842" t="s">
        <v>7591</v>
      </c>
      <c r="B842" s="1">
        <v>829</v>
      </c>
      <c r="C842" s="1">
        <v>20828</v>
      </c>
      <c r="D842">
        <v>25</v>
      </c>
      <c r="E842">
        <v>25.5</v>
      </c>
      <c r="F842">
        <v>24.8</v>
      </c>
      <c r="G842">
        <v>25.15</v>
      </c>
      <c r="H842">
        <v>0.15</v>
      </c>
      <c r="I842" s="1">
        <v>389</v>
      </c>
    </row>
    <row r="843" spans="1:9" x14ac:dyDescent="0.25">
      <c r="A843" t="s">
        <v>7592</v>
      </c>
      <c r="B843" s="1">
        <v>517</v>
      </c>
      <c r="C843" s="1">
        <v>12999</v>
      </c>
      <c r="D843">
        <v>25.2</v>
      </c>
      <c r="E843">
        <v>25.3</v>
      </c>
      <c r="F843">
        <v>25.05</v>
      </c>
      <c r="G843">
        <v>25.1</v>
      </c>
      <c r="H843">
        <v>-0.05</v>
      </c>
      <c r="I843" s="1">
        <v>249</v>
      </c>
    </row>
    <row r="844" spans="1:9" x14ac:dyDescent="0.25">
      <c r="A844" t="s">
        <v>7593</v>
      </c>
      <c r="B844" s="1">
        <v>1768</v>
      </c>
      <c r="C844" s="1">
        <v>45109</v>
      </c>
      <c r="D844">
        <v>25.25</v>
      </c>
      <c r="E844">
        <v>25.8</v>
      </c>
      <c r="F844">
        <v>25.2</v>
      </c>
      <c r="G844">
        <v>25.2</v>
      </c>
      <c r="H844">
        <v>0.1</v>
      </c>
      <c r="I844" s="1">
        <v>743</v>
      </c>
    </row>
    <row r="845" spans="1:9" x14ac:dyDescent="0.25">
      <c r="A845" t="s">
        <v>7594</v>
      </c>
      <c r="B845" s="1">
        <v>703</v>
      </c>
      <c r="C845" s="1">
        <v>17748</v>
      </c>
      <c r="D845">
        <v>25.45</v>
      </c>
      <c r="E845">
        <v>25.55</v>
      </c>
      <c r="F845">
        <v>25.05</v>
      </c>
      <c r="G845">
        <v>25.25</v>
      </c>
      <c r="H845">
        <v>0.05</v>
      </c>
      <c r="I845" s="1">
        <v>365</v>
      </c>
    </row>
    <row r="846" spans="1:9" x14ac:dyDescent="0.25">
      <c r="A846" t="s">
        <v>7595</v>
      </c>
      <c r="B846" s="1">
        <v>5205</v>
      </c>
      <c r="C846" s="1">
        <v>140080</v>
      </c>
      <c r="D846">
        <v>26.5</v>
      </c>
      <c r="E846">
        <v>27</v>
      </c>
      <c r="F846">
        <v>26.1</v>
      </c>
      <c r="G846">
        <v>27</v>
      </c>
      <c r="H846">
        <v>1.75</v>
      </c>
      <c r="I846" s="1">
        <v>1547</v>
      </c>
    </row>
    <row r="847" spans="1:9" x14ac:dyDescent="0.25">
      <c r="A847" t="s">
        <v>7596</v>
      </c>
      <c r="B847" s="1">
        <v>4305</v>
      </c>
      <c r="C847" s="1">
        <v>116447</v>
      </c>
      <c r="D847">
        <v>27.15</v>
      </c>
      <c r="E847">
        <v>27.4</v>
      </c>
      <c r="F847">
        <v>26.7</v>
      </c>
      <c r="G847">
        <v>27</v>
      </c>
      <c r="H847">
        <v>0</v>
      </c>
      <c r="I847" s="1">
        <v>1574</v>
      </c>
    </row>
    <row r="848" spans="1:9" x14ac:dyDescent="0.25">
      <c r="A848" t="s">
        <v>7597</v>
      </c>
      <c r="B848" s="1">
        <v>1394</v>
      </c>
      <c r="C848" s="1">
        <v>37317</v>
      </c>
      <c r="D848">
        <v>27.1</v>
      </c>
      <c r="E848">
        <v>27.3</v>
      </c>
      <c r="F848">
        <v>26.55</v>
      </c>
      <c r="G848">
        <v>26.7</v>
      </c>
      <c r="H848">
        <v>-0.3</v>
      </c>
      <c r="I848" s="1">
        <v>617</v>
      </c>
    </row>
    <row r="849" spans="1:9" x14ac:dyDescent="0.25">
      <c r="A849" t="s">
        <v>7598</v>
      </c>
      <c r="B849" s="1">
        <v>1172</v>
      </c>
      <c r="C849" s="1">
        <v>31400</v>
      </c>
      <c r="D849">
        <v>26.7</v>
      </c>
      <c r="E849">
        <v>27.1</v>
      </c>
      <c r="F849">
        <v>26.5</v>
      </c>
      <c r="G849">
        <v>26.85</v>
      </c>
      <c r="H849">
        <v>0.15</v>
      </c>
      <c r="I849" s="1">
        <v>531</v>
      </c>
    </row>
    <row r="850" spans="1:9" x14ac:dyDescent="0.25">
      <c r="A850" t="s">
        <v>7599</v>
      </c>
      <c r="B850" s="1">
        <v>3993</v>
      </c>
      <c r="C850" s="1">
        <v>109483</v>
      </c>
      <c r="D850">
        <v>26.85</v>
      </c>
      <c r="E850">
        <v>28</v>
      </c>
      <c r="F850">
        <v>26.85</v>
      </c>
      <c r="G850">
        <v>26.85</v>
      </c>
      <c r="H850">
        <v>0</v>
      </c>
      <c r="I850" s="1">
        <v>1743</v>
      </c>
    </row>
    <row r="851" spans="1:9" x14ac:dyDescent="0.25">
      <c r="A851" t="s">
        <v>7600</v>
      </c>
      <c r="B851" s="1">
        <v>1887</v>
      </c>
      <c r="C851" s="1">
        <v>50429</v>
      </c>
      <c r="D851">
        <v>27.1</v>
      </c>
      <c r="E851">
        <v>27.25</v>
      </c>
      <c r="F851">
        <v>26</v>
      </c>
      <c r="G851">
        <v>26.25</v>
      </c>
      <c r="H851">
        <v>-0.6</v>
      </c>
      <c r="I851" s="1">
        <v>799</v>
      </c>
    </row>
    <row r="852" spans="1:9" x14ac:dyDescent="0.25">
      <c r="A852" t="s">
        <v>7601</v>
      </c>
      <c r="B852" s="1">
        <v>903</v>
      </c>
      <c r="C852" s="1">
        <v>23929</v>
      </c>
      <c r="D852">
        <v>26.4</v>
      </c>
      <c r="E852">
        <v>26.7</v>
      </c>
      <c r="F852">
        <v>26.3</v>
      </c>
      <c r="G852">
        <v>26.7</v>
      </c>
      <c r="H852">
        <v>0.45</v>
      </c>
      <c r="I852" s="1">
        <v>423</v>
      </c>
    </row>
    <row r="853" spans="1:9" x14ac:dyDescent="0.25">
      <c r="A853" t="s">
        <v>7602</v>
      </c>
      <c r="B853" s="1">
        <v>1420</v>
      </c>
      <c r="C853" s="1">
        <v>37355</v>
      </c>
      <c r="D853">
        <v>26.85</v>
      </c>
      <c r="E853">
        <v>26.95</v>
      </c>
      <c r="F853">
        <v>26.1</v>
      </c>
      <c r="G853">
        <v>26.25</v>
      </c>
      <c r="H853">
        <v>-0.45</v>
      </c>
      <c r="I853" s="1">
        <v>635</v>
      </c>
    </row>
    <row r="854" spans="1:9" x14ac:dyDescent="0.25">
      <c r="A854" t="s">
        <v>7603</v>
      </c>
      <c r="B854" s="1">
        <v>1126</v>
      </c>
      <c r="C854" s="1">
        <v>29791</v>
      </c>
      <c r="D854">
        <v>26.4</v>
      </c>
      <c r="E854">
        <v>26.7</v>
      </c>
      <c r="F854">
        <v>26.25</v>
      </c>
      <c r="G854">
        <v>26.45</v>
      </c>
      <c r="H854">
        <v>0.2</v>
      </c>
      <c r="I854" s="1">
        <v>462</v>
      </c>
    </row>
    <row r="855" spans="1:9" x14ac:dyDescent="0.25">
      <c r="A855" t="s">
        <v>7604</v>
      </c>
      <c r="B855" s="1">
        <v>848</v>
      </c>
      <c r="C855" s="1">
        <v>22453</v>
      </c>
      <c r="D855">
        <v>26.6</v>
      </c>
      <c r="E855">
        <v>26.75</v>
      </c>
      <c r="F855">
        <v>26.35</v>
      </c>
      <c r="G855">
        <v>26.4</v>
      </c>
      <c r="H855">
        <v>-0.05</v>
      </c>
      <c r="I855" s="1">
        <v>449</v>
      </c>
    </row>
    <row r="856" spans="1:9" x14ac:dyDescent="0.25">
      <c r="A856" t="s">
        <v>7605</v>
      </c>
      <c r="B856" s="1">
        <v>696</v>
      </c>
      <c r="C856" s="1">
        <v>18212</v>
      </c>
      <c r="D856">
        <v>26.5</v>
      </c>
      <c r="E856">
        <v>26.5</v>
      </c>
      <c r="F856">
        <v>26.05</v>
      </c>
      <c r="G856">
        <v>26.15</v>
      </c>
      <c r="H856">
        <v>-0.25</v>
      </c>
      <c r="I856" s="1">
        <v>406</v>
      </c>
    </row>
    <row r="857" spans="1:9" x14ac:dyDescent="0.25">
      <c r="A857" t="s">
        <v>7606</v>
      </c>
      <c r="B857" s="1">
        <v>523</v>
      </c>
      <c r="C857" s="1">
        <v>13730</v>
      </c>
      <c r="D857">
        <v>26.25</v>
      </c>
      <c r="E857">
        <v>26.4</v>
      </c>
      <c r="F857">
        <v>26.15</v>
      </c>
      <c r="G857">
        <v>26.4</v>
      </c>
      <c r="H857">
        <v>0.25</v>
      </c>
      <c r="I857" s="1">
        <v>293</v>
      </c>
    </row>
    <row r="858" spans="1:9" x14ac:dyDescent="0.25">
      <c r="A858" t="s">
        <v>7607</v>
      </c>
      <c r="B858" s="1">
        <v>692</v>
      </c>
      <c r="C858" s="1">
        <v>18366</v>
      </c>
      <c r="D858">
        <v>26.25</v>
      </c>
      <c r="E858">
        <v>26.7</v>
      </c>
      <c r="F858">
        <v>26.25</v>
      </c>
      <c r="G858">
        <v>26.5</v>
      </c>
      <c r="H858">
        <v>0.1</v>
      </c>
      <c r="I858" s="1">
        <v>336</v>
      </c>
    </row>
    <row r="859" spans="1:9" x14ac:dyDescent="0.25">
      <c r="A859" t="s">
        <v>7608</v>
      </c>
      <c r="B859" s="1">
        <v>681</v>
      </c>
      <c r="C859" s="1">
        <v>18083</v>
      </c>
      <c r="D859">
        <v>26.5</v>
      </c>
      <c r="E859">
        <v>26.9</v>
      </c>
      <c r="F859">
        <v>26.4</v>
      </c>
      <c r="G859">
        <v>26.4</v>
      </c>
      <c r="H859">
        <v>-0.1</v>
      </c>
      <c r="I859" s="1">
        <v>332</v>
      </c>
    </row>
    <row r="860" spans="1:9" x14ac:dyDescent="0.25">
      <c r="A860" t="s">
        <v>7609</v>
      </c>
      <c r="B860" s="1">
        <v>508</v>
      </c>
      <c r="C860" s="1">
        <v>13420</v>
      </c>
      <c r="D860">
        <v>26.6</v>
      </c>
      <c r="E860">
        <v>26.6</v>
      </c>
      <c r="F860">
        <v>26.3</v>
      </c>
      <c r="G860">
        <v>26.4</v>
      </c>
      <c r="H860">
        <v>0</v>
      </c>
      <c r="I860" s="1">
        <v>218</v>
      </c>
    </row>
    <row r="861" spans="1:9" x14ac:dyDescent="0.25">
      <c r="A861" t="s">
        <v>927</v>
      </c>
      <c r="B861" s="1"/>
      <c r="C861" s="1"/>
      <c r="I861" s="1"/>
    </row>
    <row r="865" spans="1:9" x14ac:dyDescent="0.25">
      <c r="A865" s="9" t="s">
        <v>7566</v>
      </c>
      <c r="B865" s="1">
        <v>547</v>
      </c>
      <c r="C865" s="1">
        <v>12509</v>
      </c>
      <c r="D865">
        <v>22.5</v>
      </c>
      <c r="E865">
        <v>23.2</v>
      </c>
      <c r="F865">
        <v>22.5</v>
      </c>
      <c r="G865">
        <v>23.1</v>
      </c>
      <c r="H865">
        <v>0</v>
      </c>
      <c r="I865" s="1">
        <v>297</v>
      </c>
    </row>
    <row r="866" spans="1:9" x14ac:dyDescent="0.25">
      <c r="A866" t="s">
        <v>7567</v>
      </c>
      <c r="B866" s="1">
        <v>473</v>
      </c>
      <c r="C866" s="1">
        <v>10879</v>
      </c>
      <c r="D866">
        <v>23</v>
      </c>
      <c r="E866">
        <v>23.15</v>
      </c>
      <c r="F866">
        <v>22.9</v>
      </c>
      <c r="G866">
        <v>23</v>
      </c>
      <c r="H866">
        <v>-0.1</v>
      </c>
      <c r="I866" s="1">
        <v>236</v>
      </c>
    </row>
    <row r="867" spans="1:9" x14ac:dyDescent="0.25">
      <c r="A867" t="s">
        <v>7568</v>
      </c>
      <c r="B867" s="1">
        <v>453</v>
      </c>
      <c r="C867" s="1">
        <v>10554</v>
      </c>
      <c r="D867">
        <v>22.9</v>
      </c>
      <c r="E867">
        <v>23.45</v>
      </c>
      <c r="F867">
        <v>22.9</v>
      </c>
      <c r="G867">
        <v>23.3</v>
      </c>
      <c r="H867">
        <v>0.3</v>
      </c>
      <c r="I867" s="1">
        <v>305</v>
      </c>
    </row>
    <row r="868" spans="1:9" x14ac:dyDescent="0.25">
      <c r="A868" t="s">
        <v>7569</v>
      </c>
      <c r="B868" s="1">
        <v>589</v>
      </c>
      <c r="C868" s="1">
        <v>13703</v>
      </c>
      <c r="D868">
        <v>23.3</v>
      </c>
      <c r="E868">
        <v>23.45</v>
      </c>
      <c r="F868">
        <v>23</v>
      </c>
      <c r="G868">
        <v>23.35</v>
      </c>
      <c r="H868">
        <v>0.05</v>
      </c>
      <c r="I868" s="1">
        <v>307</v>
      </c>
    </row>
    <row r="869" spans="1:9" x14ac:dyDescent="0.25">
      <c r="A869" t="s">
        <v>7570</v>
      </c>
      <c r="B869" s="1">
        <v>485</v>
      </c>
      <c r="C869" s="1">
        <v>11281</v>
      </c>
      <c r="D869">
        <v>23.35</v>
      </c>
      <c r="E869">
        <v>23.4</v>
      </c>
      <c r="F869">
        <v>23.1</v>
      </c>
      <c r="G869">
        <v>23.3</v>
      </c>
      <c r="H869">
        <v>-0.05</v>
      </c>
      <c r="I869" s="1">
        <v>259</v>
      </c>
    </row>
    <row r="870" spans="1:9" x14ac:dyDescent="0.25">
      <c r="A870" t="s">
        <v>7571</v>
      </c>
      <c r="B870" s="1">
        <v>1009</v>
      </c>
      <c r="C870" s="1">
        <v>23774</v>
      </c>
      <c r="D870">
        <v>23.35</v>
      </c>
      <c r="E870">
        <v>23.85</v>
      </c>
      <c r="F870">
        <v>23.3</v>
      </c>
      <c r="G870">
        <v>23.3</v>
      </c>
      <c r="H870">
        <v>0</v>
      </c>
      <c r="I870" s="1">
        <v>507</v>
      </c>
    </row>
    <row r="871" spans="1:9" x14ac:dyDescent="0.25">
      <c r="A871" t="s">
        <v>7572</v>
      </c>
      <c r="B871" s="1">
        <v>470</v>
      </c>
      <c r="C871" s="1">
        <v>11073</v>
      </c>
      <c r="D871">
        <v>23.35</v>
      </c>
      <c r="E871">
        <v>23.75</v>
      </c>
      <c r="F871">
        <v>23.35</v>
      </c>
      <c r="G871">
        <v>23.6</v>
      </c>
      <c r="H871">
        <v>0.3</v>
      </c>
      <c r="I871" s="1">
        <v>301</v>
      </c>
    </row>
    <row r="872" spans="1:9" x14ac:dyDescent="0.25">
      <c r="A872" t="s">
        <v>7573</v>
      </c>
      <c r="B872" s="1">
        <v>6246</v>
      </c>
      <c r="C872" s="1">
        <v>156644</v>
      </c>
      <c r="D872">
        <v>23.95</v>
      </c>
      <c r="E872">
        <v>25.25</v>
      </c>
      <c r="F872">
        <v>23.95</v>
      </c>
      <c r="G872">
        <v>25.25</v>
      </c>
      <c r="H872">
        <v>1.65</v>
      </c>
      <c r="I872" s="1">
        <v>2044</v>
      </c>
    </row>
    <row r="873" spans="1:9" x14ac:dyDescent="0.25">
      <c r="A873" t="s">
        <v>7574</v>
      </c>
      <c r="B873" s="1">
        <v>4845</v>
      </c>
      <c r="C873" s="1">
        <v>122969</v>
      </c>
      <c r="D873">
        <v>25.4</v>
      </c>
      <c r="E873">
        <v>25.9</v>
      </c>
      <c r="F873">
        <v>24.6</v>
      </c>
      <c r="G873">
        <v>24.6</v>
      </c>
      <c r="H873">
        <v>-0.65</v>
      </c>
      <c r="I873" s="1">
        <v>2108</v>
      </c>
    </row>
    <row r="874" spans="1:9" x14ac:dyDescent="0.25">
      <c r="A874" t="s">
        <v>7575</v>
      </c>
      <c r="B874" s="1">
        <v>1741</v>
      </c>
      <c r="C874" s="1">
        <v>43661</v>
      </c>
      <c r="D874">
        <v>25.6</v>
      </c>
      <c r="E874">
        <v>25.6</v>
      </c>
      <c r="F874">
        <v>24.7</v>
      </c>
      <c r="G874">
        <v>24.75</v>
      </c>
      <c r="H874">
        <v>0.15</v>
      </c>
      <c r="I874" s="1">
        <v>738</v>
      </c>
    </row>
    <row r="875" spans="1:9" x14ac:dyDescent="0.25">
      <c r="A875" t="s">
        <v>7576</v>
      </c>
      <c r="B875" s="1">
        <v>861</v>
      </c>
      <c r="C875" s="1">
        <v>21449</v>
      </c>
      <c r="D875">
        <v>24.7</v>
      </c>
      <c r="E875">
        <v>25.15</v>
      </c>
      <c r="F875">
        <v>24.5</v>
      </c>
      <c r="G875">
        <v>25</v>
      </c>
      <c r="H875">
        <v>0.25</v>
      </c>
      <c r="I875" s="1">
        <v>456</v>
      </c>
    </row>
    <row r="876" spans="1:9" x14ac:dyDescent="0.25">
      <c r="A876" t="s">
        <v>7577</v>
      </c>
      <c r="B876" s="1">
        <v>1091</v>
      </c>
      <c r="C876" s="1">
        <v>27269</v>
      </c>
      <c r="D876">
        <v>25</v>
      </c>
      <c r="E876">
        <v>25.25</v>
      </c>
      <c r="F876">
        <v>24.65</v>
      </c>
      <c r="G876">
        <v>24.9</v>
      </c>
      <c r="H876">
        <v>-0.1</v>
      </c>
      <c r="I876" s="1">
        <v>493</v>
      </c>
    </row>
    <row r="877" spans="1:9" x14ac:dyDescent="0.25">
      <c r="A877" t="s">
        <v>7578</v>
      </c>
      <c r="B877" s="1">
        <v>608</v>
      </c>
      <c r="C877" s="1">
        <v>15137</v>
      </c>
      <c r="D877">
        <v>25</v>
      </c>
      <c r="E877">
        <v>25.3</v>
      </c>
      <c r="F877">
        <v>24.6</v>
      </c>
      <c r="G877">
        <v>24.6</v>
      </c>
      <c r="H877">
        <v>-0.3</v>
      </c>
      <c r="I877" s="1">
        <v>330</v>
      </c>
    </row>
    <row r="878" spans="1:9" x14ac:dyDescent="0.25">
      <c r="A878" t="s">
        <v>7579</v>
      </c>
      <c r="B878" s="1">
        <v>486</v>
      </c>
      <c r="C878" s="1">
        <v>12042</v>
      </c>
      <c r="D878">
        <v>24.8</v>
      </c>
      <c r="E878">
        <v>24.9</v>
      </c>
      <c r="F878">
        <v>24.65</v>
      </c>
      <c r="G878">
        <v>24.8</v>
      </c>
      <c r="H878">
        <v>0.2</v>
      </c>
      <c r="I878" s="1">
        <v>270</v>
      </c>
    </row>
    <row r="879" spans="1:9" x14ac:dyDescent="0.25">
      <c r="A879" t="s">
        <v>7580</v>
      </c>
      <c r="B879" s="1">
        <v>1099</v>
      </c>
      <c r="C879" s="1">
        <v>27230</v>
      </c>
      <c r="D879">
        <v>25</v>
      </c>
      <c r="E879">
        <v>25.15</v>
      </c>
      <c r="F879">
        <v>24.35</v>
      </c>
      <c r="G879">
        <v>24.85</v>
      </c>
      <c r="H879">
        <v>0.05</v>
      </c>
      <c r="I879" s="1">
        <v>495</v>
      </c>
    </row>
    <row r="880" spans="1:9" x14ac:dyDescent="0.25">
      <c r="A880" t="s">
        <v>7581</v>
      </c>
      <c r="B880" s="1">
        <v>1334</v>
      </c>
      <c r="C880" s="1">
        <v>33431</v>
      </c>
      <c r="D880">
        <v>24.85</v>
      </c>
      <c r="E880">
        <v>25.3</v>
      </c>
      <c r="F880">
        <v>24.85</v>
      </c>
      <c r="G880">
        <v>24.95</v>
      </c>
      <c r="H880">
        <v>0.1</v>
      </c>
      <c r="I880" s="1">
        <v>536</v>
      </c>
    </row>
    <row r="881" spans="1:9" x14ac:dyDescent="0.25">
      <c r="A881" t="s">
        <v>7582</v>
      </c>
      <c r="B881" s="1">
        <v>514</v>
      </c>
      <c r="C881" s="1">
        <v>12748</v>
      </c>
      <c r="D881">
        <v>25</v>
      </c>
      <c r="E881">
        <v>25.05</v>
      </c>
      <c r="F881">
        <v>24.65</v>
      </c>
      <c r="G881">
        <v>24.8</v>
      </c>
      <c r="H881">
        <v>-0.15</v>
      </c>
      <c r="I881" s="1">
        <v>278</v>
      </c>
    </row>
    <row r="882" spans="1:9" x14ac:dyDescent="0.25">
      <c r="A882" t="s">
        <v>7583</v>
      </c>
      <c r="B882" s="1">
        <v>1012</v>
      </c>
      <c r="C882" s="1">
        <v>25347</v>
      </c>
      <c r="D882">
        <v>25</v>
      </c>
      <c r="E882">
        <v>25.15</v>
      </c>
      <c r="F882">
        <v>24.9</v>
      </c>
      <c r="G882">
        <v>25</v>
      </c>
      <c r="H882">
        <v>0.2</v>
      </c>
      <c r="I882" s="1">
        <v>401</v>
      </c>
    </row>
    <row r="883" spans="1:9" x14ac:dyDescent="0.25">
      <c r="A883" t="s">
        <v>7584</v>
      </c>
      <c r="B883" s="1">
        <v>1459</v>
      </c>
      <c r="C883" s="1">
        <v>37141</v>
      </c>
      <c r="D883">
        <v>25.1</v>
      </c>
      <c r="E883">
        <v>25.8</v>
      </c>
      <c r="F883">
        <v>25.1</v>
      </c>
      <c r="G883">
        <v>25.35</v>
      </c>
      <c r="H883">
        <v>0.35</v>
      </c>
      <c r="I883" s="1">
        <v>646</v>
      </c>
    </row>
    <row r="884" spans="1:9" x14ac:dyDescent="0.25">
      <c r="A884" t="s">
        <v>7585</v>
      </c>
      <c r="B884" s="1">
        <v>746</v>
      </c>
      <c r="C884" s="1">
        <v>18925</v>
      </c>
      <c r="D884">
        <v>25.45</v>
      </c>
      <c r="E884">
        <v>25.7</v>
      </c>
      <c r="F884">
        <v>25.15</v>
      </c>
      <c r="G884">
        <v>25.3</v>
      </c>
      <c r="H884">
        <v>-0.05</v>
      </c>
      <c r="I884" s="1">
        <v>331</v>
      </c>
    </row>
    <row r="885" spans="1:9" x14ac:dyDescent="0.25">
      <c r="A885" t="s">
        <v>7586</v>
      </c>
      <c r="B885" s="1">
        <v>523</v>
      </c>
      <c r="C885" s="1">
        <v>13284</v>
      </c>
      <c r="D885">
        <v>25.4</v>
      </c>
      <c r="E885">
        <v>25.7</v>
      </c>
      <c r="F885">
        <v>25.3</v>
      </c>
      <c r="G885">
        <v>25.35</v>
      </c>
      <c r="H885">
        <v>0.05</v>
      </c>
      <c r="I885" s="1">
        <v>241</v>
      </c>
    </row>
    <row r="886" spans="1:9" x14ac:dyDescent="0.25">
      <c r="A886" t="s">
        <v>7587</v>
      </c>
      <c r="B886" s="1">
        <v>524</v>
      </c>
      <c r="C886" s="1">
        <v>13247</v>
      </c>
      <c r="D886">
        <v>25.4</v>
      </c>
      <c r="E886">
        <v>25.45</v>
      </c>
      <c r="F886">
        <v>25.15</v>
      </c>
      <c r="G886">
        <v>25.15</v>
      </c>
      <c r="H886">
        <v>-0.2</v>
      </c>
      <c r="I886" s="1">
        <v>248</v>
      </c>
    </row>
    <row r="887" spans="1:9" x14ac:dyDescent="0.25">
      <c r="A887" t="s">
        <v>7588</v>
      </c>
      <c r="B887" s="1">
        <v>337</v>
      </c>
      <c r="C887" s="1">
        <v>8499</v>
      </c>
      <c r="D887">
        <v>25.2</v>
      </c>
      <c r="E887">
        <v>25.4</v>
      </c>
      <c r="F887">
        <v>25.1</v>
      </c>
      <c r="G887">
        <v>25.25</v>
      </c>
      <c r="H887">
        <v>0.1</v>
      </c>
      <c r="I887" s="1">
        <v>152</v>
      </c>
    </row>
    <row r="888" spans="1:9" x14ac:dyDescent="0.25">
      <c r="A888" t="s">
        <v>7589</v>
      </c>
      <c r="B888" s="1">
        <v>433</v>
      </c>
      <c r="C888" s="1">
        <v>10862</v>
      </c>
      <c r="D888">
        <v>25.45</v>
      </c>
      <c r="E888">
        <v>25.45</v>
      </c>
      <c r="F888">
        <v>24.95</v>
      </c>
      <c r="G888">
        <v>25.15</v>
      </c>
      <c r="H888">
        <v>-0.1</v>
      </c>
      <c r="I888" s="1">
        <v>178</v>
      </c>
    </row>
    <row r="889" spans="1:9" x14ac:dyDescent="0.25">
      <c r="A889" s="9" t="s">
        <v>7546</v>
      </c>
      <c r="B889" s="1">
        <v>478</v>
      </c>
      <c r="C889" s="1">
        <v>11431</v>
      </c>
      <c r="D889">
        <v>23.95</v>
      </c>
      <c r="E889">
        <v>24.1</v>
      </c>
      <c r="F889">
        <v>23.7</v>
      </c>
      <c r="G889">
        <v>24.05</v>
      </c>
      <c r="H889">
        <v>0.1</v>
      </c>
      <c r="I889" s="1">
        <v>265</v>
      </c>
    </row>
    <row r="890" spans="1:9" x14ac:dyDescent="0.25">
      <c r="A890" t="s">
        <v>7547</v>
      </c>
      <c r="B890" s="1">
        <v>267</v>
      </c>
      <c r="C890" s="1">
        <v>6393</v>
      </c>
      <c r="D890">
        <v>24</v>
      </c>
      <c r="E890">
        <v>24.1</v>
      </c>
      <c r="F890">
        <v>23.8</v>
      </c>
      <c r="G890">
        <v>23.9</v>
      </c>
      <c r="H890">
        <v>-0.15</v>
      </c>
      <c r="I890" s="1">
        <v>150</v>
      </c>
    </row>
    <row r="891" spans="1:9" x14ac:dyDescent="0.25">
      <c r="A891" t="s">
        <v>7548</v>
      </c>
      <c r="B891" s="1">
        <v>219</v>
      </c>
      <c r="C891" s="1">
        <v>5214</v>
      </c>
      <c r="D891">
        <v>24</v>
      </c>
      <c r="E891">
        <v>24</v>
      </c>
      <c r="F891">
        <v>23.7</v>
      </c>
      <c r="G891">
        <v>23.7</v>
      </c>
      <c r="H891">
        <v>-0.2</v>
      </c>
      <c r="I891" s="1">
        <v>146</v>
      </c>
    </row>
    <row r="892" spans="1:9" x14ac:dyDescent="0.25">
      <c r="A892" t="s">
        <v>7549</v>
      </c>
      <c r="B892" s="1">
        <v>217</v>
      </c>
      <c r="C892" s="1">
        <v>5153</v>
      </c>
      <c r="D892">
        <v>23.95</v>
      </c>
      <c r="E892">
        <v>23.95</v>
      </c>
      <c r="F892">
        <v>23.6</v>
      </c>
      <c r="G892">
        <v>23.6</v>
      </c>
      <c r="H892">
        <v>-0.1</v>
      </c>
      <c r="I892" s="1">
        <v>144</v>
      </c>
    </row>
    <row r="893" spans="1:9" x14ac:dyDescent="0.25">
      <c r="A893" t="s">
        <v>7550</v>
      </c>
      <c r="B893" s="1">
        <v>254</v>
      </c>
      <c r="C893" s="1">
        <v>5992</v>
      </c>
      <c r="D893">
        <v>23.6</v>
      </c>
      <c r="E893">
        <v>23.8</v>
      </c>
      <c r="F893">
        <v>23.5</v>
      </c>
      <c r="G893">
        <v>23.6</v>
      </c>
      <c r="H893">
        <v>0</v>
      </c>
      <c r="I893" s="1">
        <v>148</v>
      </c>
    </row>
    <row r="894" spans="1:9" x14ac:dyDescent="0.25">
      <c r="A894" t="s">
        <v>7551</v>
      </c>
      <c r="B894" s="1">
        <v>848</v>
      </c>
      <c r="C894" s="1">
        <v>20741</v>
      </c>
      <c r="D894">
        <v>23.8</v>
      </c>
      <c r="E894">
        <v>24.7</v>
      </c>
      <c r="F894">
        <v>23.8</v>
      </c>
      <c r="G894">
        <v>24.3</v>
      </c>
      <c r="H894">
        <v>0.7</v>
      </c>
      <c r="I894" s="1">
        <v>403</v>
      </c>
    </row>
    <row r="895" spans="1:9" x14ac:dyDescent="0.25">
      <c r="A895" t="s">
        <v>7552</v>
      </c>
      <c r="B895" s="1">
        <v>546</v>
      </c>
      <c r="C895" s="1">
        <v>13147</v>
      </c>
      <c r="D895">
        <v>24.45</v>
      </c>
      <c r="E895">
        <v>24.5</v>
      </c>
      <c r="F895">
        <v>23.85</v>
      </c>
      <c r="G895">
        <v>23.9</v>
      </c>
      <c r="H895">
        <v>-0.4</v>
      </c>
      <c r="I895" s="1">
        <v>356</v>
      </c>
    </row>
    <row r="896" spans="1:9" x14ac:dyDescent="0.25">
      <c r="A896" t="s">
        <v>7553</v>
      </c>
      <c r="B896" s="1">
        <v>936</v>
      </c>
      <c r="C896" s="1">
        <v>21924</v>
      </c>
      <c r="D896">
        <v>23.7</v>
      </c>
      <c r="E896">
        <v>23.8</v>
      </c>
      <c r="F896">
        <v>23.15</v>
      </c>
      <c r="G896">
        <v>23.2</v>
      </c>
      <c r="H896">
        <v>-0.7</v>
      </c>
      <c r="I896" s="1">
        <v>528</v>
      </c>
    </row>
    <row r="897" spans="1:9" x14ac:dyDescent="0.25">
      <c r="A897" t="s">
        <v>7554</v>
      </c>
      <c r="B897" s="1">
        <v>404</v>
      </c>
      <c r="C897" s="1">
        <v>9397</v>
      </c>
      <c r="D897">
        <v>23.1</v>
      </c>
      <c r="E897">
        <v>23.35</v>
      </c>
      <c r="F897">
        <v>23.1</v>
      </c>
      <c r="G897">
        <v>23.25</v>
      </c>
      <c r="H897">
        <v>0.05</v>
      </c>
      <c r="I897" s="1">
        <v>187</v>
      </c>
    </row>
    <row r="898" spans="1:9" x14ac:dyDescent="0.25">
      <c r="A898" t="s">
        <v>7555</v>
      </c>
      <c r="B898" s="1">
        <v>216</v>
      </c>
      <c r="C898" s="1">
        <v>5027</v>
      </c>
      <c r="D898">
        <v>23.25</v>
      </c>
      <c r="E898">
        <v>23.45</v>
      </c>
      <c r="F898">
        <v>23.25</v>
      </c>
      <c r="G898">
        <v>23.25</v>
      </c>
      <c r="H898">
        <v>0</v>
      </c>
      <c r="I898" s="1">
        <v>147</v>
      </c>
    </row>
    <row r="899" spans="1:9" x14ac:dyDescent="0.25">
      <c r="A899" t="s">
        <v>7556</v>
      </c>
      <c r="B899" s="1">
        <v>334</v>
      </c>
      <c r="C899" s="1">
        <v>7815</v>
      </c>
      <c r="D899">
        <v>23.45</v>
      </c>
      <c r="E899">
        <v>23.65</v>
      </c>
      <c r="F899">
        <v>23.15</v>
      </c>
      <c r="G899">
        <v>23.4</v>
      </c>
      <c r="H899">
        <v>0.15</v>
      </c>
      <c r="I899" s="1">
        <v>180</v>
      </c>
    </row>
    <row r="900" spans="1:9" x14ac:dyDescent="0.25">
      <c r="A900" t="s">
        <v>7557</v>
      </c>
      <c r="B900" s="1">
        <v>801</v>
      </c>
      <c r="C900" s="1">
        <v>18450</v>
      </c>
      <c r="D900">
        <v>23.45</v>
      </c>
      <c r="E900">
        <v>23.55</v>
      </c>
      <c r="F900">
        <v>22.75</v>
      </c>
      <c r="G900">
        <v>23.1</v>
      </c>
      <c r="H900">
        <v>-0.3</v>
      </c>
      <c r="I900" s="1">
        <v>429</v>
      </c>
    </row>
    <row r="901" spans="1:9" x14ac:dyDescent="0.25">
      <c r="A901" t="s">
        <v>7558</v>
      </c>
      <c r="B901" s="1">
        <v>283</v>
      </c>
      <c r="C901" s="1">
        <v>6537</v>
      </c>
      <c r="D901">
        <v>23.1</v>
      </c>
      <c r="E901">
        <v>23.3</v>
      </c>
      <c r="F901">
        <v>23</v>
      </c>
      <c r="G901">
        <v>23.15</v>
      </c>
      <c r="H901">
        <v>0.05</v>
      </c>
      <c r="I901" s="1">
        <v>177</v>
      </c>
    </row>
    <row r="902" spans="1:9" x14ac:dyDescent="0.25">
      <c r="A902" t="s">
        <v>7559</v>
      </c>
      <c r="B902" s="1">
        <v>311</v>
      </c>
      <c r="C902" s="1">
        <v>7229</v>
      </c>
      <c r="D902">
        <v>23.15</v>
      </c>
      <c r="E902">
        <v>23.3</v>
      </c>
      <c r="F902">
        <v>23.1</v>
      </c>
      <c r="G902">
        <v>23.2</v>
      </c>
      <c r="H902">
        <v>0.05</v>
      </c>
      <c r="I902" s="1">
        <v>166</v>
      </c>
    </row>
    <row r="903" spans="1:9" x14ac:dyDescent="0.25">
      <c r="A903" t="s">
        <v>7560</v>
      </c>
      <c r="B903" s="1">
        <v>231</v>
      </c>
      <c r="C903" s="1">
        <v>5375</v>
      </c>
      <c r="D903">
        <v>23.2</v>
      </c>
      <c r="E903">
        <v>23.45</v>
      </c>
      <c r="F903">
        <v>23.2</v>
      </c>
      <c r="G903">
        <v>23.25</v>
      </c>
      <c r="H903">
        <v>0.05</v>
      </c>
      <c r="I903" s="1">
        <v>142</v>
      </c>
    </row>
    <row r="904" spans="1:9" x14ac:dyDescent="0.25">
      <c r="A904" t="s">
        <v>7561</v>
      </c>
      <c r="B904" s="1">
        <v>449</v>
      </c>
      <c r="C904" s="1">
        <v>10370</v>
      </c>
      <c r="D904">
        <v>23.4</v>
      </c>
      <c r="E904">
        <v>23.4</v>
      </c>
      <c r="F904">
        <v>23</v>
      </c>
      <c r="G904">
        <v>23.1</v>
      </c>
      <c r="H904">
        <v>-0.15</v>
      </c>
      <c r="I904" s="1">
        <v>222</v>
      </c>
    </row>
    <row r="905" spans="1:9" x14ac:dyDescent="0.25">
      <c r="A905" t="s">
        <v>7562</v>
      </c>
      <c r="B905" s="1">
        <v>630</v>
      </c>
      <c r="C905" s="1">
        <v>14435</v>
      </c>
      <c r="D905">
        <v>23.1</v>
      </c>
      <c r="E905">
        <v>23.1</v>
      </c>
      <c r="F905">
        <v>22.8</v>
      </c>
      <c r="G905">
        <v>22.95</v>
      </c>
      <c r="H905">
        <v>-0.15</v>
      </c>
      <c r="I905" s="1">
        <v>350</v>
      </c>
    </row>
    <row r="906" spans="1:9" x14ac:dyDescent="0.25">
      <c r="A906" t="s">
        <v>7563</v>
      </c>
      <c r="B906" s="1">
        <v>424</v>
      </c>
      <c r="C906" s="1">
        <v>9696</v>
      </c>
      <c r="D906">
        <v>22.95</v>
      </c>
      <c r="E906">
        <v>23.05</v>
      </c>
      <c r="F906">
        <v>22.8</v>
      </c>
      <c r="G906">
        <v>22.85</v>
      </c>
      <c r="H906">
        <v>-0.1</v>
      </c>
      <c r="I906" s="1">
        <v>216</v>
      </c>
    </row>
    <row r="907" spans="1:9" x14ac:dyDescent="0.25">
      <c r="A907" t="s">
        <v>7564</v>
      </c>
      <c r="B907" s="1">
        <v>1123</v>
      </c>
      <c r="C907" s="1">
        <v>26416</v>
      </c>
      <c r="D907">
        <v>23.05</v>
      </c>
      <c r="E907">
        <v>23.75</v>
      </c>
      <c r="F907">
        <v>23.05</v>
      </c>
      <c r="G907">
        <v>23.5</v>
      </c>
      <c r="H907">
        <v>0.65</v>
      </c>
      <c r="I907" s="1">
        <v>584</v>
      </c>
    </row>
    <row r="908" spans="1:9" x14ac:dyDescent="0.25">
      <c r="A908" t="s">
        <v>7565</v>
      </c>
      <c r="B908" s="1">
        <v>885</v>
      </c>
      <c r="C908" s="1">
        <v>20594</v>
      </c>
      <c r="D908">
        <v>23.75</v>
      </c>
      <c r="E908">
        <v>23.75</v>
      </c>
      <c r="F908">
        <v>23.05</v>
      </c>
      <c r="G908">
        <v>23.1</v>
      </c>
      <c r="H908">
        <v>-0.4</v>
      </c>
      <c r="I908" s="1">
        <v>438</v>
      </c>
    </row>
    <row r="909" spans="1:9" x14ac:dyDescent="0.25">
      <c r="A909" t="s">
        <v>927</v>
      </c>
      <c r="B909" s="1"/>
      <c r="C909" s="1"/>
      <c r="I909" s="1"/>
    </row>
    <row r="913" spans="1:9" x14ac:dyDescent="0.25">
      <c r="A913" s="9" t="s">
        <v>7524</v>
      </c>
      <c r="B913" s="1">
        <v>590</v>
      </c>
      <c r="C913" s="1">
        <v>15422</v>
      </c>
      <c r="D913">
        <v>26.05</v>
      </c>
      <c r="E913">
        <v>26.3</v>
      </c>
      <c r="F913">
        <v>25.95</v>
      </c>
      <c r="G913">
        <v>26.1</v>
      </c>
      <c r="H913">
        <v>0</v>
      </c>
      <c r="I913" s="1">
        <v>293</v>
      </c>
    </row>
    <row r="914" spans="1:9" x14ac:dyDescent="0.25">
      <c r="A914" t="s">
        <v>7525</v>
      </c>
      <c r="B914" s="1">
        <v>487</v>
      </c>
      <c r="C914" s="1">
        <v>12679</v>
      </c>
      <c r="D914">
        <v>26.1</v>
      </c>
      <c r="E914">
        <v>26.1</v>
      </c>
      <c r="F914">
        <v>25.95</v>
      </c>
      <c r="G914">
        <v>26.1</v>
      </c>
      <c r="H914">
        <v>0</v>
      </c>
      <c r="I914" s="1">
        <v>306</v>
      </c>
    </row>
    <row r="915" spans="1:9" x14ac:dyDescent="0.25">
      <c r="A915" t="s">
        <v>7526</v>
      </c>
      <c r="B915" s="1">
        <v>270</v>
      </c>
      <c r="C915" s="1">
        <v>7088</v>
      </c>
      <c r="D915">
        <v>25.9</v>
      </c>
      <c r="E915">
        <v>26.4</v>
      </c>
      <c r="F915">
        <v>25.9</v>
      </c>
      <c r="G915">
        <v>26.35</v>
      </c>
      <c r="H915">
        <v>0.25</v>
      </c>
      <c r="I915" s="1">
        <v>193</v>
      </c>
    </row>
    <row r="916" spans="1:9" x14ac:dyDescent="0.25">
      <c r="A916" t="s">
        <v>7527</v>
      </c>
      <c r="B916" s="1">
        <v>355</v>
      </c>
      <c r="C916" s="1">
        <v>9334</v>
      </c>
      <c r="D916">
        <v>26.35</v>
      </c>
      <c r="E916">
        <v>26.5</v>
      </c>
      <c r="F916">
        <v>26.15</v>
      </c>
      <c r="G916">
        <v>26.15</v>
      </c>
      <c r="H916">
        <v>-0.2</v>
      </c>
      <c r="I916" s="1">
        <v>202</v>
      </c>
    </row>
    <row r="917" spans="1:9" x14ac:dyDescent="0.25">
      <c r="A917" t="s">
        <v>7528</v>
      </c>
      <c r="B917" s="1">
        <v>427</v>
      </c>
      <c r="C917" s="1">
        <v>11139</v>
      </c>
      <c r="D917">
        <v>26.15</v>
      </c>
      <c r="E917">
        <v>26.35</v>
      </c>
      <c r="F917">
        <v>26</v>
      </c>
      <c r="G917">
        <v>26.1</v>
      </c>
      <c r="H917">
        <v>-0.05</v>
      </c>
      <c r="I917" s="1">
        <v>213</v>
      </c>
    </row>
    <row r="918" spans="1:9" x14ac:dyDescent="0.25">
      <c r="A918" t="s">
        <v>7529</v>
      </c>
      <c r="B918" s="1">
        <v>1455</v>
      </c>
      <c r="C918" s="1">
        <v>38865</v>
      </c>
      <c r="D918">
        <v>26</v>
      </c>
      <c r="E918">
        <v>27</v>
      </c>
      <c r="F918">
        <v>26</v>
      </c>
      <c r="G918">
        <v>26.55</v>
      </c>
      <c r="H918">
        <v>0.45</v>
      </c>
      <c r="I918" s="1">
        <v>801</v>
      </c>
    </row>
    <row r="919" spans="1:9" x14ac:dyDescent="0.25">
      <c r="A919" t="s">
        <v>7530</v>
      </c>
      <c r="B919" s="1">
        <v>771</v>
      </c>
      <c r="C919" s="1">
        <v>20453</v>
      </c>
      <c r="D919">
        <v>26.65</v>
      </c>
      <c r="E919">
        <v>26.95</v>
      </c>
      <c r="F919">
        <v>26.15</v>
      </c>
      <c r="G919">
        <v>26.2</v>
      </c>
      <c r="H919">
        <v>-0.35</v>
      </c>
      <c r="I919" s="1">
        <v>381</v>
      </c>
    </row>
    <row r="920" spans="1:9" x14ac:dyDescent="0.25">
      <c r="A920" t="s">
        <v>7531</v>
      </c>
      <c r="B920" s="1">
        <v>1137</v>
      </c>
      <c r="C920" s="1">
        <v>28840</v>
      </c>
      <c r="D920">
        <v>25.5</v>
      </c>
      <c r="E920">
        <v>25.75</v>
      </c>
      <c r="F920">
        <v>25.1</v>
      </c>
      <c r="G920">
        <v>25.1</v>
      </c>
      <c r="H920">
        <v>-1.1000000000000001</v>
      </c>
      <c r="I920" s="1">
        <v>465</v>
      </c>
    </row>
    <row r="921" spans="1:9" x14ac:dyDescent="0.25">
      <c r="A921" t="s">
        <v>7532</v>
      </c>
      <c r="B921" s="1">
        <v>692</v>
      </c>
      <c r="C921" s="1">
        <v>17235</v>
      </c>
      <c r="D921">
        <v>24.85</v>
      </c>
      <c r="E921">
        <v>25.05</v>
      </c>
      <c r="F921">
        <v>24.75</v>
      </c>
      <c r="G921">
        <v>24.9</v>
      </c>
      <c r="H921">
        <v>-0.2</v>
      </c>
      <c r="I921" s="1">
        <v>307</v>
      </c>
    </row>
    <row r="922" spans="1:9" x14ac:dyDescent="0.25">
      <c r="A922" t="s">
        <v>7533</v>
      </c>
      <c r="B922" s="1">
        <v>705</v>
      </c>
      <c r="C922" s="1">
        <v>17263</v>
      </c>
      <c r="D922">
        <v>24.9</v>
      </c>
      <c r="E922">
        <v>25.2</v>
      </c>
      <c r="F922">
        <v>23.8</v>
      </c>
      <c r="G922">
        <v>23.9</v>
      </c>
      <c r="H922">
        <v>-1</v>
      </c>
      <c r="I922" s="1">
        <v>379</v>
      </c>
    </row>
    <row r="923" spans="1:9" x14ac:dyDescent="0.25">
      <c r="A923" t="s">
        <v>7534</v>
      </c>
      <c r="B923" s="1">
        <v>1330</v>
      </c>
      <c r="C923" s="1">
        <v>30580</v>
      </c>
      <c r="D923">
        <v>23.7</v>
      </c>
      <c r="E923">
        <v>23.7</v>
      </c>
      <c r="F923">
        <v>22.55</v>
      </c>
      <c r="G923">
        <v>23.15</v>
      </c>
      <c r="H923">
        <v>-0.75</v>
      </c>
      <c r="I923" s="1">
        <v>600</v>
      </c>
    </row>
    <row r="924" spans="1:9" x14ac:dyDescent="0.25">
      <c r="A924" t="s">
        <v>7535</v>
      </c>
      <c r="B924" s="1">
        <v>861</v>
      </c>
      <c r="C924" s="1">
        <v>19761</v>
      </c>
      <c r="D924">
        <v>23.3</v>
      </c>
      <c r="E924">
        <v>23.4</v>
      </c>
      <c r="F924">
        <v>22.7</v>
      </c>
      <c r="G924">
        <v>22.95</v>
      </c>
      <c r="H924">
        <v>-0.2</v>
      </c>
      <c r="I924" s="1">
        <v>426</v>
      </c>
    </row>
    <row r="925" spans="1:9" x14ac:dyDescent="0.25">
      <c r="A925" t="s">
        <v>7536</v>
      </c>
      <c r="B925" s="1">
        <v>552</v>
      </c>
      <c r="C925" s="1">
        <v>12870</v>
      </c>
      <c r="D925">
        <v>23.4</v>
      </c>
      <c r="E925">
        <v>23.55</v>
      </c>
      <c r="F925">
        <v>23.1</v>
      </c>
      <c r="G925">
        <v>23.2</v>
      </c>
      <c r="H925">
        <v>0.25</v>
      </c>
      <c r="I925" s="1">
        <v>270</v>
      </c>
    </row>
    <row r="926" spans="1:9" x14ac:dyDescent="0.25">
      <c r="A926" t="s">
        <v>7537</v>
      </c>
      <c r="B926" s="1">
        <v>434</v>
      </c>
      <c r="C926" s="1">
        <v>10161</v>
      </c>
      <c r="D926">
        <v>23.2</v>
      </c>
      <c r="E926">
        <v>23.65</v>
      </c>
      <c r="F926">
        <v>23.2</v>
      </c>
      <c r="G926">
        <v>23.35</v>
      </c>
      <c r="H926">
        <v>0.15</v>
      </c>
      <c r="I926" s="1">
        <v>237</v>
      </c>
    </row>
    <row r="927" spans="1:9" x14ac:dyDescent="0.25">
      <c r="A927" t="s">
        <v>7538</v>
      </c>
      <c r="B927" s="1">
        <v>577</v>
      </c>
      <c r="C927" s="1">
        <v>13738</v>
      </c>
      <c r="D927">
        <v>23.6</v>
      </c>
      <c r="E927">
        <v>23.95</v>
      </c>
      <c r="F927">
        <v>23.6</v>
      </c>
      <c r="G927">
        <v>23.9</v>
      </c>
      <c r="H927">
        <v>0.55000000000000004</v>
      </c>
      <c r="I927" s="1">
        <v>304</v>
      </c>
    </row>
    <row r="928" spans="1:9" x14ac:dyDescent="0.25">
      <c r="A928" t="s">
        <v>7539</v>
      </c>
      <c r="B928" s="1">
        <v>346</v>
      </c>
      <c r="C928" s="1">
        <v>8311</v>
      </c>
      <c r="D928">
        <v>23.9</v>
      </c>
      <c r="E928">
        <v>24.2</v>
      </c>
      <c r="F928">
        <v>23.9</v>
      </c>
      <c r="G928">
        <v>24.2</v>
      </c>
      <c r="H928">
        <v>0.3</v>
      </c>
      <c r="I928" s="1">
        <v>211</v>
      </c>
    </row>
    <row r="929" spans="1:9" x14ac:dyDescent="0.25">
      <c r="A929" t="s">
        <v>7540</v>
      </c>
      <c r="B929" s="1">
        <v>409</v>
      </c>
      <c r="C929" s="1">
        <v>9713</v>
      </c>
      <c r="D929">
        <v>24.3</v>
      </c>
      <c r="E929">
        <v>24.3</v>
      </c>
      <c r="F929">
        <v>23.55</v>
      </c>
      <c r="G929">
        <v>23.6</v>
      </c>
      <c r="H929">
        <v>-0.6</v>
      </c>
      <c r="I929" s="1">
        <v>242</v>
      </c>
    </row>
    <row r="930" spans="1:9" x14ac:dyDescent="0.25">
      <c r="A930" t="s">
        <v>7541</v>
      </c>
      <c r="B930" s="1">
        <v>641</v>
      </c>
      <c r="C930" s="1">
        <v>14808</v>
      </c>
      <c r="D930">
        <v>23.7</v>
      </c>
      <c r="E930">
        <v>23.8</v>
      </c>
      <c r="F930">
        <v>22.9</v>
      </c>
      <c r="G930">
        <v>22.9</v>
      </c>
      <c r="H930">
        <v>-0.7</v>
      </c>
      <c r="I930" s="1">
        <v>328</v>
      </c>
    </row>
    <row r="931" spans="1:9" x14ac:dyDescent="0.25">
      <c r="A931" t="s">
        <v>7542</v>
      </c>
      <c r="B931" s="1">
        <v>295</v>
      </c>
      <c r="C931" s="1">
        <v>6845</v>
      </c>
      <c r="D931">
        <v>23</v>
      </c>
      <c r="E931">
        <v>23.4</v>
      </c>
      <c r="F931">
        <v>23</v>
      </c>
      <c r="G931">
        <v>23.35</v>
      </c>
      <c r="H931">
        <v>0.45</v>
      </c>
      <c r="I931" s="1">
        <v>166</v>
      </c>
    </row>
    <row r="932" spans="1:9" x14ac:dyDescent="0.25">
      <c r="A932" t="s">
        <v>7543</v>
      </c>
      <c r="B932" s="1">
        <v>778</v>
      </c>
      <c r="C932" s="1">
        <v>18573</v>
      </c>
      <c r="D932">
        <v>23.5</v>
      </c>
      <c r="E932">
        <v>24.1</v>
      </c>
      <c r="F932">
        <v>23.45</v>
      </c>
      <c r="G932">
        <v>23.8</v>
      </c>
      <c r="H932">
        <v>0.45</v>
      </c>
      <c r="I932" s="1">
        <v>349</v>
      </c>
    </row>
    <row r="933" spans="1:9" x14ac:dyDescent="0.25">
      <c r="A933" t="s">
        <v>7544</v>
      </c>
      <c r="B933" s="1">
        <v>370</v>
      </c>
      <c r="C933" s="1">
        <v>8742</v>
      </c>
      <c r="D933">
        <v>23.8</v>
      </c>
      <c r="E933">
        <v>23.85</v>
      </c>
      <c r="F933">
        <v>23.5</v>
      </c>
      <c r="G933">
        <v>23.75</v>
      </c>
      <c r="H933">
        <v>-0.05</v>
      </c>
      <c r="I933" s="1">
        <v>162</v>
      </c>
    </row>
    <row r="934" spans="1:9" x14ac:dyDescent="0.25">
      <c r="A934" t="s">
        <v>7545</v>
      </c>
      <c r="B934" s="1">
        <v>441</v>
      </c>
      <c r="C934" s="1">
        <v>10518</v>
      </c>
      <c r="D934">
        <v>23.9</v>
      </c>
      <c r="E934">
        <v>24</v>
      </c>
      <c r="F934">
        <v>23.6</v>
      </c>
      <c r="G934">
        <v>23.95</v>
      </c>
      <c r="H934">
        <v>0.2</v>
      </c>
      <c r="I934" s="1">
        <v>213</v>
      </c>
    </row>
    <row r="935" spans="1:9" x14ac:dyDescent="0.25">
      <c r="A935" t="s">
        <v>1177</v>
      </c>
      <c r="B935" s="1"/>
      <c r="C935" s="1"/>
      <c r="I935" s="1"/>
    </row>
    <row r="937" spans="1:9" x14ac:dyDescent="0.25">
      <c r="A937" s="9" t="s">
        <v>7503</v>
      </c>
      <c r="B937" s="1">
        <v>533</v>
      </c>
      <c r="C937" s="1">
        <v>14782</v>
      </c>
      <c r="D937">
        <v>27.95</v>
      </c>
      <c r="E937">
        <v>27.95</v>
      </c>
      <c r="F937">
        <v>27.6</v>
      </c>
      <c r="G937">
        <v>27.65</v>
      </c>
      <c r="H937">
        <v>-0.1</v>
      </c>
      <c r="I937" s="1">
        <v>230</v>
      </c>
    </row>
    <row r="938" spans="1:9" x14ac:dyDescent="0.25">
      <c r="A938" t="s">
        <v>7504</v>
      </c>
      <c r="B938" s="1">
        <v>797</v>
      </c>
      <c r="C938" s="1">
        <v>22029</v>
      </c>
      <c r="D938">
        <v>27.65</v>
      </c>
      <c r="E938">
        <v>28</v>
      </c>
      <c r="F938">
        <v>27.2</v>
      </c>
      <c r="G938">
        <v>27.6</v>
      </c>
      <c r="H938">
        <v>-0.05</v>
      </c>
      <c r="I938" s="1">
        <v>375</v>
      </c>
    </row>
    <row r="939" spans="1:9" x14ac:dyDescent="0.25">
      <c r="A939" t="s">
        <v>7505</v>
      </c>
      <c r="B939" s="1">
        <v>430</v>
      </c>
      <c r="C939" s="1">
        <v>11861</v>
      </c>
      <c r="D939">
        <v>27.6</v>
      </c>
      <c r="E939">
        <v>27.8</v>
      </c>
      <c r="F939">
        <v>27.35</v>
      </c>
      <c r="G939">
        <v>27.65</v>
      </c>
      <c r="H939">
        <v>0.05</v>
      </c>
      <c r="I939" s="1">
        <v>214</v>
      </c>
    </row>
    <row r="940" spans="1:9" x14ac:dyDescent="0.25">
      <c r="A940" t="s">
        <v>7506</v>
      </c>
      <c r="B940" s="1">
        <v>766</v>
      </c>
      <c r="C940" s="1">
        <v>21224</v>
      </c>
      <c r="D940">
        <v>27.7</v>
      </c>
      <c r="E940">
        <v>28</v>
      </c>
      <c r="F940">
        <v>27.55</v>
      </c>
      <c r="G940">
        <v>27.55</v>
      </c>
      <c r="H940">
        <v>-0.1</v>
      </c>
      <c r="I940" s="1">
        <v>354</v>
      </c>
    </row>
    <row r="941" spans="1:9" x14ac:dyDescent="0.25">
      <c r="A941" t="s">
        <v>7507</v>
      </c>
      <c r="B941" s="1">
        <v>331</v>
      </c>
      <c r="C941" s="1">
        <v>9149</v>
      </c>
      <c r="D941">
        <v>27.8</v>
      </c>
      <c r="E941">
        <v>27.8</v>
      </c>
      <c r="F941">
        <v>27.55</v>
      </c>
      <c r="G941">
        <v>27.6</v>
      </c>
      <c r="H941">
        <v>0.05</v>
      </c>
      <c r="I941" s="1">
        <v>189</v>
      </c>
    </row>
    <row r="942" spans="1:9" x14ac:dyDescent="0.25">
      <c r="A942" t="s">
        <v>7508</v>
      </c>
      <c r="B942" s="1">
        <v>496</v>
      </c>
      <c r="C942" s="1">
        <v>13689</v>
      </c>
      <c r="D942">
        <v>27.9</v>
      </c>
      <c r="E942">
        <v>27.9</v>
      </c>
      <c r="F942">
        <v>27.5</v>
      </c>
      <c r="G942">
        <v>27.6</v>
      </c>
      <c r="H942">
        <v>0</v>
      </c>
      <c r="I942" s="1">
        <v>231</v>
      </c>
    </row>
    <row r="943" spans="1:9" x14ac:dyDescent="0.25">
      <c r="A943" t="s">
        <v>7509</v>
      </c>
      <c r="B943" s="1">
        <v>978</v>
      </c>
      <c r="C943" s="1">
        <v>26582</v>
      </c>
      <c r="D943">
        <v>27.4</v>
      </c>
      <c r="E943">
        <v>27.5</v>
      </c>
      <c r="F943">
        <v>27.05</v>
      </c>
      <c r="G943">
        <v>27.2</v>
      </c>
      <c r="H943">
        <v>-0.4</v>
      </c>
      <c r="I943" s="1">
        <v>398</v>
      </c>
    </row>
    <row r="944" spans="1:9" x14ac:dyDescent="0.25">
      <c r="A944" t="s">
        <v>7510</v>
      </c>
      <c r="B944" s="1">
        <v>453</v>
      </c>
      <c r="C944" s="1">
        <v>12302</v>
      </c>
      <c r="D944">
        <v>27.2</v>
      </c>
      <c r="E944">
        <v>27.35</v>
      </c>
      <c r="F944">
        <v>27</v>
      </c>
      <c r="G944">
        <v>27.1</v>
      </c>
      <c r="H944">
        <v>-0.1</v>
      </c>
      <c r="I944" s="1">
        <v>234</v>
      </c>
    </row>
    <row r="945" spans="1:9" x14ac:dyDescent="0.25">
      <c r="A945" t="s">
        <v>7511</v>
      </c>
      <c r="B945" s="1">
        <v>651</v>
      </c>
      <c r="C945" s="1">
        <v>17591</v>
      </c>
      <c r="D945">
        <v>27.1</v>
      </c>
      <c r="E945">
        <v>27.5</v>
      </c>
      <c r="F945">
        <v>26.85</v>
      </c>
      <c r="G945">
        <v>27</v>
      </c>
      <c r="H945">
        <v>-0.1</v>
      </c>
      <c r="I945" s="1">
        <v>334</v>
      </c>
    </row>
    <row r="946" spans="1:9" x14ac:dyDescent="0.25">
      <c r="A946" t="s">
        <v>7512</v>
      </c>
      <c r="B946" s="1">
        <v>258</v>
      </c>
      <c r="C946" s="1">
        <v>6965</v>
      </c>
      <c r="D946">
        <v>27</v>
      </c>
      <c r="E946">
        <v>27.2</v>
      </c>
      <c r="F946">
        <v>26.9</v>
      </c>
      <c r="G946">
        <v>27.1</v>
      </c>
      <c r="H946">
        <v>0.1</v>
      </c>
      <c r="I946" s="1">
        <v>150</v>
      </c>
    </row>
    <row r="947" spans="1:9" x14ac:dyDescent="0.25">
      <c r="A947" t="s">
        <v>7513</v>
      </c>
      <c r="B947" s="1">
        <v>595</v>
      </c>
      <c r="C947" s="1">
        <v>15798</v>
      </c>
      <c r="D947">
        <v>27.2</v>
      </c>
      <c r="E947">
        <v>27.2</v>
      </c>
      <c r="F947">
        <v>26.05</v>
      </c>
      <c r="G947">
        <v>26.65</v>
      </c>
      <c r="H947">
        <v>-0.45</v>
      </c>
      <c r="I947" s="1">
        <v>312</v>
      </c>
    </row>
    <row r="948" spans="1:9" x14ac:dyDescent="0.25">
      <c r="A948" t="s">
        <v>7514</v>
      </c>
      <c r="B948" s="1">
        <v>535</v>
      </c>
      <c r="C948" s="1">
        <v>14382</v>
      </c>
      <c r="D948">
        <v>26.8</v>
      </c>
      <c r="E948">
        <v>27</v>
      </c>
      <c r="F948">
        <v>26.65</v>
      </c>
      <c r="G948">
        <v>26.9</v>
      </c>
      <c r="H948">
        <v>0.25</v>
      </c>
      <c r="I948" s="1">
        <v>281</v>
      </c>
    </row>
    <row r="949" spans="1:9" x14ac:dyDescent="0.25">
      <c r="A949" t="s">
        <v>7515</v>
      </c>
      <c r="B949" s="1">
        <v>617</v>
      </c>
      <c r="C949" s="1">
        <v>16600</v>
      </c>
      <c r="D949">
        <v>27</v>
      </c>
      <c r="E949">
        <v>27.1</v>
      </c>
      <c r="F949">
        <v>26.55</v>
      </c>
      <c r="G949">
        <v>27.1</v>
      </c>
      <c r="H949">
        <v>0.2</v>
      </c>
      <c r="I949" s="1">
        <v>294</v>
      </c>
    </row>
    <row r="950" spans="1:9" x14ac:dyDescent="0.25">
      <c r="A950" t="s">
        <v>7516</v>
      </c>
      <c r="B950" s="1">
        <v>482</v>
      </c>
      <c r="C950" s="1">
        <v>13131</v>
      </c>
      <c r="D950">
        <v>27.2</v>
      </c>
      <c r="E950">
        <v>27.5</v>
      </c>
      <c r="F950">
        <v>27</v>
      </c>
      <c r="G950">
        <v>27.3</v>
      </c>
      <c r="H950">
        <v>0.2</v>
      </c>
      <c r="I950" s="1">
        <v>230</v>
      </c>
    </row>
    <row r="951" spans="1:9" x14ac:dyDescent="0.25">
      <c r="A951" t="s">
        <v>7517</v>
      </c>
      <c r="B951" s="1">
        <v>317</v>
      </c>
      <c r="C951" s="1">
        <v>8521</v>
      </c>
      <c r="D951">
        <v>27.15</v>
      </c>
      <c r="E951">
        <v>27.2</v>
      </c>
      <c r="F951">
        <v>26.55</v>
      </c>
      <c r="G951">
        <v>26.9</v>
      </c>
      <c r="H951">
        <v>-0.4</v>
      </c>
      <c r="I951" s="1">
        <v>178</v>
      </c>
    </row>
    <row r="952" spans="1:9" x14ac:dyDescent="0.25">
      <c r="A952" t="s">
        <v>7518</v>
      </c>
      <c r="B952" s="1">
        <v>417</v>
      </c>
      <c r="C952" s="1">
        <v>11285</v>
      </c>
      <c r="D952">
        <v>26.8</v>
      </c>
      <c r="E952">
        <v>27.45</v>
      </c>
      <c r="F952">
        <v>26.7</v>
      </c>
      <c r="G952">
        <v>26.95</v>
      </c>
      <c r="H952">
        <v>0.05</v>
      </c>
      <c r="I952" s="1">
        <v>209</v>
      </c>
    </row>
    <row r="953" spans="1:9" x14ac:dyDescent="0.25">
      <c r="A953" t="s">
        <v>7519</v>
      </c>
      <c r="B953" s="1">
        <v>503</v>
      </c>
      <c r="C953" s="1">
        <v>13508</v>
      </c>
      <c r="D953">
        <v>27</v>
      </c>
      <c r="E953">
        <v>27.3</v>
      </c>
      <c r="F953">
        <v>26.65</v>
      </c>
      <c r="G953">
        <v>26.8</v>
      </c>
      <c r="H953">
        <v>-0.15</v>
      </c>
      <c r="I953" s="1">
        <v>244</v>
      </c>
    </row>
    <row r="954" spans="1:9" x14ac:dyDescent="0.25">
      <c r="A954" t="s">
        <v>7520</v>
      </c>
      <c r="B954" s="1">
        <v>755</v>
      </c>
      <c r="C954" s="1">
        <v>20124</v>
      </c>
      <c r="D954">
        <v>26.9</v>
      </c>
      <c r="E954">
        <v>27.15</v>
      </c>
      <c r="F954">
        <v>26.35</v>
      </c>
      <c r="G954">
        <v>26.5</v>
      </c>
      <c r="H954">
        <v>-0.3</v>
      </c>
      <c r="I954" s="1">
        <v>333</v>
      </c>
    </row>
    <row r="955" spans="1:9" x14ac:dyDescent="0.25">
      <c r="A955" t="s">
        <v>7521</v>
      </c>
      <c r="B955" s="1">
        <v>499</v>
      </c>
      <c r="C955" s="1">
        <v>13194</v>
      </c>
      <c r="D955">
        <v>26.2</v>
      </c>
      <c r="E955">
        <v>26.85</v>
      </c>
      <c r="F955">
        <v>26.2</v>
      </c>
      <c r="G955">
        <v>26.4</v>
      </c>
      <c r="H955">
        <v>-0.1</v>
      </c>
      <c r="I955" s="1">
        <v>291</v>
      </c>
    </row>
    <row r="956" spans="1:9" x14ac:dyDescent="0.25">
      <c r="A956" t="s">
        <v>7522</v>
      </c>
      <c r="B956" s="1">
        <v>518</v>
      </c>
      <c r="C956" s="1">
        <v>13651</v>
      </c>
      <c r="D956">
        <v>26.45</v>
      </c>
      <c r="E956">
        <v>26.45</v>
      </c>
      <c r="F956">
        <v>26.2</v>
      </c>
      <c r="G956">
        <v>26.3</v>
      </c>
      <c r="H956">
        <v>-0.1</v>
      </c>
      <c r="I956" s="1">
        <v>255</v>
      </c>
    </row>
    <row r="957" spans="1:9" x14ac:dyDescent="0.25">
      <c r="A957" t="s">
        <v>7523</v>
      </c>
      <c r="B957" s="1">
        <v>1217</v>
      </c>
      <c r="C957" s="1">
        <v>31821</v>
      </c>
      <c r="D957">
        <v>26.3</v>
      </c>
      <c r="E957">
        <v>26.95</v>
      </c>
      <c r="F957">
        <v>25.75</v>
      </c>
      <c r="G957">
        <v>26.1</v>
      </c>
      <c r="H957">
        <v>-0.2</v>
      </c>
      <c r="I957" s="1">
        <v>475</v>
      </c>
    </row>
    <row r="958" spans="1:9" x14ac:dyDescent="0.25">
      <c r="A958" t="s">
        <v>973</v>
      </c>
      <c r="B958" s="1"/>
      <c r="C958" s="1"/>
      <c r="I958" s="1"/>
    </row>
    <row r="961" spans="1:9" x14ac:dyDescent="0.25">
      <c r="A961" s="9" t="s">
        <v>7482</v>
      </c>
      <c r="B961" s="1">
        <v>1109</v>
      </c>
      <c r="C961" s="1">
        <v>30799</v>
      </c>
      <c r="D961">
        <v>27.95</v>
      </c>
      <c r="E961">
        <v>28</v>
      </c>
      <c r="F961">
        <v>27.6</v>
      </c>
      <c r="G961">
        <v>27.9</v>
      </c>
      <c r="H961">
        <v>-0.2</v>
      </c>
      <c r="I961" s="1">
        <v>436</v>
      </c>
    </row>
    <row r="962" spans="1:9" x14ac:dyDescent="0.25">
      <c r="A962" t="s">
        <v>7483</v>
      </c>
      <c r="B962" s="1">
        <v>630</v>
      </c>
      <c r="C962" s="1">
        <v>17640</v>
      </c>
      <c r="D962">
        <v>28</v>
      </c>
      <c r="E962">
        <v>28.25</v>
      </c>
      <c r="F962">
        <v>27.8</v>
      </c>
      <c r="G962">
        <v>27.9</v>
      </c>
      <c r="H962">
        <v>0</v>
      </c>
      <c r="I962" s="1">
        <v>326</v>
      </c>
    </row>
    <row r="963" spans="1:9" x14ac:dyDescent="0.25">
      <c r="A963" t="s">
        <v>7484</v>
      </c>
      <c r="B963" s="1">
        <v>735</v>
      </c>
      <c r="C963" s="1">
        <v>20498</v>
      </c>
      <c r="D963">
        <v>28.3</v>
      </c>
      <c r="E963">
        <v>28.35</v>
      </c>
      <c r="F963">
        <v>27.7</v>
      </c>
      <c r="G963">
        <v>27.7</v>
      </c>
      <c r="H963">
        <v>-0.2</v>
      </c>
      <c r="I963" s="1">
        <v>354</v>
      </c>
    </row>
    <row r="964" spans="1:9" x14ac:dyDescent="0.25">
      <c r="A964" t="s">
        <v>7485</v>
      </c>
      <c r="B964" s="1">
        <v>2384</v>
      </c>
      <c r="C964" s="1">
        <v>63750</v>
      </c>
      <c r="D964">
        <v>27.7</v>
      </c>
      <c r="E964">
        <v>27.85</v>
      </c>
      <c r="F964">
        <v>26</v>
      </c>
      <c r="G964">
        <v>26.7</v>
      </c>
      <c r="H964">
        <v>-1</v>
      </c>
      <c r="I964" s="1">
        <v>1090</v>
      </c>
    </row>
    <row r="965" spans="1:9" x14ac:dyDescent="0.25">
      <c r="A965" t="s">
        <v>7486</v>
      </c>
      <c r="B965" s="1">
        <v>627</v>
      </c>
      <c r="C965" s="1">
        <v>16799</v>
      </c>
      <c r="D965">
        <v>26.7</v>
      </c>
      <c r="E965">
        <v>27</v>
      </c>
      <c r="F965">
        <v>26.7</v>
      </c>
      <c r="G965">
        <v>26.7</v>
      </c>
      <c r="H965">
        <v>0</v>
      </c>
      <c r="I965" s="1">
        <v>294</v>
      </c>
    </row>
    <row r="966" spans="1:9" x14ac:dyDescent="0.25">
      <c r="A966" t="s">
        <v>7487</v>
      </c>
      <c r="B966" s="1">
        <v>942</v>
      </c>
      <c r="C966" s="1">
        <v>24878</v>
      </c>
      <c r="D966">
        <v>26.7</v>
      </c>
      <c r="E966">
        <v>26.7</v>
      </c>
      <c r="F966">
        <v>26.25</v>
      </c>
      <c r="G966">
        <v>26.6</v>
      </c>
      <c r="H966">
        <v>-0.1</v>
      </c>
      <c r="I966" s="1">
        <v>406</v>
      </c>
    </row>
    <row r="967" spans="1:9" x14ac:dyDescent="0.25">
      <c r="A967" t="s">
        <v>7488</v>
      </c>
      <c r="B967" s="1">
        <v>1477</v>
      </c>
      <c r="C967" s="1">
        <v>40460</v>
      </c>
      <c r="D967">
        <v>27.6</v>
      </c>
      <c r="E967">
        <v>27.8</v>
      </c>
      <c r="F967">
        <v>27.25</v>
      </c>
      <c r="G967">
        <v>27.4</v>
      </c>
      <c r="H967">
        <v>0.8</v>
      </c>
      <c r="I967" s="1">
        <v>528</v>
      </c>
    </row>
    <row r="968" spans="1:9" x14ac:dyDescent="0.25">
      <c r="A968" t="s">
        <v>7489</v>
      </c>
      <c r="B968" s="1">
        <v>1126</v>
      </c>
      <c r="C968" s="1">
        <v>30606</v>
      </c>
      <c r="D968">
        <v>27.6</v>
      </c>
      <c r="E968">
        <v>27.6</v>
      </c>
      <c r="F968">
        <v>26.85</v>
      </c>
      <c r="G968">
        <v>26.9</v>
      </c>
      <c r="H968">
        <v>-0.5</v>
      </c>
      <c r="I968" s="1">
        <v>459</v>
      </c>
    </row>
    <row r="969" spans="1:9" x14ac:dyDescent="0.25">
      <c r="A969" t="s">
        <v>7490</v>
      </c>
      <c r="B969" s="1">
        <v>878</v>
      </c>
      <c r="C969" s="1">
        <v>23809</v>
      </c>
      <c r="D969">
        <v>26.9</v>
      </c>
      <c r="E969">
        <v>27.2</v>
      </c>
      <c r="F969">
        <v>26.9</v>
      </c>
      <c r="G969">
        <v>27.2</v>
      </c>
      <c r="H969">
        <v>0.3</v>
      </c>
      <c r="I969" s="1">
        <v>353</v>
      </c>
    </row>
    <row r="970" spans="1:9" x14ac:dyDescent="0.25">
      <c r="A970" t="s">
        <v>7491</v>
      </c>
      <c r="B970" s="1">
        <v>501</v>
      </c>
      <c r="C970" s="1">
        <v>13619</v>
      </c>
      <c r="D970">
        <v>27.45</v>
      </c>
      <c r="E970">
        <v>27.45</v>
      </c>
      <c r="F970">
        <v>27</v>
      </c>
      <c r="G970">
        <v>27</v>
      </c>
      <c r="H970">
        <v>-0.2</v>
      </c>
      <c r="I970" s="1">
        <v>302</v>
      </c>
    </row>
    <row r="971" spans="1:9" x14ac:dyDescent="0.25">
      <c r="A971" t="s">
        <v>7492</v>
      </c>
      <c r="B971" s="1">
        <v>817</v>
      </c>
      <c r="C971" s="1">
        <v>22241</v>
      </c>
      <c r="D971">
        <v>27.4</v>
      </c>
      <c r="E971">
        <v>27.5</v>
      </c>
      <c r="F971">
        <v>27</v>
      </c>
      <c r="G971">
        <v>27.2</v>
      </c>
      <c r="H971">
        <v>0.2</v>
      </c>
      <c r="I971" s="1">
        <v>388</v>
      </c>
    </row>
    <row r="972" spans="1:9" x14ac:dyDescent="0.25">
      <c r="A972" t="s">
        <v>7493</v>
      </c>
      <c r="B972" s="1">
        <v>1574</v>
      </c>
      <c r="C972" s="1">
        <v>42061</v>
      </c>
      <c r="D972">
        <v>27.6</v>
      </c>
      <c r="E972">
        <v>27.6</v>
      </c>
      <c r="F972">
        <v>26.1</v>
      </c>
      <c r="G972">
        <v>26.8</v>
      </c>
      <c r="H972">
        <v>-0.4</v>
      </c>
      <c r="I972" s="1">
        <v>643</v>
      </c>
    </row>
    <row r="973" spans="1:9" x14ac:dyDescent="0.25">
      <c r="A973" t="s">
        <v>7494</v>
      </c>
      <c r="B973" s="1">
        <v>907</v>
      </c>
      <c r="C973" s="1">
        <v>24407</v>
      </c>
      <c r="D973">
        <v>27.1</v>
      </c>
      <c r="E973">
        <v>27.35</v>
      </c>
      <c r="F973">
        <v>26.4</v>
      </c>
      <c r="G973">
        <v>26.9</v>
      </c>
      <c r="H973">
        <v>0.1</v>
      </c>
      <c r="I973" s="1">
        <v>441</v>
      </c>
    </row>
    <row r="974" spans="1:9" x14ac:dyDescent="0.25">
      <c r="A974" t="s">
        <v>7495</v>
      </c>
      <c r="B974" s="1">
        <v>1226</v>
      </c>
      <c r="C974" s="1">
        <v>33087</v>
      </c>
      <c r="D974">
        <v>26.9</v>
      </c>
      <c r="E974">
        <v>27.2</v>
      </c>
      <c r="F974">
        <v>26.55</v>
      </c>
      <c r="G974">
        <v>26.7</v>
      </c>
      <c r="H974">
        <v>-0.2</v>
      </c>
      <c r="I974" s="1">
        <v>565</v>
      </c>
    </row>
    <row r="975" spans="1:9" x14ac:dyDescent="0.25">
      <c r="A975" t="s">
        <v>7496</v>
      </c>
      <c r="B975" s="1">
        <v>639</v>
      </c>
      <c r="C975" s="1">
        <v>17145</v>
      </c>
      <c r="D975">
        <v>26.7</v>
      </c>
      <c r="E975">
        <v>27.2</v>
      </c>
      <c r="F975">
        <v>26.65</v>
      </c>
      <c r="G975">
        <v>26.95</v>
      </c>
      <c r="H975">
        <v>0.25</v>
      </c>
      <c r="I975" s="1">
        <v>357</v>
      </c>
    </row>
    <row r="976" spans="1:9" x14ac:dyDescent="0.25">
      <c r="A976" t="s">
        <v>7497</v>
      </c>
      <c r="B976" s="1">
        <v>760</v>
      </c>
      <c r="C976" s="1">
        <v>20598</v>
      </c>
      <c r="D976">
        <v>27.1</v>
      </c>
      <c r="E976">
        <v>27.3</v>
      </c>
      <c r="F976">
        <v>26.8</v>
      </c>
      <c r="G976">
        <v>27.05</v>
      </c>
      <c r="H976">
        <v>0.1</v>
      </c>
      <c r="I976" s="1">
        <v>457</v>
      </c>
    </row>
    <row r="977" spans="1:9" x14ac:dyDescent="0.25">
      <c r="A977" t="s">
        <v>7498</v>
      </c>
      <c r="B977" s="1">
        <v>1253</v>
      </c>
      <c r="C977" s="1">
        <v>34418</v>
      </c>
      <c r="D977">
        <v>27.1</v>
      </c>
      <c r="E977">
        <v>27.7</v>
      </c>
      <c r="F977">
        <v>27.1</v>
      </c>
      <c r="G977">
        <v>27.4</v>
      </c>
      <c r="H977">
        <v>0.35</v>
      </c>
      <c r="I977" s="1">
        <v>526</v>
      </c>
    </row>
    <row r="978" spans="1:9" x14ac:dyDescent="0.25">
      <c r="A978" t="s">
        <v>7499</v>
      </c>
      <c r="B978" s="1">
        <v>1132</v>
      </c>
      <c r="C978" s="1">
        <v>31393</v>
      </c>
      <c r="D978">
        <v>27.55</v>
      </c>
      <c r="E978">
        <v>28.15</v>
      </c>
      <c r="F978">
        <v>27.45</v>
      </c>
      <c r="G978">
        <v>27.55</v>
      </c>
      <c r="H978">
        <v>0.15</v>
      </c>
      <c r="I978" s="1">
        <v>548</v>
      </c>
    </row>
    <row r="979" spans="1:9" x14ac:dyDescent="0.25">
      <c r="A979" t="s">
        <v>7500</v>
      </c>
      <c r="B979" s="1">
        <v>760</v>
      </c>
      <c r="C979" s="1">
        <v>21119</v>
      </c>
      <c r="D979">
        <v>27.8</v>
      </c>
      <c r="E979">
        <v>27.95</v>
      </c>
      <c r="F979">
        <v>27.6</v>
      </c>
      <c r="G979">
        <v>27.6</v>
      </c>
      <c r="H979">
        <v>0.05</v>
      </c>
      <c r="I979" s="1">
        <v>435</v>
      </c>
    </row>
    <row r="980" spans="1:9" x14ac:dyDescent="0.25">
      <c r="A980" t="s">
        <v>7501</v>
      </c>
      <c r="B980" s="1">
        <v>624</v>
      </c>
      <c r="C980" s="1">
        <v>17353</v>
      </c>
      <c r="D980">
        <v>27.8</v>
      </c>
      <c r="E980">
        <v>27.9</v>
      </c>
      <c r="F980">
        <v>27.7</v>
      </c>
      <c r="G980">
        <v>27.85</v>
      </c>
      <c r="H980">
        <v>0.25</v>
      </c>
      <c r="I980" s="1">
        <v>337</v>
      </c>
    </row>
    <row r="981" spans="1:9" x14ac:dyDescent="0.25">
      <c r="A981" t="s">
        <v>7502</v>
      </c>
      <c r="B981" s="1">
        <v>505</v>
      </c>
      <c r="C981" s="1">
        <v>14043</v>
      </c>
      <c r="D981">
        <v>28</v>
      </c>
      <c r="E981">
        <v>28.05</v>
      </c>
      <c r="F981">
        <v>27.7</v>
      </c>
      <c r="G981">
        <v>27.75</v>
      </c>
      <c r="H981">
        <v>-0.1</v>
      </c>
      <c r="I981" s="1">
        <v>221</v>
      </c>
    </row>
    <row r="982" spans="1:9" x14ac:dyDescent="0.25">
      <c r="A982" t="s">
        <v>973</v>
      </c>
      <c r="B982" s="1"/>
      <c r="C982" s="1"/>
      <c r="I982" s="1"/>
    </row>
    <row r="985" spans="1:9" x14ac:dyDescent="0.25">
      <c r="A985" s="9" t="s">
        <v>7460</v>
      </c>
      <c r="B985" s="1">
        <v>1301</v>
      </c>
      <c r="C985" s="1">
        <v>38019</v>
      </c>
      <c r="D985">
        <v>29.3</v>
      </c>
      <c r="E985">
        <v>29.45</v>
      </c>
      <c r="F985">
        <v>29.05</v>
      </c>
      <c r="G985">
        <v>29.15</v>
      </c>
      <c r="H985">
        <v>-0.1</v>
      </c>
      <c r="I985" s="1">
        <v>531</v>
      </c>
    </row>
    <row r="986" spans="1:9" x14ac:dyDescent="0.25">
      <c r="A986" t="s">
        <v>7461</v>
      </c>
      <c r="B986" s="1">
        <v>1796</v>
      </c>
      <c r="C986" s="1">
        <v>52555</v>
      </c>
      <c r="D986">
        <v>29.15</v>
      </c>
      <c r="E986">
        <v>29.8</v>
      </c>
      <c r="F986">
        <v>28.85</v>
      </c>
      <c r="G986">
        <v>28.9</v>
      </c>
      <c r="H986">
        <v>-0.25</v>
      </c>
      <c r="I986" s="1">
        <v>810</v>
      </c>
    </row>
    <row r="987" spans="1:9" x14ac:dyDescent="0.25">
      <c r="A987" t="s">
        <v>7462</v>
      </c>
      <c r="B987" s="1">
        <v>921</v>
      </c>
      <c r="C987" s="1">
        <v>26843</v>
      </c>
      <c r="D987">
        <v>29.05</v>
      </c>
      <c r="E987">
        <v>29.45</v>
      </c>
      <c r="F987">
        <v>29</v>
      </c>
      <c r="G987">
        <v>29.1</v>
      </c>
      <c r="H987">
        <v>0.2</v>
      </c>
      <c r="I987" s="1">
        <v>384</v>
      </c>
    </row>
    <row r="988" spans="1:9" x14ac:dyDescent="0.25">
      <c r="A988" t="s">
        <v>7463</v>
      </c>
      <c r="B988" s="1">
        <v>1164</v>
      </c>
      <c r="C988" s="1">
        <v>33845</v>
      </c>
      <c r="D988">
        <v>29.3</v>
      </c>
      <c r="E988">
        <v>29.5</v>
      </c>
      <c r="F988">
        <v>28.8</v>
      </c>
      <c r="G988">
        <v>29</v>
      </c>
      <c r="H988">
        <v>-0.1</v>
      </c>
      <c r="I988" s="1">
        <v>504</v>
      </c>
    </row>
    <row r="989" spans="1:9" x14ac:dyDescent="0.25">
      <c r="A989" t="s">
        <v>7464</v>
      </c>
      <c r="B989" s="1">
        <v>677</v>
      </c>
      <c r="C989" s="1">
        <v>19476</v>
      </c>
      <c r="D989">
        <v>28.9</v>
      </c>
      <c r="E989">
        <v>29.2</v>
      </c>
      <c r="F989">
        <v>28.6</v>
      </c>
      <c r="G989">
        <v>28.85</v>
      </c>
      <c r="H989">
        <v>-0.15</v>
      </c>
      <c r="I989" s="1">
        <v>349</v>
      </c>
    </row>
    <row r="990" spans="1:9" x14ac:dyDescent="0.25">
      <c r="A990" t="s">
        <v>7465</v>
      </c>
      <c r="B990" s="1">
        <v>959</v>
      </c>
      <c r="C990" s="1">
        <v>27598</v>
      </c>
      <c r="D990">
        <v>28.6</v>
      </c>
      <c r="E990">
        <v>29.15</v>
      </c>
      <c r="F990">
        <v>28.6</v>
      </c>
      <c r="G990">
        <v>28.7</v>
      </c>
      <c r="H990">
        <v>-0.15</v>
      </c>
      <c r="I990" s="1">
        <v>399</v>
      </c>
    </row>
    <row r="991" spans="1:9" x14ac:dyDescent="0.25">
      <c r="A991" t="s">
        <v>7466</v>
      </c>
      <c r="B991" s="1">
        <v>939</v>
      </c>
      <c r="C991" s="1">
        <v>27012</v>
      </c>
      <c r="D991">
        <v>28.55</v>
      </c>
      <c r="E991">
        <v>29.1</v>
      </c>
      <c r="F991">
        <v>28.55</v>
      </c>
      <c r="G991">
        <v>28.7</v>
      </c>
      <c r="H991">
        <v>0</v>
      </c>
      <c r="I991" s="1">
        <v>514</v>
      </c>
    </row>
    <row r="992" spans="1:9" x14ac:dyDescent="0.25">
      <c r="A992" t="s">
        <v>7467</v>
      </c>
      <c r="B992" s="1">
        <v>2326</v>
      </c>
      <c r="C992" s="1">
        <v>68003</v>
      </c>
      <c r="D992">
        <v>29.2</v>
      </c>
      <c r="E992">
        <v>29.5</v>
      </c>
      <c r="F992">
        <v>28.75</v>
      </c>
      <c r="G992">
        <v>29</v>
      </c>
      <c r="H992">
        <v>0.3</v>
      </c>
      <c r="I992" s="1">
        <v>987</v>
      </c>
    </row>
    <row r="993" spans="1:9" x14ac:dyDescent="0.25">
      <c r="A993" t="s">
        <v>7468</v>
      </c>
      <c r="B993" s="1">
        <v>1766</v>
      </c>
      <c r="C993" s="1">
        <v>51035</v>
      </c>
      <c r="D993">
        <v>29.2</v>
      </c>
      <c r="E993">
        <v>29.4</v>
      </c>
      <c r="F993">
        <v>28.5</v>
      </c>
      <c r="G993">
        <v>28.5</v>
      </c>
      <c r="H993">
        <v>-0.5</v>
      </c>
      <c r="I993" s="1">
        <v>771</v>
      </c>
    </row>
    <row r="994" spans="1:9" x14ac:dyDescent="0.25">
      <c r="A994" t="s">
        <v>7469</v>
      </c>
      <c r="B994" s="1">
        <v>709</v>
      </c>
      <c r="C994" s="1">
        <v>20359</v>
      </c>
      <c r="D994">
        <v>28.9</v>
      </c>
      <c r="E994">
        <v>28.9</v>
      </c>
      <c r="F994">
        <v>28.5</v>
      </c>
      <c r="G994">
        <v>28.7</v>
      </c>
      <c r="H994">
        <v>0.2</v>
      </c>
      <c r="I994" s="1">
        <v>350</v>
      </c>
    </row>
    <row r="995" spans="1:9" x14ac:dyDescent="0.25">
      <c r="A995" t="s">
        <v>7470</v>
      </c>
      <c r="B995" s="1">
        <v>1128</v>
      </c>
      <c r="C995" s="1">
        <v>32479</v>
      </c>
      <c r="D995">
        <v>28.8</v>
      </c>
      <c r="E995">
        <v>29.1</v>
      </c>
      <c r="F995">
        <v>28.65</v>
      </c>
      <c r="G995">
        <v>28.95</v>
      </c>
      <c r="H995">
        <v>0.25</v>
      </c>
      <c r="I995" s="1">
        <v>401</v>
      </c>
    </row>
    <row r="996" spans="1:9" x14ac:dyDescent="0.25">
      <c r="A996" t="s">
        <v>7471</v>
      </c>
      <c r="B996" s="1">
        <v>694</v>
      </c>
      <c r="C996" s="1">
        <v>19973</v>
      </c>
      <c r="D996">
        <v>28.95</v>
      </c>
      <c r="E996">
        <v>29</v>
      </c>
      <c r="F996">
        <v>28.65</v>
      </c>
      <c r="G996">
        <v>28.65</v>
      </c>
      <c r="H996">
        <v>-0.3</v>
      </c>
      <c r="I996" s="1">
        <v>347</v>
      </c>
    </row>
    <row r="997" spans="1:9" x14ac:dyDescent="0.25">
      <c r="A997" t="s">
        <v>7472</v>
      </c>
      <c r="B997" s="1">
        <v>3095</v>
      </c>
      <c r="C997" s="1">
        <v>90486</v>
      </c>
      <c r="D997">
        <v>28.7</v>
      </c>
      <c r="E997">
        <v>29.65</v>
      </c>
      <c r="F997">
        <v>28.7</v>
      </c>
      <c r="G997">
        <v>29.45</v>
      </c>
      <c r="H997">
        <v>0.8</v>
      </c>
      <c r="I997" s="1">
        <v>1289</v>
      </c>
    </row>
    <row r="998" spans="1:9" x14ac:dyDescent="0.25">
      <c r="A998" t="s">
        <v>7473</v>
      </c>
      <c r="B998" s="1">
        <v>5270</v>
      </c>
      <c r="C998" s="1">
        <v>157701</v>
      </c>
      <c r="D998">
        <v>29.4</v>
      </c>
      <c r="E998">
        <v>30.3</v>
      </c>
      <c r="F998">
        <v>29.35</v>
      </c>
      <c r="G998">
        <v>29.7</v>
      </c>
      <c r="H998">
        <v>0.25</v>
      </c>
      <c r="I998" s="1">
        <v>2085</v>
      </c>
    </row>
    <row r="999" spans="1:9" x14ac:dyDescent="0.25">
      <c r="A999" t="s">
        <v>7474</v>
      </c>
      <c r="B999" s="1">
        <v>1645</v>
      </c>
      <c r="C999" s="1">
        <v>48871</v>
      </c>
      <c r="D999">
        <v>30</v>
      </c>
      <c r="E999">
        <v>30.15</v>
      </c>
      <c r="F999">
        <v>29.45</v>
      </c>
      <c r="G999">
        <v>29.55</v>
      </c>
      <c r="H999">
        <v>-0.15</v>
      </c>
      <c r="I999" s="1">
        <v>707</v>
      </c>
    </row>
    <row r="1000" spans="1:9" x14ac:dyDescent="0.25">
      <c r="A1000" t="s">
        <v>7475</v>
      </c>
      <c r="B1000" s="1">
        <v>824</v>
      </c>
      <c r="C1000" s="1">
        <v>24347</v>
      </c>
      <c r="D1000">
        <v>29.55</v>
      </c>
      <c r="E1000">
        <v>29.8</v>
      </c>
      <c r="F1000">
        <v>29.4</v>
      </c>
      <c r="G1000">
        <v>29.55</v>
      </c>
      <c r="H1000">
        <v>0</v>
      </c>
      <c r="I1000" s="1">
        <v>410</v>
      </c>
    </row>
    <row r="1001" spans="1:9" x14ac:dyDescent="0.25">
      <c r="A1001" t="s">
        <v>7476</v>
      </c>
      <c r="B1001" s="1">
        <v>1422</v>
      </c>
      <c r="C1001" s="1">
        <v>42227</v>
      </c>
      <c r="D1001">
        <v>29.6</v>
      </c>
      <c r="E1001">
        <v>29.85</v>
      </c>
      <c r="F1001">
        <v>29.5</v>
      </c>
      <c r="G1001">
        <v>29.75</v>
      </c>
      <c r="H1001">
        <v>0.2</v>
      </c>
      <c r="I1001" s="1">
        <v>570</v>
      </c>
    </row>
    <row r="1002" spans="1:9" x14ac:dyDescent="0.25">
      <c r="A1002" t="s">
        <v>7477</v>
      </c>
      <c r="B1002" s="1">
        <v>2812</v>
      </c>
      <c r="C1002" s="1">
        <v>84453</v>
      </c>
      <c r="D1002">
        <v>30</v>
      </c>
      <c r="E1002">
        <v>30.4</v>
      </c>
      <c r="F1002">
        <v>29.7</v>
      </c>
      <c r="G1002">
        <v>29.75</v>
      </c>
      <c r="H1002">
        <v>0</v>
      </c>
      <c r="I1002" s="1">
        <v>1032</v>
      </c>
    </row>
    <row r="1003" spans="1:9" x14ac:dyDescent="0.25">
      <c r="A1003" t="s">
        <v>7478</v>
      </c>
      <c r="B1003" s="1">
        <v>1959</v>
      </c>
      <c r="C1003" s="1">
        <v>58078</v>
      </c>
      <c r="D1003">
        <v>29.75</v>
      </c>
      <c r="E1003">
        <v>29.9</v>
      </c>
      <c r="F1003">
        <v>29.4</v>
      </c>
      <c r="G1003">
        <v>29.4</v>
      </c>
      <c r="H1003">
        <v>-0.35</v>
      </c>
      <c r="I1003" s="1">
        <v>695</v>
      </c>
    </row>
    <row r="1004" spans="1:9" x14ac:dyDescent="0.25">
      <c r="A1004" t="s">
        <v>7479</v>
      </c>
      <c r="B1004" s="1">
        <v>2980</v>
      </c>
      <c r="C1004" s="1">
        <v>86525</v>
      </c>
      <c r="D1004">
        <v>29.4</v>
      </c>
      <c r="E1004">
        <v>29.65</v>
      </c>
      <c r="F1004">
        <v>28.55</v>
      </c>
      <c r="G1004">
        <v>28.9</v>
      </c>
      <c r="H1004">
        <v>-0.5</v>
      </c>
      <c r="I1004" s="1">
        <v>1124</v>
      </c>
    </row>
    <row r="1005" spans="1:9" x14ac:dyDescent="0.25">
      <c r="A1005" t="s">
        <v>7480</v>
      </c>
      <c r="B1005" s="1">
        <v>1509</v>
      </c>
      <c r="C1005" s="1">
        <v>42567</v>
      </c>
      <c r="D1005">
        <v>28</v>
      </c>
      <c r="E1005">
        <v>28.45</v>
      </c>
      <c r="F1005">
        <v>28</v>
      </c>
      <c r="G1005">
        <v>28.2</v>
      </c>
      <c r="H1005">
        <v>0.25</v>
      </c>
      <c r="I1005" s="1">
        <v>617</v>
      </c>
    </row>
    <row r="1006" spans="1:9" x14ac:dyDescent="0.25">
      <c r="A1006" t="s">
        <v>7481</v>
      </c>
      <c r="B1006" s="1">
        <v>939</v>
      </c>
      <c r="C1006" s="1">
        <v>26407</v>
      </c>
      <c r="D1006">
        <v>28.3</v>
      </c>
      <c r="E1006">
        <v>28.4</v>
      </c>
      <c r="F1006">
        <v>28</v>
      </c>
      <c r="G1006">
        <v>28.1</v>
      </c>
      <c r="H1006">
        <v>-0.1</v>
      </c>
      <c r="I1006" s="1">
        <v>377</v>
      </c>
    </row>
    <row r="1007" spans="1:9" x14ac:dyDescent="0.25">
      <c r="A1007" t="s">
        <v>1177</v>
      </c>
      <c r="B1007" s="1"/>
      <c r="C1007" s="1"/>
      <c r="I1007" s="1"/>
    </row>
    <row r="1009" spans="1:9" x14ac:dyDescent="0.25">
      <c r="A1009" s="9" t="s">
        <v>7440</v>
      </c>
      <c r="B1009" s="1">
        <v>1540</v>
      </c>
      <c r="C1009" s="1">
        <v>43468</v>
      </c>
      <c r="D1009">
        <v>27.8</v>
      </c>
      <c r="E1009">
        <v>28.5</v>
      </c>
      <c r="F1009">
        <v>27.8</v>
      </c>
      <c r="G1009">
        <v>28.05</v>
      </c>
      <c r="H1009">
        <v>0.25</v>
      </c>
      <c r="I1009" s="1">
        <v>700</v>
      </c>
    </row>
    <row r="1010" spans="1:9" x14ac:dyDescent="0.25">
      <c r="A1010" t="s">
        <v>7441</v>
      </c>
      <c r="B1010" s="1">
        <v>792</v>
      </c>
      <c r="C1010" s="1">
        <v>22298</v>
      </c>
      <c r="D1010">
        <v>28.1</v>
      </c>
      <c r="E1010">
        <v>28.4</v>
      </c>
      <c r="F1010">
        <v>27.9</v>
      </c>
      <c r="G1010">
        <v>28.1</v>
      </c>
      <c r="H1010">
        <v>0.05</v>
      </c>
      <c r="I1010" s="1">
        <v>429</v>
      </c>
    </row>
    <row r="1011" spans="1:9" x14ac:dyDescent="0.25">
      <c r="A1011" t="s">
        <v>7442</v>
      </c>
      <c r="B1011" s="1">
        <v>1043</v>
      </c>
      <c r="C1011" s="1">
        <v>29353</v>
      </c>
      <c r="D1011">
        <v>28.5</v>
      </c>
      <c r="E1011">
        <v>28.5</v>
      </c>
      <c r="F1011">
        <v>27.9</v>
      </c>
      <c r="G1011">
        <v>28.15</v>
      </c>
      <c r="H1011">
        <v>0.05</v>
      </c>
      <c r="I1011" s="1">
        <v>500</v>
      </c>
    </row>
    <row r="1012" spans="1:9" x14ac:dyDescent="0.25">
      <c r="A1012" t="s">
        <v>7443</v>
      </c>
      <c r="B1012" s="1">
        <v>912</v>
      </c>
      <c r="C1012" s="1">
        <v>25713</v>
      </c>
      <c r="D1012">
        <v>28.15</v>
      </c>
      <c r="E1012">
        <v>28.4</v>
      </c>
      <c r="F1012">
        <v>28</v>
      </c>
      <c r="G1012">
        <v>28.2</v>
      </c>
      <c r="H1012">
        <v>0.05</v>
      </c>
      <c r="I1012" s="1">
        <v>405</v>
      </c>
    </row>
    <row r="1013" spans="1:9" x14ac:dyDescent="0.25">
      <c r="A1013" t="s">
        <v>7444</v>
      </c>
      <c r="B1013" s="1">
        <v>5662</v>
      </c>
      <c r="C1013" s="1">
        <v>165020</v>
      </c>
      <c r="D1013">
        <v>28.4</v>
      </c>
      <c r="E1013">
        <v>29.8</v>
      </c>
      <c r="F1013">
        <v>28.3</v>
      </c>
      <c r="G1013">
        <v>29.3</v>
      </c>
      <c r="H1013">
        <v>1.1000000000000001</v>
      </c>
      <c r="I1013" s="1">
        <v>2356</v>
      </c>
    </row>
    <row r="1014" spans="1:9" x14ac:dyDescent="0.25">
      <c r="A1014" t="s">
        <v>7445</v>
      </c>
      <c r="B1014" s="1">
        <v>3669</v>
      </c>
      <c r="C1014" s="1">
        <v>107132</v>
      </c>
      <c r="D1014">
        <v>29.7</v>
      </c>
      <c r="E1014">
        <v>29.8</v>
      </c>
      <c r="F1014">
        <v>28.75</v>
      </c>
      <c r="G1014">
        <v>28.85</v>
      </c>
      <c r="H1014">
        <v>-0.45</v>
      </c>
      <c r="I1014" s="1">
        <v>1437</v>
      </c>
    </row>
    <row r="1015" spans="1:9" x14ac:dyDescent="0.25">
      <c r="A1015" t="s">
        <v>7446</v>
      </c>
      <c r="B1015" s="1">
        <v>2414</v>
      </c>
      <c r="C1015" s="1">
        <v>70374</v>
      </c>
      <c r="D1015">
        <v>29</v>
      </c>
      <c r="E1015">
        <v>29.4</v>
      </c>
      <c r="F1015">
        <v>28.9</v>
      </c>
      <c r="G1015">
        <v>29.1</v>
      </c>
      <c r="H1015">
        <v>0.25</v>
      </c>
      <c r="I1015" s="1">
        <v>998</v>
      </c>
    </row>
    <row r="1016" spans="1:9" x14ac:dyDescent="0.25">
      <c r="A1016" t="s">
        <v>7447</v>
      </c>
      <c r="B1016" s="1">
        <v>6442</v>
      </c>
      <c r="C1016" s="1">
        <v>192660</v>
      </c>
      <c r="D1016">
        <v>29.3</v>
      </c>
      <c r="E1016">
        <v>30.35</v>
      </c>
      <c r="F1016">
        <v>29.2</v>
      </c>
      <c r="G1016">
        <v>29.9</v>
      </c>
      <c r="H1016">
        <v>0.8</v>
      </c>
      <c r="I1016" s="1">
        <v>2402</v>
      </c>
    </row>
    <row r="1017" spans="1:9" x14ac:dyDescent="0.25">
      <c r="A1017" t="s">
        <v>7448</v>
      </c>
      <c r="B1017" s="1">
        <v>3134</v>
      </c>
      <c r="C1017" s="1">
        <v>93271</v>
      </c>
      <c r="D1017">
        <v>29.85</v>
      </c>
      <c r="E1017">
        <v>30.35</v>
      </c>
      <c r="F1017">
        <v>29.4</v>
      </c>
      <c r="G1017">
        <v>29.75</v>
      </c>
      <c r="H1017">
        <v>-0.15</v>
      </c>
      <c r="I1017" s="1">
        <v>1278</v>
      </c>
    </row>
    <row r="1018" spans="1:9" x14ac:dyDescent="0.25">
      <c r="A1018" t="s">
        <v>7449</v>
      </c>
      <c r="B1018" s="1">
        <v>1278</v>
      </c>
      <c r="C1018" s="1">
        <v>37913</v>
      </c>
      <c r="D1018">
        <v>29.75</v>
      </c>
      <c r="E1018">
        <v>29.9</v>
      </c>
      <c r="F1018">
        <v>29.5</v>
      </c>
      <c r="G1018">
        <v>29.6</v>
      </c>
      <c r="H1018">
        <v>-0.15</v>
      </c>
      <c r="I1018" s="1">
        <v>532</v>
      </c>
    </row>
    <row r="1019" spans="1:9" x14ac:dyDescent="0.25">
      <c r="A1019" t="s">
        <v>7450</v>
      </c>
      <c r="B1019" s="1">
        <v>2064</v>
      </c>
      <c r="C1019" s="1">
        <v>60555</v>
      </c>
      <c r="D1019">
        <v>29.8</v>
      </c>
      <c r="E1019">
        <v>29.8</v>
      </c>
      <c r="F1019">
        <v>29</v>
      </c>
      <c r="G1019">
        <v>29</v>
      </c>
      <c r="H1019">
        <v>-0.6</v>
      </c>
      <c r="I1019" s="1">
        <v>729</v>
      </c>
    </row>
    <row r="1020" spans="1:9" x14ac:dyDescent="0.25">
      <c r="A1020" t="s">
        <v>7451</v>
      </c>
      <c r="B1020" s="1">
        <v>2241</v>
      </c>
      <c r="C1020" s="1">
        <v>64542</v>
      </c>
      <c r="D1020">
        <v>29.3</v>
      </c>
      <c r="E1020">
        <v>29.35</v>
      </c>
      <c r="F1020">
        <v>28.55</v>
      </c>
      <c r="G1020">
        <v>28.65</v>
      </c>
      <c r="H1020">
        <v>-0.35</v>
      </c>
      <c r="I1020" s="1">
        <v>849</v>
      </c>
    </row>
    <row r="1021" spans="1:9" x14ac:dyDescent="0.25">
      <c r="A1021" t="s">
        <v>7452</v>
      </c>
      <c r="B1021" s="1">
        <v>1580</v>
      </c>
      <c r="C1021" s="1">
        <v>45702</v>
      </c>
      <c r="D1021">
        <v>28.7</v>
      </c>
      <c r="E1021">
        <v>29.15</v>
      </c>
      <c r="F1021">
        <v>28.7</v>
      </c>
      <c r="G1021">
        <v>28.8</v>
      </c>
      <c r="H1021">
        <v>0.15</v>
      </c>
      <c r="I1021" s="1">
        <v>627</v>
      </c>
    </row>
    <row r="1022" spans="1:9" x14ac:dyDescent="0.25">
      <c r="A1022" t="s">
        <v>7453</v>
      </c>
      <c r="B1022" s="1">
        <v>2491</v>
      </c>
      <c r="C1022" s="1">
        <v>73584</v>
      </c>
      <c r="D1022">
        <v>29.2</v>
      </c>
      <c r="E1022">
        <v>29.9</v>
      </c>
      <c r="F1022">
        <v>29</v>
      </c>
      <c r="G1022">
        <v>29.35</v>
      </c>
      <c r="H1022">
        <v>0.55000000000000004</v>
      </c>
      <c r="I1022" s="1">
        <v>1156</v>
      </c>
    </row>
    <row r="1023" spans="1:9" x14ac:dyDescent="0.25">
      <c r="A1023" t="s">
        <v>7454</v>
      </c>
      <c r="B1023" s="1">
        <v>2278</v>
      </c>
      <c r="C1023" s="1">
        <v>65462</v>
      </c>
      <c r="D1023">
        <v>29.35</v>
      </c>
      <c r="E1023">
        <v>29.7</v>
      </c>
      <c r="F1023">
        <v>28.3</v>
      </c>
      <c r="G1023">
        <v>28.35</v>
      </c>
      <c r="H1023">
        <v>-1</v>
      </c>
      <c r="I1023" s="1">
        <v>919</v>
      </c>
    </row>
    <row r="1024" spans="1:9" x14ac:dyDescent="0.25">
      <c r="A1024" t="s">
        <v>7455</v>
      </c>
      <c r="B1024" s="1">
        <v>955</v>
      </c>
      <c r="C1024" s="1">
        <v>27004</v>
      </c>
      <c r="D1024">
        <v>28.35</v>
      </c>
      <c r="E1024">
        <v>28.6</v>
      </c>
      <c r="F1024">
        <v>28.1</v>
      </c>
      <c r="G1024">
        <v>28.2</v>
      </c>
      <c r="H1024">
        <v>-0.15</v>
      </c>
      <c r="I1024" s="1">
        <v>444</v>
      </c>
    </row>
    <row r="1025" spans="1:9" x14ac:dyDescent="0.25">
      <c r="A1025" t="s">
        <v>7456</v>
      </c>
      <c r="B1025" s="1">
        <v>805</v>
      </c>
      <c r="C1025" s="1">
        <v>22917</v>
      </c>
      <c r="D1025">
        <v>28.25</v>
      </c>
      <c r="E1025">
        <v>28.85</v>
      </c>
      <c r="F1025">
        <v>28.25</v>
      </c>
      <c r="G1025">
        <v>28.6</v>
      </c>
      <c r="H1025">
        <v>0.4</v>
      </c>
      <c r="I1025" s="1">
        <v>364</v>
      </c>
    </row>
    <row r="1026" spans="1:9" x14ac:dyDescent="0.25">
      <c r="A1026" t="s">
        <v>7457</v>
      </c>
      <c r="B1026" s="1">
        <v>939</v>
      </c>
      <c r="C1026" s="1">
        <v>26903</v>
      </c>
      <c r="D1026">
        <v>28.9</v>
      </c>
      <c r="E1026">
        <v>28.9</v>
      </c>
      <c r="F1026">
        <v>28.4</v>
      </c>
      <c r="G1026">
        <v>28.55</v>
      </c>
      <c r="H1026">
        <v>-0.05</v>
      </c>
      <c r="I1026" s="1">
        <v>475</v>
      </c>
    </row>
    <row r="1027" spans="1:9" x14ac:dyDescent="0.25">
      <c r="A1027" t="s">
        <v>7458</v>
      </c>
      <c r="B1027" s="1">
        <v>2057</v>
      </c>
      <c r="C1027" s="1">
        <v>59730</v>
      </c>
      <c r="D1027">
        <v>28.65</v>
      </c>
      <c r="E1027">
        <v>29.4</v>
      </c>
      <c r="F1027">
        <v>28.65</v>
      </c>
      <c r="G1027">
        <v>28.9</v>
      </c>
      <c r="H1027">
        <v>0.35</v>
      </c>
      <c r="I1027" s="1">
        <v>864</v>
      </c>
    </row>
    <row r="1028" spans="1:9" x14ac:dyDescent="0.25">
      <c r="A1028" t="s">
        <v>7459</v>
      </c>
      <c r="B1028" s="1">
        <v>1346</v>
      </c>
      <c r="C1028" s="1">
        <v>39300</v>
      </c>
      <c r="D1028">
        <v>29.2</v>
      </c>
      <c r="E1028">
        <v>29.4</v>
      </c>
      <c r="F1028">
        <v>29.05</v>
      </c>
      <c r="G1028">
        <v>29.25</v>
      </c>
      <c r="H1028">
        <v>0.35</v>
      </c>
      <c r="I1028" s="1">
        <v>584</v>
      </c>
    </row>
    <row r="1029" spans="1:9" x14ac:dyDescent="0.25">
      <c r="A1029" t="s">
        <v>927</v>
      </c>
      <c r="B1029" s="1"/>
      <c r="C1029" s="1"/>
      <c r="I1029" s="1"/>
    </row>
    <row r="1033" spans="1:9" x14ac:dyDescent="0.25">
      <c r="A1033" s="9" t="s">
        <v>7419</v>
      </c>
      <c r="B1033" s="1">
        <v>1261</v>
      </c>
      <c r="C1033" s="1">
        <v>34513</v>
      </c>
      <c r="D1033">
        <v>26.8</v>
      </c>
      <c r="E1033">
        <v>27.65</v>
      </c>
      <c r="F1033">
        <v>26.8</v>
      </c>
      <c r="G1033">
        <v>27.5</v>
      </c>
      <c r="H1033">
        <v>0.7</v>
      </c>
      <c r="I1033" s="1">
        <v>571</v>
      </c>
    </row>
    <row r="1034" spans="1:9" x14ac:dyDescent="0.25">
      <c r="A1034" t="s">
        <v>7420</v>
      </c>
      <c r="B1034" s="1">
        <v>749</v>
      </c>
      <c r="C1034" s="1">
        <v>20523</v>
      </c>
      <c r="D1034">
        <v>27.65</v>
      </c>
      <c r="E1034">
        <v>27.7</v>
      </c>
      <c r="F1034">
        <v>27.3</v>
      </c>
      <c r="G1034">
        <v>27.35</v>
      </c>
      <c r="H1034">
        <v>-0.15</v>
      </c>
      <c r="I1034" s="1">
        <v>397</v>
      </c>
    </row>
    <row r="1035" spans="1:9" x14ac:dyDescent="0.25">
      <c r="A1035" t="s">
        <v>7421</v>
      </c>
      <c r="B1035" s="1">
        <v>983</v>
      </c>
      <c r="C1035" s="1">
        <v>26847</v>
      </c>
      <c r="D1035">
        <v>27.5</v>
      </c>
      <c r="E1035">
        <v>27.7</v>
      </c>
      <c r="F1035">
        <v>26.75</v>
      </c>
      <c r="G1035">
        <v>27</v>
      </c>
      <c r="H1035">
        <v>-0.35</v>
      </c>
      <c r="I1035" s="1">
        <v>509</v>
      </c>
    </row>
    <row r="1036" spans="1:9" x14ac:dyDescent="0.25">
      <c r="A1036" t="s">
        <v>7422</v>
      </c>
      <c r="B1036" s="1">
        <v>1241</v>
      </c>
      <c r="C1036" s="1">
        <v>33777</v>
      </c>
      <c r="D1036">
        <v>27</v>
      </c>
      <c r="E1036">
        <v>27.45</v>
      </c>
      <c r="F1036">
        <v>26.8</v>
      </c>
      <c r="G1036">
        <v>27</v>
      </c>
      <c r="H1036">
        <v>0</v>
      </c>
      <c r="I1036" s="1">
        <v>529</v>
      </c>
    </row>
    <row r="1037" spans="1:9" x14ac:dyDescent="0.25">
      <c r="A1037" t="s">
        <v>7423</v>
      </c>
      <c r="B1037" s="1">
        <v>1784</v>
      </c>
      <c r="C1037" s="1">
        <v>49164</v>
      </c>
      <c r="D1037">
        <v>27.3</v>
      </c>
      <c r="E1037">
        <v>27.75</v>
      </c>
      <c r="F1037">
        <v>27.2</v>
      </c>
      <c r="G1037">
        <v>27.6</v>
      </c>
      <c r="H1037">
        <v>0.6</v>
      </c>
      <c r="I1037" s="1">
        <v>732</v>
      </c>
    </row>
    <row r="1038" spans="1:9" x14ac:dyDescent="0.25">
      <c r="A1038" t="s">
        <v>7424</v>
      </c>
      <c r="B1038" s="1">
        <v>972</v>
      </c>
      <c r="C1038" s="1">
        <v>26756</v>
      </c>
      <c r="D1038">
        <v>27.6</v>
      </c>
      <c r="E1038">
        <v>27.95</v>
      </c>
      <c r="F1038">
        <v>27.1</v>
      </c>
      <c r="G1038">
        <v>27.15</v>
      </c>
      <c r="H1038">
        <v>-0.45</v>
      </c>
      <c r="I1038" s="1">
        <v>514</v>
      </c>
    </row>
    <row r="1039" spans="1:9" x14ac:dyDescent="0.25">
      <c r="A1039" t="s">
        <v>7425</v>
      </c>
      <c r="B1039" s="1">
        <v>3623</v>
      </c>
      <c r="C1039" s="1">
        <v>102521</v>
      </c>
      <c r="D1039">
        <v>28</v>
      </c>
      <c r="E1039">
        <v>28.8</v>
      </c>
      <c r="F1039">
        <v>27.9</v>
      </c>
      <c r="G1039">
        <v>27.9</v>
      </c>
      <c r="H1039">
        <v>0.75</v>
      </c>
      <c r="I1039" s="1">
        <v>1520</v>
      </c>
    </row>
    <row r="1040" spans="1:9" x14ac:dyDescent="0.25">
      <c r="A1040" t="s">
        <v>7426</v>
      </c>
      <c r="B1040" s="1">
        <v>2051</v>
      </c>
      <c r="C1040" s="1">
        <v>56595</v>
      </c>
      <c r="D1040">
        <v>27.7</v>
      </c>
      <c r="E1040">
        <v>28</v>
      </c>
      <c r="F1040">
        <v>27.25</v>
      </c>
      <c r="G1040">
        <v>27.25</v>
      </c>
      <c r="H1040">
        <v>-0.65</v>
      </c>
      <c r="I1040" s="1">
        <v>849</v>
      </c>
    </row>
    <row r="1041" spans="1:9" x14ac:dyDescent="0.25">
      <c r="A1041" t="s">
        <v>7427</v>
      </c>
      <c r="B1041" s="1">
        <v>752</v>
      </c>
      <c r="C1041" s="1">
        <v>20461</v>
      </c>
      <c r="D1041">
        <v>27.25</v>
      </c>
      <c r="E1041">
        <v>27.55</v>
      </c>
      <c r="F1041">
        <v>27.1</v>
      </c>
      <c r="G1041">
        <v>27.15</v>
      </c>
      <c r="H1041">
        <v>-0.1</v>
      </c>
      <c r="I1041" s="1">
        <v>413</v>
      </c>
    </row>
    <row r="1042" spans="1:9" x14ac:dyDescent="0.25">
      <c r="A1042" t="s">
        <v>7428</v>
      </c>
      <c r="B1042" s="1">
        <v>861</v>
      </c>
      <c r="C1042" s="1">
        <v>23291</v>
      </c>
      <c r="D1042">
        <v>27.25</v>
      </c>
      <c r="E1042">
        <v>27.3</v>
      </c>
      <c r="F1042">
        <v>26.8</v>
      </c>
      <c r="G1042">
        <v>26.9</v>
      </c>
      <c r="H1042">
        <v>-0.25</v>
      </c>
      <c r="I1042" s="1">
        <v>443</v>
      </c>
    </row>
    <row r="1043" spans="1:9" x14ac:dyDescent="0.25">
      <c r="A1043" t="s">
        <v>7429</v>
      </c>
      <c r="B1043" s="1">
        <v>687</v>
      </c>
      <c r="C1043" s="1">
        <v>18524</v>
      </c>
      <c r="D1043">
        <v>27</v>
      </c>
      <c r="E1043">
        <v>27.2</v>
      </c>
      <c r="F1043">
        <v>26.8</v>
      </c>
      <c r="G1043">
        <v>27.2</v>
      </c>
      <c r="H1043">
        <v>0.3</v>
      </c>
      <c r="I1043" s="1">
        <v>332</v>
      </c>
    </row>
    <row r="1044" spans="1:9" x14ac:dyDescent="0.25">
      <c r="A1044" t="s">
        <v>7430</v>
      </c>
      <c r="B1044" s="1">
        <v>1964</v>
      </c>
      <c r="C1044" s="1">
        <v>55115</v>
      </c>
      <c r="D1044">
        <v>28</v>
      </c>
      <c r="E1044">
        <v>28.35</v>
      </c>
      <c r="F1044">
        <v>27.85</v>
      </c>
      <c r="G1044">
        <v>27.85</v>
      </c>
      <c r="H1044">
        <v>0.65</v>
      </c>
      <c r="I1044" s="1">
        <v>979</v>
      </c>
    </row>
    <row r="1045" spans="1:9" x14ac:dyDescent="0.25">
      <c r="A1045" t="s">
        <v>7431</v>
      </c>
      <c r="B1045" s="1">
        <v>1197</v>
      </c>
      <c r="C1045" s="1">
        <v>33113</v>
      </c>
      <c r="D1045">
        <v>27.85</v>
      </c>
      <c r="E1045">
        <v>28</v>
      </c>
      <c r="F1045">
        <v>27.5</v>
      </c>
      <c r="G1045">
        <v>27.75</v>
      </c>
      <c r="H1045">
        <v>-0.1</v>
      </c>
      <c r="I1045" s="1">
        <v>459</v>
      </c>
    </row>
    <row r="1046" spans="1:9" x14ac:dyDescent="0.25">
      <c r="A1046" t="s">
        <v>7432</v>
      </c>
      <c r="B1046" s="1">
        <v>4004</v>
      </c>
      <c r="C1046" s="1">
        <v>113698</v>
      </c>
      <c r="D1046">
        <v>27.75</v>
      </c>
      <c r="E1046">
        <v>28.8</v>
      </c>
      <c r="F1046">
        <v>27.75</v>
      </c>
      <c r="G1046">
        <v>28.35</v>
      </c>
      <c r="H1046">
        <v>0.6</v>
      </c>
      <c r="I1046" s="1">
        <v>1660</v>
      </c>
    </row>
    <row r="1047" spans="1:9" x14ac:dyDescent="0.25">
      <c r="A1047" t="s">
        <v>7433</v>
      </c>
      <c r="B1047" s="1">
        <v>3270</v>
      </c>
      <c r="C1047" s="1">
        <v>94437</v>
      </c>
      <c r="D1047">
        <v>28.8</v>
      </c>
      <c r="E1047">
        <v>29.3</v>
      </c>
      <c r="F1047">
        <v>28.6</v>
      </c>
      <c r="G1047">
        <v>28.65</v>
      </c>
      <c r="H1047">
        <v>0.3</v>
      </c>
      <c r="I1047" s="1">
        <v>1376</v>
      </c>
    </row>
    <row r="1048" spans="1:9" x14ac:dyDescent="0.25">
      <c r="A1048" t="s">
        <v>7434</v>
      </c>
      <c r="B1048" s="1">
        <v>1691</v>
      </c>
      <c r="C1048" s="1">
        <v>48141</v>
      </c>
      <c r="D1048">
        <v>28.65</v>
      </c>
      <c r="E1048">
        <v>29</v>
      </c>
      <c r="F1048">
        <v>28.2</v>
      </c>
      <c r="G1048">
        <v>28.2</v>
      </c>
      <c r="H1048">
        <v>-0.45</v>
      </c>
      <c r="I1048" s="1">
        <v>723</v>
      </c>
    </row>
    <row r="1049" spans="1:9" x14ac:dyDescent="0.25">
      <c r="A1049" t="s">
        <v>7435</v>
      </c>
      <c r="B1049" s="1">
        <v>737</v>
      </c>
      <c r="C1049" s="1">
        <v>20828</v>
      </c>
      <c r="D1049">
        <v>28.3</v>
      </c>
      <c r="E1049">
        <v>28.55</v>
      </c>
      <c r="F1049">
        <v>28.15</v>
      </c>
      <c r="G1049">
        <v>28.2</v>
      </c>
      <c r="H1049">
        <v>0</v>
      </c>
      <c r="I1049" s="1">
        <v>384</v>
      </c>
    </row>
    <row r="1050" spans="1:9" x14ac:dyDescent="0.25">
      <c r="A1050" t="s">
        <v>7436</v>
      </c>
      <c r="B1050" s="1">
        <v>1242</v>
      </c>
      <c r="C1050" s="1">
        <v>34619</v>
      </c>
      <c r="D1050">
        <v>28.15</v>
      </c>
      <c r="E1050">
        <v>28.3</v>
      </c>
      <c r="F1050">
        <v>27.7</v>
      </c>
      <c r="G1050">
        <v>27.7</v>
      </c>
      <c r="H1050">
        <v>-0.5</v>
      </c>
      <c r="I1050" s="1">
        <v>602</v>
      </c>
    </row>
    <row r="1051" spans="1:9" x14ac:dyDescent="0.25">
      <c r="A1051" t="s">
        <v>7437</v>
      </c>
      <c r="B1051" s="1">
        <v>1313</v>
      </c>
      <c r="C1051" s="1">
        <v>36916</v>
      </c>
      <c r="D1051">
        <v>27.75</v>
      </c>
      <c r="E1051">
        <v>28.4</v>
      </c>
      <c r="F1051">
        <v>27.65</v>
      </c>
      <c r="G1051">
        <v>27.9</v>
      </c>
      <c r="H1051">
        <v>0.2</v>
      </c>
      <c r="I1051" s="1">
        <v>639</v>
      </c>
    </row>
    <row r="1052" spans="1:9" x14ac:dyDescent="0.25">
      <c r="A1052" t="s">
        <v>7438</v>
      </c>
      <c r="B1052" s="1">
        <v>624</v>
      </c>
      <c r="C1052" s="1">
        <v>17403</v>
      </c>
      <c r="D1052">
        <v>27.9</v>
      </c>
      <c r="E1052">
        <v>28.15</v>
      </c>
      <c r="F1052">
        <v>27.75</v>
      </c>
      <c r="G1052">
        <v>27.75</v>
      </c>
      <c r="H1052">
        <v>-0.15</v>
      </c>
      <c r="I1052" s="1">
        <v>345</v>
      </c>
    </row>
    <row r="1053" spans="1:9" x14ac:dyDescent="0.25">
      <c r="A1053" t="s">
        <v>7439</v>
      </c>
      <c r="B1053" s="1">
        <v>1091</v>
      </c>
      <c r="C1053" s="1">
        <v>30416</v>
      </c>
      <c r="D1053">
        <v>27.95</v>
      </c>
      <c r="E1053">
        <v>28.2</v>
      </c>
      <c r="F1053">
        <v>27.75</v>
      </c>
      <c r="G1053">
        <v>27.8</v>
      </c>
      <c r="H1053">
        <v>0.05</v>
      </c>
      <c r="I1053" s="1">
        <v>512</v>
      </c>
    </row>
    <row r="1054" spans="1:9" x14ac:dyDescent="0.25">
      <c r="A1054" t="s">
        <v>973</v>
      </c>
      <c r="B1054" s="1"/>
      <c r="C1054" s="1"/>
      <c r="I1054" s="1"/>
    </row>
    <row r="1057" spans="1:9" x14ac:dyDescent="0.25">
      <c r="A1057" s="9" t="s">
        <v>7398</v>
      </c>
      <c r="B1057" s="1">
        <v>1066</v>
      </c>
      <c r="C1057" s="1">
        <v>28490</v>
      </c>
      <c r="D1057">
        <v>27</v>
      </c>
      <c r="E1057">
        <v>27.2</v>
      </c>
      <c r="F1057">
        <v>26.4</v>
      </c>
      <c r="G1057">
        <v>26.65</v>
      </c>
      <c r="H1057">
        <v>-0.25</v>
      </c>
      <c r="I1057" s="1">
        <v>504</v>
      </c>
    </row>
    <row r="1058" spans="1:9" x14ac:dyDescent="0.25">
      <c r="A1058" t="s">
        <v>7399</v>
      </c>
      <c r="B1058" s="1">
        <v>981</v>
      </c>
      <c r="C1058" s="1">
        <v>26293</v>
      </c>
      <c r="D1058">
        <v>26.7</v>
      </c>
      <c r="E1058">
        <v>27.15</v>
      </c>
      <c r="F1058">
        <v>26.6</v>
      </c>
      <c r="G1058">
        <v>26.7</v>
      </c>
      <c r="H1058">
        <v>0.05</v>
      </c>
      <c r="I1058" s="1">
        <v>444</v>
      </c>
    </row>
    <row r="1059" spans="1:9" x14ac:dyDescent="0.25">
      <c r="A1059" t="s">
        <v>7400</v>
      </c>
      <c r="B1059" s="1">
        <v>970</v>
      </c>
      <c r="C1059" s="1">
        <v>25942</v>
      </c>
      <c r="D1059">
        <v>26.8</v>
      </c>
      <c r="E1059">
        <v>26.95</v>
      </c>
      <c r="F1059">
        <v>26.6</v>
      </c>
      <c r="G1059">
        <v>26.7</v>
      </c>
      <c r="H1059">
        <v>0</v>
      </c>
      <c r="I1059" s="1">
        <v>398</v>
      </c>
    </row>
    <row r="1060" spans="1:9" x14ac:dyDescent="0.25">
      <c r="A1060" t="s">
        <v>7401</v>
      </c>
      <c r="B1060" s="1">
        <v>489</v>
      </c>
      <c r="C1060" s="1">
        <v>12966</v>
      </c>
      <c r="D1060">
        <v>26.45</v>
      </c>
      <c r="E1060">
        <v>26.65</v>
      </c>
      <c r="F1060">
        <v>26.45</v>
      </c>
      <c r="G1060">
        <v>26.45</v>
      </c>
      <c r="H1060">
        <v>-0.25</v>
      </c>
      <c r="I1060" s="1">
        <v>337</v>
      </c>
    </row>
    <row r="1061" spans="1:9" x14ac:dyDescent="0.25">
      <c r="A1061" t="s">
        <v>7402</v>
      </c>
      <c r="B1061" s="1">
        <v>635</v>
      </c>
      <c r="C1061" s="1">
        <v>16763</v>
      </c>
      <c r="D1061">
        <v>26.45</v>
      </c>
      <c r="E1061">
        <v>26.6</v>
      </c>
      <c r="F1061">
        <v>26.3</v>
      </c>
      <c r="G1061">
        <v>26.4</v>
      </c>
      <c r="H1061">
        <v>-0.05</v>
      </c>
      <c r="I1061" s="1">
        <v>432</v>
      </c>
    </row>
    <row r="1062" spans="1:9" x14ac:dyDescent="0.25">
      <c r="A1062" t="s">
        <v>7403</v>
      </c>
      <c r="B1062" s="1">
        <v>664</v>
      </c>
      <c r="C1062" s="1">
        <v>17645</v>
      </c>
      <c r="D1062">
        <v>26.4</v>
      </c>
      <c r="E1062">
        <v>26.8</v>
      </c>
      <c r="F1062">
        <v>26.4</v>
      </c>
      <c r="G1062">
        <v>26.55</v>
      </c>
      <c r="H1062">
        <v>0.15</v>
      </c>
      <c r="I1062" s="1">
        <v>366</v>
      </c>
    </row>
    <row r="1063" spans="1:9" x14ac:dyDescent="0.25">
      <c r="A1063" t="s">
        <v>7404</v>
      </c>
      <c r="B1063" s="1">
        <v>6044</v>
      </c>
      <c r="C1063" s="1">
        <v>169314</v>
      </c>
      <c r="D1063">
        <v>27.25</v>
      </c>
      <c r="E1063">
        <v>28.4</v>
      </c>
      <c r="F1063">
        <v>27.25</v>
      </c>
      <c r="G1063">
        <v>28.4</v>
      </c>
      <c r="H1063">
        <v>1.85</v>
      </c>
      <c r="I1063" s="1">
        <v>1779</v>
      </c>
    </row>
    <row r="1064" spans="1:9" x14ac:dyDescent="0.25">
      <c r="A1064" t="s">
        <v>7405</v>
      </c>
      <c r="B1064" s="1">
        <v>12424</v>
      </c>
      <c r="C1064" s="1">
        <v>354315</v>
      </c>
      <c r="D1064">
        <v>28.5</v>
      </c>
      <c r="E1064">
        <v>28.8</v>
      </c>
      <c r="F1064">
        <v>28.15</v>
      </c>
      <c r="G1064">
        <v>28.8</v>
      </c>
      <c r="H1064">
        <v>0.4</v>
      </c>
      <c r="I1064" s="1">
        <v>4471</v>
      </c>
    </row>
    <row r="1065" spans="1:9" x14ac:dyDescent="0.25">
      <c r="A1065" t="s">
        <v>7406</v>
      </c>
      <c r="B1065" s="1">
        <v>12877</v>
      </c>
      <c r="C1065" s="1">
        <v>381522</v>
      </c>
      <c r="D1065">
        <v>29</v>
      </c>
      <c r="E1065">
        <v>30.4</v>
      </c>
      <c r="F1065">
        <v>28.6</v>
      </c>
      <c r="G1065">
        <v>29.3</v>
      </c>
      <c r="H1065">
        <v>0.5</v>
      </c>
      <c r="I1065" s="1">
        <v>4927</v>
      </c>
    </row>
    <row r="1066" spans="1:9" x14ac:dyDescent="0.25">
      <c r="A1066" t="s">
        <v>7407</v>
      </c>
      <c r="B1066" s="1">
        <v>4888</v>
      </c>
      <c r="C1066" s="1">
        <v>142169</v>
      </c>
      <c r="D1066">
        <v>29.5</v>
      </c>
      <c r="E1066">
        <v>29.6</v>
      </c>
      <c r="F1066">
        <v>28.8</v>
      </c>
      <c r="G1066">
        <v>28.9</v>
      </c>
      <c r="H1066">
        <v>-0.4</v>
      </c>
      <c r="I1066" s="1">
        <v>2055</v>
      </c>
    </row>
    <row r="1067" spans="1:9" x14ac:dyDescent="0.25">
      <c r="A1067" t="s">
        <v>7408</v>
      </c>
      <c r="B1067" s="1">
        <v>6266</v>
      </c>
      <c r="C1067" s="1">
        <v>185985</v>
      </c>
      <c r="D1067">
        <v>29.3</v>
      </c>
      <c r="E1067">
        <v>30.2</v>
      </c>
      <c r="F1067">
        <v>29</v>
      </c>
      <c r="G1067">
        <v>29.25</v>
      </c>
      <c r="H1067">
        <v>0.35</v>
      </c>
      <c r="I1067" s="1">
        <v>2842</v>
      </c>
    </row>
    <row r="1068" spans="1:9" x14ac:dyDescent="0.25">
      <c r="A1068" t="s">
        <v>7409</v>
      </c>
      <c r="B1068" s="1">
        <v>3213</v>
      </c>
      <c r="C1068" s="1">
        <v>95025</v>
      </c>
      <c r="D1068">
        <v>29.5</v>
      </c>
      <c r="E1068">
        <v>29.95</v>
      </c>
      <c r="F1068">
        <v>29.25</v>
      </c>
      <c r="G1068">
        <v>29.3</v>
      </c>
      <c r="H1068">
        <v>0.05</v>
      </c>
      <c r="I1068" s="1">
        <v>1481</v>
      </c>
    </row>
    <row r="1069" spans="1:9" x14ac:dyDescent="0.25">
      <c r="A1069" t="s">
        <v>7410</v>
      </c>
      <c r="B1069" s="1">
        <v>2585</v>
      </c>
      <c r="C1069" s="1">
        <v>74959</v>
      </c>
      <c r="D1069">
        <v>29.6</v>
      </c>
      <c r="E1069">
        <v>29.6</v>
      </c>
      <c r="F1069">
        <v>28.8</v>
      </c>
      <c r="G1069">
        <v>28.8</v>
      </c>
      <c r="H1069">
        <v>-0.5</v>
      </c>
      <c r="I1069" s="1">
        <v>1169</v>
      </c>
    </row>
    <row r="1070" spans="1:9" x14ac:dyDescent="0.25">
      <c r="A1070" t="s">
        <v>7411</v>
      </c>
      <c r="B1070" s="1">
        <v>1341</v>
      </c>
      <c r="C1070" s="1">
        <v>38776</v>
      </c>
      <c r="D1070">
        <v>28.8</v>
      </c>
      <c r="E1070">
        <v>29.1</v>
      </c>
      <c r="F1070">
        <v>28.8</v>
      </c>
      <c r="G1070">
        <v>29</v>
      </c>
      <c r="H1070">
        <v>0.2</v>
      </c>
      <c r="I1070" s="1">
        <v>629</v>
      </c>
    </row>
    <row r="1071" spans="1:9" x14ac:dyDescent="0.25">
      <c r="A1071" t="s">
        <v>7412</v>
      </c>
      <c r="B1071" s="1">
        <v>2583</v>
      </c>
      <c r="C1071" s="1">
        <v>76139</v>
      </c>
      <c r="D1071">
        <v>29.3</v>
      </c>
      <c r="E1071">
        <v>29.85</v>
      </c>
      <c r="F1071">
        <v>29.05</v>
      </c>
      <c r="G1071">
        <v>29.35</v>
      </c>
      <c r="H1071">
        <v>0.35</v>
      </c>
      <c r="I1071" s="1">
        <v>1137</v>
      </c>
    </row>
    <row r="1072" spans="1:9" x14ac:dyDescent="0.25">
      <c r="A1072" t="s">
        <v>7413</v>
      </c>
      <c r="B1072" s="1">
        <v>3103</v>
      </c>
      <c r="C1072" s="1">
        <v>89503</v>
      </c>
      <c r="D1072">
        <v>29.6</v>
      </c>
      <c r="E1072">
        <v>29.6</v>
      </c>
      <c r="F1072">
        <v>28.4</v>
      </c>
      <c r="G1072">
        <v>28.4</v>
      </c>
      <c r="H1072">
        <v>-0.95</v>
      </c>
      <c r="I1072" s="1">
        <v>1388</v>
      </c>
    </row>
    <row r="1073" spans="1:9" x14ac:dyDescent="0.25">
      <c r="A1073" t="s">
        <v>7414</v>
      </c>
      <c r="B1073" s="1">
        <v>1383</v>
      </c>
      <c r="C1073" s="1">
        <v>39219</v>
      </c>
      <c r="D1073">
        <v>28.4</v>
      </c>
      <c r="E1073">
        <v>28.6</v>
      </c>
      <c r="F1073">
        <v>28.2</v>
      </c>
      <c r="G1073">
        <v>28.45</v>
      </c>
      <c r="H1073">
        <v>0.05</v>
      </c>
      <c r="I1073" s="1">
        <v>660</v>
      </c>
    </row>
    <row r="1074" spans="1:9" x14ac:dyDescent="0.25">
      <c r="A1074" t="s">
        <v>7415</v>
      </c>
      <c r="B1074" s="1">
        <v>3691</v>
      </c>
      <c r="C1074" s="1">
        <v>100672</v>
      </c>
      <c r="D1074">
        <v>28.5</v>
      </c>
      <c r="E1074">
        <v>28.75</v>
      </c>
      <c r="F1074">
        <v>26.55</v>
      </c>
      <c r="G1074">
        <v>26.65</v>
      </c>
      <c r="H1074">
        <v>-1.8</v>
      </c>
      <c r="I1074" s="1">
        <v>1455</v>
      </c>
    </row>
    <row r="1075" spans="1:9" x14ac:dyDescent="0.25">
      <c r="A1075" t="s">
        <v>7416</v>
      </c>
      <c r="B1075" s="1">
        <v>1279</v>
      </c>
      <c r="C1075" s="1">
        <v>34276</v>
      </c>
      <c r="D1075">
        <v>26.3</v>
      </c>
      <c r="E1075">
        <v>27.2</v>
      </c>
      <c r="F1075">
        <v>26.2</v>
      </c>
      <c r="G1075">
        <v>27.2</v>
      </c>
      <c r="H1075">
        <v>0.55000000000000004</v>
      </c>
      <c r="I1075" s="1">
        <v>621</v>
      </c>
    </row>
    <row r="1076" spans="1:9" x14ac:dyDescent="0.25">
      <c r="A1076" t="s">
        <v>7417</v>
      </c>
      <c r="B1076" s="1">
        <v>1277</v>
      </c>
      <c r="C1076" s="1">
        <v>34570</v>
      </c>
      <c r="D1076">
        <v>27.3</v>
      </c>
      <c r="E1076">
        <v>27.5</v>
      </c>
      <c r="F1076">
        <v>26.75</v>
      </c>
      <c r="G1076">
        <v>27</v>
      </c>
      <c r="H1076">
        <v>-0.2</v>
      </c>
      <c r="I1076" s="1">
        <v>517</v>
      </c>
    </row>
    <row r="1077" spans="1:9" x14ac:dyDescent="0.25">
      <c r="A1077" t="s">
        <v>7418</v>
      </c>
      <c r="B1077" s="1">
        <v>749</v>
      </c>
      <c r="C1077" s="1">
        <v>20263</v>
      </c>
      <c r="D1077">
        <v>27</v>
      </c>
      <c r="E1077">
        <v>27.35</v>
      </c>
      <c r="F1077">
        <v>26.8</v>
      </c>
      <c r="G1077">
        <v>26.8</v>
      </c>
      <c r="H1077">
        <v>-0.2</v>
      </c>
      <c r="I1077" s="1">
        <v>366</v>
      </c>
    </row>
    <row r="1078" spans="1:9" x14ac:dyDescent="0.25">
      <c r="A1078" t="s">
        <v>973</v>
      </c>
      <c r="B1078" s="1"/>
      <c r="C1078" s="1"/>
      <c r="I1078" s="1"/>
    </row>
    <row r="1081" spans="1:9" x14ac:dyDescent="0.25">
      <c r="A1081" s="9" t="s">
        <v>7377</v>
      </c>
      <c r="B1081" s="1">
        <v>1398</v>
      </c>
      <c r="C1081" s="1">
        <v>37783</v>
      </c>
      <c r="D1081">
        <v>27.55</v>
      </c>
      <c r="E1081">
        <v>27.55</v>
      </c>
      <c r="F1081">
        <v>26.85</v>
      </c>
      <c r="G1081">
        <v>27</v>
      </c>
      <c r="H1081">
        <v>-0.55000000000000004</v>
      </c>
      <c r="I1081" s="1">
        <v>562</v>
      </c>
    </row>
    <row r="1082" spans="1:9" x14ac:dyDescent="0.25">
      <c r="A1082" t="s">
        <v>7378</v>
      </c>
      <c r="B1082" s="1">
        <v>1655</v>
      </c>
      <c r="C1082" s="1">
        <v>45186</v>
      </c>
      <c r="D1082">
        <v>27.1</v>
      </c>
      <c r="E1082">
        <v>27.6</v>
      </c>
      <c r="F1082">
        <v>27.05</v>
      </c>
      <c r="G1082">
        <v>27.05</v>
      </c>
      <c r="H1082">
        <v>0.05</v>
      </c>
      <c r="I1082" s="1">
        <v>671</v>
      </c>
    </row>
    <row r="1083" spans="1:9" x14ac:dyDescent="0.25">
      <c r="A1083" t="s">
        <v>7379</v>
      </c>
      <c r="B1083" s="1">
        <v>2024</v>
      </c>
      <c r="C1083" s="1">
        <v>55530</v>
      </c>
      <c r="D1083">
        <v>27.1</v>
      </c>
      <c r="E1083">
        <v>27.85</v>
      </c>
      <c r="F1083">
        <v>26.95</v>
      </c>
      <c r="G1083">
        <v>27.3</v>
      </c>
      <c r="H1083">
        <v>0.25</v>
      </c>
      <c r="I1083" s="1">
        <v>882</v>
      </c>
    </row>
    <row r="1084" spans="1:9" x14ac:dyDescent="0.25">
      <c r="A1084" t="s">
        <v>7380</v>
      </c>
      <c r="B1084" s="1">
        <v>2223</v>
      </c>
      <c r="C1084" s="1">
        <v>61273</v>
      </c>
      <c r="D1084">
        <v>27.3</v>
      </c>
      <c r="E1084">
        <v>27.85</v>
      </c>
      <c r="F1084">
        <v>27.1</v>
      </c>
      <c r="G1084">
        <v>27.7</v>
      </c>
      <c r="H1084">
        <v>0.4</v>
      </c>
      <c r="I1084" s="1">
        <v>861</v>
      </c>
    </row>
    <row r="1085" spans="1:9" x14ac:dyDescent="0.25">
      <c r="A1085" t="s">
        <v>7381</v>
      </c>
      <c r="B1085" s="1">
        <v>1574</v>
      </c>
      <c r="C1085" s="1">
        <v>43107</v>
      </c>
      <c r="D1085">
        <v>27.8</v>
      </c>
      <c r="E1085">
        <v>27.95</v>
      </c>
      <c r="F1085">
        <v>27.05</v>
      </c>
      <c r="G1085">
        <v>27.05</v>
      </c>
      <c r="H1085">
        <v>-0.65</v>
      </c>
      <c r="I1085" s="1">
        <v>746</v>
      </c>
    </row>
    <row r="1086" spans="1:9" x14ac:dyDescent="0.25">
      <c r="A1086" t="s">
        <v>7382</v>
      </c>
      <c r="B1086" s="1">
        <v>549</v>
      </c>
      <c r="C1086" s="1">
        <v>14873</v>
      </c>
      <c r="D1086">
        <v>27.05</v>
      </c>
      <c r="E1086">
        <v>27.25</v>
      </c>
      <c r="F1086">
        <v>27</v>
      </c>
      <c r="G1086">
        <v>27.1</v>
      </c>
      <c r="H1086">
        <v>0.05</v>
      </c>
      <c r="I1086" s="1">
        <v>317</v>
      </c>
    </row>
    <row r="1087" spans="1:9" x14ac:dyDescent="0.25">
      <c r="A1087" t="s">
        <v>7383</v>
      </c>
      <c r="B1087" s="1">
        <v>2215</v>
      </c>
      <c r="C1087" s="1">
        <v>61120</v>
      </c>
      <c r="D1087">
        <v>27.25</v>
      </c>
      <c r="E1087">
        <v>27.75</v>
      </c>
      <c r="F1087">
        <v>27.1</v>
      </c>
      <c r="G1087">
        <v>27.7</v>
      </c>
      <c r="H1087">
        <v>0.6</v>
      </c>
      <c r="I1087" s="1">
        <v>1022</v>
      </c>
    </row>
    <row r="1088" spans="1:9" x14ac:dyDescent="0.25">
      <c r="A1088" t="s">
        <v>7384</v>
      </c>
      <c r="B1088" s="1">
        <v>958</v>
      </c>
      <c r="C1088" s="1">
        <v>26464</v>
      </c>
      <c r="D1088">
        <v>27.7</v>
      </c>
      <c r="E1088">
        <v>27.8</v>
      </c>
      <c r="F1088">
        <v>27.4</v>
      </c>
      <c r="G1088">
        <v>27.7</v>
      </c>
      <c r="H1088">
        <v>0</v>
      </c>
      <c r="I1088" s="1">
        <v>481</v>
      </c>
    </row>
    <row r="1089" spans="1:9" x14ac:dyDescent="0.25">
      <c r="A1089" t="s">
        <v>7385</v>
      </c>
      <c r="B1089" s="1">
        <v>4157</v>
      </c>
      <c r="C1089" s="1">
        <v>117927</v>
      </c>
      <c r="D1089">
        <v>27.95</v>
      </c>
      <c r="E1089">
        <v>28.7</v>
      </c>
      <c r="F1089">
        <v>27.9</v>
      </c>
      <c r="G1089">
        <v>28.1</v>
      </c>
      <c r="H1089">
        <v>0.4</v>
      </c>
      <c r="I1089" s="1">
        <v>1620</v>
      </c>
    </row>
    <row r="1090" spans="1:9" x14ac:dyDescent="0.25">
      <c r="A1090" t="s">
        <v>7386</v>
      </c>
      <c r="B1090" s="1">
        <v>1491</v>
      </c>
      <c r="C1090" s="1">
        <v>41391</v>
      </c>
      <c r="D1090">
        <v>27.9</v>
      </c>
      <c r="E1090">
        <v>28.25</v>
      </c>
      <c r="F1090">
        <v>27.55</v>
      </c>
      <c r="G1090">
        <v>27.55</v>
      </c>
      <c r="H1090">
        <v>-0.55000000000000004</v>
      </c>
      <c r="I1090" s="1">
        <v>663</v>
      </c>
    </row>
    <row r="1091" spans="1:9" x14ac:dyDescent="0.25">
      <c r="A1091" t="s">
        <v>7387</v>
      </c>
      <c r="B1091" s="1">
        <v>1074</v>
      </c>
      <c r="C1091" s="1">
        <v>29682</v>
      </c>
      <c r="D1091">
        <v>27.55</v>
      </c>
      <c r="E1091">
        <v>27.85</v>
      </c>
      <c r="F1091">
        <v>27.45</v>
      </c>
      <c r="G1091">
        <v>27.6</v>
      </c>
      <c r="H1091">
        <v>0.05</v>
      </c>
      <c r="I1091" s="1">
        <v>495</v>
      </c>
    </row>
    <row r="1092" spans="1:9" x14ac:dyDescent="0.25">
      <c r="A1092" t="s">
        <v>7388</v>
      </c>
      <c r="B1092" s="1">
        <v>969</v>
      </c>
      <c r="C1092" s="1">
        <v>26848</v>
      </c>
      <c r="D1092">
        <v>27.85</v>
      </c>
      <c r="E1092">
        <v>27.95</v>
      </c>
      <c r="F1092">
        <v>27.6</v>
      </c>
      <c r="G1092">
        <v>27.65</v>
      </c>
      <c r="H1092">
        <v>0.05</v>
      </c>
      <c r="I1092" s="1">
        <v>426</v>
      </c>
    </row>
    <row r="1093" spans="1:9" x14ac:dyDescent="0.25">
      <c r="A1093" t="s">
        <v>7389</v>
      </c>
      <c r="B1093" s="1">
        <v>2365</v>
      </c>
      <c r="C1093" s="1">
        <v>66114</v>
      </c>
      <c r="D1093">
        <v>27.7</v>
      </c>
      <c r="E1093">
        <v>28.2</v>
      </c>
      <c r="F1093">
        <v>27.55</v>
      </c>
      <c r="G1093">
        <v>27.65</v>
      </c>
      <c r="H1093">
        <v>0</v>
      </c>
      <c r="I1093" s="1">
        <v>947</v>
      </c>
    </row>
    <row r="1094" spans="1:9" x14ac:dyDescent="0.25">
      <c r="A1094" t="s">
        <v>7390</v>
      </c>
      <c r="B1094" s="1">
        <v>2112</v>
      </c>
      <c r="C1094" s="1">
        <v>57513</v>
      </c>
      <c r="D1094">
        <v>27.6</v>
      </c>
      <c r="E1094">
        <v>27.6</v>
      </c>
      <c r="F1094">
        <v>27</v>
      </c>
      <c r="G1094">
        <v>27</v>
      </c>
      <c r="H1094">
        <v>-0.65</v>
      </c>
      <c r="I1094" s="1">
        <v>852</v>
      </c>
    </row>
    <row r="1095" spans="1:9" x14ac:dyDescent="0.25">
      <c r="A1095" t="s">
        <v>7391</v>
      </c>
      <c r="B1095" s="1">
        <v>1249</v>
      </c>
      <c r="C1095" s="1">
        <v>33639</v>
      </c>
      <c r="D1095">
        <v>27</v>
      </c>
      <c r="E1095">
        <v>27.5</v>
      </c>
      <c r="F1095">
        <v>26.65</v>
      </c>
      <c r="G1095">
        <v>26.65</v>
      </c>
      <c r="H1095">
        <v>-0.35</v>
      </c>
      <c r="I1095" s="1">
        <v>551</v>
      </c>
    </row>
    <row r="1096" spans="1:9" x14ac:dyDescent="0.25">
      <c r="A1096" t="s">
        <v>7392</v>
      </c>
      <c r="B1096" s="1">
        <v>971</v>
      </c>
      <c r="C1096" s="1">
        <v>25554</v>
      </c>
      <c r="D1096">
        <v>26.65</v>
      </c>
      <c r="E1096">
        <v>26.65</v>
      </c>
      <c r="F1096">
        <v>26.05</v>
      </c>
      <c r="G1096">
        <v>26.25</v>
      </c>
      <c r="H1096">
        <v>-0.4</v>
      </c>
      <c r="I1096" s="1">
        <v>511</v>
      </c>
    </row>
    <row r="1097" spans="1:9" x14ac:dyDescent="0.25">
      <c r="A1097" t="s">
        <v>7393</v>
      </c>
      <c r="B1097" s="1">
        <v>972</v>
      </c>
      <c r="C1097" s="1">
        <v>25691</v>
      </c>
      <c r="D1097">
        <v>26.5</v>
      </c>
      <c r="E1097">
        <v>26.65</v>
      </c>
      <c r="F1097">
        <v>26.3</v>
      </c>
      <c r="G1097">
        <v>26.3</v>
      </c>
      <c r="H1097">
        <v>0.05</v>
      </c>
      <c r="I1097" s="1">
        <v>447</v>
      </c>
    </row>
    <row r="1098" spans="1:9" x14ac:dyDescent="0.25">
      <c r="A1098" t="s">
        <v>7394</v>
      </c>
      <c r="B1098" s="1">
        <v>1011</v>
      </c>
      <c r="C1098" s="1">
        <v>26790</v>
      </c>
      <c r="D1098">
        <v>26.35</v>
      </c>
      <c r="E1098">
        <v>26.85</v>
      </c>
      <c r="F1098">
        <v>26.3</v>
      </c>
      <c r="G1098">
        <v>26.35</v>
      </c>
      <c r="H1098">
        <v>0.05</v>
      </c>
      <c r="I1098" s="1">
        <v>488</v>
      </c>
    </row>
    <row r="1099" spans="1:9" x14ac:dyDescent="0.25">
      <c r="A1099" t="s">
        <v>7395</v>
      </c>
      <c r="B1099" s="1">
        <v>777</v>
      </c>
      <c r="C1099" s="1">
        <v>20518</v>
      </c>
      <c r="D1099">
        <v>26.35</v>
      </c>
      <c r="E1099">
        <v>26.5</v>
      </c>
      <c r="F1099">
        <v>26.3</v>
      </c>
      <c r="G1099">
        <v>26.4</v>
      </c>
      <c r="H1099">
        <v>0.05</v>
      </c>
      <c r="I1099" s="1">
        <v>382</v>
      </c>
    </row>
    <row r="1100" spans="1:9" x14ac:dyDescent="0.25">
      <c r="A1100" t="s">
        <v>7396</v>
      </c>
      <c r="B1100" s="1">
        <v>881</v>
      </c>
      <c r="C1100" s="1">
        <v>23330</v>
      </c>
      <c r="D1100">
        <v>26.4</v>
      </c>
      <c r="E1100">
        <v>26.6</v>
      </c>
      <c r="F1100">
        <v>26.35</v>
      </c>
      <c r="G1100">
        <v>26.4</v>
      </c>
      <c r="H1100">
        <v>0</v>
      </c>
      <c r="I1100" s="1">
        <v>554</v>
      </c>
    </row>
    <row r="1101" spans="1:9" x14ac:dyDescent="0.25">
      <c r="A1101" t="s">
        <v>7397</v>
      </c>
      <c r="B1101" s="1">
        <v>733</v>
      </c>
      <c r="C1101" s="1">
        <v>19564</v>
      </c>
      <c r="D1101">
        <v>26.4</v>
      </c>
      <c r="E1101">
        <v>26.9</v>
      </c>
      <c r="F1101">
        <v>26.3</v>
      </c>
      <c r="G1101">
        <v>26.9</v>
      </c>
      <c r="H1101">
        <v>0.5</v>
      </c>
      <c r="I1101" s="1">
        <v>510</v>
      </c>
    </row>
    <row r="1102" spans="1:9" x14ac:dyDescent="0.25">
      <c r="A1102" t="s">
        <v>973</v>
      </c>
      <c r="B1102" s="1"/>
      <c r="C1102" s="1"/>
      <c r="I1102" s="1"/>
    </row>
    <row r="1105" spans="1:9" x14ac:dyDescent="0.25">
      <c r="A1105" s="9" t="s">
        <v>7359</v>
      </c>
      <c r="B1105" s="1">
        <v>1181</v>
      </c>
      <c r="C1105" s="1">
        <v>31205</v>
      </c>
      <c r="D1105">
        <v>26.4</v>
      </c>
      <c r="E1105">
        <v>26.8</v>
      </c>
      <c r="F1105">
        <v>26.2</v>
      </c>
      <c r="G1105">
        <v>26.55</v>
      </c>
      <c r="H1105">
        <v>-0.45</v>
      </c>
      <c r="I1105" s="1">
        <v>687</v>
      </c>
    </row>
    <row r="1106" spans="1:9" x14ac:dyDescent="0.25">
      <c r="A1106" t="s">
        <v>7360</v>
      </c>
      <c r="B1106" s="1">
        <v>694</v>
      </c>
      <c r="C1106" s="1">
        <v>18726</v>
      </c>
      <c r="D1106">
        <v>26.6</v>
      </c>
      <c r="E1106">
        <v>27.15</v>
      </c>
      <c r="F1106">
        <v>26.4</v>
      </c>
      <c r="G1106">
        <v>27.15</v>
      </c>
      <c r="H1106">
        <v>0.6</v>
      </c>
      <c r="I1106" s="1">
        <v>387</v>
      </c>
    </row>
    <row r="1107" spans="1:9" x14ac:dyDescent="0.25">
      <c r="A1107" t="s">
        <v>7361</v>
      </c>
      <c r="B1107" s="1">
        <v>728</v>
      </c>
      <c r="C1107" s="1">
        <v>19875</v>
      </c>
      <c r="D1107">
        <v>27.3</v>
      </c>
      <c r="E1107">
        <v>27.5</v>
      </c>
      <c r="F1107">
        <v>27.15</v>
      </c>
      <c r="G1107">
        <v>27.15</v>
      </c>
      <c r="H1107">
        <v>0</v>
      </c>
      <c r="I1107" s="1">
        <v>348</v>
      </c>
    </row>
    <row r="1108" spans="1:9" x14ac:dyDescent="0.25">
      <c r="A1108" t="s">
        <v>7362</v>
      </c>
      <c r="B1108" s="1">
        <v>827</v>
      </c>
      <c r="C1108" s="1">
        <v>22594</v>
      </c>
      <c r="D1108">
        <v>27.5</v>
      </c>
      <c r="E1108">
        <v>27.5</v>
      </c>
      <c r="F1108">
        <v>27.05</v>
      </c>
      <c r="G1108">
        <v>27.05</v>
      </c>
      <c r="H1108">
        <v>-0.1</v>
      </c>
      <c r="I1108" s="1">
        <v>367</v>
      </c>
    </row>
    <row r="1109" spans="1:9" x14ac:dyDescent="0.25">
      <c r="A1109" t="s">
        <v>7363</v>
      </c>
      <c r="B1109" s="1">
        <v>1812</v>
      </c>
      <c r="C1109" s="1">
        <v>47891</v>
      </c>
      <c r="D1109">
        <v>26.9</v>
      </c>
      <c r="E1109">
        <v>26.9</v>
      </c>
      <c r="F1109">
        <v>26</v>
      </c>
      <c r="G1109">
        <v>26.35</v>
      </c>
      <c r="H1109">
        <v>-0.7</v>
      </c>
      <c r="I1109" s="1">
        <v>807</v>
      </c>
    </row>
    <row r="1110" spans="1:9" x14ac:dyDescent="0.25">
      <c r="A1110" t="s">
        <v>7364</v>
      </c>
      <c r="B1110" s="1">
        <v>778</v>
      </c>
      <c r="C1110" s="1">
        <v>20626</v>
      </c>
      <c r="D1110">
        <v>26.5</v>
      </c>
      <c r="E1110">
        <v>26.65</v>
      </c>
      <c r="F1110">
        <v>26.4</v>
      </c>
      <c r="G1110">
        <v>26.6</v>
      </c>
      <c r="H1110">
        <v>0.25</v>
      </c>
      <c r="I1110" s="1">
        <v>377</v>
      </c>
    </row>
    <row r="1111" spans="1:9" x14ac:dyDescent="0.25">
      <c r="A1111" t="s">
        <v>7365</v>
      </c>
      <c r="B1111" s="1">
        <v>742</v>
      </c>
      <c r="C1111" s="1">
        <v>19557</v>
      </c>
      <c r="D1111">
        <v>26.6</v>
      </c>
      <c r="E1111">
        <v>26.6</v>
      </c>
      <c r="F1111">
        <v>26.2</v>
      </c>
      <c r="G1111">
        <v>26.2</v>
      </c>
      <c r="H1111">
        <v>-0.4</v>
      </c>
      <c r="I1111" s="1">
        <v>452</v>
      </c>
    </row>
    <row r="1112" spans="1:9" x14ac:dyDescent="0.25">
      <c r="A1112" t="s">
        <v>7366</v>
      </c>
      <c r="B1112" s="1">
        <v>767</v>
      </c>
      <c r="C1112" s="1">
        <v>20184</v>
      </c>
      <c r="D1112">
        <v>26.5</v>
      </c>
      <c r="E1112">
        <v>26.55</v>
      </c>
      <c r="F1112">
        <v>26.1</v>
      </c>
      <c r="G1112">
        <v>26.2</v>
      </c>
      <c r="H1112">
        <v>0</v>
      </c>
      <c r="I1112" s="1">
        <v>413</v>
      </c>
    </row>
    <row r="1113" spans="1:9" x14ac:dyDescent="0.25">
      <c r="A1113" t="s">
        <v>7367</v>
      </c>
      <c r="B1113" s="1">
        <v>1969</v>
      </c>
      <c r="C1113" s="1">
        <v>52900</v>
      </c>
      <c r="D1113">
        <v>26.25</v>
      </c>
      <c r="E1113">
        <v>27.15</v>
      </c>
      <c r="F1113">
        <v>26.25</v>
      </c>
      <c r="G1113">
        <v>27.05</v>
      </c>
      <c r="H1113">
        <v>0.85</v>
      </c>
      <c r="I1113" s="1">
        <v>846</v>
      </c>
    </row>
    <row r="1114" spans="1:9" x14ac:dyDescent="0.25">
      <c r="A1114" t="s">
        <v>7368</v>
      </c>
      <c r="B1114" s="1">
        <v>1497</v>
      </c>
      <c r="C1114" s="1">
        <v>40612</v>
      </c>
      <c r="D1114">
        <v>27.1</v>
      </c>
      <c r="E1114">
        <v>27.35</v>
      </c>
      <c r="F1114">
        <v>26.85</v>
      </c>
      <c r="G1114">
        <v>26.85</v>
      </c>
      <c r="H1114">
        <v>-0.2</v>
      </c>
      <c r="I1114" s="1">
        <v>665</v>
      </c>
    </row>
    <row r="1115" spans="1:9" x14ac:dyDescent="0.25">
      <c r="A1115" t="s">
        <v>7369</v>
      </c>
      <c r="B1115" s="1">
        <v>694</v>
      </c>
      <c r="C1115" s="1">
        <v>18671</v>
      </c>
      <c r="D1115">
        <v>26.85</v>
      </c>
      <c r="E1115">
        <v>27.05</v>
      </c>
      <c r="F1115">
        <v>26.8</v>
      </c>
      <c r="G1115">
        <v>26.8</v>
      </c>
      <c r="H1115">
        <v>-0.05</v>
      </c>
      <c r="I1115" s="1">
        <v>351</v>
      </c>
    </row>
    <row r="1116" spans="1:9" x14ac:dyDescent="0.25">
      <c r="A1116" t="s">
        <v>7370</v>
      </c>
      <c r="B1116" s="1">
        <v>4099</v>
      </c>
      <c r="C1116" s="1">
        <v>114376</v>
      </c>
      <c r="D1116">
        <v>26.8</v>
      </c>
      <c r="E1116">
        <v>28.65</v>
      </c>
      <c r="F1116">
        <v>26.7</v>
      </c>
      <c r="G1116">
        <v>27.9</v>
      </c>
      <c r="H1116">
        <v>1.1000000000000001</v>
      </c>
      <c r="I1116" s="1">
        <v>1696</v>
      </c>
    </row>
    <row r="1117" spans="1:9" x14ac:dyDescent="0.25">
      <c r="A1117" t="s">
        <v>7371</v>
      </c>
      <c r="B1117" s="1">
        <v>1863</v>
      </c>
      <c r="C1117" s="1">
        <v>51833</v>
      </c>
      <c r="D1117">
        <v>28.1</v>
      </c>
      <c r="E1117">
        <v>28.3</v>
      </c>
      <c r="F1117">
        <v>27.65</v>
      </c>
      <c r="G1117">
        <v>27.85</v>
      </c>
      <c r="H1117">
        <v>-0.05</v>
      </c>
      <c r="I1117" s="1">
        <v>835</v>
      </c>
    </row>
    <row r="1118" spans="1:9" x14ac:dyDescent="0.25">
      <c r="A1118" t="s">
        <v>7372</v>
      </c>
      <c r="B1118" s="1">
        <v>1012</v>
      </c>
      <c r="C1118" s="1">
        <v>27902</v>
      </c>
      <c r="D1118">
        <v>27.95</v>
      </c>
      <c r="E1118">
        <v>27.95</v>
      </c>
      <c r="F1118">
        <v>27.4</v>
      </c>
      <c r="G1118">
        <v>27.4</v>
      </c>
      <c r="H1118">
        <v>-0.45</v>
      </c>
      <c r="I1118" s="1">
        <v>520</v>
      </c>
    </row>
    <row r="1119" spans="1:9" x14ac:dyDescent="0.25">
      <c r="A1119" t="s">
        <v>7373</v>
      </c>
      <c r="B1119" s="1">
        <v>739</v>
      </c>
      <c r="C1119" s="1">
        <v>20433</v>
      </c>
      <c r="D1119">
        <v>27.55</v>
      </c>
      <c r="E1119">
        <v>27.85</v>
      </c>
      <c r="F1119">
        <v>27.5</v>
      </c>
      <c r="G1119">
        <v>27.6</v>
      </c>
      <c r="H1119">
        <v>0.2</v>
      </c>
      <c r="I1119" s="1">
        <v>406</v>
      </c>
    </row>
    <row r="1120" spans="1:9" x14ac:dyDescent="0.25">
      <c r="A1120" t="s">
        <v>7374</v>
      </c>
      <c r="B1120" s="1">
        <v>1044</v>
      </c>
      <c r="C1120" s="1">
        <v>28852</v>
      </c>
      <c r="D1120">
        <v>27.7</v>
      </c>
      <c r="E1120">
        <v>27.85</v>
      </c>
      <c r="F1120">
        <v>27.45</v>
      </c>
      <c r="G1120">
        <v>27.5</v>
      </c>
      <c r="H1120">
        <v>-0.1</v>
      </c>
      <c r="I1120" s="1">
        <v>539</v>
      </c>
    </row>
    <row r="1121" spans="1:9" x14ac:dyDescent="0.25">
      <c r="A1121" t="s">
        <v>7375</v>
      </c>
      <c r="B1121" s="1">
        <v>748</v>
      </c>
      <c r="C1121" s="1">
        <v>20648</v>
      </c>
      <c r="D1121">
        <v>27.6</v>
      </c>
      <c r="E1121">
        <v>27.75</v>
      </c>
      <c r="F1121">
        <v>27.5</v>
      </c>
      <c r="G1121">
        <v>27.55</v>
      </c>
      <c r="H1121">
        <v>0.05</v>
      </c>
      <c r="I1121" s="1">
        <v>398</v>
      </c>
    </row>
    <row r="1122" spans="1:9" x14ac:dyDescent="0.25">
      <c r="A1122" t="s">
        <v>7376</v>
      </c>
      <c r="B1122" s="1"/>
      <c r="C1122" s="1"/>
      <c r="I1122" s="1"/>
    </row>
    <row r="1129" spans="1:9" x14ac:dyDescent="0.25">
      <c r="A1129" s="9" t="s">
        <v>7341</v>
      </c>
      <c r="B1129" s="1">
        <v>2820</v>
      </c>
      <c r="C1129" s="1">
        <v>72808</v>
      </c>
      <c r="D1129">
        <v>25.5</v>
      </c>
      <c r="E1129">
        <v>26.25</v>
      </c>
      <c r="F1129">
        <v>25.25</v>
      </c>
      <c r="G1129">
        <v>25.95</v>
      </c>
      <c r="H1129">
        <v>0.45</v>
      </c>
      <c r="I1129" s="1">
        <v>995</v>
      </c>
    </row>
    <row r="1130" spans="1:9" x14ac:dyDescent="0.25">
      <c r="A1130" t="s">
        <v>7342</v>
      </c>
      <c r="B1130" s="1">
        <v>3951</v>
      </c>
      <c r="C1130" s="1">
        <v>105391</v>
      </c>
      <c r="D1130">
        <v>26</v>
      </c>
      <c r="E1130">
        <v>26.95</v>
      </c>
      <c r="F1130">
        <v>26</v>
      </c>
      <c r="G1130">
        <v>26.8</v>
      </c>
      <c r="H1130">
        <v>0.85</v>
      </c>
      <c r="I1130" s="1">
        <v>1659</v>
      </c>
    </row>
    <row r="1131" spans="1:9" x14ac:dyDescent="0.25">
      <c r="A1131" t="s">
        <v>7343</v>
      </c>
      <c r="B1131" s="1">
        <v>5270</v>
      </c>
      <c r="C1131" s="1">
        <v>145187</v>
      </c>
      <c r="D1131">
        <v>27</v>
      </c>
      <c r="E1131">
        <v>27.85</v>
      </c>
      <c r="F1131">
        <v>26.9</v>
      </c>
      <c r="G1131">
        <v>27.6</v>
      </c>
      <c r="H1131">
        <v>0.8</v>
      </c>
      <c r="I1131" s="1">
        <v>2215</v>
      </c>
    </row>
    <row r="1132" spans="1:9" x14ac:dyDescent="0.25">
      <c r="A1132" t="s">
        <v>7344</v>
      </c>
      <c r="B1132" s="1">
        <v>1575</v>
      </c>
      <c r="C1132" s="1">
        <v>43184</v>
      </c>
      <c r="D1132">
        <v>27.6</v>
      </c>
      <c r="E1132">
        <v>27.9</v>
      </c>
      <c r="F1132">
        <v>27.2</v>
      </c>
      <c r="G1132">
        <v>27.45</v>
      </c>
      <c r="H1132">
        <v>-0.15</v>
      </c>
      <c r="I1132" s="1">
        <v>781</v>
      </c>
    </row>
    <row r="1133" spans="1:9" x14ac:dyDescent="0.25">
      <c r="A1133" t="s">
        <v>7345</v>
      </c>
      <c r="B1133" s="1">
        <v>6443</v>
      </c>
      <c r="C1133" s="1">
        <v>182219</v>
      </c>
      <c r="D1133">
        <v>27.6</v>
      </c>
      <c r="E1133">
        <v>29.15</v>
      </c>
      <c r="F1133">
        <v>27.05</v>
      </c>
      <c r="G1133">
        <v>28.85</v>
      </c>
      <c r="H1133">
        <v>1.4</v>
      </c>
      <c r="I1133" s="1">
        <v>2709</v>
      </c>
    </row>
    <row r="1134" spans="1:9" x14ac:dyDescent="0.25">
      <c r="A1134" t="s">
        <v>7346</v>
      </c>
      <c r="B1134" s="1">
        <v>4242</v>
      </c>
      <c r="C1134" s="1">
        <v>119980</v>
      </c>
      <c r="D1134">
        <v>28.85</v>
      </c>
      <c r="E1134">
        <v>29</v>
      </c>
      <c r="F1134">
        <v>27.65</v>
      </c>
      <c r="G1134">
        <v>27.65</v>
      </c>
      <c r="H1134">
        <v>-1.2</v>
      </c>
      <c r="I1134" s="1">
        <v>1787</v>
      </c>
    </row>
    <row r="1135" spans="1:9" x14ac:dyDescent="0.25">
      <c r="A1135" t="s">
        <v>7347</v>
      </c>
      <c r="B1135" s="1">
        <v>1833</v>
      </c>
      <c r="C1135" s="1">
        <v>50407</v>
      </c>
      <c r="D1135">
        <v>27.65</v>
      </c>
      <c r="E1135">
        <v>28.15</v>
      </c>
      <c r="F1135">
        <v>27.2</v>
      </c>
      <c r="G1135">
        <v>27.2</v>
      </c>
      <c r="H1135">
        <v>-0.45</v>
      </c>
      <c r="I1135" s="1">
        <v>980</v>
      </c>
    </row>
    <row r="1136" spans="1:9" x14ac:dyDescent="0.25">
      <c r="A1136" t="s">
        <v>7348</v>
      </c>
      <c r="B1136" s="1">
        <v>1361</v>
      </c>
      <c r="C1136" s="1">
        <v>37429</v>
      </c>
      <c r="D1136">
        <v>27.3</v>
      </c>
      <c r="E1136">
        <v>27.85</v>
      </c>
      <c r="F1136">
        <v>27.2</v>
      </c>
      <c r="G1136">
        <v>27.65</v>
      </c>
      <c r="H1136">
        <v>0.45</v>
      </c>
      <c r="I1136" s="1">
        <v>723</v>
      </c>
    </row>
    <row r="1137" spans="1:9" x14ac:dyDescent="0.25">
      <c r="A1137" t="s">
        <v>7349</v>
      </c>
      <c r="B1137" s="1">
        <v>1103</v>
      </c>
      <c r="C1137" s="1">
        <v>30460</v>
      </c>
      <c r="D1137">
        <v>27.8</v>
      </c>
      <c r="E1137">
        <v>27.85</v>
      </c>
      <c r="F1137">
        <v>27.45</v>
      </c>
      <c r="G1137">
        <v>27.45</v>
      </c>
      <c r="H1137">
        <v>-0.2</v>
      </c>
      <c r="I1137" s="1">
        <v>589</v>
      </c>
    </row>
    <row r="1138" spans="1:9" x14ac:dyDescent="0.25">
      <c r="A1138" t="s">
        <v>7350</v>
      </c>
      <c r="B1138" s="1">
        <v>1007</v>
      </c>
      <c r="C1138" s="1">
        <v>27809</v>
      </c>
      <c r="D1138">
        <v>27.65</v>
      </c>
      <c r="E1138">
        <v>27.8</v>
      </c>
      <c r="F1138">
        <v>27.5</v>
      </c>
      <c r="G1138">
        <v>27.5</v>
      </c>
      <c r="H1138">
        <v>0.05</v>
      </c>
      <c r="I1138" s="1">
        <v>467</v>
      </c>
    </row>
    <row r="1139" spans="1:9" x14ac:dyDescent="0.25">
      <c r="A1139" t="s">
        <v>7351</v>
      </c>
      <c r="B1139" s="1">
        <v>7804</v>
      </c>
      <c r="C1139" s="1">
        <v>222942</v>
      </c>
      <c r="D1139">
        <v>28.15</v>
      </c>
      <c r="E1139">
        <v>29.15</v>
      </c>
      <c r="F1139">
        <v>27.9</v>
      </c>
      <c r="G1139">
        <v>28.3</v>
      </c>
      <c r="H1139">
        <v>0.8</v>
      </c>
      <c r="I1139" s="1">
        <v>2912</v>
      </c>
    </row>
    <row r="1140" spans="1:9" x14ac:dyDescent="0.25">
      <c r="A1140" t="s">
        <v>7352</v>
      </c>
      <c r="B1140" s="1">
        <v>2301</v>
      </c>
      <c r="C1140" s="1">
        <v>64271</v>
      </c>
      <c r="D1140">
        <v>28.3</v>
      </c>
      <c r="E1140">
        <v>28.4</v>
      </c>
      <c r="F1140">
        <v>27.7</v>
      </c>
      <c r="G1140">
        <v>27.75</v>
      </c>
      <c r="H1140">
        <v>-0.55000000000000004</v>
      </c>
      <c r="I1140" s="1">
        <v>985</v>
      </c>
    </row>
    <row r="1141" spans="1:9" x14ac:dyDescent="0.25">
      <c r="A1141" t="s">
        <v>7353</v>
      </c>
      <c r="B1141" s="1">
        <v>1681</v>
      </c>
      <c r="C1141" s="1">
        <v>47028</v>
      </c>
      <c r="D1141">
        <v>27.95</v>
      </c>
      <c r="E1141">
        <v>28.3</v>
      </c>
      <c r="F1141">
        <v>27.8</v>
      </c>
      <c r="G1141">
        <v>27.85</v>
      </c>
      <c r="H1141">
        <v>0.1</v>
      </c>
      <c r="I1141" s="1">
        <v>722</v>
      </c>
    </row>
    <row r="1142" spans="1:9" x14ac:dyDescent="0.25">
      <c r="A1142" t="s">
        <v>7354</v>
      </c>
      <c r="B1142" s="1">
        <v>1242</v>
      </c>
      <c r="C1142" s="1">
        <v>34461</v>
      </c>
      <c r="D1142">
        <v>27.85</v>
      </c>
      <c r="E1142">
        <v>28.15</v>
      </c>
      <c r="F1142">
        <v>27.4</v>
      </c>
      <c r="G1142">
        <v>27.4</v>
      </c>
      <c r="H1142">
        <v>-0.45</v>
      </c>
      <c r="I1142" s="1">
        <v>593</v>
      </c>
    </row>
    <row r="1143" spans="1:9" x14ac:dyDescent="0.25">
      <c r="A1143" t="s">
        <v>7355</v>
      </c>
      <c r="B1143" s="1">
        <v>1238</v>
      </c>
      <c r="C1143" s="1">
        <v>34338</v>
      </c>
      <c r="D1143">
        <v>27.2</v>
      </c>
      <c r="E1143">
        <v>28</v>
      </c>
      <c r="F1143">
        <v>27.2</v>
      </c>
      <c r="G1143">
        <v>27.8</v>
      </c>
      <c r="H1143">
        <v>0.4</v>
      </c>
      <c r="I1143" s="1">
        <v>525</v>
      </c>
    </row>
    <row r="1144" spans="1:9" x14ac:dyDescent="0.25">
      <c r="A1144" t="s">
        <v>7356</v>
      </c>
      <c r="B1144" s="1">
        <v>837</v>
      </c>
      <c r="C1144" s="1">
        <v>23318</v>
      </c>
      <c r="D1144">
        <v>28.2</v>
      </c>
      <c r="E1144">
        <v>28.2</v>
      </c>
      <c r="F1144">
        <v>27.6</v>
      </c>
      <c r="G1144">
        <v>28</v>
      </c>
      <c r="H1144">
        <v>0.2</v>
      </c>
      <c r="I1144" s="1">
        <v>447</v>
      </c>
    </row>
    <row r="1145" spans="1:9" x14ac:dyDescent="0.25">
      <c r="A1145" t="s">
        <v>7357</v>
      </c>
      <c r="B1145" s="1">
        <v>813</v>
      </c>
      <c r="C1145" s="1">
        <v>22731</v>
      </c>
      <c r="D1145">
        <v>27.65</v>
      </c>
      <c r="E1145">
        <v>28.1</v>
      </c>
      <c r="F1145">
        <v>27.65</v>
      </c>
      <c r="G1145">
        <v>27.8</v>
      </c>
      <c r="H1145">
        <v>-0.2</v>
      </c>
      <c r="I1145" s="1">
        <v>394</v>
      </c>
    </row>
    <row r="1146" spans="1:9" x14ac:dyDescent="0.25">
      <c r="A1146" t="s">
        <v>7358</v>
      </c>
      <c r="B1146" s="1">
        <v>1309</v>
      </c>
      <c r="C1146" s="1">
        <v>35642</v>
      </c>
      <c r="D1146">
        <v>27</v>
      </c>
      <c r="E1146">
        <v>27.5</v>
      </c>
      <c r="F1146">
        <v>27</v>
      </c>
      <c r="G1146">
        <v>27</v>
      </c>
      <c r="H1146">
        <v>-0.8</v>
      </c>
      <c r="I1146" s="1">
        <v>597</v>
      </c>
    </row>
    <row r="1147" spans="1:9" x14ac:dyDescent="0.25">
      <c r="A1147" t="s">
        <v>857</v>
      </c>
      <c r="B1147" s="1"/>
      <c r="C1147" s="1"/>
      <c r="I1147" s="1"/>
    </row>
    <row r="1153" spans="1:9" x14ac:dyDescent="0.25">
      <c r="A1153" s="9" t="s">
        <v>7319</v>
      </c>
      <c r="B1153" s="1">
        <v>995</v>
      </c>
      <c r="C1153" s="1">
        <v>24830</v>
      </c>
      <c r="D1153">
        <v>25</v>
      </c>
      <c r="E1153">
        <v>25.15</v>
      </c>
      <c r="F1153">
        <v>24.8</v>
      </c>
      <c r="G1153">
        <v>24.9</v>
      </c>
      <c r="H1153">
        <v>0.1</v>
      </c>
      <c r="I1153" s="1">
        <v>1736</v>
      </c>
    </row>
    <row r="1154" spans="1:9" x14ac:dyDescent="0.25">
      <c r="A1154" t="s">
        <v>7320</v>
      </c>
      <c r="B1154" s="1">
        <v>433</v>
      </c>
      <c r="C1154" s="1">
        <v>10774</v>
      </c>
      <c r="D1154">
        <v>24.9</v>
      </c>
      <c r="E1154">
        <v>25</v>
      </c>
      <c r="F1154">
        <v>24.7</v>
      </c>
      <c r="G1154">
        <v>24.8</v>
      </c>
      <c r="H1154">
        <v>-0.1</v>
      </c>
      <c r="I1154" s="1">
        <v>212</v>
      </c>
    </row>
    <row r="1155" spans="1:9" x14ac:dyDescent="0.25">
      <c r="A1155" t="s">
        <v>7321</v>
      </c>
      <c r="B1155" s="1">
        <v>457</v>
      </c>
      <c r="C1155" s="1">
        <v>11327</v>
      </c>
      <c r="D1155">
        <v>24.75</v>
      </c>
      <c r="E1155">
        <v>24.95</v>
      </c>
      <c r="F1155">
        <v>24.7</v>
      </c>
      <c r="G1155">
        <v>24.85</v>
      </c>
      <c r="H1155">
        <v>0.05</v>
      </c>
      <c r="I1155" s="1">
        <v>921</v>
      </c>
    </row>
    <row r="1156" spans="1:9" x14ac:dyDescent="0.25">
      <c r="A1156" t="s">
        <v>7322</v>
      </c>
      <c r="B1156" s="1">
        <v>650</v>
      </c>
      <c r="C1156" s="1">
        <v>16057</v>
      </c>
      <c r="D1156">
        <v>24.85</v>
      </c>
      <c r="E1156">
        <v>25</v>
      </c>
      <c r="F1156">
        <v>24.5</v>
      </c>
      <c r="G1156">
        <v>24.6</v>
      </c>
      <c r="H1156">
        <v>-0.25</v>
      </c>
      <c r="I1156" s="1">
        <v>280</v>
      </c>
    </row>
    <row r="1157" spans="1:9" x14ac:dyDescent="0.25">
      <c r="A1157" t="s">
        <v>7323</v>
      </c>
      <c r="B1157" s="1">
        <v>3521</v>
      </c>
      <c r="C1157" s="1">
        <v>90437</v>
      </c>
      <c r="D1157">
        <v>25.3</v>
      </c>
      <c r="E1157">
        <v>26.2</v>
      </c>
      <c r="F1157">
        <v>25.2</v>
      </c>
      <c r="G1157">
        <v>25.6</v>
      </c>
      <c r="H1157">
        <v>1</v>
      </c>
      <c r="I1157" s="1">
        <v>1542</v>
      </c>
    </row>
    <row r="1158" spans="1:9" x14ac:dyDescent="0.25">
      <c r="A1158" t="s">
        <v>7324</v>
      </c>
      <c r="B1158" s="1">
        <v>2045</v>
      </c>
      <c r="C1158" s="1">
        <v>52737</v>
      </c>
      <c r="D1158">
        <v>26.15</v>
      </c>
      <c r="E1158">
        <v>26.3</v>
      </c>
      <c r="F1158">
        <v>25.25</v>
      </c>
      <c r="G1158">
        <v>25.25</v>
      </c>
      <c r="H1158">
        <v>-0.35</v>
      </c>
      <c r="I1158" s="1">
        <v>858</v>
      </c>
    </row>
    <row r="1159" spans="1:9" x14ac:dyDescent="0.25">
      <c r="A1159" t="s">
        <v>7325</v>
      </c>
      <c r="B1159" s="1">
        <v>911</v>
      </c>
      <c r="C1159" s="1">
        <v>22737</v>
      </c>
      <c r="D1159">
        <v>25.1</v>
      </c>
      <c r="E1159">
        <v>25.2</v>
      </c>
      <c r="F1159">
        <v>24.8</v>
      </c>
      <c r="G1159">
        <v>24.85</v>
      </c>
      <c r="H1159">
        <v>-0.4</v>
      </c>
      <c r="I1159" s="1">
        <v>465</v>
      </c>
    </row>
    <row r="1160" spans="1:9" x14ac:dyDescent="0.25">
      <c r="A1160" t="s">
        <v>7326</v>
      </c>
      <c r="B1160" s="1">
        <v>804</v>
      </c>
      <c r="C1160" s="1">
        <v>20170</v>
      </c>
      <c r="D1160">
        <v>25</v>
      </c>
      <c r="E1160">
        <v>25.4</v>
      </c>
      <c r="F1160">
        <v>24.7</v>
      </c>
      <c r="G1160">
        <v>24.8</v>
      </c>
      <c r="H1160">
        <v>-0.05</v>
      </c>
      <c r="I1160" s="1">
        <v>432</v>
      </c>
    </row>
    <row r="1161" spans="1:9" x14ac:dyDescent="0.25">
      <c r="A1161" t="s">
        <v>7327</v>
      </c>
      <c r="B1161" s="1">
        <v>523</v>
      </c>
      <c r="C1161" s="1">
        <v>13011</v>
      </c>
      <c r="D1161">
        <v>24.8</v>
      </c>
      <c r="E1161">
        <v>25.2</v>
      </c>
      <c r="F1161">
        <v>24.65</v>
      </c>
      <c r="G1161">
        <v>24.75</v>
      </c>
      <c r="H1161">
        <v>-0.05</v>
      </c>
      <c r="I1161" s="1">
        <v>229</v>
      </c>
    </row>
    <row r="1162" spans="1:9" x14ac:dyDescent="0.25">
      <c r="A1162" t="s">
        <v>7328</v>
      </c>
      <c r="B1162" s="1">
        <v>382</v>
      </c>
      <c r="C1162" s="1">
        <v>9487</v>
      </c>
      <c r="D1162">
        <v>24.75</v>
      </c>
      <c r="E1162">
        <v>24.95</v>
      </c>
      <c r="F1162">
        <v>24.7</v>
      </c>
      <c r="G1162">
        <v>24.9</v>
      </c>
      <c r="H1162">
        <v>0.15</v>
      </c>
      <c r="I1162" s="1">
        <v>223</v>
      </c>
    </row>
    <row r="1163" spans="1:9" x14ac:dyDescent="0.25">
      <c r="A1163" t="s">
        <v>7329</v>
      </c>
      <c r="B1163" s="1">
        <v>680</v>
      </c>
      <c r="C1163" s="1">
        <v>16821</v>
      </c>
      <c r="D1163">
        <v>25.1</v>
      </c>
      <c r="E1163">
        <v>25.1</v>
      </c>
      <c r="F1163">
        <v>24.6</v>
      </c>
      <c r="G1163">
        <v>24.65</v>
      </c>
      <c r="H1163">
        <v>-0.25</v>
      </c>
      <c r="I1163" s="1">
        <v>326</v>
      </c>
    </row>
    <row r="1164" spans="1:9" x14ac:dyDescent="0.25">
      <c r="A1164" t="s">
        <v>7330</v>
      </c>
      <c r="B1164" s="1">
        <v>543</v>
      </c>
      <c r="C1164" s="1">
        <v>13481</v>
      </c>
      <c r="D1164">
        <v>24.7</v>
      </c>
      <c r="E1164">
        <v>24.95</v>
      </c>
      <c r="F1164">
        <v>24.7</v>
      </c>
      <c r="G1164">
        <v>24.7</v>
      </c>
      <c r="H1164">
        <v>0.05</v>
      </c>
      <c r="I1164" s="1">
        <v>288</v>
      </c>
    </row>
    <row r="1165" spans="1:9" x14ac:dyDescent="0.25">
      <c r="A1165" t="s">
        <v>7331</v>
      </c>
      <c r="B1165" s="1">
        <v>1161</v>
      </c>
      <c r="C1165" s="1">
        <v>29219</v>
      </c>
      <c r="D1165">
        <v>25.5</v>
      </c>
      <c r="E1165">
        <v>25.5</v>
      </c>
      <c r="F1165">
        <v>24.9</v>
      </c>
      <c r="G1165">
        <v>24.95</v>
      </c>
      <c r="H1165">
        <v>0.25</v>
      </c>
      <c r="I1165" s="1">
        <v>534</v>
      </c>
    </row>
    <row r="1166" spans="1:9" x14ac:dyDescent="0.25">
      <c r="A1166" t="s">
        <v>7332</v>
      </c>
      <c r="B1166" s="1">
        <v>747</v>
      </c>
      <c r="C1166" s="1">
        <v>18650</v>
      </c>
      <c r="D1166">
        <v>25.15</v>
      </c>
      <c r="E1166">
        <v>25.2</v>
      </c>
      <c r="F1166">
        <v>24.75</v>
      </c>
      <c r="G1166">
        <v>24.75</v>
      </c>
      <c r="H1166">
        <v>-0.2</v>
      </c>
      <c r="I1166" s="1">
        <v>364</v>
      </c>
    </row>
    <row r="1167" spans="1:9" x14ac:dyDescent="0.25">
      <c r="A1167" t="s">
        <v>7333</v>
      </c>
      <c r="B1167" s="1">
        <v>568</v>
      </c>
      <c r="C1167" s="1">
        <v>14099</v>
      </c>
      <c r="D1167">
        <v>24.75</v>
      </c>
      <c r="E1167">
        <v>25</v>
      </c>
      <c r="F1167">
        <v>24.7</v>
      </c>
      <c r="G1167">
        <v>24.8</v>
      </c>
      <c r="H1167">
        <v>0.05</v>
      </c>
      <c r="I1167" s="1">
        <v>314</v>
      </c>
    </row>
    <row r="1168" spans="1:9" x14ac:dyDescent="0.25">
      <c r="A1168" t="s">
        <v>7334</v>
      </c>
      <c r="B1168" s="1">
        <v>708</v>
      </c>
      <c r="C1168" s="1">
        <v>17558</v>
      </c>
      <c r="D1168">
        <v>25</v>
      </c>
      <c r="E1168">
        <v>25</v>
      </c>
      <c r="F1168">
        <v>24.7</v>
      </c>
      <c r="G1168">
        <v>24.75</v>
      </c>
      <c r="H1168">
        <v>-0.05</v>
      </c>
      <c r="I1168" s="1">
        <v>264</v>
      </c>
    </row>
    <row r="1169" spans="1:9" x14ac:dyDescent="0.25">
      <c r="A1169" t="s">
        <v>7335</v>
      </c>
      <c r="B1169" s="1">
        <v>828</v>
      </c>
      <c r="C1169" s="1">
        <v>20682</v>
      </c>
      <c r="D1169">
        <v>24.75</v>
      </c>
      <c r="E1169">
        <v>25.2</v>
      </c>
      <c r="F1169">
        <v>24.75</v>
      </c>
      <c r="G1169">
        <v>24.95</v>
      </c>
      <c r="H1169">
        <v>0.2</v>
      </c>
      <c r="I1169" s="1">
        <v>393</v>
      </c>
    </row>
    <row r="1170" spans="1:9" x14ac:dyDescent="0.25">
      <c r="A1170" t="s">
        <v>7336</v>
      </c>
      <c r="B1170" s="1">
        <v>684</v>
      </c>
      <c r="C1170" s="1">
        <v>17158</v>
      </c>
      <c r="D1170">
        <v>25</v>
      </c>
      <c r="E1170">
        <v>25.25</v>
      </c>
      <c r="F1170">
        <v>24.85</v>
      </c>
      <c r="G1170">
        <v>25.15</v>
      </c>
      <c r="H1170">
        <v>0.2</v>
      </c>
      <c r="I1170" s="1">
        <v>379</v>
      </c>
    </row>
    <row r="1171" spans="1:9" x14ac:dyDescent="0.25">
      <c r="A1171" t="s">
        <v>7337</v>
      </c>
      <c r="B1171" s="1">
        <v>1690</v>
      </c>
      <c r="C1171" s="1">
        <v>43209</v>
      </c>
      <c r="D1171">
        <v>25.2</v>
      </c>
      <c r="E1171">
        <v>25.8</v>
      </c>
      <c r="F1171">
        <v>25.15</v>
      </c>
      <c r="G1171">
        <v>25.65</v>
      </c>
      <c r="H1171">
        <v>0.5</v>
      </c>
      <c r="I1171" s="1">
        <v>811</v>
      </c>
    </row>
    <row r="1172" spans="1:9" x14ac:dyDescent="0.25">
      <c r="A1172" t="s">
        <v>7338</v>
      </c>
      <c r="B1172" s="1">
        <v>2254</v>
      </c>
      <c r="C1172" s="1">
        <v>58667</v>
      </c>
      <c r="D1172">
        <v>25.7</v>
      </c>
      <c r="E1172">
        <v>26.3</v>
      </c>
      <c r="F1172">
        <v>25.65</v>
      </c>
      <c r="G1172">
        <v>25.85</v>
      </c>
      <c r="H1172">
        <v>0.2</v>
      </c>
      <c r="I1172" s="1">
        <v>982</v>
      </c>
    </row>
    <row r="1173" spans="1:9" x14ac:dyDescent="0.25">
      <c r="A1173" t="s">
        <v>7339</v>
      </c>
      <c r="B1173" s="1">
        <v>1174</v>
      </c>
      <c r="C1173" s="1">
        <v>30237</v>
      </c>
      <c r="D1173">
        <v>25.9</v>
      </c>
      <c r="E1173">
        <v>26.05</v>
      </c>
      <c r="F1173">
        <v>25.5</v>
      </c>
      <c r="G1173">
        <v>25.6</v>
      </c>
      <c r="H1173">
        <v>-0.25</v>
      </c>
      <c r="I1173" s="1">
        <v>555</v>
      </c>
    </row>
    <row r="1174" spans="1:9" x14ac:dyDescent="0.25">
      <c r="A1174" t="s">
        <v>7340</v>
      </c>
      <c r="B1174" s="1">
        <v>1396</v>
      </c>
      <c r="C1174" s="1">
        <v>35582</v>
      </c>
      <c r="D1174">
        <v>25.6</v>
      </c>
      <c r="E1174">
        <v>25.7</v>
      </c>
      <c r="F1174">
        <v>25.3</v>
      </c>
      <c r="G1174">
        <v>25.5</v>
      </c>
      <c r="H1174">
        <v>-0.1</v>
      </c>
      <c r="I1174" s="1">
        <v>424</v>
      </c>
    </row>
    <row r="1175" spans="1:9" x14ac:dyDescent="0.25">
      <c r="A1175" t="s">
        <v>1177</v>
      </c>
      <c r="B1175" s="1"/>
      <c r="C1175" s="1"/>
      <c r="I1175" s="1"/>
    </row>
    <row r="1177" spans="1:9" x14ac:dyDescent="0.25">
      <c r="A1177" s="9" t="s">
        <v>7298</v>
      </c>
      <c r="B1177" s="1">
        <v>1539</v>
      </c>
      <c r="C1177" s="1">
        <v>39051</v>
      </c>
      <c r="D1177">
        <v>25.05</v>
      </c>
      <c r="E1177">
        <v>25.75</v>
      </c>
      <c r="F1177">
        <v>24.95</v>
      </c>
      <c r="G1177">
        <v>25.15</v>
      </c>
      <c r="H1177">
        <v>0.1</v>
      </c>
      <c r="I1177" s="1">
        <v>644</v>
      </c>
    </row>
    <row r="1178" spans="1:9" x14ac:dyDescent="0.25">
      <c r="A1178" t="s">
        <v>7299</v>
      </c>
      <c r="B1178" s="1">
        <v>608</v>
      </c>
      <c r="C1178" s="1">
        <v>15211</v>
      </c>
      <c r="D1178">
        <v>25.3</v>
      </c>
      <c r="E1178">
        <v>25.3</v>
      </c>
      <c r="F1178">
        <v>24.8</v>
      </c>
      <c r="G1178">
        <v>24.9</v>
      </c>
      <c r="H1178">
        <v>-0.25</v>
      </c>
      <c r="I1178" s="1">
        <v>280</v>
      </c>
    </row>
    <row r="1179" spans="1:9" x14ac:dyDescent="0.25">
      <c r="A1179" t="s">
        <v>7300</v>
      </c>
      <c r="B1179" s="1">
        <v>596</v>
      </c>
      <c r="C1179" s="1">
        <v>14810</v>
      </c>
      <c r="D1179">
        <v>24.9</v>
      </c>
      <c r="E1179">
        <v>25.1</v>
      </c>
      <c r="F1179">
        <v>24.65</v>
      </c>
      <c r="G1179">
        <v>24.65</v>
      </c>
      <c r="H1179">
        <v>-0.25</v>
      </c>
      <c r="I1179" s="1">
        <v>312</v>
      </c>
    </row>
    <row r="1180" spans="1:9" x14ac:dyDescent="0.25">
      <c r="A1180" t="s">
        <v>7301</v>
      </c>
      <c r="B1180" s="1">
        <v>756</v>
      </c>
      <c r="C1180" s="1">
        <v>18293</v>
      </c>
      <c r="D1180">
        <v>24.6</v>
      </c>
      <c r="E1180">
        <v>24.7</v>
      </c>
      <c r="F1180">
        <v>23.9</v>
      </c>
      <c r="G1180">
        <v>24.05</v>
      </c>
      <c r="H1180">
        <v>-0.6</v>
      </c>
      <c r="I1180" s="1">
        <v>392</v>
      </c>
    </row>
    <row r="1181" spans="1:9" x14ac:dyDescent="0.25">
      <c r="A1181" t="s">
        <v>7302</v>
      </c>
      <c r="B1181" s="1">
        <v>545</v>
      </c>
      <c r="C1181" s="1">
        <v>13072</v>
      </c>
      <c r="D1181">
        <v>24.05</v>
      </c>
      <c r="E1181">
        <v>24.35</v>
      </c>
      <c r="F1181">
        <v>23.65</v>
      </c>
      <c r="G1181">
        <v>24.2</v>
      </c>
      <c r="H1181">
        <v>0.15</v>
      </c>
      <c r="I1181" s="1">
        <v>280</v>
      </c>
    </row>
    <row r="1182" spans="1:9" x14ac:dyDescent="0.25">
      <c r="A1182" t="s">
        <v>7303</v>
      </c>
      <c r="B1182" s="1">
        <v>957</v>
      </c>
      <c r="C1182" s="1">
        <v>23275</v>
      </c>
      <c r="D1182">
        <v>24.2</v>
      </c>
      <c r="E1182">
        <v>24.65</v>
      </c>
      <c r="F1182">
        <v>23.9</v>
      </c>
      <c r="G1182">
        <v>24.05</v>
      </c>
      <c r="H1182">
        <v>-0.15</v>
      </c>
      <c r="I1182" s="1">
        <v>358</v>
      </c>
    </row>
    <row r="1183" spans="1:9" x14ac:dyDescent="0.25">
      <c r="A1183" t="s">
        <v>7304</v>
      </c>
      <c r="B1183" s="1">
        <v>731</v>
      </c>
      <c r="C1183" s="1">
        <v>17542</v>
      </c>
      <c r="D1183">
        <v>23.8</v>
      </c>
      <c r="E1183">
        <v>24.2</v>
      </c>
      <c r="F1183">
        <v>23.8</v>
      </c>
      <c r="G1183">
        <v>23.95</v>
      </c>
      <c r="H1183">
        <v>-0.1</v>
      </c>
      <c r="I1183" s="1">
        <v>222</v>
      </c>
    </row>
    <row r="1184" spans="1:9" x14ac:dyDescent="0.25">
      <c r="A1184" t="s">
        <v>7305</v>
      </c>
      <c r="B1184" s="1">
        <v>436</v>
      </c>
      <c r="C1184" s="1">
        <v>10495</v>
      </c>
      <c r="D1184">
        <v>24</v>
      </c>
      <c r="E1184">
        <v>24.4</v>
      </c>
      <c r="F1184">
        <v>23.95</v>
      </c>
      <c r="G1184">
        <v>24</v>
      </c>
      <c r="H1184">
        <v>0.05</v>
      </c>
      <c r="I1184" s="1">
        <v>175</v>
      </c>
    </row>
    <row r="1185" spans="1:9" x14ac:dyDescent="0.25">
      <c r="A1185" t="s">
        <v>7306</v>
      </c>
      <c r="B1185" s="1">
        <v>302</v>
      </c>
      <c r="C1185" s="1">
        <v>7282</v>
      </c>
      <c r="D1185">
        <v>24</v>
      </c>
      <c r="E1185">
        <v>24.3</v>
      </c>
      <c r="F1185">
        <v>23.95</v>
      </c>
      <c r="G1185">
        <v>24</v>
      </c>
      <c r="H1185">
        <v>0</v>
      </c>
      <c r="I1185" s="1">
        <v>149</v>
      </c>
    </row>
    <row r="1186" spans="1:9" x14ac:dyDescent="0.25">
      <c r="A1186" t="s">
        <v>7307</v>
      </c>
      <c r="B1186" s="1">
        <v>225</v>
      </c>
      <c r="C1186" s="1">
        <v>5427</v>
      </c>
      <c r="D1186">
        <v>24</v>
      </c>
      <c r="E1186">
        <v>24.25</v>
      </c>
      <c r="F1186">
        <v>24</v>
      </c>
      <c r="G1186">
        <v>24.05</v>
      </c>
      <c r="H1186">
        <v>0.05</v>
      </c>
      <c r="I1186" s="1">
        <v>147</v>
      </c>
    </row>
    <row r="1187" spans="1:9" x14ac:dyDescent="0.25">
      <c r="A1187" t="s">
        <v>7308</v>
      </c>
      <c r="B1187" s="1">
        <v>1061</v>
      </c>
      <c r="C1187" s="1">
        <v>25937</v>
      </c>
      <c r="D1187">
        <v>24.2</v>
      </c>
      <c r="E1187">
        <v>24.75</v>
      </c>
      <c r="F1187">
        <v>24.05</v>
      </c>
      <c r="G1187">
        <v>24.25</v>
      </c>
      <c r="H1187">
        <v>0.2</v>
      </c>
      <c r="I1187" s="1">
        <v>398</v>
      </c>
    </row>
    <row r="1188" spans="1:9" x14ac:dyDescent="0.25">
      <c r="A1188" t="s">
        <v>7309</v>
      </c>
      <c r="B1188" s="1">
        <v>658</v>
      </c>
      <c r="C1188" s="1">
        <v>16096</v>
      </c>
      <c r="D1188">
        <v>24.1</v>
      </c>
      <c r="E1188">
        <v>24.9</v>
      </c>
      <c r="F1188">
        <v>24.05</v>
      </c>
      <c r="G1188">
        <v>24.05</v>
      </c>
      <c r="H1188">
        <v>-0.2</v>
      </c>
      <c r="I1188" s="1">
        <v>274</v>
      </c>
    </row>
    <row r="1189" spans="1:9" x14ac:dyDescent="0.25">
      <c r="A1189" t="s">
        <v>7310</v>
      </c>
      <c r="B1189" s="1">
        <v>511</v>
      </c>
      <c r="C1189" s="1">
        <v>12374</v>
      </c>
      <c r="D1189">
        <v>24.1</v>
      </c>
      <c r="E1189">
        <v>24.55</v>
      </c>
      <c r="F1189">
        <v>24.05</v>
      </c>
      <c r="G1189">
        <v>24.15</v>
      </c>
      <c r="H1189">
        <v>0.1</v>
      </c>
      <c r="I1189" s="1">
        <v>218</v>
      </c>
    </row>
    <row r="1190" spans="1:9" x14ac:dyDescent="0.25">
      <c r="A1190" t="s">
        <v>7311</v>
      </c>
      <c r="B1190" s="1">
        <v>913</v>
      </c>
      <c r="C1190" s="1">
        <v>22348</v>
      </c>
      <c r="D1190">
        <v>24.15</v>
      </c>
      <c r="E1190">
        <v>24.75</v>
      </c>
      <c r="F1190">
        <v>24.05</v>
      </c>
      <c r="G1190">
        <v>24.3</v>
      </c>
      <c r="H1190">
        <v>0.15</v>
      </c>
      <c r="I1190" s="1">
        <v>317</v>
      </c>
    </row>
    <row r="1191" spans="1:9" x14ac:dyDescent="0.25">
      <c r="A1191" t="s">
        <v>7312</v>
      </c>
      <c r="B1191" s="1">
        <v>337</v>
      </c>
      <c r="C1191" s="1">
        <v>8123</v>
      </c>
      <c r="D1191">
        <v>24.2</v>
      </c>
      <c r="E1191">
        <v>24.3</v>
      </c>
      <c r="F1191">
        <v>24</v>
      </c>
      <c r="G1191">
        <v>24.05</v>
      </c>
      <c r="H1191">
        <v>-0.25</v>
      </c>
      <c r="I1191" s="1">
        <v>148</v>
      </c>
    </row>
    <row r="1192" spans="1:9" x14ac:dyDescent="0.25">
      <c r="A1192" t="s">
        <v>7313</v>
      </c>
      <c r="B1192" s="1">
        <v>378</v>
      </c>
      <c r="C1192" s="1">
        <v>9079</v>
      </c>
      <c r="D1192">
        <v>24.2</v>
      </c>
      <c r="E1192">
        <v>24.2</v>
      </c>
      <c r="F1192">
        <v>23.9</v>
      </c>
      <c r="G1192">
        <v>23.9</v>
      </c>
      <c r="H1192">
        <v>-0.15</v>
      </c>
      <c r="I1192" s="1">
        <v>189</v>
      </c>
    </row>
    <row r="1193" spans="1:9" x14ac:dyDescent="0.25">
      <c r="A1193" t="s">
        <v>7314</v>
      </c>
      <c r="B1193" s="1">
        <v>471</v>
      </c>
      <c r="C1193" s="1">
        <v>11292</v>
      </c>
      <c r="D1193">
        <v>23.9</v>
      </c>
      <c r="E1193">
        <v>24.3</v>
      </c>
      <c r="F1193">
        <v>23.85</v>
      </c>
      <c r="G1193">
        <v>24</v>
      </c>
      <c r="H1193">
        <v>0.1</v>
      </c>
      <c r="I1193" s="1">
        <v>224</v>
      </c>
    </row>
    <row r="1194" spans="1:9" x14ac:dyDescent="0.25">
      <c r="A1194" t="s">
        <v>7315</v>
      </c>
      <c r="B1194" s="1">
        <v>482</v>
      </c>
      <c r="C1194" s="1">
        <v>11646</v>
      </c>
      <c r="D1194">
        <v>24</v>
      </c>
      <c r="E1194">
        <v>24.45</v>
      </c>
      <c r="F1194">
        <v>24</v>
      </c>
      <c r="G1194">
        <v>24.1</v>
      </c>
      <c r="H1194">
        <v>0.1</v>
      </c>
      <c r="I1194" s="1">
        <v>227</v>
      </c>
    </row>
    <row r="1195" spans="1:9" x14ac:dyDescent="0.25">
      <c r="A1195" t="s">
        <v>7316</v>
      </c>
      <c r="B1195" s="1">
        <v>356</v>
      </c>
      <c r="C1195" s="1">
        <v>8625</v>
      </c>
      <c r="D1195">
        <v>24.1</v>
      </c>
      <c r="E1195">
        <v>24.3</v>
      </c>
      <c r="F1195">
        <v>24.1</v>
      </c>
      <c r="G1195">
        <v>24.2</v>
      </c>
      <c r="H1195">
        <v>0.1</v>
      </c>
      <c r="I1195" s="1">
        <v>177</v>
      </c>
    </row>
    <row r="1196" spans="1:9" x14ac:dyDescent="0.25">
      <c r="A1196" t="s">
        <v>7317</v>
      </c>
      <c r="B1196" s="1">
        <v>371</v>
      </c>
      <c r="C1196" s="1">
        <v>8983</v>
      </c>
      <c r="D1196">
        <v>24.3</v>
      </c>
      <c r="E1196">
        <v>24.4</v>
      </c>
      <c r="F1196">
        <v>24.15</v>
      </c>
      <c r="G1196">
        <v>24.15</v>
      </c>
      <c r="H1196">
        <v>-0.05</v>
      </c>
      <c r="I1196" s="1">
        <v>219</v>
      </c>
    </row>
    <row r="1197" spans="1:9" x14ac:dyDescent="0.25">
      <c r="A1197" t="s">
        <v>7318</v>
      </c>
      <c r="B1197" s="1">
        <v>2042</v>
      </c>
      <c r="C1197" s="1">
        <v>50476</v>
      </c>
      <c r="D1197">
        <v>24.4</v>
      </c>
      <c r="E1197">
        <v>25.05</v>
      </c>
      <c r="F1197">
        <v>24.25</v>
      </c>
      <c r="G1197">
        <v>24.8</v>
      </c>
      <c r="H1197">
        <v>0.65</v>
      </c>
      <c r="I1197" s="1">
        <v>1912</v>
      </c>
    </row>
    <row r="1198" spans="1:9" x14ac:dyDescent="0.25">
      <c r="A1198" t="s">
        <v>973</v>
      </c>
      <c r="B1198" s="1"/>
      <c r="C1198" s="1"/>
      <c r="I1198" s="1"/>
    </row>
    <row r="1201" spans="1:9" x14ac:dyDescent="0.25">
      <c r="A1201" s="9" t="s">
        <v>7276</v>
      </c>
      <c r="B1201" s="1">
        <v>440</v>
      </c>
      <c r="C1201" s="1">
        <v>11522</v>
      </c>
      <c r="D1201">
        <v>26.2</v>
      </c>
      <c r="E1201">
        <v>26.35</v>
      </c>
      <c r="F1201">
        <v>26</v>
      </c>
      <c r="G1201">
        <v>26.05</v>
      </c>
      <c r="H1201">
        <v>-0.15</v>
      </c>
      <c r="I1201" s="1">
        <v>290</v>
      </c>
    </row>
    <row r="1202" spans="1:9" x14ac:dyDescent="0.25">
      <c r="A1202" t="s">
        <v>7277</v>
      </c>
      <c r="B1202" s="1">
        <v>560</v>
      </c>
      <c r="C1202" s="1">
        <v>14554</v>
      </c>
      <c r="D1202">
        <v>26</v>
      </c>
      <c r="E1202">
        <v>26.35</v>
      </c>
      <c r="F1202">
        <v>25.85</v>
      </c>
      <c r="G1202">
        <v>25.85</v>
      </c>
      <c r="H1202">
        <v>-0.2</v>
      </c>
      <c r="I1202" s="1">
        <v>328</v>
      </c>
    </row>
    <row r="1203" spans="1:9" x14ac:dyDescent="0.25">
      <c r="A1203" t="s">
        <v>7278</v>
      </c>
      <c r="B1203" s="1">
        <v>1326</v>
      </c>
      <c r="C1203" s="1">
        <v>35042</v>
      </c>
      <c r="D1203">
        <v>25.9</v>
      </c>
      <c r="E1203">
        <v>26.85</v>
      </c>
      <c r="F1203">
        <v>25.9</v>
      </c>
      <c r="G1203">
        <v>26.6</v>
      </c>
      <c r="H1203">
        <v>0.75</v>
      </c>
      <c r="I1203" s="1">
        <v>626</v>
      </c>
    </row>
    <row r="1204" spans="1:9" x14ac:dyDescent="0.25">
      <c r="A1204" t="s">
        <v>7279</v>
      </c>
      <c r="B1204" s="1">
        <v>850</v>
      </c>
      <c r="C1204" s="1">
        <v>22565</v>
      </c>
      <c r="D1204">
        <v>26.5</v>
      </c>
      <c r="E1204">
        <v>26.9</v>
      </c>
      <c r="F1204">
        <v>26.35</v>
      </c>
      <c r="G1204">
        <v>26.65</v>
      </c>
      <c r="H1204">
        <v>0.05</v>
      </c>
      <c r="I1204" s="1">
        <v>385</v>
      </c>
    </row>
    <row r="1205" spans="1:9" x14ac:dyDescent="0.25">
      <c r="A1205" t="s">
        <v>7280</v>
      </c>
      <c r="B1205" s="1">
        <v>678</v>
      </c>
      <c r="C1205" s="1">
        <v>17915</v>
      </c>
      <c r="D1205">
        <v>26.6</v>
      </c>
      <c r="E1205">
        <v>26.7</v>
      </c>
      <c r="F1205">
        <v>26.2</v>
      </c>
      <c r="G1205">
        <v>26.2</v>
      </c>
      <c r="H1205">
        <v>-0.45</v>
      </c>
      <c r="I1205" s="1">
        <v>314</v>
      </c>
    </row>
    <row r="1206" spans="1:9" x14ac:dyDescent="0.25">
      <c r="A1206" t="s">
        <v>7281</v>
      </c>
      <c r="B1206" s="1">
        <v>537</v>
      </c>
      <c r="C1206" s="1">
        <v>14050</v>
      </c>
      <c r="D1206">
        <v>26.2</v>
      </c>
      <c r="E1206">
        <v>26.4</v>
      </c>
      <c r="F1206">
        <v>26</v>
      </c>
      <c r="G1206">
        <v>26.25</v>
      </c>
      <c r="H1206">
        <v>0.05</v>
      </c>
      <c r="I1206" s="1">
        <v>291</v>
      </c>
    </row>
    <row r="1207" spans="1:9" x14ac:dyDescent="0.25">
      <c r="A1207" t="s">
        <v>7282</v>
      </c>
      <c r="B1207" s="1">
        <v>1681</v>
      </c>
      <c r="C1207" s="1">
        <v>44100</v>
      </c>
      <c r="D1207">
        <v>26.2</v>
      </c>
      <c r="E1207">
        <v>26.5</v>
      </c>
      <c r="F1207">
        <v>25.9</v>
      </c>
      <c r="G1207">
        <v>25.95</v>
      </c>
      <c r="H1207">
        <v>-0.3</v>
      </c>
      <c r="I1207" s="1">
        <v>590</v>
      </c>
    </row>
    <row r="1208" spans="1:9" x14ac:dyDescent="0.25">
      <c r="A1208" t="s">
        <v>7283</v>
      </c>
      <c r="B1208" s="1">
        <v>1828</v>
      </c>
      <c r="C1208" s="1">
        <v>46655</v>
      </c>
      <c r="D1208">
        <v>26.3</v>
      </c>
      <c r="E1208">
        <v>26.35</v>
      </c>
      <c r="F1208">
        <v>24.8</v>
      </c>
      <c r="G1208">
        <v>25</v>
      </c>
      <c r="H1208">
        <v>-0.95</v>
      </c>
      <c r="I1208" s="1">
        <v>852</v>
      </c>
    </row>
    <row r="1209" spans="1:9" x14ac:dyDescent="0.25">
      <c r="A1209" t="s">
        <v>7284</v>
      </c>
      <c r="B1209" s="1">
        <v>3197</v>
      </c>
      <c r="C1209" s="1">
        <v>75769</v>
      </c>
      <c r="D1209">
        <v>25</v>
      </c>
      <c r="E1209">
        <v>25</v>
      </c>
      <c r="F1209">
        <v>23.25</v>
      </c>
      <c r="G1209">
        <v>23.4</v>
      </c>
      <c r="H1209">
        <v>-1.6</v>
      </c>
      <c r="I1209" s="1">
        <v>1340</v>
      </c>
    </row>
    <row r="1210" spans="1:9" x14ac:dyDescent="0.25">
      <c r="A1210" t="s">
        <v>7285</v>
      </c>
      <c r="B1210" s="1">
        <v>832</v>
      </c>
      <c r="C1210" s="1">
        <v>19686</v>
      </c>
      <c r="D1210">
        <v>23.4</v>
      </c>
      <c r="E1210">
        <v>23.85</v>
      </c>
      <c r="F1210">
        <v>23.35</v>
      </c>
      <c r="G1210">
        <v>23.75</v>
      </c>
      <c r="H1210">
        <v>0.35</v>
      </c>
      <c r="I1210" s="1">
        <v>501</v>
      </c>
    </row>
    <row r="1211" spans="1:9" x14ac:dyDescent="0.25">
      <c r="A1211" t="s">
        <v>7286</v>
      </c>
      <c r="B1211" s="1">
        <v>1312</v>
      </c>
      <c r="C1211" s="1">
        <v>32166</v>
      </c>
      <c r="D1211">
        <v>23.85</v>
      </c>
      <c r="E1211">
        <v>24.9</v>
      </c>
      <c r="F1211">
        <v>23.85</v>
      </c>
      <c r="G1211">
        <v>24.5</v>
      </c>
      <c r="H1211">
        <v>0.75</v>
      </c>
      <c r="I1211" s="1">
        <v>799</v>
      </c>
    </row>
    <row r="1212" spans="1:9" x14ac:dyDescent="0.25">
      <c r="A1212" t="s">
        <v>7287</v>
      </c>
      <c r="B1212" s="1">
        <v>1251</v>
      </c>
      <c r="C1212" s="1">
        <v>31288</v>
      </c>
      <c r="D1212">
        <v>24.8</v>
      </c>
      <c r="E1212">
        <v>25.15</v>
      </c>
      <c r="F1212">
        <v>24.8</v>
      </c>
      <c r="G1212">
        <v>24.9</v>
      </c>
      <c r="H1212">
        <v>0.4</v>
      </c>
      <c r="I1212" s="1">
        <v>613</v>
      </c>
    </row>
    <row r="1213" spans="1:9" x14ac:dyDescent="0.25">
      <c r="A1213" t="s">
        <v>7288</v>
      </c>
      <c r="B1213" s="1">
        <v>1022</v>
      </c>
      <c r="C1213" s="1">
        <v>25730</v>
      </c>
      <c r="D1213">
        <v>25.1</v>
      </c>
      <c r="E1213">
        <v>25.45</v>
      </c>
      <c r="F1213">
        <v>24.95</v>
      </c>
      <c r="G1213">
        <v>25.3</v>
      </c>
      <c r="H1213">
        <v>0.4</v>
      </c>
      <c r="I1213" s="1">
        <v>457</v>
      </c>
    </row>
    <row r="1214" spans="1:9" x14ac:dyDescent="0.25">
      <c r="A1214" t="s">
        <v>7289</v>
      </c>
      <c r="B1214" s="1">
        <v>715</v>
      </c>
      <c r="C1214" s="1">
        <v>17888</v>
      </c>
      <c r="D1214">
        <v>25.6</v>
      </c>
      <c r="E1214">
        <v>25.6</v>
      </c>
      <c r="F1214">
        <v>24.75</v>
      </c>
      <c r="G1214">
        <v>24.85</v>
      </c>
      <c r="H1214">
        <v>-0.45</v>
      </c>
      <c r="I1214" s="1">
        <v>407</v>
      </c>
    </row>
    <row r="1215" spans="1:9" x14ac:dyDescent="0.25">
      <c r="A1215" t="s">
        <v>7290</v>
      </c>
      <c r="B1215" s="1">
        <v>372</v>
      </c>
      <c r="C1215" s="1">
        <v>9295</v>
      </c>
      <c r="D1215">
        <v>24.8</v>
      </c>
      <c r="E1215">
        <v>25.3</v>
      </c>
      <c r="F1215">
        <v>24.8</v>
      </c>
      <c r="G1215">
        <v>24.9</v>
      </c>
      <c r="H1215">
        <v>0.05</v>
      </c>
      <c r="I1215" s="1">
        <v>239</v>
      </c>
    </row>
    <row r="1216" spans="1:9" x14ac:dyDescent="0.25">
      <c r="A1216" t="s">
        <v>7291</v>
      </c>
      <c r="B1216" s="1">
        <v>642</v>
      </c>
      <c r="C1216" s="1">
        <v>16062</v>
      </c>
      <c r="D1216">
        <v>25.2</v>
      </c>
      <c r="E1216">
        <v>25.3</v>
      </c>
      <c r="F1216">
        <v>24.85</v>
      </c>
      <c r="G1216">
        <v>24.85</v>
      </c>
      <c r="H1216">
        <v>-0.05</v>
      </c>
      <c r="I1216" s="1">
        <v>344</v>
      </c>
    </row>
    <row r="1217" spans="1:9" x14ac:dyDescent="0.25">
      <c r="A1217" t="s">
        <v>7292</v>
      </c>
      <c r="B1217" s="1">
        <v>807</v>
      </c>
      <c r="C1217" s="1">
        <v>20346</v>
      </c>
      <c r="D1217">
        <v>24.9</v>
      </c>
      <c r="E1217">
        <v>25.45</v>
      </c>
      <c r="F1217">
        <v>24.75</v>
      </c>
      <c r="G1217">
        <v>25.1</v>
      </c>
      <c r="H1217">
        <v>0.25</v>
      </c>
      <c r="I1217" s="1">
        <v>343</v>
      </c>
    </row>
    <row r="1218" spans="1:9" x14ac:dyDescent="0.25">
      <c r="A1218" t="s">
        <v>7293</v>
      </c>
      <c r="B1218" s="1">
        <v>608</v>
      </c>
      <c r="C1218" s="1">
        <v>15268</v>
      </c>
      <c r="D1218">
        <v>25</v>
      </c>
      <c r="E1218">
        <v>25.3</v>
      </c>
      <c r="F1218">
        <v>25</v>
      </c>
      <c r="G1218">
        <v>25.1</v>
      </c>
      <c r="H1218">
        <v>0</v>
      </c>
      <c r="I1218" s="1">
        <v>272</v>
      </c>
    </row>
    <row r="1219" spans="1:9" x14ac:dyDescent="0.25">
      <c r="A1219" t="s">
        <v>7294</v>
      </c>
      <c r="B1219" s="1">
        <v>338</v>
      </c>
      <c r="C1219" s="1">
        <v>8486</v>
      </c>
      <c r="D1219">
        <v>25.15</v>
      </c>
      <c r="E1219">
        <v>25.3</v>
      </c>
      <c r="F1219">
        <v>25</v>
      </c>
      <c r="G1219">
        <v>25.05</v>
      </c>
      <c r="H1219">
        <v>-0.05</v>
      </c>
      <c r="I1219" s="1">
        <v>192</v>
      </c>
    </row>
    <row r="1220" spans="1:9" x14ac:dyDescent="0.25">
      <c r="A1220" t="s">
        <v>7295</v>
      </c>
      <c r="B1220" s="1">
        <v>400</v>
      </c>
      <c r="C1220" s="1">
        <v>10050</v>
      </c>
      <c r="D1220">
        <v>25.05</v>
      </c>
      <c r="E1220">
        <v>25.3</v>
      </c>
      <c r="F1220">
        <v>25.05</v>
      </c>
      <c r="G1220">
        <v>25.25</v>
      </c>
      <c r="H1220">
        <v>0.2</v>
      </c>
      <c r="I1220" s="1">
        <v>208</v>
      </c>
    </row>
    <row r="1221" spans="1:9" x14ac:dyDescent="0.25">
      <c r="A1221" t="s">
        <v>7296</v>
      </c>
      <c r="B1221" s="1">
        <v>675</v>
      </c>
      <c r="C1221" s="1">
        <v>16937</v>
      </c>
      <c r="D1221">
        <v>25.15</v>
      </c>
      <c r="E1221">
        <v>25.25</v>
      </c>
      <c r="F1221">
        <v>25</v>
      </c>
      <c r="G1221">
        <v>25.05</v>
      </c>
      <c r="H1221">
        <v>-0.2</v>
      </c>
      <c r="I1221" s="1">
        <v>241</v>
      </c>
    </row>
    <row r="1222" spans="1:9" x14ac:dyDescent="0.25">
      <c r="A1222" t="s">
        <v>7297</v>
      </c>
      <c r="B1222" s="1">
        <v>322</v>
      </c>
      <c r="C1222" s="1">
        <v>8058</v>
      </c>
      <c r="D1222">
        <v>25.05</v>
      </c>
      <c r="E1222">
        <v>25.1</v>
      </c>
      <c r="F1222">
        <v>24.95</v>
      </c>
      <c r="G1222">
        <v>25.05</v>
      </c>
      <c r="H1222">
        <v>0</v>
      </c>
      <c r="I1222" s="1">
        <v>168</v>
      </c>
    </row>
    <row r="1223" spans="1:9" x14ac:dyDescent="0.25">
      <c r="A1223" t="s">
        <v>1177</v>
      </c>
      <c r="B1223" s="1"/>
      <c r="C1223" s="1"/>
      <c r="I1223" s="1"/>
    </row>
    <row r="1225" spans="1:9" x14ac:dyDescent="0.25">
      <c r="A1225" s="9" t="s">
        <v>7256</v>
      </c>
      <c r="B1225" s="1">
        <v>504</v>
      </c>
      <c r="C1225" s="1">
        <v>12724</v>
      </c>
      <c r="D1225">
        <v>25.5</v>
      </c>
      <c r="E1225">
        <v>25.5</v>
      </c>
      <c r="F1225">
        <v>25.15</v>
      </c>
      <c r="G1225">
        <v>25.15</v>
      </c>
      <c r="H1225">
        <v>-0.35</v>
      </c>
      <c r="I1225" s="1">
        <v>285</v>
      </c>
    </row>
    <row r="1226" spans="1:9" x14ac:dyDescent="0.25">
      <c r="A1226" t="s">
        <v>7257</v>
      </c>
      <c r="B1226" s="1">
        <v>543</v>
      </c>
      <c r="C1226" s="1">
        <v>13806</v>
      </c>
      <c r="D1226">
        <v>25.4</v>
      </c>
      <c r="E1226">
        <v>25.65</v>
      </c>
      <c r="F1226">
        <v>25.15</v>
      </c>
      <c r="G1226">
        <v>25.45</v>
      </c>
      <c r="H1226">
        <v>0.3</v>
      </c>
      <c r="I1226" s="1">
        <v>312</v>
      </c>
    </row>
    <row r="1227" spans="1:9" x14ac:dyDescent="0.25">
      <c r="A1227" t="s">
        <v>7258</v>
      </c>
      <c r="B1227" s="1">
        <v>2712</v>
      </c>
      <c r="C1227" s="1">
        <v>72428</v>
      </c>
      <c r="D1227">
        <v>25.5</v>
      </c>
      <c r="E1227">
        <v>27.2</v>
      </c>
      <c r="F1227">
        <v>25.5</v>
      </c>
      <c r="G1227">
        <v>27.2</v>
      </c>
      <c r="H1227">
        <v>1.75</v>
      </c>
      <c r="I1227" s="1">
        <v>1006</v>
      </c>
    </row>
    <row r="1228" spans="1:9" x14ac:dyDescent="0.25">
      <c r="A1228" t="s">
        <v>7259</v>
      </c>
      <c r="B1228" s="1">
        <v>5415</v>
      </c>
      <c r="C1228" s="1">
        <v>149772</v>
      </c>
      <c r="D1228">
        <v>27.95</v>
      </c>
      <c r="E1228">
        <v>27.95</v>
      </c>
      <c r="F1228">
        <v>27.2</v>
      </c>
      <c r="G1228">
        <v>27.2</v>
      </c>
      <c r="H1228">
        <v>0</v>
      </c>
      <c r="I1228" s="1">
        <v>2022</v>
      </c>
    </row>
    <row r="1229" spans="1:9" x14ac:dyDescent="0.25">
      <c r="A1229" t="s">
        <v>7260</v>
      </c>
      <c r="B1229" s="1">
        <v>2062</v>
      </c>
      <c r="C1229" s="1">
        <v>56518</v>
      </c>
      <c r="D1229">
        <v>27.3</v>
      </c>
      <c r="E1229">
        <v>27.6</v>
      </c>
      <c r="F1229">
        <v>27.2</v>
      </c>
      <c r="G1229">
        <v>27.4</v>
      </c>
      <c r="H1229">
        <v>0.2</v>
      </c>
      <c r="I1229" s="1">
        <v>914</v>
      </c>
    </row>
    <row r="1230" spans="1:9" x14ac:dyDescent="0.25">
      <c r="A1230" t="s">
        <v>7261</v>
      </c>
      <c r="B1230" s="1">
        <v>953</v>
      </c>
      <c r="C1230" s="1">
        <v>25864</v>
      </c>
      <c r="D1230">
        <v>27.5</v>
      </c>
      <c r="E1230">
        <v>27.55</v>
      </c>
      <c r="F1230">
        <v>26.9</v>
      </c>
      <c r="G1230">
        <v>27.05</v>
      </c>
      <c r="H1230">
        <v>-0.35</v>
      </c>
      <c r="I1230" s="1">
        <v>495</v>
      </c>
    </row>
    <row r="1231" spans="1:9" x14ac:dyDescent="0.25">
      <c r="A1231" t="s">
        <v>7262</v>
      </c>
      <c r="B1231" s="1">
        <v>1569</v>
      </c>
      <c r="C1231" s="1">
        <v>41598</v>
      </c>
      <c r="D1231">
        <v>26.85</v>
      </c>
      <c r="E1231">
        <v>27.2</v>
      </c>
      <c r="F1231">
        <v>26.25</v>
      </c>
      <c r="G1231">
        <v>26.25</v>
      </c>
      <c r="H1231">
        <v>-0.8</v>
      </c>
      <c r="I1231" s="1">
        <v>740</v>
      </c>
    </row>
    <row r="1232" spans="1:9" x14ac:dyDescent="0.25">
      <c r="A1232" t="s">
        <v>7263</v>
      </c>
      <c r="B1232" s="1">
        <v>1347</v>
      </c>
      <c r="C1232" s="1">
        <v>35594</v>
      </c>
      <c r="D1232">
        <v>26.25</v>
      </c>
      <c r="E1232">
        <v>26.8</v>
      </c>
      <c r="F1232">
        <v>25.8</v>
      </c>
      <c r="G1232">
        <v>26.6</v>
      </c>
      <c r="H1232">
        <v>0.35</v>
      </c>
      <c r="I1232" s="1">
        <v>602</v>
      </c>
    </row>
    <row r="1233" spans="1:9" x14ac:dyDescent="0.25">
      <c r="A1233" t="s">
        <v>7264</v>
      </c>
      <c r="B1233" s="1">
        <v>414</v>
      </c>
      <c r="C1233" s="1">
        <v>10915</v>
      </c>
      <c r="D1233">
        <v>26.6</v>
      </c>
      <c r="E1233">
        <v>26.6</v>
      </c>
      <c r="F1233">
        <v>26.1</v>
      </c>
      <c r="G1233">
        <v>26.25</v>
      </c>
      <c r="H1233">
        <v>-0.35</v>
      </c>
      <c r="I1233" s="1">
        <v>268</v>
      </c>
    </row>
    <row r="1234" spans="1:9" x14ac:dyDescent="0.25">
      <c r="A1234" t="s">
        <v>7265</v>
      </c>
      <c r="B1234" s="1">
        <v>444</v>
      </c>
      <c r="C1234" s="1">
        <v>11575</v>
      </c>
      <c r="D1234">
        <v>26.25</v>
      </c>
      <c r="E1234">
        <v>26.25</v>
      </c>
      <c r="F1234">
        <v>25.9</v>
      </c>
      <c r="G1234">
        <v>26</v>
      </c>
      <c r="H1234">
        <v>-0.25</v>
      </c>
      <c r="I1234" s="1">
        <v>285</v>
      </c>
    </row>
    <row r="1235" spans="1:9" x14ac:dyDescent="0.25">
      <c r="A1235" t="s">
        <v>7266</v>
      </c>
      <c r="B1235" s="1">
        <v>423</v>
      </c>
      <c r="C1235" s="1">
        <v>10909</v>
      </c>
      <c r="D1235">
        <v>26</v>
      </c>
      <c r="E1235">
        <v>26.05</v>
      </c>
      <c r="F1235">
        <v>25.7</v>
      </c>
      <c r="G1235">
        <v>25.7</v>
      </c>
      <c r="H1235">
        <v>-0.3</v>
      </c>
      <c r="I1235" s="1">
        <v>213</v>
      </c>
    </row>
    <row r="1236" spans="1:9" x14ac:dyDescent="0.25">
      <c r="A1236" t="s">
        <v>7267</v>
      </c>
      <c r="B1236" s="1">
        <v>618</v>
      </c>
      <c r="C1236" s="1">
        <v>16121</v>
      </c>
      <c r="D1236">
        <v>26</v>
      </c>
      <c r="E1236">
        <v>26.4</v>
      </c>
      <c r="F1236">
        <v>25.85</v>
      </c>
      <c r="G1236">
        <v>25.95</v>
      </c>
      <c r="H1236">
        <v>0.25</v>
      </c>
      <c r="I1236" s="1">
        <v>354</v>
      </c>
    </row>
    <row r="1237" spans="1:9" x14ac:dyDescent="0.25">
      <c r="A1237" t="s">
        <v>7268</v>
      </c>
      <c r="B1237" s="1">
        <v>393</v>
      </c>
      <c r="C1237" s="1">
        <v>10162</v>
      </c>
      <c r="D1237">
        <v>26.05</v>
      </c>
      <c r="E1237">
        <v>26.05</v>
      </c>
      <c r="F1237">
        <v>25.75</v>
      </c>
      <c r="G1237">
        <v>25.9</v>
      </c>
      <c r="H1237">
        <v>-0.05</v>
      </c>
      <c r="I1237" s="1">
        <v>228</v>
      </c>
    </row>
    <row r="1238" spans="1:9" x14ac:dyDescent="0.25">
      <c r="A1238" t="s">
        <v>7269</v>
      </c>
      <c r="B1238" s="1">
        <v>365</v>
      </c>
      <c r="C1238" s="1">
        <v>9443</v>
      </c>
      <c r="D1238">
        <v>25.9</v>
      </c>
      <c r="E1238">
        <v>26.05</v>
      </c>
      <c r="F1238">
        <v>25.8</v>
      </c>
      <c r="G1238">
        <v>25.85</v>
      </c>
      <c r="H1238">
        <v>-0.05</v>
      </c>
      <c r="I1238" s="1">
        <v>233</v>
      </c>
    </row>
    <row r="1239" spans="1:9" x14ac:dyDescent="0.25">
      <c r="A1239" t="s">
        <v>7270</v>
      </c>
      <c r="B1239" s="1">
        <v>993</v>
      </c>
      <c r="C1239" s="1">
        <v>25952</v>
      </c>
      <c r="D1239">
        <v>25.9</v>
      </c>
      <c r="E1239">
        <v>26.25</v>
      </c>
      <c r="F1239">
        <v>25.9</v>
      </c>
      <c r="G1239">
        <v>26.2</v>
      </c>
      <c r="H1239">
        <v>0.35</v>
      </c>
      <c r="I1239" s="1">
        <v>416</v>
      </c>
    </row>
    <row r="1240" spans="1:9" x14ac:dyDescent="0.25">
      <c r="A1240" t="s">
        <v>7271</v>
      </c>
      <c r="B1240" s="1">
        <v>926</v>
      </c>
      <c r="C1240" s="1">
        <v>24365</v>
      </c>
      <c r="D1240">
        <v>26.2</v>
      </c>
      <c r="E1240">
        <v>26.6</v>
      </c>
      <c r="F1240">
        <v>26</v>
      </c>
      <c r="G1240">
        <v>26.25</v>
      </c>
      <c r="H1240">
        <v>0.05</v>
      </c>
      <c r="I1240" s="1">
        <v>442</v>
      </c>
    </row>
    <row r="1241" spans="1:9" x14ac:dyDescent="0.25">
      <c r="A1241" t="s">
        <v>7272</v>
      </c>
      <c r="B1241" s="1">
        <v>1618</v>
      </c>
      <c r="C1241" s="1">
        <v>43551</v>
      </c>
      <c r="D1241">
        <v>26.2</v>
      </c>
      <c r="E1241">
        <v>27.4</v>
      </c>
      <c r="F1241">
        <v>26</v>
      </c>
      <c r="G1241">
        <v>27.4</v>
      </c>
      <c r="H1241">
        <v>1.1499999999999999</v>
      </c>
      <c r="I1241" s="1">
        <v>763</v>
      </c>
    </row>
    <row r="1242" spans="1:9" x14ac:dyDescent="0.25">
      <c r="A1242" t="s">
        <v>7273</v>
      </c>
      <c r="B1242" s="1">
        <v>2306</v>
      </c>
      <c r="C1242" s="1">
        <v>62400</v>
      </c>
      <c r="D1242">
        <v>27.4</v>
      </c>
      <c r="E1242">
        <v>27.6</v>
      </c>
      <c r="F1242">
        <v>26.5</v>
      </c>
      <c r="G1242">
        <v>26.65</v>
      </c>
      <c r="H1242">
        <v>-0.75</v>
      </c>
      <c r="I1242" s="1">
        <v>1171</v>
      </c>
    </row>
    <row r="1243" spans="1:9" x14ac:dyDescent="0.25">
      <c r="A1243" t="s">
        <v>7274</v>
      </c>
      <c r="B1243" s="1">
        <v>695</v>
      </c>
      <c r="C1243" s="1">
        <v>18427</v>
      </c>
      <c r="D1243">
        <v>26.7</v>
      </c>
      <c r="E1243">
        <v>26.8</v>
      </c>
      <c r="F1243">
        <v>26.35</v>
      </c>
      <c r="G1243">
        <v>26.45</v>
      </c>
      <c r="H1243">
        <v>-0.2</v>
      </c>
      <c r="I1243" s="1">
        <v>382</v>
      </c>
    </row>
    <row r="1244" spans="1:9" x14ac:dyDescent="0.25">
      <c r="A1244" t="s">
        <v>7275</v>
      </c>
      <c r="B1244" s="1">
        <v>474</v>
      </c>
      <c r="C1244" s="1">
        <v>12378</v>
      </c>
      <c r="D1244">
        <v>26.2</v>
      </c>
      <c r="E1244">
        <v>26.25</v>
      </c>
      <c r="F1244">
        <v>25.95</v>
      </c>
      <c r="G1244">
        <v>26.2</v>
      </c>
      <c r="H1244">
        <v>-0.25</v>
      </c>
      <c r="I1244" s="1">
        <v>309</v>
      </c>
    </row>
    <row r="1245" spans="1:9" x14ac:dyDescent="0.25">
      <c r="A1245" t="s">
        <v>927</v>
      </c>
      <c r="B1245" s="1"/>
      <c r="C1245" s="1"/>
      <c r="I1245" s="1"/>
    </row>
    <row r="1249" spans="1:9" x14ac:dyDescent="0.25">
      <c r="A1249" s="9" t="s">
        <v>7235</v>
      </c>
      <c r="B1249" s="1">
        <v>1359</v>
      </c>
      <c r="C1249" s="1">
        <v>36906</v>
      </c>
      <c r="D1249">
        <v>27.65</v>
      </c>
      <c r="E1249">
        <v>27.7</v>
      </c>
      <c r="F1249">
        <v>26.85</v>
      </c>
      <c r="G1249">
        <v>27.05</v>
      </c>
      <c r="H1249">
        <v>-0.45</v>
      </c>
      <c r="I1249" s="1">
        <v>680</v>
      </c>
    </row>
    <row r="1250" spans="1:9" x14ac:dyDescent="0.25">
      <c r="A1250" t="s">
        <v>7236</v>
      </c>
      <c r="B1250" s="1">
        <v>3070</v>
      </c>
      <c r="C1250" s="1">
        <v>82804</v>
      </c>
      <c r="D1250">
        <v>27.2</v>
      </c>
      <c r="E1250">
        <v>27.3</v>
      </c>
      <c r="F1250">
        <v>26.8</v>
      </c>
      <c r="G1250">
        <v>26.8</v>
      </c>
      <c r="H1250">
        <v>-0.25</v>
      </c>
      <c r="I1250" s="1">
        <v>1094</v>
      </c>
    </row>
    <row r="1251" spans="1:9" x14ac:dyDescent="0.25">
      <c r="A1251" t="s">
        <v>7237</v>
      </c>
      <c r="B1251" s="1">
        <v>1575</v>
      </c>
      <c r="C1251" s="1">
        <v>40042</v>
      </c>
      <c r="D1251">
        <v>25.5</v>
      </c>
      <c r="E1251">
        <v>25.55</v>
      </c>
      <c r="F1251">
        <v>25.25</v>
      </c>
      <c r="G1251">
        <v>25.45</v>
      </c>
      <c r="H1251">
        <v>0.15</v>
      </c>
      <c r="I1251" s="1">
        <v>694</v>
      </c>
    </row>
    <row r="1252" spans="1:9" x14ac:dyDescent="0.25">
      <c r="A1252" t="s">
        <v>7238</v>
      </c>
      <c r="B1252" s="1">
        <v>610</v>
      </c>
      <c r="C1252" s="1">
        <v>15516</v>
      </c>
      <c r="D1252">
        <v>25.45</v>
      </c>
      <c r="E1252">
        <v>25.55</v>
      </c>
      <c r="F1252">
        <v>25.3</v>
      </c>
      <c r="G1252">
        <v>25.5</v>
      </c>
      <c r="H1252">
        <v>0.05</v>
      </c>
      <c r="I1252" s="1">
        <v>343</v>
      </c>
    </row>
    <row r="1253" spans="1:9" x14ac:dyDescent="0.25">
      <c r="A1253" t="s">
        <v>7239</v>
      </c>
      <c r="B1253" s="1">
        <v>613</v>
      </c>
      <c r="C1253" s="1">
        <v>15473</v>
      </c>
      <c r="D1253">
        <v>25.35</v>
      </c>
      <c r="E1253">
        <v>25.35</v>
      </c>
      <c r="F1253">
        <v>25.15</v>
      </c>
      <c r="G1253">
        <v>25.15</v>
      </c>
      <c r="H1253">
        <v>-0.35</v>
      </c>
      <c r="I1253" s="1">
        <v>303</v>
      </c>
    </row>
    <row r="1254" spans="1:9" x14ac:dyDescent="0.25">
      <c r="A1254" t="s">
        <v>7240</v>
      </c>
      <c r="B1254" s="1">
        <v>1011</v>
      </c>
      <c r="C1254" s="1">
        <v>25133</v>
      </c>
      <c r="D1254">
        <v>25.15</v>
      </c>
      <c r="E1254">
        <v>25.15</v>
      </c>
      <c r="F1254">
        <v>24.5</v>
      </c>
      <c r="G1254">
        <v>24.5</v>
      </c>
      <c r="H1254">
        <v>-0.65</v>
      </c>
      <c r="I1254" s="1">
        <v>453</v>
      </c>
    </row>
    <row r="1255" spans="1:9" x14ac:dyDescent="0.25">
      <c r="A1255" t="s">
        <v>7241</v>
      </c>
      <c r="B1255" s="1">
        <v>577</v>
      </c>
      <c r="C1255" s="1">
        <v>14260</v>
      </c>
      <c r="D1255">
        <v>24.7</v>
      </c>
      <c r="E1255">
        <v>24.9</v>
      </c>
      <c r="F1255">
        <v>24.55</v>
      </c>
      <c r="G1255">
        <v>24.65</v>
      </c>
      <c r="H1255">
        <v>0.15</v>
      </c>
      <c r="I1255" s="1">
        <v>319</v>
      </c>
    </row>
    <row r="1256" spans="1:9" x14ac:dyDescent="0.25">
      <c r="A1256" t="s">
        <v>7242</v>
      </c>
      <c r="B1256" s="1">
        <v>477</v>
      </c>
      <c r="C1256" s="1">
        <v>11821</v>
      </c>
      <c r="D1256">
        <v>24.8</v>
      </c>
      <c r="E1256">
        <v>24.9</v>
      </c>
      <c r="F1256">
        <v>24.65</v>
      </c>
      <c r="G1256">
        <v>24.7</v>
      </c>
      <c r="H1256">
        <v>0.05</v>
      </c>
      <c r="I1256" s="1">
        <v>256</v>
      </c>
    </row>
    <row r="1257" spans="1:9" x14ac:dyDescent="0.25">
      <c r="A1257" t="s">
        <v>7243</v>
      </c>
      <c r="B1257" s="1">
        <v>1023</v>
      </c>
      <c r="C1257" s="1">
        <v>26022</v>
      </c>
      <c r="D1257">
        <v>24.8</v>
      </c>
      <c r="E1257">
        <v>25.9</v>
      </c>
      <c r="F1257">
        <v>24.8</v>
      </c>
      <c r="G1257">
        <v>25.5</v>
      </c>
      <c r="H1257">
        <v>0.8</v>
      </c>
      <c r="I1257" s="1">
        <v>613</v>
      </c>
    </row>
    <row r="1258" spans="1:9" x14ac:dyDescent="0.25">
      <c r="A1258" t="s">
        <v>7244</v>
      </c>
      <c r="B1258" s="1">
        <v>567</v>
      </c>
      <c r="C1258" s="1">
        <v>14537</v>
      </c>
      <c r="D1258">
        <v>25.5</v>
      </c>
      <c r="E1258">
        <v>25.75</v>
      </c>
      <c r="F1258">
        <v>25.5</v>
      </c>
      <c r="G1258">
        <v>25.55</v>
      </c>
      <c r="H1258">
        <v>0.05</v>
      </c>
      <c r="I1258" s="1">
        <v>290</v>
      </c>
    </row>
    <row r="1259" spans="1:9" x14ac:dyDescent="0.25">
      <c r="A1259" t="s">
        <v>7245</v>
      </c>
      <c r="B1259" s="1">
        <v>359</v>
      </c>
      <c r="C1259" s="1">
        <v>9066</v>
      </c>
      <c r="D1259">
        <v>25.55</v>
      </c>
      <c r="E1259">
        <v>25.55</v>
      </c>
      <c r="F1259">
        <v>25.1</v>
      </c>
      <c r="G1259">
        <v>25.2</v>
      </c>
      <c r="H1259">
        <v>-0.35</v>
      </c>
      <c r="I1259" s="1">
        <v>219</v>
      </c>
    </row>
    <row r="1260" spans="1:9" x14ac:dyDescent="0.25">
      <c r="A1260" t="s">
        <v>7246</v>
      </c>
      <c r="B1260" s="1">
        <v>725</v>
      </c>
      <c r="C1260" s="1">
        <v>18587</v>
      </c>
      <c r="D1260">
        <v>25.2</v>
      </c>
      <c r="E1260">
        <v>25.85</v>
      </c>
      <c r="F1260">
        <v>25.2</v>
      </c>
      <c r="G1260">
        <v>25.5</v>
      </c>
      <c r="H1260">
        <v>0.3</v>
      </c>
      <c r="I1260" s="1">
        <v>405</v>
      </c>
    </row>
    <row r="1261" spans="1:9" x14ac:dyDescent="0.25">
      <c r="A1261" t="s">
        <v>7247</v>
      </c>
      <c r="B1261" s="1">
        <v>990</v>
      </c>
      <c r="C1261" s="1">
        <v>25625</v>
      </c>
      <c r="D1261">
        <v>25.5</v>
      </c>
      <c r="E1261">
        <v>26.15</v>
      </c>
      <c r="F1261">
        <v>25.5</v>
      </c>
      <c r="G1261">
        <v>25.95</v>
      </c>
      <c r="H1261">
        <v>0.45</v>
      </c>
      <c r="I1261" s="1">
        <v>413</v>
      </c>
    </row>
    <row r="1262" spans="1:9" x14ac:dyDescent="0.25">
      <c r="A1262" t="s">
        <v>7248</v>
      </c>
      <c r="B1262" s="1">
        <v>488</v>
      </c>
      <c r="C1262" s="1">
        <v>12503</v>
      </c>
      <c r="D1262">
        <v>26</v>
      </c>
      <c r="E1262">
        <v>26</v>
      </c>
      <c r="F1262">
        <v>25.4</v>
      </c>
      <c r="G1262">
        <v>25.4</v>
      </c>
      <c r="H1262">
        <v>-0.55000000000000004</v>
      </c>
      <c r="I1262" s="1">
        <v>271</v>
      </c>
    </row>
    <row r="1263" spans="1:9" x14ac:dyDescent="0.25">
      <c r="A1263" t="s">
        <v>7249</v>
      </c>
      <c r="B1263" s="1">
        <v>313</v>
      </c>
      <c r="C1263" s="1">
        <v>7956</v>
      </c>
      <c r="D1263">
        <v>25.25</v>
      </c>
      <c r="E1263">
        <v>25.6</v>
      </c>
      <c r="F1263">
        <v>25.1</v>
      </c>
      <c r="G1263">
        <v>25.6</v>
      </c>
      <c r="H1263">
        <v>0.2</v>
      </c>
      <c r="I1263" s="1">
        <v>210</v>
      </c>
    </row>
    <row r="1264" spans="1:9" x14ac:dyDescent="0.25">
      <c r="A1264" t="s">
        <v>7250</v>
      </c>
      <c r="B1264" s="1">
        <v>538</v>
      </c>
      <c r="C1264" s="1">
        <v>13822</v>
      </c>
      <c r="D1264">
        <v>25.7</v>
      </c>
      <c r="E1264">
        <v>25.85</v>
      </c>
      <c r="F1264">
        <v>25.6</v>
      </c>
      <c r="G1264">
        <v>25.7</v>
      </c>
      <c r="H1264">
        <v>0.1</v>
      </c>
      <c r="I1264" s="1">
        <v>261</v>
      </c>
    </row>
    <row r="1265" spans="1:9" x14ac:dyDescent="0.25">
      <c r="A1265" t="s">
        <v>7251</v>
      </c>
      <c r="B1265" s="1">
        <v>525</v>
      </c>
      <c r="C1265" s="1">
        <v>13610</v>
      </c>
      <c r="D1265">
        <v>25.9</v>
      </c>
      <c r="E1265">
        <v>26</v>
      </c>
      <c r="F1265">
        <v>25.85</v>
      </c>
      <c r="G1265">
        <v>25.85</v>
      </c>
      <c r="H1265">
        <v>0.15</v>
      </c>
      <c r="I1265" s="1">
        <v>290</v>
      </c>
    </row>
    <row r="1266" spans="1:9" x14ac:dyDescent="0.25">
      <c r="A1266" t="s">
        <v>7252</v>
      </c>
      <c r="B1266" s="1">
        <v>353</v>
      </c>
      <c r="C1266" s="1">
        <v>9022</v>
      </c>
      <c r="D1266">
        <v>25.85</v>
      </c>
      <c r="E1266">
        <v>25.85</v>
      </c>
      <c r="F1266">
        <v>25.4</v>
      </c>
      <c r="G1266">
        <v>25.4</v>
      </c>
      <c r="H1266">
        <v>-0.45</v>
      </c>
      <c r="I1266" s="1">
        <v>201</v>
      </c>
    </row>
    <row r="1267" spans="1:9" x14ac:dyDescent="0.25">
      <c r="A1267" t="s">
        <v>7253</v>
      </c>
      <c r="B1267" s="1">
        <v>587</v>
      </c>
      <c r="C1267" s="1">
        <v>14698</v>
      </c>
      <c r="D1267">
        <v>25.4</v>
      </c>
      <c r="E1267">
        <v>25.4</v>
      </c>
      <c r="F1267">
        <v>24.7</v>
      </c>
      <c r="G1267">
        <v>25</v>
      </c>
      <c r="H1267">
        <v>-0.4</v>
      </c>
      <c r="I1267" s="1">
        <v>347</v>
      </c>
    </row>
    <row r="1268" spans="1:9" x14ac:dyDescent="0.25">
      <c r="A1268" t="s">
        <v>7254</v>
      </c>
      <c r="B1268" s="1">
        <v>659</v>
      </c>
      <c r="C1268" s="1">
        <v>16788</v>
      </c>
      <c r="D1268">
        <v>25.1</v>
      </c>
      <c r="E1268">
        <v>25.75</v>
      </c>
      <c r="F1268">
        <v>25.05</v>
      </c>
      <c r="G1268">
        <v>25.45</v>
      </c>
      <c r="H1268">
        <v>0.45</v>
      </c>
      <c r="I1268" s="1">
        <v>328</v>
      </c>
    </row>
    <row r="1269" spans="1:9" x14ac:dyDescent="0.25">
      <c r="A1269" t="s">
        <v>7255</v>
      </c>
      <c r="B1269" s="1">
        <v>395</v>
      </c>
      <c r="C1269" s="1">
        <v>10040</v>
      </c>
      <c r="D1269">
        <v>25.45</v>
      </c>
      <c r="E1269">
        <v>25.6</v>
      </c>
      <c r="F1269">
        <v>25.25</v>
      </c>
      <c r="G1269">
        <v>25.5</v>
      </c>
      <c r="H1269">
        <v>0.05</v>
      </c>
      <c r="I1269" s="1">
        <v>219</v>
      </c>
    </row>
    <row r="1270" spans="1:9" x14ac:dyDescent="0.25">
      <c r="A1270" t="s">
        <v>973</v>
      </c>
      <c r="B1270" s="1"/>
      <c r="C1270" s="1"/>
      <c r="I1270" s="1"/>
    </row>
    <row r="1273" spans="1:9" x14ac:dyDescent="0.25">
      <c r="A1273" s="9" t="s">
        <v>7212</v>
      </c>
      <c r="B1273" s="1">
        <v>996</v>
      </c>
      <c r="C1273" s="1">
        <v>28460</v>
      </c>
      <c r="D1273">
        <v>28.5</v>
      </c>
      <c r="E1273">
        <v>28.9</v>
      </c>
      <c r="F1273">
        <v>28.1</v>
      </c>
      <c r="G1273">
        <v>28.8</v>
      </c>
      <c r="H1273">
        <v>0.3</v>
      </c>
      <c r="I1273" s="1">
        <v>404</v>
      </c>
    </row>
    <row r="1274" spans="1:9" x14ac:dyDescent="0.25">
      <c r="A1274" t="s">
        <v>7213</v>
      </c>
      <c r="B1274" s="1">
        <v>538</v>
      </c>
      <c r="C1274" s="1">
        <v>15616</v>
      </c>
      <c r="D1274">
        <v>29.2</v>
      </c>
      <c r="E1274">
        <v>29.45</v>
      </c>
      <c r="F1274">
        <v>28.75</v>
      </c>
      <c r="G1274">
        <v>28.9</v>
      </c>
      <c r="H1274">
        <v>0.1</v>
      </c>
      <c r="I1274" s="1">
        <v>312</v>
      </c>
    </row>
    <row r="1275" spans="1:9" x14ac:dyDescent="0.25">
      <c r="A1275" t="s">
        <v>7214</v>
      </c>
      <c r="B1275" s="1">
        <v>317</v>
      </c>
      <c r="C1275" s="1">
        <v>9040</v>
      </c>
      <c r="D1275">
        <v>28.9</v>
      </c>
      <c r="E1275">
        <v>28.9</v>
      </c>
      <c r="F1275">
        <v>28.45</v>
      </c>
      <c r="G1275">
        <v>28.5</v>
      </c>
      <c r="H1275">
        <v>-0.4</v>
      </c>
      <c r="I1275" s="1">
        <v>177</v>
      </c>
    </row>
    <row r="1276" spans="1:9" x14ac:dyDescent="0.25">
      <c r="A1276" t="s">
        <v>7215</v>
      </c>
      <c r="B1276" s="1">
        <v>342</v>
      </c>
      <c r="C1276" s="1">
        <v>9714</v>
      </c>
      <c r="D1276">
        <v>28.55</v>
      </c>
      <c r="E1276">
        <v>28.55</v>
      </c>
      <c r="F1276">
        <v>28.25</v>
      </c>
      <c r="G1276">
        <v>28.3</v>
      </c>
      <c r="H1276">
        <v>-0.2</v>
      </c>
      <c r="I1276" s="1">
        <v>190</v>
      </c>
    </row>
    <row r="1277" spans="1:9" x14ac:dyDescent="0.25">
      <c r="A1277" t="s">
        <v>7216</v>
      </c>
      <c r="B1277" s="1">
        <v>312</v>
      </c>
      <c r="C1277" s="1">
        <v>8825</v>
      </c>
      <c r="D1277">
        <v>28.35</v>
      </c>
      <c r="E1277">
        <v>28.5</v>
      </c>
      <c r="F1277">
        <v>28.2</v>
      </c>
      <c r="G1277">
        <v>28.2</v>
      </c>
      <c r="H1277">
        <v>-0.1</v>
      </c>
      <c r="I1277" s="1">
        <v>170</v>
      </c>
    </row>
    <row r="1278" spans="1:9" x14ac:dyDescent="0.25">
      <c r="A1278" t="s">
        <v>7217</v>
      </c>
      <c r="B1278" s="1">
        <v>1886</v>
      </c>
      <c r="C1278" s="1">
        <v>51079</v>
      </c>
      <c r="D1278">
        <v>28.2</v>
      </c>
      <c r="E1278">
        <v>28.2</v>
      </c>
      <c r="F1278">
        <v>26.65</v>
      </c>
      <c r="G1278">
        <v>26.7</v>
      </c>
      <c r="H1278">
        <v>-1.5</v>
      </c>
      <c r="I1278" s="1">
        <v>854</v>
      </c>
    </row>
    <row r="1279" spans="1:9" x14ac:dyDescent="0.25">
      <c r="A1279" t="s">
        <v>7218</v>
      </c>
      <c r="B1279" s="1">
        <v>499</v>
      </c>
      <c r="C1279" s="1">
        <v>13338</v>
      </c>
      <c r="D1279">
        <v>26.7</v>
      </c>
      <c r="E1279">
        <v>26.95</v>
      </c>
      <c r="F1279">
        <v>26.5</v>
      </c>
      <c r="G1279">
        <v>26.7</v>
      </c>
      <c r="H1279">
        <v>0</v>
      </c>
      <c r="I1279" s="1">
        <v>282</v>
      </c>
    </row>
    <row r="1280" spans="1:9" x14ac:dyDescent="0.25">
      <c r="A1280" t="s">
        <v>7219</v>
      </c>
      <c r="B1280" s="1">
        <v>615</v>
      </c>
      <c r="C1280" s="1">
        <v>16546</v>
      </c>
      <c r="D1280">
        <v>26.8</v>
      </c>
      <c r="E1280">
        <v>27.3</v>
      </c>
      <c r="F1280">
        <v>26.65</v>
      </c>
      <c r="G1280">
        <v>26.7</v>
      </c>
      <c r="H1280">
        <v>0</v>
      </c>
      <c r="I1280" s="1">
        <v>425</v>
      </c>
    </row>
    <row r="1281" spans="1:9" x14ac:dyDescent="0.25">
      <c r="A1281" t="s">
        <v>7220</v>
      </c>
      <c r="B1281" s="1">
        <v>2516</v>
      </c>
      <c r="C1281" s="1">
        <v>67368</v>
      </c>
      <c r="D1281">
        <v>27</v>
      </c>
      <c r="E1281">
        <v>27.1</v>
      </c>
      <c r="F1281">
        <v>26.6</v>
      </c>
      <c r="G1281">
        <v>26.7</v>
      </c>
      <c r="H1281">
        <v>0</v>
      </c>
      <c r="I1281" s="1">
        <v>976</v>
      </c>
    </row>
    <row r="1282" spans="1:9" x14ac:dyDescent="0.25">
      <c r="A1282" t="s">
        <v>7221</v>
      </c>
      <c r="B1282" s="1">
        <v>2263</v>
      </c>
      <c r="C1282" s="1">
        <v>61406</v>
      </c>
      <c r="D1282">
        <v>27</v>
      </c>
      <c r="E1282">
        <v>27.4</v>
      </c>
      <c r="F1282">
        <v>26.8</v>
      </c>
      <c r="G1282">
        <v>27.2</v>
      </c>
      <c r="H1282">
        <v>0.5</v>
      </c>
      <c r="I1282" s="1">
        <v>934</v>
      </c>
    </row>
    <row r="1283" spans="1:9" x14ac:dyDescent="0.25">
      <c r="A1283" t="s">
        <v>7222</v>
      </c>
      <c r="B1283" s="1">
        <v>898</v>
      </c>
      <c r="C1283" s="1">
        <v>24411</v>
      </c>
      <c r="D1283">
        <v>27.35</v>
      </c>
      <c r="E1283">
        <v>27.35</v>
      </c>
      <c r="F1283">
        <v>27.1</v>
      </c>
      <c r="G1283">
        <v>27.15</v>
      </c>
      <c r="H1283">
        <v>-0.05</v>
      </c>
      <c r="I1283" s="1">
        <v>408</v>
      </c>
    </row>
    <row r="1284" spans="1:9" x14ac:dyDescent="0.25">
      <c r="A1284" t="s">
        <v>7223</v>
      </c>
      <c r="B1284" s="1">
        <v>1199</v>
      </c>
      <c r="C1284" s="1">
        <v>32460</v>
      </c>
      <c r="D1284">
        <v>27.15</v>
      </c>
      <c r="E1284">
        <v>27.3</v>
      </c>
      <c r="F1284">
        <v>26.95</v>
      </c>
      <c r="G1284">
        <v>27.3</v>
      </c>
      <c r="H1284">
        <v>0.15</v>
      </c>
      <c r="I1284" s="1">
        <v>498</v>
      </c>
    </row>
    <row r="1285" spans="1:9" x14ac:dyDescent="0.25">
      <c r="A1285" t="s">
        <v>7224</v>
      </c>
      <c r="B1285" s="1">
        <v>592</v>
      </c>
      <c r="C1285" s="1">
        <v>16104</v>
      </c>
      <c r="D1285">
        <v>27.4</v>
      </c>
      <c r="E1285">
        <v>27.4</v>
      </c>
      <c r="F1285">
        <v>27.1</v>
      </c>
      <c r="G1285">
        <v>27.1</v>
      </c>
      <c r="H1285">
        <v>-0.2</v>
      </c>
      <c r="I1285" s="1">
        <v>314</v>
      </c>
    </row>
    <row r="1286" spans="1:9" x14ac:dyDescent="0.25">
      <c r="A1286" t="s">
        <v>7225</v>
      </c>
      <c r="B1286" s="1">
        <v>734</v>
      </c>
      <c r="C1286" s="1">
        <v>19969</v>
      </c>
      <c r="D1286">
        <v>27.1</v>
      </c>
      <c r="E1286">
        <v>27.4</v>
      </c>
      <c r="F1286">
        <v>27.1</v>
      </c>
      <c r="G1286">
        <v>27.4</v>
      </c>
      <c r="H1286">
        <v>0.3</v>
      </c>
      <c r="I1286" s="1">
        <v>390</v>
      </c>
    </row>
    <row r="1287" spans="1:9" x14ac:dyDescent="0.25">
      <c r="A1287" t="s">
        <v>7226</v>
      </c>
      <c r="B1287" s="1">
        <v>509</v>
      </c>
      <c r="C1287" s="1">
        <v>13861</v>
      </c>
      <c r="D1287">
        <v>27.4</v>
      </c>
      <c r="E1287">
        <v>27.4</v>
      </c>
      <c r="F1287">
        <v>27.1</v>
      </c>
      <c r="G1287">
        <v>27.15</v>
      </c>
      <c r="H1287">
        <v>-0.25</v>
      </c>
      <c r="I1287" s="1">
        <v>290</v>
      </c>
    </row>
    <row r="1288" spans="1:9" x14ac:dyDescent="0.25">
      <c r="A1288" t="s">
        <v>7227</v>
      </c>
      <c r="B1288" s="1">
        <v>864</v>
      </c>
      <c r="C1288" s="1">
        <v>23346</v>
      </c>
      <c r="D1288">
        <v>27.15</v>
      </c>
      <c r="E1288">
        <v>27.2</v>
      </c>
      <c r="F1288">
        <v>26.9</v>
      </c>
      <c r="G1288">
        <v>27</v>
      </c>
      <c r="H1288">
        <v>-0.15</v>
      </c>
      <c r="I1288" s="1">
        <v>315</v>
      </c>
    </row>
    <row r="1289" spans="1:9" x14ac:dyDescent="0.25">
      <c r="A1289" t="s">
        <v>7228</v>
      </c>
      <c r="B1289" s="1">
        <v>2353</v>
      </c>
      <c r="C1289" s="1">
        <v>65295</v>
      </c>
      <c r="D1289">
        <v>27.2</v>
      </c>
      <c r="E1289">
        <v>28.5</v>
      </c>
      <c r="F1289">
        <v>26.95</v>
      </c>
      <c r="G1289">
        <v>28.1</v>
      </c>
      <c r="H1289">
        <v>1.1000000000000001</v>
      </c>
      <c r="I1289" s="1">
        <v>1130</v>
      </c>
    </row>
    <row r="1290" spans="1:9" x14ac:dyDescent="0.25">
      <c r="A1290" t="s">
        <v>7229</v>
      </c>
      <c r="B1290" s="1">
        <v>1661</v>
      </c>
      <c r="C1290" s="1">
        <v>46931</v>
      </c>
      <c r="D1290">
        <v>28.1</v>
      </c>
      <c r="E1290">
        <v>28.5</v>
      </c>
      <c r="F1290">
        <v>27.8</v>
      </c>
      <c r="G1290">
        <v>28.2</v>
      </c>
      <c r="H1290">
        <v>0.1</v>
      </c>
      <c r="I1290" s="1">
        <v>690</v>
      </c>
    </row>
    <row r="1291" spans="1:9" x14ac:dyDescent="0.25">
      <c r="A1291" t="s">
        <v>7230</v>
      </c>
      <c r="B1291" s="1">
        <v>911</v>
      </c>
      <c r="C1291" s="1">
        <v>25534</v>
      </c>
      <c r="D1291">
        <v>28.2</v>
      </c>
      <c r="E1291">
        <v>28.2</v>
      </c>
      <c r="F1291">
        <v>27.9</v>
      </c>
      <c r="G1291">
        <v>28</v>
      </c>
      <c r="H1291">
        <v>-0.2</v>
      </c>
      <c r="I1291" s="1">
        <v>397</v>
      </c>
    </row>
    <row r="1292" spans="1:9" x14ac:dyDescent="0.25">
      <c r="A1292" t="s">
        <v>7231</v>
      </c>
      <c r="B1292" s="1">
        <v>1388</v>
      </c>
      <c r="C1292" s="1">
        <v>39460</v>
      </c>
      <c r="D1292">
        <v>28.1</v>
      </c>
      <c r="E1292">
        <v>28.65</v>
      </c>
      <c r="F1292">
        <v>28.1</v>
      </c>
      <c r="G1292">
        <v>28.5</v>
      </c>
      <c r="H1292">
        <v>0.5</v>
      </c>
      <c r="I1292" s="1">
        <v>625</v>
      </c>
    </row>
    <row r="1293" spans="1:9" x14ac:dyDescent="0.25">
      <c r="A1293" t="s">
        <v>7232</v>
      </c>
      <c r="B1293" s="1">
        <v>833</v>
      </c>
      <c r="C1293" s="1">
        <v>23506</v>
      </c>
      <c r="D1293">
        <v>28.7</v>
      </c>
      <c r="E1293">
        <v>28.7</v>
      </c>
      <c r="F1293">
        <v>28.05</v>
      </c>
      <c r="G1293">
        <v>28.1</v>
      </c>
      <c r="H1293">
        <v>-0.4</v>
      </c>
      <c r="I1293" s="1">
        <v>370</v>
      </c>
    </row>
    <row r="1294" spans="1:9" x14ac:dyDescent="0.25">
      <c r="A1294" t="s">
        <v>7233</v>
      </c>
      <c r="B1294" s="1">
        <v>809</v>
      </c>
      <c r="C1294" s="1">
        <v>22711</v>
      </c>
      <c r="D1294">
        <v>28.2</v>
      </c>
      <c r="E1294">
        <v>28.3</v>
      </c>
      <c r="F1294">
        <v>27.9</v>
      </c>
      <c r="G1294">
        <v>28.05</v>
      </c>
      <c r="H1294">
        <v>-0.05</v>
      </c>
      <c r="I1294" s="1">
        <v>326</v>
      </c>
    </row>
    <row r="1295" spans="1:9" x14ac:dyDescent="0.25">
      <c r="A1295" t="s">
        <v>7234</v>
      </c>
      <c r="B1295" s="1">
        <v>784</v>
      </c>
      <c r="C1295" s="1">
        <v>21688</v>
      </c>
      <c r="D1295">
        <v>28.05</v>
      </c>
      <c r="E1295">
        <v>28.15</v>
      </c>
      <c r="F1295">
        <v>27.3</v>
      </c>
      <c r="G1295">
        <v>27.5</v>
      </c>
      <c r="H1295">
        <v>-0.55000000000000004</v>
      </c>
      <c r="I1295" s="1">
        <v>401</v>
      </c>
    </row>
    <row r="1296" spans="1:9" x14ac:dyDescent="0.25">
      <c r="A1296" t="s">
        <v>951</v>
      </c>
      <c r="B1296" s="1"/>
      <c r="C1296" s="1"/>
      <c r="I1296" s="1"/>
    </row>
    <row r="1297" spans="1:9" x14ac:dyDescent="0.25">
      <c r="A1297" s="9" t="s">
        <v>7193</v>
      </c>
      <c r="B1297" s="1">
        <v>1336</v>
      </c>
      <c r="C1297" s="1">
        <v>43308</v>
      </c>
      <c r="D1297">
        <v>31.8</v>
      </c>
      <c r="E1297">
        <v>32.700000000000003</v>
      </c>
      <c r="F1297">
        <v>31.8</v>
      </c>
      <c r="G1297">
        <v>32.15</v>
      </c>
      <c r="H1297">
        <v>0.15</v>
      </c>
      <c r="I1297" s="1">
        <v>477</v>
      </c>
    </row>
    <row r="1298" spans="1:9" x14ac:dyDescent="0.25">
      <c r="A1298" t="s">
        <v>7194</v>
      </c>
      <c r="B1298" s="1">
        <v>491</v>
      </c>
      <c r="C1298" s="1">
        <v>15829</v>
      </c>
      <c r="D1298">
        <v>32.15</v>
      </c>
      <c r="E1298">
        <v>32.4</v>
      </c>
      <c r="F1298">
        <v>32.15</v>
      </c>
      <c r="G1298">
        <v>32.15</v>
      </c>
      <c r="H1298">
        <v>0</v>
      </c>
      <c r="I1298" s="1">
        <v>240</v>
      </c>
    </row>
    <row r="1299" spans="1:9" x14ac:dyDescent="0.25">
      <c r="A1299" t="s">
        <v>7195</v>
      </c>
      <c r="B1299" s="1">
        <v>446</v>
      </c>
      <c r="C1299" s="1">
        <v>14285</v>
      </c>
      <c r="D1299">
        <v>32.15</v>
      </c>
      <c r="E1299">
        <v>32.35</v>
      </c>
      <c r="F1299">
        <v>31.9</v>
      </c>
      <c r="G1299">
        <v>31.9</v>
      </c>
      <c r="H1299">
        <v>-0.25</v>
      </c>
      <c r="I1299" s="1">
        <v>233</v>
      </c>
    </row>
    <row r="1300" spans="1:9" x14ac:dyDescent="0.25">
      <c r="A1300" t="s">
        <v>7196</v>
      </c>
      <c r="B1300" s="1">
        <v>581</v>
      </c>
      <c r="C1300" s="1">
        <v>18476</v>
      </c>
      <c r="D1300">
        <v>31.6</v>
      </c>
      <c r="E1300">
        <v>32</v>
      </c>
      <c r="F1300">
        <v>31.6</v>
      </c>
      <c r="G1300">
        <v>31.7</v>
      </c>
      <c r="H1300">
        <v>-0.2</v>
      </c>
      <c r="I1300" s="1">
        <v>225</v>
      </c>
    </row>
    <row r="1301" spans="1:9" x14ac:dyDescent="0.25">
      <c r="A1301" t="s">
        <v>7197</v>
      </c>
      <c r="B1301" s="1">
        <v>591</v>
      </c>
      <c r="C1301" s="1">
        <v>18779</v>
      </c>
      <c r="D1301">
        <v>31.75</v>
      </c>
      <c r="E1301">
        <v>32.1</v>
      </c>
      <c r="F1301">
        <v>31.5</v>
      </c>
      <c r="G1301">
        <v>31.7</v>
      </c>
      <c r="H1301">
        <v>0</v>
      </c>
      <c r="I1301" s="1">
        <v>272</v>
      </c>
    </row>
    <row r="1302" spans="1:9" x14ac:dyDescent="0.25">
      <c r="A1302" t="s">
        <v>7198</v>
      </c>
      <c r="B1302" s="1">
        <v>2103</v>
      </c>
      <c r="C1302" s="1">
        <v>65351</v>
      </c>
      <c r="D1302">
        <v>31.7</v>
      </c>
      <c r="E1302">
        <v>31.95</v>
      </c>
      <c r="F1302">
        <v>30.7</v>
      </c>
      <c r="G1302">
        <v>31</v>
      </c>
      <c r="H1302">
        <v>-0.7</v>
      </c>
      <c r="I1302" s="1">
        <v>829</v>
      </c>
    </row>
    <row r="1303" spans="1:9" x14ac:dyDescent="0.25">
      <c r="A1303" t="s">
        <v>7199</v>
      </c>
      <c r="B1303" s="1">
        <v>1390</v>
      </c>
      <c r="C1303" s="1">
        <v>42299</v>
      </c>
      <c r="D1303">
        <v>31</v>
      </c>
      <c r="E1303">
        <v>31.1</v>
      </c>
      <c r="F1303">
        <v>30.15</v>
      </c>
      <c r="G1303">
        <v>30.25</v>
      </c>
      <c r="H1303">
        <v>-0.75</v>
      </c>
      <c r="I1303" s="1">
        <v>626</v>
      </c>
    </row>
    <row r="1304" spans="1:9" x14ac:dyDescent="0.25">
      <c r="A1304" t="s">
        <v>7200</v>
      </c>
      <c r="B1304" s="1">
        <v>1068</v>
      </c>
      <c r="C1304" s="1">
        <v>31764</v>
      </c>
      <c r="D1304">
        <v>30.1</v>
      </c>
      <c r="E1304">
        <v>30.25</v>
      </c>
      <c r="F1304">
        <v>29.5</v>
      </c>
      <c r="G1304">
        <v>29.55</v>
      </c>
      <c r="H1304">
        <v>-0.7</v>
      </c>
      <c r="I1304" s="1">
        <v>488</v>
      </c>
    </row>
    <row r="1305" spans="1:9" x14ac:dyDescent="0.25">
      <c r="A1305" t="s">
        <v>7201</v>
      </c>
      <c r="B1305" s="1">
        <v>752</v>
      </c>
      <c r="C1305" s="1">
        <v>22067</v>
      </c>
      <c r="D1305">
        <v>29.8</v>
      </c>
      <c r="E1305">
        <v>29.8</v>
      </c>
      <c r="F1305">
        <v>29</v>
      </c>
      <c r="G1305">
        <v>29.1</v>
      </c>
      <c r="H1305">
        <v>-0.45</v>
      </c>
      <c r="I1305" s="1">
        <v>425</v>
      </c>
    </row>
    <row r="1306" spans="1:9" x14ac:dyDescent="0.25">
      <c r="A1306" t="s">
        <v>7202</v>
      </c>
      <c r="B1306" s="1">
        <v>467</v>
      </c>
      <c r="C1306" s="1">
        <v>13602</v>
      </c>
      <c r="D1306">
        <v>29.3</v>
      </c>
      <c r="E1306">
        <v>29.3</v>
      </c>
      <c r="F1306">
        <v>29</v>
      </c>
      <c r="G1306">
        <v>29.1</v>
      </c>
      <c r="H1306">
        <v>0</v>
      </c>
      <c r="I1306" s="1">
        <v>263</v>
      </c>
    </row>
    <row r="1307" spans="1:9" x14ac:dyDescent="0.25">
      <c r="A1307" t="s">
        <v>7203</v>
      </c>
      <c r="B1307" s="1">
        <v>421</v>
      </c>
      <c r="C1307" s="1">
        <v>12345</v>
      </c>
      <c r="D1307">
        <v>29.4</v>
      </c>
      <c r="E1307">
        <v>29.45</v>
      </c>
      <c r="F1307">
        <v>29.15</v>
      </c>
      <c r="G1307">
        <v>29.45</v>
      </c>
      <c r="H1307">
        <v>0.35</v>
      </c>
      <c r="I1307" s="1">
        <v>219</v>
      </c>
    </row>
    <row r="1308" spans="1:9" x14ac:dyDescent="0.25">
      <c r="A1308" t="s">
        <v>7204</v>
      </c>
      <c r="B1308" s="1">
        <v>839</v>
      </c>
      <c r="C1308" s="1">
        <v>25164</v>
      </c>
      <c r="D1308">
        <v>29.5</v>
      </c>
      <c r="E1308">
        <v>30.25</v>
      </c>
      <c r="F1308">
        <v>29.5</v>
      </c>
      <c r="G1308">
        <v>29.85</v>
      </c>
      <c r="H1308">
        <v>0.4</v>
      </c>
      <c r="I1308" s="1">
        <v>481</v>
      </c>
    </row>
    <row r="1309" spans="1:9" x14ac:dyDescent="0.25">
      <c r="A1309" t="s">
        <v>7205</v>
      </c>
      <c r="B1309" s="1">
        <v>361</v>
      </c>
      <c r="C1309" s="1">
        <v>10669</v>
      </c>
      <c r="D1309">
        <v>29.7</v>
      </c>
      <c r="E1309">
        <v>29.75</v>
      </c>
      <c r="F1309">
        <v>29.45</v>
      </c>
      <c r="G1309">
        <v>29.6</v>
      </c>
      <c r="H1309">
        <v>-0.25</v>
      </c>
      <c r="I1309" s="1">
        <v>205</v>
      </c>
    </row>
    <row r="1310" spans="1:9" x14ac:dyDescent="0.25">
      <c r="A1310" t="s">
        <v>7206</v>
      </c>
      <c r="B1310" s="1">
        <v>600</v>
      </c>
      <c r="C1310" s="1">
        <v>17450</v>
      </c>
      <c r="D1310">
        <v>29.4</v>
      </c>
      <c r="E1310">
        <v>29.4</v>
      </c>
      <c r="F1310">
        <v>29</v>
      </c>
      <c r="G1310">
        <v>29</v>
      </c>
      <c r="H1310">
        <v>-0.6</v>
      </c>
      <c r="I1310" s="1">
        <v>335</v>
      </c>
    </row>
    <row r="1311" spans="1:9" x14ac:dyDescent="0.25">
      <c r="A1311" t="s">
        <v>7207</v>
      </c>
      <c r="B1311" s="1">
        <v>346</v>
      </c>
      <c r="C1311" s="1">
        <v>10057</v>
      </c>
      <c r="D1311">
        <v>29.1</v>
      </c>
      <c r="E1311">
        <v>29.2</v>
      </c>
      <c r="F1311">
        <v>29</v>
      </c>
      <c r="G1311">
        <v>29</v>
      </c>
      <c r="H1311">
        <v>0</v>
      </c>
      <c r="I1311" s="1">
        <v>179</v>
      </c>
    </row>
    <row r="1312" spans="1:9" x14ac:dyDescent="0.25">
      <c r="A1312" t="s">
        <v>7208</v>
      </c>
      <c r="B1312" s="1">
        <v>503</v>
      </c>
      <c r="C1312" s="1">
        <v>14439</v>
      </c>
      <c r="D1312">
        <v>29</v>
      </c>
      <c r="E1312">
        <v>29.1</v>
      </c>
      <c r="F1312">
        <v>28.5</v>
      </c>
      <c r="G1312">
        <v>28.6</v>
      </c>
      <c r="H1312">
        <v>-0.4</v>
      </c>
      <c r="I1312" s="1">
        <v>270</v>
      </c>
    </row>
    <row r="1313" spans="1:9" x14ac:dyDescent="0.25">
      <c r="A1313" t="s">
        <v>7209</v>
      </c>
      <c r="B1313" s="1">
        <v>452</v>
      </c>
      <c r="C1313" s="1">
        <v>13058</v>
      </c>
      <c r="D1313">
        <v>29.1</v>
      </c>
      <c r="E1313">
        <v>29.1</v>
      </c>
      <c r="F1313">
        <v>28.7</v>
      </c>
      <c r="G1313">
        <v>28.8</v>
      </c>
      <c r="H1313">
        <v>0.2</v>
      </c>
      <c r="I1313" s="1">
        <v>184</v>
      </c>
    </row>
    <row r="1314" spans="1:9" x14ac:dyDescent="0.25">
      <c r="A1314" t="s">
        <v>7210</v>
      </c>
      <c r="B1314" s="1">
        <v>616</v>
      </c>
      <c r="C1314" s="1">
        <v>17821</v>
      </c>
      <c r="D1314">
        <v>28.8</v>
      </c>
      <c r="E1314">
        <v>29.15</v>
      </c>
      <c r="F1314">
        <v>28.75</v>
      </c>
      <c r="G1314">
        <v>28.85</v>
      </c>
      <c r="H1314">
        <v>0.05</v>
      </c>
      <c r="I1314" s="1">
        <v>276</v>
      </c>
    </row>
    <row r="1315" spans="1:9" x14ac:dyDescent="0.25">
      <c r="A1315" t="s">
        <v>7211</v>
      </c>
      <c r="B1315" s="1">
        <v>671</v>
      </c>
      <c r="C1315" s="1">
        <v>19157</v>
      </c>
      <c r="D1315">
        <v>28.85</v>
      </c>
      <c r="E1315">
        <v>28.85</v>
      </c>
      <c r="F1315">
        <v>28.4</v>
      </c>
      <c r="G1315">
        <v>28.5</v>
      </c>
      <c r="H1315">
        <v>-0.35</v>
      </c>
      <c r="I1315" s="1">
        <v>351</v>
      </c>
    </row>
    <row r="1316" spans="1:9" x14ac:dyDescent="0.25">
      <c r="A1316" t="s">
        <v>1030</v>
      </c>
      <c r="B1316" s="1"/>
      <c r="C1316" s="1"/>
      <c r="I1316" s="1"/>
    </row>
    <row r="1321" spans="1:9" x14ac:dyDescent="0.25">
      <c r="A1321" s="9" t="s">
        <v>7171</v>
      </c>
      <c r="B1321" s="1">
        <v>495</v>
      </c>
      <c r="C1321" s="1">
        <v>16404</v>
      </c>
      <c r="D1321">
        <v>33.1</v>
      </c>
      <c r="E1321">
        <v>33.200000000000003</v>
      </c>
      <c r="F1321">
        <v>33.049999999999997</v>
      </c>
      <c r="G1321">
        <v>33.200000000000003</v>
      </c>
      <c r="H1321">
        <v>0.15</v>
      </c>
      <c r="I1321" s="1">
        <v>256</v>
      </c>
    </row>
    <row r="1322" spans="1:9" x14ac:dyDescent="0.25">
      <c r="A1322" t="s">
        <v>7172</v>
      </c>
      <c r="B1322" s="1">
        <v>486</v>
      </c>
      <c r="C1322" s="1">
        <v>16181</v>
      </c>
      <c r="D1322">
        <v>33.4</v>
      </c>
      <c r="E1322">
        <v>33.4</v>
      </c>
      <c r="F1322">
        <v>33.200000000000003</v>
      </c>
      <c r="G1322">
        <v>33.25</v>
      </c>
      <c r="H1322">
        <v>0.05</v>
      </c>
      <c r="I1322" s="1">
        <v>252</v>
      </c>
    </row>
    <row r="1323" spans="1:9" x14ac:dyDescent="0.25">
      <c r="A1323" t="s">
        <v>7173</v>
      </c>
      <c r="B1323" s="1">
        <v>421</v>
      </c>
      <c r="C1323" s="1">
        <v>13940</v>
      </c>
      <c r="D1323">
        <v>33.35</v>
      </c>
      <c r="E1323">
        <v>33.35</v>
      </c>
      <c r="F1323">
        <v>33</v>
      </c>
      <c r="G1323">
        <v>33</v>
      </c>
      <c r="H1323">
        <v>-0.25</v>
      </c>
      <c r="I1323" s="1">
        <v>219</v>
      </c>
    </row>
    <row r="1324" spans="1:9" x14ac:dyDescent="0.25">
      <c r="A1324" t="s">
        <v>7174</v>
      </c>
      <c r="B1324" s="1">
        <v>428</v>
      </c>
      <c r="C1324" s="1">
        <v>14169</v>
      </c>
      <c r="D1324">
        <v>33.049999999999997</v>
      </c>
      <c r="E1324">
        <v>33.25</v>
      </c>
      <c r="F1324">
        <v>33</v>
      </c>
      <c r="G1324">
        <v>33.15</v>
      </c>
      <c r="H1324">
        <v>0.15</v>
      </c>
      <c r="I1324" s="1">
        <v>208</v>
      </c>
    </row>
    <row r="1325" spans="1:9" x14ac:dyDescent="0.25">
      <c r="A1325" t="s">
        <v>7175</v>
      </c>
      <c r="B1325" s="1">
        <v>695</v>
      </c>
      <c r="C1325" s="1">
        <v>22998</v>
      </c>
      <c r="D1325">
        <v>33.15</v>
      </c>
      <c r="E1325">
        <v>33.25</v>
      </c>
      <c r="F1325">
        <v>33</v>
      </c>
      <c r="G1325">
        <v>33.049999999999997</v>
      </c>
      <c r="H1325">
        <v>-0.1</v>
      </c>
      <c r="I1325" s="1">
        <v>339</v>
      </c>
    </row>
    <row r="1326" spans="1:9" x14ac:dyDescent="0.25">
      <c r="A1326" t="s">
        <v>7176</v>
      </c>
      <c r="B1326" s="1">
        <v>1405</v>
      </c>
      <c r="C1326" s="1">
        <v>46953</v>
      </c>
      <c r="D1326">
        <v>33.1</v>
      </c>
      <c r="E1326">
        <v>33.700000000000003</v>
      </c>
      <c r="F1326">
        <v>33.1</v>
      </c>
      <c r="G1326">
        <v>33.450000000000003</v>
      </c>
      <c r="H1326">
        <v>0.4</v>
      </c>
      <c r="I1326" s="1">
        <v>606</v>
      </c>
    </row>
    <row r="1327" spans="1:9" x14ac:dyDescent="0.25">
      <c r="A1327" t="s">
        <v>7177</v>
      </c>
      <c r="B1327" s="1">
        <v>758</v>
      </c>
      <c r="C1327" s="1">
        <v>25148</v>
      </c>
      <c r="D1327">
        <v>33.4</v>
      </c>
      <c r="E1327">
        <v>33.4</v>
      </c>
      <c r="F1327">
        <v>33.049999999999997</v>
      </c>
      <c r="G1327">
        <v>33.1</v>
      </c>
      <c r="H1327">
        <v>-0.35</v>
      </c>
      <c r="I1327" s="1">
        <v>355</v>
      </c>
    </row>
    <row r="1328" spans="1:9" x14ac:dyDescent="0.25">
      <c r="A1328" t="s">
        <v>7178</v>
      </c>
      <c r="B1328" s="1">
        <v>585</v>
      </c>
      <c r="C1328" s="1">
        <v>19315</v>
      </c>
      <c r="D1328">
        <v>33.049999999999997</v>
      </c>
      <c r="E1328">
        <v>33.200000000000003</v>
      </c>
      <c r="F1328">
        <v>32.9</v>
      </c>
      <c r="G1328">
        <v>32.9</v>
      </c>
      <c r="H1328">
        <v>-0.2</v>
      </c>
      <c r="I1328" s="1">
        <v>265</v>
      </c>
    </row>
    <row r="1329" spans="1:9" x14ac:dyDescent="0.25">
      <c r="A1329" t="s">
        <v>7179</v>
      </c>
      <c r="B1329" s="1">
        <v>1667</v>
      </c>
      <c r="C1329" s="1">
        <v>53440</v>
      </c>
      <c r="D1329">
        <v>32.950000000000003</v>
      </c>
      <c r="E1329">
        <v>32.950000000000003</v>
      </c>
      <c r="F1329">
        <v>31.6</v>
      </c>
      <c r="G1329">
        <v>31.8</v>
      </c>
      <c r="H1329">
        <v>-1.1000000000000001</v>
      </c>
      <c r="I1329" s="1">
        <v>830</v>
      </c>
    </row>
    <row r="1330" spans="1:9" x14ac:dyDescent="0.25">
      <c r="A1330" t="s">
        <v>7180</v>
      </c>
      <c r="B1330" s="1">
        <v>787</v>
      </c>
      <c r="C1330" s="1">
        <v>24963</v>
      </c>
      <c r="D1330">
        <v>31.8</v>
      </c>
      <c r="E1330">
        <v>32</v>
      </c>
      <c r="F1330">
        <v>31.65</v>
      </c>
      <c r="G1330">
        <v>31.7</v>
      </c>
      <c r="H1330">
        <v>-0.1</v>
      </c>
      <c r="I1330" s="1">
        <v>374</v>
      </c>
    </row>
    <row r="1331" spans="1:9" x14ac:dyDescent="0.25">
      <c r="A1331" t="s">
        <v>7181</v>
      </c>
      <c r="B1331" s="1">
        <v>1159</v>
      </c>
      <c r="C1331" s="1">
        <v>37047</v>
      </c>
      <c r="D1331">
        <v>32</v>
      </c>
      <c r="E1331">
        <v>32.15</v>
      </c>
      <c r="F1331">
        <v>31.75</v>
      </c>
      <c r="G1331">
        <v>32.15</v>
      </c>
      <c r="H1331">
        <v>0.45</v>
      </c>
      <c r="I1331" s="1">
        <v>413</v>
      </c>
    </row>
    <row r="1332" spans="1:9" x14ac:dyDescent="0.25">
      <c r="A1332" t="s">
        <v>7182</v>
      </c>
      <c r="B1332" s="1">
        <v>594</v>
      </c>
      <c r="C1332" s="1">
        <v>18943</v>
      </c>
      <c r="D1332">
        <v>32.15</v>
      </c>
      <c r="E1332">
        <v>32.200000000000003</v>
      </c>
      <c r="F1332">
        <v>31.75</v>
      </c>
      <c r="G1332">
        <v>31.8</v>
      </c>
      <c r="H1332">
        <v>-0.35</v>
      </c>
      <c r="I1332" s="1">
        <v>289</v>
      </c>
    </row>
    <row r="1333" spans="1:9" x14ac:dyDescent="0.25">
      <c r="A1333" t="s">
        <v>7183</v>
      </c>
      <c r="B1333" s="1">
        <v>526</v>
      </c>
      <c r="C1333" s="1">
        <v>16700</v>
      </c>
      <c r="D1333">
        <v>31.8</v>
      </c>
      <c r="E1333">
        <v>32.15</v>
      </c>
      <c r="F1333">
        <v>31.65</v>
      </c>
      <c r="G1333">
        <v>31.8</v>
      </c>
      <c r="H1333">
        <v>0</v>
      </c>
      <c r="I1333" s="1">
        <v>255</v>
      </c>
    </row>
    <row r="1334" spans="1:9" x14ac:dyDescent="0.25">
      <c r="A1334" t="s">
        <v>7184</v>
      </c>
      <c r="B1334" s="1">
        <v>1296</v>
      </c>
      <c r="C1334" s="1">
        <v>41524</v>
      </c>
      <c r="D1334">
        <v>31.8</v>
      </c>
      <c r="E1334">
        <v>32.4</v>
      </c>
      <c r="F1334">
        <v>31.7</v>
      </c>
      <c r="G1334">
        <v>32.1</v>
      </c>
      <c r="H1334">
        <v>0.3</v>
      </c>
      <c r="I1334" s="1">
        <v>546</v>
      </c>
    </row>
    <row r="1335" spans="1:9" x14ac:dyDescent="0.25">
      <c r="A1335" t="s">
        <v>7185</v>
      </c>
      <c r="B1335" s="1">
        <v>1126</v>
      </c>
      <c r="C1335" s="1">
        <v>36485</v>
      </c>
      <c r="D1335">
        <v>32.4</v>
      </c>
      <c r="E1335">
        <v>32.65</v>
      </c>
      <c r="F1335">
        <v>32.1</v>
      </c>
      <c r="G1335">
        <v>32.200000000000003</v>
      </c>
      <c r="H1335">
        <v>0.1</v>
      </c>
      <c r="I1335" s="1">
        <v>567</v>
      </c>
    </row>
    <row r="1336" spans="1:9" x14ac:dyDescent="0.25">
      <c r="A1336" t="s">
        <v>7186</v>
      </c>
      <c r="B1336" s="1">
        <v>574</v>
      </c>
      <c r="C1336" s="1">
        <v>18475</v>
      </c>
      <c r="D1336">
        <v>32.1</v>
      </c>
      <c r="E1336">
        <v>32.5</v>
      </c>
      <c r="F1336">
        <v>32.049999999999997</v>
      </c>
      <c r="G1336">
        <v>32.1</v>
      </c>
      <c r="H1336">
        <v>-0.1</v>
      </c>
      <c r="I1336" s="1">
        <v>311</v>
      </c>
    </row>
    <row r="1337" spans="1:9" x14ac:dyDescent="0.25">
      <c r="A1337" t="s">
        <v>7187</v>
      </c>
      <c r="B1337" s="1">
        <v>669</v>
      </c>
      <c r="C1337" s="1">
        <v>21337</v>
      </c>
      <c r="D1337">
        <v>32.1</v>
      </c>
      <c r="E1337">
        <v>32.25</v>
      </c>
      <c r="F1337">
        <v>31.7</v>
      </c>
      <c r="G1337">
        <v>31.75</v>
      </c>
      <c r="H1337">
        <v>-0.35</v>
      </c>
      <c r="I1337" s="1">
        <v>320</v>
      </c>
    </row>
    <row r="1338" spans="1:9" x14ac:dyDescent="0.25">
      <c r="A1338" t="s">
        <v>7188</v>
      </c>
      <c r="B1338" s="1">
        <v>584</v>
      </c>
      <c r="C1338" s="1">
        <v>18499</v>
      </c>
      <c r="D1338">
        <v>31.75</v>
      </c>
      <c r="E1338">
        <v>32</v>
      </c>
      <c r="F1338">
        <v>31.55</v>
      </c>
      <c r="G1338">
        <v>31.8</v>
      </c>
      <c r="H1338">
        <v>0.05</v>
      </c>
      <c r="I1338" s="1">
        <v>292</v>
      </c>
    </row>
    <row r="1339" spans="1:9" x14ac:dyDescent="0.25">
      <c r="A1339" t="s">
        <v>7189</v>
      </c>
      <c r="B1339" s="1">
        <v>350</v>
      </c>
      <c r="C1339" s="1">
        <v>11176</v>
      </c>
      <c r="D1339">
        <v>31.8</v>
      </c>
      <c r="E1339">
        <v>32.1</v>
      </c>
      <c r="F1339">
        <v>31.8</v>
      </c>
      <c r="G1339">
        <v>32</v>
      </c>
      <c r="H1339">
        <v>0.2</v>
      </c>
      <c r="I1339" s="1">
        <v>215</v>
      </c>
    </row>
    <row r="1340" spans="1:9" x14ac:dyDescent="0.25">
      <c r="A1340" t="s">
        <v>7190</v>
      </c>
      <c r="B1340" s="1">
        <v>1247</v>
      </c>
      <c r="C1340" s="1">
        <v>40503</v>
      </c>
      <c r="D1340">
        <v>32</v>
      </c>
      <c r="E1340">
        <v>32.799999999999997</v>
      </c>
      <c r="F1340">
        <v>32</v>
      </c>
      <c r="G1340">
        <v>32.5</v>
      </c>
      <c r="H1340">
        <v>0.5</v>
      </c>
      <c r="I1340" s="1">
        <v>620</v>
      </c>
    </row>
    <row r="1341" spans="1:9" x14ac:dyDescent="0.25">
      <c r="A1341" t="s">
        <v>7191</v>
      </c>
      <c r="B1341" s="1">
        <v>463</v>
      </c>
      <c r="C1341" s="1">
        <v>14953</v>
      </c>
      <c r="D1341">
        <v>32.200000000000003</v>
      </c>
      <c r="E1341">
        <v>32.549999999999997</v>
      </c>
      <c r="F1341">
        <v>32.049999999999997</v>
      </c>
      <c r="G1341">
        <v>32.15</v>
      </c>
      <c r="H1341">
        <v>-0.35</v>
      </c>
      <c r="I1341" s="1">
        <v>229</v>
      </c>
    </row>
    <row r="1342" spans="1:9" x14ac:dyDescent="0.25">
      <c r="A1342" t="s">
        <v>7192</v>
      </c>
      <c r="B1342" s="1">
        <v>641</v>
      </c>
      <c r="C1342" s="1">
        <v>20614</v>
      </c>
      <c r="D1342">
        <v>32.25</v>
      </c>
      <c r="E1342">
        <v>32.450000000000003</v>
      </c>
      <c r="F1342">
        <v>32</v>
      </c>
      <c r="G1342">
        <v>32</v>
      </c>
      <c r="H1342">
        <v>-0.15</v>
      </c>
      <c r="I1342" s="1">
        <v>289</v>
      </c>
    </row>
    <row r="1343" spans="1:9" x14ac:dyDescent="0.25">
      <c r="A1343" t="s">
        <v>1177</v>
      </c>
      <c r="B1343" s="1"/>
      <c r="C1343" s="1"/>
      <c r="I1343" s="1"/>
    </row>
    <row r="1345" spans="1:9" x14ac:dyDescent="0.25">
      <c r="A1345" s="9" t="s">
        <v>7151</v>
      </c>
      <c r="B1345" s="1">
        <v>640</v>
      </c>
      <c r="C1345" s="1">
        <v>22351</v>
      </c>
      <c r="D1345">
        <v>35.299999999999997</v>
      </c>
      <c r="E1345">
        <v>35.35</v>
      </c>
      <c r="F1345">
        <v>34.799999999999997</v>
      </c>
      <c r="G1345">
        <v>34.799999999999997</v>
      </c>
      <c r="H1345">
        <v>-0.35</v>
      </c>
      <c r="I1345" s="1">
        <v>365</v>
      </c>
    </row>
    <row r="1346" spans="1:9" x14ac:dyDescent="0.25">
      <c r="A1346" t="s">
        <v>7152</v>
      </c>
      <c r="B1346" s="1">
        <v>591</v>
      </c>
      <c r="C1346" s="1">
        <v>20454</v>
      </c>
      <c r="D1346">
        <v>34.799999999999997</v>
      </c>
      <c r="E1346">
        <v>34.799999999999997</v>
      </c>
      <c r="F1346">
        <v>34.5</v>
      </c>
      <c r="G1346">
        <v>34.6</v>
      </c>
      <c r="H1346">
        <v>-0.2</v>
      </c>
      <c r="I1346" s="1">
        <v>339</v>
      </c>
    </row>
    <row r="1347" spans="1:9" x14ac:dyDescent="0.25">
      <c r="A1347" t="s">
        <v>7153</v>
      </c>
      <c r="B1347" s="1">
        <v>917</v>
      </c>
      <c r="C1347" s="1">
        <v>31619</v>
      </c>
      <c r="D1347">
        <v>34.6</v>
      </c>
      <c r="E1347">
        <v>34.85</v>
      </c>
      <c r="F1347">
        <v>34.299999999999997</v>
      </c>
      <c r="G1347">
        <v>34.299999999999997</v>
      </c>
      <c r="H1347">
        <v>-0.3</v>
      </c>
      <c r="I1347" s="1">
        <v>471</v>
      </c>
    </row>
    <row r="1348" spans="1:9" x14ac:dyDescent="0.25">
      <c r="A1348" t="s">
        <v>7154</v>
      </c>
      <c r="B1348" s="1">
        <v>1497</v>
      </c>
      <c r="C1348" s="1">
        <v>49654</v>
      </c>
      <c r="D1348">
        <v>33.9</v>
      </c>
      <c r="E1348">
        <v>34</v>
      </c>
      <c r="F1348">
        <v>32.9</v>
      </c>
      <c r="G1348">
        <v>33</v>
      </c>
      <c r="H1348">
        <v>-1.3</v>
      </c>
      <c r="I1348" s="1">
        <v>728</v>
      </c>
    </row>
    <row r="1349" spans="1:9" x14ac:dyDescent="0.25">
      <c r="A1349" t="s">
        <v>7155</v>
      </c>
      <c r="B1349" s="1">
        <v>659</v>
      </c>
      <c r="C1349" s="1">
        <v>21896</v>
      </c>
      <c r="D1349">
        <v>33.049999999999997</v>
      </c>
      <c r="E1349">
        <v>33.4</v>
      </c>
      <c r="F1349">
        <v>33</v>
      </c>
      <c r="G1349">
        <v>33.1</v>
      </c>
      <c r="H1349">
        <v>0.1</v>
      </c>
      <c r="I1349" s="1">
        <v>362</v>
      </c>
    </row>
    <row r="1350" spans="1:9" x14ac:dyDescent="0.25">
      <c r="A1350" t="s">
        <v>7156</v>
      </c>
      <c r="B1350" s="1">
        <v>642</v>
      </c>
      <c r="C1350" s="1">
        <v>21173</v>
      </c>
      <c r="D1350">
        <v>33.1</v>
      </c>
      <c r="E1350">
        <v>33.200000000000003</v>
      </c>
      <c r="F1350">
        <v>32.799999999999997</v>
      </c>
      <c r="G1350">
        <v>32.950000000000003</v>
      </c>
      <c r="H1350">
        <v>-0.15</v>
      </c>
      <c r="I1350" s="1">
        <v>363</v>
      </c>
    </row>
    <row r="1351" spans="1:9" x14ac:dyDescent="0.25">
      <c r="A1351" t="s">
        <v>7157</v>
      </c>
      <c r="B1351" s="1">
        <v>566</v>
      </c>
      <c r="C1351" s="1">
        <v>18749</v>
      </c>
      <c r="D1351">
        <v>33</v>
      </c>
      <c r="E1351">
        <v>33.299999999999997</v>
      </c>
      <c r="F1351">
        <v>33</v>
      </c>
      <c r="G1351">
        <v>33</v>
      </c>
      <c r="H1351">
        <v>0.05</v>
      </c>
      <c r="I1351" s="1">
        <v>326</v>
      </c>
    </row>
    <row r="1352" spans="1:9" x14ac:dyDescent="0.25">
      <c r="A1352" t="s">
        <v>7158</v>
      </c>
      <c r="B1352" s="1">
        <v>1279</v>
      </c>
      <c r="C1352" s="1">
        <v>43717</v>
      </c>
      <c r="D1352">
        <v>34.25</v>
      </c>
      <c r="E1352">
        <v>34.5</v>
      </c>
      <c r="F1352">
        <v>33.9</v>
      </c>
      <c r="G1352">
        <v>34.1</v>
      </c>
      <c r="H1352">
        <v>1.1000000000000001</v>
      </c>
      <c r="I1352" s="1">
        <v>771</v>
      </c>
    </row>
    <row r="1353" spans="1:9" x14ac:dyDescent="0.25">
      <c r="A1353" t="s">
        <v>7159</v>
      </c>
      <c r="B1353" s="1">
        <v>515</v>
      </c>
      <c r="C1353" s="1">
        <v>17358</v>
      </c>
      <c r="D1353">
        <v>34.15</v>
      </c>
      <c r="E1353">
        <v>34.15</v>
      </c>
      <c r="F1353">
        <v>33.450000000000003</v>
      </c>
      <c r="G1353">
        <v>33.5</v>
      </c>
      <c r="H1353">
        <v>-0.6</v>
      </c>
      <c r="I1353" s="1">
        <v>307</v>
      </c>
    </row>
    <row r="1354" spans="1:9" x14ac:dyDescent="0.25">
      <c r="A1354" t="s">
        <v>7160</v>
      </c>
      <c r="B1354" s="1">
        <v>739</v>
      </c>
      <c r="C1354" s="1">
        <v>24144</v>
      </c>
      <c r="D1354">
        <v>32.15</v>
      </c>
      <c r="E1354">
        <v>33</v>
      </c>
      <c r="F1354">
        <v>32.15</v>
      </c>
      <c r="G1354">
        <v>32.799999999999997</v>
      </c>
      <c r="H1354">
        <v>-0.7</v>
      </c>
      <c r="I1354" s="1">
        <v>444</v>
      </c>
    </row>
    <row r="1355" spans="1:9" x14ac:dyDescent="0.25">
      <c r="A1355" t="s">
        <v>7161</v>
      </c>
      <c r="B1355" s="1">
        <v>598</v>
      </c>
      <c r="C1355" s="1">
        <v>19631</v>
      </c>
      <c r="D1355">
        <v>32.799999999999997</v>
      </c>
      <c r="E1355">
        <v>33.15</v>
      </c>
      <c r="F1355">
        <v>32.6</v>
      </c>
      <c r="G1355">
        <v>32.700000000000003</v>
      </c>
      <c r="H1355">
        <v>-0.1</v>
      </c>
      <c r="I1355" s="1">
        <v>351</v>
      </c>
    </row>
    <row r="1356" spans="1:9" x14ac:dyDescent="0.25">
      <c r="A1356" t="s">
        <v>7162</v>
      </c>
      <c r="B1356" s="1">
        <v>447</v>
      </c>
      <c r="C1356" s="1">
        <v>14625</v>
      </c>
      <c r="D1356">
        <v>32.5</v>
      </c>
      <c r="E1356">
        <v>32.950000000000003</v>
      </c>
      <c r="F1356">
        <v>32.5</v>
      </c>
      <c r="G1356">
        <v>32.700000000000003</v>
      </c>
      <c r="H1356">
        <v>0</v>
      </c>
      <c r="I1356" s="1">
        <v>297</v>
      </c>
    </row>
    <row r="1357" spans="1:9" x14ac:dyDescent="0.25">
      <c r="A1357" t="s">
        <v>7163</v>
      </c>
      <c r="B1357" s="1">
        <v>620</v>
      </c>
      <c r="C1357" s="1">
        <v>20363</v>
      </c>
      <c r="D1357">
        <v>32.700000000000003</v>
      </c>
      <c r="E1357">
        <v>33.25</v>
      </c>
      <c r="F1357">
        <v>32.65</v>
      </c>
      <c r="G1357">
        <v>32.799999999999997</v>
      </c>
      <c r="H1357">
        <v>0.1</v>
      </c>
      <c r="I1357" s="1">
        <v>341</v>
      </c>
    </row>
    <row r="1358" spans="1:9" x14ac:dyDescent="0.25">
      <c r="A1358" t="s">
        <v>7164</v>
      </c>
      <c r="B1358" s="1">
        <v>502</v>
      </c>
      <c r="C1358" s="1">
        <v>16449</v>
      </c>
      <c r="D1358">
        <v>33.200000000000003</v>
      </c>
      <c r="E1358">
        <v>33.200000000000003</v>
      </c>
      <c r="F1358">
        <v>32.5</v>
      </c>
      <c r="G1358">
        <v>32.6</v>
      </c>
      <c r="H1358">
        <v>-0.2</v>
      </c>
      <c r="I1358" s="1">
        <v>312</v>
      </c>
    </row>
    <row r="1359" spans="1:9" x14ac:dyDescent="0.25">
      <c r="A1359" t="s">
        <v>7165</v>
      </c>
      <c r="B1359" s="1">
        <v>326</v>
      </c>
      <c r="C1359" s="1">
        <v>10676</v>
      </c>
      <c r="D1359">
        <v>32.6</v>
      </c>
      <c r="E1359">
        <v>32.9</v>
      </c>
      <c r="F1359">
        <v>32.6</v>
      </c>
      <c r="G1359">
        <v>32.75</v>
      </c>
      <c r="H1359">
        <v>0.15</v>
      </c>
      <c r="I1359" s="1">
        <v>180</v>
      </c>
    </row>
    <row r="1360" spans="1:9" x14ac:dyDescent="0.25">
      <c r="A1360" t="s">
        <v>7166</v>
      </c>
      <c r="B1360" s="1">
        <v>402</v>
      </c>
      <c r="C1360" s="1">
        <v>13220</v>
      </c>
      <c r="D1360">
        <v>32.75</v>
      </c>
      <c r="E1360">
        <v>33.049999999999997</v>
      </c>
      <c r="F1360">
        <v>32.75</v>
      </c>
      <c r="G1360">
        <v>32.9</v>
      </c>
      <c r="H1360">
        <v>0.15</v>
      </c>
      <c r="I1360" s="1">
        <v>263</v>
      </c>
    </row>
    <row r="1361" spans="1:9" x14ac:dyDescent="0.25">
      <c r="A1361" t="s">
        <v>7167</v>
      </c>
      <c r="B1361" s="1">
        <v>414</v>
      </c>
      <c r="C1361" s="1">
        <v>13617</v>
      </c>
      <c r="D1361">
        <v>33</v>
      </c>
      <c r="E1361">
        <v>33.1</v>
      </c>
      <c r="F1361">
        <v>32.799999999999997</v>
      </c>
      <c r="G1361">
        <v>32.9</v>
      </c>
      <c r="H1361">
        <v>0</v>
      </c>
      <c r="I1361" s="1">
        <v>235</v>
      </c>
    </row>
    <row r="1362" spans="1:9" x14ac:dyDescent="0.25">
      <c r="A1362" t="s">
        <v>7168</v>
      </c>
      <c r="B1362" s="1">
        <v>514</v>
      </c>
      <c r="C1362" s="1">
        <v>16982</v>
      </c>
      <c r="D1362">
        <v>33</v>
      </c>
      <c r="E1362">
        <v>33.299999999999997</v>
      </c>
      <c r="F1362">
        <v>32.9</v>
      </c>
      <c r="G1362">
        <v>32.9</v>
      </c>
      <c r="H1362">
        <v>0</v>
      </c>
      <c r="I1362" s="1">
        <v>276</v>
      </c>
    </row>
    <row r="1363" spans="1:9" x14ac:dyDescent="0.25">
      <c r="A1363" t="s">
        <v>7169</v>
      </c>
      <c r="B1363" s="1">
        <v>417</v>
      </c>
      <c r="C1363" s="1">
        <v>13779</v>
      </c>
      <c r="D1363">
        <v>33</v>
      </c>
      <c r="E1363">
        <v>33.1</v>
      </c>
      <c r="F1363">
        <v>32.9</v>
      </c>
      <c r="G1363">
        <v>33</v>
      </c>
      <c r="H1363">
        <v>0.1</v>
      </c>
      <c r="I1363" s="1">
        <v>211</v>
      </c>
    </row>
    <row r="1364" spans="1:9" x14ac:dyDescent="0.25">
      <c r="A1364" t="s">
        <v>7170</v>
      </c>
      <c r="B1364" s="1">
        <v>525</v>
      </c>
      <c r="C1364" s="1">
        <v>17384</v>
      </c>
      <c r="D1364">
        <v>33</v>
      </c>
      <c r="E1364">
        <v>33.200000000000003</v>
      </c>
      <c r="F1364">
        <v>33</v>
      </c>
      <c r="G1364">
        <v>33.049999999999997</v>
      </c>
      <c r="H1364">
        <v>0.05</v>
      </c>
      <c r="I1364" s="1">
        <v>272</v>
      </c>
    </row>
    <row r="1365" spans="1:9" x14ac:dyDescent="0.25">
      <c r="A1365" t="s">
        <v>927</v>
      </c>
      <c r="B1365" s="1"/>
      <c r="C1365" s="1"/>
      <c r="I1365" s="1"/>
    </row>
    <row r="1369" spans="1:9" x14ac:dyDescent="0.25">
      <c r="A1369" s="9" t="s">
        <v>7130</v>
      </c>
      <c r="B1369" s="1">
        <v>799</v>
      </c>
      <c r="C1369" s="1">
        <v>29206</v>
      </c>
      <c r="D1369">
        <v>36.450000000000003</v>
      </c>
      <c r="E1369">
        <v>36.9</v>
      </c>
      <c r="F1369">
        <v>36.299999999999997</v>
      </c>
      <c r="G1369">
        <v>36.299999999999997</v>
      </c>
      <c r="H1369">
        <v>0.2</v>
      </c>
      <c r="I1369" s="1">
        <v>413</v>
      </c>
    </row>
    <row r="1370" spans="1:9" x14ac:dyDescent="0.25">
      <c r="A1370" t="s">
        <v>7131</v>
      </c>
      <c r="B1370" s="1">
        <v>641</v>
      </c>
      <c r="C1370" s="1">
        <v>23274</v>
      </c>
      <c r="D1370">
        <v>36.299999999999997</v>
      </c>
      <c r="E1370">
        <v>36.5</v>
      </c>
      <c r="F1370">
        <v>36.1</v>
      </c>
      <c r="G1370">
        <v>36.299999999999997</v>
      </c>
      <c r="H1370">
        <v>0</v>
      </c>
      <c r="I1370" s="1">
        <v>289</v>
      </c>
    </row>
    <row r="1371" spans="1:9" x14ac:dyDescent="0.25">
      <c r="A1371" t="s">
        <v>7132</v>
      </c>
      <c r="B1371" s="1">
        <v>1041</v>
      </c>
      <c r="C1371" s="1">
        <v>38247</v>
      </c>
      <c r="D1371">
        <v>36.4</v>
      </c>
      <c r="E1371">
        <v>37.1</v>
      </c>
      <c r="F1371">
        <v>36.25</v>
      </c>
      <c r="G1371">
        <v>36.6</v>
      </c>
      <c r="H1371">
        <v>0.3</v>
      </c>
      <c r="I1371" s="1">
        <v>521</v>
      </c>
    </row>
    <row r="1372" spans="1:9" x14ac:dyDescent="0.25">
      <c r="A1372" t="s">
        <v>7133</v>
      </c>
      <c r="B1372" s="1">
        <v>573</v>
      </c>
      <c r="C1372" s="1">
        <v>20962</v>
      </c>
      <c r="D1372">
        <v>36.950000000000003</v>
      </c>
      <c r="E1372">
        <v>36.950000000000003</v>
      </c>
      <c r="F1372">
        <v>36.4</v>
      </c>
      <c r="G1372">
        <v>36.4</v>
      </c>
      <c r="H1372">
        <v>-0.2</v>
      </c>
      <c r="I1372" s="1">
        <v>319</v>
      </c>
    </row>
    <row r="1373" spans="1:9" x14ac:dyDescent="0.25">
      <c r="A1373" t="s">
        <v>7134</v>
      </c>
      <c r="B1373" s="1">
        <v>429</v>
      </c>
      <c r="C1373" s="1">
        <v>15658</v>
      </c>
      <c r="D1373">
        <v>36.6</v>
      </c>
      <c r="E1373">
        <v>36.700000000000003</v>
      </c>
      <c r="F1373">
        <v>36.4</v>
      </c>
      <c r="G1373">
        <v>36.549999999999997</v>
      </c>
      <c r="H1373">
        <v>0.15</v>
      </c>
      <c r="I1373" s="1">
        <v>243</v>
      </c>
    </row>
    <row r="1374" spans="1:9" x14ac:dyDescent="0.25">
      <c r="A1374" t="s">
        <v>7135</v>
      </c>
      <c r="B1374" s="1">
        <v>2471</v>
      </c>
      <c r="C1374" s="1">
        <v>91944</v>
      </c>
      <c r="D1374">
        <v>36.549999999999997</v>
      </c>
      <c r="E1374">
        <v>37.6</v>
      </c>
      <c r="F1374">
        <v>36.549999999999997</v>
      </c>
      <c r="G1374">
        <v>37.450000000000003</v>
      </c>
      <c r="H1374">
        <v>0.9</v>
      </c>
      <c r="I1374" s="1">
        <v>1205</v>
      </c>
    </row>
    <row r="1375" spans="1:9" x14ac:dyDescent="0.25">
      <c r="A1375" t="s">
        <v>7136</v>
      </c>
      <c r="B1375" s="1">
        <v>1402</v>
      </c>
      <c r="C1375" s="1">
        <v>52229</v>
      </c>
      <c r="D1375">
        <v>37.5</v>
      </c>
      <c r="E1375">
        <v>37.6</v>
      </c>
      <c r="F1375">
        <v>36.950000000000003</v>
      </c>
      <c r="G1375">
        <v>37.15</v>
      </c>
      <c r="H1375">
        <v>-0.3</v>
      </c>
      <c r="I1375" s="1">
        <v>732</v>
      </c>
    </row>
    <row r="1376" spans="1:9" x14ac:dyDescent="0.25">
      <c r="A1376" t="s">
        <v>7137</v>
      </c>
      <c r="B1376" s="1">
        <v>893</v>
      </c>
      <c r="C1376" s="1">
        <v>32863</v>
      </c>
      <c r="D1376">
        <v>37.25</v>
      </c>
      <c r="E1376">
        <v>37.450000000000003</v>
      </c>
      <c r="F1376">
        <v>36.5</v>
      </c>
      <c r="G1376">
        <v>36.5</v>
      </c>
      <c r="H1376">
        <v>-0.65</v>
      </c>
      <c r="I1376" s="1">
        <v>567</v>
      </c>
    </row>
    <row r="1377" spans="1:9" x14ac:dyDescent="0.25">
      <c r="A1377" t="s">
        <v>7138</v>
      </c>
      <c r="B1377" s="1">
        <v>484</v>
      </c>
      <c r="C1377" s="1">
        <v>17650</v>
      </c>
      <c r="D1377">
        <v>36.549999999999997</v>
      </c>
      <c r="E1377">
        <v>36.799999999999997</v>
      </c>
      <c r="F1377">
        <v>36.299999999999997</v>
      </c>
      <c r="G1377">
        <v>36.4</v>
      </c>
      <c r="H1377">
        <v>-0.1</v>
      </c>
      <c r="I1377" s="1">
        <v>288</v>
      </c>
    </row>
    <row r="1378" spans="1:9" x14ac:dyDescent="0.25">
      <c r="A1378" t="s">
        <v>7139</v>
      </c>
      <c r="B1378" s="1">
        <v>564</v>
      </c>
      <c r="C1378" s="1">
        <v>20574</v>
      </c>
      <c r="D1378">
        <v>36.4</v>
      </c>
      <c r="E1378">
        <v>36.85</v>
      </c>
      <c r="F1378">
        <v>36.15</v>
      </c>
      <c r="G1378">
        <v>36.700000000000003</v>
      </c>
      <c r="H1378">
        <v>0.3</v>
      </c>
      <c r="I1378" s="1">
        <v>334</v>
      </c>
    </row>
    <row r="1379" spans="1:9" x14ac:dyDescent="0.25">
      <c r="A1379" t="s">
        <v>7140</v>
      </c>
      <c r="B1379" s="1">
        <v>699</v>
      </c>
      <c r="C1379" s="1">
        <v>25512</v>
      </c>
      <c r="D1379">
        <v>37</v>
      </c>
      <c r="E1379">
        <v>37</v>
      </c>
      <c r="F1379">
        <v>36.299999999999997</v>
      </c>
      <c r="G1379">
        <v>36.299999999999997</v>
      </c>
      <c r="H1379">
        <v>-0.4</v>
      </c>
      <c r="I1379" s="1">
        <v>364</v>
      </c>
    </row>
    <row r="1380" spans="1:9" x14ac:dyDescent="0.25">
      <c r="A1380" t="s">
        <v>7141</v>
      </c>
      <c r="B1380" s="1">
        <v>932</v>
      </c>
      <c r="C1380" s="1">
        <v>33317</v>
      </c>
      <c r="D1380">
        <v>36.1</v>
      </c>
      <c r="E1380">
        <v>36.299999999999997</v>
      </c>
      <c r="F1380">
        <v>35.35</v>
      </c>
      <c r="G1380">
        <v>35.35</v>
      </c>
      <c r="H1380">
        <v>-0.95</v>
      </c>
      <c r="I1380" s="1">
        <v>547</v>
      </c>
    </row>
    <row r="1381" spans="1:9" x14ac:dyDescent="0.25">
      <c r="A1381" t="s">
        <v>7142</v>
      </c>
      <c r="B1381" s="1">
        <v>596</v>
      </c>
      <c r="C1381" s="1">
        <v>21125</v>
      </c>
      <c r="D1381">
        <v>35.5</v>
      </c>
      <c r="E1381">
        <v>35.799999999999997</v>
      </c>
      <c r="F1381">
        <v>35.35</v>
      </c>
      <c r="G1381">
        <v>35.5</v>
      </c>
      <c r="H1381">
        <v>0.15</v>
      </c>
      <c r="I1381" s="1">
        <v>339</v>
      </c>
    </row>
    <row r="1382" spans="1:9" x14ac:dyDescent="0.25">
      <c r="A1382" t="s">
        <v>7143</v>
      </c>
      <c r="B1382" s="1">
        <v>387</v>
      </c>
      <c r="C1382" s="1">
        <v>13761</v>
      </c>
      <c r="D1382">
        <v>35.65</v>
      </c>
      <c r="E1382">
        <v>35.75</v>
      </c>
      <c r="F1382">
        <v>35.4</v>
      </c>
      <c r="G1382">
        <v>35.4</v>
      </c>
      <c r="H1382">
        <v>-0.1</v>
      </c>
      <c r="I1382" s="1">
        <v>227</v>
      </c>
    </row>
    <row r="1383" spans="1:9" x14ac:dyDescent="0.25">
      <c r="A1383" t="s">
        <v>7144</v>
      </c>
      <c r="B1383" s="1">
        <v>462</v>
      </c>
      <c r="C1383" s="1">
        <v>16401</v>
      </c>
      <c r="D1383">
        <v>35.5</v>
      </c>
      <c r="E1383">
        <v>35.700000000000003</v>
      </c>
      <c r="F1383">
        <v>35.450000000000003</v>
      </c>
      <c r="G1383">
        <v>35.549999999999997</v>
      </c>
      <c r="H1383">
        <v>0.15</v>
      </c>
      <c r="I1383" s="1">
        <v>227</v>
      </c>
    </row>
    <row r="1384" spans="1:9" x14ac:dyDescent="0.25">
      <c r="A1384" t="s">
        <v>7145</v>
      </c>
      <c r="B1384" s="1">
        <v>598</v>
      </c>
      <c r="C1384" s="1">
        <v>21103</v>
      </c>
      <c r="D1384">
        <v>35.049999999999997</v>
      </c>
      <c r="E1384">
        <v>35.549999999999997</v>
      </c>
      <c r="F1384">
        <v>35.049999999999997</v>
      </c>
      <c r="G1384">
        <v>35.299999999999997</v>
      </c>
      <c r="H1384">
        <v>-0.25</v>
      </c>
      <c r="I1384" s="1">
        <v>275</v>
      </c>
    </row>
    <row r="1385" spans="1:9" x14ac:dyDescent="0.25">
      <c r="A1385" t="s">
        <v>7146</v>
      </c>
      <c r="B1385" s="1">
        <v>1187</v>
      </c>
      <c r="C1385" s="1">
        <v>41680</v>
      </c>
      <c r="D1385">
        <v>35</v>
      </c>
      <c r="E1385">
        <v>35.5</v>
      </c>
      <c r="F1385">
        <v>35</v>
      </c>
      <c r="G1385">
        <v>35.15</v>
      </c>
      <c r="H1385">
        <v>-0.15</v>
      </c>
      <c r="I1385" s="1">
        <v>470</v>
      </c>
    </row>
    <row r="1386" spans="1:9" x14ac:dyDescent="0.25">
      <c r="A1386" t="s">
        <v>7147</v>
      </c>
      <c r="B1386" s="1">
        <v>733</v>
      </c>
      <c r="C1386" s="1">
        <v>25709</v>
      </c>
      <c r="D1386">
        <v>35.15</v>
      </c>
      <c r="E1386">
        <v>35.25</v>
      </c>
      <c r="F1386">
        <v>34.950000000000003</v>
      </c>
      <c r="G1386">
        <v>35.1</v>
      </c>
      <c r="H1386">
        <v>-0.05</v>
      </c>
      <c r="I1386" s="1">
        <v>403</v>
      </c>
    </row>
    <row r="1387" spans="1:9" x14ac:dyDescent="0.25">
      <c r="A1387" t="s">
        <v>7148</v>
      </c>
      <c r="B1387" s="1">
        <v>564</v>
      </c>
      <c r="C1387" s="1">
        <v>19889</v>
      </c>
      <c r="D1387">
        <v>35.200000000000003</v>
      </c>
      <c r="E1387">
        <v>35.4</v>
      </c>
      <c r="F1387">
        <v>35.1</v>
      </c>
      <c r="G1387">
        <v>35.15</v>
      </c>
      <c r="H1387">
        <v>0.05</v>
      </c>
      <c r="I1387" s="1">
        <v>334</v>
      </c>
    </row>
    <row r="1388" spans="1:9" x14ac:dyDescent="0.25">
      <c r="A1388" t="s">
        <v>7149</v>
      </c>
      <c r="B1388" s="1">
        <v>558</v>
      </c>
      <c r="C1388" s="1">
        <v>19799</v>
      </c>
      <c r="D1388">
        <v>35.450000000000003</v>
      </c>
      <c r="E1388">
        <v>35.799999999999997</v>
      </c>
      <c r="F1388">
        <v>35.200000000000003</v>
      </c>
      <c r="G1388">
        <v>35.35</v>
      </c>
      <c r="H1388">
        <v>0.2</v>
      </c>
      <c r="I1388" s="1">
        <v>364</v>
      </c>
    </row>
    <row r="1389" spans="1:9" x14ac:dyDescent="0.25">
      <c r="A1389" t="s">
        <v>7150</v>
      </c>
      <c r="B1389" s="1">
        <v>802</v>
      </c>
      <c r="C1389" s="1">
        <v>28246</v>
      </c>
      <c r="D1389">
        <v>35.5</v>
      </c>
      <c r="E1389">
        <v>35.65</v>
      </c>
      <c r="F1389">
        <v>35.049999999999997</v>
      </c>
      <c r="G1389">
        <v>35.15</v>
      </c>
      <c r="H1389">
        <v>-0.2</v>
      </c>
      <c r="I1389" s="1">
        <v>393</v>
      </c>
    </row>
    <row r="1390" spans="1:9" x14ac:dyDescent="0.25">
      <c r="A1390" t="s">
        <v>973</v>
      </c>
      <c r="B1390" s="1"/>
      <c r="C1390" s="1"/>
      <c r="I1390" s="1"/>
    </row>
    <row r="1393" spans="1:9" x14ac:dyDescent="0.25">
      <c r="A1393" s="9" t="s">
        <v>7117</v>
      </c>
      <c r="B1393" s="1">
        <v>1096</v>
      </c>
      <c r="C1393" s="1">
        <v>40136</v>
      </c>
      <c r="D1393">
        <v>36.5</v>
      </c>
      <c r="E1393">
        <v>36.85</v>
      </c>
      <c r="F1393">
        <v>36.35</v>
      </c>
      <c r="G1393">
        <v>36.85</v>
      </c>
      <c r="H1393">
        <v>0.35</v>
      </c>
      <c r="I1393" s="1">
        <v>655</v>
      </c>
    </row>
    <row r="1394" spans="1:9" x14ac:dyDescent="0.25">
      <c r="A1394" t="s">
        <v>7118</v>
      </c>
      <c r="B1394" s="1">
        <v>1365</v>
      </c>
      <c r="C1394" s="1">
        <v>50602</v>
      </c>
      <c r="D1394">
        <v>37</v>
      </c>
      <c r="E1394">
        <v>37.5</v>
      </c>
      <c r="F1394">
        <v>36.549999999999997</v>
      </c>
      <c r="G1394">
        <v>36.549999999999997</v>
      </c>
      <c r="H1394">
        <v>-0.3</v>
      </c>
      <c r="I1394" s="1">
        <v>710</v>
      </c>
    </row>
    <row r="1395" spans="1:9" x14ac:dyDescent="0.25">
      <c r="A1395" t="s">
        <v>7119</v>
      </c>
      <c r="B1395" s="1">
        <v>584</v>
      </c>
      <c r="C1395" s="1">
        <v>21293</v>
      </c>
      <c r="D1395">
        <v>36.450000000000003</v>
      </c>
      <c r="E1395">
        <v>36.75</v>
      </c>
      <c r="F1395">
        <v>36.299999999999997</v>
      </c>
      <c r="G1395">
        <v>36.299999999999997</v>
      </c>
      <c r="H1395">
        <v>-0.25</v>
      </c>
      <c r="I1395" s="1">
        <v>401</v>
      </c>
    </row>
    <row r="1396" spans="1:9" x14ac:dyDescent="0.25">
      <c r="A1396" t="s">
        <v>7120</v>
      </c>
      <c r="B1396" s="1">
        <v>867</v>
      </c>
      <c r="C1396" s="1">
        <v>31463</v>
      </c>
      <c r="D1396">
        <v>36.5</v>
      </c>
      <c r="E1396">
        <v>36.700000000000003</v>
      </c>
      <c r="F1396">
        <v>36</v>
      </c>
      <c r="G1396">
        <v>36</v>
      </c>
      <c r="H1396">
        <v>-0.3</v>
      </c>
      <c r="I1396" s="1">
        <v>498</v>
      </c>
    </row>
    <row r="1397" spans="1:9" x14ac:dyDescent="0.25">
      <c r="A1397" t="s">
        <v>7121</v>
      </c>
      <c r="B1397" s="1">
        <v>804</v>
      </c>
      <c r="C1397" s="1">
        <v>29122</v>
      </c>
      <c r="D1397">
        <v>36.6</v>
      </c>
      <c r="E1397">
        <v>36.6</v>
      </c>
      <c r="F1397">
        <v>36.049999999999997</v>
      </c>
      <c r="G1397">
        <v>36.200000000000003</v>
      </c>
      <c r="H1397">
        <v>0.2</v>
      </c>
      <c r="I1397" s="1">
        <v>408</v>
      </c>
    </row>
    <row r="1398" spans="1:9" x14ac:dyDescent="0.25">
      <c r="A1398" t="s">
        <v>7122</v>
      </c>
      <c r="B1398" s="1">
        <v>683</v>
      </c>
      <c r="C1398" s="1">
        <v>24961</v>
      </c>
      <c r="D1398">
        <v>36.200000000000003</v>
      </c>
      <c r="E1398">
        <v>36.75</v>
      </c>
      <c r="F1398">
        <v>36.200000000000003</v>
      </c>
      <c r="G1398">
        <v>36.700000000000003</v>
      </c>
      <c r="H1398">
        <v>0.5</v>
      </c>
      <c r="I1398" s="1">
        <v>433</v>
      </c>
    </row>
    <row r="1399" spans="1:9" x14ac:dyDescent="0.25">
      <c r="A1399" t="s">
        <v>7123</v>
      </c>
      <c r="B1399" s="1">
        <v>1648</v>
      </c>
      <c r="C1399" s="1">
        <v>61245</v>
      </c>
      <c r="D1399">
        <v>36.700000000000003</v>
      </c>
      <c r="E1399">
        <v>37.4</v>
      </c>
      <c r="F1399">
        <v>36.700000000000003</v>
      </c>
      <c r="G1399">
        <v>37.299999999999997</v>
      </c>
      <c r="H1399">
        <v>0.6</v>
      </c>
      <c r="I1399" s="1">
        <v>950</v>
      </c>
    </row>
    <row r="1400" spans="1:9" x14ac:dyDescent="0.25">
      <c r="A1400" t="s">
        <v>7124</v>
      </c>
      <c r="B1400" s="1">
        <v>876</v>
      </c>
      <c r="C1400" s="1">
        <v>32400</v>
      </c>
      <c r="D1400">
        <v>37.4</v>
      </c>
      <c r="E1400">
        <v>37.4</v>
      </c>
      <c r="F1400">
        <v>36.700000000000003</v>
      </c>
      <c r="G1400">
        <v>36.950000000000003</v>
      </c>
      <c r="H1400">
        <v>-0.35</v>
      </c>
      <c r="I1400" s="1">
        <v>458</v>
      </c>
    </row>
    <row r="1401" spans="1:9" x14ac:dyDescent="0.25">
      <c r="A1401" t="s">
        <v>7125</v>
      </c>
      <c r="B1401" s="1">
        <v>698</v>
      </c>
      <c r="C1401" s="1">
        <v>25734</v>
      </c>
      <c r="D1401">
        <v>36.799999999999997</v>
      </c>
      <c r="E1401">
        <v>37.049999999999997</v>
      </c>
      <c r="F1401">
        <v>36.5</v>
      </c>
      <c r="G1401">
        <v>36.799999999999997</v>
      </c>
      <c r="H1401">
        <v>-0.15</v>
      </c>
      <c r="I1401" s="1">
        <v>383</v>
      </c>
    </row>
    <row r="1402" spans="1:9" x14ac:dyDescent="0.25">
      <c r="A1402" t="s">
        <v>7126</v>
      </c>
      <c r="B1402" s="1">
        <v>455</v>
      </c>
      <c r="C1402" s="1">
        <v>16769</v>
      </c>
      <c r="D1402">
        <v>37.1</v>
      </c>
      <c r="E1402">
        <v>37.1</v>
      </c>
      <c r="F1402">
        <v>36.65</v>
      </c>
      <c r="G1402">
        <v>36.65</v>
      </c>
      <c r="H1402">
        <v>-0.15</v>
      </c>
      <c r="I1402" s="1">
        <v>262</v>
      </c>
    </row>
    <row r="1403" spans="1:9" x14ac:dyDescent="0.25">
      <c r="A1403" t="s">
        <v>7127</v>
      </c>
      <c r="B1403" s="1">
        <v>555</v>
      </c>
      <c r="C1403" s="1">
        <v>20353</v>
      </c>
      <c r="D1403">
        <v>36.700000000000003</v>
      </c>
      <c r="E1403">
        <v>36.950000000000003</v>
      </c>
      <c r="F1403">
        <v>36.5</v>
      </c>
      <c r="G1403">
        <v>36.5</v>
      </c>
      <c r="H1403">
        <v>-0.15</v>
      </c>
      <c r="I1403" s="1">
        <v>269</v>
      </c>
    </row>
    <row r="1404" spans="1:9" x14ac:dyDescent="0.25">
      <c r="A1404" t="s">
        <v>7128</v>
      </c>
      <c r="B1404" s="1">
        <v>868</v>
      </c>
      <c r="C1404" s="1">
        <v>31410</v>
      </c>
      <c r="D1404">
        <v>36</v>
      </c>
      <c r="E1404">
        <v>36.6</v>
      </c>
      <c r="F1404">
        <v>36</v>
      </c>
      <c r="G1404">
        <v>36.5</v>
      </c>
      <c r="H1404">
        <v>0</v>
      </c>
      <c r="I1404" s="1">
        <v>448</v>
      </c>
    </row>
    <row r="1405" spans="1:9" x14ac:dyDescent="0.25">
      <c r="A1405" t="s">
        <v>7129</v>
      </c>
      <c r="B1405" s="1">
        <v>796</v>
      </c>
      <c r="C1405" s="1">
        <v>28854</v>
      </c>
      <c r="D1405">
        <v>36.299999999999997</v>
      </c>
      <c r="E1405">
        <v>36.799999999999997</v>
      </c>
      <c r="F1405">
        <v>36</v>
      </c>
      <c r="G1405">
        <v>36.1</v>
      </c>
      <c r="H1405">
        <v>-0.4</v>
      </c>
      <c r="I1405" s="1">
        <v>426</v>
      </c>
    </row>
    <row r="1406" spans="1:9" x14ac:dyDescent="0.25">
      <c r="A1406" t="s">
        <v>987</v>
      </c>
      <c r="B1406" s="1"/>
      <c r="C1406" s="1"/>
      <c r="I1406" s="1"/>
    </row>
    <row r="1417" spans="1:9" x14ac:dyDescent="0.25">
      <c r="A1417" s="9" t="s">
        <v>7095</v>
      </c>
      <c r="B1417" s="1">
        <v>1055</v>
      </c>
      <c r="C1417" s="1">
        <v>37986</v>
      </c>
      <c r="D1417">
        <v>35.65</v>
      </c>
      <c r="E1417">
        <v>36.35</v>
      </c>
      <c r="F1417">
        <v>35.5</v>
      </c>
      <c r="G1417">
        <v>36.15</v>
      </c>
      <c r="H1417">
        <v>0.75</v>
      </c>
      <c r="I1417" s="1">
        <v>666</v>
      </c>
    </row>
    <row r="1418" spans="1:9" x14ac:dyDescent="0.25">
      <c r="A1418" t="s">
        <v>7096</v>
      </c>
      <c r="B1418" s="1">
        <v>878</v>
      </c>
      <c r="C1418" s="1">
        <v>31867</v>
      </c>
      <c r="D1418">
        <v>36.4</v>
      </c>
      <c r="E1418">
        <v>36.700000000000003</v>
      </c>
      <c r="F1418">
        <v>36</v>
      </c>
      <c r="G1418">
        <v>36</v>
      </c>
      <c r="H1418">
        <v>-0.15</v>
      </c>
      <c r="I1418" s="1">
        <v>549</v>
      </c>
    </row>
    <row r="1419" spans="1:9" x14ac:dyDescent="0.25">
      <c r="A1419" t="s">
        <v>7097</v>
      </c>
      <c r="B1419" s="1">
        <v>751</v>
      </c>
      <c r="C1419" s="1">
        <v>27019</v>
      </c>
      <c r="D1419">
        <v>36</v>
      </c>
      <c r="E1419">
        <v>36.200000000000003</v>
      </c>
      <c r="F1419">
        <v>35.75</v>
      </c>
      <c r="G1419">
        <v>35.799999999999997</v>
      </c>
      <c r="H1419">
        <v>-0.2</v>
      </c>
      <c r="I1419" s="1">
        <v>447</v>
      </c>
    </row>
    <row r="1420" spans="1:9" x14ac:dyDescent="0.25">
      <c r="A1420" t="s">
        <v>7098</v>
      </c>
      <c r="B1420" s="1">
        <v>2000</v>
      </c>
      <c r="C1420" s="1">
        <v>73030</v>
      </c>
      <c r="D1420">
        <v>36</v>
      </c>
      <c r="E1420">
        <v>36.700000000000003</v>
      </c>
      <c r="F1420">
        <v>35.85</v>
      </c>
      <c r="G1420">
        <v>36.549999999999997</v>
      </c>
      <c r="H1420">
        <v>0.75</v>
      </c>
      <c r="I1420" s="1">
        <v>1021</v>
      </c>
    </row>
    <row r="1421" spans="1:9" x14ac:dyDescent="0.25">
      <c r="A1421" t="s">
        <v>7099</v>
      </c>
      <c r="B1421" s="1">
        <v>822</v>
      </c>
      <c r="C1421" s="1">
        <v>29785</v>
      </c>
      <c r="D1421">
        <v>36.799999999999997</v>
      </c>
      <c r="E1421">
        <v>36.799999999999997</v>
      </c>
      <c r="F1421">
        <v>36</v>
      </c>
      <c r="G1421">
        <v>36.15</v>
      </c>
      <c r="H1421">
        <v>-0.4</v>
      </c>
      <c r="I1421" s="1">
        <v>488</v>
      </c>
    </row>
    <row r="1422" spans="1:9" x14ac:dyDescent="0.25">
      <c r="A1422" t="s">
        <v>7100</v>
      </c>
      <c r="B1422" s="1">
        <v>2771</v>
      </c>
      <c r="C1422" s="1">
        <v>102490</v>
      </c>
      <c r="D1422">
        <v>36.15</v>
      </c>
      <c r="E1422">
        <v>37.200000000000003</v>
      </c>
      <c r="F1422">
        <v>36.15</v>
      </c>
      <c r="G1422">
        <v>36.700000000000003</v>
      </c>
      <c r="H1422">
        <v>0.55000000000000004</v>
      </c>
      <c r="I1422" s="1">
        <v>1416</v>
      </c>
    </row>
    <row r="1423" spans="1:9" x14ac:dyDescent="0.25">
      <c r="A1423" t="s">
        <v>7101</v>
      </c>
      <c r="B1423" s="1">
        <v>1849</v>
      </c>
      <c r="C1423" s="1">
        <v>68610</v>
      </c>
      <c r="D1423">
        <v>37.200000000000003</v>
      </c>
      <c r="E1423">
        <v>37.450000000000003</v>
      </c>
      <c r="F1423">
        <v>36.700000000000003</v>
      </c>
      <c r="G1423">
        <v>36.700000000000003</v>
      </c>
      <c r="H1423">
        <v>0</v>
      </c>
      <c r="I1423" s="1">
        <v>957</v>
      </c>
    </row>
    <row r="1424" spans="1:9" x14ac:dyDescent="0.25">
      <c r="A1424" t="s">
        <v>7102</v>
      </c>
      <c r="B1424" s="1">
        <v>981</v>
      </c>
      <c r="C1424" s="1">
        <v>36163</v>
      </c>
      <c r="D1424">
        <v>37.200000000000003</v>
      </c>
      <c r="E1424">
        <v>37.200000000000003</v>
      </c>
      <c r="F1424">
        <v>36.6</v>
      </c>
      <c r="G1424">
        <v>36.75</v>
      </c>
      <c r="H1424">
        <v>0.05</v>
      </c>
      <c r="I1424" s="1">
        <v>513</v>
      </c>
    </row>
    <row r="1425" spans="1:9" x14ac:dyDescent="0.25">
      <c r="A1425" t="s">
        <v>7103</v>
      </c>
      <c r="B1425" s="1">
        <v>2719</v>
      </c>
      <c r="C1425" s="1">
        <v>101776</v>
      </c>
      <c r="D1425">
        <v>36.799999999999997</v>
      </c>
      <c r="E1425">
        <v>37.75</v>
      </c>
      <c r="F1425">
        <v>36.799999999999997</v>
      </c>
      <c r="G1425">
        <v>37.5</v>
      </c>
      <c r="H1425">
        <v>0.75</v>
      </c>
      <c r="I1425" s="1">
        <v>1271</v>
      </c>
    </row>
    <row r="1426" spans="1:9" x14ac:dyDescent="0.25">
      <c r="A1426" t="s">
        <v>7104</v>
      </c>
      <c r="B1426" s="1">
        <v>1392</v>
      </c>
      <c r="C1426" s="1">
        <v>51969</v>
      </c>
      <c r="D1426">
        <v>37.799999999999997</v>
      </c>
      <c r="E1426">
        <v>37.85</v>
      </c>
      <c r="F1426">
        <v>36.9</v>
      </c>
      <c r="G1426">
        <v>37.049999999999997</v>
      </c>
      <c r="H1426">
        <v>-0.45</v>
      </c>
      <c r="I1426" s="1">
        <v>730</v>
      </c>
    </row>
    <row r="1427" spans="1:9" x14ac:dyDescent="0.25">
      <c r="A1427" t="s">
        <v>7105</v>
      </c>
      <c r="B1427" s="1">
        <v>816</v>
      </c>
      <c r="C1427" s="1">
        <v>30074</v>
      </c>
      <c r="D1427">
        <v>37.1</v>
      </c>
      <c r="E1427">
        <v>37.200000000000003</v>
      </c>
      <c r="F1427">
        <v>36.65</v>
      </c>
      <c r="G1427">
        <v>37</v>
      </c>
      <c r="H1427">
        <v>-0.05</v>
      </c>
      <c r="I1427" s="1">
        <v>407</v>
      </c>
    </row>
    <row r="1428" spans="1:9" x14ac:dyDescent="0.25">
      <c r="A1428" t="s">
        <v>7106</v>
      </c>
      <c r="B1428" s="1">
        <v>1616</v>
      </c>
      <c r="C1428" s="1">
        <v>58591</v>
      </c>
      <c r="D1428">
        <v>37.1</v>
      </c>
      <c r="E1428">
        <v>37.35</v>
      </c>
      <c r="F1428">
        <v>35.299999999999997</v>
      </c>
      <c r="G1428">
        <v>35.5</v>
      </c>
      <c r="H1428">
        <v>-1.5</v>
      </c>
      <c r="I1428" s="1">
        <v>816</v>
      </c>
    </row>
    <row r="1429" spans="1:9" x14ac:dyDescent="0.25">
      <c r="A1429" t="s">
        <v>7107</v>
      </c>
      <c r="B1429" s="1">
        <v>940</v>
      </c>
      <c r="C1429" s="1">
        <v>33671</v>
      </c>
      <c r="D1429">
        <v>36</v>
      </c>
      <c r="E1429">
        <v>36.1</v>
      </c>
      <c r="F1429">
        <v>35.700000000000003</v>
      </c>
      <c r="G1429">
        <v>35.85</v>
      </c>
      <c r="H1429">
        <v>0.35</v>
      </c>
      <c r="I1429" s="1">
        <v>553</v>
      </c>
    </row>
    <row r="1430" spans="1:9" x14ac:dyDescent="0.25">
      <c r="A1430" t="s">
        <v>7108</v>
      </c>
      <c r="B1430" s="1">
        <v>906</v>
      </c>
      <c r="C1430" s="1">
        <v>32868</v>
      </c>
      <c r="D1430">
        <v>36.450000000000003</v>
      </c>
      <c r="E1430">
        <v>36.450000000000003</v>
      </c>
      <c r="F1430">
        <v>36</v>
      </c>
      <c r="G1430">
        <v>36.200000000000003</v>
      </c>
      <c r="H1430">
        <v>0.35</v>
      </c>
      <c r="I1430" s="1">
        <v>387</v>
      </c>
    </row>
    <row r="1431" spans="1:9" x14ac:dyDescent="0.25">
      <c r="A1431" t="s">
        <v>7109</v>
      </c>
      <c r="B1431" s="1">
        <v>685</v>
      </c>
      <c r="C1431" s="1">
        <v>24987</v>
      </c>
      <c r="D1431">
        <v>36.299999999999997</v>
      </c>
      <c r="E1431">
        <v>36.75</v>
      </c>
      <c r="F1431">
        <v>36.25</v>
      </c>
      <c r="G1431">
        <v>36.5</v>
      </c>
      <c r="H1431">
        <v>0.3</v>
      </c>
      <c r="I1431" s="1">
        <v>336</v>
      </c>
    </row>
    <row r="1432" spans="1:9" x14ac:dyDescent="0.25">
      <c r="A1432" t="s">
        <v>7110</v>
      </c>
      <c r="B1432" s="1">
        <v>641</v>
      </c>
      <c r="C1432" s="1">
        <v>23401</v>
      </c>
      <c r="D1432">
        <v>36.700000000000003</v>
      </c>
      <c r="E1432">
        <v>36.75</v>
      </c>
      <c r="F1432">
        <v>36.25</v>
      </c>
      <c r="G1432">
        <v>36.4</v>
      </c>
      <c r="H1432">
        <v>-0.1</v>
      </c>
      <c r="I1432" s="1">
        <v>304</v>
      </c>
    </row>
    <row r="1433" spans="1:9" x14ac:dyDescent="0.25">
      <c r="A1433" t="s">
        <v>7111</v>
      </c>
      <c r="B1433" s="1">
        <v>584</v>
      </c>
      <c r="C1433" s="1">
        <v>21124</v>
      </c>
      <c r="D1433">
        <v>36.4</v>
      </c>
      <c r="E1433">
        <v>36.4</v>
      </c>
      <c r="F1433">
        <v>36.049999999999997</v>
      </c>
      <c r="G1433">
        <v>36.1</v>
      </c>
      <c r="H1433">
        <v>-0.3</v>
      </c>
      <c r="I1433" s="1">
        <v>299</v>
      </c>
    </row>
    <row r="1434" spans="1:9" x14ac:dyDescent="0.25">
      <c r="A1434" t="s">
        <v>7112</v>
      </c>
      <c r="B1434" s="1">
        <v>490</v>
      </c>
      <c r="C1434" s="1">
        <v>17648</v>
      </c>
      <c r="D1434">
        <v>36.1</v>
      </c>
      <c r="E1434">
        <v>36.299999999999997</v>
      </c>
      <c r="F1434">
        <v>35.85</v>
      </c>
      <c r="G1434">
        <v>35.9</v>
      </c>
      <c r="H1434">
        <v>-0.2</v>
      </c>
      <c r="I1434" s="1">
        <v>292</v>
      </c>
    </row>
    <row r="1435" spans="1:9" x14ac:dyDescent="0.25">
      <c r="A1435" t="s">
        <v>7113</v>
      </c>
      <c r="B1435" s="1">
        <v>392</v>
      </c>
      <c r="C1435" s="1">
        <v>14041</v>
      </c>
      <c r="D1435">
        <v>35.6</v>
      </c>
      <c r="E1435">
        <v>36</v>
      </c>
      <c r="F1435">
        <v>35.6</v>
      </c>
      <c r="G1435">
        <v>35.75</v>
      </c>
      <c r="H1435">
        <v>-0.15</v>
      </c>
      <c r="I1435" s="1">
        <v>242</v>
      </c>
    </row>
    <row r="1436" spans="1:9" x14ac:dyDescent="0.25">
      <c r="A1436" t="s">
        <v>7114</v>
      </c>
      <c r="B1436" s="1">
        <v>535</v>
      </c>
      <c r="C1436" s="1">
        <v>19357</v>
      </c>
      <c r="D1436">
        <v>35.799999999999997</v>
      </c>
      <c r="E1436">
        <v>36.4</v>
      </c>
      <c r="F1436">
        <v>35.799999999999997</v>
      </c>
      <c r="G1436">
        <v>36.25</v>
      </c>
      <c r="H1436">
        <v>0.5</v>
      </c>
      <c r="I1436" s="1">
        <v>320</v>
      </c>
    </row>
    <row r="1437" spans="1:9" x14ac:dyDescent="0.25">
      <c r="A1437" t="s">
        <v>7115</v>
      </c>
      <c r="B1437" s="1">
        <v>947</v>
      </c>
      <c r="C1437" s="1">
        <v>34701</v>
      </c>
      <c r="D1437">
        <v>36.450000000000003</v>
      </c>
      <c r="E1437">
        <v>36.950000000000003</v>
      </c>
      <c r="F1437">
        <v>36.15</v>
      </c>
      <c r="G1437">
        <v>36.9</v>
      </c>
      <c r="H1437">
        <v>0.65</v>
      </c>
      <c r="I1437" s="1">
        <v>534</v>
      </c>
    </row>
    <row r="1438" spans="1:9" x14ac:dyDescent="0.25">
      <c r="A1438" t="s">
        <v>7116</v>
      </c>
      <c r="B1438" s="1">
        <v>825</v>
      </c>
      <c r="C1438" s="1">
        <v>30164</v>
      </c>
      <c r="D1438">
        <v>36.9</v>
      </c>
      <c r="E1438">
        <v>36.9</v>
      </c>
      <c r="F1438">
        <v>36.4</v>
      </c>
      <c r="G1438">
        <v>36.5</v>
      </c>
      <c r="H1438">
        <v>-0.4</v>
      </c>
      <c r="I1438" s="1">
        <v>374</v>
      </c>
    </row>
    <row r="1439" spans="1:9" x14ac:dyDescent="0.25">
      <c r="A1439" t="s">
        <v>1177</v>
      </c>
      <c r="B1439" s="1"/>
      <c r="C1439" s="1"/>
      <c r="I1439" s="1"/>
    </row>
    <row r="1441" spans="1:9" x14ac:dyDescent="0.25">
      <c r="A1441" s="9" t="s">
        <v>7074</v>
      </c>
      <c r="B1441" s="1">
        <v>2734</v>
      </c>
      <c r="C1441" s="1">
        <v>98320</v>
      </c>
      <c r="D1441">
        <v>34.5</v>
      </c>
      <c r="E1441">
        <v>36.5</v>
      </c>
      <c r="F1441">
        <v>34.5</v>
      </c>
      <c r="G1441">
        <v>35.799999999999997</v>
      </c>
      <c r="H1441">
        <v>1.3</v>
      </c>
      <c r="I1441" s="1">
        <v>1340</v>
      </c>
    </row>
    <row r="1442" spans="1:9" x14ac:dyDescent="0.25">
      <c r="A1442" t="s">
        <v>7075</v>
      </c>
      <c r="B1442" s="1">
        <v>1051</v>
      </c>
      <c r="C1442" s="1">
        <v>37547</v>
      </c>
      <c r="D1442">
        <v>36</v>
      </c>
      <c r="E1442">
        <v>36.15</v>
      </c>
      <c r="F1442">
        <v>35.5</v>
      </c>
      <c r="G1442">
        <v>35.700000000000003</v>
      </c>
      <c r="H1442">
        <v>-0.1</v>
      </c>
      <c r="I1442" s="1">
        <v>558</v>
      </c>
    </row>
    <row r="1443" spans="1:9" x14ac:dyDescent="0.25">
      <c r="A1443" t="s">
        <v>7076</v>
      </c>
      <c r="B1443" s="1">
        <v>3092</v>
      </c>
      <c r="C1443" s="1">
        <v>113270</v>
      </c>
      <c r="D1443">
        <v>35.799999999999997</v>
      </c>
      <c r="E1443">
        <v>37.200000000000003</v>
      </c>
      <c r="F1443">
        <v>35.799999999999997</v>
      </c>
      <c r="G1443">
        <v>36.25</v>
      </c>
      <c r="H1443">
        <v>0.55000000000000004</v>
      </c>
      <c r="I1443" s="1">
        <v>1550</v>
      </c>
    </row>
    <row r="1444" spans="1:9" x14ac:dyDescent="0.25">
      <c r="A1444" t="s">
        <v>7077</v>
      </c>
      <c r="B1444" s="1">
        <v>1171</v>
      </c>
      <c r="C1444" s="1">
        <v>42004</v>
      </c>
      <c r="D1444">
        <v>36.25</v>
      </c>
      <c r="E1444">
        <v>36.6</v>
      </c>
      <c r="F1444">
        <v>35.549999999999997</v>
      </c>
      <c r="G1444">
        <v>35.549999999999997</v>
      </c>
      <c r="H1444">
        <v>-0.7</v>
      </c>
      <c r="I1444" s="1">
        <v>741</v>
      </c>
    </row>
    <row r="1445" spans="1:9" x14ac:dyDescent="0.25">
      <c r="A1445" t="s">
        <v>7078</v>
      </c>
      <c r="B1445" s="1">
        <v>810</v>
      </c>
      <c r="C1445" s="1">
        <v>28687</v>
      </c>
      <c r="D1445">
        <v>35.549999999999997</v>
      </c>
      <c r="E1445">
        <v>36</v>
      </c>
      <c r="F1445">
        <v>35.049999999999997</v>
      </c>
      <c r="G1445">
        <v>35.049999999999997</v>
      </c>
      <c r="H1445">
        <v>-0.5</v>
      </c>
      <c r="I1445" s="1">
        <v>476</v>
      </c>
    </row>
    <row r="1446" spans="1:9" x14ac:dyDescent="0.25">
      <c r="A1446" t="s">
        <v>7079</v>
      </c>
      <c r="B1446" s="1">
        <v>748</v>
      </c>
      <c r="C1446" s="1">
        <v>26591</v>
      </c>
      <c r="D1446">
        <v>35.549999999999997</v>
      </c>
      <c r="E1446">
        <v>36</v>
      </c>
      <c r="F1446">
        <v>35.25</v>
      </c>
      <c r="G1446">
        <v>35.25</v>
      </c>
      <c r="H1446">
        <v>0.2</v>
      </c>
      <c r="I1446" s="1">
        <v>465</v>
      </c>
    </row>
    <row r="1447" spans="1:9" x14ac:dyDescent="0.25">
      <c r="A1447" t="s">
        <v>7080</v>
      </c>
      <c r="B1447" s="1">
        <v>1058</v>
      </c>
      <c r="C1447" s="1">
        <v>37561</v>
      </c>
      <c r="D1447">
        <v>35.25</v>
      </c>
      <c r="E1447">
        <v>36.4</v>
      </c>
      <c r="F1447">
        <v>34.65</v>
      </c>
      <c r="G1447">
        <v>36</v>
      </c>
      <c r="H1447">
        <v>0.75</v>
      </c>
      <c r="I1447" s="1">
        <v>613</v>
      </c>
    </row>
    <row r="1448" spans="1:9" x14ac:dyDescent="0.25">
      <c r="A1448" t="s">
        <v>7081</v>
      </c>
      <c r="B1448" s="1">
        <v>1568</v>
      </c>
      <c r="C1448" s="1">
        <v>56280</v>
      </c>
      <c r="D1448">
        <v>36.5</v>
      </c>
      <c r="E1448">
        <v>36.6</v>
      </c>
      <c r="F1448">
        <v>35.5</v>
      </c>
      <c r="G1448">
        <v>35.85</v>
      </c>
      <c r="H1448">
        <v>-0.15</v>
      </c>
      <c r="I1448" s="1">
        <v>784</v>
      </c>
    </row>
    <row r="1449" spans="1:9" x14ac:dyDescent="0.25">
      <c r="A1449" t="s">
        <v>7082</v>
      </c>
      <c r="B1449" s="1">
        <v>1649</v>
      </c>
      <c r="C1449" s="1">
        <v>59752</v>
      </c>
      <c r="D1449">
        <v>36</v>
      </c>
      <c r="E1449">
        <v>36.450000000000003</v>
      </c>
      <c r="F1449">
        <v>36</v>
      </c>
      <c r="G1449">
        <v>36.25</v>
      </c>
      <c r="H1449">
        <v>0.4</v>
      </c>
      <c r="I1449" s="1">
        <v>749</v>
      </c>
    </row>
    <row r="1450" spans="1:9" x14ac:dyDescent="0.25">
      <c r="A1450" t="s">
        <v>7083</v>
      </c>
      <c r="B1450" s="1">
        <v>493</v>
      </c>
      <c r="C1450" s="1">
        <v>17709</v>
      </c>
      <c r="D1450">
        <v>36.1</v>
      </c>
      <c r="E1450">
        <v>36.299999999999997</v>
      </c>
      <c r="F1450">
        <v>35.85</v>
      </c>
      <c r="G1450">
        <v>35.85</v>
      </c>
      <c r="H1450">
        <v>-0.4</v>
      </c>
      <c r="I1450" s="1">
        <v>325</v>
      </c>
    </row>
    <row r="1451" spans="1:9" x14ac:dyDescent="0.25">
      <c r="A1451" t="s">
        <v>7084</v>
      </c>
      <c r="B1451" s="1">
        <v>601</v>
      </c>
      <c r="C1451" s="1">
        <v>21476</v>
      </c>
      <c r="D1451">
        <v>36</v>
      </c>
      <c r="E1451">
        <v>36.049999999999997</v>
      </c>
      <c r="F1451">
        <v>35.6</v>
      </c>
      <c r="G1451">
        <v>35.799999999999997</v>
      </c>
      <c r="H1451">
        <v>-0.05</v>
      </c>
      <c r="I1451" s="1">
        <v>363</v>
      </c>
    </row>
    <row r="1452" spans="1:9" x14ac:dyDescent="0.25">
      <c r="A1452" t="s">
        <v>7085</v>
      </c>
      <c r="B1452" s="1">
        <v>432</v>
      </c>
      <c r="C1452" s="1">
        <v>15501</v>
      </c>
      <c r="D1452">
        <v>35.799999999999997</v>
      </c>
      <c r="E1452">
        <v>36.1</v>
      </c>
      <c r="F1452">
        <v>35.75</v>
      </c>
      <c r="G1452">
        <v>35.9</v>
      </c>
      <c r="H1452">
        <v>0.1</v>
      </c>
      <c r="I1452" s="1">
        <v>251</v>
      </c>
    </row>
    <row r="1453" spans="1:9" x14ac:dyDescent="0.25">
      <c r="A1453" t="s">
        <v>7086</v>
      </c>
      <c r="B1453" s="1">
        <v>695</v>
      </c>
      <c r="C1453" s="1">
        <v>24999</v>
      </c>
      <c r="D1453">
        <v>36.15</v>
      </c>
      <c r="E1453">
        <v>36.200000000000003</v>
      </c>
      <c r="F1453">
        <v>35.75</v>
      </c>
      <c r="G1453">
        <v>35.9</v>
      </c>
      <c r="H1453">
        <v>0</v>
      </c>
      <c r="I1453" s="1">
        <v>448</v>
      </c>
    </row>
    <row r="1454" spans="1:9" x14ac:dyDescent="0.25">
      <c r="A1454" t="s">
        <v>7087</v>
      </c>
      <c r="B1454" s="1">
        <v>548</v>
      </c>
      <c r="C1454" s="1">
        <v>19711</v>
      </c>
      <c r="D1454">
        <v>35.700000000000003</v>
      </c>
      <c r="E1454">
        <v>36.35</v>
      </c>
      <c r="F1454">
        <v>35.65</v>
      </c>
      <c r="G1454">
        <v>35.75</v>
      </c>
      <c r="H1454">
        <v>-0.15</v>
      </c>
      <c r="I1454" s="1">
        <v>334</v>
      </c>
    </row>
    <row r="1455" spans="1:9" x14ac:dyDescent="0.25">
      <c r="A1455" t="s">
        <v>7088</v>
      </c>
      <c r="B1455" s="1">
        <v>648</v>
      </c>
      <c r="C1455" s="1">
        <v>22898</v>
      </c>
      <c r="D1455">
        <v>35.9</v>
      </c>
      <c r="E1455">
        <v>35.9</v>
      </c>
      <c r="F1455">
        <v>35.200000000000003</v>
      </c>
      <c r="G1455">
        <v>35.200000000000003</v>
      </c>
      <c r="H1455">
        <v>-0.55000000000000004</v>
      </c>
      <c r="I1455" s="1">
        <v>384</v>
      </c>
    </row>
    <row r="1456" spans="1:9" x14ac:dyDescent="0.25">
      <c r="A1456" t="s">
        <v>7089</v>
      </c>
      <c r="B1456" s="1">
        <v>348</v>
      </c>
      <c r="C1456" s="1">
        <v>12257</v>
      </c>
      <c r="D1456">
        <v>35.200000000000003</v>
      </c>
      <c r="E1456">
        <v>35.4</v>
      </c>
      <c r="F1456">
        <v>35</v>
      </c>
      <c r="G1456">
        <v>35.15</v>
      </c>
      <c r="H1456">
        <v>-0.05</v>
      </c>
      <c r="I1456" s="1">
        <v>252</v>
      </c>
    </row>
    <row r="1457" spans="1:9" x14ac:dyDescent="0.25">
      <c r="A1457" t="s">
        <v>7090</v>
      </c>
      <c r="B1457" s="1">
        <v>328</v>
      </c>
      <c r="C1457" s="1">
        <v>11524</v>
      </c>
      <c r="D1457">
        <v>35.049999999999997</v>
      </c>
      <c r="E1457">
        <v>35.299999999999997</v>
      </c>
      <c r="F1457">
        <v>35</v>
      </c>
      <c r="G1457">
        <v>35.049999999999997</v>
      </c>
      <c r="H1457">
        <v>-0.1</v>
      </c>
      <c r="I1457" s="1">
        <v>230</v>
      </c>
    </row>
    <row r="1458" spans="1:9" x14ac:dyDescent="0.25">
      <c r="A1458" t="s">
        <v>7091</v>
      </c>
      <c r="B1458" s="1">
        <v>399</v>
      </c>
      <c r="C1458" s="1">
        <v>14079</v>
      </c>
      <c r="D1458">
        <v>35.049999999999997</v>
      </c>
      <c r="E1458">
        <v>35.5</v>
      </c>
      <c r="F1458">
        <v>35.049999999999997</v>
      </c>
      <c r="G1458">
        <v>35.5</v>
      </c>
      <c r="H1458">
        <v>0.45</v>
      </c>
      <c r="I1458" s="1">
        <v>280</v>
      </c>
    </row>
    <row r="1459" spans="1:9" x14ac:dyDescent="0.25">
      <c r="A1459" t="s">
        <v>7092</v>
      </c>
      <c r="B1459" s="1">
        <v>650</v>
      </c>
      <c r="C1459" s="1">
        <v>23165</v>
      </c>
      <c r="D1459">
        <v>35.85</v>
      </c>
      <c r="E1459">
        <v>36</v>
      </c>
      <c r="F1459">
        <v>35.299999999999997</v>
      </c>
      <c r="G1459">
        <v>35.299999999999997</v>
      </c>
      <c r="H1459">
        <v>-0.2</v>
      </c>
      <c r="I1459" s="1">
        <v>455</v>
      </c>
    </row>
    <row r="1460" spans="1:9" x14ac:dyDescent="0.25">
      <c r="A1460" t="s">
        <v>7093</v>
      </c>
      <c r="B1460" s="1">
        <v>618</v>
      </c>
      <c r="C1460" s="1">
        <v>22026</v>
      </c>
      <c r="D1460">
        <v>35.450000000000003</v>
      </c>
      <c r="E1460">
        <v>35.9</v>
      </c>
      <c r="F1460">
        <v>35.200000000000003</v>
      </c>
      <c r="G1460">
        <v>35.5</v>
      </c>
      <c r="H1460">
        <v>0.2</v>
      </c>
      <c r="I1460" s="1">
        <v>376</v>
      </c>
    </row>
    <row r="1461" spans="1:9" x14ac:dyDescent="0.25">
      <c r="A1461" t="s">
        <v>7094</v>
      </c>
      <c r="B1461" s="1">
        <v>620</v>
      </c>
      <c r="C1461" s="1">
        <v>22034</v>
      </c>
      <c r="D1461">
        <v>35.65</v>
      </c>
      <c r="E1461">
        <v>35.75</v>
      </c>
      <c r="F1461">
        <v>35.35</v>
      </c>
      <c r="G1461">
        <v>35.4</v>
      </c>
      <c r="H1461">
        <v>-0.1</v>
      </c>
      <c r="I1461" s="1">
        <v>413</v>
      </c>
    </row>
    <row r="1462" spans="1:9" x14ac:dyDescent="0.25">
      <c r="A1462" t="s">
        <v>973</v>
      </c>
      <c r="B1462" s="1"/>
      <c r="C1462" s="1"/>
      <c r="I1462" s="1"/>
    </row>
    <row r="1465" spans="1:9" x14ac:dyDescent="0.25">
      <c r="A1465" s="9" t="s">
        <v>7052</v>
      </c>
      <c r="B1465" s="1">
        <v>903</v>
      </c>
      <c r="C1465" s="1">
        <v>29142</v>
      </c>
      <c r="D1465">
        <v>32.35</v>
      </c>
      <c r="E1465">
        <v>32.9</v>
      </c>
      <c r="F1465">
        <v>31.6</v>
      </c>
      <c r="G1465">
        <v>32.799999999999997</v>
      </c>
      <c r="H1465">
        <v>0.3</v>
      </c>
      <c r="I1465" s="1">
        <v>511</v>
      </c>
    </row>
    <row r="1466" spans="1:9" x14ac:dyDescent="0.25">
      <c r="A1466" t="s">
        <v>7053</v>
      </c>
      <c r="B1466" s="1">
        <v>787</v>
      </c>
      <c r="C1466" s="1">
        <v>26028</v>
      </c>
      <c r="D1466">
        <v>33</v>
      </c>
      <c r="E1466">
        <v>33.35</v>
      </c>
      <c r="F1466">
        <v>32.9</v>
      </c>
      <c r="G1466">
        <v>33.200000000000003</v>
      </c>
      <c r="H1466">
        <v>0.4</v>
      </c>
      <c r="I1466" s="1">
        <v>455</v>
      </c>
    </row>
    <row r="1467" spans="1:9" x14ac:dyDescent="0.25">
      <c r="A1467" t="s">
        <v>7054</v>
      </c>
      <c r="B1467" s="1">
        <v>588</v>
      </c>
      <c r="C1467" s="1">
        <v>19159</v>
      </c>
      <c r="D1467">
        <v>32.799999999999997</v>
      </c>
      <c r="E1467">
        <v>33.049999999999997</v>
      </c>
      <c r="F1467">
        <v>32.35</v>
      </c>
      <c r="G1467">
        <v>32.450000000000003</v>
      </c>
      <c r="H1467">
        <v>-0.75</v>
      </c>
      <c r="I1467" s="1">
        <v>336</v>
      </c>
    </row>
    <row r="1468" spans="1:9" x14ac:dyDescent="0.25">
      <c r="A1468" t="s">
        <v>7055</v>
      </c>
      <c r="B1468" s="1">
        <v>444</v>
      </c>
      <c r="C1468" s="1">
        <v>14382</v>
      </c>
      <c r="D1468">
        <v>32.5</v>
      </c>
      <c r="E1468">
        <v>32.700000000000003</v>
      </c>
      <c r="F1468">
        <v>32.200000000000003</v>
      </c>
      <c r="G1468">
        <v>32.6</v>
      </c>
      <c r="H1468">
        <v>0.15</v>
      </c>
      <c r="I1468" s="1">
        <v>317</v>
      </c>
    </row>
    <row r="1469" spans="1:9" x14ac:dyDescent="0.25">
      <c r="A1469" t="s">
        <v>7056</v>
      </c>
      <c r="B1469" s="1">
        <v>1735</v>
      </c>
      <c r="C1469" s="1">
        <v>57621</v>
      </c>
      <c r="D1469">
        <v>32.75</v>
      </c>
      <c r="E1469">
        <v>33.450000000000003</v>
      </c>
      <c r="F1469">
        <v>32.6</v>
      </c>
      <c r="G1469">
        <v>33.35</v>
      </c>
      <c r="H1469">
        <v>0.75</v>
      </c>
      <c r="I1469" s="1">
        <v>786</v>
      </c>
    </row>
    <row r="1470" spans="1:9" x14ac:dyDescent="0.25">
      <c r="A1470" t="s">
        <v>7057</v>
      </c>
      <c r="B1470" s="1">
        <v>427</v>
      </c>
      <c r="C1470" s="1">
        <v>14017</v>
      </c>
      <c r="D1470">
        <v>32.5</v>
      </c>
      <c r="E1470">
        <v>33.1</v>
      </c>
      <c r="F1470">
        <v>32.5</v>
      </c>
      <c r="G1470">
        <v>33.1</v>
      </c>
      <c r="H1470">
        <v>-0.25</v>
      </c>
      <c r="I1470" s="1">
        <v>284</v>
      </c>
    </row>
    <row r="1471" spans="1:9" x14ac:dyDescent="0.25">
      <c r="A1471" t="s">
        <v>7058</v>
      </c>
      <c r="B1471" s="1">
        <v>1412</v>
      </c>
      <c r="C1471" s="1">
        <v>47533</v>
      </c>
      <c r="D1471">
        <v>32.700000000000003</v>
      </c>
      <c r="E1471">
        <v>34.299999999999997</v>
      </c>
      <c r="F1471">
        <v>32.700000000000003</v>
      </c>
      <c r="G1471">
        <v>33.799999999999997</v>
      </c>
      <c r="H1471">
        <v>0.7</v>
      </c>
      <c r="I1471" s="1">
        <v>811</v>
      </c>
    </row>
    <row r="1472" spans="1:9" x14ac:dyDescent="0.25">
      <c r="A1472" t="s">
        <v>7059</v>
      </c>
      <c r="B1472" s="1">
        <v>882</v>
      </c>
      <c r="C1472" s="1">
        <v>30217</v>
      </c>
      <c r="D1472">
        <v>34.1</v>
      </c>
      <c r="E1472">
        <v>34.799999999999997</v>
      </c>
      <c r="F1472">
        <v>33.950000000000003</v>
      </c>
      <c r="G1472">
        <v>33.950000000000003</v>
      </c>
      <c r="H1472">
        <v>0.15</v>
      </c>
      <c r="I1472" s="1">
        <v>530</v>
      </c>
    </row>
    <row r="1473" spans="1:9" x14ac:dyDescent="0.25">
      <c r="A1473" t="s">
        <v>7060</v>
      </c>
      <c r="B1473" s="1">
        <v>666</v>
      </c>
      <c r="C1473" s="1">
        <v>22260</v>
      </c>
      <c r="D1473">
        <v>33.6</v>
      </c>
      <c r="E1473">
        <v>34.200000000000003</v>
      </c>
      <c r="F1473">
        <v>33</v>
      </c>
      <c r="G1473">
        <v>33</v>
      </c>
      <c r="H1473">
        <v>-0.95</v>
      </c>
      <c r="I1473" s="1">
        <v>413</v>
      </c>
    </row>
    <row r="1474" spans="1:9" x14ac:dyDescent="0.25">
      <c r="A1474" t="s">
        <v>7061</v>
      </c>
      <c r="B1474" s="1">
        <v>330</v>
      </c>
      <c r="C1474" s="1">
        <v>10922</v>
      </c>
      <c r="D1474">
        <v>32.700000000000003</v>
      </c>
      <c r="E1474">
        <v>33.299999999999997</v>
      </c>
      <c r="F1474">
        <v>32.700000000000003</v>
      </c>
      <c r="G1474">
        <v>33</v>
      </c>
      <c r="H1474">
        <v>0</v>
      </c>
      <c r="I1474" s="1">
        <v>224</v>
      </c>
    </row>
    <row r="1475" spans="1:9" x14ac:dyDescent="0.25">
      <c r="A1475" t="s">
        <v>7062</v>
      </c>
      <c r="B1475" s="1">
        <v>266</v>
      </c>
      <c r="C1475" s="1">
        <v>8826</v>
      </c>
      <c r="D1475">
        <v>32.799999999999997</v>
      </c>
      <c r="E1475">
        <v>33.25</v>
      </c>
      <c r="F1475">
        <v>32.799999999999997</v>
      </c>
      <c r="G1475">
        <v>33.25</v>
      </c>
      <c r="H1475">
        <v>0.25</v>
      </c>
      <c r="I1475" s="1">
        <v>192</v>
      </c>
    </row>
    <row r="1476" spans="1:9" x14ac:dyDescent="0.25">
      <c r="A1476" t="s">
        <v>7063</v>
      </c>
      <c r="B1476" s="1">
        <v>305</v>
      </c>
      <c r="C1476" s="1">
        <v>10221</v>
      </c>
      <c r="D1476">
        <v>33.25</v>
      </c>
      <c r="E1476">
        <v>33.75</v>
      </c>
      <c r="F1476">
        <v>33.1</v>
      </c>
      <c r="G1476">
        <v>33.5</v>
      </c>
      <c r="H1476">
        <v>0.25</v>
      </c>
      <c r="I1476" s="1">
        <v>233</v>
      </c>
    </row>
    <row r="1477" spans="1:9" x14ac:dyDescent="0.25">
      <c r="A1477" t="s">
        <v>7064</v>
      </c>
      <c r="B1477" s="1">
        <v>397</v>
      </c>
      <c r="C1477" s="1">
        <v>13123</v>
      </c>
      <c r="D1477">
        <v>33.700000000000003</v>
      </c>
      <c r="E1477">
        <v>33.700000000000003</v>
      </c>
      <c r="F1477">
        <v>32.75</v>
      </c>
      <c r="G1477">
        <v>32.75</v>
      </c>
      <c r="H1477">
        <v>-0.75</v>
      </c>
      <c r="I1477" s="1">
        <v>260</v>
      </c>
    </row>
    <row r="1478" spans="1:9" x14ac:dyDescent="0.25">
      <c r="A1478" t="s">
        <v>7065</v>
      </c>
      <c r="B1478" s="1">
        <v>320</v>
      </c>
      <c r="C1478" s="1">
        <v>10510</v>
      </c>
      <c r="D1478">
        <v>33.299999999999997</v>
      </c>
      <c r="E1478">
        <v>33.299999999999997</v>
      </c>
      <c r="F1478">
        <v>32.65</v>
      </c>
      <c r="G1478">
        <v>32.65</v>
      </c>
      <c r="H1478">
        <v>-0.1</v>
      </c>
      <c r="I1478" s="1">
        <v>223</v>
      </c>
    </row>
    <row r="1479" spans="1:9" x14ac:dyDescent="0.25">
      <c r="A1479" t="s">
        <v>7066</v>
      </c>
      <c r="B1479" s="1">
        <v>348</v>
      </c>
      <c r="C1479" s="1">
        <v>11307</v>
      </c>
      <c r="D1479">
        <v>32.700000000000003</v>
      </c>
      <c r="E1479">
        <v>32.9</v>
      </c>
      <c r="F1479">
        <v>32.25</v>
      </c>
      <c r="G1479">
        <v>32.25</v>
      </c>
      <c r="H1479">
        <v>-0.4</v>
      </c>
      <c r="I1479" s="1">
        <v>198</v>
      </c>
    </row>
    <row r="1480" spans="1:9" x14ac:dyDescent="0.25">
      <c r="A1480" t="s">
        <v>7067</v>
      </c>
      <c r="B1480" s="1">
        <v>289</v>
      </c>
      <c r="C1480" s="1">
        <v>9370</v>
      </c>
      <c r="D1480">
        <v>32.700000000000003</v>
      </c>
      <c r="E1480">
        <v>32.700000000000003</v>
      </c>
      <c r="F1480">
        <v>32.25</v>
      </c>
      <c r="G1480">
        <v>32.299999999999997</v>
      </c>
      <c r="H1480">
        <v>0.05</v>
      </c>
      <c r="I1480" s="1">
        <v>156</v>
      </c>
    </row>
    <row r="1481" spans="1:9" x14ac:dyDescent="0.25">
      <c r="A1481" t="s">
        <v>7068</v>
      </c>
      <c r="B1481" s="1">
        <v>455</v>
      </c>
      <c r="C1481" s="1">
        <v>15036</v>
      </c>
      <c r="D1481">
        <v>32.700000000000003</v>
      </c>
      <c r="E1481">
        <v>33.25</v>
      </c>
      <c r="F1481">
        <v>32.6</v>
      </c>
      <c r="G1481">
        <v>33.200000000000003</v>
      </c>
      <c r="H1481">
        <v>0.9</v>
      </c>
      <c r="I1481" s="1">
        <v>330</v>
      </c>
    </row>
    <row r="1482" spans="1:9" x14ac:dyDescent="0.25">
      <c r="A1482" t="s">
        <v>7069</v>
      </c>
      <c r="B1482" s="1">
        <v>1157</v>
      </c>
      <c r="C1482" s="1">
        <v>39216</v>
      </c>
      <c r="D1482">
        <v>33.6</v>
      </c>
      <c r="E1482">
        <v>34.15</v>
      </c>
      <c r="F1482">
        <v>33.5</v>
      </c>
      <c r="G1482">
        <v>34</v>
      </c>
      <c r="H1482">
        <v>0.8</v>
      </c>
      <c r="I1482" s="1">
        <v>682</v>
      </c>
    </row>
    <row r="1483" spans="1:9" x14ac:dyDescent="0.25">
      <c r="A1483" t="s">
        <v>7070</v>
      </c>
      <c r="B1483" s="1">
        <v>545</v>
      </c>
      <c r="C1483" s="1">
        <v>18418</v>
      </c>
      <c r="D1483">
        <v>34</v>
      </c>
      <c r="E1483">
        <v>34.15</v>
      </c>
      <c r="F1483">
        <v>33.549999999999997</v>
      </c>
      <c r="G1483">
        <v>33.65</v>
      </c>
      <c r="H1483">
        <v>-0.35</v>
      </c>
      <c r="I1483" s="1">
        <v>370</v>
      </c>
    </row>
    <row r="1484" spans="1:9" x14ac:dyDescent="0.25">
      <c r="A1484" t="s">
        <v>7071</v>
      </c>
      <c r="B1484" s="1">
        <v>350</v>
      </c>
      <c r="C1484" s="1">
        <v>11750</v>
      </c>
      <c r="D1484">
        <v>33.299999999999997</v>
      </c>
      <c r="E1484">
        <v>33.85</v>
      </c>
      <c r="F1484">
        <v>33.299999999999997</v>
      </c>
      <c r="G1484">
        <v>33.799999999999997</v>
      </c>
      <c r="H1484">
        <v>0.15</v>
      </c>
      <c r="I1484" s="1">
        <v>252</v>
      </c>
    </row>
    <row r="1485" spans="1:9" x14ac:dyDescent="0.25">
      <c r="A1485" t="s">
        <v>7072</v>
      </c>
      <c r="B1485" s="1">
        <v>1208</v>
      </c>
      <c r="C1485" s="1">
        <v>41488</v>
      </c>
      <c r="D1485">
        <v>34</v>
      </c>
      <c r="E1485">
        <v>34.6</v>
      </c>
      <c r="F1485">
        <v>33.85</v>
      </c>
      <c r="G1485">
        <v>34.549999999999997</v>
      </c>
      <c r="H1485">
        <v>0.75</v>
      </c>
      <c r="I1485" s="1">
        <v>746</v>
      </c>
    </row>
    <row r="1486" spans="1:9" x14ac:dyDescent="0.25">
      <c r="A1486" t="s">
        <v>7073</v>
      </c>
      <c r="B1486" s="1">
        <v>939</v>
      </c>
      <c r="C1486" s="1">
        <v>32579</v>
      </c>
      <c r="D1486">
        <v>34.799999999999997</v>
      </c>
      <c r="E1486">
        <v>34.950000000000003</v>
      </c>
      <c r="F1486">
        <v>34.5</v>
      </c>
      <c r="G1486">
        <v>34.5</v>
      </c>
      <c r="H1486">
        <v>-0.05</v>
      </c>
      <c r="I1486" s="1">
        <v>548</v>
      </c>
    </row>
    <row r="1487" spans="1:9" x14ac:dyDescent="0.25">
      <c r="A1487" t="s">
        <v>1177</v>
      </c>
      <c r="B1487" s="1"/>
      <c r="C1487" s="1"/>
      <c r="I1487" s="1"/>
    </row>
    <row r="1489" spans="1:9" x14ac:dyDescent="0.25">
      <c r="A1489" s="9" t="s">
        <v>7030</v>
      </c>
      <c r="B1489" s="1">
        <v>1115</v>
      </c>
      <c r="C1489" s="1">
        <v>43018</v>
      </c>
      <c r="D1489">
        <v>38.200000000000003</v>
      </c>
      <c r="E1489">
        <v>39</v>
      </c>
      <c r="F1489">
        <v>38.1</v>
      </c>
      <c r="G1489">
        <v>38.450000000000003</v>
      </c>
      <c r="H1489">
        <v>0.25</v>
      </c>
      <c r="I1489" s="1">
        <v>757</v>
      </c>
    </row>
    <row r="1490" spans="1:9" x14ac:dyDescent="0.25">
      <c r="A1490" t="s">
        <v>7031</v>
      </c>
      <c r="B1490" s="1">
        <v>985</v>
      </c>
      <c r="C1490" s="1">
        <v>38174</v>
      </c>
      <c r="D1490">
        <v>38.950000000000003</v>
      </c>
      <c r="E1490">
        <v>39</v>
      </c>
      <c r="F1490">
        <v>38.6</v>
      </c>
      <c r="G1490">
        <v>38.65</v>
      </c>
      <c r="H1490">
        <v>0.2</v>
      </c>
      <c r="I1490" s="1">
        <v>559</v>
      </c>
    </row>
    <row r="1491" spans="1:9" x14ac:dyDescent="0.25">
      <c r="A1491" t="s">
        <v>7032</v>
      </c>
      <c r="B1491" s="1">
        <v>664</v>
      </c>
      <c r="C1491" s="1">
        <v>25647</v>
      </c>
      <c r="D1491">
        <v>38.65</v>
      </c>
      <c r="E1491">
        <v>38.799999999999997</v>
      </c>
      <c r="F1491">
        <v>38.5</v>
      </c>
      <c r="G1491">
        <v>38.5</v>
      </c>
      <c r="H1491">
        <v>-0.15</v>
      </c>
      <c r="I1491" s="1">
        <v>417</v>
      </c>
    </row>
    <row r="1492" spans="1:9" x14ac:dyDescent="0.25">
      <c r="A1492" t="s">
        <v>7033</v>
      </c>
      <c r="B1492" s="1">
        <v>1225</v>
      </c>
      <c r="C1492" s="1">
        <v>46701</v>
      </c>
      <c r="D1492">
        <v>38.5</v>
      </c>
      <c r="E1492">
        <v>38.6</v>
      </c>
      <c r="F1492">
        <v>37.799999999999997</v>
      </c>
      <c r="G1492">
        <v>38.450000000000003</v>
      </c>
      <c r="H1492">
        <v>-0.05</v>
      </c>
      <c r="I1492" s="1">
        <v>607</v>
      </c>
    </row>
    <row r="1493" spans="1:9" x14ac:dyDescent="0.25">
      <c r="A1493" t="s">
        <v>7034</v>
      </c>
      <c r="B1493" s="1">
        <v>1066</v>
      </c>
      <c r="C1493" s="1">
        <v>40685</v>
      </c>
      <c r="D1493">
        <v>38.450000000000003</v>
      </c>
      <c r="E1493">
        <v>38.450000000000003</v>
      </c>
      <c r="F1493">
        <v>38</v>
      </c>
      <c r="G1493">
        <v>38</v>
      </c>
      <c r="H1493">
        <v>-0.45</v>
      </c>
      <c r="I1493" s="1">
        <v>574</v>
      </c>
    </row>
    <row r="1494" spans="1:9" x14ac:dyDescent="0.25">
      <c r="A1494" t="s">
        <v>7035</v>
      </c>
      <c r="B1494" s="1">
        <v>1031</v>
      </c>
      <c r="C1494" s="1">
        <v>38866</v>
      </c>
      <c r="D1494">
        <v>38</v>
      </c>
      <c r="E1494">
        <v>38.15</v>
      </c>
      <c r="F1494">
        <v>37.549999999999997</v>
      </c>
      <c r="G1494">
        <v>37.6</v>
      </c>
      <c r="H1494">
        <v>-0.4</v>
      </c>
      <c r="I1494" s="1">
        <v>536</v>
      </c>
    </row>
    <row r="1495" spans="1:9" x14ac:dyDescent="0.25">
      <c r="A1495" t="s">
        <v>7036</v>
      </c>
      <c r="B1495" s="1">
        <v>891</v>
      </c>
      <c r="C1495" s="1">
        <v>33314</v>
      </c>
      <c r="D1495">
        <v>37.9</v>
      </c>
      <c r="E1495">
        <v>37.9</v>
      </c>
      <c r="F1495">
        <v>37.200000000000003</v>
      </c>
      <c r="G1495">
        <v>37.200000000000003</v>
      </c>
      <c r="H1495">
        <v>-0.4</v>
      </c>
      <c r="I1495" s="1">
        <v>508</v>
      </c>
    </row>
    <row r="1496" spans="1:9" x14ac:dyDescent="0.25">
      <c r="A1496" t="s">
        <v>7037</v>
      </c>
      <c r="B1496" s="1">
        <v>1311</v>
      </c>
      <c r="C1496" s="1">
        <v>48455</v>
      </c>
      <c r="D1496">
        <v>37.200000000000003</v>
      </c>
      <c r="E1496">
        <v>37.200000000000003</v>
      </c>
      <c r="F1496">
        <v>36.799999999999997</v>
      </c>
      <c r="G1496">
        <v>37.200000000000003</v>
      </c>
      <c r="H1496">
        <v>0</v>
      </c>
      <c r="I1496" s="1">
        <v>640</v>
      </c>
    </row>
    <row r="1497" spans="1:9" x14ac:dyDescent="0.25">
      <c r="A1497" t="s">
        <v>7038</v>
      </c>
      <c r="B1497" s="1">
        <v>758</v>
      </c>
      <c r="C1497" s="1">
        <v>28096</v>
      </c>
      <c r="D1497">
        <v>37.200000000000003</v>
      </c>
      <c r="E1497">
        <v>37.35</v>
      </c>
      <c r="F1497">
        <v>36.799999999999997</v>
      </c>
      <c r="G1497">
        <v>37.25</v>
      </c>
      <c r="H1497">
        <v>0.05</v>
      </c>
      <c r="I1497" s="1">
        <v>520</v>
      </c>
    </row>
    <row r="1498" spans="1:9" x14ac:dyDescent="0.25">
      <c r="A1498" t="s">
        <v>7039</v>
      </c>
      <c r="B1498" s="1">
        <v>617</v>
      </c>
      <c r="C1498" s="1">
        <v>22823</v>
      </c>
      <c r="D1498">
        <v>37.25</v>
      </c>
      <c r="E1498">
        <v>37.25</v>
      </c>
      <c r="F1498">
        <v>36.85</v>
      </c>
      <c r="G1498">
        <v>36.9</v>
      </c>
      <c r="H1498">
        <v>-0.35</v>
      </c>
      <c r="I1498" s="1">
        <v>368</v>
      </c>
    </row>
    <row r="1499" spans="1:9" x14ac:dyDescent="0.25">
      <c r="A1499" t="s">
        <v>7040</v>
      </c>
      <c r="B1499" s="1">
        <v>531</v>
      </c>
      <c r="C1499" s="1">
        <v>19703</v>
      </c>
      <c r="D1499">
        <v>37.299999999999997</v>
      </c>
      <c r="E1499">
        <v>37.299999999999997</v>
      </c>
      <c r="F1499">
        <v>36.950000000000003</v>
      </c>
      <c r="G1499">
        <v>37.1</v>
      </c>
      <c r="H1499">
        <v>0.2</v>
      </c>
      <c r="I1499" s="1">
        <v>349</v>
      </c>
    </row>
    <row r="1500" spans="1:9" x14ac:dyDescent="0.25">
      <c r="A1500" t="s">
        <v>7041</v>
      </c>
      <c r="B1500" s="1">
        <v>1924</v>
      </c>
      <c r="C1500" s="1">
        <v>73268</v>
      </c>
      <c r="D1500">
        <v>37.5</v>
      </c>
      <c r="E1500">
        <v>38.549999999999997</v>
      </c>
      <c r="F1500">
        <v>37.5</v>
      </c>
      <c r="G1500">
        <v>37.9</v>
      </c>
      <c r="H1500">
        <v>0.8</v>
      </c>
      <c r="I1500" s="1">
        <v>1077</v>
      </c>
    </row>
    <row r="1501" spans="1:9" x14ac:dyDescent="0.25">
      <c r="A1501" t="s">
        <v>7042</v>
      </c>
      <c r="B1501" s="1">
        <v>468</v>
      </c>
      <c r="C1501" s="1">
        <v>17676</v>
      </c>
      <c r="D1501">
        <v>38.200000000000003</v>
      </c>
      <c r="E1501">
        <v>38.299999999999997</v>
      </c>
      <c r="F1501">
        <v>37.6</v>
      </c>
      <c r="G1501">
        <v>37.6</v>
      </c>
      <c r="H1501">
        <v>-0.3</v>
      </c>
      <c r="I1501" s="1">
        <v>344</v>
      </c>
    </row>
    <row r="1502" spans="1:9" x14ac:dyDescent="0.25">
      <c r="A1502" t="s">
        <v>7043</v>
      </c>
      <c r="B1502" s="1">
        <v>394</v>
      </c>
      <c r="C1502" s="1">
        <v>14716</v>
      </c>
      <c r="D1502">
        <v>37.6</v>
      </c>
      <c r="E1502">
        <v>37.6</v>
      </c>
      <c r="F1502">
        <v>37.200000000000003</v>
      </c>
      <c r="G1502">
        <v>37.35</v>
      </c>
      <c r="H1502">
        <v>-0.25</v>
      </c>
      <c r="I1502" s="1">
        <v>287</v>
      </c>
    </row>
    <row r="1503" spans="1:9" x14ac:dyDescent="0.25">
      <c r="A1503" t="s">
        <v>7044</v>
      </c>
      <c r="B1503" s="1">
        <v>779</v>
      </c>
      <c r="C1503" s="1">
        <v>28726</v>
      </c>
      <c r="D1503">
        <v>36.950000000000003</v>
      </c>
      <c r="E1503">
        <v>37.1</v>
      </c>
      <c r="F1503">
        <v>36.6</v>
      </c>
      <c r="G1503">
        <v>36.799999999999997</v>
      </c>
      <c r="H1503">
        <v>-0.55000000000000004</v>
      </c>
      <c r="I1503" s="1">
        <v>485</v>
      </c>
    </row>
    <row r="1504" spans="1:9" x14ac:dyDescent="0.25">
      <c r="A1504" t="s">
        <v>7045</v>
      </c>
      <c r="B1504" s="1">
        <v>691</v>
      </c>
      <c r="C1504" s="1">
        <v>25369</v>
      </c>
      <c r="D1504">
        <v>36.799999999999997</v>
      </c>
      <c r="E1504">
        <v>37</v>
      </c>
      <c r="F1504">
        <v>36.4</v>
      </c>
      <c r="G1504">
        <v>37</v>
      </c>
      <c r="H1504">
        <v>0.2</v>
      </c>
      <c r="I1504" s="1">
        <v>382</v>
      </c>
    </row>
    <row r="1505" spans="1:9" x14ac:dyDescent="0.25">
      <c r="A1505" t="s">
        <v>7046</v>
      </c>
      <c r="B1505" s="1">
        <v>882</v>
      </c>
      <c r="C1505" s="1">
        <v>32191</v>
      </c>
      <c r="D1505">
        <v>36.5</v>
      </c>
      <c r="E1505">
        <v>36.75</v>
      </c>
      <c r="F1505">
        <v>36.35</v>
      </c>
      <c r="G1505">
        <v>36.4</v>
      </c>
      <c r="H1505">
        <v>-0.6</v>
      </c>
      <c r="I1505" s="1">
        <v>551</v>
      </c>
    </row>
    <row r="1506" spans="1:9" x14ac:dyDescent="0.25">
      <c r="A1506" t="s">
        <v>7047</v>
      </c>
      <c r="B1506" s="1">
        <v>741</v>
      </c>
      <c r="C1506" s="1">
        <v>26826</v>
      </c>
      <c r="D1506">
        <v>36.4</v>
      </c>
      <c r="E1506">
        <v>36.700000000000003</v>
      </c>
      <c r="F1506">
        <v>35.799999999999997</v>
      </c>
      <c r="G1506">
        <v>35.799999999999997</v>
      </c>
      <c r="H1506">
        <v>-0.6</v>
      </c>
      <c r="I1506" s="1">
        <v>429</v>
      </c>
    </row>
    <row r="1507" spans="1:9" x14ac:dyDescent="0.25">
      <c r="A1507" t="s">
        <v>7048</v>
      </c>
      <c r="B1507" s="1">
        <v>2031</v>
      </c>
      <c r="C1507" s="1">
        <v>70057</v>
      </c>
      <c r="D1507">
        <v>35.799999999999997</v>
      </c>
      <c r="E1507">
        <v>35.950000000000003</v>
      </c>
      <c r="F1507">
        <v>33.799999999999997</v>
      </c>
      <c r="G1507">
        <v>33.799999999999997</v>
      </c>
      <c r="H1507">
        <v>-2</v>
      </c>
      <c r="I1507" s="1">
        <v>1037</v>
      </c>
    </row>
    <row r="1508" spans="1:9" x14ac:dyDescent="0.25">
      <c r="A1508" t="s">
        <v>7049</v>
      </c>
      <c r="B1508" s="1">
        <v>1113</v>
      </c>
      <c r="C1508" s="1">
        <v>37366</v>
      </c>
      <c r="D1508">
        <v>34.200000000000003</v>
      </c>
      <c r="E1508">
        <v>34.5</v>
      </c>
      <c r="F1508">
        <v>32.85</v>
      </c>
      <c r="G1508">
        <v>32.85</v>
      </c>
      <c r="H1508">
        <v>-0.95</v>
      </c>
      <c r="I1508" s="1">
        <v>656</v>
      </c>
    </row>
    <row r="1509" spans="1:9" x14ac:dyDescent="0.25">
      <c r="A1509" t="s">
        <v>7050</v>
      </c>
      <c r="B1509" s="1">
        <v>591</v>
      </c>
      <c r="C1509" s="1">
        <v>19761</v>
      </c>
      <c r="D1509">
        <v>32.950000000000003</v>
      </c>
      <c r="E1509">
        <v>33.75</v>
      </c>
      <c r="F1509">
        <v>32.950000000000003</v>
      </c>
      <c r="G1509">
        <v>33.5</v>
      </c>
      <c r="H1509">
        <v>0.65</v>
      </c>
      <c r="I1509" s="1">
        <v>400</v>
      </c>
    </row>
    <row r="1510" spans="1:9" x14ac:dyDescent="0.25">
      <c r="A1510" t="s">
        <v>7051</v>
      </c>
      <c r="B1510" s="1">
        <v>1030</v>
      </c>
      <c r="C1510" s="1">
        <v>33889</v>
      </c>
      <c r="D1510">
        <v>33.5</v>
      </c>
      <c r="E1510">
        <v>33.700000000000003</v>
      </c>
      <c r="F1510">
        <v>32.5</v>
      </c>
      <c r="G1510">
        <v>32.5</v>
      </c>
      <c r="H1510">
        <v>-1</v>
      </c>
      <c r="I1510" s="1">
        <v>565</v>
      </c>
    </row>
    <row r="1511" spans="1:9" x14ac:dyDescent="0.25">
      <c r="A1511" t="s">
        <v>1177</v>
      </c>
      <c r="B1511" s="1"/>
      <c r="C1511" s="1"/>
      <c r="I1511" s="1"/>
    </row>
    <row r="1513" spans="1:9" x14ac:dyDescent="0.25">
      <c r="A1513" s="9" t="s">
        <v>7010</v>
      </c>
      <c r="B1513" s="1">
        <v>954</v>
      </c>
      <c r="C1513" s="1">
        <v>35086</v>
      </c>
      <c r="D1513">
        <v>36.549999999999997</v>
      </c>
      <c r="E1513">
        <v>36.950000000000003</v>
      </c>
      <c r="F1513">
        <v>36.549999999999997</v>
      </c>
      <c r="G1513">
        <v>36.75</v>
      </c>
      <c r="H1513">
        <v>0.2</v>
      </c>
      <c r="I1513" s="1">
        <v>429</v>
      </c>
    </row>
    <row r="1514" spans="1:9" x14ac:dyDescent="0.25">
      <c r="A1514" t="s">
        <v>7011</v>
      </c>
      <c r="B1514" s="1">
        <v>722</v>
      </c>
      <c r="C1514" s="1">
        <v>26774</v>
      </c>
      <c r="D1514">
        <v>36.799999999999997</v>
      </c>
      <c r="E1514">
        <v>37.25</v>
      </c>
      <c r="F1514">
        <v>36.799999999999997</v>
      </c>
      <c r="G1514">
        <v>37</v>
      </c>
      <c r="H1514">
        <v>0.25</v>
      </c>
      <c r="I1514" s="1">
        <v>480</v>
      </c>
    </row>
    <row r="1515" spans="1:9" x14ac:dyDescent="0.25">
      <c r="A1515" t="s">
        <v>7012</v>
      </c>
      <c r="B1515" s="1">
        <v>4027</v>
      </c>
      <c r="C1515" s="1">
        <v>154091</v>
      </c>
      <c r="D1515">
        <v>37.25</v>
      </c>
      <c r="E1515">
        <v>38.75</v>
      </c>
      <c r="F1515">
        <v>37.25</v>
      </c>
      <c r="G1515">
        <v>38.1</v>
      </c>
      <c r="H1515">
        <v>1.1000000000000001</v>
      </c>
      <c r="I1515" s="1">
        <v>2102</v>
      </c>
    </row>
    <row r="1516" spans="1:9" x14ac:dyDescent="0.25">
      <c r="A1516" t="s">
        <v>7013</v>
      </c>
      <c r="B1516" s="1">
        <v>1095</v>
      </c>
      <c r="C1516" s="1">
        <v>41373</v>
      </c>
      <c r="D1516">
        <v>38.200000000000003</v>
      </c>
      <c r="E1516">
        <v>38.299999999999997</v>
      </c>
      <c r="F1516">
        <v>37.6</v>
      </c>
      <c r="G1516">
        <v>37.6</v>
      </c>
      <c r="H1516">
        <v>-0.5</v>
      </c>
      <c r="I1516" s="1">
        <v>644</v>
      </c>
    </row>
    <row r="1517" spans="1:9" x14ac:dyDescent="0.25">
      <c r="A1517" t="s">
        <v>7014</v>
      </c>
      <c r="B1517" s="1">
        <v>952</v>
      </c>
      <c r="C1517" s="1">
        <v>35971</v>
      </c>
      <c r="D1517">
        <v>37.9</v>
      </c>
      <c r="E1517">
        <v>38.200000000000003</v>
      </c>
      <c r="F1517">
        <v>37.65</v>
      </c>
      <c r="G1517">
        <v>37.65</v>
      </c>
      <c r="H1517">
        <v>0.05</v>
      </c>
      <c r="I1517" s="1">
        <v>578</v>
      </c>
    </row>
    <row r="1518" spans="1:9" x14ac:dyDescent="0.25">
      <c r="A1518" t="s">
        <v>7015</v>
      </c>
      <c r="B1518" s="1">
        <v>2113</v>
      </c>
      <c r="C1518" s="1">
        <v>77967</v>
      </c>
      <c r="D1518">
        <v>37.299999999999997</v>
      </c>
      <c r="E1518">
        <v>37.35</v>
      </c>
      <c r="F1518">
        <v>36.549999999999997</v>
      </c>
      <c r="G1518">
        <v>36.799999999999997</v>
      </c>
      <c r="H1518">
        <v>-0.85</v>
      </c>
      <c r="I1518" s="1">
        <v>1067</v>
      </c>
    </row>
    <row r="1519" spans="1:9" x14ac:dyDescent="0.25">
      <c r="A1519" t="s">
        <v>7016</v>
      </c>
      <c r="B1519" s="1">
        <v>1118</v>
      </c>
      <c r="C1519" s="1">
        <v>41458</v>
      </c>
      <c r="D1519">
        <v>36.799999999999997</v>
      </c>
      <c r="E1519">
        <v>37.35</v>
      </c>
      <c r="F1519">
        <v>36.799999999999997</v>
      </c>
      <c r="G1519">
        <v>37.35</v>
      </c>
      <c r="H1519">
        <v>0.55000000000000004</v>
      </c>
      <c r="I1519" s="1">
        <v>567</v>
      </c>
    </row>
    <row r="1520" spans="1:9" x14ac:dyDescent="0.25">
      <c r="A1520" t="s">
        <v>7017</v>
      </c>
      <c r="B1520" s="1">
        <v>3389</v>
      </c>
      <c r="C1520" s="1">
        <v>129490</v>
      </c>
      <c r="D1520">
        <v>38.299999999999997</v>
      </c>
      <c r="E1520">
        <v>38.5</v>
      </c>
      <c r="F1520">
        <v>37.799999999999997</v>
      </c>
      <c r="G1520">
        <v>37.85</v>
      </c>
      <c r="H1520">
        <v>0.5</v>
      </c>
      <c r="I1520" s="1">
        <v>1634</v>
      </c>
    </row>
    <row r="1521" spans="1:9" x14ac:dyDescent="0.25">
      <c r="A1521" t="s">
        <v>7018</v>
      </c>
      <c r="B1521" s="1">
        <v>5437</v>
      </c>
      <c r="C1521" s="1">
        <v>210951</v>
      </c>
      <c r="D1521">
        <v>38</v>
      </c>
      <c r="E1521">
        <v>39.25</v>
      </c>
      <c r="F1521">
        <v>37.9</v>
      </c>
      <c r="G1521">
        <v>39.049999999999997</v>
      </c>
      <c r="H1521">
        <v>1.2</v>
      </c>
      <c r="I1521" s="1">
        <v>2535</v>
      </c>
    </row>
    <row r="1522" spans="1:9" x14ac:dyDescent="0.25">
      <c r="A1522" t="s">
        <v>7019</v>
      </c>
      <c r="B1522" s="1">
        <v>6052</v>
      </c>
      <c r="C1522" s="1">
        <v>241627</v>
      </c>
      <c r="D1522">
        <v>40</v>
      </c>
      <c r="E1522">
        <v>40.450000000000003</v>
      </c>
      <c r="F1522">
        <v>39.299999999999997</v>
      </c>
      <c r="G1522">
        <v>39.799999999999997</v>
      </c>
      <c r="H1522">
        <v>0.75</v>
      </c>
      <c r="I1522" s="1">
        <v>3330</v>
      </c>
    </row>
    <row r="1523" spans="1:9" x14ac:dyDescent="0.25">
      <c r="A1523" t="s">
        <v>7020</v>
      </c>
      <c r="B1523" s="1">
        <v>4476</v>
      </c>
      <c r="C1523" s="1">
        <v>181620</v>
      </c>
      <c r="D1523">
        <v>40.299999999999997</v>
      </c>
      <c r="E1523">
        <v>41.2</v>
      </c>
      <c r="F1523">
        <v>40.1</v>
      </c>
      <c r="G1523">
        <v>40.1</v>
      </c>
      <c r="H1523">
        <v>0.3</v>
      </c>
      <c r="I1523" s="1">
        <v>2530</v>
      </c>
    </row>
    <row r="1524" spans="1:9" x14ac:dyDescent="0.25">
      <c r="A1524" t="s">
        <v>7021</v>
      </c>
      <c r="B1524" s="1">
        <v>2276</v>
      </c>
      <c r="C1524" s="1">
        <v>91091</v>
      </c>
      <c r="D1524">
        <v>40.200000000000003</v>
      </c>
      <c r="E1524">
        <v>40.299999999999997</v>
      </c>
      <c r="F1524">
        <v>39.75</v>
      </c>
      <c r="G1524">
        <v>40.1</v>
      </c>
      <c r="H1524">
        <v>0</v>
      </c>
      <c r="I1524" s="1">
        <v>1421</v>
      </c>
    </row>
    <row r="1525" spans="1:9" x14ac:dyDescent="0.25">
      <c r="A1525" t="s">
        <v>7022</v>
      </c>
      <c r="B1525" s="1">
        <v>1751</v>
      </c>
      <c r="C1525" s="1">
        <v>69496</v>
      </c>
      <c r="D1525">
        <v>40.299999999999997</v>
      </c>
      <c r="E1525">
        <v>40.299999999999997</v>
      </c>
      <c r="F1525">
        <v>39.5</v>
      </c>
      <c r="G1525">
        <v>39.6</v>
      </c>
      <c r="H1525">
        <v>-0.5</v>
      </c>
      <c r="I1525" s="1">
        <v>1197</v>
      </c>
    </row>
    <row r="1526" spans="1:9" x14ac:dyDescent="0.25">
      <c r="A1526" t="s">
        <v>7023</v>
      </c>
      <c r="B1526" s="1">
        <v>1383</v>
      </c>
      <c r="C1526" s="1">
        <v>54575</v>
      </c>
      <c r="D1526">
        <v>39.6</v>
      </c>
      <c r="E1526">
        <v>39.950000000000003</v>
      </c>
      <c r="F1526">
        <v>39.299999999999997</v>
      </c>
      <c r="G1526">
        <v>39.35</v>
      </c>
      <c r="H1526">
        <v>-0.25</v>
      </c>
      <c r="I1526" s="1">
        <v>783</v>
      </c>
    </row>
    <row r="1527" spans="1:9" x14ac:dyDescent="0.25">
      <c r="A1527" t="s">
        <v>7024</v>
      </c>
      <c r="B1527" s="1">
        <v>1040</v>
      </c>
      <c r="C1527" s="1">
        <v>40974</v>
      </c>
      <c r="D1527">
        <v>39.450000000000003</v>
      </c>
      <c r="E1527">
        <v>39.65</v>
      </c>
      <c r="F1527">
        <v>39.25</v>
      </c>
      <c r="G1527">
        <v>39.35</v>
      </c>
      <c r="H1527">
        <v>0</v>
      </c>
      <c r="I1527" s="1">
        <v>674</v>
      </c>
    </row>
    <row r="1528" spans="1:9" x14ac:dyDescent="0.25">
      <c r="A1528" t="s">
        <v>7025</v>
      </c>
      <c r="B1528" s="1">
        <v>1230</v>
      </c>
      <c r="C1528" s="1">
        <v>48162</v>
      </c>
      <c r="D1528">
        <v>39.35</v>
      </c>
      <c r="E1528">
        <v>39.5</v>
      </c>
      <c r="F1528">
        <v>38.9</v>
      </c>
      <c r="G1528">
        <v>39.1</v>
      </c>
      <c r="H1528">
        <v>-0.25</v>
      </c>
      <c r="I1528" s="1">
        <v>712</v>
      </c>
    </row>
    <row r="1529" spans="1:9" x14ac:dyDescent="0.25">
      <c r="A1529" t="s">
        <v>7026</v>
      </c>
      <c r="B1529" s="1">
        <v>1767</v>
      </c>
      <c r="C1529" s="1">
        <v>68655</v>
      </c>
      <c r="D1529">
        <v>39.4</v>
      </c>
      <c r="E1529">
        <v>39.5</v>
      </c>
      <c r="F1529">
        <v>38.549999999999997</v>
      </c>
      <c r="G1529">
        <v>39</v>
      </c>
      <c r="H1529">
        <v>-0.1</v>
      </c>
      <c r="I1529" s="1">
        <v>1005</v>
      </c>
    </row>
    <row r="1530" spans="1:9" x14ac:dyDescent="0.25">
      <c r="A1530" t="s">
        <v>7027</v>
      </c>
      <c r="B1530" s="1">
        <v>1588</v>
      </c>
      <c r="C1530" s="1">
        <v>61167</v>
      </c>
      <c r="D1530">
        <v>38.799999999999997</v>
      </c>
      <c r="E1530">
        <v>38.9</v>
      </c>
      <c r="F1530">
        <v>38.25</v>
      </c>
      <c r="G1530">
        <v>38.35</v>
      </c>
      <c r="H1530">
        <v>-0.65</v>
      </c>
      <c r="I1530" s="1">
        <v>693</v>
      </c>
    </row>
    <row r="1531" spans="1:9" x14ac:dyDescent="0.25">
      <c r="A1531" t="s">
        <v>7028</v>
      </c>
      <c r="B1531" s="1">
        <v>1764</v>
      </c>
      <c r="C1531" s="1">
        <v>67323</v>
      </c>
      <c r="D1531">
        <v>38.200000000000003</v>
      </c>
      <c r="E1531">
        <v>38.65</v>
      </c>
      <c r="F1531">
        <v>37.75</v>
      </c>
      <c r="G1531">
        <v>38.1</v>
      </c>
      <c r="H1531">
        <v>-0.25</v>
      </c>
      <c r="I1531" s="1">
        <v>925</v>
      </c>
    </row>
    <row r="1532" spans="1:9" x14ac:dyDescent="0.25">
      <c r="A1532" t="s">
        <v>7029</v>
      </c>
      <c r="B1532" s="1">
        <v>1521</v>
      </c>
      <c r="C1532" s="1">
        <v>57761</v>
      </c>
      <c r="D1532">
        <v>38.25</v>
      </c>
      <c r="E1532">
        <v>38.4</v>
      </c>
      <c r="F1532">
        <v>37.75</v>
      </c>
      <c r="G1532">
        <v>38.200000000000003</v>
      </c>
      <c r="H1532">
        <v>0.1</v>
      </c>
      <c r="I1532" s="1">
        <v>758</v>
      </c>
    </row>
    <row r="1533" spans="1:9" x14ac:dyDescent="0.25">
      <c r="A1533" t="s">
        <v>927</v>
      </c>
      <c r="B1533" s="1"/>
      <c r="C1533" s="1"/>
      <c r="I1533" s="1"/>
    </row>
    <row r="1537" spans="1:9" x14ac:dyDescent="0.25">
      <c r="A1537" s="9" t="s">
        <v>6988</v>
      </c>
      <c r="B1537" s="1">
        <v>1045</v>
      </c>
      <c r="C1537" s="1">
        <v>42514</v>
      </c>
      <c r="D1537">
        <v>40.5</v>
      </c>
      <c r="E1537">
        <v>40.950000000000003</v>
      </c>
      <c r="F1537">
        <v>40.4</v>
      </c>
      <c r="G1537">
        <v>40.75</v>
      </c>
      <c r="H1537">
        <v>0.25</v>
      </c>
      <c r="I1537" s="1">
        <v>555</v>
      </c>
    </row>
    <row r="1538" spans="1:9" x14ac:dyDescent="0.25">
      <c r="A1538" t="s">
        <v>6989</v>
      </c>
      <c r="B1538" s="1">
        <v>628</v>
      </c>
      <c r="C1538" s="1">
        <v>25398</v>
      </c>
      <c r="D1538">
        <v>40.75</v>
      </c>
      <c r="E1538">
        <v>40.75</v>
      </c>
      <c r="F1538">
        <v>40.200000000000003</v>
      </c>
      <c r="G1538">
        <v>40.25</v>
      </c>
      <c r="H1538">
        <v>-0.5</v>
      </c>
      <c r="I1538" s="1">
        <v>333</v>
      </c>
    </row>
    <row r="1539" spans="1:9" x14ac:dyDescent="0.25">
      <c r="A1539" t="s">
        <v>6990</v>
      </c>
      <c r="B1539" s="1">
        <v>798</v>
      </c>
      <c r="C1539" s="1">
        <v>32372</v>
      </c>
      <c r="D1539">
        <v>41</v>
      </c>
      <c r="E1539">
        <v>41</v>
      </c>
      <c r="F1539">
        <v>40.299999999999997</v>
      </c>
      <c r="G1539">
        <v>40.450000000000003</v>
      </c>
      <c r="H1539">
        <v>0.2</v>
      </c>
      <c r="I1539" s="1">
        <v>403</v>
      </c>
    </row>
    <row r="1540" spans="1:9" x14ac:dyDescent="0.25">
      <c r="A1540" t="s">
        <v>6991</v>
      </c>
      <c r="B1540" s="1">
        <v>1118</v>
      </c>
      <c r="C1540" s="1">
        <v>44563</v>
      </c>
      <c r="D1540">
        <v>40.6</v>
      </c>
      <c r="E1540">
        <v>40.6</v>
      </c>
      <c r="F1540">
        <v>39.549999999999997</v>
      </c>
      <c r="G1540">
        <v>39.700000000000003</v>
      </c>
      <c r="H1540">
        <v>-0.75</v>
      </c>
      <c r="I1540" s="1">
        <v>633</v>
      </c>
    </row>
    <row r="1541" spans="1:9" x14ac:dyDescent="0.25">
      <c r="A1541" t="s">
        <v>6992</v>
      </c>
      <c r="B1541" s="1">
        <v>705</v>
      </c>
      <c r="C1541" s="1">
        <v>28178</v>
      </c>
      <c r="D1541">
        <v>39.9</v>
      </c>
      <c r="E1541">
        <v>40.15</v>
      </c>
      <c r="F1541">
        <v>39.700000000000003</v>
      </c>
      <c r="G1541">
        <v>40</v>
      </c>
      <c r="H1541">
        <v>0.3</v>
      </c>
      <c r="I1541" s="1">
        <v>350</v>
      </c>
    </row>
    <row r="1542" spans="1:9" x14ac:dyDescent="0.25">
      <c r="A1542" t="s">
        <v>6993</v>
      </c>
      <c r="B1542" s="1">
        <v>5716</v>
      </c>
      <c r="C1542" s="1">
        <v>240104</v>
      </c>
      <c r="D1542">
        <v>40.200000000000003</v>
      </c>
      <c r="E1542">
        <v>42.8</v>
      </c>
      <c r="F1542">
        <v>40.200000000000003</v>
      </c>
      <c r="G1542">
        <v>42.8</v>
      </c>
      <c r="H1542">
        <v>2.8</v>
      </c>
      <c r="I1542" s="1">
        <v>2670</v>
      </c>
    </row>
    <row r="1543" spans="1:9" x14ac:dyDescent="0.25">
      <c r="A1543" t="s">
        <v>6994</v>
      </c>
      <c r="B1543" s="1">
        <v>3949</v>
      </c>
      <c r="C1543" s="1">
        <v>166562</v>
      </c>
      <c r="D1543">
        <v>42.5</v>
      </c>
      <c r="E1543">
        <v>42.8</v>
      </c>
      <c r="F1543">
        <v>41.65</v>
      </c>
      <c r="G1543">
        <v>41.8</v>
      </c>
      <c r="H1543">
        <v>-1</v>
      </c>
      <c r="I1543" s="1">
        <v>1909</v>
      </c>
    </row>
    <row r="1544" spans="1:9" x14ac:dyDescent="0.25">
      <c r="A1544" t="s">
        <v>6995</v>
      </c>
      <c r="B1544" s="1">
        <v>4501</v>
      </c>
      <c r="C1544" s="1">
        <v>192783</v>
      </c>
      <c r="D1544">
        <v>42.35</v>
      </c>
      <c r="E1544">
        <v>43.5</v>
      </c>
      <c r="F1544">
        <v>41.9</v>
      </c>
      <c r="G1544">
        <v>42.6</v>
      </c>
      <c r="H1544">
        <v>0.8</v>
      </c>
      <c r="I1544" s="1">
        <v>2096</v>
      </c>
    </row>
    <row r="1545" spans="1:9" x14ac:dyDescent="0.25">
      <c r="A1545" t="s">
        <v>6996</v>
      </c>
      <c r="B1545" s="1">
        <v>2384</v>
      </c>
      <c r="C1545" s="1">
        <v>102242</v>
      </c>
      <c r="D1545">
        <v>42.8</v>
      </c>
      <c r="E1545">
        <v>43.5</v>
      </c>
      <c r="F1545">
        <v>42.4</v>
      </c>
      <c r="G1545">
        <v>42.75</v>
      </c>
      <c r="H1545">
        <v>0.15</v>
      </c>
      <c r="I1545" s="1">
        <v>1221</v>
      </c>
    </row>
    <row r="1546" spans="1:9" x14ac:dyDescent="0.25">
      <c r="A1546" t="s">
        <v>6997</v>
      </c>
      <c r="B1546" s="1">
        <v>1853</v>
      </c>
      <c r="C1546" s="1">
        <v>79288</v>
      </c>
      <c r="D1546">
        <v>42.75</v>
      </c>
      <c r="E1546">
        <v>43.2</v>
      </c>
      <c r="F1546">
        <v>42.55</v>
      </c>
      <c r="G1546">
        <v>42.6</v>
      </c>
      <c r="H1546">
        <v>-0.15</v>
      </c>
      <c r="I1546" s="1">
        <v>891</v>
      </c>
    </row>
    <row r="1547" spans="1:9" x14ac:dyDescent="0.25">
      <c r="A1547" t="s">
        <v>6998</v>
      </c>
      <c r="B1547" s="1">
        <v>2097</v>
      </c>
      <c r="C1547" s="1">
        <v>89444</v>
      </c>
      <c r="D1547">
        <v>42.6</v>
      </c>
      <c r="E1547">
        <v>43</v>
      </c>
      <c r="F1547">
        <v>42.35</v>
      </c>
      <c r="G1547">
        <v>42.65</v>
      </c>
      <c r="H1547">
        <v>0.05</v>
      </c>
      <c r="I1547" s="1">
        <v>872</v>
      </c>
    </row>
    <row r="1548" spans="1:9" x14ac:dyDescent="0.25">
      <c r="A1548" t="s">
        <v>6999</v>
      </c>
      <c r="B1548" s="1">
        <v>1434</v>
      </c>
      <c r="C1548" s="1">
        <v>61186</v>
      </c>
      <c r="D1548">
        <v>42.75</v>
      </c>
      <c r="E1548">
        <v>42.9</v>
      </c>
      <c r="F1548">
        <v>42.5</v>
      </c>
      <c r="G1548">
        <v>42.55</v>
      </c>
      <c r="H1548">
        <v>-0.1</v>
      </c>
      <c r="I1548" s="1">
        <v>715</v>
      </c>
    </row>
    <row r="1549" spans="1:9" x14ac:dyDescent="0.25">
      <c r="A1549" t="s">
        <v>7000</v>
      </c>
      <c r="B1549" s="1">
        <v>2002</v>
      </c>
      <c r="C1549" s="1">
        <v>84277</v>
      </c>
      <c r="D1549">
        <v>42.6</v>
      </c>
      <c r="E1549">
        <v>42.65</v>
      </c>
      <c r="F1549">
        <v>41.7</v>
      </c>
      <c r="G1549">
        <v>42</v>
      </c>
      <c r="H1549">
        <v>-0.55000000000000004</v>
      </c>
      <c r="I1549" s="1">
        <v>942</v>
      </c>
    </row>
    <row r="1550" spans="1:9" x14ac:dyDescent="0.25">
      <c r="A1550" t="s">
        <v>7001</v>
      </c>
      <c r="B1550" s="1">
        <v>4331</v>
      </c>
      <c r="C1550" s="1">
        <v>184673</v>
      </c>
      <c r="D1550">
        <v>42</v>
      </c>
      <c r="E1550">
        <v>43</v>
      </c>
      <c r="F1550">
        <v>42</v>
      </c>
      <c r="G1550">
        <v>43</v>
      </c>
      <c r="H1550">
        <v>1</v>
      </c>
      <c r="I1550" s="1">
        <v>1645</v>
      </c>
    </row>
    <row r="1551" spans="1:9" x14ac:dyDescent="0.25">
      <c r="A1551" t="s">
        <v>7002</v>
      </c>
      <c r="B1551" s="1">
        <v>5595</v>
      </c>
      <c r="C1551" s="1">
        <v>238865</v>
      </c>
      <c r="D1551">
        <v>43</v>
      </c>
      <c r="E1551">
        <v>43</v>
      </c>
      <c r="F1551">
        <v>42.35</v>
      </c>
      <c r="G1551">
        <v>42.5</v>
      </c>
      <c r="H1551">
        <v>-0.5</v>
      </c>
      <c r="I1551" s="1">
        <v>2259</v>
      </c>
    </row>
    <row r="1552" spans="1:9" x14ac:dyDescent="0.25">
      <c r="A1552" t="s">
        <v>7003</v>
      </c>
      <c r="B1552" s="1">
        <v>6608</v>
      </c>
      <c r="C1552" s="1">
        <v>250647</v>
      </c>
      <c r="D1552">
        <v>37.75</v>
      </c>
      <c r="E1552">
        <v>38.299999999999997</v>
      </c>
      <c r="F1552">
        <v>37.5</v>
      </c>
      <c r="G1552">
        <v>37.9</v>
      </c>
      <c r="H1552">
        <v>0.15</v>
      </c>
      <c r="I1552" s="1">
        <v>2851</v>
      </c>
    </row>
    <row r="1553" spans="1:9" x14ac:dyDescent="0.25">
      <c r="A1553" t="s">
        <v>7004</v>
      </c>
      <c r="B1553" s="1">
        <v>3470</v>
      </c>
      <c r="C1553" s="1">
        <v>133291</v>
      </c>
      <c r="D1553">
        <v>38</v>
      </c>
      <c r="E1553">
        <v>38.700000000000003</v>
      </c>
      <c r="F1553">
        <v>38</v>
      </c>
      <c r="G1553">
        <v>38.25</v>
      </c>
      <c r="H1553">
        <v>0.35</v>
      </c>
      <c r="I1553" s="1">
        <v>1734</v>
      </c>
    </row>
    <row r="1554" spans="1:9" x14ac:dyDescent="0.25">
      <c r="A1554" t="s">
        <v>7005</v>
      </c>
      <c r="B1554" s="1">
        <v>1706</v>
      </c>
      <c r="C1554" s="1">
        <v>65068</v>
      </c>
      <c r="D1554">
        <v>38.5</v>
      </c>
      <c r="E1554">
        <v>38.6</v>
      </c>
      <c r="F1554">
        <v>37.950000000000003</v>
      </c>
      <c r="G1554">
        <v>38</v>
      </c>
      <c r="H1554">
        <v>-0.25</v>
      </c>
      <c r="I1554" s="1">
        <v>761</v>
      </c>
    </row>
    <row r="1555" spans="1:9" x14ac:dyDescent="0.25">
      <c r="A1555" t="s">
        <v>7006</v>
      </c>
      <c r="B1555" s="1">
        <v>2412</v>
      </c>
      <c r="C1555" s="1">
        <v>89853</v>
      </c>
      <c r="D1555">
        <v>38</v>
      </c>
      <c r="E1555">
        <v>38</v>
      </c>
      <c r="F1555">
        <v>36.85</v>
      </c>
      <c r="G1555">
        <v>36.9</v>
      </c>
      <c r="H1555">
        <v>-1.1000000000000001</v>
      </c>
      <c r="I1555" s="1">
        <v>1176</v>
      </c>
    </row>
    <row r="1556" spans="1:9" x14ac:dyDescent="0.25">
      <c r="A1556" t="s">
        <v>7007</v>
      </c>
      <c r="B1556" s="1">
        <v>1212</v>
      </c>
      <c r="C1556" s="1">
        <v>44781</v>
      </c>
      <c r="D1556">
        <v>36.9</v>
      </c>
      <c r="E1556">
        <v>37.1</v>
      </c>
      <c r="F1556">
        <v>36.85</v>
      </c>
      <c r="G1556">
        <v>36.9</v>
      </c>
      <c r="H1556">
        <v>0</v>
      </c>
      <c r="I1556" s="1">
        <v>668</v>
      </c>
    </row>
    <row r="1557" spans="1:9" x14ac:dyDescent="0.25">
      <c r="A1557" t="s">
        <v>7008</v>
      </c>
      <c r="B1557" s="1">
        <v>1130</v>
      </c>
      <c r="C1557" s="1">
        <v>41312</v>
      </c>
      <c r="D1557">
        <v>36.799999999999997</v>
      </c>
      <c r="E1557">
        <v>36.799999999999997</v>
      </c>
      <c r="F1557">
        <v>36.35</v>
      </c>
      <c r="G1557">
        <v>36.450000000000003</v>
      </c>
      <c r="H1557">
        <v>-0.45</v>
      </c>
      <c r="I1557" s="1">
        <v>653</v>
      </c>
    </row>
    <row r="1558" spans="1:9" x14ac:dyDescent="0.25">
      <c r="A1558" t="s">
        <v>7009</v>
      </c>
      <c r="B1558" s="1">
        <v>905</v>
      </c>
      <c r="C1558" s="1">
        <v>33126</v>
      </c>
      <c r="D1558">
        <v>36.299999999999997</v>
      </c>
      <c r="E1558">
        <v>36.799999999999997</v>
      </c>
      <c r="F1558">
        <v>36.200000000000003</v>
      </c>
      <c r="G1558">
        <v>36.549999999999997</v>
      </c>
      <c r="H1558">
        <v>0.1</v>
      </c>
      <c r="I1558" s="1">
        <v>419</v>
      </c>
    </row>
    <row r="1559" spans="1:9" x14ac:dyDescent="0.25">
      <c r="A1559" t="s">
        <v>1177</v>
      </c>
      <c r="B1559" s="1"/>
      <c r="C1559" s="1"/>
      <c r="I1559" s="1"/>
    </row>
    <row r="1561" spans="1:9" x14ac:dyDescent="0.25">
      <c r="A1561" s="9" t="s">
        <v>6966</v>
      </c>
      <c r="B1561" s="1">
        <v>1441</v>
      </c>
      <c r="C1561" s="1">
        <v>57926</v>
      </c>
      <c r="D1561">
        <v>40.6</v>
      </c>
      <c r="E1561">
        <v>40.75</v>
      </c>
      <c r="F1561">
        <v>40</v>
      </c>
      <c r="G1561">
        <v>40</v>
      </c>
      <c r="H1561">
        <v>-0.3</v>
      </c>
      <c r="I1561" s="1">
        <v>714</v>
      </c>
    </row>
    <row r="1562" spans="1:9" x14ac:dyDescent="0.25">
      <c r="A1562" t="s">
        <v>6967</v>
      </c>
      <c r="B1562" s="1">
        <v>3453</v>
      </c>
      <c r="C1562" s="1">
        <v>142700</v>
      </c>
      <c r="D1562">
        <v>40.049999999999997</v>
      </c>
      <c r="E1562">
        <v>41.75</v>
      </c>
      <c r="F1562">
        <v>40.049999999999997</v>
      </c>
      <c r="G1562">
        <v>40.9</v>
      </c>
      <c r="H1562">
        <v>0.9</v>
      </c>
      <c r="I1562" s="1">
        <v>1866</v>
      </c>
    </row>
    <row r="1563" spans="1:9" x14ac:dyDescent="0.25">
      <c r="A1563" t="s">
        <v>6968</v>
      </c>
      <c r="B1563" s="1">
        <v>1545</v>
      </c>
      <c r="C1563" s="1">
        <v>63591</v>
      </c>
      <c r="D1563">
        <v>41.5</v>
      </c>
      <c r="E1563">
        <v>41.5</v>
      </c>
      <c r="F1563">
        <v>40.9</v>
      </c>
      <c r="G1563">
        <v>40.950000000000003</v>
      </c>
      <c r="H1563">
        <v>0.05</v>
      </c>
      <c r="I1563" s="1">
        <v>755</v>
      </c>
    </row>
    <row r="1564" spans="1:9" x14ac:dyDescent="0.25">
      <c r="A1564" t="s">
        <v>6969</v>
      </c>
      <c r="B1564" s="1">
        <v>990</v>
      </c>
      <c r="C1564" s="1">
        <v>40699</v>
      </c>
      <c r="D1564">
        <v>40.950000000000003</v>
      </c>
      <c r="E1564">
        <v>41.3</v>
      </c>
      <c r="F1564">
        <v>40.9</v>
      </c>
      <c r="G1564">
        <v>41.2</v>
      </c>
      <c r="H1564">
        <v>0.25</v>
      </c>
      <c r="I1564" s="1">
        <v>528</v>
      </c>
    </row>
    <row r="1565" spans="1:9" x14ac:dyDescent="0.25">
      <c r="A1565" t="s">
        <v>6970</v>
      </c>
      <c r="B1565" s="1">
        <v>1218</v>
      </c>
      <c r="C1565" s="1">
        <v>50018</v>
      </c>
      <c r="D1565">
        <v>41.1</v>
      </c>
      <c r="E1565">
        <v>41.55</v>
      </c>
      <c r="F1565">
        <v>40.6</v>
      </c>
      <c r="G1565">
        <v>40.75</v>
      </c>
      <c r="H1565">
        <v>-0.45</v>
      </c>
      <c r="I1565" s="1">
        <v>595</v>
      </c>
    </row>
    <row r="1566" spans="1:9" x14ac:dyDescent="0.25">
      <c r="A1566" t="s">
        <v>6971</v>
      </c>
      <c r="B1566" s="1">
        <v>900</v>
      </c>
      <c r="C1566" s="1">
        <v>36861</v>
      </c>
      <c r="D1566">
        <v>40.549999999999997</v>
      </c>
      <c r="E1566">
        <v>41.3</v>
      </c>
      <c r="F1566">
        <v>40.450000000000003</v>
      </c>
      <c r="G1566">
        <v>41</v>
      </c>
      <c r="H1566">
        <v>0.25</v>
      </c>
      <c r="I1566" s="1">
        <v>488</v>
      </c>
    </row>
    <row r="1567" spans="1:9" x14ac:dyDescent="0.25">
      <c r="A1567" t="s">
        <v>6972</v>
      </c>
      <c r="B1567" s="1">
        <v>1405</v>
      </c>
      <c r="C1567" s="1">
        <v>56959</v>
      </c>
      <c r="D1567">
        <v>41.2</v>
      </c>
      <c r="E1567">
        <v>41.5</v>
      </c>
      <c r="F1567">
        <v>40</v>
      </c>
      <c r="G1567">
        <v>40</v>
      </c>
      <c r="H1567">
        <v>-1</v>
      </c>
      <c r="I1567" s="1">
        <v>673</v>
      </c>
    </row>
    <row r="1568" spans="1:9" x14ac:dyDescent="0.25">
      <c r="A1568" t="s">
        <v>6973</v>
      </c>
      <c r="B1568" s="1">
        <v>697</v>
      </c>
      <c r="C1568" s="1">
        <v>27826</v>
      </c>
      <c r="D1568">
        <v>40</v>
      </c>
      <c r="E1568">
        <v>40.200000000000003</v>
      </c>
      <c r="F1568">
        <v>39.549999999999997</v>
      </c>
      <c r="G1568">
        <v>39.85</v>
      </c>
      <c r="H1568">
        <v>-0.15</v>
      </c>
      <c r="I1568" s="1">
        <v>386</v>
      </c>
    </row>
    <row r="1569" spans="1:9" x14ac:dyDescent="0.25">
      <c r="A1569" t="s">
        <v>6974</v>
      </c>
      <c r="B1569" s="1">
        <v>717</v>
      </c>
      <c r="C1569" s="1">
        <v>28393</v>
      </c>
      <c r="D1569">
        <v>39.85</v>
      </c>
      <c r="E1569">
        <v>40.15</v>
      </c>
      <c r="F1569">
        <v>39.299999999999997</v>
      </c>
      <c r="G1569">
        <v>39.5</v>
      </c>
      <c r="H1569">
        <v>-0.35</v>
      </c>
      <c r="I1569" s="1">
        <v>379</v>
      </c>
    </row>
    <row r="1570" spans="1:9" x14ac:dyDescent="0.25">
      <c r="A1570" t="s">
        <v>6975</v>
      </c>
      <c r="B1570" s="1">
        <v>579</v>
      </c>
      <c r="C1570" s="1">
        <v>22912</v>
      </c>
      <c r="D1570">
        <v>39.5</v>
      </c>
      <c r="E1570">
        <v>39.950000000000003</v>
      </c>
      <c r="F1570">
        <v>39.299999999999997</v>
      </c>
      <c r="G1570">
        <v>39.4</v>
      </c>
      <c r="H1570">
        <v>-0.1</v>
      </c>
      <c r="I1570" s="1">
        <v>340</v>
      </c>
    </row>
    <row r="1571" spans="1:9" x14ac:dyDescent="0.25">
      <c r="A1571" t="s">
        <v>6976</v>
      </c>
      <c r="B1571" s="1">
        <v>600</v>
      </c>
      <c r="C1571" s="1">
        <v>23485</v>
      </c>
      <c r="D1571">
        <v>39.6</v>
      </c>
      <c r="E1571">
        <v>39.799999999999997</v>
      </c>
      <c r="F1571">
        <v>38.85</v>
      </c>
      <c r="G1571">
        <v>38.9</v>
      </c>
      <c r="H1571">
        <v>-0.5</v>
      </c>
      <c r="I1571" s="1">
        <v>309</v>
      </c>
    </row>
    <row r="1572" spans="1:9" x14ac:dyDescent="0.25">
      <c r="A1572" t="s">
        <v>6977</v>
      </c>
      <c r="B1572" s="1">
        <v>938</v>
      </c>
      <c r="C1572" s="1">
        <v>36583</v>
      </c>
      <c r="D1572">
        <v>38.799999999999997</v>
      </c>
      <c r="E1572">
        <v>39.799999999999997</v>
      </c>
      <c r="F1572">
        <v>38.4</v>
      </c>
      <c r="G1572">
        <v>39.799999999999997</v>
      </c>
      <c r="H1572">
        <v>0.9</v>
      </c>
      <c r="I1572" s="1">
        <v>474</v>
      </c>
    </row>
    <row r="1573" spans="1:9" x14ac:dyDescent="0.25">
      <c r="A1573" t="s">
        <v>6978</v>
      </c>
      <c r="B1573" s="1">
        <v>2595</v>
      </c>
      <c r="C1573" s="1">
        <v>105414</v>
      </c>
      <c r="D1573">
        <v>40.200000000000003</v>
      </c>
      <c r="E1573">
        <v>41.1</v>
      </c>
      <c r="F1573">
        <v>40.200000000000003</v>
      </c>
      <c r="G1573">
        <v>40.200000000000003</v>
      </c>
      <c r="H1573">
        <v>0.4</v>
      </c>
      <c r="I1573" s="1">
        <v>1426</v>
      </c>
    </row>
    <row r="1574" spans="1:9" x14ac:dyDescent="0.25">
      <c r="A1574" t="s">
        <v>6979</v>
      </c>
      <c r="B1574" s="1">
        <v>1415</v>
      </c>
      <c r="C1574" s="1">
        <v>57503</v>
      </c>
      <c r="D1574">
        <v>40.9</v>
      </c>
      <c r="E1574">
        <v>41</v>
      </c>
      <c r="F1574">
        <v>40.35</v>
      </c>
      <c r="G1574">
        <v>40.6</v>
      </c>
      <c r="H1574">
        <v>0.4</v>
      </c>
      <c r="I1574" s="1">
        <v>668</v>
      </c>
    </row>
    <row r="1575" spans="1:9" x14ac:dyDescent="0.25">
      <c r="A1575" t="s">
        <v>6980</v>
      </c>
      <c r="B1575" s="1">
        <v>674</v>
      </c>
      <c r="C1575" s="1">
        <v>27264</v>
      </c>
      <c r="D1575">
        <v>40.5</v>
      </c>
      <c r="E1575">
        <v>40.700000000000003</v>
      </c>
      <c r="F1575">
        <v>40.25</v>
      </c>
      <c r="G1575">
        <v>40.35</v>
      </c>
      <c r="H1575">
        <v>-0.25</v>
      </c>
      <c r="I1575" s="1">
        <v>350</v>
      </c>
    </row>
    <row r="1576" spans="1:9" x14ac:dyDescent="0.25">
      <c r="A1576" t="s">
        <v>6981</v>
      </c>
      <c r="B1576" s="1">
        <v>923</v>
      </c>
      <c r="C1576" s="1">
        <v>36359</v>
      </c>
      <c r="D1576">
        <v>40.049999999999997</v>
      </c>
      <c r="E1576">
        <v>40.049999999999997</v>
      </c>
      <c r="F1576">
        <v>39.1</v>
      </c>
      <c r="G1576">
        <v>39.15</v>
      </c>
      <c r="H1576">
        <v>-1.2</v>
      </c>
      <c r="I1576" s="1">
        <v>528</v>
      </c>
    </row>
    <row r="1577" spans="1:9" x14ac:dyDescent="0.25">
      <c r="A1577" t="s">
        <v>6982</v>
      </c>
      <c r="B1577" s="1">
        <v>611</v>
      </c>
      <c r="C1577" s="1">
        <v>23785</v>
      </c>
      <c r="D1577">
        <v>39</v>
      </c>
      <c r="E1577">
        <v>39.200000000000003</v>
      </c>
      <c r="F1577">
        <v>38.6</v>
      </c>
      <c r="G1577">
        <v>39</v>
      </c>
      <c r="H1577">
        <v>-0.15</v>
      </c>
      <c r="I1577" s="1">
        <v>374</v>
      </c>
    </row>
    <row r="1578" spans="1:9" x14ac:dyDescent="0.25">
      <c r="A1578" t="s">
        <v>6983</v>
      </c>
      <c r="B1578" s="1">
        <v>608</v>
      </c>
      <c r="C1578" s="1">
        <v>23728</v>
      </c>
      <c r="D1578">
        <v>38.799999999999997</v>
      </c>
      <c r="E1578">
        <v>39.299999999999997</v>
      </c>
      <c r="F1578">
        <v>38.5</v>
      </c>
      <c r="G1578">
        <v>39</v>
      </c>
      <c r="H1578">
        <v>0</v>
      </c>
      <c r="I1578" s="1">
        <v>341</v>
      </c>
    </row>
    <row r="1579" spans="1:9" x14ac:dyDescent="0.25">
      <c r="A1579" t="s">
        <v>6984</v>
      </c>
      <c r="B1579" s="1">
        <v>345</v>
      </c>
      <c r="C1579" s="1">
        <v>13525</v>
      </c>
      <c r="D1579">
        <v>39.5</v>
      </c>
      <c r="E1579">
        <v>39.5</v>
      </c>
      <c r="F1579">
        <v>39</v>
      </c>
      <c r="G1579">
        <v>39.299999999999997</v>
      </c>
      <c r="H1579">
        <v>0.3</v>
      </c>
      <c r="I1579" s="1">
        <v>232</v>
      </c>
    </row>
    <row r="1580" spans="1:9" x14ac:dyDescent="0.25">
      <c r="A1580" t="s">
        <v>6985</v>
      </c>
      <c r="B1580" s="1">
        <v>811</v>
      </c>
      <c r="C1580" s="1">
        <v>32515</v>
      </c>
      <c r="D1580">
        <v>39.799999999999997</v>
      </c>
      <c r="E1580">
        <v>40.4</v>
      </c>
      <c r="F1580">
        <v>39.6</v>
      </c>
      <c r="G1580">
        <v>40.1</v>
      </c>
      <c r="H1580">
        <v>0.8</v>
      </c>
      <c r="I1580" s="1">
        <v>483</v>
      </c>
    </row>
    <row r="1581" spans="1:9" x14ac:dyDescent="0.25">
      <c r="A1581" t="s">
        <v>6986</v>
      </c>
      <c r="B1581" s="1">
        <v>991</v>
      </c>
      <c r="C1581" s="1">
        <v>40288</v>
      </c>
      <c r="D1581">
        <v>40.6</v>
      </c>
      <c r="E1581">
        <v>41.1</v>
      </c>
      <c r="F1581">
        <v>40.299999999999997</v>
      </c>
      <c r="G1581">
        <v>40.4</v>
      </c>
      <c r="H1581">
        <v>0.3</v>
      </c>
      <c r="I1581" s="1">
        <v>550</v>
      </c>
    </row>
    <row r="1582" spans="1:9" x14ac:dyDescent="0.25">
      <c r="A1582" t="s">
        <v>6987</v>
      </c>
      <c r="B1582" s="1">
        <v>739</v>
      </c>
      <c r="C1582" s="1">
        <v>29905</v>
      </c>
      <c r="D1582">
        <v>40.5</v>
      </c>
      <c r="E1582">
        <v>40.799999999999997</v>
      </c>
      <c r="F1582">
        <v>40.200000000000003</v>
      </c>
      <c r="G1582">
        <v>40.5</v>
      </c>
      <c r="H1582">
        <v>0.1</v>
      </c>
      <c r="I1582" s="1">
        <v>423</v>
      </c>
    </row>
    <row r="1583" spans="1:9" x14ac:dyDescent="0.25">
      <c r="A1583" t="s">
        <v>1177</v>
      </c>
      <c r="B1583" s="1"/>
      <c r="C1583" s="1"/>
      <c r="I1583" s="1"/>
    </row>
    <row r="1585" spans="1:9" x14ac:dyDescent="0.25">
      <c r="A1585" s="9" t="s">
        <v>6945</v>
      </c>
      <c r="B1585" s="1">
        <v>761</v>
      </c>
      <c r="C1585" s="1">
        <v>28339</v>
      </c>
      <c r="D1585">
        <v>37.799999999999997</v>
      </c>
      <c r="E1585">
        <v>37.950000000000003</v>
      </c>
      <c r="F1585">
        <v>36.700000000000003</v>
      </c>
      <c r="G1585">
        <v>36.700000000000003</v>
      </c>
      <c r="H1585">
        <v>-1.3</v>
      </c>
      <c r="I1585" s="1">
        <v>506</v>
      </c>
    </row>
    <row r="1586" spans="1:9" x14ac:dyDescent="0.25">
      <c r="A1586" t="s">
        <v>6946</v>
      </c>
      <c r="B1586" s="1">
        <v>1755</v>
      </c>
      <c r="C1586" s="1">
        <v>60761</v>
      </c>
      <c r="D1586">
        <v>35.5</v>
      </c>
      <c r="E1586">
        <v>35.6</v>
      </c>
      <c r="F1586">
        <v>34.15</v>
      </c>
      <c r="G1586">
        <v>34.200000000000003</v>
      </c>
      <c r="H1586">
        <v>-2.5</v>
      </c>
      <c r="I1586" s="1">
        <v>843</v>
      </c>
    </row>
    <row r="1587" spans="1:9" x14ac:dyDescent="0.25">
      <c r="A1587" t="s">
        <v>6947</v>
      </c>
      <c r="B1587" s="1">
        <v>764</v>
      </c>
      <c r="C1587" s="1">
        <v>26957</v>
      </c>
      <c r="D1587">
        <v>34.799999999999997</v>
      </c>
      <c r="E1587">
        <v>35.75</v>
      </c>
      <c r="F1587">
        <v>34.799999999999997</v>
      </c>
      <c r="G1587">
        <v>35.299999999999997</v>
      </c>
      <c r="H1587">
        <v>1.1000000000000001</v>
      </c>
      <c r="I1587" s="1">
        <v>456</v>
      </c>
    </row>
    <row r="1588" spans="1:9" x14ac:dyDescent="0.25">
      <c r="A1588" t="s">
        <v>6948</v>
      </c>
      <c r="B1588" s="1">
        <v>655</v>
      </c>
      <c r="C1588" s="1">
        <v>23461</v>
      </c>
      <c r="D1588">
        <v>35.6</v>
      </c>
      <c r="E1588">
        <v>36.1</v>
      </c>
      <c r="F1588">
        <v>35.299999999999997</v>
      </c>
      <c r="G1588">
        <v>35.799999999999997</v>
      </c>
      <c r="H1588">
        <v>0.5</v>
      </c>
      <c r="I1588" s="1">
        <v>414</v>
      </c>
    </row>
    <row r="1589" spans="1:9" x14ac:dyDescent="0.25">
      <c r="A1589" t="s">
        <v>6949</v>
      </c>
      <c r="B1589" s="1">
        <v>659</v>
      </c>
      <c r="C1589" s="1">
        <v>23740</v>
      </c>
      <c r="D1589">
        <v>36.700000000000003</v>
      </c>
      <c r="E1589">
        <v>36.700000000000003</v>
      </c>
      <c r="F1589">
        <v>35.5</v>
      </c>
      <c r="G1589">
        <v>35.65</v>
      </c>
      <c r="H1589">
        <v>-0.15</v>
      </c>
      <c r="I1589" s="1">
        <v>406</v>
      </c>
    </row>
    <row r="1590" spans="1:9" x14ac:dyDescent="0.25">
      <c r="A1590" t="s">
        <v>6950</v>
      </c>
      <c r="B1590" s="1">
        <v>722</v>
      </c>
      <c r="C1590" s="1">
        <v>25448</v>
      </c>
      <c r="D1590">
        <v>35.65</v>
      </c>
      <c r="E1590">
        <v>35.85</v>
      </c>
      <c r="F1590">
        <v>35</v>
      </c>
      <c r="G1590">
        <v>35.15</v>
      </c>
      <c r="H1590">
        <v>-0.5</v>
      </c>
      <c r="I1590" s="1">
        <v>348</v>
      </c>
    </row>
    <row r="1591" spans="1:9" x14ac:dyDescent="0.25">
      <c r="A1591" t="s">
        <v>6951</v>
      </c>
      <c r="B1591" s="1">
        <v>802</v>
      </c>
      <c r="C1591" s="1">
        <v>28247</v>
      </c>
      <c r="D1591">
        <v>35.25</v>
      </c>
      <c r="E1591">
        <v>35.799999999999997</v>
      </c>
      <c r="F1591">
        <v>35</v>
      </c>
      <c r="G1591">
        <v>35.15</v>
      </c>
      <c r="H1591">
        <v>0</v>
      </c>
      <c r="I1591" s="1">
        <v>423</v>
      </c>
    </row>
    <row r="1592" spans="1:9" x14ac:dyDescent="0.25">
      <c r="A1592" t="s">
        <v>6952</v>
      </c>
      <c r="B1592" s="1">
        <v>859</v>
      </c>
      <c r="C1592" s="1">
        <v>29581</v>
      </c>
      <c r="D1592">
        <v>34.25</v>
      </c>
      <c r="E1592">
        <v>34.799999999999997</v>
      </c>
      <c r="F1592">
        <v>34.25</v>
      </c>
      <c r="G1592">
        <v>34.65</v>
      </c>
      <c r="H1592">
        <v>-0.5</v>
      </c>
      <c r="I1592" s="1">
        <v>389</v>
      </c>
    </row>
    <row r="1593" spans="1:9" x14ac:dyDescent="0.25">
      <c r="A1593" t="s">
        <v>6953</v>
      </c>
      <c r="B1593" s="1">
        <v>605</v>
      </c>
      <c r="C1593" s="1">
        <v>21250</v>
      </c>
      <c r="D1593">
        <v>35</v>
      </c>
      <c r="E1593">
        <v>35.299999999999997</v>
      </c>
      <c r="F1593">
        <v>34.700000000000003</v>
      </c>
      <c r="G1593">
        <v>35.299999999999997</v>
      </c>
      <c r="H1593">
        <v>0.65</v>
      </c>
      <c r="I1593" s="1">
        <v>416</v>
      </c>
    </row>
    <row r="1594" spans="1:9" x14ac:dyDescent="0.25">
      <c r="A1594" t="s">
        <v>6954</v>
      </c>
      <c r="B1594" s="1">
        <v>419</v>
      </c>
      <c r="C1594" s="1">
        <v>14857</v>
      </c>
      <c r="D1594">
        <v>35.299999999999997</v>
      </c>
      <c r="E1594">
        <v>35.75</v>
      </c>
      <c r="F1594">
        <v>35.049999999999997</v>
      </c>
      <c r="G1594">
        <v>35.75</v>
      </c>
      <c r="H1594">
        <v>0.45</v>
      </c>
      <c r="I1594" s="1">
        <v>295</v>
      </c>
    </row>
    <row r="1595" spans="1:9" x14ac:dyDescent="0.25">
      <c r="A1595" t="s">
        <v>6955</v>
      </c>
      <c r="B1595" s="1">
        <v>877</v>
      </c>
      <c r="C1595" s="1">
        <v>31469</v>
      </c>
      <c r="D1595">
        <v>36</v>
      </c>
      <c r="E1595">
        <v>36.1</v>
      </c>
      <c r="F1595">
        <v>35.549999999999997</v>
      </c>
      <c r="G1595">
        <v>36</v>
      </c>
      <c r="H1595">
        <v>0.25</v>
      </c>
      <c r="I1595" s="1">
        <v>471</v>
      </c>
    </row>
    <row r="1596" spans="1:9" x14ac:dyDescent="0.25">
      <c r="A1596" t="s">
        <v>6956</v>
      </c>
      <c r="B1596" s="1">
        <v>1174</v>
      </c>
      <c r="C1596" s="1">
        <v>43593</v>
      </c>
      <c r="D1596">
        <v>36.700000000000003</v>
      </c>
      <c r="E1596">
        <v>37.75</v>
      </c>
      <c r="F1596">
        <v>36.5</v>
      </c>
      <c r="G1596">
        <v>37.15</v>
      </c>
      <c r="H1596">
        <v>1.1499999999999999</v>
      </c>
      <c r="I1596" s="1">
        <v>667</v>
      </c>
    </row>
    <row r="1597" spans="1:9" x14ac:dyDescent="0.25">
      <c r="A1597" t="s">
        <v>6957</v>
      </c>
      <c r="B1597" s="1">
        <v>512</v>
      </c>
      <c r="C1597" s="1">
        <v>18954</v>
      </c>
      <c r="D1597">
        <v>37</v>
      </c>
      <c r="E1597">
        <v>37.35</v>
      </c>
      <c r="F1597">
        <v>36.75</v>
      </c>
      <c r="G1597">
        <v>36.85</v>
      </c>
      <c r="H1597">
        <v>-0.3</v>
      </c>
      <c r="I1597" s="1">
        <v>275</v>
      </c>
    </row>
    <row r="1598" spans="1:9" x14ac:dyDescent="0.25">
      <c r="A1598" t="s">
        <v>6958</v>
      </c>
      <c r="B1598" s="1">
        <v>437</v>
      </c>
      <c r="C1598" s="1">
        <v>16180</v>
      </c>
      <c r="D1598">
        <v>37</v>
      </c>
      <c r="E1598">
        <v>37.200000000000003</v>
      </c>
      <c r="F1598">
        <v>36.9</v>
      </c>
      <c r="G1598">
        <v>37.1</v>
      </c>
      <c r="H1598">
        <v>0.25</v>
      </c>
      <c r="I1598" s="1">
        <v>272</v>
      </c>
    </row>
    <row r="1599" spans="1:9" x14ac:dyDescent="0.25">
      <c r="A1599" t="s">
        <v>6959</v>
      </c>
      <c r="B1599" s="1">
        <v>438</v>
      </c>
      <c r="C1599" s="1">
        <v>16245</v>
      </c>
      <c r="D1599">
        <v>37.299999999999997</v>
      </c>
      <c r="E1599">
        <v>37.299999999999997</v>
      </c>
      <c r="F1599">
        <v>36.85</v>
      </c>
      <c r="G1599">
        <v>37.25</v>
      </c>
      <c r="H1599">
        <v>0.15</v>
      </c>
      <c r="I1599" s="1">
        <v>279</v>
      </c>
    </row>
    <row r="1600" spans="1:9" x14ac:dyDescent="0.25">
      <c r="A1600" t="s">
        <v>6960</v>
      </c>
      <c r="B1600" s="1">
        <v>758</v>
      </c>
      <c r="C1600" s="1">
        <v>28224</v>
      </c>
      <c r="D1600">
        <v>36.5</v>
      </c>
      <c r="E1600">
        <v>37.65</v>
      </c>
      <c r="F1600">
        <v>36.5</v>
      </c>
      <c r="G1600">
        <v>37.6</v>
      </c>
      <c r="H1600">
        <v>0.35</v>
      </c>
      <c r="I1600" s="1">
        <v>402</v>
      </c>
    </row>
    <row r="1601" spans="1:9" x14ac:dyDescent="0.25">
      <c r="A1601" t="s">
        <v>6961</v>
      </c>
      <c r="B1601" s="1">
        <v>447</v>
      </c>
      <c r="C1601" s="1">
        <v>16807</v>
      </c>
      <c r="D1601">
        <v>37.6</v>
      </c>
      <c r="E1601">
        <v>38</v>
      </c>
      <c r="F1601">
        <v>37.1</v>
      </c>
      <c r="G1601">
        <v>37.299999999999997</v>
      </c>
      <c r="H1601">
        <v>-0.3</v>
      </c>
      <c r="I1601" s="1">
        <v>276</v>
      </c>
    </row>
    <row r="1602" spans="1:9" x14ac:dyDescent="0.25">
      <c r="A1602" t="s">
        <v>6962</v>
      </c>
      <c r="B1602" s="1">
        <v>468</v>
      </c>
      <c r="C1602" s="1">
        <v>17309</v>
      </c>
      <c r="D1602">
        <v>36.799999999999997</v>
      </c>
      <c r="E1602">
        <v>37.299999999999997</v>
      </c>
      <c r="F1602">
        <v>36.6</v>
      </c>
      <c r="G1602">
        <v>37.299999999999997</v>
      </c>
      <c r="H1602">
        <v>0</v>
      </c>
      <c r="I1602" s="1">
        <v>270</v>
      </c>
    </row>
    <row r="1603" spans="1:9" x14ac:dyDescent="0.25">
      <c r="A1603" t="s">
        <v>6963</v>
      </c>
      <c r="B1603" s="1">
        <v>4255</v>
      </c>
      <c r="C1603" s="1">
        <v>167326</v>
      </c>
      <c r="D1603">
        <v>38</v>
      </c>
      <c r="E1603">
        <v>39.9</v>
      </c>
      <c r="F1603">
        <v>38</v>
      </c>
      <c r="G1603">
        <v>39.9</v>
      </c>
      <c r="H1603">
        <v>2.6</v>
      </c>
      <c r="I1603" s="1">
        <v>2028</v>
      </c>
    </row>
    <row r="1604" spans="1:9" x14ac:dyDescent="0.25">
      <c r="A1604" t="s">
        <v>6964</v>
      </c>
      <c r="B1604" s="1">
        <v>5290</v>
      </c>
      <c r="C1604" s="1">
        <v>213457</v>
      </c>
      <c r="D1604">
        <v>40.5</v>
      </c>
      <c r="E1604">
        <v>40.9</v>
      </c>
      <c r="F1604">
        <v>39.9</v>
      </c>
      <c r="G1604">
        <v>40.35</v>
      </c>
      <c r="H1604">
        <v>0.45</v>
      </c>
      <c r="I1604" s="1">
        <v>2669</v>
      </c>
    </row>
    <row r="1605" spans="1:9" x14ac:dyDescent="0.25">
      <c r="A1605" t="s">
        <v>6965</v>
      </c>
      <c r="B1605" s="1">
        <v>2179</v>
      </c>
      <c r="C1605" s="1">
        <v>87660</v>
      </c>
      <c r="D1605">
        <v>40.25</v>
      </c>
      <c r="E1605">
        <v>40.6</v>
      </c>
      <c r="F1605">
        <v>39.799999999999997</v>
      </c>
      <c r="G1605">
        <v>40.299999999999997</v>
      </c>
      <c r="H1605">
        <v>-0.05</v>
      </c>
      <c r="I1605" s="1">
        <v>1104</v>
      </c>
    </row>
    <row r="1606" spans="1:9" x14ac:dyDescent="0.25">
      <c r="A1606" t="s">
        <v>973</v>
      </c>
      <c r="B1606" s="1"/>
      <c r="C1606" s="1"/>
      <c r="I1606" s="1"/>
    </row>
    <row r="1609" spans="1:9" x14ac:dyDescent="0.25">
      <c r="A1609" s="9" t="s">
        <v>6923</v>
      </c>
      <c r="B1609" s="1">
        <v>5171</v>
      </c>
      <c r="C1609" s="1">
        <v>220681</v>
      </c>
      <c r="D1609">
        <v>41.8</v>
      </c>
      <c r="E1609">
        <v>43.5</v>
      </c>
      <c r="F1609">
        <v>41.8</v>
      </c>
      <c r="G1609">
        <v>42.9</v>
      </c>
      <c r="H1609">
        <v>1.3</v>
      </c>
      <c r="I1609" s="1">
        <v>2800</v>
      </c>
    </row>
    <row r="1610" spans="1:9" x14ac:dyDescent="0.25">
      <c r="A1610" t="s">
        <v>6924</v>
      </c>
      <c r="B1610" s="1">
        <v>2142</v>
      </c>
      <c r="C1610" s="1">
        <v>90888</v>
      </c>
      <c r="D1610">
        <v>42.9</v>
      </c>
      <c r="E1610">
        <v>43.2</v>
      </c>
      <c r="F1610">
        <v>42</v>
      </c>
      <c r="G1610">
        <v>42</v>
      </c>
      <c r="H1610">
        <v>-0.9</v>
      </c>
      <c r="I1610" s="1">
        <v>1250</v>
      </c>
    </row>
    <row r="1611" spans="1:9" x14ac:dyDescent="0.25">
      <c r="A1611" t="s">
        <v>6925</v>
      </c>
      <c r="B1611" s="1">
        <v>5632</v>
      </c>
      <c r="C1611" s="1">
        <v>245264</v>
      </c>
      <c r="D1611">
        <v>42.45</v>
      </c>
      <c r="E1611">
        <v>44.2</v>
      </c>
      <c r="F1611">
        <v>42</v>
      </c>
      <c r="G1611">
        <v>43.5</v>
      </c>
      <c r="H1611">
        <v>1.5</v>
      </c>
      <c r="I1611" s="1">
        <v>2920</v>
      </c>
    </row>
    <row r="1612" spans="1:9" x14ac:dyDescent="0.25">
      <c r="A1612" t="s">
        <v>6926</v>
      </c>
      <c r="B1612" s="1">
        <v>1830</v>
      </c>
      <c r="C1612" s="1">
        <v>78141</v>
      </c>
      <c r="D1612">
        <v>42.6</v>
      </c>
      <c r="E1612">
        <v>43</v>
      </c>
      <c r="F1612">
        <v>42.4</v>
      </c>
      <c r="G1612">
        <v>42.8</v>
      </c>
      <c r="H1612">
        <v>-0.7</v>
      </c>
      <c r="I1612" s="1">
        <v>991</v>
      </c>
    </row>
    <row r="1613" spans="1:9" x14ac:dyDescent="0.25">
      <c r="A1613" t="s">
        <v>6927</v>
      </c>
      <c r="B1613" s="1">
        <v>1811</v>
      </c>
      <c r="C1613" s="1">
        <v>77591</v>
      </c>
      <c r="D1613">
        <v>43.2</v>
      </c>
      <c r="E1613">
        <v>43.4</v>
      </c>
      <c r="F1613">
        <v>42.5</v>
      </c>
      <c r="G1613">
        <v>42.5</v>
      </c>
      <c r="H1613">
        <v>-0.3</v>
      </c>
      <c r="I1613" s="1">
        <v>985</v>
      </c>
    </row>
    <row r="1614" spans="1:9" x14ac:dyDescent="0.25">
      <c r="A1614" t="s">
        <v>6928</v>
      </c>
      <c r="B1614" s="1">
        <v>1602</v>
      </c>
      <c r="C1614" s="1">
        <v>66785</v>
      </c>
      <c r="D1614">
        <v>42</v>
      </c>
      <c r="E1614">
        <v>42</v>
      </c>
      <c r="F1614">
        <v>41.3</v>
      </c>
      <c r="G1614">
        <v>41.6</v>
      </c>
      <c r="H1614">
        <v>-0.9</v>
      </c>
      <c r="I1614" s="1">
        <v>915</v>
      </c>
    </row>
    <row r="1615" spans="1:9" x14ac:dyDescent="0.25">
      <c r="A1615" t="s">
        <v>6929</v>
      </c>
      <c r="B1615" s="1">
        <v>1702</v>
      </c>
      <c r="C1615" s="1">
        <v>70276</v>
      </c>
      <c r="D1615">
        <v>41.35</v>
      </c>
      <c r="E1615">
        <v>41.7</v>
      </c>
      <c r="F1615">
        <v>41</v>
      </c>
      <c r="G1615">
        <v>41</v>
      </c>
      <c r="H1615">
        <v>-0.6</v>
      </c>
      <c r="I1615" s="1">
        <v>885</v>
      </c>
    </row>
    <row r="1616" spans="1:9" x14ac:dyDescent="0.25">
      <c r="A1616" t="s">
        <v>6930</v>
      </c>
      <c r="B1616" s="1">
        <v>2361</v>
      </c>
      <c r="C1616" s="1">
        <v>95016</v>
      </c>
      <c r="D1616">
        <v>40.799999999999997</v>
      </c>
      <c r="E1616">
        <v>41</v>
      </c>
      <c r="F1616">
        <v>40</v>
      </c>
      <c r="G1616">
        <v>40</v>
      </c>
      <c r="H1616">
        <v>-1</v>
      </c>
      <c r="I1616" s="1">
        <v>1139</v>
      </c>
    </row>
    <row r="1617" spans="1:9" x14ac:dyDescent="0.25">
      <c r="A1617" t="s">
        <v>6931</v>
      </c>
      <c r="B1617" s="1">
        <v>1489</v>
      </c>
      <c r="C1617" s="1">
        <v>58864</v>
      </c>
      <c r="D1617">
        <v>40</v>
      </c>
      <c r="E1617">
        <v>40.4</v>
      </c>
      <c r="F1617">
        <v>39.299999999999997</v>
      </c>
      <c r="G1617">
        <v>39.299999999999997</v>
      </c>
      <c r="H1617">
        <v>-0.7</v>
      </c>
      <c r="I1617" s="1">
        <v>859</v>
      </c>
    </row>
    <row r="1618" spans="1:9" x14ac:dyDescent="0.25">
      <c r="A1618" t="s">
        <v>6932</v>
      </c>
      <c r="B1618" s="1">
        <v>1142</v>
      </c>
      <c r="C1618" s="1">
        <v>44537</v>
      </c>
      <c r="D1618">
        <v>38.799999999999997</v>
      </c>
      <c r="E1618">
        <v>39.450000000000003</v>
      </c>
      <c r="F1618">
        <v>38.5</v>
      </c>
      <c r="G1618">
        <v>39.450000000000003</v>
      </c>
      <c r="H1618">
        <v>0.15</v>
      </c>
      <c r="I1618" s="1">
        <v>666</v>
      </c>
    </row>
    <row r="1619" spans="1:9" x14ac:dyDescent="0.25">
      <c r="A1619" t="s">
        <v>6933</v>
      </c>
      <c r="B1619" s="1">
        <v>1174</v>
      </c>
      <c r="C1619" s="1">
        <v>45656</v>
      </c>
      <c r="D1619">
        <v>39.450000000000003</v>
      </c>
      <c r="E1619">
        <v>39.75</v>
      </c>
      <c r="F1619">
        <v>38.5</v>
      </c>
      <c r="G1619">
        <v>38.5</v>
      </c>
      <c r="H1619">
        <v>-0.95</v>
      </c>
      <c r="I1619" s="1">
        <v>644</v>
      </c>
    </row>
    <row r="1620" spans="1:9" x14ac:dyDescent="0.25">
      <c r="A1620" t="s">
        <v>6934</v>
      </c>
      <c r="B1620" s="1">
        <v>1127</v>
      </c>
      <c r="C1620" s="1">
        <v>43980</v>
      </c>
      <c r="D1620">
        <v>38.5</v>
      </c>
      <c r="E1620">
        <v>39.450000000000003</v>
      </c>
      <c r="F1620">
        <v>38.5</v>
      </c>
      <c r="G1620">
        <v>39.4</v>
      </c>
      <c r="H1620">
        <v>0.9</v>
      </c>
      <c r="I1620" s="1">
        <v>598</v>
      </c>
    </row>
    <row r="1621" spans="1:9" x14ac:dyDescent="0.25">
      <c r="A1621" t="s">
        <v>6935</v>
      </c>
      <c r="B1621" s="1">
        <v>1326</v>
      </c>
      <c r="C1621" s="1">
        <v>51248</v>
      </c>
      <c r="D1621">
        <v>38.5</v>
      </c>
      <c r="E1621">
        <v>39.4</v>
      </c>
      <c r="F1621">
        <v>38.1</v>
      </c>
      <c r="G1621">
        <v>38.1</v>
      </c>
      <c r="H1621">
        <v>-1.3</v>
      </c>
      <c r="I1621" s="1">
        <v>700</v>
      </c>
    </row>
    <row r="1622" spans="1:9" x14ac:dyDescent="0.25">
      <c r="A1622" t="s">
        <v>6936</v>
      </c>
      <c r="B1622" s="1">
        <v>1170</v>
      </c>
      <c r="C1622" s="1">
        <v>44844</v>
      </c>
      <c r="D1622">
        <v>38.1</v>
      </c>
      <c r="E1622">
        <v>38.700000000000003</v>
      </c>
      <c r="F1622">
        <v>38.1</v>
      </c>
      <c r="G1622">
        <v>38.1</v>
      </c>
      <c r="H1622">
        <v>0</v>
      </c>
      <c r="I1622" s="1">
        <v>587</v>
      </c>
    </row>
    <row r="1623" spans="1:9" x14ac:dyDescent="0.25">
      <c r="A1623" t="s">
        <v>6937</v>
      </c>
      <c r="B1623" s="1">
        <v>1237</v>
      </c>
      <c r="C1623" s="1">
        <v>47678</v>
      </c>
      <c r="D1623">
        <v>38.299999999999997</v>
      </c>
      <c r="E1623">
        <v>38.799999999999997</v>
      </c>
      <c r="F1623">
        <v>38.299999999999997</v>
      </c>
      <c r="G1623">
        <v>38.549999999999997</v>
      </c>
      <c r="H1623">
        <v>0.45</v>
      </c>
      <c r="I1623" s="1">
        <v>585</v>
      </c>
    </row>
    <row r="1624" spans="1:9" x14ac:dyDescent="0.25">
      <c r="A1624" t="s">
        <v>6938</v>
      </c>
      <c r="B1624" s="1">
        <v>885</v>
      </c>
      <c r="C1624" s="1">
        <v>33676</v>
      </c>
      <c r="D1624">
        <v>38.5</v>
      </c>
      <c r="E1624">
        <v>38.5</v>
      </c>
      <c r="F1624">
        <v>37.85</v>
      </c>
      <c r="G1624">
        <v>37.9</v>
      </c>
      <c r="H1624">
        <v>-0.65</v>
      </c>
      <c r="I1624" s="1">
        <v>488</v>
      </c>
    </row>
    <row r="1625" spans="1:9" x14ac:dyDescent="0.25">
      <c r="A1625" t="s">
        <v>6939</v>
      </c>
      <c r="B1625" s="1">
        <v>1457</v>
      </c>
      <c r="C1625" s="1">
        <v>54251</v>
      </c>
      <c r="D1625">
        <v>38</v>
      </c>
      <c r="E1625">
        <v>38.4</v>
      </c>
      <c r="F1625">
        <v>36.299999999999997</v>
      </c>
      <c r="G1625">
        <v>36.450000000000003</v>
      </c>
      <c r="H1625">
        <v>-1.45</v>
      </c>
      <c r="I1625" s="1">
        <v>847</v>
      </c>
    </row>
    <row r="1626" spans="1:9" x14ac:dyDescent="0.25">
      <c r="A1626" t="s">
        <v>6940</v>
      </c>
      <c r="B1626" s="1">
        <v>934</v>
      </c>
      <c r="C1626" s="1">
        <v>34081</v>
      </c>
      <c r="D1626">
        <v>36.65</v>
      </c>
      <c r="E1626">
        <v>37.1</v>
      </c>
      <c r="F1626">
        <v>36.25</v>
      </c>
      <c r="G1626">
        <v>36.25</v>
      </c>
      <c r="H1626">
        <v>-0.2</v>
      </c>
      <c r="I1626" s="1">
        <v>623</v>
      </c>
    </row>
    <row r="1627" spans="1:9" x14ac:dyDescent="0.25">
      <c r="A1627" t="s">
        <v>6941</v>
      </c>
      <c r="B1627" s="1">
        <v>788</v>
      </c>
      <c r="C1627" s="1">
        <v>28670</v>
      </c>
      <c r="D1627">
        <v>36.25</v>
      </c>
      <c r="E1627">
        <v>37.200000000000003</v>
      </c>
      <c r="F1627">
        <v>35.700000000000003</v>
      </c>
      <c r="G1627">
        <v>37.049999999999997</v>
      </c>
      <c r="H1627">
        <v>0.8</v>
      </c>
      <c r="I1627" s="1">
        <v>467</v>
      </c>
    </row>
    <row r="1628" spans="1:9" x14ac:dyDescent="0.25">
      <c r="A1628" t="s">
        <v>6942</v>
      </c>
      <c r="B1628" s="1">
        <v>1522</v>
      </c>
      <c r="C1628" s="1">
        <v>58304</v>
      </c>
      <c r="D1628">
        <v>37.5</v>
      </c>
      <c r="E1628">
        <v>38.9</v>
      </c>
      <c r="F1628">
        <v>37.299999999999997</v>
      </c>
      <c r="G1628">
        <v>38.75</v>
      </c>
      <c r="H1628">
        <v>1.7</v>
      </c>
      <c r="I1628" s="1">
        <v>918</v>
      </c>
    </row>
    <row r="1629" spans="1:9" x14ac:dyDescent="0.25">
      <c r="A1629" t="s">
        <v>6943</v>
      </c>
      <c r="B1629" s="1">
        <v>613</v>
      </c>
      <c r="C1629" s="1">
        <v>23393</v>
      </c>
      <c r="D1629">
        <v>38.4</v>
      </c>
      <c r="E1629">
        <v>38.4</v>
      </c>
      <c r="F1629">
        <v>38</v>
      </c>
      <c r="G1629">
        <v>38.049999999999997</v>
      </c>
      <c r="H1629">
        <v>-0.7</v>
      </c>
      <c r="I1629" s="1">
        <v>393</v>
      </c>
    </row>
    <row r="1630" spans="1:9" x14ac:dyDescent="0.25">
      <c r="A1630" t="s">
        <v>6944</v>
      </c>
      <c r="B1630" s="1">
        <v>661</v>
      </c>
      <c r="C1630" s="1">
        <v>24951</v>
      </c>
      <c r="D1630">
        <v>37.799999999999997</v>
      </c>
      <c r="E1630">
        <v>38</v>
      </c>
      <c r="F1630">
        <v>37.299999999999997</v>
      </c>
      <c r="G1630">
        <v>38</v>
      </c>
      <c r="H1630">
        <v>-0.05</v>
      </c>
      <c r="I1630" s="1">
        <v>366</v>
      </c>
    </row>
    <row r="1631" spans="1:9" x14ac:dyDescent="0.25">
      <c r="A1631" t="s">
        <v>1177</v>
      </c>
      <c r="B1631" s="1"/>
      <c r="C1631" s="1"/>
      <c r="I1631" s="1"/>
    </row>
    <row r="1633" spans="1:9" x14ac:dyDescent="0.25">
      <c r="A1633" s="9" t="s">
        <v>6903</v>
      </c>
      <c r="B1633" s="1">
        <v>5888</v>
      </c>
      <c r="C1633" s="1">
        <v>250423</v>
      </c>
      <c r="D1633">
        <v>43</v>
      </c>
      <c r="E1633">
        <v>43.4</v>
      </c>
      <c r="F1633">
        <v>41.5</v>
      </c>
      <c r="G1633">
        <v>41.5</v>
      </c>
      <c r="H1633">
        <v>-1.5</v>
      </c>
      <c r="I1633" s="1">
        <v>2905</v>
      </c>
    </row>
    <row r="1634" spans="1:9" x14ac:dyDescent="0.25">
      <c r="A1634" t="s">
        <v>6904</v>
      </c>
      <c r="B1634" s="1">
        <v>7779</v>
      </c>
      <c r="C1634" s="1">
        <v>324289</v>
      </c>
      <c r="D1634">
        <v>41.5</v>
      </c>
      <c r="E1634">
        <v>43</v>
      </c>
      <c r="F1634">
        <v>40.15</v>
      </c>
      <c r="G1634">
        <v>40.6</v>
      </c>
      <c r="H1634">
        <v>-0.9</v>
      </c>
      <c r="I1634" s="1">
        <v>3889</v>
      </c>
    </row>
    <row r="1635" spans="1:9" x14ac:dyDescent="0.25">
      <c r="A1635" t="s">
        <v>6905</v>
      </c>
      <c r="B1635" s="1">
        <v>6451</v>
      </c>
      <c r="C1635" s="1">
        <v>261446</v>
      </c>
      <c r="D1635">
        <v>40</v>
      </c>
      <c r="E1635">
        <v>41.7</v>
      </c>
      <c r="F1635">
        <v>39.200000000000003</v>
      </c>
      <c r="G1635">
        <v>41.45</v>
      </c>
      <c r="H1635">
        <v>0.85</v>
      </c>
      <c r="I1635" s="1">
        <v>3109</v>
      </c>
    </row>
    <row r="1636" spans="1:9" x14ac:dyDescent="0.25">
      <c r="A1636" t="s">
        <v>6906</v>
      </c>
      <c r="B1636" s="1">
        <v>7825</v>
      </c>
      <c r="C1636" s="1">
        <v>342197</v>
      </c>
      <c r="D1636">
        <v>42.3</v>
      </c>
      <c r="E1636">
        <v>44.35</v>
      </c>
      <c r="F1636">
        <v>42</v>
      </c>
      <c r="G1636">
        <v>44.35</v>
      </c>
      <c r="H1636">
        <v>2.9</v>
      </c>
      <c r="I1636" s="1">
        <v>3226</v>
      </c>
    </row>
    <row r="1637" spans="1:9" x14ac:dyDescent="0.25">
      <c r="A1637" t="s">
        <v>6907</v>
      </c>
      <c r="B1637" s="1">
        <v>16604</v>
      </c>
      <c r="C1637" s="1">
        <v>735916</v>
      </c>
      <c r="D1637">
        <v>44.35</v>
      </c>
      <c r="E1637">
        <v>45.35</v>
      </c>
      <c r="F1637">
        <v>42.5</v>
      </c>
      <c r="G1637">
        <v>42.55</v>
      </c>
      <c r="H1637">
        <v>-1.8</v>
      </c>
      <c r="I1637" s="1">
        <v>7528</v>
      </c>
    </row>
    <row r="1638" spans="1:9" x14ac:dyDescent="0.25">
      <c r="A1638" t="s">
        <v>6908</v>
      </c>
      <c r="B1638" s="1">
        <v>13986</v>
      </c>
      <c r="C1638" s="1">
        <v>615629</v>
      </c>
      <c r="D1638">
        <v>43.95</v>
      </c>
      <c r="E1638">
        <v>45.1</v>
      </c>
      <c r="F1638">
        <v>42.7</v>
      </c>
      <c r="G1638">
        <v>43.4</v>
      </c>
      <c r="H1638">
        <v>0.85</v>
      </c>
      <c r="I1638" s="1">
        <v>6742</v>
      </c>
    </row>
    <row r="1639" spans="1:9" x14ac:dyDescent="0.25">
      <c r="A1639" t="s">
        <v>6909</v>
      </c>
      <c r="B1639" s="1">
        <v>4464</v>
      </c>
      <c r="C1639" s="1">
        <v>191214</v>
      </c>
      <c r="D1639">
        <v>42.8</v>
      </c>
      <c r="E1639">
        <v>43.4</v>
      </c>
      <c r="F1639">
        <v>42.1</v>
      </c>
      <c r="G1639">
        <v>43.15</v>
      </c>
      <c r="H1639">
        <v>-0.25</v>
      </c>
      <c r="I1639" s="1">
        <v>2425</v>
      </c>
    </row>
    <row r="1640" spans="1:9" x14ac:dyDescent="0.25">
      <c r="A1640" t="s">
        <v>6910</v>
      </c>
      <c r="B1640" s="1">
        <v>4056</v>
      </c>
      <c r="C1640" s="1">
        <v>175321</v>
      </c>
      <c r="D1640">
        <v>43.15</v>
      </c>
      <c r="E1640">
        <v>43.75</v>
      </c>
      <c r="F1640">
        <v>42.55</v>
      </c>
      <c r="G1640">
        <v>43</v>
      </c>
      <c r="H1640">
        <v>-0.15</v>
      </c>
      <c r="I1640" s="1">
        <v>2051</v>
      </c>
    </row>
    <row r="1641" spans="1:9" x14ac:dyDescent="0.25">
      <c r="A1641" t="s">
        <v>6911</v>
      </c>
      <c r="B1641" s="1">
        <v>6012</v>
      </c>
      <c r="C1641" s="1">
        <v>265987</v>
      </c>
      <c r="D1641">
        <v>43.8</v>
      </c>
      <c r="E1641">
        <v>44.8</v>
      </c>
      <c r="F1641">
        <v>43.5</v>
      </c>
      <c r="G1641">
        <v>44.2</v>
      </c>
      <c r="H1641">
        <v>1.2</v>
      </c>
      <c r="I1641" s="1">
        <v>2814</v>
      </c>
    </row>
    <row r="1642" spans="1:9" x14ac:dyDescent="0.25">
      <c r="A1642" t="s">
        <v>6912</v>
      </c>
      <c r="B1642" s="1">
        <v>2648</v>
      </c>
      <c r="C1642" s="1">
        <v>116341</v>
      </c>
      <c r="D1642">
        <v>44.05</v>
      </c>
      <c r="E1642">
        <v>44.5</v>
      </c>
      <c r="F1642">
        <v>43.55</v>
      </c>
      <c r="G1642">
        <v>43.55</v>
      </c>
      <c r="H1642">
        <v>-0.65</v>
      </c>
      <c r="I1642" s="1">
        <v>1295</v>
      </c>
    </row>
    <row r="1643" spans="1:9" x14ac:dyDescent="0.25">
      <c r="A1643" t="s">
        <v>6913</v>
      </c>
      <c r="B1643" s="1">
        <v>4667</v>
      </c>
      <c r="C1643" s="1">
        <v>197177</v>
      </c>
      <c r="D1643">
        <v>43.6</v>
      </c>
      <c r="E1643">
        <v>43.75</v>
      </c>
      <c r="F1643">
        <v>41.7</v>
      </c>
      <c r="G1643">
        <v>41.7</v>
      </c>
      <c r="H1643">
        <v>-1.85</v>
      </c>
      <c r="I1643" s="1">
        <v>2193</v>
      </c>
    </row>
    <row r="1644" spans="1:9" x14ac:dyDescent="0.25">
      <c r="A1644" t="s">
        <v>6914</v>
      </c>
      <c r="B1644" s="1">
        <v>2190</v>
      </c>
      <c r="C1644" s="1">
        <v>92411</v>
      </c>
      <c r="D1644">
        <v>42.9</v>
      </c>
      <c r="E1644">
        <v>42.9</v>
      </c>
      <c r="F1644">
        <v>41.5</v>
      </c>
      <c r="G1644">
        <v>42.1</v>
      </c>
      <c r="H1644">
        <v>0.4</v>
      </c>
      <c r="I1644" s="1">
        <v>1197</v>
      </c>
    </row>
    <row r="1645" spans="1:9" x14ac:dyDescent="0.25">
      <c r="A1645" t="s">
        <v>6915</v>
      </c>
      <c r="B1645" s="1">
        <v>3239</v>
      </c>
      <c r="C1645" s="1">
        <v>134116</v>
      </c>
      <c r="D1645">
        <v>42.3</v>
      </c>
      <c r="E1645">
        <v>42.3</v>
      </c>
      <c r="F1645">
        <v>40.700000000000003</v>
      </c>
      <c r="G1645">
        <v>40.9</v>
      </c>
      <c r="H1645">
        <v>-1.2</v>
      </c>
      <c r="I1645" s="1">
        <v>1678</v>
      </c>
    </row>
    <row r="1646" spans="1:9" x14ac:dyDescent="0.25">
      <c r="A1646" t="s">
        <v>6916</v>
      </c>
      <c r="B1646" s="1">
        <v>3718</v>
      </c>
      <c r="C1646" s="1">
        <v>153990</v>
      </c>
      <c r="D1646">
        <v>41.4</v>
      </c>
      <c r="E1646">
        <v>42.3</v>
      </c>
      <c r="F1646">
        <v>40.5</v>
      </c>
      <c r="G1646">
        <v>41</v>
      </c>
      <c r="H1646">
        <v>0.1</v>
      </c>
      <c r="I1646" s="1">
        <v>2213</v>
      </c>
    </row>
    <row r="1647" spans="1:9" x14ac:dyDescent="0.25">
      <c r="A1647" t="s">
        <v>6917</v>
      </c>
      <c r="B1647" s="1">
        <v>2760</v>
      </c>
      <c r="C1647" s="1">
        <v>111504</v>
      </c>
      <c r="D1647">
        <v>41.2</v>
      </c>
      <c r="E1647">
        <v>41.4</v>
      </c>
      <c r="F1647">
        <v>39.6</v>
      </c>
      <c r="G1647">
        <v>39.950000000000003</v>
      </c>
      <c r="H1647">
        <v>-1.05</v>
      </c>
      <c r="I1647" s="1">
        <v>1422</v>
      </c>
    </row>
    <row r="1648" spans="1:9" x14ac:dyDescent="0.25">
      <c r="A1648" t="s">
        <v>6918</v>
      </c>
      <c r="B1648" s="1">
        <v>1860</v>
      </c>
      <c r="C1648" s="1">
        <v>73879</v>
      </c>
      <c r="D1648">
        <v>39.5</v>
      </c>
      <c r="E1648">
        <v>40.200000000000003</v>
      </c>
      <c r="F1648">
        <v>39.4</v>
      </c>
      <c r="G1648">
        <v>39.700000000000003</v>
      </c>
      <c r="H1648">
        <v>-0.25</v>
      </c>
      <c r="I1648" s="1">
        <v>1025</v>
      </c>
    </row>
    <row r="1649" spans="1:9" x14ac:dyDescent="0.25">
      <c r="A1649" t="s">
        <v>6919</v>
      </c>
      <c r="B1649" s="1">
        <v>1764</v>
      </c>
      <c r="C1649" s="1">
        <v>71071</v>
      </c>
      <c r="D1649">
        <v>40.200000000000003</v>
      </c>
      <c r="E1649">
        <v>40.549999999999997</v>
      </c>
      <c r="F1649">
        <v>39.9</v>
      </c>
      <c r="G1649">
        <v>40.4</v>
      </c>
      <c r="H1649">
        <v>0.7</v>
      </c>
      <c r="I1649" s="1">
        <v>936</v>
      </c>
    </row>
    <row r="1650" spans="1:9" x14ac:dyDescent="0.25">
      <c r="A1650" t="s">
        <v>6920</v>
      </c>
      <c r="B1650" s="1">
        <v>2434</v>
      </c>
      <c r="C1650" s="1">
        <v>98897</v>
      </c>
      <c r="D1650">
        <v>40.799999999999997</v>
      </c>
      <c r="E1650">
        <v>41.3</v>
      </c>
      <c r="F1650">
        <v>40.049999999999997</v>
      </c>
      <c r="G1650">
        <v>40.049999999999997</v>
      </c>
      <c r="H1650">
        <v>-0.35</v>
      </c>
      <c r="I1650" s="1">
        <v>1205</v>
      </c>
    </row>
    <row r="1651" spans="1:9" x14ac:dyDescent="0.25">
      <c r="A1651" t="s">
        <v>6921</v>
      </c>
      <c r="B1651" s="1">
        <v>5913</v>
      </c>
      <c r="C1651" s="1">
        <v>243799</v>
      </c>
      <c r="D1651">
        <v>41.3</v>
      </c>
      <c r="E1651">
        <v>42.5</v>
      </c>
      <c r="F1651">
        <v>40.049999999999997</v>
      </c>
      <c r="G1651">
        <v>40.5</v>
      </c>
      <c r="H1651">
        <v>0.45</v>
      </c>
      <c r="I1651" s="1">
        <v>3169</v>
      </c>
    </row>
    <row r="1652" spans="1:9" x14ac:dyDescent="0.25">
      <c r="A1652" t="s">
        <v>6922</v>
      </c>
      <c r="B1652" s="1">
        <v>2984</v>
      </c>
      <c r="C1652" s="1">
        <v>123177</v>
      </c>
      <c r="D1652">
        <v>41</v>
      </c>
      <c r="E1652">
        <v>41.6</v>
      </c>
      <c r="F1652">
        <v>40.700000000000003</v>
      </c>
      <c r="G1652">
        <v>41.6</v>
      </c>
      <c r="H1652">
        <v>1.1000000000000001</v>
      </c>
      <c r="I1652" s="1">
        <v>1605</v>
      </c>
    </row>
    <row r="1653" spans="1:9" x14ac:dyDescent="0.25">
      <c r="A1653" t="s">
        <v>927</v>
      </c>
      <c r="B1653" s="1"/>
      <c r="C1653" s="1"/>
      <c r="I1653" s="1"/>
    </row>
    <row r="1657" spans="1:9" x14ac:dyDescent="0.25">
      <c r="A1657" s="9" t="s">
        <v>6880</v>
      </c>
      <c r="B1657" s="1">
        <v>1316</v>
      </c>
      <c r="C1657" s="1">
        <v>54369</v>
      </c>
      <c r="D1657">
        <v>41.65</v>
      </c>
      <c r="E1657">
        <v>41.9</v>
      </c>
      <c r="F1657">
        <v>41</v>
      </c>
      <c r="G1657">
        <v>41</v>
      </c>
      <c r="H1657">
        <v>-0.55000000000000004</v>
      </c>
      <c r="I1657" s="1">
        <v>748</v>
      </c>
    </row>
    <row r="1658" spans="1:9" x14ac:dyDescent="0.25">
      <c r="A1658" t="s">
        <v>6881</v>
      </c>
      <c r="B1658" s="1">
        <v>1652</v>
      </c>
      <c r="C1658" s="1">
        <v>68760</v>
      </c>
      <c r="D1658">
        <v>41.3</v>
      </c>
      <c r="E1658">
        <v>41.9</v>
      </c>
      <c r="F1658">
        <v>41.3</v>
      </c>
      <c r="G1658">
        <v>41.4</v>
      </c>
      <c r="H1658">
        <v>0.4</v>
      </c>
      <c r="I1658" s="1">
        <v>863</v>
      </c>
    </row>
    <row r="1659" spans="1:9" x14ac:dyDescent="0.25">
      <c r="A1659" t="s">
        <v>6882</v>
      </c>
      <c r="B1659" s="1">
        <v>1449</v>
      </c>
      <c r="C1659" s="1">
        <v>60618</v>
      </c>
      <c r="D1659">
        <v>41.4</v>
      </c>
      <c r="E1659">
        <v>42.25</v>
      </c>
      <c r="F1659">
        <v>41.4</v>
      </c>
      <c r="G1659">
        <v>41.75</v>
      </c>
      <c r="H1659">
        <v>0.35</v>
      </c>
      <c r="I1659" s="1">
        <v>817</v>
      </c>
    </row>
    <row r="1660" spans="1:9" x14ac:dyDescent="0.25">
      <c r="A1660" t="s">
        <v>6883</v>
      </c>
      <c r="B1660" s="1">
        <v>1927</v>
      </c>
      <c r="C1660" s="1">
        <v>79419</v>
      </c>
      <c r="D1660">
        <v>41.8</v>
      </c>
      <c r="E1660">
        <v>42</v>
      </c>
      <c r="F1660">
        <v>40.85</v>
      </c>
      <c r="G1660">
        <v>40.950000000000003</v>
      </c>
      <c r="H1660">
        <v>-0.8</v>
      </c>
      <c r="I1660" s="1">
        <v>784</v>
      </c>
    </row>
    <row r="1661" spans="1:9" x14ac:dyDescent="0.25">
      <c r="A1661" t="s">
        <v>6884</v>
      </c>
      <c r="B1661" s="1">
        <v>2786</v>
      </c>
      <c r="C1661" s="1">
        <v>109340</v>
      </c>
      <c r="D1661">
        <v>40.799999999999997</v>
      </c>
      <c r="E1661">
        <v>40.950000000000003</v>
      </c>
      <c r="F1661">
        <v>38.5</v>
      </c>
      <c r="G1661">
        <v>38.9</v>
      </c>
      <c r="H1661">
        <v>-2.0499999999999998</v>
      </c>
      <c r="I1661" s="1">
        <v>1195</v>
      </c>
    </row>
    <row r="1662" spans="1:9" x14ac:dyDescent="0.25">
      <c r="A1662" t="s">
        <v>6885</v>
      </c>
      <c r="B1662" s="1">
        <v>1205</v>
      </c>
      <c r="C1662" s="1">
        <v>46346</v>
      </c>
      <c r="D1662">
        <v>37.700000000000003</v>
      </c>
      <c r="E1662">
        <v>39.299999999999997</v>
      </c>
      <c r="F1662">
        <v>37.700000000000003</v>
      </c>
      <c r="G1662">
        <v>38.9</v>
      </c>
      <c r="H1662">
        <v>0</v>
      </c>
      <c r="I1662" s="1">
        <v>690</v>
      </c>
    </row>
    <row r="1663" spans="1:9" x14ac:dyDescent="0.25">
      <c r="A1663" t="s">
        <v>6886</v>
      </c>
      <c r="B1663" s="1">
        <v>864</v>
      </c>
      <c r="C1663" s="1">
        <v>33760</v>
      </c>
      <c r="D1663">
        <v>39.200000000000003</v>
      </c>
      <c r="E1663">
        <v>39.4</v>
      </c>
      <c r="F1663">
        <v>38.9</v>
      </c>
      <c r="G1663">
        <v>39.25</v>
      </c>
      <c r="H1663">
        <v>0.35</v>
      </c>
      <c r="I1663" s="1">
        <v>490</v>
      </c>
    </row>
    <row r="1664" spans="1:9" x14ac:dyDescent="0.25">
      <c r="A1664" t="s">
        <v>6887</v>
      </c>
      <c r="B1664" s="1">
        <v>919</v>
      </c>
      <c r="C1664" s="1">
        <v>36132</v>
      </c>
      <c r="D1664">
        <v>39.700000000000003</v>
      </c>
      <c r="E1664">
        <v>39.700000000000003</v>
      </c>
      <c r="F1664">
        <v>39.049999999999997</v>
      </c>
      <c r="G1664">
        <v>39.1</v>
      </c>
      <c r="H1664">
        <v>-0.15</v>
      </c>
      <c r="I1664" s="1">
        <v>541</v>
      </c>
    </row>
    <row r="1665" spans="1:9" x14ac:dyDescent="0.25">
      <c r="A1665" t="s">
        <v>6888</v>
      </c>
      <c r="B1665" s="1">
        <v>1886</v>
      </c>
      <c r="C1665" s="1">
        <v>74444</v>
      </c>
      <c r="D1665">
        <v>39.85</v>
      </c>
      <c r="E1665">
        <v>40.1</v>
      </c>
      <c r="F1665">
        <v>38.9</v>
      </c>
      <c r="G1665">
        <v>39</v>
      </c>
      <c r="H1665">
        <v>-0.1</v>
      </c>
      <c r="I1665" s="1">
        <v>858</v>
      </c>
    </row>
    <row r="1666" spans="1:9" x14ac:dyDescent="0.25">
      <c r="A1666" t="s">
        <v>6889</v>
      </c>
      <c r="B1666" s="1">
        <v>1024</v>
      </c>
      <c r="C1666" s="1">
        <v>39890</v>
      </c>
      <c r="D1666">
        <v>39.1</v>
      </c>
      <c r="E1666">
        <v>39.5</v>
      </c>
      <c r="F1666">
        <v>38.75</v>
      </c>
      <c r="G1666">
        <v>38.75</v>
      </c>
      <c r="H1666">
        <v>-0.25</v>
      </c>
      <c r="I1666" s="1">
        <v>543</v>
      </c>
    </row>
    <row r="1667" spans="1:9" x14ac:dyDescent="0.25">
      <c r="A1667" t="s">
        <v>6890</v>
      </c>
      <c r="B1667" s="1">
        <v>879</v>
      </c>
      <c r="C1667" s="1">
        <v>34309</v>
      </c>
      <c r="D1667">
        <v>39.200000000000003</v>
      </c>
      <c r="E1667">
        <v>39.4</v>
      </c>
      <c r="F1667">
        <v>38.799999999999997</v>
      </c>
      <c r="G1667">
        <v>38.950000000000003</v>
      </c>
      <c r="H1667">
        <v>0.2</v>
      </c>
      <c r="I1667" s="1">
        <v>547</v>
      </c>
    </row>
    <row r="1668" spans="1:9" x14ac:dyDescent="0.25">
      <c r="A1668" t="s">
        <v>6891</v>
      </c>
      <c r="B1668" s="1">
        <v>568</v>
      </c>
      <c r="C1668" s="1">
        <v>22167</v>
      </c>
      <c r="D1668">
        <v>38.799999999999997</v>
      </c>
      <c r="E1668">
        <v>39.25</v>
      </c>
      <c r="F1668">
        <v>38.75</v>
      </c>
      <c r="G1668">
        <v>39</v>
      </c>
      <c r="H1668">
        <v>0.05</v>
      </c>
      <c r="I1668" s="1">
        <v>313</v>
      </c>
    </row>
    <row r="1669" spans="1:9" x14ac:dyDescent="0.25">
      <c r="A1669" t="s">
        <v>6892</v>
      </c>
      <c r="B1669" s="1">
        <v>831</v>
      </c>
      <c r="C1669" s="1">
        <v>32452</v>
      </c>
      <c r="D1669">
        <v>39</v>
      </c>
      <c r="E1669">
        <v>39.35</v>
      </c>
      <c r="F1669">
        <v>38.799999999999997</v>
      </c>
      <c r="G1669">
        <v>39.200000000000003</v>
      </c>
      <c r="H1669">
        <v>0.2</v>
      </c>
      <c r="I1669" s="1">
        <v>412</v>
      </c>
    </row>
    <row r="1670" spans="1:9" x14ac:dyDescent="0.25">
      <c r="A1670" t="s">
        <v>6893</v>
      </c>
      <c r="B1670" s="1">
        <v>3212</v>
      </c>
      <c r="C1670" s="1">
        <v>130308</v>
      </c>
      <c r="D1670">
        <v>40</v>
      </c>
      <c r="E1670">
        <v>41.4</v>
      </c>
      <c r="F1670">
        <v>39.799999999999997</v>
      </c>
      <c r="G1670">
        <v>40.6</v>
      </c>
      <c r="H1670">
        <v>1.4</v>
      </c>
      <c r="I1670" s="1">
        <v>1791</v>
      </c>
    </row>
    <row r="1671" spans="1:9" x14ac:dyDescent="0.25">
      <c r="A1671" t="s">
        <v>6894</v>
      </c>
      <c r="B1671" s="1">
        <v>1740</v>
      </c>
      <c r="C1671" s="1">
        <v>69865</v>
      </c>
      <c r="D1671">
        <v>40.6</v>
      </c>
      <c r="E1671">
        <v>40.9</v>
      </c>
      <c r="F1671">
        <v>39.700000000000003</v>
      </c>
      <c r="G1671">
        <v>39.9</v>
      </c>
      <c r="H1671">
        <v>-0.7</v>
      </c>
      <c r="I1671" s="1">
        <v>904</v>
      </c>
    </row>
    <row r="1672" spans="1:9" x14ac:dyDescent="0.25">
      <c r="A1672" t="s">
        <v>6895</v>
      </c>
      <c r="B1672" s="1">
        <v>1141</v>
      </c>
      <c r="C1672" s="1">
        <v>44910</v>
      </c>
      <c r="D1672">
        <v>40</v>
      </c>
      <c r="E1672">
        <v>40</v>
      </c>
      <c r="F1672">
        <v>38.9</v>
      </c>
      <c r="G1672">
        <v>39.200000000000003</v>
      </c>
      <c r="H1672">
        <v>-0.7</v>
      </c>
      <c r="I1672" s="1">
        <v>659</v>
      </c>
    </row>
    <row r="1673" spans="1:9" x14ac:dyDescent="0.25">
      <c r="A1673" t="s">
        <v>6896</v>
      </c>
      <c r="B1673" s="1">
        <v>1024</v>
      </c>
      <c r="C1673" s="1">
        <v>40121</v>
      </c>
      <c r="D1673">
        <v>39.25</v>
      </c>
      <c r="E1673">
        <v>39.5</v>
      </c>
      <c r="F1673">
        <v>38.9</v>
      </c>
      <c r="G1673">
        <v>39</v>
      </c>
      <c r="H1673">
        <v>-0.2</v>
      </c>
      <c r="I1673" s="1">
        <v>598</v>
      </c>
    </row>
    <row r="1674" spans="1:9" x14ac:dyDescent="0.25">
      <c r="A1674" t="s">
        <v>6897</v>
      </c>
      <c r="B1674" s="1">
        <v>703</v>
      </c>
      <c r="C1674" s="1">
        <v>27383</v>
      </c>
      <c r="D1674">
        <v>38.799999999999997</v>
      </c>
      <c r="E1674">
        <v>39.299999999999997</v>
      </c>
      <c r="F1674">
        <v>38.299999999999997</v>
      </c>
      <c r="G1674">
        <v>38.950000000000003</v>
      </c>
      <c r="H1674">
        <v>-0.05</v>
      </c>
      <c r="I1674" s="1">
        <v>499</v>
      </c>
    </row>
    <row r="1675" spans="1:9" x14ac:dyDescent="0.25">
      <c r="A1675" t="s">
        <v>6898</v>
      </c>
      <c r="B1675" s="1">
        <v>1056</v>
      </c>
      <c r="C1675" s="1">
        <v>41183</v>
      </c>
      <c r="D1675">
        <v>39.1</v>
      </c>
      <c r="E1675">
        <v>39.299999999999997</v>
      </c>
      <c r="F1675">
        <v>38.85</v>
      </c>
      <c r="G1675">
        <v>38.9</v>
      </c>
      <c r="H1675">
        <v>-0.05</v>
      </c>
      <c r="I1675" s="1">
        <v>456</v>
      </c>
    </row>
    <row r="1676" spans="1:9" x14ac:dyDescent="0.25">
      <c r="A1676" t="s">
        <v>6899</v>
      </c>
      <c r="B1676" s="1">
        <v>795</v>
      </c>
      <c r="C1676" s="1">
        <v>31004</v>
      </c>
      <c r="D1676">
        <v>39.1</v>
      </c>
      <c r="E1676">
        <v>39.299999999999997</v>
      </c>
      <c r="F1676">
        <v>38.85</v>
      </c>
      <c r="G1676">
        <v>38.9</v>
      </c>
      <c r="H1676">
        <v>0</v>
      </c>
      <c r="I1676" s="1">
        <v>378</v>
      </c>
    </row>
    <row r="1677" spans="1:9" x14ac:dyDescent="0.25">
      <c r="A1677" t="s">
        <v>6900</v>
      </c>
      <c r="B1677" s="1">
        <v>1791</v>
      </c>
      <c r="C1677" s="1">
        <v>70970</v>
      </c>
      <c r="D1677">
        <v>39.1</v>
      </c>
      <c r="E1677">
        <v>40.200000000000003</v>
      </c>
      <c r="F1677">
        <v>38.85</v>
      </c>
      <c r="G1677">
        <v>40.1</v>
      </c>
      <c r="H1677">
        <v>1.2</v>
      </c>
      <c r="I1677" s="1">
        <v>1025</v>
      </c>
    </row>
    <row r="1678" spans="1:9" x14ac:dyDescent="0.25">
      <c r="A1678" t="s">
        <v>6901</v>
      </c>
      <c r="B1678" s="1">
        <v>12826</v>
      </c>
      <c r="C1678" s="1">
        <v>526800</v>
      </c>
      <c r="D1678">
        <v>41</v>
      </c>
      <c r="E1678">
        <v>42</v>
      </c>
      <c r="F1678">
        <v>40</v>
      </c>
      <c r="G1678">
        <v>41.15</v>
      </c>
      <c r="H1678">
        <v>1.05</v>
      </c>
      <c r="I1678" s="1">
        <v>5971</v>
      </c>
    </row>
    <row r="1679" spans="1:9" x14ac:dyDescent="0.25">
      <c r="A1679" t="s">
        <v>6902</v>
      </c>
      <c r="B1679" s="1">
        <v>10320</v>
      </c>
      <c r="C1679" s="1">
        <v>433502</v>
      </c>
      <c r="D1679">
        <v>41.7</v>
      </c>
      <c r="E1679">
        <v>43</v>
      </c>
      <c r="F1679">
        <v>40.450000000000003</v>
      </c>
      <c r="G1679">
        <v>43</v>
      </c>
      <c r="H1679">
        <v>1.85</v>
      </c>
      <c r="I1679" s="1">
        <v>5061</v>
      </c>
    </row>
    <row r="1680" spans="1:9" x14ac:dyDescent="0.25">
      <c r="A1680" t="s">
        <v>951</v>
      </c>
      <c r="B1680" s="1"/>
      <c r="C1680" s="1"/>
      <c r="I1680" s="1"/>
    </row>
    <row r="1681" spans="1:9" x14ac:dyDescent="0.25">
      <c r="A1681" s="9" t="s">
        <v>6860</v>
      </c>
      <c r="B1681" s="1">
        <v>1574</v>
      </c>
      <c r="C1681" s="1">
        <v>58129</v>
      </c>
      <c r="D1681">
        <v>37</v>
      </c>
      <c r="E1681">
        <v>37.299999999999997</v>
      </c>
      <c r="F1681">
        <v>36.450000000000003</v>
      </c>
      <c r="G1681">
        <v>36.9</v>
      </c>
      <c r="H1681">
        <v>0.1</v>
      </c>
      <c r="I1681" s="1">
        <v>829</v>
      </c>
    </row>
    <row r="1682" spans="1:9" x14ac:dyDescent="0.25">
      <c r="A1682" t="s">
        <v>6861</v>
      </c>
      <c r="B1682" s="1">
        <v>2993</v>
      </c>
      <c r="C1682" s="1">
        <v>114351</v>
      </c>
      <c r="D1682">
        <v>37.5</v>
      </c>
      <c r="E1682">
        <v>38.5</v>
      </c>
      <c r="F1682">
        <v>37.5</v>
      </c>
      <c r="G1682">
        <v>38.5</v>
      </c>
      <c r="H1682">
        <v>1.6</v>
      </c>
      <c r="I1682" s="1">
        <v>1553</v>
      </c>
    </row>
    <row r="1683" spans="1:9" x14ac:dyDescent="0.25">
      <c r="A1683" t="s">
        <v>6862</v>
      </c>
      <c r="B1683" s="1">
        <v>2269</v>
      </c>
      <c r="C1683" s="1">
        <v>87943</v>
      </c>
      <c r="D1683">
        <v>38.5</v>
      </c>
      <c r="E1683">
        <v>39.299999999999997</v>
      </c>
      <c r="F1683">
        <v>38.049999999999997</v>
      </c>
      <c r="G1683">
        <v>38.799999999999997</v>
      </c>
      <c r="H1683">
        <v>0.3</v>
      </c>
      <c r="I1683" s="1">
        <v>1275</v>
      </c>
    </row>
    <row r="1684" spans="1:9" x14ac:dyDescent="0.25">
      <c r="A1684" t="s">
        <v>6863</v>
      </c>
      <c r="B1684" s="1">
        <v>1628</v>
      </c>
      <c r="C1684" s="1">
        <v>63658</v>
      </c>
      <c r="D1684">
        <v>38.799999999999997</v>
      </c>
      <c r="E1684">
        <v>39.5</v>
      </c>
      <c r="F1684">
        <v>38.799999999999997</v>
      </c>
      <c r="G1684">
        <v>38.799999999999997</v>
      </c>
      <c r="H1684">
        <v>0</v>
      </c>
      <c r="I1684" s="1">
        <v>884</v>
      </c>
    </row>
    <row r="1685" spans="1:9" x14ac:dyDescent="0.25">
      <c r="A1685" t="s">
        <v>6864</v>
      </c>
      <c r="B1685" s="1">
        <v>1703</v>
      </c>
      <c r="C1685" s="1">
        <v>65033</v>
      </c>
      <c r="D1685">
        <v>38.799999999999997</v>
      </c>
      <c r="E1685">
        <v>39.1</v>
      </c>
      <c r="F1685">
        <v>37.799999999999997</v>
      </c>
      <c r="G1685">
        <v>37.799999999999997</v>
      </c>
      <c r="H1685">
        <v>-1</v>
      </c>
      <c r="I1685" s="1">
        <v>871</v>
      </c>
    </row>
    <row r="1686" spans="1:9" x14ac:dyDescent="0.25">
      <c r="A1686" t="s">
        <v>6865</v>
      </c>
      <c r="B1686" s="1">
        <v>857</v>
      </c>
      <c r="C1686" s="1">
        <v>32457</v>
      </c>
      <c r="D1686">
        <v>37.5</v>
      </c>
      <c r="E1686">
        <v>38.299999999999997</v>
      </c>
      <c r="F1686">
        <v>37.5</v>
      </c>
      <c r="G1686">
        <v>38</v>
      </c>
      <c r="H1686">
        <v>0.2</v>
      </c>
      <c r="I1686" s="1">
        <v>535</v>
      </c>
    </row>
    <row r="1687" spans="1:9" x14ac:dyDescent="0.25">
      <c r="A1687" t="s">
        <v>6866</v>
      </c>
      <c r="B1687" s="1">
        <v>1469</v>
      </c>
      <c r="C1687" s="1">
        <v>56721</v>
      </c>
      <c r="D1687">
        <v>38.5</v>
      </c>
      <c r="E1687">
        <v>38.85</v>
      </c>
      <c r="F1687">
        <v>38.299999999999997</v>
      </c>
      <c r="G1687">
        <v>38.549999999999997</v>
      </c>
      <c r="H1687">
        <v>0.55000000000000004</v>
      </c>
      <c r="I1687" s="1">
        <v>734</v>
      </c>
    </row>
    <row r="1688" spans="1:9" x14ac:dyDescent="0.25">
      <c r="A1688" t="s">
        <v>6867</v>
      </c>
      <c r="B1688" s="1">
        <v>3626</v>
      </c>
      <c r="C1688" s="1">
        <v>146397</v>
      </c>
      <c r="D1688">
        <v>38.6</v>
      </c>
      <c r="E1688">
        <v>41.2</v>
      </c>
      <c r="F1688">
        <v>38.6</v>
      </c>
      <c r="G1688">
        <v>41.2</v>
      </c>
      <c r="H1688">
        <v>2.65</v>
      </c>
      <c r="I1688" s="1">
        <v>1742</v>
      </c>
    </row>
    <row r="1689" spans="1:9" x14ac:dyDescent="0.25">
      <c r="A1689" t="s">
        <v>6868</v>
      </c>
      <c r="B1689" s="1">
        <v>5046</v>
      </c>
      <c r="C1689" s="1">
        <v>207448</v>
      </c>
      <c r="D1689">
        <v>41.5</v>
      </c>
      <c r="E1689">
        <v>42.5</v>
      </c>
      <c r="F1689">
        <v>40</v>
      </c>
      <c r="G1689">
        <v>40.25</v>
      </c>
      <c r="H1689">
        <v>-0.95</v>
      </c>
      <c r="I1689" s="1">
        <v>2310</v>
      </c>
    </row>
    <row r="1690" spans="1:9" x14ac:dyDescent="0.25">
      <c r="A1690" t="s">
        <v>6869</v>
      </c>
      <c r="B1690" s="1">
        <v>1572</v>
      </c>
      <c r="C1690" s="1">
        <v>62610</v>
      </c>
      <c r="D1690">
        <v>40</v>
      </c>
      <c r="E1690">
        <v>40.1</v>
      </c>
      <c r="F1690">
        <v>39.4</v>
      </c>
      <c r="G1690">
        <v>39.85</v>
      </c>
      <c r="H1690">
        <v>-0.4</v>
      </c>
      <c r="I1690" s="1">
        <v>794</v>
      </c>
    </row>
    <row r="1691" spans="1:9" x14ac:dyDescent="0.25">
      <c r="A1691" t="s">
        <v>6870</v>
      </c>
      <c r="B1691" s="1">
        <v>1384</v>
      </c>
      <c r="C1691" s="1">
        <v>54814</v>
      </c>
      <c r="D1691">
        <v>40.5</v>
      </c>
      <c r="E1691">
        <v>40.5</v>
      </c>
      <c r="F1691">
        <v>39.25</v>
      </c>
      <c r="G1691">
        <v>39.299999999999997</v>
      </c>
      <c r="H1691">
        <v>-0.55000000000000004</v>
      </c>
      <c r="I1691" s="1">
        <v>705</v>
      </c>
    </row>
    <row r="1692" spans="1:9" x14ac:dyDescent="0.25">
      <c r="A1692" t="s">
        <v>6871</v>
      </c>
      <c r="B1692" s="1">
        <v>1303</v>
      </c>
      <c r="C1692" s="1">
        <v>52130</v>
      </c>
      <c r="D1692">
        <v>39.5</v>
      </c>
      <c r="E1692">
        <v>40.450000000000003</v>
      </c>
      <c r="F1692">
        <v>39.5</v>
      </c>
      <c r="G1692">
        <v>39.9</v>
      </c>
      <c r="H1692">
        <v>0.6</v>
      </c>
      <c r="I1692" s="1">
        <v>724</v>
      </c>
    </row>
    <row r="1693" spans="1:9" x14ac:dyDescent="0.25">
      <c r="A1693" t="s">
        <v>6872</v>
      </c>
      <c r="B1693" s="1">
        <v>1469</v>
      </c>
      <c r="C1693" s="1">
        <v>58408</v>
      </c>
      <c r="D1693">
        <v>40</v>
      </c>
      <c r="E1693">
        <v>40.4</v>
      </c>
      <c r="F1693">
        <v>39</v>
      </c>
      <c r="G1693">
        <v>39.049999999999997</v>
      </c>
      <c r="H1693">
        <v>-0.85</v>
      </c>
      <c r="I1693" s="1">
        <v>792</v>
      </c>
    </row>
    <row r="1694" spans="1:9" x14ac:dyDescent="0.25">
      <c r="A1694" t="s">
        <v>6873</v>
      </c>
      <c r="B1694" s="1">
        <v>1213</v>
      </c>
      <c r="C1694" s="1">
        <v>47394</v>
      </c>
      <c r="D1694">
        <v>39.5</v>
      </c>
      <c r="E1694">
        <v>39.9</v>
      </c>
      <c r="F1694">
        <v>38.5</v>
      </c>
      <c r="G1694">
        <v>38.75</v>
      </c>
      <c r="H1694">
        <v>-0.3</v>
      </c>
      <c r="I1694" s="1">
        <v>738</v>
      </c>
    </row>
    <row r="1695" spans="1:9" x14ac:dyDescent="0.25">
      <c r="A1695" t="s">
        <v>6874</v>
      </c>
      <c r="B1695" s="1">
        <v>829</v>
      </c>
      <c r="C1695" s="1">
        <v>32520</v>
      </c>
      <c r="D1695">
        <v>39.200000000000003</v>
      </c>
      <c r="E1695">
        <v>39.5</v>
      </c>
      <c r="F1695">
        <v>39</v>
      </c>
      <c r="G1695">
        <v>39.299999999999997</v>
      </c>
      <c r="H1695">
        <v>0.55000000000000004</v>
      </c>
      <c r="I1695" s="1">
        <v>411</v>
      </c>
    </row>
    <row r="1696" spans="1:9" x14ac:dyDescent="0.25">
      <c r="A1696" t="s">
        <v>6875</v>
      </c>
      <c r="B1696" s="1">
        <v>1212</v>
      </c>
      <c r="C1696" s="1">
        <v>48402</v>
      </c>
      <c r="D1696">
        <v>39.299999999999997</v>
      </c>
      <c r="E1696">
        <v>40.35</v>
      </c>
      <c r="F1696">
        <v>39.299999999999997</v>
      </c>
      <c r="G1696">
        <v>39.950000000000003</v>
      </c>
      <c r="H1696">
        <v>0.65</v>
      </c>
      <c r="I1696" s="1">
        <v>656</v>
      </c>
    </row>
    <row r="1697" spans="1:9" x14ac:dyDescent="0.25">
      <c r="A1697" t="s">
        <v>6876</v>
      </c>
      <c r="B1697" s="1">
        <v>4474</v>
      </c>
      <c r="C1697" s="1">
        <v>186008</v>
      </c>
      <c r="D1697">
        <v>39.950000000000003</v>
      </c>
      <c r="E1697">
        <v>42.5</v>
      </c>
      <c r="F1697">
        <v>39.950000000000003</v>
      </c>
      <c r="G1697">
        <v>42</v>
      </c>
      <c r="H1697">
        <v>2.0499999999999998</v>
      </c>
      <c r="I1697" s="1">
        <v>2301</v>
      </c>
    </row>
    <row r="1698" spans="1:9" x14ac:dyDescent="0.25">
      <c r="A1698" t="s">
        <v>6877</v>
      </c>
      <c r="B1698" s="1">
        <v>3956</v>
      </c>
      <c r="C1698" s="1">
        <v>168937</v>
      </c>
      <c r="D1698">
        <v>42</v>
      </c>
      <c r="E1698">
        <v>43.45</v>
      </c>
      <c r="F1698">
        <v>42</v>
      </c>
      <c r="G1698">
        <v>42.5</v>
      </c>
      <c r="H1698">
        <v>0.5</v>
      </c>
      <c r="I1698" s="1">
        <v>1981</v>
      </c>
    </row>
    <row r="1699" spans="1:9" x14ac:dyDescent="0.25">
      <c r="A1699" t="s">
        <v>6878</v>
      </c>
      <c r="B1699" s="1">
        <v>1749</v>
      </c>
      <c r="C1699" s="1">
        <v>73785</v>
      </c>
      <c r="D1699">
        <v>43</v>
      </c>
      <c r="E1699">
        <v>43.2</v>
      </c>
      <c r="F1699">
        <v>41.7</v>
      </c>
      <c r="G1699">
        <v>41.85</v>
      </c>
      <c r="H1699">
        <v>-0.65</v>
      </c>
      <c r="I1699" s="1">
        <v>1022</v>
      </c>
    </row>
    <row r="1700" spans="1:9" x14ac:dyDescent="0.25">
      <c r="A1700" t="s">
        <v>6879</v>
      </c>
      <c r="B1700" s="1">
        <v>1521</v>
      </c>
      <c r="C1700" s="1">
        <v>63504</v>
      </c>
      <c r="D1700">
        <v>42.5</v>
      </c>
      <c r="E1700">
        <v>42.5</v>
      </c>
      <c r="F1700">
        <v>41.2</v>
      </c>
      <c r="G1700">
        <v>41.55</v>
      </c>
      <c r="H1700">
        <v>-0.3</v>
      </c>
      <c r="I1700" s="1">
        <v>825</v>
      </c>
    </row>
    <row r="1701" spans="1:9" x14ac:dyDescent="0.25">
      <c r="A1701" t="s">
        <v>927</v>
      </c>
      <c r="B1701" s="1"/>
      <c r="C1701" s="1"/>
      <c r="I1701" s="1"/>
    </row>
    <row r="1705" spans="1:9" x14ac:dyDescent="0.25">
      <c r="A1705" s="9" t="s">
        <v>6844</v>
      </c>
      <c r="B1705" s="1">
        <v>681</v>
      </c>
      <c r="C1705" s="1">
        <v>20953</v>
      </c>
      <c r="D1705">
        <v>31.1</v>
      </c>
      <c r="E1705">
        <v>31.1</v>
      </c>
      <c r="F1705">
        <v>30.6</v>
      </c>
      <c r="G1705">
        <v>30.7</v>
      </c>
      <c r="H1705">
        <v>-0.4</v>
      </c>
      <c r="I1705" s="1">
        <v>259</v>
      </c>
    </row>
    <row r="1706" spans="1:9" x14ac:dyDescent="0.25">
      <c r="A1706" t="s">
        <v>6845</v>
      </c>
      <c r="B1706" s="1">
        <v>699</v>
      </c>
      <c r="C1706" s="1">
        <v>21504</v>
      </c>
      <c r="D1706">
        <v>30.7</v>
      </c>
      <c r="E1706">
        <v>30.95</v>
      </c>
      <c r="F1706">
        <v>30.7</v>
      </c>
      <c r="G1706">
        <v>30.75</v>
      </c>
      <c r="H1706">
        <v>0.05</v>
      </c>
      <c r="I1706" s="1">
        <v>259</v>
      </c>
    </row>
    <row r="1707" spans="1:9" x14ac:dyDescent="0.25">
      <c r="A1707" t="s">
        <v>6846</v>
      </c>
      <c r="B1707" s="1">
        <v>787</v>
      </c>
      <c r="C1707" s="1">
        <v>24573</v>
      </c>
      <c r="D1707">
        <v>31</v>
      </c>
      <c r="E1707">
        <v>31.45</v>
      </c>
      <c r="F1707">
        <v>31</v>
      </c>
      <c r="G1707">
        <v>31.05</v>
      </c>
      <c r="H1707">
        <v>0.3</v>
      </c>
      <c r="I1707" s="1">
        <v>460</v>
      </c>
    </row>
    <row r="1708" spans="1:9" x14ac:dyDescent="0.25">
      <c r="A1708" t="s">
        <v>6847</v>
      </c>
      <c r="B1708" s="1">
        <v>773</v>
      </c>
      <c r="C1708" s="1">
        <v>24417</v>
      </c>
      <c r="D1708">
        <v>31.35</v>
      </c>
      <c r="E1708">
        <v>31.9</v>
      </c>
      <c r="F1708">
        <v>31.35</v>
      </c>
      <c r="G1708">
        <v>31.5</v>
      </c>
      <c r="H1708">
        <v>0.45</v>
      </c>
      <c r="I1708" s="1">
        <v>538</v>
      </c>
    </row>
    <row r="1709" spans="1:9" x14ac:dyDescent="0.25">
      <c r="A1709" t="s">
        <v>6848</v>
      </c>
      <c r="B1709" s="1">
        <v>659</v>
      </c>
      <c r="C1709" s="1">
        <v>20863</v>
      </c>
      <c r="D1709">
        <v>31.8</v>
      </c>
      <c r="E1709">
        <v>31.85</v>
      </c>
      <c r="F1709">
        <v>31.55</v>
      </c>
      <c r="G1709">
        <v>31.7</v>
      </c>
      <c r="H1709">
        <v>0.2</v>
      </c>
      <c r="I1709" s="1">
        <v>326</v>
      </c>
    </row>
    <row r="1710" spans="1:9" x14ac:dyDescent="0.25">
      <c r="A1710" t="s">
        <v>6849</v>
      </c>
      <c r="B1710" s="1">
        <v>2956</v>
      </c>
      <c r="C1710" s="1">
        <v>97662</v>
      </c>
      <c r="D1710">
        <v>31.8</v>
      </c>
      <c r="E1710">
        <v>33.9</v>
      </c>
      <c r="F1710">
        <v>31.6</v>
      </c>
      <c r="G1710">
        <v>33.9</v>
      </c>
      <c r="H1710">
        <v>2.2000000000000002</v>
      </c>
      <c r="I1710" s="1">
        <v>1378</v>
      </c>
    </row>
    <row r="1711" spans="1:9" x14ac:dyDescent="0.25">
      <c r="A1711" t="s">
        <v>6850</v>
      </c>
      <c r="B1711" s="1">
        <v>2486</v>
      </c>
      <c r="C1711" s="1">
        <v>85101</v>
      </c>
      <c r="D1711">
        <v>34.5</v>
      </c>
      <c r="E1711">
        <v>34.75</v>
      </c>
      <c r="F1711">
        <v>33.65</v>
      </c>
      <c r="G1711">
        <v>33.700000000000003</v>
      </c>
      <c r="H1711">
        <v>-0.2</v>
      </c>
      <c r="I1711" s="1">
        <v>1270</v>
      </c>
    </row>
    <row r="1712" spans="1:9" x14ac:dyDescent="0.25">
      <c r="A1712" t="s">
        <v>6851</v>
      </c>
      <c r="B1712" s="1">
        <v>1236</v>
      </c>
      <c r="C1712" s="1">
        <v>41862</v>
      </c>
      <c r="D1712">
        <v>34.200000000000003</v>
      </c>
      <c r="E1712">
        <v>34.200000000000003</v>
      </c>
      <c r="F1712">
        <v>33.299999999999997</v>
      </c>
      <c r="G1712">
        <v>33.299999999999997</v>
      </c>
      <c r="H1712">
        <v>-0.4</v>
      </c>
      <c r="I1712" s="1">
        <v>708</v>
      </c>
    </row>
    <row r="1713" spans="1:9" x14ac:dyDescent="0.25">
      <c r="A1713" t="s">
        <v>6852</v>
      </c>
      <c r="B1713" s="1">
        <v>3388</v>
      </c>
      <c r="C1713" s="1">
        <v>116855</v>
      </c>
      <c r="D1713">
        <v>34</v>
      </c>
      <c r="E1713">
        <v>35.299999999999997</v>
      </c>
      <c r="F1713">
        <v>33.549999999999997</v>
      </c>
      <c r="G1713">
        <v>35</v>
      </c>
      <c r="H1713">
        <v>1.7</v>
      </c>
      <c r="I1713" s="1">
        <v>1628</v>
      </c>
    </row>
    <row r="1714" spans="1:9" x14ac:dyDescent="0.25">
      <c r="A1714" t="s">
        <v>6853</v>
      </c>
      <c r="B1714" s="1">
        <v>3133</v>
      </c>
      <c r="C1714" s="1">
        <v>106495</v>
      </c>
      <c r="D1714">
        <v>35</v>
      </c>
      <c r="E1714">
        <v>35.299999999999997</v>
      </c>
      <c r="F1714">
        <v>33</v>
      </c>
      <c r="G1714">
        <v>33</v>
      </c>
      <c r="H1714">
        <v>-2</v>
      </c>
      <c r="I1714" s="1">
        <v>1657</v>
      </c>
    </row>
    <row r="1715" spans="1:9" x14ac:dyDescent="0.25">
      <c r="A1715" t="s">
        <v>6854</v>
      </c>
      <c r="B1715" s="1">
        <v>1108</v>
      </c>
      <c r="C1715" s="1">
        <v>37234</v>
      </c>
      <c r="D1715">
        <v>33.9</v>
      </c>
      <c r="E1715">
        <v>33.9</v>
      </c>
      <c r="F1715">
        <v>33.299999999999997</v>
      </c>
      <c r="G1715">
        <v>33.5</v>
      </c>
      <c r="H1715">
        <v>0.5</v>
      </c>
      <c r="I1715" s="1">
        <v>665</v>
      </c>
    </row>
    <row r="1716" spans="1:9" x14ac:dyDescent="0.25">
      <c r="A1716" t="s">
        <v>6855</v>
      </c>
      <c r="B1716" s="1">
        <v>1630</v>
      </c>
      <c r="C1716" s="1">
        <v>56092</v>
      </c>
      <c r="D1716">
        <v>34.200000000000003</v>
      </c>
      <c r="E1716">
        <v>34.799999999999997</v>
      </c>
      <c r="F1716">
        <v>33.5</v>
      </c>
      <c r="G1716">
        <v>34.4</v>
      </c>
      <c r="H1716">
        <v>0.9</v>
      </c>
      <c r="I1716" s="1">
        <v>877</v>
      </c>
    </row>
    <row r="1717" spans="1:9" x14ac:dyDescent="0.25">
      <c r="A1717" t="s">
        <v>6856</v>
      </c>
      <c r="B1717" s="1">
        <v>2423</v>
      </c>
      <c r="C1717" s="1">
        <v>85319</v>
      </c>
      <c r="D1717">
        <v>34.9</v>
      </c>
      <c r="E1717">
        <v>35.799999999999997</v>
      </c>
      <c r="F1717">
        <v>34.5</v>
      </c>
      <c r="G1717">
        <v>35.299999999999997</v>
      </c>
      <c r="H1717">
        <v>0.9</v>
      </c>
      <c r="I1717" s="1">
        <v>1228</v>
      </c>
    </row>
    <row r="1718" spans="1:9" x14ac:dyDescent="0.25">
      <c r="A1718" t="s">
        <v>6857</v>
      </c>
      <c r="B1718" s="1">
        <v>2173</v>
      </c>
      <c r="C1718" s="1">
        <v>78347</v>
      </c>
      <c r="D1718">
        <v>36.1</v>
      </c>
      <c r="E1718">
        <v>36.700000000000003</v>
      </c>
      <c r="F1718">
        <v>35.6</v>
      </c>
      <c r="G1718">
        <v>36.299999999999997</v>
      </c>
      <c r="H1718">
        <v>1</v>
      </c>
      <c r="I1718" s="1">
        <v>977</v>
      </c>
    </row>
    <row r="1719" spans="1:9" x14ac:dyDescent="0.25">
      <c r="A1719" t="s">
        <v>6858</v>
      </c>
      <c r="B1719" s="1">
        <v>1820</v>
      </c>
      <c r="C1719" s="1">
        <v>67008</v>
      </c>
      <c r="D1719">
        <v>36.299999999999997</v>
      </c>
      <c r="E1719">
        <v>37.299999999999997</v>
      </c>
      <c r="F1719">
        <v>36.200000000000003</v>
      </c>
      <c r="G1719">
        <v>36.799999999999997</v>
      </c>
      <c r="H1719">
        <v>0.5</v>
      </c>
      <c r="I1719" s="1">
        <v>899</v>
      </c>
    </row>
    <row r="1720" spans="1:9" x14ac:dyDescent="0.25">
      <c r="A1720" t="s">
        <v>6859</v>
      </c>
      <c r="B1720" s="1"/>
      <c r="C1720" s="1"/>
      <c r="I1720" s="1"/>
    </row>
    <row r="1729" spans="1:9" x14ac:dyDescent="0.25">
      <c r="A1729" s="9" t="s">
        <v>6822</v>
      </c>
      <c r="B1729" s="1">
        <v>991</v>
      </c>
      <c r="C1729" s="1">
        <v>32262</v>
      </c>
      <c r="D1729">
        <v>32.6</v>
      </c>
      <c r="E1729">
        <v>32.9</v>
      </c>
      <c r="F1729">
        <v>32.299999999999997</v>
      </c>
      <c r="G1729">
        <v>32.549999999999997</v>
      </c>
      <c r="H1729">
        <v>0.9</v>
      </c>
      <c r="I1729" s="1">
        <v>509</v>
      </c>
    </row>
    <row r="1730" spans="1:9" x14ac:dyDescent="0.25">
      <c r="A1730" t="s">
        <v>6823</v>
      </c>
      <c r="B1730" s="1">
        <v>407</v>
      </c>
      <c r="C1730" s="1">
        <v>13062</v>
      </c>
      <c r="D1730">
        <v>32.549999999999997</v>
      </c>
      <c r="E1730">
        <v>32.549999999999997</v>
      </c>
      <c r="F1730">
        <v>31.85</v>
      </c>
      <c r="G1730">
        <v>31.85</v>
      </c>
      <c r="H1730">
        <v>-0.7</v>
      </c>
      <c r="I1730" s="1">
        <v>277</v>
      </c>
    </row>
    <row r="1731" spans="1:9" x14ac:dyDescent="0.25">
      <c r="A1731" t="s">
        <v>6824</v>
      </c>
      <c r="B1731" s="1">
        <v>416</v>
      </c>
      <c r="C1731" s="1">
        <v>13067</v>
      </c>
      <c r="D1731">
        <v>32</v>
      </c>
      <c r="E1731">
        <v>32</v>
      </c>
      <c r="F1731">
        <v>31.25</v>
      </c>
      <c r="G1731">
        <v>31.3</v>
      </c>
      <c r="H1731">
        <v>-0.55000000000000004</v>
      </c>
      <c r="I1731" s="1">
        <v>261</v>
      </c>
    </row>
    <row r="1732" spans="1:9" x14ac:dyDescent="0.25">
      <c r="A1732" t="s">
        <v>6825</v>
      </c>
      <c r="B1732" s="1">
        <v>583</v>
      </c>
      <c r="C1732" s="1">
        <v>18227</v>
      </c>
      <c r="D1732">
        <v>31.5</v>
      </c>
      <c r="E1732">
        <v>31.55</v>
      </c>
      <c r="F1732">
        <v>31</v>
      </c>
      <c r="G1732">
        <v>31</v>
      </c>
      <c r="H1732">
        <v>-0.3</v>
      </c>
      <c r="I1732" s="1">
        <v>346</v>
      </c>
    </row>
    <row r="1733" spans="1:9" x14ac:dyDescent="0.25">
      <c r="A1733" t="s">
        <v>6826</v>
      </c>
      <c r="B1733" s="1">
        <v>543</v>
      </c>
      <c r="C1733" s="1">
        <v>16814</v>
      </c>
      <c r="D1733">
        <v>31</v>
      </c>
      <c r="E1733">
        <v>31.45</v>
      </c>
      <c r="F1733">
        <v>30.75</v>
      </c>
      <c r="G1733">
        <v>30.75</v>
      </c>
      <c r="H1733">
        <v>-0.25</v>
      </c>
      <c r="I1733" s="1">
        <v>294</v>
      </c>
    </row>
    <row r="1734" spans="1:9" x14ac:dyDescent="0.25">
      <c r="A1734" t="s">
        <v>6827</v>
      </c>
      <c r="B1734" s="1">
        <v>720</v>
      </c>
      <c r="C1734" s="1">
        <v>22013</v>
      </c>
      <c r="D1734">
        <v>30.5</v>
      </c>
      <c r="E1734">
        <v>31</v>
      </c>
      <c r="F1734">
        <v>30.45</v>
      </c>
      <c r="G1734">
        <v>30.5</v>
      </c>
      <c r="H1734">
        <v>-0.25</v>
      </c>
      <c r="I1734" s="1">
        <v>353</v>
      </c>
    </row>
    <row r="1735" spans="1:9" x14ac:dyDescent="0.25">
      <c r="A1735" t="s">
        <v>6828</v>
      </c>
      <c r="B1735" s="1">
        <v>350</v>
      </c>
      <c r="C1735" s="1">
        <v>10598</v>
      </c>
      <c r="D1735">
        <v>30.2</v>
      </c>
      <c r="E1735">
        <v>30.65</v>
      </c>
      <c r="F1735">
        <v>29.9</v>
      </c>
      <c r="G1735">
        <v>30.25</v>
      </c>
      <c r="H1735">
        <v>-0.25</v>
      </c>
      <c r="I1735" s="1">
        <v>227</v>
      </c>
    </row>
    <row r="1736" spans="1:9" x14ac:dyDescent="0.25">
      <c r="A1736" t="s">
        <v>6829</v>
      </c>
      <c r="B1736" s="1">
        <v>378</v>
      </c>
      <c r="C1736" s="1">
        <v>11496</v>
      </c>
      <c r="D1736">
        <v>30.25</v>
      </c>
      <c r="E1736">
        <v>30.8</v>
      </c>
      <c r="F1736">
        <v>30.25</v>
      </c>
      <c r="G1736">
        <v>30.3</v>
      </c>
      <c r="H1736">
        <v>0.05</v>
      </c>
      <c r="I1736" s="1">
        <v>251</v>
      </c>
    </row>
    <row r="1737" spans="1:9" x14ac:dyDescent="0.25">
      <c r="A1737" t="s">
        <v>6830</v>
      </c>
      <c r="B1737" s="1">
        <v>572</v>
      </c>
      <c r="C1737" s="1">
        <v>17144</v>
      </c>
      <c r="D1737">
        <v>30.25</v>
      </c>
      <c r="E1737">
        <v>30.3</v>
      </c>
      <c r="F1737">
        <v>29.8</v>
      </c>
      <c r="G1737">
        <v>30.2</v>
      </c>
      <c r="H1737">
        <v>-0.1</v>
      </c>
      <c r="I1737" s="1">
        <v>286</v>
      </c>
    </row>
    <row r="1738" spans="1:9" x14ac:dyDescent="0.25">
      <c r="A1738" t="s">
        <v>6831</v>
      </c>
      <c r="B1738" s="1">
        <v>236</v>
      </c>
      <c r="C1738" s="1">
        <v>7099</v>
      </c>
      <c r="D1738">
        <v>30.1</v>
      </c>
      <c r="E1738">
        <v>30.45</v>
      </c>
      <c r="F1738">
        <v>29.9</v>
      </c>
      <c r="G1738">
        <v>30.3</v>
      </c>
      <c r="H1738">
        <v>0.1</v>
      </c>
      <c r="I1738" s="1">
        <v>157</v>
      </c>
    </row>
    <row r="1739" spans="1:9" x14ac:dyDescent="0.25">
      <c r="A1739" t="s">
        <v>6832</v>
      </c>
      <c r="B1739" s="1">
        <v>606</v>
      </c>
      <c r="C1739" s="1">
        <v>18145</v>
      </c>
      <c r="D1739">
        <v>30</v>
      </c>
      <c r="E1739">
        <v>30.2</v>
      </c>
      <c r="F1739">
        <v>29.75</v>
      </c>
      <c r="G1739">
        <v>29.75</v>
      </c>
      <c r="H1739">
        <v>-0.55000000000000004</v>
      </c>
      <c r="I1739" s="1">
        <v>285</v>
      </c>
    </row>
    <row r="1740" spans="1:9" x14ac:dyDescent="0.25">
      <c r="A1740" t="s">
        <v>6833</v>
      </c>
      <c r="B1740" s="1">
        <v>449</v>
      </c>
      <c r="C1740" s="1">
        <v>13411</v>
      </c>
      <c r="D1740">
        <v>29.8</v>
      </c>
      <c r="E1740">
        <v>30</v>
      </c>
      <c r="F1740">
        <v>29.75</v>
      </c>
      <c r="G1740">
        <v>29.8</v>
      </c>
      <c r="H1740">
        <v>0.05</v>
      </c>
      <c r="I1740" s="1">
        <v>288</v>
      </c>
    </row>
    <row r="1741" spans="1:9" x14ac:dyDescent="0.25">
      <c r="A1741" t="s">
        <v>6834</v>
      </c>
      <c r="B1741" s="1">
        <v>936</v>
      </c>
      <c r="C1741" s="1">
        <v>26945</v>
      </c>
      <c r="D1741">
        <v>29.75</v>
      </c>
      <c r="E1741">
        <v>29.85</v>
      </c>
      <c r="F1741">
        <v>27.8</v>
      </c>
      <c r="G1741">
        <v>27.9</v>
      </c>
      <c r="H1741">
        <v>-1.9</v>
      </c>
      <c r="I1741" s="1">
        <v>511</v>
      </c>
    </row>
    <row r="1742" spans="1:9" x14ac:dyDescent="0.25">
      <c r="A1742" t="s">
        <v>6835</v>
      </c>
      <c r="B1742" s="1">
        <v>578</v>
      </c>
      <c r="C1742" s="1">
        <v>16266</v>
      </c>
      <c r="D1742">
        <v>28</v>
      </c>
      <c r="E1742">
        <v>28.4</v>
      </c>
      <c r="F1742">
        <v>27.9</v>
      </c>
      <c r="G1742">
        <v>28</v>
      </c>
      <c r="H1742">
        <v>0.1</v>
      </c>
      <c r="I1742" s="1">
        <v>318</v>
      </c>
    </row>
    <row r="1743" spans="1:9" x14ac:dyDescent="0.25">
      <c r="A1743" t="s">
        <v>6836</v>
      </c>
      <c r="B1743" s="1">
        <v>628</v>
      </c>
      <c r="C1743" s="1">
        <v>18446</v>
      </c>
      <c r="D1743">
        <v>29.15</v>
      </c>
      <c r="E1743">
        <v>29.7</v>
      </c>
      <c r="F1743">
        <v>29</v>
      </c>
      <c r="G1743">
        <v>29.6</v>
      </c>
      <c r="H1743">
        <v>1.6</v>
      </c>
      <c r="I1743" s="1">
        <v>389</v>
      </c>
    </row>
    <row r="1744" spans="1:9" x14ac:dyDescent="0.25">
      <c r="A1744" t="s">
        <v>6837</v>
      </c>
      <c r="B1744" s="1">
        <v>302</v>
      </c>
      <c r="C1744" s="1">
        <v>8815</v>
      </c>
      <c r="D1744">
        <v>29.1</v>
      </c>
      <c r="E1744">
        <v>29.5</v>
      </c>
      <c r="F1744">
        <v>29</v>
      </c>
      <c r="G1744">
        <v>29.2</v>
      </c>
      <c r="H1744">
        <v>-0.4</v>
      </c>
      <c r="I1744" s="1">
        <v>189</v>
      </c>
    </row>
    <row r="1745" spans="1:9" x14ac:dyDescent="0.25">
      <c r="A1745" t="s">
        <v>6838</v>
      </c>
      <c r="B1745" s="1">
        <v>1145</v>
      </c>
      <c r="C1745" s="1">
        <v>34658</v>
      </c>
      <c r="D1745">
        <v>29.3</v>
      </c>
      <c r="E1745">
        <v>30.7</v>
      </c>
      <c r="F1745">
        <v>29.3</v>
      </c>
      <c r="G1745">
        <v>30.5</v>
      </c>
      <c r="H1745">
        <v>1.3</v>
      </c>
      <c r="I1745" s="1">
        <v>532</v>
      </c>
    </row>
    <row r="1746" spans="1:9" x14ac:dyDescent="0.25">
      <c r="A1746" t="s">
        <v>6839</v>
      </c>
      <c r="B1746" s="1">
        <v>581</v>
      </c>
      <c r="C1746" s="1">
        <v>17820</v>
      </c>
      <c r="D1746">
        <v>30.9</v>
      </c>
      <c r="E1746">
        <v>30.9</v>
      </c>
      <c r="F1746">
        <v>30.55</v>
      </c>
      <c r="G1746">
        <v>30.55</v>
      </c>
      <c r="H1746">
        <v>0.05</v>
      </c>
      <c r="I1746" s="1">
        <v>261</v>
      </c>
    </row>
    <row r="1747" spans="1:9" x14ac:dyDescent="0.25">
      <c r="A1747" t="s">
        <v>6840</v>
      </c>
      <c r="B1747" s="1">
        <v>604</v>
      </c>
      <c r="C1747" s="1">
        <v>18453</v>
      </c>
      <c r="D1747">
        <v>30.6</v>
      </c>
      <c r="E1747">
        <v>30.9</v>
      </c>
      <c r="F1747">
        <v>30.35</v>
      </c>
      <c r="G1747">
        <v>30.65</v>
      </c>
      <c r="H1747">
        <v>0.1</v>
      </c>
      <c r="I1747" s="1">
        <v>269</v>
      </c>
    </row>
    <row r="1748" spans="1:9" x14ac:dyDescent="0.25">
      <c r="A1748" t="s">
        <v>6841</v>
      </c>
      <c r="B1748" s="1">
        <v>353</v>
      </c>
      <c r="C1748" s="1">
        <v>10798</v>
      </c>
      <c r="D1748">
        <v>30.65</v>
      </c>
      <c r="E1748">
        <v>30.8</v>
      </c>
      <c r="F1748">
        <v>30.55</v>
      </c>
      <c r="G1748">
        <v>30.55</v>
      </c>
      <c r="H1748">
        <v>-0.1</v>
      </c>
      <c r="I1748" s="1">
        <v>197</v>
      </c>
    </row>
    <row r="1749" spans="1:9" x14ac:dyDescent="0.25">
      <c r="A1749" t="s">
        <v>6842</v>
      </c>
      <c r="B1749" s="1">
        <v>382</v>
      </c>
      <c r="C1749" s="1">
        <v>11601</v>
      </c>
      <c r="D1749">
        <v>30.45</v>
      </c>
      <c r="E1749">
        <v>30.5</v>
      </c>
      <c r="F1749">
        <v>30.2</v>
      </c>
      <c r="G1749">
        <v>30.35</v>
      </c>
      <c r="H1749">
        <v>-0.2</v>
      </c>
      <c r="I1749" s="1">
        <v>180</v>
      </c>
    </row>
    <row r="1750" spans="1:9" x14ac:dyDescent="0.25">
      <c r="A1750" t="s">
        <v>6843</v>
      </c>
      <c r="B1750" s="1">
        <v>1611</v>
      </c>
      <c r="C1750" s="1">
        <v>50020</v>
      </c>
      <c r="D1750">
        <v>30.5</v>
      </c>
      <c r="E1750">
        <v>31.4</v>
      </c>
      <c r="F1750">
        <v>30.5</v>
      </c>
      <c r="G1750">
        <v>31.1</v>
      </c>
      <c r="H1750">
        <v>0.75</v>
      </c>
      <c r="I1750" s="1">
        <v>684</v>
      </c>
    </row>
    <row r="1751" spans="1:9" x14ac:dyDescent="0.25">
      <c r="A1751" t="s">
        <v>1177</v>
      </c>
      <c r="B1751" s="1"/>
      <c r="C1751" s="1"/>
      <c r="I1751" s="1"/>
    </row>
    <row r="1753" spans="1:9" x14ac:dyDescent="0.25">
      <c r="A1753" s="9" t="s">
        <v>6800</v>
      </c>
      <c r="B1753" s="1">
        <v>3043</v>
      </c>
      <c r="C1753" s="1">
        <v>109064</v>
      </c>
      <c r="D1753">
        <v>35</v>
      </c>
      <c r="E1753">
        <v>36.6</v>
      </c>
      <c r="F1753">
        <v>35</v>
      </c>
      <c r="G1753">
        <v>36.1</v>
      </c>
      <c r="H1753">
        <v>-1</v>
      </c>
      <c r="I1753" s="1">
        <v>1601</v>
      </c>
    </row>
    <row r="1754" spans="1:9" x14ac:dyDescent="0.25">
      <c r="A1754" t="s">
        <v>6801</v>
      </c>
      <c r="B1754" s="1">
        <v>1946</v>
      </c>
      <c r="C1754" s="1">
        <v>71019</v>
      </c>
      <c r="D1754">
        <v>35.6</v>
      </c>
      <c r="E1754">
        <v>37.200000000000003</v>
      </c>
      <c r="F1754">
        <v>35.15</v>
      </c>
      <c r="G1754">
        <v>37.200000000000003</v>
      </c>
      <c r="H1754">
        <v>1.1000000000000001</v>
      </c>
      <c r="I1754" s="1">
        <v>1106</v>
      </c>
    </row>
    <row r="1755" spans="1:9" x14ac:dyDescent="0.25">
      <c r="A1755" t="s">
        <v>6802</v>
      </c>
      <c r="B1755" s="1">
        <v>1231</v>
      </c>
      <c r="C1755" s="1">
        <v>45558</v>
      </c>
      <c r="D1755">
        <v>37.200000000000003</v>
      </c>
      <c r="E1755">
        <v>37.4</v>
      </c>
      <c r="F1755">
        <v>36.65</v>
      </c>
      <c r="G1755">
        <v>37</v>
      </c>
      <c r="H1755">
        <v>-0.2</v>
      </c>
      <c r="I1755" s="1">
        <v>634</v>
      </c>
    </row>
    <row r="1756" spans="1:9" x14ac:dyDescent="0.25">
      <c r="A1756" t="s">
        <v>6803</v>
      </c>
      <c r="B1756" s="1">
        <v>1424</v>
      </c>
      <c r="C1756" s="1">
        <v>53415</v>
      </c>
      <c r="D1756">
        <v>37.1</v>
      </c>
      <c r="E1756">
        <v>37.700000000000003</v>
      </c>
      <c r="F1756">
        <v>37.1</v>
      </c>
      <c r="G1756">
        <v>37.6</v>
      </c>
      <c r="H1756">
        <v>0.6</v>
      </c>
      <c r="I1756" s="1">
        <v>648</v>
      </c>
    </row>
    <row r="1757" spans="1:9" x14ac:dyDescent="0.25">
      <c r="A1757" t="s">
        <v>6804</v>
      </c>
      <c r="B1757" s="1">
        <v>961</v>
      </c>
      <c r="C1757" s="1">
        <v>36597</v>
      </c>
      <c r="D1757">
        <v>37.5</v>
      </c>
      <c r="E1757">
        <v>38.549999999999997</v>
      </c>
      <c r="F1757">
        <v>37.5</v>
      </c>
      <c r="G1757">
        <v>38.5</v>
      </c>
      <c r="H1757">
        <v>0.9</v>
      </c>
      <c r="I1757" s="1">
        <v>561</v>
      </c>
    </row>
    <row r="1758" spans="1:9" x14ac:dyDescent="0.25">
      <c r="A1758" t="s">
        <v>6805</v>
      </c>
      <c r="B1758" s="1">
        <v>1297</v>
      </c>
      <c r="C1758" s="1">
        <v>50276</v>
      </c>
      <c r="D1758">
        <v>38.6</v>
      </c>
      <c r="E1758">
        <v>39</v>
      </c>
      <c r="F1758">
        <v>38.5</v>
      </c>
      <c r="G1758">
        <v>38.65</v>
      </c>
      <c r="H1758">
        <v>0.15</v>
      </c>
      <c r="I1758" s="1">
        <v>616</v>
      </c>
    </row>
    <row r="1759" spans="1:9" x14ac:dyDescent="0.25">
      <c r="A1759" t="s">
        <v>6806</v>
      </c>
      <c r="B1759" s="1">
        <v>1162</v>
      </c>
      <c r="C1759" s="1">
        <v>44063</v>
      </c>
      <c r="D1759">
        <v>38.799999999999997</v>
      </c>
      <c r="E1759">
        <v>39</v>
      </c>
      <c r="F1759">
        <v>37.299999999999997</v>
      </c>
      <c r="G1759">
        <v>37.299999999999997</v>
      </c>
      <c r="H1759">
        <v>-1.35</v>
      </c>
      <c r="I1759" s="1">
        <v>673</v>
      </c>
    </row>
    <row r="1760" spans="1:9" x14ac:dyDescent="0.25">
      <c r="A1760" t="s">
        <v>6807</v>
      </c>
      <c r="B1760" s="1">
        <v>1235</v>
      </c>
      <c r="C1760" s="1">
        <v>45265</v>
      </c>
      <c r="D1760">
        <v>36.700000000000003</v>
      </c>
      <c r="E1760">
        <v>37.299999999999997</v>
      </c>
      <c r="F1760">
        <v>36.35</v>
      </c>
      <c r="G1760">
        <v>36.799999999999997</v>
      </c>
      <c r="H1760">
        <v>-0.5</v>
      </c>
      <c r="I1760" s="1">
        <v>658</v>
      </c>
    </row>
    <row r="1761" spans="1:9" x14ac:dyDescent="0.25">
      <c r="A1761" t="s">
        <v>6808</v>
      </c>
      <c r="B1761" s="1">
        <v>681</v>
      </c>
      <c r="C1761" s="1">
        <v>24724</v>
      </c>
      <c r="D1761">
        <v>36.799999999999997</v>
      </c>
      <c r="E1761">
        <v>37</v>
      </c>
      <c r="F1761">
        <v>35.799999999999997</v>
      </c>
      <c r="G1761">
        <v>36.15</v>
      </c>
      <c r="H1761">
        <v>-0.65</v>
      </c>
      <c r="I1761" s="1">
        <v>430</v>
      </c>
    </row>
    <row r="1762" spans="1:9" x14ac:dyDescent="0.25">
      <c r="A1762" t="s">
        <v>6809</v>
      </c>
      <c r="B1762" s="1">
        <v>661</v>
      </c>
      <c r="C1762" s="1">
        <v>24251</v>
      </c>
      <c r="D1762">
        <v>36.4</v>
      </c>
      <c r="E1762">
        <v>37.15</v>
      </c>
      <c r="F1762">
        <v>36.4</v>
      </c>
      <c r="G1762">
        <v>36.549999999999997</v>
      </c>
      <c r="H1762">
        <v>0.4</v>
      </c>
      <c r="I1762" s="1">
        <v>452</v>
      </c>
    </row>
    <row r="1763" spans="1:9" x14ac:dyDescent="0.25">
      <c r="A1763" t="s">
        <v>6810</v>
      </c>
      <c r="B1763" s="1">
        <v>673</v>
      </c>
      <c r="C1763" s="1">
        <v>24361</v>
      </c>
      <c r="D1763">
        <v>36.4</v>
      </c>
      <c r="E1763">
        <v>36.549999999999997</v>
      </c>
      <c r="F1763">
        <v>35.950000000000003</v>
      </c>
      <c r="G1763">
        <v>36</v>
      </c>
      <c r="H1763">
        <v>-0.55000000000000004</v>
      </c>
      <c r="I1763" s="1">
        <v>421</v>
      </c>
    </row>
    <row r="1764" spans="1:9" x14ac:dyDescent="0.25">
      <c r="A1764" t="s">
        <v>6811</v>
      </c>
      <c r="B1764" s="1">
        <v>856</v>
      </c>
      <c r="C1764" s="1">
        <v>31120</v>
      </c>
      <c r="D1764">
        <v>36.200000000000003</v>
      </c>
      <c r="E1764">
        <v>36.950000000000003</v>
      </c>
      <c r="F1764">
        <v>35.85</v>
      </c>
      <c r="G1764">
        <v>36.4</v>
      </c>
      <c r="H1764">
        <v>0.4</v>
      </c>
      <c r="I1764" s="1">
        <v>552</v>
      </c>
    </row>
    <row r="1765" spans="1:9" x14ac:dyDescent="0.25">
      <c r="A1765" t="s">
        <v>6812</v>
      </c>
      <c r="B1765" s="1">
        <v>861</v>
      </c>
      <c r="C1765" s="1">
        <v>30898</v>
      </c>
      <c r="D1765">
        <v>35.799999999999997</v>
      </c>
      <c r="E1765">
        <v>36.450000000000003</v>
      </c>
      <c r="F1765">
        <v>35.549999999999997</v>
      </c>
      <c r="G1765">
        <v>36.4</v>
      </c>
      <c r="H1765">
        <v>0</v>
      </c>
      <c r="I1765" s="1">
        <v>427</v>
      </c>
    </row>
    <row r="1766" spans="1:9" x14ac:dyDescent="0.25">
      <c r="A1766" t="s">
        <v>6813</v>
      </c>
      <c r="B1766" s="1">
        <v>471</v>
      </c>
      <c r="C1766" s="1">
        <v>16849</v>
      </c>
      <c r="D1766">
        <v>36.1</v>
      </c>
      <c r="E1766">
        <v>36.1</v>
      </c>
      <c r="F1766">
        <v>35.549999999999997</v>
      </c>
      <c r="G1766">
        <v>35.65</v>
      </c>
      <c r="H1766">
        <v>-0.75</v>
      </c>
      <c r="I1766" s="1">
        <v>291</v>
      </c>
    </row>
    <row r="1767" spans="1:9" x14ac:dyDescent="0.25">
      <c r="A1767" t="s">
        <v>6814</v>
      </c>
      <c r="B1767" s="1">
        <v>1436</v>
      </c>
      <c r="C1767" s="1">
        <v>49204</v>
      </c>
      <c r="D1767">
        <v>35.5</v>
      </c>
      <c r="E1767">
        <v>35.6</v>
      </c>
      <c r="F1767">
        <v>33.200000000000003</v>
      </c>
      <c r="G1767">
        <v>33.200000000000003</v>
      </c>
      <c r="H1767">
        <v>-2.4500000000000002</v>
      </c>
      <c r="I1767" s="1">
        <v>889</v>
      </c>
    </row>
    <row r="1768" spans="1:9" x14ac:dyDescent="0.25">
      <c r="A1768" t="s">
        <v>6815</v>
      </c>
      <c r="B1768" s="1">
        <v>2992</v>
      </c>
      <c r="C1768" s="1">
        <v>94543</v>
      </c>
      <c r="D1768">
        <v>33</v>
      </c>
      <c r="E1768">
        <v>33.200000000000003</v>
      </c>
      <c r="F1768">
        <v>30.9</v>
      </c>
      <c r="G1768">
        <v>31.3</v>
      </c>
      <c r="H1768">
        <v>-1.9</v>
      </c>
      <c r="I1768" s="1">
        <v>1447</v>
      </c>
    </row>
    <row r="1769" spans="1:9" x14ac:dyDescent="0.25">
      <c r="A1769" t="s">
        <v>6816</v>
      </c>
      <c r="B1769" s="1">
        <v>1549</v>
      </c>
      <c r="C1769" s="1">
        <v>47746</v>
      </c>
      <c r="D1769">
        <v>30.6</v>
      </c>
      <c r="E1769">
        <v>31.25</v>
      </c>
      <c r="F1769">
        <v>30.2</v>
      </c>
      <c r="G1769">
        <v>30.35</v>
      </c>
      <c r="H1769">
        <v>-0.95</v>
      </c>
      <c r="I1769" s="1">
        <v>961</v>
      </c>
    </row>
    <row r="1770" spans="1:9" x14ac:dyDescent="0.25">
      <c r="A1770" t="s">
        <v>6817</v>
      </c>
      <c r="B1770" s="1">
        <v>1269</v>
      </c>
      <c r="C1770" s="1">
        <v>38682</v>
      </c>
      <c r="D1770">
        <v>30.2</v>
      </c>
      <c r="E1770">
        <v>31.3</v>
      </c>
      <c r="F1770">
        <v>29.6</v>
      </c>
      <c r="G1770">
        <v>31.05</v>
      </c>
      <c r="H1770">
        <v>0.7</v>
      </c>
      <c r="I1770" s="1">
        <v>648</v>
      </c>
    </row>
    <row r="1771" spans="1:9" x14ac:dyDescent="0.25">
      <c r="A1771" t="s">
        <v>6818</v>
      </c>
      <c r="B1771" s="1">
        <v>1276</v>
      </c>
      <c r="C1771" s="1">
        <v>40725</v>
      </c>
      <c r="D1771">
        <v>31.85</v>
      </c>
      <c r="E1771">
        <v>32.450000000000003</v>
      </c>
      <c r="F1771">
        <v>31.55</v>
      </c>
      <c r="G1771">
        <v>31.55</v>
      </c>
      <c r="H1771">
        <v>0.5</v>
      </c>
      <c r="I1771" s="1">
        <v>721</v>
      </c>
    </row>
    <row r="1772" spans="1:9" x14ac:dyDescent="0.25">
      <c r="A1772" t="s">
        <v>6819</v>
      </c>
      <c r="B1772" s="1">
        <v>510</v>
      </c>
      <c r="C1772" s="1">
        <v>16137</v>
      </c>
      <c r="D1772">
        <v>32</v>
      </c>
      <c r="E1772">
        <v>32.1</v>
      </c>
      <c r="F1772">
        <v>31.4</v>
      </c>
      <c r="G1772">
        <v>31.55</v>
      </c>
      <c r="H1772">
        <v>0</v>
      </c>
      <c r="I1772" s="1">
        <v>307</v>
      </c>
    </row>
    <row r="1773" spans="1:9" x14ac:dyDescent="0.25">
      <c r="A1773" t="s">
        <v>6820</v>
      </c>
      <c r="B1773" s="1">
        <v>570</v>
      </c>
      <c r="C1773" s="1">
        <v>18175</v>
      </c>
      <c r="D1773">
        <v>31.8</v>
      </c>
      <c r="E1773">
        <v>32.1</v>
      </c>
      <c r="F1773">
        <v>31.75</v>
      </c>
      <c r="G1773">
        <v>32</v>
      </c>
      <c r="H1773">
        <v>0.45</v>
      </c>
      <c r="I1773" s="1">
        <v>344</v>
      </c>
    </row>
    <row r="1774" spans="1:9" x14ac:dyDescent="0.25">
      <c r="A1774" t="s">
        <v>6821</v>
      </c>
      <c r="B1774" s="1">
        <v>773</v>
      </c>
      <c r="C1774" s="1">
        <v>24664</v>
      </c>
      <c r="D1774">
        <v>32.35</v>
      </c>
      <c r="E1774">
        <v>32.35</v>
      </c>
      <c r="F1774">
        <v>31.65</v>
      </c>
      <c r="G1774">
        <v>31.65</v>
      </c>
      <c r="H1774">
        <v>-0.35</v>
      </c>
      <c r="I1774" s="1">
        <v>468</v>
      </c>
    </row>
    <row r="1775" spans="1:9" x14ac:dyDescent="0.25">
      <c r="A1775" t="s">
        <v>1177</v>
      </c>
      <c r="B1775" s="1"/>
      <c r="C1775" s="1"/>
      <c r="I1775" s="1"/>
    </row>
    <row r="1777" spans="1:9" x14ac:dyDescent="0.25">
      <c r="A1777" s="9" t="s">
        <v>6780</v>
      </c>
      <c r="B1777" s="1">
        <v>678</v>
      </c>
      <c r="C1777" s="1">
        <v>26112</v>
      </c>
      <c r="D1777">
        <v>38.5</v>
      </c>
      <c r="E1777">
        <v>39</v>
      </c>
      <c r="F1777">
        <v>38.1</v>
      </c>
      <c r="G1777">
        <v>38.799999999999997</v>
      </c>
      <c r="H1777">
        <v>-0.2</v>
      </c>
      <c r="I1777" s="1">
        <v>349</v>
      </c>
    </row>
    <row r="1778" spans="1:9" x14ac:dyDescent="0.25">
      <c r="A1778" t="s">
        <v>6781</v>
      </c>
      <c r="B1778" s="1">
        <v>486</v>
      </c>
      <c r="C1778" s="1">
        <v>18734</v>
      </c>
      <c r="D1778">
        <v>38.1</v>
      </c>
      <c r="E1778">
        <v>38.799999999999997</v>
      </c>
      <c r="F1778">
        <v>38.1</v>
      </c>
      <c r="G1778">
        <v>38.75</v>
      </c>
      <c r="H1778">
        <v>-0.05</v>
      </c>
      <c r="I1778" s="1">
        <v>344</v>
      </c>
    </row>
    <row r="1779" spans="1:9" x14ac:dyDescent="0.25">
      <c r="A1779" t="s">
        <v>6782</v>
      </c>
      <c r="B1779" s="1">
        <v>631</v>
      </c>
      <c r="C1779" s="1">
        <v>24619</v>
      </c>
      <c r="D1779">
        <v>39</v>
      </c>
      <c r="E1779">
        <v>39.299999999999997</v>
      </c>
      <c r="F1779">
        <v>38.75</v>
      </c>
      <c r="G1779">
        <v>39</v>
      </c>
      <c r="H1779">
        <v>0.25</v>
      </c>
      <c r="I1779" s="1">
        <v>389</v>
      </c>
    </row>
    <row r="1780" spans="1:9" x14ac:dyDescent="0.25">
      <c r="A1780" t="s">
        <v>6783</v>
      </c>
      <c r="B1780" s="1">
        <v>610</v>
      </c>
      <c r="C1780" s="1">
        <v>23956</v>
      </c>
      <c r="D1780">
        <v>39.700000000000003</v>
      </c>
      <c r="E1780">
        <v>39.700000000000003</v>
      </c>
      <c r="F1780">
        <v>39</v>
      </c>
      <c r="G1780">
        <v>39</v>
      </c>
      <c r="H1780">
        <v>0</v>
      </c>
      <c r="I1780" s="1">
        <v>383</v>
      </c>
    </row>
    <row r="1781" spans="1:9" x14ac:dyDescent="0.25">
      <c r="A1781" t="s">
        <v>6784</v>
      </c>
      <c r="B1781" s="1">
        <v>734</v>
      </c>
      <c r="C1781" s="1">
        <v>28766</v>
      </c>
      <c r="D1781">
        <v>39.299999999999997</v>
      </c>
      <c r="E1781">
        <v>39.299999999999997</v>
      </c>
      <c r="F1781">
        <v>39</v>
      </c>
      <c r="G1781">
        <v>39</v>
      </c>
      <c r="H1781">
        <v>0</v>
      </c>
      <c r="I1781" s="1">
        <v>444</v>
      </c>
    </row>
    <row r="1782" spans="1:9" x14ac:dyDescent="0.25">
      <c r="A1782" t="s">
        <v>6785</v>
      </c>
      <c r="B1782" s="1">
        <v>1410</v>
      </c>
      <c r="C1782" s="1">
        <v>57136</v>
      </c>
      <c r="D1782">
        <v>40.200000000000003</v>
      </c>
      <c r="E1782">
        <v>40.85</v>
      </c>
      <c r="F1782">
        <v>40.200000000000003</v>
      </c>
      <c r="G1782">
        <v>40.549999999999997</v>
      </c>
      <c r="H1782">
        <v>1.55</v>
      </c>
      <c r="I1782" s="1">
        <v>863</v>
      </c>
    </row>
    <row r="1783" spans="1:9" x14ac:dyDescent="0.25">
      <c r="A1783" t="s">
        <v>6786</v>
      </c>
      <c r="B1783" s="1">
        <v>1057</v>
      </c>
      <c r="C1783" s="1">
        <v>43299</v>
      </c>
      <c r="D1783">
        <v>40.6</v>
      </c>
      <c r="E1783">
        <v>41.5</v>
      </c>
      <c r="F1783">
        <v>40.299999999999997</v>
      </c>
      <c r="G1783">
        <v>40.85</v>
      </c>
      <c r="H1783">
        <v>0.3</v>
      </c>
      <c r="I1783" s="1">
        <v>650</v>
      </c>
    </row>
    <row r="1784" spans="1:9" x14ac:dyDescent="0.25">
      <c r="A1784" t="s">
        <v>6787</v>
      </c>
      <c r="B1784" s="1">
        <v>877</v>
      </c>
      <c r="C1784" s="1">
        <v>36033</v>
      </c>
      <c r="D1784">
        <v>41.1</v>
      </c>
      <c r="E1784">
        <v>41.5</v>
      </c>
      <c r="F1784">
        <v>40.6</v>
      </c>
      <c r="G1784">
        <v>41.25</v>
      </c>
      <c r="H1784">
        <v>0.4</v>
      </c>
      <c r="I1784" s="1">
        <v>580</v>
      </c>
    </row>
    <row r="1785" spans="1:9" x14ac:dyDescent="0.25">
      <c r="A1785" t="s">
        <v>6788</v>
      </c>
      <c r="B1785" s="1">
        <v>548</v>
      </c>
      <c r="C1785" s="1">
        <v>22485</v>
      </c>
      <c r="D1785">
        <v>41.25</v>
      </c>
      <c r="E1785">
        <v>41.3</v>
      </c>
      <c r="F1785">
        <v>40.9</v>
      </c>
      <c r="G1785">
        <v>40.9</v>
      </c>
      <c r="H1785">
        <v>-0.35</v>
      </c>
      <c r="I1785" s="1">
        <v>391</v>
      </c>
    </row>
    <row r="1786" spans="1:9" x14ac:dyDescent="0.25">
      <c r="A1786" t="s">
        <v>6789</v>
      </c>
      <c r="B1786" s="1">
        <v>826</v>
      </c>
      <c r="C1786" s="1">
        <v>34156</v>
      </c>
      <c r="D1786">
        <v>41.2</v>
      </c>
      <c r="E1786">
        <v>41.8</v>
      </c>
      <c r="F1786">
        <v>41.05</v>
      </c>
      <c r="G1786">
        <v>41.2</v>
      </c>
      <c r="H1786">
        <v>0.3</v>
      </c>
      <c r="I1786" s="1">
        <v>539</v>
      </c>
    </row>
    <row r="1787" spans="1:9" x14ac:dyDescent="0.25">
      <c r="A1787" t="s">
        <v>6790</v>
      </c>
      <c r="B1787" s="1">
        <v>481</v>
      </c>
      <c r="C1787" s="1">
        <v>19564</v>
      </c>
      <c r="D1787">
        <v>40.700000000000003</v>
      </c>
      <c r="E1787">
        <v>40.9</v>
      </c>
      <c r="F1787">
        <v>40.5</v>
      </c>
      <c r="G1787">
        <v>40.799999999999997</v>
      </c>
      <c r="H1787">
        <v>-0.4</v>
      </c>
      <c r="I1787" s="1">
        <v>316</v>
      </c>
    </row>
    <row r="1788" spans="1:9" x14ac:dyDescent="0.25">
      <c r="A1788" t="s">
        <v>6791</v>
      </c>
      <c r="B1788" s="1">
        <v>563</v>
      </c>
      <c r="C1788" s="1">
        <v>22911</v>
      </c>
      <c r="D1788">
        <v>41.1</v>
      </c>
      <c r="E1788">
        <v>41.2</v>
      </c>
      <c r="F1788">
        <v>40.35</v>
      </c>
      <c r="G1788">
        <v>40.4</v>
      </c>
      <c r="H1788">
        <v>-0.4</v>
      </c>
      <c r="I1788" s="1">
        <v>356</v>
      </c>
    </row>
    <row r="1789" spans="1:9" x14ac:dyDescent="0.25">
      <c r="A1789" t="s">
        <v>6792</v>
      </c>
      <c r="B1789" s="1">
        <v>766</v>
      </c>
      <c r="C1789" s="1">
        <v>30639</v>
      </c>
      <c r="D1789">
        <v>40.4</v>
      </c>
      <c r="E1789">
        <v>40.6</v>
      </c>
      <c r="F1789">
        <v>39.799999999999997</v>
      </c>
      <c r="G1789">
        <v>39.799999999999997</v>
      </c>
      <c r="H1789">
        <v>-0.6</v>
      </c>
      <c r="I1789" s="1">
        <v>391</v>
      </c>
    </row>
    <row r="1790" spans="1:9" x14ac:dyDescent="0.25">
      <c r="A1790" t="s">
        <v>6793</v>
      </c>
      <c r="B1790" s="1">
        <v>429</v>
      </c>
      <c r="C1790" s="1">
        <v>16997</v>
      </c>
      <c r="D1790">
        <v>39.799999999999997</v>
      </c>
      <c r="E1790">
        <v>40.15</v>
      </c>
      <c r="F1790">
        <v>39.5</v>
      </c>
      <c r="G1790">
        <v>39.549999999999997</v>
      </c>
      <c r="H1790">
        <v>-0.25</v>
      </c>
      <c r="I1790" s="1">
        <v>287</v>
      </c>
    </row>
    <row r="1791" spans="1:9" x14ac:dyDescent="0.25">
      <c r="A1791" t="s">
        <v>6794</v>
      </c>
      <c r="B1791" s="1">
        <v>1328</v>
      </c>
      <c r="C1791" s="1">
        <v>53146</v>
      </c>
      <c r="D1791">
        <v>39.549999999999997</v>
      </c>
      <c r="E1791">
        <v>40.35</v>
      </c>
      <c r="F1791">
        <v>39.549999999999997</v>
      </c>
      <c r="G1791">
        <v>40.200000000000003</v>
      </c>
      <c r="H1791">
        <v>0.65</v>
      </c>
      <c r="I1791" s="1">
        <v>670</v>
      </c>
    </row>
    <row r="1792" spans="1:9" x14ac:dyDescent="0.25">
      <c r="A1792" t="s">
        <v>6795</v>
      </c>
      <c r="B1792" s="1">
        <v>1140</v>
      </c>
      <c r="C1792" s="1">
        <v>45910</v>
      </c>
      <c r="D1792">
        <v>40.200000000000003</v>
      </c>
      <c r="E1792">
        <v>40.6</v>
      </c>
      <c r="F1792">
        <v>40.049999999999997</v>
      </c>
      <c r="G1792">
        <v>40.200000000000003</v>
      </c>
      <c r="H1792">
        <v>0</v>
      </c>
      <c r="I1792" s="1">
        <v>519</v>
      </c>
    </row>
    <row r="1793" spans="1:9" x14ac:dyDescent="0.25">
      <c r="A1793" t="s">
        <v>6796</v>
      </c>
      <c r="B1793" s="1">
        <v>710</v>
      </c>
      <c r="C1793" s="1">
        <v>28479</v>
      </c>
      <c r="D1793">
        <v>40</v>
      </c>
      <c r="E1793">
        <v>40.25</v>
      </c>
      <c r="F1793">
        <v>39.75</v>
      </c>
      <c r="G1793">
        <v>40.15</v>
      </c>
      <c r="H1793">
        <v>-0.05</v>
      </c>
      <c r="I1793" s="1">
        <v>344</v>
      </c>
    </row>
    <row r="1794" spans="1:9" x14ac:dyDescent="0.25">
      <c r="A1794" t="s">
        <v>6797</v>
      </c>
      <c r="B1794" s="1">
        <v>1226</v>
      </c>
      <c r="C1794" s="1">
        <v>49517</v>
      </c>
      <c r="D1794">
        <v>40.35</v>
      </c>
      <c r="E1794">
        <v>40.700000000000003</v>
      </c>
      <c r="F1794">
        <v>40.1</v>
      </c>
      <c r="G1794">
        <v>40.25</v>
      </c>
      <c r="H1794">
        <v>0.1</v>
      </c>
      <c r="I1794" s="1">
        <v>727</v>
      </c>
    </row>
    <row r="1795" spans="1:9" x14ac:dyDescent="0.25">
      <c r="A1795" t="s">
        <v>6798</v>
      </c>
      <c r="B1795" s="1">
        <v>1621</v>
      </c>
      <c r="C1795" s="1">
        <v>65301</v>
      </c>
      <c r="D1795">
        <v>40.9</v>
      </c>
      <c r="E1795">
        <v>40.9</v>
      </c>
      <c r="F1795">
        <v>39.85</v>
      </c>
      <c r="G1795">
        <v>39.85</v>
      </c>
      <c r="H1795">
        <v>-0.4</v>
      </c>
      <c r="I1795" s="1">
        <v>805</v>
      </c>
    </row>
    <row r="1796" spans="1:9" x14ac:dyDescent="0.25">
      <c r="A1796" t="s">
        <v>6799</v>
      </c>
      <c r="B1796" s="1">
        <v>2469</v>
      </c>
      <c r="C1796" s="1">
        <v>91598</v>
      </c>
      <c r="D1796">
        <v>37.1</v>
      </c>
      <c r="E1796">
        <v>37.4</v>
      </c>
      <c r="F1796">
        <v>37.1</v>
      </c>
      <c r="G1796">
        <v>37.1</v>
      </c>
      <c r="H1796">
        <v>-2.75</v>
      </c>
      <c r="I1796" s="1">
        <v>1207</v>
      </c>
    </row>
    <row r="1797" spans="1:9" x14ac:dyDescent="0.25">
      <c r="A1797" t="s">
        <v>927</v>
      </c>
      <c r="B1797" s="1"/>
      <c r="C1797" s="1"/>
      <c r="I1797" s="1"/>
    </row>
    <row r="1801" spans="1:9" x14ac:dyDescent="0.25">
      <c r="A1801" s="9" t="s">
        <v>6759</v>
      </c>
      <c r="B1801" s="1">
        <v>2129</v>
      </c>
      <c r="C1801" s="1">
        <v>95864</v>
      </c>
      <c r="D1801">
        <v>45</v>
      </c>
      <c r="E1801">
        <v>45.6</v>
      </c>
      <c r="F1801">
        <v>44.6</v>
      </c>
      <c r="G1801">
        <v>44.65</v>
      </c>
      <c r="H1801">
        <v>0.15</v>
      </c>
      <c r="I1801" s="1">
        <v>1057</v>
      </c>
    </row>
    <row r="1802" spans="1:9" x14ac:dyDescent="0.25">
      <c r="A1802" t="s">
        <v>6760</v>
      </c>
      <c r="B1802" s="1">
        <v>1107</v>
      </c>
      <c r="C1802" s="1">
        <v>48746</v>
      </c>
      <c r="D1802">
        <v>44.6</v>
      </c>
      <c r="E1802">
        <v>44.6</v>
      </c>
      <c r="F1802">
        <v>43.8</v>
      </c>
      <c r="G1802">
        <v>44</v>
      </c>
      <c r="H1802">
        <v>-0.65</v>
      </c>
      <c r="I1802" s="1">
        <v>673</v>
      </c>
    </row>
    <row r="1803" spans="1:9" x14ac:dyDescent="0.25">
      <c r="A1803" t="s">
        <v>6761</v>
      </c>
      <c r="B1803" s="1">
        <v>896</v>
      </c>
      <c r="C1803" s="1">
        <v>38852</v>
      </c>
      <c r="D1803">
        <v>43.65</v>
      </c>
      <c r="E1803">
        <v>43.65</v>
      </c>
      <c r="F1803">
        <v>43.1</v>
      </c>
      <c r="G1803">
        <v>43.3</v>
      </c>
      <c r="H1803">
        <v>-0.7</v>
      </c>
      <c r="I1803" s="1">
        <v>550</v>
      </c>
    </row>
    <row r="1804" spans="1:9" x14ac:dyDescent="0.25">
      <c r="A1804" t="s">
        <v>6762</v>
      </c>
      <c r="B1804" s="1">
        <v>1314</v>
      </c>
      <c r="C1804" s="1">
        <v>55918</v>
      </c>
      <c r="D1804">
        <v>43.05</v>
      </c>
      <c r="E1804">
        <v>43.2</v>
      </c>
      <c r="F1804">
        <v>42.2</v>
      </c>
      <c r="G1804">
        <v>42.2</v>
      </c>
      <c r="H1804">
        <v>-1.1000000000000001</v>
      </c>
      <c r="I1804" s="1">
        <v>788</v>
      </c>
    </row>
    <row r="1805" spans="1:9" x14ac:dyDescent="0.25">
      <c r="A1805" t="s">
        <v>6763</v>
      </c>
      <c r="B1805" s="1">
        <v>2891</v>
      </c>
      <c r="C1805" s="1">
        <v>119164</v>
      </c>
      <c r="D1805">
        <v>42.2</v>
      </c>
      <c r="E1805">
        <v>42.9</v>
      </c>
      <c r="F1805">
        <v>40.15</v>
      </c>
      <c r="G1805">
        <v>40.6</v>
      </c>
      <c r="H1805">
        <v>-1.6</v>
      </c>
      <c r="I1805" s="1">
        <v>1657</v>
      </c>
    </row>
    <row r="1806" spans="1:9" x14ac:dyDescent="0.25">
      <c r="A1806" t="s">
        <v>6764</v>
      </c>
      <c r="B1806" s="1">
        <v>1547</v>
      </c>
      <c r="C1806" s="1">
        <v>63203</v>
      </c>
      <c r="D1806">
        <v>40.700000000000003</v>
      </c>
      <c r="E1806">
        <v>41.3</v>
      </c>
      <c r="F1806">
        <v>40.5</v>
      </c>
      <c r="G1806">
        <v>41</v>
      </c>
      <c r="H1806">
        <v>0.4</v>
      </c>
      <c r="I1806" s="1">
        <v>904</v>
      </c>
    </row>
    <row r="1807" spans="1:9" x14ac:dyDescent="0.25">
      <c r="A1807" t="s">
        <v>6765</v>
      </c>
      <c r="B1807" s="1">
        <v>1077</v>
      </c>
      <c r="C1807" s="1">
        <v>43910</v>
      </c>
      <c r="D1807">
        <v>40.5</v>
      </c>
      <c r="E1807">
        <v>41.3</v>
      </c>
      <c r="F1807">
        <v>40.5</v>
      </c>
      <c r="G1807">
        <v>40.6</v>
      </c>
      <c r="H1807">
        <v>-0.4</v>
      </c>
      <c r="I1807" s="1">
        <v>649</v>
      </c>
    </row>
    <row r="1808" spans="1:9" x14ac:dyDescent="0.25">
      <c r="A1808" t="s">
        <v>6766</v>
      </c>
      <c r="B1808" s="1">
        <v>2898</v>
      </c>
      <c r="C1808" s="1">
        <v>122318</v>
      </c>
      <c r="D1808">
        <v>40.799999999999997</v>
      </c>
      <c r="E1808">
        <v>42.85</v>
      </c>
      <c r="F1808">
        <v>40.799999999999997</v>
      </c>
      <c r="G1808">
        <v>42</v>
      </c>
      <c r="H1808">
        <v>1.4</v>
      </c>
      <c r="I1808" s="1">
        <v>1626</v>
      </c>
    </row>
    <row r="1809" spans="1:9" x14ac:dyDescent="0.25">
      <c r="A1809" t="s">
        <v>6767</v>
      </c>
      <c r="B1809" s="1">
        <v>2491</v>
      </c>
      <c r="C1809" s="1">
        <v>103483</v>
      </c>
      <c r="D1809">
        <v>42.8</v>
      </c>
      <c r="E1809">
        <v>43.2</v>
      </c>
      <c r="F1809">
        <v>40</v>
      </c>
      <c r="G1809">
        <v>40.6</v>
      </c>
      <c r="H1809">
        <v>-1.4</v>
      </c>
      <c r="I1809" s="1">
        <v>1294</v>
      </c>
    </row>
    <row r="1810" spans="1:9" x14ac:dyDescent="0.25">
      <c r="A1810" t="s">
        <v>6768</v>
      </c>
      <c r="B1810" s="1">
        <v>982</v>
      </c>
      <c r="C1810" s="1">
        <v>40641</v>
      </c>
      <c r="D1810">
        <v>41.8</v>
      </c>
      <c r="E1810">
        <v>41.8</v>
      </c>
      <c r="F1810">
        <v>41</v>
      </c>
      <c r="G1810">
        <v>41.2</v>
      </c>
      <c r="H1810">
        <v>0.6</v>
      </c>
      <c r="I1810" s="1">
        <v>641</v>
      </c>
    </row>
    <row r="1811" spans="1:9" x14ac:dyDescent="0.25">
      <c r="A1811" t="s">
        <v>6769</v>
      </c>
      <c r="B1811" s="1">
        <v>1669</v>
      </c>
      <c r="C1811" s="1">
        <v>70457</v>
      </c>
      <c r="D1811">
        <v>41.6</v>
      </c>
      <c r="E1811">
        <v>42.5</v>
      </c>
      <c r="F1811">
        <v>41.6</v>
      </c>
      <c r="G1811">
        <v>42.45</v>
      </c>
      <c r="H1811">
        <v>1.25</v>
      </c>
      <c r="I1811" s="1">
        <v>893</v>
      </c>
    </row>
    <row r="1812" spans="1:9" x14ac:dyDescent="0.25">
      <c r="A1812" t="s">
        <v>6770</v>
      </c>
      <c r="B1812" s="1">
        <v>793</v>
      </c>
      <c r="C1812" s="1">
        <v>33358</v>
      </c>
      <c r="D1812">
        <v>42.45</v>
      </c>
      <c r="E1812">
        <v>42.5</v>
      </c>
      <c r="F1812">
        <v>41.7</v>
      </c>
      <c r="G1812">
        <v>42</v>
      </c>
      <c r="H1812">
        <v>-0.45</v>
      </c>
      <c r="I1812" s="1">
        <v>482</v>
      </c>
    </row>
    <row r="1813" spans="1:9" x14ac:dyDescent="0.25">
      <c r="A1813" t="s">
        <v>6771</v>
      </c>
      <c r="B1813" s="1">
        <v>919</v>
      </c>
      <c r="C1813" s="1">
        <v>38561</v>
      </c>
      <c r="D1813">
        <v>41.7</v>
      </c>
      <c r="E1813">
        <v>42.5</v>
      </c>
      <c r="F1813">
        <v>41.3</v>
      </c>
      <c r="G1813">
        <v>42.5</v>
      </c>
      <c r="H1813">
        <v>0.5</v>
      </c>
      <c r="I1813" s="1">
        <v>512</v>
      </c>
    </row>
    <row r="1814" spans="1:9" x14ac:dyDescent="0.25">
      <c r="A1814" t="s">
        <v>6772</v>
      </c>
      <c r="B1814" s="1">
        <v>1683</v>
      </c>
      <c r="C1814" s="1">
        <v>72069</v>
      </c>
      <c r="D1814">
        <v>42.5</v>
      </c>
      <c r="E1814">
        <v>43.4</v>
      </c>
      <c r="F1814">
        <v>42.05</v>
      </c>
      <c r="G1814">
        <v>42.85</v>
      </c>
      <c r="H1814">
        <v>0.35</v>
      </c>
      <c r="I1814" s="1">
        <v>920</v>
      </c>
    </row>
    <row r="1815" spans="1:9" x14ac:dyDescent="0.25">
      <c r="A1815" t="s">
        <v>6773</v>
      </c>
      <c r="B1815" s="1">
        <v>957</v>
      </c>
      <c r="C1815" s="1">
        <v>40175</v>
      </c>
      <c r="D1815">
        <v>42.1</v>
      </c>
      <c r="E1815">
        <v>42.4</v>
      </c>
      <c r="F1815">
        <v>41.65</v>
      </c>
      <c r="G1815">
        <v>41.65</v>
      </c>
      <c r="H1815">
        <v>-1.2</v>
      </c>
      <c r="I1815" s="1">
        <v>565</v>
      </c>
    </row>
    <row r="1816" spans="1:9" x14ac:dyDescent="0.25">
      <c r="A1816" t="s">
        <v>6774</v>
      </c>
      <c r="B1816" s="1">
        <v>1537</v>
      </c>
      <c r="C1816" s="1">
        <v>61509</v>
      </c>
      <c r="D1816">
        <v>40.200000000000003</v>
      </c>
      <c r="E1816">
        <v>40.5</v>
      </c>
      <c r="F1816">
        <v>39.5</v>
      </c>
      <c r="G1816">
        <v>40.200000000000003</v>
      </c>
      <c r="H1816">
        <v>-1.45</v>
      </c>
      <c r="I1816" s="1">
        <v>828</v>
      </c>
    </row>
    <row r="1817" spans="1:9" x14ac:dyDescent="0.25">
      <c r="A1817" t="s">
        <v>6775</v>
      </c>
      <c r="B1817" s="1">
        <v>1719</v>
      </c>
      <c r="C1817" s="1">
        <v>66344</v>
      </c>
      <c r="D1817">
        <v>40.200000000000003</v>
      </c>
      <c r="E1817">
        <v>40.450000000000003</v>
      </c>
      <c r="F1817">
        <v>37.5</v>
      </c>
      <c r="G1817">
        <v>37.5</v>
      </c>
      <c r="H1817">
        <v>-2.7</v>
      </c>
      <c r="I1817" s="1">
        <v>1011</v>
      </c>
    </row>
    <row r="1818" spans="1:9" x14ac:dyDescent="0.25">
      <c r="A1818" t="s">
        <v>6776</v>
      </c>
      <c r="B1818" s="1">
        <v>1309</v>
      </c>
      <c r="C1818" s="1">
        <v>50062</v>
      </c>
      <c r="D1818">
        <v>38</v>
      </c>
      <c r="E1818">
        <v>39</v>
      </c>
      <c r="F1818">
        <v>37.799999999999997</v>
      </c>
      <c r="G1818">
        <v>37.9</v>
      </c>
      <c r="H1818">
        <v>0.4</v>
      </c>
      <c r="I1818" s="1">
        <v>835</v>
      </c>
    </row>
    <row r="1819" spans="1:9" x14ac:dyDescent="0.25">
      <c r="A1819" t="s">
        <v>6777</v>
      </c>
      <c r="B1819" s="1">
        <v>950</v>
      </c>
      <c r="C1819" s="1">
        <v>36270</v>
      </c>
      <c r="D1819">
        <v>38.4</v>
      </c>
      <c r="E1819">
        <v>38.85</v>
      </c>
      <c r="F1819">
        <v>37.799999999999997</v>
      </c>
      <c r="G1819">
        <v>38</v>
      </c>
      <c r="H1819">
        <v>0.1</v>
      </c>
      <c r="I1819" s="1">
        <v>582</v>
      </c>
    </row>
    <row r="1820" spans="1:9" x14ac:dyDescent="0.25">
      <c r="A1820" t="s">
        <v>6778</v>
      </c>
      <c r="B1820" s="1">
        <v>2086</v>
      </c>
      <c r="C1820" s="1">
        <v>79879</v>
      </c>
      <c r="D1820">
        <v>37.799999999999997</v>
      </c>
      <c r="E1820">
        <v>39</v>
      </c>
      <c r="F1820">
        <v>36.700000000000003</v>
      </c>
      <c r="G1820">
        <v>38.799999999999997</v>
      </c>
      <c r="H1820">
        <v>0.8</v>
      </c>
      <c r="I1820" s="1">
        <v>856</v>
      </c>
    </row>
    <row r="1821" spans="1:9" x14ac:dyDescent="0.25">
      <c r="A1821" t="s">
        <v>6779</v>
      </c>
      <c r="B1821" s="1">
        <v>660</v>
      </c>
      <c r="C1821" s="1">
        <v>25686</v>
      </c>
      <c r="D1821">
        <v>39.200000000000003</v>
      </c>
      <c r="E1821">
        <v>39.200000000000003</v>
      </c>
      <c r="F1821">
        <v>38.549999999999997</v>
      </c>
      <c r="G1821">
        <v>39</v>
      </c>
      <c r="H1821">
        <v>0.2</v>
      </c>
      <c r="I1821" s="1">
        <v>432</v>
      </c>
    </row>
    <row r="1822" spans="1:9" x14ac:dyDescent="0.25">
      <c r="A1822" t="s">
        <v>973</v>
      </c>
      <c r="B1822" s="1"/>
      <c r="C1822" s="1"/>
      <c r="I1822" s="1"/>
    </row>
    <row r="1825" spans="1:9" x14ac:dyDescent="0.25">
      <c r="A1825" s="9" t="s">
        <v>6736</v>
      </c>
      <c r="B1825" s="1">
        <v>2586</v>
      </c>
      <c r="C1825" s="1">
        <v>187869</v>
      </c>
      <c r="D1825">
        <v>72.7</v>
      </c>
      <c r="E1825">
        <v>73.2</v>
      </c>
      <c r="F1825">
        <v>71.8</v>
      </c>
      <c r="G1825">
        <v>73</v>
      </c>
      <c r="H1825">
        <v>1.4</v>
      </c>
      <c r="I1825" s="1">
        <v>1260</v>
      </c>
    </row>
    <row r="1826" spans="1:9" x14ac:dyDescent="0.25">
      <c r="A1826" t="s">
        <v>6737</v>
      </c>
      <c r="B1826" s="1">
        <v>3822</v>
      </c>
      <c r="C1826" s="1">
        <v>280568</v>
      </c>
      <c r="D1826">
        <v>73</v>
      </c>
      <c r="E1826">
        <v>73.900000000000006</v>
      </c>
      <c r="F1826">
        <v>72.5</v>
      </c>
      <c r="G1826">
        <v>73.5</v>
      </c>
      <c r="H1826">
        <v>0.5</v>
      </c>
      <c r="I1826" s="1">
        <v>1814</v>
      </c>
    </row>
    <row r="1827" spans="1:9" x14ac:dyDescent="0.25">
      <c r="A1827" t="s">
        <v>6738</v>
      </c>
      <c r="B1827" s="1">
        <v>3517</v>
      </c>
      <c r="C1827" s="1">
        <v>254789</v>
      </c>
      <c r="D1827">
        <v>72.900000000000006</v>
      </c>
      <c r="E1827">
        <v>73.3</v>
      </c>
      <c r="F1827">
        <v>71.599999999999994</v>
      </c>
      <c r="G1827">
        <v>73</v>
      </c>
      <c r="H1827">
        <v>-0.5</v>
      </c>
      <c r="I1827" s="1">
        <v>1778</v>
      </c>
    </row>
    <row r="1828" spans="1:9" x14ac:dyDescent="0.25">
      <c r="A1828" t="s">
        <v>6739</v>
      </c>
      <c r="B1828" s="1">
        <v>7102</v>
      </c>
      <c r="C1828" s="1">
        <v>522823</v>
      </c>
      <c r="D1828">
        <v>73.3</v>
      </c>
      <c r="E1828">
        <v>74.5</v>
      </c>
      <c r="F1828">
        <v>72.8</v>
      </c>
      <c r="G1828">
        <v>72.8</v>
      </c>
      <c r="H1828">
        <v>-0.2</v>
      </c>
      <c r="I1828" s="1">
        <v>2823</v>
      </c>
    </row>
    <row r="1829" spans="1:9" x14ac:dyDescent="0.25">
      <c r="A1829" t="s">
        <v>6740</v>
      </c>
      <c r="B1829" s="1">
        <v>10082</v>
      </c>
      <c r="C1829" s="1">
        <v>689784</v>
      </c>
      <c r="D1829">
        <v>68</v>
      </c>
      <c r="E1829">
        <v>69.7</v>
      </c>
      <c r="F1829">
        <v>67.8</v>
      </c>
      <c r="G1829">
        <v>67.8</v>
      </c>
      <c r="H1829">
        <v>-5</v>
      </c>
      <c r="I1829" s="1">
        <v>4405</v>
      </c>
    </row>
    <row r="1830" spans="1:9" x14ac:dyDescent="0.25">
      <c r="A1830" t="s">
        <v>6741</v>
      </c>
      <c r="B1830" s="1">
        <v>7965</v>
      </c>
      <c r="C1830" s="1">
        <v>397154</v>
      </c>
      <c r="D1830">
        <v>52.5</v>
      </c>
      <c r="E1830">
        <v>52.5</v>
      </c>
      <c r="F1830">
        <v>49</v>
      </c>
      <c r="G1830">
        <v>49</v>
      </c>
      <c r="H1830">
        <v>-3.6</v>
      </c>
      <c r="I1830" s="1">
        <v>3758</v>
      </c>
    </row>
    <row r="1831" spans="1:9" x14ac:dyDescent="0.25">
      <c r="A1831" t="s">
        <v>6742</v>
      </c>
      <c r="B1831" s="1">
        <v>6786</v>
      </c>
      <c r="C1831" s="1">
        <v>314720</v>
      </c>
      <c r="D1831">
        <v>45.6</v>
      </c>
      <c r="E1831">
        <v>48.8</v>
      </c>
      <c r="F1831">
        <v>45.6</v>
      </c>
      <c r="G1831">
        <v>48.3</v>
      </c>
      <c r="H1831">
        <v>-0.7</v>
      </c>
      <c r="I1831" s="1">
        <v>2967</v>
      </c>
    </row>
    <row r="1832" spans="1:9" x14ac:dyDescent="0.25">
      <c r="A1832" t="s">
        <v>6743</v>
      </c>
      <c r="B1832" s="1">
        <v>5366</v>
      </c>
      <c r="C1832" s="1">
        <v>265420</v>
      </c>
      <c r="D1832">
        <v>48.95</v>
      </c>
      <c r="E1832">
        <v>50.5</v>
      </c>
      <c r="F1832">
        <v>48.75</v>
      </c>
      <c r="G1832">
        <v>50.1</v>
      </c>
      <c r="H1832">
        <v>1.8</v>
      </c>
      <c r="I1832" s="1">
        <v>2655</v>
      </c>
    </row>
    <row r="1833" spans="1:9" x14ac:dyDescent="0.25">
      <c r="A1833" t="s">
        <v>6744</v>
      </c>
      <c r="B1833" s="1">
        <v>2763</v>
      </c>
      <c r="C1833" s="1">
        <v>135225</v>
      </c>
      <c r="D1833">
        <v>48.6</v>
      </c>
      <c r="E1833">
        <v>50</v>
      </c>
      <c r="F1833">
        <v>47.65</v>
      </c>
      <c r="G1833">
        <v>49</v>
      </c>
      <c r="H1833">
        <v>-1.1000000000000001</v>
      </c>
      <c r="I1833" s="1">
        <v>1451</v>
      </c>
    </row>
    <row r="1834" spans="1:9" x14ac:dyDescent="0.25">
      <c r="A1834" t="s">
        <v>6745</v>
      </c>
      <c r="B1834" s="1">
        <v>2086</v>
      </c>
      <c r="C1834" s="1">
        <v>103392</v>
      </c>
      <c r="D1834">
        <v>50</v>
      </c>
      <c r="E1834">
        <v>50.2</v>
      </c>
      <c r="F1834">
        <v>49</v>
      </c>
      <c r="G1834">
        <v>49</v>
      </c>
      <c r="H1834">
        <v>0</v>
      </c>
      <c r="I1834" s="1">
        <v>1138</v>
      </c>
    </row>
    <row r="1835" spans="1:9" x14ac:dyDescent="0.25">
      <c r="A1835" t="s">
        <v>6746</v>
      </c>
      <c r="B1835" s="1">
        <v>1275</v>
      </c>
      <c r="C1835" s="1">
        <v>63058</v>
      </c>
      <c r="D1835">
        <v>49.5</v>
      </c>
      <c r="E1835">
        <v>49.95</v>
      </c>
      <c r="F1835">
        <v>49.1</v>
      </c>
      <c r="G1835">
        <v>49.55</v>
      </c>
      <c r="H1835">
        <v>0.55000000000000004</v>
      </c>
      <c r="I1835" s="1">
        <v>771</v>
      </c>
    </row>
    <row r="1836" spans="1:9" x14ac:dyDescent="0.25">
      <c r="A1836" t="s">
        <v>6747</v>
      </c>
      <c r="B1836" s="1">
        <v>2695</v>
      </c>
      <c r="C1836" s="1">
        <v>136493</v>
      </c>
      <c r="D1836">
        <v>50</v>
      </c>
      <c r="E1836">
        <v>51.4</v>
      </c>
      <c r="F1836">
        <v>49.75</v>
      </c>
      <c r="G1836">
        <v>50.6</v>
      </c>
      <c r="H1836">
        <v>1.05</v>
      </c>
      <c r="I1836" s="1">
        <v>1424</v>
      </c>
    </row>
    <row r="1837" spans="1:9" x14ac:dyDescent="0.25">
      <c r="A1837" t="s">
        <v>6748</v>
      </c>
      <c r="B1837" s="1">
        <v>2399</v>
      </c>
      <c r="C1837" s="1">
        <v>122529</v>
      </c>
      <c r="D1837">
        <v>50.6</v>
      </c>
      <c r="E1837">
        <v>51.8</v>
      </c>
      <c r="F1837">
        <v>50.5</v>
      </c>
      <c r="G1837">
        <v>50.7</v>
      </c>
      <c r="H1837">
        <v>0.1</v>
      </c>
      <c r="I1837" s="1">
        <v>1376</v>
      </c>
    </row>
    <row r="1838" spans="1:9" x14ac:dyDescent="0.25">
      <c r="A1838" t="s">
        <v>6749</v>
      </c>
      <c r="B1838" s="1">
        <v>1598</v>
      </c>
      <c r="C1838" s="1">
        <v>79659</v>
      </c>
      <c r="D1838">
        <v>50.7</v>
      </c>
      <c r="E1838">
        <v>50.7</v>
      </c>
      <c r="F1838">
        <v>49.5</v>
      </c>
      <c r="G1838">
        <v>49.5</v>
      </c>
      <c r="H1838">
        <v>-1.2</v>
      </c>
      <c r="I1838" s="1">
        <v>886</v>
      </c>
    </row>
    <row r="1839" spans="1:9" x14ac:dyDescent="0.25">
      <c r="A1839" t="s">
        <v>6750</v>
      </c>
      <c r="B1839" s="1">
        <v>2178</v>
      </c>
      <c r="C1839" s="1">
        <v>103681</v>
      </c>
      <c r="D1839">
        <v>46.3</v>
      </c>
      <c r="E1839">
        <v>48.5</v>
      </c>
      <c r="F1839">
        <v>46.3</v>
      </c>
      <c r="G1839">
        <v>47.8</v>
      </c>
      <c r="H1839">
        <v>-1.7</v>
      </c>
      <c r="I1839" s="1">
        <v>1102</v>
      </c>
    </row>
    <row r="1840" spans="1:9" x14ac:dyDescent="0.25">
      <c r="A1840" t="s">
        <v>6751</v>
      </c>
      <c r="B1840" s="1">
        <v>1179</v>
      </c>
      <c r="C1840" s="1">
        <v>56194</v>
      </c>
      <c r="D1840">
        <v>47.8</v>
      </c>
      <c r="E1840">
        <v>48.65</v>
      </c>
      <c r="F1840">
        <v>47.05</v>
      </c>
      <c r="G1840">
        <v>47.35</v>
      </c>
      <c r="H1840">
        <v>-0.45</v>
      </c>
      <c r="I1840" s="1">
        <v>689</v>
      </c>
    </row>
    <row r="1841" spans="1:9" x14ac:dyDescent="0.25">
      <c r="A1841" t="s">
        <v>6752</v>
      </c>
      <c r="B1841" s="1">
        <v>933</v>
      </c>
      <c r="C1841" s="1">
        <v>44959</v>
      </c>
      <c r="D1841">
        <v>48</v>
      </c>
      <c r="E1841">
        <v>48.7</v>
      </c>
      <c r="F1841">
        <v>47.8</v>
      </c>
      <c r="G1841">
        <v>48.7</v>
      </c>
      <c r="H1841">
        <v>1.35</v>
      </c>
      <c r="I1841" s="1">
        <v>509</v>
      </c>
    </row>
    <row r="1842" spans="1:9" x14ac:dyDescent="0.25">
      <c r="A1842" t="s">
        <v>6753</v>
      </c>
      <c r="B1842" s="1">
        <v>1136</v>
      </c>
      <c r="C1842" s="1">
        <v>55682</v>
      </c>
      <c r="D1842">
        <v>49</v>
      </c>
      <c r="E1842">
        <v>49.3</v>
      </c>
      <c r="F1842">
        <v>48.6</v>
      </c>
      <c r="G1842">
        <v>48.7</v>
      </c>
      <c r="H1842">
        <v>0</v>
      </c>
      <c r="I1842" s="1">
        <v>624</v>
      </c>
    </row>
    <row r="1843" spans="1:9" x14ac:dyDescent="0.25">
      <c r="A1843" t="s">
        <v>6754</v>
      </c>
      <c r="B1843" s="1">
        <v>2866</v>
      </c>
      <c r="C1843" s="1">
        <v>130459</v>
      </c>
      <c r="D1843">
        <v>47.3</v>
      </c>
      <c r="E1843">
        <v>47.3</v>
      </c>
      <c r="F1843">
        <v>45.3</v>
      </c>
      <c r="G1843">
        <v>45.3</v>
      </c>
      <c r="H1843">
        <v>-3.4</v>
      </c>
      <c r="I1843" s="1">
        <v>1492</v>
      </c>
    </row>
    <row r="1844" spans="1:9" x14ac:dyDescent="0.25">
      <c r="A1844" t="s">
        <v>6755</v>
      </c>
      <c r="B1844" s="1">
        <v>4547</v>
      </c>
      <c r="C1844" s="1">
        <v>193203</v>
      </c>
      <c r="D1844">
        <v>42.2</v>
      </c>
      <c r="E1844">
        <v>43.7</v>
      </c>
      <c r="F1844">
        <v>42.15</v>
      </c>
      <c r="G1844">
        <v>42.5</v>
      </c>
      <c r="H1844">
        <v>-2.8</v>
      </c>
      <c r="I1844" s="1">
        <v>2374</v>
      </c>
    </row>
    <row r="1845" spans="1:9" x14ac:dyDescent="0.25">
      <c r="A1845" t="s">
        <v>6756</v>
      </c>
      <c r="B1845" s="1">
        <v>1551</v>
      </c>
      <c r="C1845" s="1">
        <v>66190</v>
      </c>
      <c r="D1845">
        <v>42.5</v>
      </c>
      <c r="E1845">
        <v>43.2</v>
      </c>
      <c r="F1845">
        <v>42.2</v>
      </c>
      <c r="G1845">
        <v>42.6</v>
      </c>
      <c r="H1845">
        <v>0.1</v>
      </c>
      <c r="I1845" s="1">
        <v>996</v>
      </c>
    </row>
    <row r="1846" spans="1:9" x14ac:dyDescent="0.25">
      <c r="A1846" t="s">
        <v>6757</v>
      </c>
      <c r="B1846" s="1">
        <v>1812</v>
      </c>
      <c r="C1846" s="1">
        <v>79004</v>
      </c>
      <c r="D1846">
        <v>42.95</v>
      </c>
      <c r="E1846">
        <v>44.2</v>
      </c>
      <c r="F1846">
        <v>42.7</v>
      </c>
      <c r="G1846">
        <v>43.7</v>
      </c>
      <c r="H1846">
        <v>1.1000000000000001</v>
      </c>
      <c r="I1846" s="1">
        <v>1178</v>
      </c>
    </row>
    <row r="1847" spans="1:9" x14ac:dyDescent="0.25">
      <c r="A1847" t="s">
        <v>6758</v>
      </c>
      <c r="B1847" s="1">
        <v>1248</v>
      </c>
      <c r="C1847" s="1">
        <v>54999</v>
      </c>
      <c r="D1847">
        <v>43.7</v>
      </c>
      <c r="E1847">
        <v>44.55</v>
      </c>
      <c r="F1847">
        <v>43.55</v>
      </c>
      <c r="G1847">
        <v>44.5</v>
      </c>
      <c r="H1847">
        <v>0.8</v>
      </c>
      <c r="I1847" s="1">
        <v>792</v>
      </c>
    </row>
    <row r="1848" spans="1:9" x14ac:dyDescent="0.25">
      <c r="A1848" t="s">
        <v>951</v>
      </c>
      <c r="B1848" s="1"/>
      <c r="C1848" s="1"/>
      <c r="I1848" s="1"/>
    </row>
    <row r="1849" spans="1:9" x14ac:dyDescent="0.25">
      <c r="A1849" s="9" t="s">
        <v>6715</v>
      </c>
      <c r="B1849" s="1">
        <v>2685</v>
      </c>
      <c r="C1849" s="1">
        <v>188111</v>
      </c>
      <c r="D1849">
        <v>69.5</v>
      </c>
      <c r="E1849">
        <v>70.5</v>
      </c>
      <c r="F1849">
        <v>69.2</v>
      </c>
      <c r="G1849">
        <v>70.099999999999994</v>
      </c>
      <c r="H1849">
        <v>1.2</v>
      </c>
      <c r="I1849" s="1">
        <v>1334</v>
      </c>
    </row>
    <row r="1850" spans="1:9" x14ac:dyDescent="0.25">
      <c r="A1850" t="s">
        <v>6716</v>
      </c>
      <c r="B1850" s="1">
        <v>2078</v>
      </c>
      <c r="C1850" s="1">
        <v>145922</v>
      </c>
      <c r="D1850">
        <v>70.5</v>
      </c>
      <c r="E1850">
        <v>70.8</v>
      </c>
      <c r="F1850">
        <v>69.900000000000006</v>
      </c>
      <c r="G1850">
        <v>69.900000000000006</v>
      </c>
      <c r="H1850">
        <v>-0.2</v>
      </c>
      <c r="I1850" s="1">
        <v>1125</v>
      </c>
    </row>
    <row r="1851" spans="1:9" x14ac:dyDescent="0.25">
      <c r="A1851" t="s">
        <v>6717</v>
      </c>
      <c r="B1851" s="1">
        <v>1073</v>
      </c>
      <c r="C1851" s="1">
        <v>75082</v>
      </c>
      <c r="D1851">
        <v>70</v>
      </c>
      <c r="E1851">
        <v>70.5</v>
      </c>
      <c r="F1851">
        <v>69.7</v>
      </c>
      <c r="G1851">
        <v>69.8</v>
      </c>
      <c r="H1851">
        <v>-0.1</v>
      </c>
      <c r="I1851" s="1">
        <v>599</v>
      </c>
    </row>
    <row r="1852" spans="1:9" x14ac:dyDescent="0.25">
      <c r="A1852" t="s">
        <v>6718</v>
      </c>
      <c r="B1852" s="1">
        <v>3539</v>
      </c>
      <c r="C1852" s="1">
        <v>252844</v>
      </c>
      <c r="D1852">
        <v>69.8</v>
      </c>
      <c r="E1852">
        <v>72.099999999999994</v>
      </c>
      <c r="F1852">
        <v>69.8</v>
      </c>
      <c r="G1852">
        <v>71.7</v>
      </c>
      <c r="H1852">
        <v>1.9</v>
      </c>
      <c r="I1852" s="1">
        <v>1962</v>
      </c>
    </row>
    <row r="1853" spans="1:9" x14ac:dyDescent="0.25">
      <c r="A1853" t="s">
        <v>6719</v>
      </c>
      <c r="B1853" s="1">
        <v>2651</v>
      </c>
      <c r="C1853" s="1">
        <v>190051</v>
      </c>
      <c r="D1853">
        <v>71.900000000000006</v>
      </c>
      <c r="E1853">
        <v>72.3</v>
      </c>
      <c r="F1853">
        <v>71.099999999999994</v>
      </c>
      <c r="G1853">
        <v>72.099999999999994</v>
      </c>
      <c r="H1853">
        <v>0.4</v>
      </c>
      <c r="I1853" s="1">
        <v>1314</v>
      </c>
    </row>
    <row r="1854" spans="1:9" x14ac:dyDescent="0.25">
      <c r="A1854" t="s">
        <v>6720</v>
      </c>
      <c r="B1854" s="1">
        <v>10746</v>
      </c>
      <c r="C1854" s="1">
        <v>795813</v>
      </c>
      <c r="D1854">
        <v>73.5</v>
      </c>
      <c r="E1854">
        <v>75.599999999999994</v>
      </c>
      <c r="F1854">
        <v>72.7</v>
      </c>
      <c r="G1854">
        <v>72.7</v>
      </c>
      <c r="H1854">
        <v>0.6</v>
      </c>
      <c r="I1854" s="1">
        <v>4831</v>
      </c>
    </row>
    <row r="1855" spans="1:9" x14ac:dyDescent="0.25">
      <c r="A1855" t="s">
        <v>6721</v>
      </c>
      <c r="B1855" s="1">
        <v>3845</v>
      </c>
      <c r="C1855" s="1">
        <v>274853</v>
      </c>
      <c r="D1855">
        <v>72.7</v>
      </c>
      <c r="E1855">
        <v>72.900000000000006</v>
      </c>
      <c r="F1855">
        <v>70.900000000000006</v>
      </c>
      <c r="G1855">
        <v>71</v>
      </c>
      <c r="H1855">
        <v>-1.7</v>
      </c>
      <c r="I1855" s="1">
        <v>1862</v>
      </c>
    </row>
    <row r="1856" spans="1:9" x14ac:dyDescent="0.25">
      <c r="A1856" t="s">
        <v>6722</v>
      </c>
      <c r="B1856" s="1">
        <v>2360</v>
      </c>
      <c r="C1856" s="1">
        <v>166265</v>
      </c>
      <c r="D1856">
        <v>70.900000000000006</v>
      </c>
      <c r="E1856">
        <v>71</v>
      </c>
      <c r="F1856">
        <v>70</v>
      </c>
      <c r="G1856">
        <v>70.099999999999994</v>
      </c>
      <c r="H1856">
        <v>-0.9</v>
      </c>
      <c r="I1856" s="1">
        <v>1329</v>
      </c>
    </row>
    <row r="1857" spans="1:9" x14ac:dyDescent="0.25">
      <c r="A1857" t="s">
        <v>6723</v>
      </c>
      <c r="B1857" s="1">
        <v>2408</v>
      </c>
      <c r="C1857" s="1">
        <v>169130</v>
      </c>
      <c r="D1857">
        <v>70.3</v>
      </c>
      <c r="E1857">
        <v>71.099999999999994</v>
      </c>
      <c r="F1857">
        <v>69.5</v>
      </c>
      <c r="G1857">
        <v>69.900000000000006</v>
      </c>
      <c r="H1857">
        <v>-0.2</v>
      </c>
      <c r="I1857" s="1">
        <v>1308</v>
      </c>
    </row>
    <row r="1858" spans="1:9" x14ac:dyDescent="0.25">
      <c r="A1858" t="s">
        <v>6724</v>
      </c>
      <c r="B1858" s="1">
        <v>2454</v>
      </c>
      <c r="C1858" s="1">
        <v>170834</v>
      </c>
      <c r="D1858">
        <v>70.3</v>
      </c>
      <c r="E1858">
        <v>70.599999999999994</v>
      </c>
      <c r="F1858">
        <v>68.599999999999994</v>
      </c>
      <c r="G1858">
        <v>69.5</v>
      </c>
      <c r="H1858">
        <v>-0.4</v>
      </c>
      <c r="I1858" s="1">
        <v>1218</v>
      </c>
    </row>
    <row r="1859" spans="1:9" x14ac:dyDescent="0.25">
      <c r="A1859" t="s">
        <v>6725</v>
      </c>
      <c r="B1859" s="1">
        <v>1578</v>
      </c>
      <c r="C1859" s="1">
        <v>110946</v>
      </c>
      <c r="D1859">
        <v>69.5</v>
      </c>
      <c r="E1859">
        <v>70.8</v>
      </c>
      <c r="F1859">
        <v>69.5</v>
      </c>
      <c r="G1859">
        <v>70.8</v>
      </c>
      <c r="H1859">
        <v>1.3</v>
      </c>
      <c r="I1859" s="1">
        <v>919</v>
      </c>
    </row>
    <row r="1860" spans="1:9" x14ac:dyDescent="0.25">
      <c r="A1860" t="s">
        <v>6726</v>
      </c>
      <c r="B1860" s="1">
        <v>3162</v>
      </c>
      <c r="C1860" s="1">
        <v>226900</v>
      </c>
      <c r="D1860">
        <v>71.099999999999994</v>
      </c>
      <c r="E1860">
        <v>72.5</v>
      </c>
      <c r="F1860">
        <v>70.599999999999994</v>
      </c>
      <c r="G1860">
        <v>71.099999999999994</v>
      </c>
      <c r="H1860">
        <v>0.3</v>
      </c>
      <c r="I1860" s="1">
        <v>1759</v>
      </c>
    </row>
    <row r="1861" spans="1:9" x14ac:dyDescent="0.25">
      <c r="A1861" t="s">
        <v>6727</v>
      </c>
      <c r="B1861" s="1">
        <v>2240</v>
      </c>
      <c r="C1861" s="1">
        <v>160575</v>
      </c>
      <c r="D1861">
        <v>71.099999999999994</v>
      </c>
      <c r="E1861">
        <v>72.2</v>
      </c>
      <c r="F1861">
        <v>71.099999999999994</v>
      </c>
      <c r="G1861">
        <v>71.5</v>
      </c>
      <c r="H1861">
        <v>0.4</v>
      </c>
      <c r="I1861" s="1">
        <v>1172</v>
      </c>
    </row>
    <row r="1862" spans="1:9" x14ac:dyDescent="0.25">
      <c r="A1862" t="s">
        <v>6728</v>
      </c>
      <c r="B1862" s="1">
        <v>4734</v>
      </c>
      <c r="C1862" s="1">
        <v>340735</v>
      </c>
      <c r="D1862">
        <v>72</v>
      </c>
      <c r="E1862">
        <v>72.599999999999994</v>
      </c>
      <c r="F1862">
        <v>71.5</v>
      </c>
      <c r="G1862">
        <v>71.8</v>
      </c>
      <c r="H1862">
        <v>0.3</v>
      </c>
      <c r="I1862" s="1">
        <v>1961</v>
      </c>
    </row>
    <row r="1863" spans="1:9" x14ac:dyDescent="0.25">
      <c r="A1863" t="s">
        <v>6729</v>
      </c>
      <c r="B1863" s="1">
        <v>2740</v>
      </c>
      <c r="C1863" s="1">
        <v>198154</v>
      </c>
      <c r="D1863">
        <v>71.8</v>
      </c>
      <c r="E1863">
        <v>72.8</v>
      </c>
      <c r="F1863">
        <v>71.5</v>
      </c>
      <c r="G1863">
        <v>72.3</v>
      </c>
      <c r="H1863">
        <v>0.5</v>
      </c>
      <c r="I1863" s="1">
        <v>1434</v>
      </c>
    </row>
    <row r="1864" spans="1:9" x14ac:dyDescent="0.25">
      <c r="A1864" t="s">
        <v>6730</v>
      </c>
      <c r="B1864" s="1">
        <v>2263</v>
      </c>
      <c r="C1864" s="1">
        <v>163216</v>
      </c>
      <c r="D1864">
        <v>72.5</v>
      </c>
      <c r="E1864">
        <v>72.7</v>
      </c>
      <c r="F1864">
        <v>71.7</v>
      </c>
      <c r="G1864">
        <v>71.8</v>
      </c>
      <c r="H1864">
        <v>-0.5</v>
      </c>
      <c r="I1864" s="1">
        <v>1197</v>
      </c>
    </row>
    <row r="1865" spans="1:9" x14ac:dyDescent="0.25">
      <c r="A1865" t="s">
        <v>6731</v>
      </c>
      <c r="B1865" s="1">
        <v>2005</v>
      </c>
      <c r="C1865" s="1">
        <v>143025</v>
      </c>
      <c r="D1865">
        <v>72.099999999999994</v>
      </c>
      <c r="E1865">
        <v>72.3</v>
      </c>
      <c r="F1865">
        <v>70.900000000000006</v>
      </c>
      <c r="G1865">
        <v>71</v>
      </c>
      <c r="H1865">
        <v>-0.8</v>
      </c>
      <c r="I1865" s="1">
        <v>985</v>
      </c>
    </row>
    <row r="1866" spans="1:9" x14ac:dyDescent="0.25">
      <c r="A1866" t="s">
        <v>6732</v>
      </c>
      <c r="B1866" s="1">
        <v>1709</v>
      </c>
      <c r="C1866" s="1">
        <v>122959</v>
      </c>
      <c r="D1866">
        <v>71</v>
      </c>
      <c r="E1866">
        <v>72.3</v>
      </c>
      <c r="F1866">
        <v>71</v>
      </c>
      <c r="G1866">
        <v>72.2</v>
      </c>
      <c r="H1866">
        <v>1.2</v>
      </c>
      <c r="I1866" s="1">
        <v>955</v>
      </c>
    </row>
    <row r="1867" spans="1:9" x14ac:dyDescent="0.25">
      <c r="A1867" t="s">
        <v>6733</v>
      </c>
      <c r="B1867" s="1">
        <v>4257</v>
      </c>
      <c r="C1867" s="1">
        <v>311269</v>
      </c>
      <c r="D1867">
        <v>72.400000000000006</v>
      </c>
      <c r="E1867">
        <v>73.8</v>
      </c>
      <c r="F1867">
        <v>72.099999999999994</v>
      </c>
      <c r="G1867">
        <v>72.8</v>
      </c>
      <c r="H1867">
        <v>0.6</v>
      </c>
      <c r="I1867" s="1">
        <v>2088</v>
      </c>
    </row>
    <row r="1868" spans="1:9" x14ac:dyDescent="0.25">
      <c r="A1868" t="s">
        <v>6734</v>
      </c>
      <c r="B1868" s="1">
        <v>2725</v>
      </c>
      <c r="C1868" s="1">
        <v>198765</v>
      </c>
      <c r="D1868">
        <v>72.2</v>
      </c>
      <c r="E1868">
        <v>73.7</v>
      </c>
      <c r="F1868">
        <v>72.2</v>
      </c>
      <c r="G1868">
        <v>72.5</v>
      </c>
      <c r="H1868">
        <v>-0.3</v>
      </c>
      <c r="I1868" s="1">
        <v>1377</v>
      </c>
    </row>
    <row r="1869" spans="1:9" x14ac:dyDescent="0.25">
      <c r="A1869" t="s">
        <v>6735</v>
      </c>
      <c r="B1869" s="1">
        <v>2559</v>
      </c>
      <c r="C1869" s="1">
        <v>184747</v>
      </c>
      <c r="D1869">
        <v>72.5</v>
      </c>
      <c r="E1869">
        <v>73.099999999999994</v>
      </c>
      <c r="F1869">
        <v>71.599999999999994</v>
      </c>
      <c r="G1869">
        <v>71.599999999999994</v>
      </c>
      <c r="H1869">
        <v>-0.9</v>
      </c>
      <c r="I1869" s="1">
        <v>1358</v>
      </c>
    </row>
    <row r="1870" spans="1:9" x14ac:dyDescent="0.25">
      <c r="A1870" t="s">
        <v>973</v>
      </c>
      <c r="B1870" s="1"/>
      <c r="C1870" s="1"/>
      <c r="I1870" s="1"/>
    </row>
    <row r="1873" spans="1:9" x14ac:dyDescent="0.25">
      <c r="A1873" s="9" t="s">
        <v>6694</v>
      </c>
      <c r="B1873" s="1">
        <v>1787</v>
      </c>
      <c r="C1873" s="1">
        <v>126191</v>
      </c>
      <c r="D1873">
        <v>70.5</v>
      </c>
      <c r="E1873">
        <v>71</v>
      </c>
      <c r="F1873">
        <v>70.3</v>
      </c>
      <c r="G1873">
        <v>71</v>
      </c>
      <c r="H1873">
        <v>0.7</v>
      </c>
      <c r="I1873" s="1">
        <v>985</v>
      </c>
    </row>
    <row r="1874" spans="1:9" x14ac:dyDescent="0.25">
      <c r="A1874" t="s">
        <v>6695</v>
      </c>
      <c r="B1874" s="1">
        <v>4979</v>
      </c>
      <c r="C1874" s="1">
        <v>355997</v>
      </c>
      <c r="D1874">
        <v>70.5</v>
      </c>
      <c r="E1874">
        <v>72.400000000000006</v>
      </c>
      <c r="F1874">
        <v>70.099999999999994</v>
      </c>
      <c r="G1874">
        <v>71.599999999999994</v>
      </c>
      <c r="H1874">
        <v>0.6</v>
      </c>
      <c r="I1874" s="1">
        <v>2885</v>
      </c>
    </row>
    <row r="1875" spans="1:9" x14ac:dyDescent="0.25">
      <c r="A1875" t="s">
        <v>6696</v>
      </c>
      <c r="B1875" s="1">
        <v>2161</v>
      </c>
      <c r="C1875" s="1">
        <v>155406</v>
      </c>
      <c r="D1875">
        <v>72</v>
      </c>
      <c r="E1875">
        <v>72.3</v>
      </c>
      <c r="F1875">
        <v>71.599999999999994</v>
      </c>
      <c r="G1875">
        <v>71.8</v>
      </c>
      <c r="H1875">
        <v>0.2</v>
      </c>
      <c r="I1875" s="1">
        <v>1338</v>
      </c>
    </row>
    <row r="1876" spans="1:9" x14ac:dyDescent="0.25">
      <c r="A1876" t="s">
        <v>6697</v>
      </c>
      <c r="B1876" s="1">
        <v>1799</v>
      </c>
      <c r="C1876" s="1">
        <v>128576</v>
      </c>
      <c r="D1876">
        <v>71.7</v>
      </c>
      <c r="E1876">
        <v>72</v>
      </c>
      <c r="F1876">
        <v>70.900000000000006</v>
      </c>
      <c r="G1876">
        <v>71.7</v>
      </c>
      <c r="H1876">
        <v>-0.1</v>
      </c>
      <c r="I1876" s="1">
        <v>999</v>
      </c>
    </row>
    <row r="1877" spans="1:9" x14ac:dyDescent="0.25">
      <c r="A1877" t="s">
        <v>6698</v>
      </c>
      <c r="B1877" s="1">
        <v>1153</v>
      </c>
      <c r="C1877" s="1">
        <v>82169</v>
      </c>
      <c r="D1877">
        <v>71.5</v>
      </c>
      <c r="E1877">
        <v>71.7</v>
      </c>
      <c r="F1877">
        <v>71</v>
      </c>
      <c r="G1877">
        <v>71</v>
      </c>
      <c r="H1877">
        <v>-0.7</v>
      </c>
      <c r="I1877" s="1">
        <v>761</v>
      </c>
    </row>
    <row r="1878" spans="1:9" x14ac:dyDescent="0.25">
      <c r="A1878" t="s">
        <v>6699</v>
      </c>
      <c r="B1878" s="1">
        <v>3656</v>
      </c>
      <c r="C1878" s="1">
        <v>263957</v>
      </c>
      <c r="D1878">
        <v>71</v>
      </c>
      <c r="E1878">
        <v>72.8</v>
      </c>
      <c r="F1878">
        <v>71</v>
      </c>
      <c r="G1878">
        <v>71.8</v>
      </c>
      <c r="H1878">
        <v>0.8</v>
      </c>
      <c r="I1878" s="1">
        <v>2063</v>
      </c>
    </row>
    <row r="1879" spans="1:9" x14ac:dyDescent="0.25">
      <c r="A1879" t="s">
        <v>6700</v>
      </c>
      <c r="B1879" s="1">
        <v>3430</v>
      </c>
      <c r="C1879" s="1">
        <v>242637</v>
      </c>
      <c r="D1879">
        <v>71.8</v>
      </c>
      <c r="E1879">
        <v>71.8</v>
      </c>
      <c r="F1879">
        <v>70.099999999999994</v>
      </c>
      <c r="G1879">
        <v>70.099999999999994</v>
      </c>
      <c r="H1879">
        <v>-1.7</v>
      </c>
      <c r="I1879" s="1">
        <v>1899</v>
      </c>
    </row>
    <row r="1880" spans="1:9" x14ac:dyDescent="0.25">
      <c r="A1880" t="s">
        <v>6701</v>
      </c>
      <c r="B1880" s="1">
        <v>2130</v>
      </c>
      <c r="C1880" s="1">
        <v>147533</v>
      </c>
      <c r="D1880">
        <v>70</v>
      </c>
      <c r="E1880">
        <v>70</v>
      </c>
      <c r="F1880">
        <v>68.900000000000006</v>
      </c>
      <c r="G1880">
        <v>69</v>
      </c>
      <c r="H1880">
        <v>-1.1000000000000001</v>
      </c>
      <c r="I1880" s="1">
        <v>1165</v>
      </c>
    </row>
    <row r="1881" spans="1:9" x14ac:dyDescent="0.25">
      <c r="A1881" t="s">
        <v>6702</v>
      </c>
      <c r="B1881" s="1">
        <v>992</v>
      </c>
      <c r="C1881" s="1">
        <v>69131</v>
      </c>
      <c r="D1881">
        <v>69.5</v>
      </c>
      <c r="E1881">
        <v>70</v>
      </c>
      <c r="F1881">
        <v>69.2</v>
      </c>
      <c r="G1881">
        <v>69.900000000000006</v>
      </c>
      <c r="H1881">
        <v>0.9</v>
      </c>
      <c r="I1881" s="1">
        <v>689</v>
      </c>
    </row>
    <row r="1882" spans="1:9" x14ac:dyDescent="0.25">
      <c r="A1882" t="s">
        <v>6703</v>
      </c>
      <c r="B1882" s="1">
        <v>923</v>
      </c>
      <c r="C1882" s="1">
        <v>64512</v>
      </c>
      <c r="D1882">
        <v>70.2</v>
      </c>
      <c r="E1882">
        <v>70.3</v>
      </c>
      <c r="F1882">
        <v>69.3</v>
      </c>
      <c r="G1882">
        <v>69.900000000000006</v>
      </c>
      <c r="H1882">
        <v>0</v>
      </c>
      <c r="I1882" s="1">
        <v>573</v>
      </c>
    </row>
    <row r="1883" spans="1:9" x14ac:dyDescent="0.25">
      <c r="A1883" t="s">
        <v>6704</v>
      </c>
      <c r="B1883" s="1">
        <v>1305</v>
      </c>
      <c r="C1883" s="1">
        <v>90540</v>
      </c>
      <c r="D1883">
        <v>69.2</v>
      </c>
      <c r="E1883">
        <v>69.8</v>
      </c>
      <c r="F1883">
        <v>69</v>
      </c>
      <c r="G1883">
        <v>69.2</v>
      </c>
      <c r="H1883">
        <v>-0.7</v>
      </c>
      <c r="I1883" s="1">
        <v>674</v>
      </c>
    </row>
    <row r="1884" spans="1:9" x14ac:dyDescent="0.25">
      <c r="A1884" t="s">
        <v>6705</v>
      </c>
      <c r="B1884" s="1">
        <v>1257</v>
      </c>
      <c r="C1884" s="1">
        <v>87046</v>
      </c>
      <c r="D1884">
        <v>69.2</v>
      </c>
      <c r="E1884">
        <v>69.900000000000006</v>
      </c>
      <c r="F1884">
        <v>69</v>
      </c>
      <c r="G1884">
        <v>69</v>
      </c>
      <c r="H1884">
        <v>-0.2</v>
      </c>
      <c r="I1884" s="1">
        <v>662</v>
      </c>
    </row>
    <row r="1885" spans="1:9" x14ac:dyDescent="0.25">
      <c r="A1885" t="s">
        <v>6706</v>
      </c>
      <c r="B1885" s="1">
        <v>1680</v>
      </c>
      <c r="C1885" s="1">
        <v>114933</v>
      </c>
      <c r="D1885">
        <v>69</v>
      </c>
      <c r="E1885">
        <v>69.5</v>
      </c>
      <c r="F1885">
        <v>67.7</v>
      </c>
      <c r="G1885">
        <v>67.8</v>
      </c>
      <c r="H1885">
        <v>-1.2</v>
      </c>
      <c r="I1885" s="1">
        <v>943</v>
      </c>
    </row>
    <row r="1886" spans="1:9" x14ac:dyDescent="0.25">
      <c r="A1886" t="s">
        <v>6707</v>
      </c>
      <c r="B1886" s="1">
        <v>1506</v>
      </c>
      <c r="C1886" s="1">
        <v>102578</v>
      </c>
      <c r="D1886">
        <v>68.2</v>
      </c>
      <c r="E1886">
        <v>68.900000000000006</v>
      </c>
      <c r="F1886">
        <v>67.400000000000006</v>
      </c>
      <c r="G1886">
        <v>68.599999999999994</v>
      </c>
      <c r="H1886">
        <v>0.8</v>
      </c>
      <c r="I1886" s="1">
        <v>895</v>
      </c>
    </row>
    <row r="1887" spans="1:9" x14ac:dyDescent="0.25">
      <c r="A1887" t="s">
        <v>6708</v>
      </c>
      <c r="B1887" s="1">
        <v>941</v>
      </c>
      <c r="C1887" s="1">
        <v>65065</v>
      </c>
      <c r="D1887">
        <v>69.400000000000006</v>
      </c>
      <c r="E1887">
        <v>69.400000000000006</v>
      </c>
      <c r="F1887">
        <v>68.7</v>
      </c>
      <c r="G1887">
        <v>68.900000000000006</v>
      </c>
      <c r="H1887">
        <v>0.3</v>
      </c>
      <c r="I1887" s="1">
        <v>540</v>
      </c>
    </row>
    <row r="1888" spans="1:9" x14ac:dyDescent="0.25">
      <c r="A1888" t="s">
        <v>6709</v>
      </c>
      <c r="B1888" s="1">
        <v>684</v>
      </c>
      <c r="C1888" s="1">
        <v>46956</v>
      </c>
      <c r="D1888">
        <v>69</v>
      </c>
      <c r="E1888">
        <v>69.2</v>
      </c>
      <c r="F1888">
        <v>68.400000000000006</v>
      </c>
      <c r="G1888">
        <v>68.400000000000006</v>
      </c>
      <c r="H1888">
        <v>-0.5</v>
      </c>
      <c r="I1888" s="1">
        <v>398</v>
      </c>
    </row>
    <row r="1889" spans="1:9" x14ac:dyDescent="0.25">
      <c r="A1889" t="s">
        <v>6710</v>
      </c>
      <c r="B1889" s="1">
        <v>529</v>
      </c>
      <c r="C1889" s="1">
        <v>36311</v>
      </c>
      <c r="D1889">
        <v>68.400000000000006</v>
      </c>
      <c r="E1889">
        <v>68.8</v>
      </c>
      <c r="F1889">
        <v>68.400000000000006</v>
      </c>
      <c r="G1889">
        <v>68.8</v>
      </c>
      <c r="H1889">
        <v>0.4</v>
      </c>
      <c r="I1889" s="1">
        <v>323</v>
      </c>
    </row>
    <row r="1890" spans="1:9" x14ac:dyDescent="0.25">
      <c r="A1890" t="s">
        <v>6711</v>
      </c>
      <c r="B1890" s="1">
        <v>949</v>
      </c>
      <c r="C1890" s="1">
        <v>64773</v>
      </c>
      <c r="D1890">
        <v>67.8</v>
      </c>
      <c r="E1890">
        <v>68.900000000000006</v>
      </c>
      <c r="F1890">
        <v>67.8</v>
      </c>
      <c r="G1890">
        <v>68.400000000000006</v>
      </c>
      <c r="H1890">
        <v>-0.4</v>
      </c>
      <c r="I1890" s="1">
        <v>535</v>
      </c>
    </row>
    <row r="1891" spans="1:9" x14ac:dyDescent="0.25">
      <c r="A1891" t="s">
        <v>6712</v>
      </c>
      <c r="B1891" s="1">
        <v>1090</v>
      </c>
      <c r="C1891" s="1">
        <v>74724</v>
      </c>
      <c r="D1891">
        <v>68.8</v>
      </c>
      <c r="E1891">
        <v>69.099999999999994</v>
      </c>
      <c r="F1891">
        <v>68.400000000000006</v>
      </c>
      <c r="G1891">
        <v>68.400000000000006</v>
      </c>
      <c r="H1891">
        <v>0</v>
      </c>
      <c r="I1891" s="1">
        <v>624</v>
      </c>
    </row>
    <row r="1892" spans="1:9" x14ac:dyDescent="0.25">
      <c r="A1892" t="s">
        <v>6713</v>
      </c>
      <c r="B1892" s="1">
        <v>883</v>
      </c>
      <c r="C1892" s="1">
        <v>60810</v>
      </c>
      <c r="D1892">
        <v>68.7</v>
      </c>
      <c r="E1892">
        <v>69.2</v>
      </c>
      <c r="F1892">
        <v>68.599999999999994</v>
      </c>
      <c r="G1892">
        <v>68.7</v>
      </c>
      <c r="H1892">
        <v>0.3</v>
      </c>
      <c r="I1892" s="1">
        <v>525</v>
      </c>
    </row>
    <row r="1893" spans="1:9" x14ac:dyDescent="0.25">
      <c r="A1893" t="s">
        <v>6714</v>
      </c>
      <c r="B1893" s="1">
        <v>1332</v>
      </c>
      <c r="C1893" s="1">
        <v>91727</v>
      </c>
      <c r="D1893">
        <v>69</v>
      </c>
      <c r="E1893">
        <v>69.2</v>
      </c>
      <c r="F1893">
        <v>68.599999999999994</v>
      </c>
      <c r="G1893">
        <v>68.900000000000006</v>
      </c>
      <c r="H1893">
        <v>0.2</v>
      </c>
      <c r="I1893" s="1">
        <v>591</v>
      </c>
    </row>
    <row r="1894" spans="1:9" x14ac:dyDescent="0.25">
      <c r="A1894" t="s">
        <v>973</v>
      </c>
      <c r="B1894" s="1"/>
      <c r="C1894" s="1"/>
      <c r="I1894" s="1"/>
    </row>
    <row r="1897" spans="1:9" x14ac:dyDescent="0.25">
      <c r="A1897" s="9" t="s">
        <v>6673</v>
      </c>
      <c r="B1897" s="1">
        <v>3534</v>
      </c>
      <c r="C1897" s="1">
        <v>241331</v>
      </c>
      <c r="D1897">
        <v>69.2</v>
      </c>
      <c r="E1897">
        <v>69.599999999999994</v>
      </c>
      <c r="F1897">
        <v>67.5</v>
      </c>
      <c r="G1897">
        <v>68</v>
      </c>
      <c r="H1897">
        <v>-1.2</v>
      </c>
      <c r="I1897" s="1">
        <v>1764</v>
      </c>
    </row>
    <row r="1898" spans="1:9" x14ac:dyDescent="0.25">
      <c r="A1898" t="s">
        <v>6674</v>
      </c>
      <c r="B1898" s="1">
        <v>1967</v>
      </c>
      <c r="C1898" s="1">
        <v>135150</v>
      </c>
      <c r="D1898">
        <v>68</v>
      </c>
      <c r="E1898">
        <v>69.599999999999994</v>
      </c>
      <c r="F1898">
        <v>67.599999999999994</v>
      </c>
      <c r="G1898">
        <v>69.599999999999994</v>
      </c>
      <c r="H1898">
        <v>1.6</v>
      </c>
      <c r="I1898" s="1">
        <v>1061</v>
      </c>
    </row>
    <row r="1899" spans="1:9" x14ac:dyDescent="0.25">
      <c r="A1899" t="s">
        <v>6675</v>
      </c>
      <c r="B1899" s="1">
        <v>1901</v>
      </c>
      <c r="C1899" s="1">
        <v>131465</v>
      </c>
      <c r="D1899">
        <v>69.400000000000006</v>
      </c>
      <c r="E1899">
        <v>69.599999999999994</v>
      </c>
      <c r="F1899">
        <v>68.8</v>
      </c>
      <c r="G1899">
        <v>68.8</v>
      </c>
      <c r="H1899">
        <v>-0.8</v>
      </c>
      <c r="I1899" s="1">
        <v>996</v>
      </c>
    </row>
    <row r="1900" spans="1:9" x14ac:dyDescent="0.25">
      <c r="A1900" t="s">
        <v>6676</v>
      </c>
      <c r="B1900" s="1">
        <v>2016</v>
      </c>
      <c r="C1900" s="1">
        <v>137419</v>
      </c>
      <c r="D1900">
        <v>68</v>
      </c>
      <c r="E1900">
        <v>68.599999999999994</v>
      </c>
      <c r="F1900">
        <v>67.7</v>
      </c>
      <c r="G1900">
        <v>68.5</v>
      </c>
      <c r="H1900">
        <v>-0.3</v>
      </c>
      <c r="I1900" s="1">
        <v>1078</v>
      </c>
    </row>
    <row r="1901" spans="1:9" x14ac:dyDescent="0.25">
      <c r="A1901" t="s">
        <v>6677</v>
      </c>
      <c r="B1901" s="1">
        <v>2298</v>
      </c>
      <c r="C1901" s="1">
        <v>157433</v>
      </c>
      <c r="D1901">
        <v>68.5</v>
      </c>
      <c r="E1901">
        <v>69.3</v>
      </c>
      <c r="F1901">
        <v>67.8</v>
      </c>
      <c r="G1901">
        <v>68.900000000000006</v>
      </c>
      <c r="H1901">
        <v>0.4</v>
      </c>
      <c r="I1901" s="1">
        <v>1259</v>
      </c>
    </row>
    <row r="1902" spans="1:9" x14ac:dyDescent="0.25">
      <c r="A1902" t="s">
        <v>6678</v>
      </c>
      <c r="B1902" s="1">
        <v>2796</v>
      </c>
      <c r="C1902" s="1">
        <v>195756</v>
      </c>
      <c r="D1902">
        <v>69.900000000000006</v>
      </c>
      <c r="E1902">
        <v>70.5</v>
      </c>
      <c r="F1902">
        <v>69.3</v>
      </c>
      <c r="G1902">
        <v>69.8</v>
      </c>
      <c r="H1902">
        <v>0.9</v>
      </c>
      <c r="I1902" s="1">
        <v>1695</v>
      </c>
    </row>
    <row r="1903" spans="1:9" x14ac:dyDescent="0.25">
      <c r="A1903" t="s">
        <v>6679</v>
      </c>
      <c r="B1903" s="1">
        <v>1807</v>
      </c>
      <c r="C1903" s="1">
        <v>125940</v>
      </c>
      <c r="D1903">
        <v>70.400000000000006</v>
      </c>
      <c r="E1903">
        <v>70.400000000000006</v>
      </c>
      <c r="F1903">
        <v>69.099999999999994</v>
      </c>
      <c r="G1903">
        <v>69.099999999999994</v>
      </c>
      <c r="H1903">
        <v>-0.7</v>
      </c>
      <c r="I1903" s="1">
        <v>910</v>
      </c>
    </row>
    <row r="1904" spans="1:9" x14ac:dyDescent="0.25">
      <c r="A1904" t="s">
        <v>6680</v>
      </c>
      <c r="B1904" s="1">
        <v>998</v>
      </c>
      <c r="C1904" s="1">
        <v>69011</v>
      </c>
      <c r="D1904">
        <v>69.099999999999994</v>
      </c>
      <c r="E1904">
        <v>69.5</v>
      </c>
      <c r="F1904">
        <v>68.8</v>
      </c>
      <c r="G1904">
        <v>69.099999999999994</v>
      </c>
      <c r="H1904">
        <v>0</v>
      </c>
      <c r="I1904" s="1">
        <v>580</v>
      </c>
    </row>
    <row r="1905" spans="1:9" x14ac:dyDescent="0.25">
      <c r="A1905" t="s">
        <v>6681</v>
      </c>
      <c r="B1905" s="1">
        <v>1652</v>
      </c>
      <c r="C1905" s="1">
        <v>115465</v>
      </c>
      <c r="D1905">
        <v>69.400000000000006</v>
      </c>
      <c r="E1905">
        <v>70.3</v>
      </c>
      <c r="F1905">
        <v>69.3</v>
      </c>
      <c r="G1905">
        <v>69.599999999999994</v>
      </c>
      <c r="H1905">
        <v>0.5</v>
      </c>
      <c r="I1905" s="1">
        <v>901</v>
      </c>
    </row>
    <row r="1906" spans="1:9" x14ac:dyDescent="0.25">
      <c r="A1906" t="s">
        <v>6682</v>
      </c>
      <c r="B1906" s="1">
        <v>1414</v>
      </c>
      <c r="C1906" s="1">
        <v>97767</v>
      </c>
      <c r="D1906">
        <v>69.599999999999994</v>
      </c>
      <c r="E1906">
        <v>70</v>
      </c>
      <c r="F1906">
        <v>68.599999999999994</v>
      </c>
      <c r="G1906">
        <v>68.8</v>
      </c>
      <c r="H1906">
        <v>-0.8</v>
      </c>
      <c r="I1906" s="1">
        <v>775</v>
      </c>
    </row>
    <row r="1907" spans="1:9" x14ac:dyDescent="0.25">
      <c r="A1907" t="s">
        <v>6683</v>
      </c>
      <c r="B1907" s="1">
        <v>908</v>
      </c>
      <c r="C1907" s="1">
        <v>62268</v>
      </c>
      <c r="D1907">
        <v>68.8</v>
      </c>
      <c r="E1907">
        <v>69.099999999999994</v>
      </c>
      <c r="F1907">
        <v>68.3</v>
      </c>
      <c r="G1907">
        <v>68.5</v>
      </c>
      <c r="H1907">
        <v>-0.3</v>
      </c>
      <c r="I1907" s="1">
        <v>608</v>
      </c>
    </row>
    <row r="1908" spans="1:9" x14ac:dyDescent="0.25">
      <c r="A1908" t="s">
        <v>6684</v>
      </c>
      <c r="B1908" s="1">
        <v>560</v>
      </c>
      <c r="C1908" s="1">
        <v>38558</v>
      </c>
      <c r="D1908">
        <v>68.7</v>
      </c>
      <c r="E1908">
        <v>69.2</v>
      </c>
      <c r="F1908">
        <v>68.599999999999994</v>
      </c>
      <c r="G1908">
        <v>69</v>
      </c>
      <c r="H1908">
        <v>0.5</v>
      </c>
      <c r="I1908" s="1">
        <v>436</v>
      </c>
    </row>
    <row r="1909" spans="1:9" x14ac:dyDescent="0.25">
      <c r="A1909" t="s">
        <v>6685</v>
      </c>
      <c r="B1909" s="1">
        <v>1039</v>
      </c>
      <c r="C1909" s="1">
        <v>72260</v>
      </c>
      <c r="D1909">
        <v>69.599999999999994</v>
      </c>
      <c r="E1909">
        <v>69.900000000000006</v>
      </c>
      <c r="F1909">
        <v>69.099999999999994</v>
      </c>
      <c r="G1909">
        <v>69.099999999999994</v>
      </c>
      <c r="H1909">
        <v>0.1</v>
      </c>
      <c r="I1909" s="1">
        <v>675</v>
      </c>
    </row>
    <row r="1910" spans="1:9" x14ac:dyDescent="0.25">
      <c r="A1910" t="s">
        <v>6686</v>
      </c>
      <c r="B1910" s="1">
        <v>1658</v>
      </c>
      <c r="C1910" s="1">
        <v>113646</v>
      </c>
      <c r="D1910">
        <v>69.3</v>
      </c>
      <c r="E1910">
        <v>69.7</v>
      </c>
      <c r="F1910">
        <v>68</v>
      </c>
      <c r="G1910">
        <v>68.2</v>
      </c>
      <c r="H1910">
        <v>-0.9</v>
      </c>
      <c r="I1910" s="1">
        <v>911</v>
      </c>
    </row>
    <row r="1911" spans="1:9" x14ac:dyDescent="0.25">
      <c r="A1911" t="s">
        <v>6687</v>
      </c>
      <c r="B1911" s="1">
        <v>1874</v>
      </c>
      <c r="C1911" s="1">
        <v>126517</v>
      </c>
      <c r="D1911">
        <v>68.2</v>
      </c>
      <c r="E1911">
        <v>68.2</v>
      </c>
      <c r="F1911">
        <v>67</v>
      </c>
      <c r="G1911">
        <v>67.8</v>
      </c>
      <c r="H1911">
        <v>-0.4</v>
      </c>
      <c r="I1911" s="1">
        <v>982</v>
      </c>
    </row>
    <row r="1912" spans="1:9" x14ac:dyDescent="0.25">
      <c r="A1912" t="s">
        <v>6688</v>
      </c>
      <c r="B1912" s="1">
        <v>961</v>
      </c>
      <c r="C1912" s="1">
        <v>64704</v>
      </c>
      <c r="D1912">
        <v>67.099999999999994</v>
      </c>
      <c r="E1912">
        <v>67.900000000000006</v>
      </c>
      <c r="F1912">
        <v>67</v>
      </c>
      <c r="G1912">
        <v>67.900000000000006</v>
      </c>
      <c r="H1912">
        <v>0.1</v>
      </c>
      <c r="I1912" s="1">
        <v>570</v>
      </c>
    </row>
    <row r="1913" spans="1:9" x14ac:dyDescent="0.25">
      <c r="A1913" t="s">
        <v>6689</v>
      </c>
      <c r="B1913" s="1">
        <v>1262</v>
      </c>
      <c r="C1913" s="1">
        <v>86252</v>
      </c>
      <c r="D1913">
        <v>67.900000000000006</v>
      </c>
      <c r="E1913">
        <v>68.8</v>
      </c>
      <c r="F1913">
        <v>67.900000000000006</v>
      </c>
      <c r="G1913">
        <v>68.599999999999994</v>
      </c>
      <c r="H1913">
        <v>0.7</v>
      </c>
      <c r="I1913" s="1">
        <v>600</v>
      </c>
    </row>
    <row r="1914" spans="1:9" x14ac:dyDescent="0.25">
      <c r="A1914" t="s">
        <v>6690</v>
      </c>
      <c r="B1914" s="1">
        <v>1122</v>
      </c>
      <c r="C1914" s="1">
        <v>77258</v>
      </c>
      <c r="D1914">
        <v>68.900000000000006</v>
      </c>
      <c r="E1914">
        <v>69.099999999999994</v>
      </c>
      <c r="F1914">
        <v>68.5</v>
      </c>
      <c r="G1914">
        <v>69.099999999999994</v>
      </c>
      <c r="H1914">
        <v>0.5</v>
      </c>
      <c r="I1914" s="1">
        <v>596</v>
      </c>
    </row>
    <row r="1915" spans="1:9" x14ac:dyDescent="0.25">
      <c r="A1915" t="s">
        <v>6691</v>
      </c>
      <c r="B1915" s="1">
        <v>3008</v>
      </c>
      <c r="C1915" s="1">
        <v>210360</v>
      </c>
      <c r="D1915">
        <v>69.5</v>
      </c>
      <c r="E1915">
        <v>70.5</v>
      </c>
      <c r="F1915">
        <v>69</v>
      </c>
      <c r="G1915">
        <v>70.099999999999994</v>
      </c>
      <c r="H1915">
        <v>1</v>
      </c>
      <c r="I1915" s="1">
        <v>1618</v>
      </c>
    </row>
    <row r="1916" spans="1:9" x14ac:dyDescent="0.25">
      <c r="A1916" t="s">
        <v>6692</v>
      </c>
      <c r="B1916" s="1">
        <v>1126</v>
      </c>
      <c r="C1916" s="1">
        <v>79061</v>
      </c>
      <c r="D1916">
        <v>70.8</v>
      </c>
      <c r="E1916">
        <v>70.8</v>
      </c>
      <c r="F1916">
        <v>69.7</v>
      </c>
      <c r="G1916">
        <v>69.7</v>
      </c>
      <c r="H1916">
        <v>-0.4</v>
      </c>
      <c r="I1916" s="1">
        <v>727</v>
      </c>
    </row>
    <row r="1917" spans="1:9" x14ac:dyDescent="0.25">
      <c r="A1917" t="s">
        <v>6693</v>
      </c>
      <c r="B1917" s="1">
        <v>1535</v>
      </c>
      <c r="C1917" s="1">
        <v>107798</v>
      </c>
      <c r="D1917">
        <v>70.099999999999994</v>
      </c>
      <c r="E1917">
        <v>70.5</v>
      </c>
      <c r="F1917">
        <v>69.8</v>
      </c>
      <c r="G1917">
        <v>70.3</v>
      </c>
      <c r="H1917">
        <v>0.6</v>
      </c>
      <c r="I1917" s="1">
        <v>805</v>
      </c>
    </row>
    <row r="1918" spans="1:9" x14ac:dyDescent="0.25">
      <c r="A1918" t="s">
        <v>973</v>
      </c>
      <c r="B1918" s="1"/>
      <c r="C1918" s="1"/>
      <c r="I1918" s="1"/>
    </row>
    <row r="1921" spans="1:9" x14ac:dyDescent="0.25">
      <c r="A1921" s="9" t="s">
        <v>6654</v>
      </c>
      <c r="B1921" s="1">
        <v>1013</v>
      </c>
      <c r="C1921" s="1">
        <v>69581</v>
      </c>
      <c r="D1921">
        <v>69</v>
      </c>
      <c r="E1921">
        <v>69</v>
      </c>
      <c r="F1921">
        <v>68.400000000000006</v>
      </c>
      <c r="G1921">
        <v>68.900000000000006</v>
      </c>
      <c r="H1921">
        <v>0.3</v>
      </c>
      <c r="I1921" s="1">
        <v>518</v>
      </c>
    </row>
    <row r="1922" spans="1:9" x14ac:dyDescent="0.25">
      <c r="A1922" t="s">
        <v>6655</v>
      </c>
      <c r="B1922" s="1">
        <v>1993</v>
      </c>
      <c r="C1922" s="1">
        <v>138909</v>
      </c>
      <c r="D1922">
        <v>69.8</v>
      </c>
      <c r="E1922">
        <v>69.900000000000006</v>
      </c>
      <c r="F1922">
        <v>69.3</v>
      </c>
      <c r="G1922">
        <v>69.8</v>
      </c>
      <c r="H1922">
        <v>0.9</v>
      </c>
      <c r="I1922" s="1">
        <v>1065</v>
      </c>
    </row>
    <row r="1923" spans="1:9" x14ac:dyDescent="0.25">
      <c r="A1923" t="s">
        <v>6656</v>
      </c>
      <c r="B1923" s="1">
        <v>2153</v>
      </c>
      <c r="C1923" s="1">
        <v>151033</v>
      </c>
      <c r="D1923">
        <v>70.099999999999994</v>
      </c>
      <c r="E1923">
        <v>70.400000000000006</v>
      </c>
      <c r="F1923">
        <v>69.599999999999994</v>
      </c>
      <c r="G1923">
        <v>70.099999999999994</v>
      </c>
      <c r="H1923">
        <v>0.3</v>
      </c>
      <c r="I1923" s="1">
        <v>1199</v>
      </c>
    </row>
    <row r="1924" spans="1:9" x14ac:dyDescent="0.25">
      <c r="A1924" t="s">
        <v>6657</v>
      </c>
      <c r="B1924" s="1">
        <v>4982</v>
      </c>
      <c r="C1924" s="1">
        <v>354043</v>
      </c>
      <c r="D1924">
        <v>70.3</v>
      </c>
      <c r="E1924">
        <v>71.8</v>
      </c>
      <c r="F1924">
        <v>70.2</v>
      </c>
      <c r="G1924">
        <v>70.2</v>
      </c>
      <c r="H1924">
        <v>0.1</v>
      </c>
      <c r="I1924" s="1">
        <v>2524</v>
      </c>
    </row>
    <row r="1925" spans="1:9" x14ac:dyDescent="0.25">
      <c r="A1925" t="s">
        <v>6658</v>
      </c>
      <c r="B1925" s="1">
        <v>9266</v>
      </c>
      <c r="C1925" s="1">
        <v>679465</v>
      </c>
      <c r="D1925">
        <v>73.400000000000006</v>
      </c>
      <c r="E1925">
        <v>74.5</v>
      </c>
      <c r="F1925">
        <v>72.5</v>
      </c>
      <c r="G1925">
        <v>73</v>
      </c>
      <c r="H1925">
        <v>2.8</v>
      </c>
      <c r="I1925" s="1">
        <v>4406</v>
      </c>
    </row>
    <row r="1926" spans="1:9" x14ac:dyDescent="0.25">
      <c r="A1926" t="s">
        <v>6659</v>
      </c>
      <c r="B1926" s="1">
        <v>3651</v>
      </c>
      <c r="C1926" s="1">
        <v>262637</v>
      </c>
      <c r="D1926">
        <v>73</v>
      </c>
      <c r="E1926">
        <v>73</v>
      </c>
      <c r="F1926">
        <v>71.5</v>
      </c>
      <c r="G1926">
        <v>71.5</v>
      </c>
      <c r="H1926">
        <v>-1.5</v>
      </c>
      <c r="I1926" s="1">
        <v>2005</v>
      </c>
    </row>
    <row r="1927" spans="1:9" x14ac:dyDescent="0.25">
      <c r="A1927" t="s">
        <v>6660</v>
      </c>
      <c r="B1927" s="1">
        <v>2433</v>
      </c>
      <c r="C1927" s="1">
        <v>174590</v>
      </c>
      <c r="D1927">
        <v>71.5</v>
      </c>
      <c r="E1927">
        <v>72.3</v>
      </c>
      <c r="F1927">
        <v>71</v>
      </c>
      <c r="G1927">
        <v>71.900000000000006</v>
      </c>
      <c r="H1927">
        <v>0.4</v>
      </c>
      <c r="I1927" s="1">
        <v>1394</v>
      </c>
    </row>
    <row r="1928" spans="1:9" x14ac:dyDescent="0.25">
      <c r="A1928" t="s">
        <v>6661</v>
      </c>
      <c r="B1928" s="1">
        <v>1830</v>
      </c>
      <c r="C1928" s="1">
        <v>132117</v>
      </c>
      <c r="D1928">
        <v>71.900000000000006</v>
      </c>
      <c r="E1928">
        <v>72.599999999999994</v>
      </c>
      <c r="F1928">
        <v>71.8</v>
      </c>
      <c r="G1928">
        <v>72</v>
      </c>
      <c r="H1928">
        <v>0.1</v>
      </c>
      <c r="I1928" s="1">
        <v>1119</v>
      </c>
    </row>
    <row r="1929" spans="1:9" x14ac:dyDescent="0.25">
      <c r="A1929" t="s">
        <v>6662</v>
      </c>
      <c r="B1929" s="1">
        <v>3105</v>
      </c>
      <c r="C1929" s="1">
        <v>222071</v>
      </c>
      <c r="D1929">
        <v>72.5</v>
      </c>
      <c r="E1929">
        <v>72.7</v>
      </c>
      <c r="F1929">
        <v>70.8</v>
      </c>
      <c r="G1929">
        <v>70.8</v>
      </c>
      <c r="H1929">
        <v>-1.2</v>
      </c>
      <c r="I1929" s="1">
        <v>1662</v>
      </c>
    </row>
    <row r="1930" spans="1:9" x14ac:dyDescent="0.25">
      <c r="A1930" t="s">
        <v>6663</v>
      </c>
      <c r="B1930" s="1">
        <v>2172</v>
      </c>
      <c r="C1930" s="1">
        <v>154746</v>
      </c>
      <c r="D1930">
        <v>71.8</v>
      </c>
      <c r="E1930">
        <v>71.8</v>
      </c>
      <c r="F1930">
        <v>70.7</v>
      </c>
      <c r="G1930">
        <v>70.8</v>
      </c>
      <c r="H1930">
        <v>0</v>
      </c>
      <c r="I1930" s="1">
        <v>1181</v>
      </c>
    </row>
    <row r="1931" spans="1:9" x14ac:dyDescent="0.25">
      <c r="A1931" t="s">
        <v>6664</v>
      </c>
      <c r="B1931" s="1">
        <v>2005</v>
      </c>
      <c r="C1931" s="1">
        <v>142312</v>
      </c>
      <c r="D1931">
        <v>70.5</v>
      </c>
      <c r="E1931">
        <v>71.7</v>
      </c>
      <c r="F1931">
        <v>70.2</v>
      </c>
      <c r="G1931">
        <v>71.7</v>
      </c>
      <c r="H1931">
        <v>0.9</v>
      </c>
      <c r="I1931" s="1">
        <v>1117</v>
      </c>
    </row>
    <row r="1932" spans="1:9" x14ac:dyDescent="0.25">
      <c r="A1932" t="s">
        <v>6665</v>
      </c>
      <c r="B1932" s="1">
        <v>8256</v>
      </c>
      <c r="C1932" s="1">
        <v>602815</v>
      </c>
      <c r="D1932">
        <v>72.3</v>
      </c>
      <c r="E1932">
        <v>74.099999999999994</v>
      </c>
      <c r="F1932">
        <v>71.900000000000006</v>
      </c>
      <c r="G1932">
        <v>72.900000000000006</v>
      </c>
      <c r="H1932">
        <v>1.2</v>
      </c>
      <c r="I1932" s="1">
        <v>3798</v>
      </c>
    </row>
    <row r="1933" spans="1:9" x14ac:dyDescent="0.25">
      <c r="A1933" t="s">
        <v>6666</v>
      </c>
      <c r="B1933" s="1">
        <v>7638</v>
      </c>
      <c r="C1933" s="1">
        <v>561477</v>
      </c>
      <c r="D1933">
        <v>73.5</v>
      </c>
      <c r="E1933">
        <v>74.5</v>
      </c>
      <c r="F1933">
        <v>72.599999999999994</v>
      </c>
      <c r="G1933">
        <v>72.599999999999994</v>
      </c>
      <c r="H1933">
        <v>-0.3</v>
      </c>
      <c r="I1933" s="1">
        <v>3222</v>
      </c>
    </row>
    <row r="1934" spans="1:9" x14ac:dyDescent="0.25">
      <c r="A1934" t="s">
        <v>6667</v>
      </c>
      <c r="B1934" s="1">
        <v>4528</v>
      </c>
      <c r="C1934" s="1">
        <v>326372</v>
      </c>
      <c r="D1934">
        <v>72.599999999999994</v>
      </c>
      <c r="E1934">
        <v>73</v>
      </c>
      <c r="F1934">
        <v>71.5</v>
      </c>
      <c r="G1934">
        <v>71.8</v>
      </c>
      <c r="H1934">
        <v>-0.8</v>
      </c>
      <c r="I1934" s="1">
        <v>2128</v>
      </c>
    </row>
    <row r="1935" spans="1:9" x14ac:dyDescent="0.25">
      <c r="A1935" t="s">
        <v>6668</v>
      </c>
      <c r="B1935" s="1">
        <v>2552</v>
      </c>
      <c r="C1935" s="1">
        <v>181788</v>
      </c>
      <c r="D1935">
        <v>72.3</v>
      </c>
      <c r="E1935">
        <v>72.5</v>
      </c>
      <c r="F1935">
        <v>71</v>
      </c>
      <c r="G1935">
        <v>71</v>
      </c>
      <c r="H1935">
        <v>-0.8</v>
      </c>
      <c r="I1935" s="1">
        <v>1517</v>
      </c>
    </row>
    <row r="1936" spans="1:9" x14ac:dyDescent="0.25">
      <c r="A1936" t="s">
        <v>6669</v>
      </c>
      <c r="B1936" s="1">
        <v>1768</v>
      </c>
      <c r="C1936" s="1">
        <v>126691</v>
      </c>
      <c r="D1936">
        <v>71.5</v>
      </c>
      <c r="E1936">
        <v>72.099999999999994</v>
      </c>
      <c r="F1936">
        <v>71</v>
      </c>
      <c r="G1936">
        <v>71.8</v>
      </c>
      <c r="H1936">
        <v>0.8</v>
      </c>
      <c r="I1936" s="1">
        <v>1014</v>
      </c>
    </row>
    <row r="1937" spans="1:9" x14ac:dyDescent="0.25">
      <c r="A1937" t="s">
        <v>6670</v>
      </c>
      <c r="B1937" s="1">
        <v>2449</v>
      </c>
      <c r="C1937" s="1">
        <v>177040</v>
      </c>
      <c r="D1937">
        <v>72.099999999999994</v>
      </c>
      <c r="E1937">
        <v>73.099999999999994</v>
      </c>
      <c r="F1937">
        <v>71.8</v>
      </c>
      <c r="G1937">
        <v>71.8</v>
      </c>
      <c r="H1937">
        <v>0</v>
      </c>
      <c r="I1937" s="1">
        <v>1302</v>
      </c>
    </row>
    <row r="1938" spans="1:9" x14ac:dyDescent="0.25">
      <c r="A1938" t="s">
        <v>6671</v>
      </c>
      <c r="B1938" s="1">
        <v>2177</v>
      </c>
      <c r="C1938" s="1">
        <v>156250</v>
      </c>
      <c r="D1938">
        <v>72</v>
      </c>
      <c r="E1938">
        <v>72.7</v>
      </c>
      <c r="F1938">
        <v>71.3</v>
      </c>
      <c r="G1938">
        <v>71.3</v>
      </c>
      <c r="H1938">
        <v>-0.5</v>
      </c>
      <c r="I1938" s="1">
        <v>1126</v>
      </c>
    </row>
    <row r="1939" spans="1:9" x14ac:dyDescent="0.25">
      <c r="A1939" t="s">
        <v>6672</v>
      </c>
      <c r="B1939" s="1">
        <v>6222</v>
      </c>
      <c r="C1939" s="1">
        <v>435240</v>
      </c>
      <c r="D1939">
        <v>71.3</v>
      </c>
      <c r="E1939">
        <v>71.3</v>
      </c>
      <c r="F1939">
        <v>69.2</v>
      </c>
      <c r="G1939">
        <v>69.2</v>
      </c>
      <c r="H1939">
        <v>-2.1</v>
      </c>
      <c r="I1939" s="1">
        <v>2940</v>
      </c>
    </row>
    <row r="1940" spans="1:9" x14ac:dyDescent="0.25">
      <c r="A1940" t="s">
        <v>1030</v>
      </c>
      <c r="B1940" s="1"/>
      <c r="C1940" s="1"/>
      <c r="I1940" s="1"/>
    </row>
    <row r="1945" spans="1:9" x14ac:dyDescent="0.25">
      <c r="A1945" s="9" t="s">
        <v>6631</v>
      </c>
      <c r="B1945" s="1">
        <v>2027</v>
      </c>
      <c r="C1945" s="1">
        <v>137210</v>
      </c>
      <c r="D1945">
        <v>68.3</v>
      </c>
      <c r="E1945">
        <v>68.3</v>
      </c>
      <c r="F1945">
        <v>67.3</v>
      </c>
      <c r="G1945">
        <v>67.8</v>
      </c>
      <c r="H1945">
        <v>0</v>
      </c>
      <c r="I1945" s="1">
        <v>1238</v>
      </c>
    </row>
    <row r="1946" spans="1:9" x14ac:dyDescent="0.25">
      <c r="A1946" t="s">
        <v>6632</v>
      </c>
      <c r="B1946" s="1">
        <v>1237</v>
      </c>
      <c r="C1946" s="1">
        <v>83668</v>
      </c>
      <c r="D1946">
        <v>67.8</v>
      </c>
      <c r="E1946">
        <v>68.2</v>
      </c>
      <c r="F1946">
        <v>67.099999999999994</v>
      </c>
      <c r="G1946">
        <v>67.099999999999994</v>
      </c>
      <c r="H1946">
        <v>-0.7</v>
      </c>
      <c r="I1946" s="1">
        <v>740</v>
      </c>
    </row>
    <row r="1947" spans="1:9" x14ac:dyDescent="0.25">
      <c r="A1947" t="s">
        <v>6633</v>
      </c>
      <c r="B1947" s="1">
        <v>2476</v>
      </c>
      <c r="C1947" s="1">
        <v>168549</v>
      </c>
      <c r="D1947">
        <v>67.400000000000006</v>
      </c>
      <c r="E1947">
        <v>68.5</v>
      </c>
      <c r="F1947">
        <v>67.3</v>
      </c>
      <c r="G1947">
        <v>68</v>
      </c>
      <c r="H1947">
        <v>0.9</v>
      </c>
      <c r="I1947" s="1">
        <v>1361</v>
      </c>
    </row>
    <row r="1948" spans="1:9" x14ac:dyDescent="0.25">
      <c r="A1948" t="s">
        <v>6634</v>
      </c>
      <c r="B1948" s="1">
        <v>1557</v>
      </c>
      <c r="C1948" s="1">
        <v>105425</v>
      </c>
      <c r="D1948">
        <v>68.5</v>
      </c>
      <c r="E1948">
        <v>68.5</v>
      </c>
      <c r="F1948">
        <v>67.2</v>
      </c>
      <c r="G1948">
        <v>67.2</v>
      </c>
      <c r="H1948">
        <v>-0.8</v>
      </c>
      <c r="I1948" s="1">
        <v>881</v>
      </c>
    </row>
    <row r="1949" spans="1:9" x14ac:dyDescent="0.25">
      <c r="A1949" t="s">
        <v>6635</v>
      </c>
      <c r="B1949" s="1">
        <v>975</v>
      </c>
      <c r="C1949" s="1">
        <v>65555</v>
      </c>
      <c r="D1949">
        <v>67.2</v>
      </c>
      <c r="E1949">
        <v>67.8</v>
      </c>
      <c r="F1949">
        <v>67</v>
      </c>
      <c r="G1949">
        <v>67.099999999999994</v>
      </c>
      <c r="H1949">
        <v>-0.1</v>
      </c>
      <c r="I1949" s="1">
        <v>554</v>
      </c>
    </row>
    <row r="1950" spans="1:9" x14ac:dyDescent="0.25">
      <c r="A1950" t="s">
        <v>6636</v>
      </c>
      <c r="B1950" s="1">
        <v>1550</v>
      </c>
      <c r="C1950" s="1">
        <v>104412</v>
      </c>
      <c r="D1950">
        <v>67.099999999999994</v>
      </c>
      <c r="E1950">
        <v>68</v>
      </c>
      <c r="F1950">
        <v>67</v>
      </c>
      <c r="G1950">
        <v>67.5</v>
      </c>
      <c r="H1950">
        <v>0.4</v>
      </c>
      <c r="I1950" s="1">
        <v>932</v>
      </c>
    </row>
    <row r="1951" spans="1:9" x14ac:dyDescent="0.25">
      <c r="A1951" t="s">
        <v>6637</v>
      </c>
      <c r="B1951" s="1">
        <v>4907</v>
      </c>
      <c r="C1951" s="1">
        <v>337419</v>
      </c>
      <c r="D1951">
        <v>68</v>
      </c>
      <c r="E1951">
        <v>69.3</v>
      </c>
      <c r="F1951">
        <v>67.599999999999994</v>
      </c>
      <c r="G1951">
        <v>68.900000000000006</v>
      </c>
      <c r="H1951">
        <v>1.4</v>
      </c>
      <c r="I1951" s="1">
        <v>2608</v>
      </c>
    </row>
    <row r="1952" spans="1:9" x14ac:dyDescent="0.25">
      <c r="A1952" t="s">
        <v>6638</v>
      </c>
      <c r="B1952" s="1">
        <v>1882</v>
      </c>
      <c r="C1952" s="1">
        <v>127894</v>
      </c>
      <c r="D1952">
        <v>69</v>
      </c>
      <c r="E1952">
        <v>69</v>
      </c>
      <c r="F1952">
        <v>67.400000000000006</v>
      </c>
      <c r="G1952">
        <v>67.900000000000006</v>
      </c>
      <c r="H1952">
        <v>-1</v>
      </c>
      <c r="I1952" s="1">
        <v>1087</v>
      </c>
    </row>
    <row r="1953" spans="1:9" x14ac:dyDescent="0.25">
      <c r="A1953" t="s">
        <v>6639</v>
      </c>
      <c r="B1953" s="1">
        <v>1444</v>
      </c>
      <c r="C1953" s="1">
        <v>96880</v>
      </c>
      <c r="D1953">
        <v>67</v>
      </c>
      <c r="E1953">
        <v>67.5</v>
      </c>
      <c r="F1953">
        <v>66.7</v>
      </c>
      <c r="G1953">
        <v>67.3</v>
      </c>
      <c r="H1953">
        <v>-0.6</v>
      </c>
      <c r="I1953" s="1">
        <v>820</v>
      </c>
    </row>
    <row r="1954" spans="1:9" x14ac:dyDescent="0.25">
      <c r="A1954" t="s">
        <v>6640</v>
      </c>
      <c r="B1954" s="1">
        <v>3158</v>
      </c>
      <c r="C1954" s="1">
        <v>205066</v>
      </c>
      <c r="D1954">
        <v>66.7</v>
      </c>
      <c r="E1954">
        <v>66.8</v>
      </c>
      <c r="F1954">
        <v>63</v>
      </c>
      <c r="G1954">
        <v>66</v>
      </c>
      <c r="H1954">
        <v>-1.3</v>
      </c>
      <c r="I1954" s="1">
        <v>1637</v>
      </c>
    </row>
    <row r="1955" spans="1:9" x14ac:dyDescent="0.25">
      <c r="A1955" t="s">
        <v>6641</v>
      </c>
      <c r="B1955" s="1">
        <v>3534</v>
      </c>
      <c r="C1955" s="1">
        <v>223514</v>
      </c>
      <c r="D1955">
        <v>65.5</v>
      </c>
      <c r="E1955">
        <v>65.900000000000006</v>
      </c>
      <c r="F1955">
        <v>61.5</v>
      </c>
      <c r="G1955">
        <v>63</v>
      </c>
      <c r="H1955">
        <v>-3</v>
      </c>
      <c r="I1955" s="1">
        <v>1820</v>
      </c>
    </row>
    <row r="1956" spans="1:9" x14ac:dyDescent="0.25">
      <c r="A1956" t="s">
        <v>6642</v>
      </c>
      <c r="B1956" s="1">
        <v>1879</v>
      </c>
      <c r="C1956" s="1">
        <v>118589</v>
      </c>
      <c r="D1956">
        <v>63.2</v>
      </c>
      <c r="E1956">
        <v>63.9</v>
      </c>
      <c r="F1956">
        <v>62.1</v>
      </c>
      <c r="G1956">
        <v>63.4</v>
      </c>
      <c r="H1956">
        <v>0.4</v>
      </c>
      <c r="I1956" s="1">
        <v>1037</v>
      </c>
    </row>
    <row r="1957" spans="1:9" x14ac:dyDescent="0.25">
      <c r="A1957" t="s">
        <v>6643</v>
      </c>
      <c r="B1957" s="1">
        <v>1565</v>
      </c>
      <c r="C1957" s="1">
        <v>97098</v>
      </c>
      <c r="D1957">
        <v>61.6</v>
      </c>
      <c r="E1957">
        <v>63.1</v>
      </c>
      <c r="F1957">
        <v>60.7</v>
      </c>
      <c r="G1957">
        <v>62.3</v>
      </c>
      <c r="H1957">
        <v>-1.1000000000000001</v>
      </c>
      <c r="I1957" s="1">
        <v>808</v>
      </c>
    </row>
    <row r="1958" spans="1:9" x14ac:dyDescent="0.25">
      <c r="A1958" t="s">
        <v>6644</v>
      </c>
      <c r="B1958" s="1">
        <v>1252</v>
      </c>
      <c r="C1958" s="1">
        <v>79621</v>
      </c>
      <c r="D1958">
        <v>63</v>
      </c>
      <c r="E1958">
        <v>63.9</v>
      </c>
      <c r="F1958">
        <v>63</v>
      </c>
      <c r="G1958">
        <v>63.9</v>
      </c>
      <c r="H1958">
        <v>1.6</v>
      </c>
      <c r="I1958" s="1">
        <v>683</v>
      </c>
    </row>
    <row r="1959" spans="1:9" x14ac:dyDescent="0.25">
      <c r="A1959" t="s">
        <v>6645</v>
      </c>
      <c r="B1959" s="1">
        <v>3448</v>
      </c>
      <c r="C1959" s="1">
        <v>229441</v>
      </c>
      <c r="D1959">
        <v>65.5</v>
      </c>
      <c r="E1959">
        <v>67.3</v>
      </c>
      <c r="F1959">
        <v>65</v>
      </c>
      <c r="G1959">
        <v>66.8</v>
      </c>
      <c r="H1959">
        <v>2.9</v>
      </c>
      <c r="I1959" s="1">
        <v>1845</v>
      </c>
    </row>
    <row r="1960" spans="1:9" x14ac:dyDescent="0.25">
      <c r="A1960" t="s">
        <v>6646</v>
      </c>
      <c r="B1960" s="1">
        <v>2004</v>
      </c>
      <c r="C1960" s="1">
        <v>134754</v>
      </c>
      <c r="D1960">
        <v>67.5</v>
      </c>
      <c r="E1960">
        <v>67.8</v>
      </c>
      <c r="F1960">
        <v>66.8</v>
      </c>
      <c r="G1960">
        <v>66.900000000000006</v>
      </c>
      <c r="H1960">
        <v>0.1</v>
      </c>
      <c r="I1960" s="1">
        <v>1088</v>
      </c>
    </row>
    <row r="1961" spans="1:9" x14ac:dyDescent="0.25">
      <c r="A1961" t="s">
        <v>6647</v>
      </c>
      <c r="B1961" s="1">
        <v>1079</v>
      </c>
      <c r="C1961" s="1">
        <v>72440</v>
      </c>
      <c r="D1961">
        <v>67.5</v>
      </c>
      <c r="E1961">
        <v>67.5</v>
      </c>
      <c r="F1961">
        <v>66.5</v>
      </c>
      <c r="G1961">
        <v>67.3</v>
      </c>
      <c r="H1961">
        <v>0.4</v>
      </c>
      <c r="I1961" s="1">
        <v>642</v>
      </c>
    </row>
    <row r="1962" spans="1:9" x14ac:dyDescent="0.25">
      <c r="A1962" t="s">
        <v>6648</v>
      </c>
      <c r="B1962" s="1">
        <v>1589</v>
      </c>
      <c r="C1962" s="1">
        <v>107582</v>
      </c>
      <c r="D1962">
        <v>67.5</v>
      </c>
      <c r="E1962">
        <v>68.2</v>
      </c>
      <c r="F1962">
        <v>67.3</v>
      </c>
      <c r="G1962">
        <v>67.5</v>
      </c>
      <c r="H1962">
        <v>0.2</v>
      </c>
      <c r="I1962" s="1">
        <v>830</v>
      </c>
    </row>
    <row r="1963" spans="1:9" x14ac:dyDescent="0.25">
      <c r="A1963" t="s">
        <v>6649</v>
      </c>
      <c r="B1963" s="1">
        <v>9103</v>
      </c>
      <c r="C1963" s="1">
        <v>634164</v>
      </c>
      <c r="D1963">
        <v>68.2</v>
      </c>
      <c r="E1963">
        <v>70.7</v>
      </c>
      <c r="F1963">
        <v>67.8</v>
      </c>
      <c r="G1963">
        <v>70</v>
      </c>
      <c r="H1963">
        <v>2.5</v>
      </c>
      <c r="I1963" s="1">
        <v>4704</v>
      </c>
    </row>
    <row r="1964" spans="1:9" x14ac:dyDescent="0.25">
      <c r="A1964" t="s">
        <v>6650</v>
      </c>
      <c r="B1964" s="1">
        <v>4779</v>
      </c>
      <c r="C1964" s="1">
        <v>334828</v>
      </c>
      <c r="D1964">
        <v>71.2</v>
      </c>
      <c r="E1964">
        <v>71.2</v>
      </c>
      <c r="F1964">
        <v>68.599999999999994</v>
      </c>
      <c r="G1964">
        <v>69.099999999999994</v>
      </c>
      <c r="H1964">
        <v>-0.9</v>
      </c>
      <c r="I1964" s="1">
        <v>2550</v>
      </c>
    </row>
    <row r="1965" spans="1:9" x14ac:dyDescent="0.25">
      <c r="A1965" t="s">
        <v>6651</v>
      </c>
      <c r="B1965" s="1">
        <v>2276</v>
      </c>
      <c r="C1965" s="1">
        <v>157154</v>
      </c>
      <c r="D1965">
        <v>69.099999999999994</v>
      </c>
      <c r="E1965">
        <v>69.7</v>
      </c>
      <c r="F1965">
        <v>68.599999999999994</v>
      </c>
      <c r="G1965">
        <v>69.2</v>
      </c>
      <c r="H1965">
        <v>0.1</v>
      </c>
      <c r="I1965" s="1">
        <v>1181</v>
      </c>
    </row>
    <row r="1966" spans="1:9" x14ac:dyDescent="0.25">
      <c r="A1966" t="s">
        <v>6652</v>
      </c>
      <c r="B1966" s="1">
        <v>1755</v>
      </c>
      <c r="C1966" s="1">
        <v>121271</v>
      </c>
      <c r="D1966">
        <v>69.5</v>
      </c>
      <c r="E1966">
        <v>69.7</v>
      </c>
      <c r="F1966">
        <v>68.599999999999994</v>
      </c>
      <c r="G1966">
        <v>69.099999999999994</v>
      </c>
      <c r="H1966">
        <v>-0.1</v>
      </c>
      <c r="I1966" s="1">
        <v>1075</v>
      </c>
    </row>
    <row r="1967" spans="1:9" x14ac:dyDescent="0.25">
      <c r="A1967" t="s">
        <v>6653</v>
      </c>
      <c r="B1967" s="1">
        <v>1965</v>
      </c>
      <c r="C1967" s="1">
        <v>134919</v>
      </c>
      <c r="D1967">
        <v>69.3</v>
      </c>
      <c r="E1967">
        <v>69.3</v>
      </c>
      <c r="F1967">
        <v>68.3</v>
      </c>
      <c r="G1967">
        <v>68.599999999999994</v>
      </c>
      <c r="H1967">
        <v>-0.5</v>
      </c>
      <c r="I1967" s="1">
        <v>1121</v>
      </c>
    </row>
    <row r="1968" spans="1:9" x14ac:dyDescent="0.25">
      <c r="A1968" t="s">
        <v>951</v>
      </c>
      <c r="B1968" s="1"/>
      <c r="C1968" s="1"/>
      <c r="I1968" s="1"/>
    </row>
    <row r="1969" spans="1:9" x14ac:dyDescent="0.25">
      <c r="A1969" s="9" t="s">
        <v>6616</v>
      </c>
      <c r="B1969" s="1">
        <v>2109</v>
      </c>
      <c r="C1969" s="1">
        <v>153224</v>
      </c>
      <c r="D1969">
        <v>73.8</v>
      </c>
      <c r="E1969">
        <v>73.8</v>
      </c>
      <c r="F1969">
        <v>72</v>
      </c>
      <c r="G1969">
        <v>72.099999999999994</v>
      </c>
      <c r="H1969">
        <v>-0.6</v>
      </c>
      <c r="I1969" s="1">
        <v>1167</v>
      </c>
    </row>
    <row r="1970" spans="1:9" x14ac:dyDescent="0.25">
      <c r="A1970" t="s">
        <v>6617</v>
      </c>
      <c r="B1970" s="1">
        <v>4544</v>
      </c>
      <c r="C1970" s="1">
        <v>321463</v>
      </c>
      <c r="D1970">
        <v>72.099999999999994</v>
      </c>
      <c r="E1970">
        <v>72.7</v>
      </c>
      <c r="F1970">
        <v>69.3</v>
      </c>
      <c r="G1970">
        <v>69.5</v>
      </c>
      <c r="H1970">
        <v>-2.6</v>
      </c>
      <c r="I1970" s="1">
        <v>2335</v>
      </c>
    </row>
    <row r="1971" spans="1:9" x14ac:dyDescent="0.25">
      <c r="A1971" t="s">
        <v>6618</v>
      </c>
      <c r="B1971" s="1">
        <v>3097</v>
      </c>
      <c r="C1971" s="1">
        <v>214580</v>
      </c>
      <c r="D1971">
        <v>69.3</v>
      </c>
      <c r="E1971">
        <v>70.3</v>
      </c>
      <c r="F1971">
        <v>68.7</v>
      </c>
      <c r="G1971">
        <v>68.7</v>
      </c>
      <c r="H1971">
        <v>-0.8</v>
      </c>
      <c r="I1971" s="1">
        <v>1592</v>
      </c>
    </row>
    <row r="1972" spans="1:9" x14ac:dyDescent="0.25">
      <c r="A1972" t="s">
        <v>6619</v>
      </c>
      <c r="B1972" s="1">
        <v>4969</v>
      </c>
      <c r="C1972" s="1">
        <v>334399</v>
      </c>
      <c r="D1972">
        <v>68.7</v>
      </c>
      <c r="E1972">
        <v>69</v>
      </c>
      <c r="F1972">
        <v>66.099999999999994</v>
      </c>
      <c r="G1972">
        <v>66.5</v>
      </c>
      <c r="H1972">
        <v>-2.2000000000000002</v>
      </c>
      <c r="I1972" s="1">
        <v>2447</v>
      </c>
    </row>
    <row r="1973" spans="1:9" x14ac:dyDescent="0.25">
      <c r="A1973" t="s">
        <v>6620</v>
      </c>
      <c r="B1973" s="1">
        <v>1902</v>
      </c>
      <c r="C1973" s="1">
        <v>127755</v>
      </c>
      <c r="D1973">
        <v>67</v>
      </c>
      <c r="E1973">
        <v>67.599999999999994</v>
      </c>
      <c r="F1973">
        <v>66.8</v>
      </c>
      <c r="G1973">
        <v>67.2</v>
      </c>
      <c r="H1973">
        <v>0.7</v>
      </c>
      <c r="I1973" s="1">
        <v>1006</v>
      </c>
    </row>
    <row r="1974" spans="1:9" x14ac:dyDescent="0.25">
      <c r="A1974" t="s">
        <v>6621</v>
      </c>
      <c r="B1974" s="1">
        <v>1506</v>
      </c>
      <c r="C1974" s="1">
        <v>101613</v>
      </c>
      <c r="D1974">
        <v>67.2</v>
      </c>
      <c r="E1974">
        <v>67.900000000000006</v>
      </c>
      <c r="F1974">
        <v>66.599999999999994</v>
      </c>
      <c r="G1974">
        <v>67.599999999999994</v>
      </c>
      <c r="H1974">
        <v>0.4</v>
      </c>
      <c r="I1974" s="1">
        <v>870</v>
      </c>
    </row>
    <row r="1975" spans="1:9" x14ac:dyDescent="0.25">
      <c r="A1975" t="s">
        <v>6622</v>
      </c>
      <c r="B1975" s="1">
        <v>1301</v>
      </c>
      <c r="C1975" s="1">
        <v>88270</v>
      </c>
      <c r="D1975">
        <v>67.599999999999994</v>
      </c>
      <c r="E1975">
        <v>68.400000000000006</v>
      </c>
      <c r="F1975">
        <v>67</v>
      </c>
      <c r="G1975">
        <v>67.5</v>
      </c>
      <c r="H1975">
        <v>-0.1</v>
      </c>
      <c r="I1975" s="1">
        <v>795</v>
      </c>
    </row>
    <row r="1976" spans="1:9" x14ac:dyDescent="0.25">
      <c r="A1976" t="s">
        <v>6623</v>
      </c>
      <c r="B1976" s="1">
        <v>2768</v>
      </c>
      <c r="C1976" s="1">
        <v>190402</v>
      </c>
      <c r="D1976">
        <v>67.7</v>
      </c>
      <c r="E1976">
        <v>69.400000000000006</v>
      </c>
      <c r="F1976">
        <v>67.7</v>
      </c>
      <c r="G1976">
        <v>68.8</v>
      </c>
      <c r="H1976">
        <v>1.3</v>
      </c>
      <c r="I1976" s="1">
        <v>1488</v>
      </c>
    </row>
    <row r="1977" spans="1:9" x14ac:dyDescent="0.25">
      <c r="A1977" t="s">
        <v>6624</v>
      </c>
      <c r="B1977" s="1">
        <v>2502</v>
      </c>
      <c r="C1977" s="1">
        <v>173445</v>
      </c>
      <c r="D1977">
        <v>69.2</v>
      </c>
      <c r="E1977">
        <v>70</v>
      </c>
      <c r="F1977">
        <v>68.7</v>
      </c>
      <c r="G1977">
        <v>68.900000000000006</v>
      </c>
      <c r="H1977">
        <v>0.1</v>
      </c>
      <c r="I1977" s="1">
        <v>1237</v>
      </c>
    </row>
    <row r="1978" spans="1:9" x14ac:dyDescent="0.25">
      <c r="A1978" t="s">
        <v>6625</v>
      </c>
      <c r="B1978" s="1">
        <v>1514</v>
      </c>
      <c r="C1978" s="1">
        <v>103710</v>
      </c>
      <c r="D1978">
        <v>69</v>
      </c>
      <c r="E1978">
        <v>69.2</v>
      </c>
      <c r="F1978">
        <v>68.2</v>
      </c>
      <c r="G1978">
        <v>68.3</v>
      </c>
      <c r="H1978">
        <v>-0.6</v>
      </c>
      <c r="I1978" s="1">
        <v>824</v>
      </c>
    </row>
    <row r="1979" spans="1:9" x14ac:dyDescent="0.25">
      <c r="A1979" t="s">
        <v>6626</v>
      </c>
      <c r="B1979" s="1">
        <v>4002</v>
      </c>
      <c r="C1979" s="1">
        <v>266960</v>
      </c>
      <c r="D1979">
        <v>68.3</v>
      </c>
      <c r="E1979">
        <v>68.3</v>
      </c>
      <c r="F1979">
        <v>66</v>
      </c>
      <c r="G1979">
        <v>66.3</v>
      </c>
      <c r="H1979">
        <v>-2</v>
      </c>
      <c r="I1979" s="1">
        <v>2155</v>
      </c>
    </row>
    <row r="1980" spans="1:9" x14ac:dyDescent="0.25">
      <c r="A1980" t="s">
        <v>6627</v>
      </c>
      <c r="B1980" s="1">
        <v>2314</v>
      </c>
      <c r="C1980" s="1">
        <v>153872</v>
      </c>
      <c r="D1980">
        <v>66</v>
      </c>
      <c r="E1980">
        <v>67.2</v>
      </c>
      <c r="F1980">
        <v>66</v>
      </c>
      <c r="G1980">
        <v>66.5</v>
      </c>
      <c r="H1980">
        <v>0.2</v>
      </c>
      <c r="I1980" s="1">
        <v>1283</v>
      </c>
    </row>
    <row r="1981" spans="1:9" x14ac:dyDescent="0.25">
      <c r="A1981" t="s">
        <v>6628</v>
      </c>
      <c r="B1981" s="1">
        <v>993</v>
      </c>
      <c r="C1981" s="1">
        <v>66087</v>
      </c>
      <c r="D1981">
        <v>67</v>
      </c>
      <c r="E1981">
        <v>67</v>
      </c>
      <c r="F1981">
        <v>66.099999999999994</v>
      </c>
      <c r="G1981">
        <v>66.2</v>
      </c>
      <c r="H1981">
        <v>-0.3</v>
      </c>
      <c r="I1981" s="1">
        <v>622</v>
      </c>
    </row>
    <row r="1982" spans="1:9" x14ac:dyDescent="0.25">
      <c r="A1982" t="s">
        <v>6629</v>
      </c>
      <c r="B1982" s="1">
        <v>2237</v>
      </c>
      <c r="C1982" s="1">
        <v>149707</v>
      </c>
      <c r="D1982">
        <v>67</v>
      </c>
      <c r="E1982">
        <v>67.8</v>
      </c>
      <c r="F1982">
        <v>66.099999999999994</v>
      </c>
      <c r="G1982">
        <v>67.8</v>
      </c>
      <c r="H1982">
        <v>1.6</v>
      </c>
      <c r="I1982" s="1">
        <v>1403</v>
      </c>
    </row>
    <row r="1983" spans="1:9" x14ac:dyDescent="0.25">
      <c r="A1983" t="s">
        <v>6630</v>
      </c>
      <c r="B1983" s="1"/>
      <c r="C1983" s="1"/>
      <c r="I1983" s="1"/>
    </row>
    <row r="1993" spans="1:9" x14ac:dyDescent="0.25">
      <c r="A1993" s="9" t="s">
        <v>6596</v>
      </c>
      <c r="B1993" s="1">
        <v>2859</v>
      </c>
      <c r="C1993" s="1">
        <v>189414</v>
      </c>
      <c r="D1993">
        <v>65</v>
      </c>
      <c r="E1993">
        <v>66.8</v>
      </c>
      <c r="F1993">
        <v>64.900000000000006</v>
      </c>
      <c r="G1993">
        <v>66.400000000000006</v>
      </c>
      <c r="H1993">
        <v>1.8</v>
      </c>
      <c r="I1993" s="1">
        <v>1445</v>
      </c>
    </row>
    <row r="1994" spans="1:9" x14ac:dyDescent="0.25">
      <c r="A1994" t="s">
        <v>6597</v>
      </c>
      <c r="B1994" s="1">
        <v>2793</v>
      </c>
      <c r="C1994" s="1">
        <v>187636</v>
      </c>
      <c r="D1994">
        <v>67.099999999999994</v>
      </c>
      <c r="E1994">
        <v>67.7</v>
      </c>
      <c r="F1994">
        <v>66.400000000000006</v>
      </c>
      <c r="G1994">
        <v>66.400000000000006</v>
      </c>
      <c r="H1994">
        <v>0</v>
      </c>
      <c r="I1994" s="1">
        <v>1517</v>
      </c>
    </row>
    <row r="1995" spans="1:9" x14ac:dyDescent="0.25">
      <c r="A1995" t="s">
        <v>6598</v>
      </c>
      <c r="B1995" s="1">
        <v>1458</v>
      </c>
      <c r="C1995" s="1">
        <v>96421</v>
      </c>
      <c r="D1995">
        <v>67.2</v>
      </c>
      <c r="E1995">
        <v>67.3</v>
      </c>
      <c r="F1995">
        <v>65.400000000000006</v>
      </c>
      <c r="G1995">
        <v>65.5</v>
      </c>
      <c r="H1995">
        <v>-0.9</v>
      </c>
      <c r="I1995">
        <v>875</v>
      </c>
    </row>
    <row r="1996" spans="1:9" x14ac:dyDescent="0.25">
      <c r="A1996" t="s">
        <v>6599</v>
      </c>
      <c r="B1996">
        <v>876</v>
      </c>
      <c r="C1996" s="1">
        <v>57660</v>
      </c>
      <c r="D1996">
        <v>65.5</v>
      </c>
      <c r="E1996">
        <v>66.3</v>
      </c>
      <c r="F1996">
        <v>65.400000000000006</v>
      </c>
      <c r="G1996">
        <v>65.7</v>
      </c>
      <c r="H1996">
        <v>0.2</v>
      </c>
      <c r="I1996">
        <v>496</v>
      </c>
    </row>
    <row r="1997" spans="1:9" x14ac:dyDescent="0.25">
      <c r="A1997" t="s">
        <v>6600</v>
      </c>
      <c r="B1997" s="1">
        <v>1071</v>
      </c>
      <c r="C1997" s="1">
        <v>70031</v>
      </c>
      <c r="D1997">
        <v>65.7</v>
      </c>
      <c r="E1997">
        <v>66.3</v>
      </c>
      <c r="F1997">
        <v>64.8</v>
      </c>
      <c r="G1997">
        <v>65.3</v>
      </c>
      <c r="H1997">
        <v>-0.4</v>
      </c>
      <c r="I1997">
        <v>608</v>
      </c>
    </row>
    <row r="1998" spans="1:9" x14ac:dyDescent="0.25">
      <c r="A1998" t="s">
        <v>6601</v>
      </c>
      <c r="B1998" s="1">
        <v>3152</v>
      </c>
      <c r="C1998" s="1">
        <v>210105</v>
      </c>
      <c r="D1998">
        <v>67</v>
      </c>
      <c r="E1998">
        <v>67.400000000000006</v>
      </c>
      <c r="F1998">
        <v>66.099999999999994</v>
      </c>
      <c r="G1998">
        <v>66.2</v>
      </c>
      <c r="H1998">
        <v>0.9</v>
      </c>
      <c r="I1998" s="1">
        <v>1322</v>
      </c>
    </row>
    <row r="1999" spans="1:9" x14ac:dyDescent="0.25">
      <c r="A1999" t="s">
        <v>6602</v>
      </c>
      <c r="B1999" s="1">
        <v>7427</v>
      </c>
      <c r="C1999" s="1">
        <v>505176</v>
      </c>
      <c r="D1999">
        <v>67</v>
      </c>
      <c r="E1999">
        <v>68.5</v>
      </c>
      <c r="F1999">
        <v>66.599999999999994</v>
      </c>
      <c r="G1999">
        <v>67.8</v>
      </c>
      <c r="H1999">
        <v>1.6</v>
      </c>
      <c r="I1999" s="1">
        <v>3514</v>
      </c>
    </row>
    <row r="2000" spans="1:9" x14ac:dyDescent="0.25">
      <c r="A2000" t="s">
        <v>6603</v>
      </c>
      <c r="B2000" s="1">
        <v>14126</v>
      </c>
      <c r="C2000" s="1">
        <v>981830</v>
      </c>
      <c r="D2000">
        <v>68.3</v>
      </c>
      <c r="E2000">
        <v>71</v>
      </c>
      <c r="F2000">
        <v>67.599999999999994</v>
      </c>
      <c r="G2000">
        <v>70</v>
      </c>
      <c r="H2000">
        <v>2.2000000000000002</v>
      </c>
      <c r="I2000" s="1">
        <v>6542</v>
      </c>
    </row>
    <row r="2001" spans="1:9" x14ac:dyDescent="0.25">
      <c r="A2001" t="s">
        <v>6604</v>
      </c>
      <c r="B2001" s="1">
        <v>12660</v>
      </c>
      <c r="C2001" s="1">
        <v>906457</v>
      </c>
      <c r="D2001">
        <v>71.5</v>
      </c>
      <c r="E2001">
        <v>72.5</v>
      </c>
      <c r="F2001">
        <v>70.5</v>
      </c>
      <c r="G2001">
        <v>70.5</v>
      </c>
      <c r="H2001">
        <v>0.5</v>
      </c>
      <c r="I2001" s="1">
        <v>5537</v>
      </c>
    </row>
    <row r="2002" spans="1:9" x14ac:dyDescent="0.25">
      <c r="A2002" t="s">
        <v>6605</v>
      </c>
      <c r="B2002" s="1">
        <v>6772</v>
      </c>
      <c r="C2002" s="1">
        <v>484108</v>
      </c>
      <c r="D2002">
        <v>71.3</v>
      </c>
      <c r="E2002">
        <v>72.099999999999994</v>
      </c>
      <c r="F2002">
        <v>70.599999999999994</v>
      </c>
      <c r="G2002">
        <v>71.099999999999994</v>
      </c>
      <c r="H2002">
        <v>0.6</v>
      </c>
      <c r="I2002" s="1">
        <v>3557</v>
      </c>
    </row>
    <row r="2003" spans="1:9" x14ac:dyDescent="0.25">
      <c r="A2003" t="s">
        <v>6606</v>
      </c>
      <c r="B2003" s="1">
        <v>13574</v>
      </c>
      <c r="C2003" s="1">
        <v>1002081</v>
      </c>
      <c r="D2003">
        <v>71.599999999999994</v>
      </c>
      <c r="E2003">
        <v>75</v>
      </c>
      <c r="F2003">
        <v>71.599999999999994</v>
      </c>
      <c r="G2003">
        <v>73.8</v>
      </c>
      <c r="H2003">
        <v>2.7</v>
      </c>
      <c r="I2003" s="1">
        <v>5909</v>
      </c>
    </row>
    <row r="2004" spans="1:9" x14ac:dyDescent="0.25">
      <c r="A2004" t="s">
        <v>6607</v>
      </c>
      <c r="B2004" s="1">
        <v>5217</v>
      </c>
      <c r="C2004" s="1">
        <v>380627</v>
      </c>
      <c r="D2004">
        <v>73.8</v>
      </c>
      <c r="E2004">
        <v>73.8</v>
      </c>
      <c r="F2004">
        <v>72.3</v>
      </c>
      <c r="G2004">
        <v>72.599999999999994</v>
      </c>
      <c r="H2004">
        <v>-1.2</v>
      </c>
      <c r="I2004" s="1">
        <v>2448</v>
      </c>
    </row>
    <row r="2005" spans="1:9" x14ac:dyDescent="0.25">
      <c r="A2005" t="s">
        <v>6608</v>
      </c>
      <c r="B2005" s="1">
        <v>5509</v>
      </c>
      <c r="C2005" s="1">
        <v>400869</v>
      </c>
      <c r="D2005">
        <v>73</v>
      </c>
      <c r="E2005">
        <v>73.599999999999994</v>
      </c>
      <c r="F2005">
        <v>72.099999999999994</v>
      </c>
      <c r="G2005">
        <v>72.2</v>
      </c>
      <c r="H2005">
        <v>-0.4</v>
      </c>
      <c r="I2005" s="1">
        <v>2632</v>
      </c>
    </row>
    <row r="2006" spans="1:9" x14ac:dyDescent="0.25">
      <c r="A2006" t="s">
        <v>6609</v>
      </c>
      <c r="B2006" s="1">
        <v>9869</v>
      </c>
      <c r="C2006" s="1">
        <v>730559</v>
      </c>
      <c r="D2006">
        <v>72.599999999999994</v>
      </c>
      <c r="E2006">
        <v>75</v>
      </c>
      <c r="F2006">
        <v>72.2</v>
      </c>
      <c r="G2006">
        <v>73.8</v>
      </c>
      <c r="H2006">
        <v>1.6</v>
      </c>
      <c r="I2006" s="1">
        <v>4779</v>
      </c>
    </row>
    <row r="2007" spans="1:9" x14ac:dyDescent="0.25">
      <c r="A2007" t="s">
        <v>6610</v>
      </c>
      <c r="B2007" s="1">
        <v>6239</v>
      </c>
      <c r="C2007" s="1">
        <v>453057</v>
      </c>
      <c r="D2007">
        <v>73.400000000000006</v>
      </c>
      <c r="E2007">
        <v>73.400000000000006</v>
      </c>
      <c r="F2007">
        <v>71.7</v>
      </c>
      <c r="G2007">
        <v>72.3</v>
      </c>
      <c r="H2007">
        <v>-1.5</v>
      </c>
      <c r="I2007" s="1">
        <v>2821</v>
      </c>
    </row>
    <row r="2008" spans="1:9" x14ac:dyDescent="0.25">
      <c r="A2008" t="s">
        <v>6611</v>
      </c>
      <c r="B2008" s="1">
        <v>4496</v>
      </c>
      <c r="C2008" s="1">
        <v>323884</v>
      </c>
      <c r="D2008">
        <v>72.5</v>
      </c>
      <c r="E2008">
        <v>73</v>
      </c>
      <c r="F2008">
        <v>71.2</v>
      </c>
      <c r="G2008">
        <v>72.099999999999994</v>
      </c>
      <c r="H2008">
        <v>-0.2</v>
      </c>
      <c r="I2008" s="1">
        <v>1883</v>
      </c>
    </row>
    <row r="2009" spans="1:9" x14ac:dyDescent="0.25">
      <c r="A2009" t="s">
        <v>6612</v>
      </c>
      <c r="B2009" s="1">
        <v>11188</v>
      </c>
      <c r="C2009" s="1">
        <v>827291</v>
      </c>
      <c r="D2009">
        <v>72.900000000000006</v>
      </c>
      <c r="E2009">
        <v>74.7</v>
      </c>
      <c r="F2009">
        <v>72.8</v>
      </c>
      <c r="G2009">
        <v>73.900000000000006</v>
      </c>
      <c r="H2009">
        <v>1.8</v>
      </c>
      <c r="I2009" s="1">
        <v>4693</v>
      </c>
    </row>
    <row r="2010" spans="1:9" x14ac:dyDescent="0.25">
      <c r="A2010" t="s">
        <v>6613</v>
      </c>
      <c r="B2010" s="1">
        <v>19510</v>
      </c>
      <c r="C2010" s="1">
        <v>1475384</v>
      </c>
      <c r="D2010">
        <v>73.8</v>
      </c>
      <c r="E2010">
        <v>76.900000000000006</v>
      </c>
      <c r="F2010">
        <v>73.3</v>
      </c>
      <c r="G2010">
        <v>73.5</v>
      </c>
      <c r="H2010">
        <v>-0.4</v>
      </c>
      <c r="I2010" s="1">
        <v>7611</v>
      </c>
    </row>
    <row r="2011" spans="1:9" x14ac:dyDescent="0.25">
      <c r="A2011" t="s">
        <v>6614</v>
      </c>
      <c r="B2011" s="1">
        <v>6450</v>
      </c>
      <c r="C2011" s="1">
        <v>468502</v>
      </c>
      <c r="D2011">
        <v>73.5</v>
      </c>
      <c r="E2011">
        <v>73.900000000000006</v>
      </c>
      <c r="F2011">
        <v>71.7</v>
      </c>
      <c r="G2011">
        <v>72.7</v>
      </c>
      <c r="H2011">
        <v>-0.8</v>
      </c>
      <c r="I2011" s="1">
        <v>2972</v>
      </c>
    </row>
    <row r="2012" spans="1:9" x14ac:dyDescent="0.25">
      <c r="A2012" t="s">
        <v>6615</v>
      </c>
      <c r="B2012" s="1">
        <v>4135</v>
      </c>
      <c r="C2012" s="1">
        <v>300224</v>
      </c>
      <c r="D2012">
        <v>73.5</v>
      </c>
      <c r="E2012">
        <v>73.8</v>
      </c>
      <c r="F2012">
        <v>71.8</v>
      </c>
      <c r="G2012">
        <v>72.7</v>
      </c>
      <c r="H2012">
        <v>0</v>
      </c>
      <c r="I2012" s="1">
        <v>2021</v>
      </c>
    </row>
    <row r="2013" spans="1:9" x14ac:dyDescent="0.25">
      <c r="A2013" t="s">
        <v>927</v>
      </c>
      <c r="C2013" s="1"/>
    </row>
    <row r="2017" spans="1:9" x14ac:dyDescent="0.25">
      <c r="A2017" s="9" t="s">
        <v>1365</v>
      </c>
      <c r="B2017" s="1">
        <v>31</v>
      </c>
      <c r="C2017" s="1">
        <v>7151</v>
      </c>
      <c r="D2017">
        <v>231</v>
      </c>
      <c r="E2017">
        <v>231.5</v>
      </c>
      <c r="F2017">
        <v>230</v>
      </c>
      <c r="G2017">
        <v>231.5</v>
      </c>
      <c r="H2017">
        <v>-1.5</v>
      </c>
      <c r="I2017" s="1">
        <v>43</v>
      </c>
    </row>
    <row r="2018" spans="1:9" x14ac:dyDescent="0.25">
      <c r="A2018" t="s">
        <v>1366</v>
      </c>
      <c r="B2018">
        <v>14</v>
      </c>
      <c r="C2018" s="1">
        <v>3181</v>
      </c>
      <c r="D2018">
        <v>231.5</v>
      </c>
      <c r="E2018">
        <v>235</v>
      </c>
      <c r="F2018">
        <v>231.5</v>
      </c>
      <c r="G2018">
        <v>233.5</v>
      </c>
      <c r="H2018">
        <v>2</v>
      </c>
      <c r="I2018">
        <v>24</v>
      </c>
    </row>
    <row r="2019" spans="1:9" x14ac:dyDescent="0.25">
      <c r="A2019" t="s">
        <v>1367</v>
      </c>
      <c r="B2019">
        <v>18</v>
      </c>
      <c r="C2019" s="1">
        <v>4203</v>
      </c>
      <c r="D2019">
        <v>233.5</v>
      </c>
      <c r="E2019">
        <v>233.5</v>
      </c>
      <c r="F2019">
        <v>231.5</v>
      </c>
      <c r="G2019">
        <v>231.5</v>
      </c>
      <c r="H2019">
        <v>-2</v>
      </c>
      <c r="I2019">
        <v>29</v>
      </c>
    </row>
    <row r="2020" spans="1:9" x14ac:dyDescent="0.25">
      <c r="A2020" t="s">
        <v>1368</v>
      </c>
      <c r="B2020">
        <v>18</v>
      </c>
      <c r="C2020" s="1">
        <v>4171</v>
      </c>
      <c r="D2020">
        <v>230.5</v>
      </c>
      <c r="E2020">
        <v>231</v>
      </c>
      <c r="F2020">
        <v>230.5</v>
      </c>
      <c r="G2020">
        <v>231</v>
      </c>
      <c r="H2020">
        <v>-0.5</v>
      </c>
      <c r="I2020">
        <v>27</v>
      </c>
    </row>
    <row r="2021" spans="1:9" x14ac:dyDescent="0.25">
      <c r="A2021" t="s">
        <v>1369</v>
      </c>
      <c r="B2021">
        <v>31</v>
      </c>
      <c r="C2021" s="1">
        <v>7129</v>
      </c>
      <c r="D2021">
        <v>230</v>
      </c>
      <c r="E2021">
        <v>232</v>
      </c>
      <c r="F2021">
        <v>230</v>
      </c>
      <c r="G2021">
        <v>230.5</v>
      </c>
      <c r="H2021">
        <v>-0.5</v>
      </c>
      <c r="I2021">
        <v>48</v>
      </c>
    </row>
    <row r="2022" spans="1:9" x14ac:dyDescent="0.25">
      <c r="A2022" t="s">
        <v>1370</v>
      </c>
      <c r="B2022">
        <v>11</v>
      </c>
      <c r="C2022" s="1">
        <v>2537</v>
      </c>
      <c r="D2022">
        <v>230</v>
      </c>
      <c r="E2022">
        <v>231</v>
      </c>
      <c r="F2022">
        <v>230</v>
      </c>
      <c r="G2022">
        <v>231</v>
      </c>
      <c r="H2022">
        <v>0.5</v>
      </c>
      <c r="I2022">
        <v>4</v>
      </c>
    </row>
    <row r="2023" spans="1:9" x14ac:dyDescent="0.25">
      <c r="A2023" t="s">
        <v>1371</v>
      </c>
      <c r="B2023">
        <v>6</v>
      </c>
      <c r="C2023" s="1">
        <v>1432</v>
      </c>
      <c r="D2023">
        <v>238</v>
      </c>
      <c r="E2023">
        <v>238</v>
      </c>
      <c r="F2023">
        <v>232</v>
      </c>
      <c r="G2023">
        <v>233</v>
      </c>
      <c r="H2023">
        <v>2</v>
      </c>
      <c r="I2023">
        <v>9</v>
      </c>
    </row>
    <row r="2024" spans="1:9" x14ac:dyDescent="0.25">
      <c r="A2024" t="s">
        <v>1372</v>
      </c>
      <c r="B2024">
        <v>11</v>
      </c>
      <c r="C2024" s="1">
        <v>2626</v>
      </c>
      <c r="D2024">
        <v>234.5</v>
      </c>
      <c r="E2024">
        <v>235</v>
      </c>
      <c r="F2024">
        <v>233.5</v>
      </c>
      <c r="G2024">
        <v>234.5</v>
      </c>
      <c r="H2024">
        <v>1.5</v>
      </c>
      <c r="I2024">
        <v>14</v>
      </c>
    </row>
    <row r="2025" spans="1:9" x14ac:dyDescent="0.25">
      <c r="A2025" t="s">
        <v>1373</v>
      </c>
      <c r="B2025">
        <v>17</v>
      </c>
      <c r="C2025" s="1">
        <v>3952</v>
      </c>
      <c r="D2025">
        <v>236</v>
      </c>
      <c r="E2025">
        <v>237</v>
      </c>
      <c r="F2025">
        <v>236</v>
      </c>
      <c r="G2025">
        <v>237</v>
      </c>
      <c r="H2025">
        <v>2.5</v>
      </c>
      <c r="I2025">
        <v>31</v>
      </c>
    </row>
    <row r="2026" spans="1:9" x14ac:dyDescent="0.25">
      <c r="A2026" t="s">
        <v>1374</v>
      </c>
      <c r="B2026">
        <v>8</v>
      </c>
      <c r="C2026" s="1">
        <v>1998</v>
      </c>
      <c r="D2026">
        <v>239.5</v>
      </c>
      <c r="E2026">
        <v>239.5</v>
      </c>
      <c r="F2026">
        <v>237</v>
      </c>
      <c r="G2026">
        <v>238</v>
      </c>
      <c r="H2026">
        <v>1</v>
      </c>
      <c r="I2026">
        <v>34</v>
      </c>
    </row>
    <row r="2027" spans="1:9" x14ac:dyDescent="0.25">
      <c r="A2027" t="s">
        <v>1375</v>
      </c>
      <c r="B2027">
        <v>19</v>
      </c>
      <c r="C2027" s="1">
        <v>4607</v>
      </c>
      <c r="D2027">
        <v>238</v>
      </c>
      <c r="E2027">
        <v>238</v>
      </c>
      <c r="F2027">
        <v>235.5</v>
      </c>
      <c r="G2027">
        <v>237.5</v>
      </c>
      <c r="H2027">
        <v>-0.5</v>
      </c>
      <c r="I2027">
        <v>35</v>
      </c>
    </row>
    <row r="2028" spans="1:9" x14ac:dyDescent="0.25">
      <c r="A2028" t="s">
        <v>1376</v>
      </c>
      <c r="B2028">
        <v>14</v>
      </c>
      <c r="C2028" s="1">
        <v>3288</v>
      </c>
      <c r="D2028">
        <v>235.5</v>
      </c>
      <c r="E2028">
        <v>235.5</v>
      </c>
      <c r="F2028">
        <v>233</v>
      </c>
      <c r="G2028">
        <v>235.5</v>
      </c>
      <c r="H2028">
        <v>-2</v>
      </c>
      <c r="I2028">
        <v>63</v>
      </c>
    </row>
    <row r="2029" spans="1:9" x14ac:dyDescent="0.25">
      <c r="A2029" t="s">
        <v>1377</v>
      </c>
      <c r="B2029">
        <v>6</v>
      </c>
      <c r="C2029" s="1">
        <v>1300</v>
      </c>
      <c r="D2029">
        <v>236</v>
      </c>
      <c r="E2029">
        <v>237</v>
      </c>
      <c r="F2029">
        <v>233.5</v>
      </c>
      <c r="G2029">
        <v>233.5</v>
      </c>
      <c r="H2029">
        <v>-2</v>
      </c>
      <c r="I2029">
        <v>29</v>
      </c>
    </row>
    <row r="2030" spans="1:9" x14ac:dyDescent="0.25">
      <c r="A2030" t="s">
        <v>1378</v>
      </c>
      <c r="B2030">
        <v>3</v>
      </c>
      <c r="C2030" s="1">
        <v>604</v>
      </c>
      <c r="D2030">
        <v>233.5</v>
      </c>
      <c r="E2030">
        <v>233.5</v>
      </c>
      <c r="F2030">
        <v>233</v>
      </c>
      <c r="G2030">
        <v>233</v>
      </c>
      <c r="H2030">
        <v>-0.5</v>
      </c>
      <c r="I2030">
        <v>8</v>
      </c>
    </row>
    <row r="2031" spans="1:9" x14ac:dyDescent="0.25">
      <c r="A2031" t="s">
        <v>1379</v>
      </c>
      <c r="B2031">
        <v>3</v>
      </c>
      <c r="C2031" s="1">
        <v>751</v>
      </c>
      <c r="D2031">
        <v>233</v>
      </c>
      <c r="E2031">
        <v>233</v>
      </c>
      <c r="F2031">
        <v>233</v>
      </c>
      <c r="G2031">
        <v>233</v>
      </c>
      <c r="H2031">
        <v>0</v>
      </c>
      <c r="I2031">
        <v>23</v>
      </c>
    </row>
    <row r="2032" spans="1:9" x14ac:dyDescent="0.25">
      <c r="A2032" t="s">
        <v>1380</v>
      </c>
      <c r="B2032">
        <v>19</v>
      </c>
      <c r="C2032" s="1">
        <v>4418</v>
      </c>
      <c r="D2032">
        <v>233</v>
      </c>
      <c r="E2032">
        <v>235.5</v>
      </c>
      <c r="F2032">
        <v>232</v>
      </c>
      <c r="G2032">
        <v>235.5</v>
      </c>
      <c r="H2032">
        <v>2.5</v>
      </c>
      <c r="I2032">
        <v>42</v>
      </c>
    </row>
    <row r="2033" spans="1:9" x14ac:dyDescent="0.25">
      <c r="A2033" t="s">
        <v>1381</v>
      </c>
      <c r="B2033">
        <v>7</v>
      </c>
      <c r="C2033" s="1">
        <v>1532</v>
      </c>
      <c r="D2033">
        <v>233</v>
      </c>
      <c r="E2033">
        <v>233</v>
      </c>
      <c r="F2033">
        <v>233</v>
      </c>
      <c r="G2033">
        <v>233</v>
      </c>
      <c r="H2033">
        <v>-2.5</v>
      </c>
      <c r="I2033">
        <v>14</v>
      </c>
    </row>
    <row r="2034" spans="1:9" x14ac:dyDescent="0.25">
      <c r="A2034" t="s">
        <v>1382</v>
      </c>
      <c r="B2034">
        <v>5</v>
      </c>
      <c r="C2034" s="1">
        <v>1057</v>
      </c>
      <c r="D2034">
        <v>233</v>
      </c>
      <c r="E2034">
        <v>233</v>
      </c>
      <c r="F2034">
        <v>232.5</v>
      </c>
      <c r="G2034">
        <v>232.5</v>
      </c>
      <c r="H2034">
        <v>-0.5</v>
      </c>
      <c r="I2034">
        <v>9</v>
      </c>
    </row>
    <row r="2035" spans="1:9" x14ac:dyDescent="0.25">
      <c r="A2035" t="s">
        <v>1383</v>
      </c>
      <c r="B2035">
        <v>7</v>
      </c>
      <c r="C2035" s="1">
        <v>1591</v>
      </c>
      <c r="D2035">
        <v>232</v>
      </c>
      <c r="E2035">
        <v>233</v>
      </c>
      <c r="F2035">
        <v>232</v>
      </c>
      <c r="G2035">
        <v>232.5</v>
      </c>
      <c r="H2035">
        <v>0</v>
      </c>
      <c r="I2035">
        <v>20</v>
      </c>
    </row>
    <row r="2036" spans="1:9" x14ac:dyDescent="0.25">
      <c r="A2036" t="s">
        <v>1384</v>
      </c>
      <c r="B2036">
        <v>8</v>
      </c>
      <c r="C2036" s="1">
        <v>1883</v>
      </c>
      <c r="D2036">
        <v>232</v>
      </c>
      <c r="E2036">
        <v>233.5</v>
      </c>
      <c r="F2036">
        <v>232</v>
      </c>
      <c r="G2036">
        <v>233.5</v>
      </c>
      <c r="H2036">
        <v>1</v>
      </c>
      <c r="I2036">
        <v>14</v>
      </c>
    </row>
    <row r="2037" spans="1:9" x14ac:dyDescent="0.25">
      <c r="A2037" t="s">
        <v>1385</v>
      </c>
      <c r="B2037">
        <v>7</v>
      </c>
      <c r="C2037" s="1">
        <v>1737</v>
      </c>
      <c r="D2037">
        <v>233.5</v>
      </c>
      <c r="E2037">
        <v>235</v>
      </c>
      <c r="F2037">
        <v>233.5</v>
      </c>
      <c r="G2037">
        <v>235</v>
      </c>
      <c r="H2037">
        <v>1.5</v>
      </c>
      <c r="I2037">
        <v>16</v>
      </c>
    </row>
    <row r="2038" spans="1:9" x14ac:dyDescent="0.25">
      <c r="A2038" t="s">
        <v>973</v>
      </c>
      <c r="C2038" s="1"/>
    </row>
    <row r="2041" spans="1:9" x14ac:dyDescent="0.25">
      <c r="A2041" s="9" t="s">
        <v>1343</v>
      </c>
      <c r="B2041" s="1">
        <v>19</v>
      </c>
      <c r="C2041" s="1">
        <v>4166</v>
      </c>
      <c r="D2041">
        <v>224</v>
      </c>
      <c r="E2041">
        <v>224.5</v>
      </c>
      <c r="F2041">
        <v>223.5</v>
      </c>
      <c r="G2041">
        <v>223.5</v>
      </c>
      <c r="H2041">
        <v>0</v>
      </c>
      <c r="I2041" s="1">
        <v>26</v>
      </c>
    </row>
    <row r="2042" spans="1:9" x14ac:dyDescent="0.25">
      <c r="A2042" t="s">
        <v>1344</v>
      </c>
      <c r="B2042">
        <v>19</v>
      </c>
      <c r="C2042" s="1">
        <v>4196</v>
      </c>
      <c r="D2042">
        <v>223.5</v>
      </c>
      <c r="E2042">
        <v>224</v>
      </c>
      <c r="F2042">
        <v>223</v>
      </c>
      <c r="G2042">
        <v>223.5</v>
      </c>
      <c r="H2042">
        <v>0</v>
      </c>
      <c r="I2042">
        <v>42</v>
      </c>
    </row>
    <row r="2043" spans="1:9" x14ac:dyDescent="0.25">
      <c r="A2043" t="s">
        <v>1345</v>
      </c>
      <c r="B2043">
        <v>17</v>
      </c>
      <c r="C2043" s="1">
        <v>3905</v>
      </c>
      <c r="D2043">
        <v>224.5</v>
      </c>
      <c r="E2043">
        <v>225</v>
      </c>
      <c r="F2043">
        <v>224</v>
      </c>
      <c r="G2043">
        <v>224</v>
      </c>
      <c r="H2043">
        <v>0.5</v>
      </c>
      <c r="I2043">
        <v>27</v>
      </c>
    </row>
    <row r="2044" spans="1:9" x14ac:dyDescent="0.25">
      <c r="A2044" t="s">
        <v>1346</v>
      </c>
      <c r="B2044">
        <v>16</v>
      </c>
      <c r="C2044" s="1">
        <v>3620</v>
      </c>
      <c r="D2044">
        <v>224</v>
      </c>
      <c r="E2044">
        <v>225</v>
      </c>
      <c r="F2044">
        <v>224</v>
      </c>
      <c r="G2044">
        <v>224</v>
      </c>
      <c r="H2044">
        <v>0</v>
      </c>
      <c r="I2044">
        <v>32</v>
      </c>
    </row>
    <row r="2045" spans="1:9" x14ac:dyDescent="0.25">
      <c r="A2045" t="s">
        <v>1347</v>
      </c>
      <c r="B2045">
        <v>15</v>
      </c>
      <c r="C2045" s="1">
        <v>3303</v>
      </c>
      <c r="D2045">
        <v>224</v>
      </c>
      <c r="E2045">
        <v>224</v>
      </c>
      <c r="F2045">
        <v>223</v>
      </c>
      <c r="G2045">
        <v>223.5</v>
      </c>
      <c r="H2045">
        <v>-0.5</v>
      </c>
      <c r="I2045">
        <v>35</v>
      </c>
    </row>
    <row r="2046" spans="1:9" x14ac:dyDescent="0.25">
      <c r="A2046" t="s">
        <v>1348</v>
      </c>
      <c r="B2046">
        <v>7</v>
      </c>
      <c r="C2046" s="1">
        <v>1634</v>
      </c>
      <c r="D2046">
        <v>223.5</v>
      </c>
      <c r="E2046">
        <v>224</v>
      </c>
      <c r="F2046">
        <v>223.5</v>
      </c>
      <c r="G2046">
        <v>224</v>
      </c>
      <c r="H2046">
        <v>0.5</v>
      </c>
      <c r="I2046">
        <v>11</v>
      </c>
    </row>
    <row r="2047" spans="1:9" x14ac:dyDescent="0.25">
      <c r="A2047" t="s">
        <v>1349</v>
      </c>
      <c r="B2047">
        <v>26</v>
      </c>
      <c r="C2047" s="1">
        <v>5731</v>
      </c>
      <c r="D2047">
        <v>224</v>
      </c>
      <c r="E2047">
        <v>224</v>
      </c>
      <c r="F2047">
        <v>222.5</v>
      </c>
      <c r="G2047">
        <v>222.5</v>
      </c>
      <c r="H2047">
        <v>-1.5</v>
      </c>
      <c r="I2047">
        <v>51</v>
      </c>
    </row>
    <row r="2048" spans="1:9" x14ac:dyDescent="0.25">
      <c r="A2048" t="s">
        <v>1350</v>
      </c>
      <c r="B2048">
        <v>30</v>
      </c>
      <c r="C2048" s="1">
        <v>6628</v>
      </c>
      <c r="D2048">
        <v>222</v>
      </c>
      <c r="E2048">
        <v>223</v>
      </c>
      <c r="F2048">
        <v>222</v>
      </c>
      <c r="G2048">
        <v>222.5</v>
      </c>
      <c r="H2048">
        <v>0</v>
      </c>
      <c r="I2048">
        <v>60</v>
      </c>
    </row>
    <row r="2049" spans="1:9" x14ac:dyDescent="0.25">
      <c r="A2049" t="s">
        <v>1351</v>
      </c>
      <c r="B2049">
        <v>15</v>
      </c>
      <c r="C2049" s="1">
        <v>3456</v>
      </c>
      <c r="D2049">
        <v>223</v>
      </c>
      <c r="E2049">
        <v>223.5</v>
      </c>
      <c r="F2049">
        <v>223</v>
      </c>
      <c r="G2049">
        <v>223</v>
      </c>
      <c r="H2049">
        <v>0.5</v>
      </c>
      <c r="I2049">
        <v>26</v>
      </c>
    </row>
    <row r="2050" spans="1:9" x14ac:dyDescent="0.25">
      <c r="A2050" t="s">
        <v>1352</v>
      </c>
      <c r="B2050">
        <v>22</v>
      </c>
      <c r="C2050" s="1">
        <v>4894</v>
      </c>
      <c r="D2050">
        <v>223</v>
      </c>
      <c r="E2050">
        <v>224</v>
      </c>
      <c r="F2050">
        <v>222.5</v>
      </c>
      <c r="G2050">
        <v>223.5</v>
      </c>
      <c r="H2050">
        <v>0.5</v>
      </c>
      <c r="I2050">
        <v>36</v>
      </c>
    </row>
    <row r="2051" spans="1:9" x14ac:dyDescent="0.25">
      <c r="A2051" t="s">
        <v>1353</v>
      </c>
      <c r="B2051">
        <v>11</v>
      </c>
      <c r="C2051" s="1">
        <v>2442</v>
      </c>
      <c r="D2051">
        <v>223</v>
      </c>
      <c r="E2051">
        <v>223</v>
      </c>
      <c r="F2051">
        <v>222.5</v>
      </c>
      <c r="G2051">
        <v>222.5</v>
      </c>
      <c r="H2051">
        <v>-1</v>
      </c>
      <c r="I2051">
        <v>33</v>
      </c>
    </row>
    <row r="2052" spans="1:9" x14ac:dyDescent="0.25">
      <c r="A2052" t="s">
        <v>1354</v>
      </c>
      <c r="B2052">
        <v>16</v>
      </c>
      <c r="C2052" s="1">
        <v>3691</v>
      </c>
      <c r="D2052">
        <v>222.5</v>
      </c>
      <c r="E2052">
        <v>225</v>
      </c>
      <c r="F2052">
        <v>222.5</v>
      </c>
      <c r="G2052">
        <v>225</v>
      </c>
      <c r="H2052">
        <v>2.5</v>
      </c>
      <c r="I2052">
        <v>34</v>
      </c>
    </row>
    <row r="2053" spans="1:9" x14ac:dyDescent="0.25">
      <c r="A2053" t="s">
        <v>1355</v>
      </c>
      <c r="B2053">
        <v>22</v>
      </c>
      <c r="C2053" s="1">
        <v>4996</v>
      </c>
      <c r="D2053">
        <v>225</v>
      </c>
      <c r="E2053">
        <v>226.5</v>
      </c>
      <c r="F2053">
        <v>225</v>
      </c>
      <c r="G2053">
        <v>226</v>
      </c>
      <c r="H2053">
        <v>1</v>
      </c>
      <c r="I2053">
        <v>36</v>
      </c>
    </row>
    <row r="2054" spans="1:9" x14ac:dyDescent="0.25">
      <c r="A2054" t="s">
        <v>1356</v>
      </c>
      <c r="B2054">
        <v>168</v>
      </c>
      <c r="C2054" s="1">
        <v>40088</v>
      </c>
      <c r="D2054">
        <v>228</v>
      </c>
      <c r="E2054">
        <v>248.5</v>
      </c>
      <c r="F2054">
        <v>228</v>
      </c>
      <c r="G2054">
        <v>239.5</v>
      </c>
      <c r="H2054">
        <v>13.5</v>
      </c>
      <c r="I2054">
        <v>213</v>
      </c>
    </row>
    <row r="2055" spans="1:9" x14ac:dyDescent="0.25">
      <c r="A2055" t="s">
        <v>1357</v>
      </c>
      <c r="B2055">
        <v>62</v>
      </c>
      <c r="C2055" s="1">
        <v>14759</v>
      </c>
      <c r="D2055">
        <v>245</v>
      </c>
      <c r="E2055">
        <v>245</v>
      </c>
      <c r="F2055">
        <v>235</v>
      </c>
      <c r="G2055">
        <v>237</v>
      </c>
      <c r="H2055">
        <v>-2.5</v>
      </c>
      <c r="I2055">
        <v>103</v>
      </c>
    </row>
    <row r="2056" spans="1:9" x14ac:dyDescent="0.25">
      <c r="A2056" t="s">
        <v>1358</v>
      </c>
      <c r="B2056">
        <v>47</v>
      </c>
      <c r="C2056" s="1">
        <v>11007</v>
      </c>
      <c r="D2056">
        <v>235</v>
      </c>
      <c r="E2056">
        <v>235</v>
      </c>
      <c r="F2056">
        <v>232</v>
      </c>
      <c r="G2056">
        <v>232</v>
      </c>
      <c r="H2056">
        <v>-5</v>
      </c>
      <c r="I2056">
        <v>65</v>
      </c>
    </row>
    <row r="2057" spans="1:9" x14ac:dyDescent="0.25">
      <c r="A2057" t="s">
        <v>1359</v>
      </c>
      <c r="B2057">
        <v>25</v>
      </c>
      <c r="C2057" s="1">
        <v>5846</v>
      </c>
      <c r="D2057">
        <v>232</v>
      </c>
      <c r="E2057">
        <v>233</v>
      </c>
      <c r="F2057">
        <v>229.5</v>
      </c>
      <c r="G2057">
        <v>233</v>
      </c>
      <c r="H2057">
        <v>1</v>
      </c>
      <c r="I2057">
        <v>32</v>
      </c>
    </row>
    <row r="2058" spans="1:9" x14ac:dyDescent="0.25">
      <c r="A2058" t="s">
        <v>1360</v>
      </c>
      <c r="B2058">
        <v>14</v>
      </c>
      <c r="C2058" s="1">
        <v>3365</v>
      </c>
      <c r="D2058">
        <v>233</v>
      </c>
      <c r="E2058">
        <v>237.5</v>
      </c>
      <c r="F2058">
        <v>232</v>
      </c>
      <c r="G2058">
        <v>237.5</v>
      </c>
      <c r="H2058">
        <v>4.5</v>
      </c>
      <c r="I2058">
        <v>25</v>
      </c>
    </row>
    <row r="2059" spans="1:9" x14ac:dyDescent="0.25">
      <c r="A2059" t="s">
        <v>1361</v>
      </c>
      <c r="B2059">
        <v>46</v>
      </c>
      <c r="C2059" s="1">
        <v>10829</v>
      </c>
      <c r="D2059">
        <v>235.5</v>
      </c>
      <c r="E2059">
        <v>239</v>
      </c>
      <c r="F2059">
        <v>235</v>
      </c>
      <c r="G2059">
        <v>239</v>
      </c>
      <c r="H2059">
        <v>1.5</v>
      </c>
      <c r="I2059">
        <v>50</v>
      </c>
    </row>
    <row r="2060" spans="1:9" x14ac:dyDescent="0.25">
      <c r="A2060" t="s">
        <v>1362</v>
      </c>
      <c r="B2060">
        <v>31</v>
      </c>
      <c r="C2060" s="1">
        <v>7545</v>
      </c>
      <c r="D2060">
        <v>240</v>
      </c>
      <c r="E2060">
        <v>240.5</v>
      </c>
      <c r="F2060">
        <v>239</v>
      </c>
      <c r="G2060">
        <v>239</v>
      </c>
      <c r="H2060">
        <v>0</v>
      </c>
      <c r="I2060">
        <v>54</v>
      </c>
    </row>
    <row r="2061" spans="1:9" x14ac:dyDescent="0.25">
      <c r="A2061" t="s">
        <v>1363</v>
      </c>
      <c r="B2061">
        <v>17</v>
      </c>
      <c r="C2061" s="1">
        <v>4097</v>
      </c>
      <c r="D2061">
        <v>239</v>
      </c>
      <c r="E2061">
        <v>239</v>
      </c>
      <c r="F2061">
        <v>236</v>
      </c>
      <c r="G2061">
        <v>236</v>
      </c>
      <c r="H2061">
        <v>-3</v>
      </c>
      <c r="I2061">
        <v>34</v>
      </c>
    </row>
    <row r="2062" spans="1:9" x14ac:dyDescent="0.25">
      <c r="A2062" t="s">
        <v>1364</v>
      </c>
      <c r="B2062">
        <v>12</v>
      </c>
      <c r="C2062" s="1">
        <v>2860</v>
      </c>
      <c r="D2062">
        <v>235</v>
      </c>
      <c r="E2062">
        <v>235</v>
      </c>
      <c r="F2062">
        <v>233</v>
      </c>
      <c r="G2062">
        <v>233</v>
      </c>
      <c r="H2062">
        <v>-3</v>
      </c>
      <c r="I2062">
        <v>22</v>
      </c>
    </row>
    <row r="2063" spans="1:9" x14ac:dyDescent="0.25">
      <c r="A2063" t="s">
        <v>1177</v>
      </c>
      <c r="C2063" s="1"/>
    </row>
    <row r="2065" spans="1:9" x14ac:dyDescent="0.25">
      <c r="A2065" s="9" t="s">
        <v>1324</v>
      </c>
      <c r="B2065" s="1">
        <v>16</v>
      </c>
      <c r="C2065" s="1">
        <v>3601</v>
      </c>
      <c r="D2065">
        <v>224.5</v>
      </c>
      <c r="E2065">
        <v>225</v>
      </c>
      <c r="F2065">
        <v>224.5</v>
      </c>
      <c r="G2065">
        <v>224.5</v>
      </c>
      <c r="H2065">
        <v>0.5</v>
      </c>
      <c r="I2065" s="1">
        <v>22</v>
      </c>
    </row>
    <row r="2066" spans="1:9" x14ac:dyDescent="0.25">
      <c r="A2066" t="s">
        <v>1325</v>
      </c>
      <c r="B2066">
        <v>19</v>
      </c>
      <c r="C2066" s="1">
        <v>4190</v>
      </c>
      <c r="D2066">
        <v>224.5</v>
      </c>
      <c r="E2066">
        <v>226</v>
      </c>
      <c r="F2066">
        <v>224.5</v>
      </c>
      <c r="G2066">
        <v>225.5</v>
      </c>
      <c r="H2066">
        <v>1</v>
      </c>
      <c r="I2066">
        <v>29</v>
      </c>
    </row>
    <row r="2067" spans="1:9" x14ac:dyDescent="0.25">
      <c r="A2067" t="s">
        <v>1326</v>
      </c>
      <c r="B2067">
        <v>18</v>
      </c>
      <c r="C2067" s="1">
        <v>3971</v>
      </c>
      <c r="D2067">
        <v>223.5</v>
      </c>
      <c r="E2067">
        <v>226.5</v>
      </c>
      <c r="F2067">
        <v>223.5</v>
      </c>
      <c r="G2067">
        <v>224.5</v>
      </c>
      <c r="H2067">
        <v>-1</v>
      </c>
      <c r="I2067">
        <v>31</v>
      </c>
    </row>
    <row r="2068" spans="1:9" x14ac:dyDescent="0.25">
      <c r="A2068" t="s">
        <v>1327</v>
      </c>
      <c r="B2068">
        <v>6</v>
      </c>
      <c r="C2068" s="1">
        <v>1451</v>
      </c>
      <c r="D2068">
        <v>223.5</v>
      </c>
      <c r="E2068">
        <v>224</v>
      </c>
      <c r="F2068">
        <v>223.5</v>
      </c>
      <c r="G2068">
        <v>224</v>
      </c>
      <c r="H2068">
        <v>-0.5</v>
      </c>
      <c r="I2068">
        <v>25</v>
      </c>
    </row>
    <row r="2069" spans="1:9" x14ac:dyDescent="0.25">
      <c r="A2069" t="s">
        <v>1328</v>
      </c>
      <c r="B2069">
        <v>26</v>
      </c>
      <c r="C2069" s="1">
        <v>5794</v>
      </c>
      <c r="D2069">
        <v>224</v>
      </c>
      <c r="E2069">
        <v>226</v>
      </c>
      <c r="F2069">
        <v>223</v>
      </c>
      <c r="G2069">
        <v>224</v>
      </c>
      <c r="H2069">
        <v>0</v>
      </c>
      <c r="I2069">
        <v>58</v>
      </c>
    </row>
    <row r="2070" spans="1:9" x14ac:dyDescent="0.25">
      <c r="A2070" t="s">
        <v>1329</v>
      </c>
      <c r="B2070">
        <v>37</v>
      </c>
      <c r="C2070" s="1">
        <v>8288</v>
      </c>
      <c r="D2070">
        <v>224</v>
      </c>
      <c r="E2070">
        <v>224</v>
      </c>
      <c r="F2070">
        <v>222</v>
      </c>
      <c r="G2070">
        <v>222</v>
      </c>
      <c r="H2070">
        <v>-2</v>
      </c>
      <c r="I2070">
        <v>63</v>
      </c>
    </row>
    <row r="2071" spans="1:9" x14ac:dyDescent="0.25">
      <c r="A2071" t="s">
        <v>1330</v>
      </c>
      <c r="B2071">
        <v>29</v>
      </c>
      <c r="C2071" s="1">
        <v>6357</v>
      </c>
      <c r="D2071">
        <v>222</v>
      </c>
      <c r="E2071">
        <v>222</v>
      </c>
      <c r="F2071">
        <v>221</v>
      </c>
      <c r="G2071">
        <v>222</v>
      </c>
      <c r="H2071">
        <v>0</v>
      </c>
      <c r="I2071">
        <v>64</v>
      </c>
    </row>
    <row r="2072" spans="1:9" x14ac:dyDescent="0.25">
      <c r="A2072" t="s">
        <v>1331</v>
      </c>
      <c r="B2072">
        <v>28</v>
      </c>
      <c r="C2072" s="1">
        <v>6117</v>
      </c>
      <c r="D2072">
        <v>222</v>
      </c>
      <c r="E2072">
        <v>224</v>
      </c>
      <c r="F2072">
        <v>221.5</v>
      </c>
      <c r="G2072">
        <v>224</v>
      </c>
      <c r="H2072">
        <v>2</v>
      </c>
      <c r="I2072">
        <v>64</v>
      </c>
    </row>
    <row r="2073" spans="1:9" x14ac:dyDescent="0.25">
      <c r="A2073" t="s">
        <v>1332</v>
      </c>
      <c r="B2073">
        <v>10</v>
      </c>
      <c r="C2073" s="1">
        <v>2312</v>
      </c>
      <c r="D2073">
        <v>222.5</v>
      </c>
      <c r="E2073">
        <v>223</v>
      </c>
      <c r="F2073">
        <v>222</v>
      </c>
      <c r="G2073">
        <v>223</v>
      </c>
      <c r="H2073">
        <v>-1</v>
      </c>
      <c r="I2073">
        <v>32</v>
      </c>
    </row>
    <row r="2074" spans="1:9" x14ac:dyDescent="0.25">
      <c r="A2074" t="s">
        <v>1333</v>
      </c>
      <c r="B2074">
        <v>31</v>
      </c>
      <c r="C2074" s="1">
        <v>6808</v>
      </c>
      <c r="D2074">
        <v>223</v>
      </c>
      <c r="E2074">
        <v>223</v>
      </c>
      <c r="F2074">
        <v>221.5</v>
      </c>
      <c r="G2074">
        <v>222.5</v>
      </c>
      <c r="H2074">
        <v>-0.5</v>
      </c>
      <c r="I2074">
        <v>44</v>
      </c>
    </row>
    <row r="2075" spans="1:9" x14ac:dyDescent="0.25">
      <c r="A2075" t="s">
        <v>1334</v>
      </c>
      <c r="B2075">
        <v>12</v>
      </c>
      <c r="C2075" s="1">
        <v>2624</v>
      </c>
      <c r="D2075">
        <v>222.5</v>
      </c>
      <c r="E2075">
        <v>222.5</v>
      </c>
      <c r="F2075">
        <v>222</v>
      </c>
      <c r="G2075">
        <v>222</v>
      </c>
      <c r="H2075">
        <v>-0.5</v>
      </c>
      <c r="I2075">
        <v>17</v>
      </c>
    </row>
    <row r="2076" spans="1:9" x14ac:dyDescent="0.25">
      <c r="A2076" t="s">
        <v>1335</v>
      </c>
      <c r="B2076">
        <v>11</v>
      </c>
      <c r="C2076" s="1">
        <v>2409</v>
      </c>
      <c r="D2076">
        <v>222</v>
      </c>
      <c r="E2076">
        <v>222.5</v>
      </c>
      <c r="F2076">
        <v>222</v>
      </c>
      <c r="G2076">
        <v>222.5</v>
      </c>
      <c r="H2076">
        <v>0.5</v>
      </c>
      <c r="I2076">
        <v>22</v>
      </c>
    </row>
    <row r="2077" spans="1:9" x14ac:dyDescent="0.25">
      <c r="A2077" t="s">
        <v>1336</v>
      </c>
      <c r="B2077">
        <v>9</v>
      </c>
      <c r="C2077" s="1">
        <v>1954</v>
      </c>
      <c r="D2077">
        <v>223</v>
      </c>
      <c r="E2077">
        <v>223.5</v>
      </c>
      <c r="F2077">
        <v>223</v>
      </c>
      <c r="G2077">
        <v>223.5</v>
      </c>
      <c r="H2077">
        <v>1</v>
      </c>
      <c r="I2077">
        <v>21</v>
      </c>
    </row>
    <row r="2078" spans="1:9" x14ac:dyDescent="0.25">
      <c r="A2078" t="s">
        <v>1337</v>
      </c>
      <c r="B2078">
        <v>8</v>
      </c>
      <c r="C2078" s="1">
        <v>1759</v>
      </c>
      <c r="D2078">
        <v>222.5</v>
      </c>
      <c r="E2078">
        <v>224</v>
      </c>
      <c r="F2078">
        <v>222.5</v>
      </c>
      <c r="G2078">
        <v>223.5</v>
      </c>
      <c r="H2078">
        <v>0</v>
      </c>
      <c r="I2078">
        <v>20</v>
      </c>
    </row>
    <row r="2079" spans="1:9" x14ac:dyDescent="0.25">
      <c r="A2079" t="s">
        <v>1338</v>
      </c>
      <c r="B2079">
        <v>7</v>
      </c>
      <c r="C2079" s="1">
        <v>1521</v>
      </c>
      <c r="D2079">
        <v>224</v>
      </c>
      <c r="E2079">
        <v>224</v>
      </c>
      <c r="F2079">
        <v>224</v>
      </c>
      <c r="G2079">
        <v>224</v>
      </c>
      <c r="H2079">
        <v>0.5</v>
      </c>
      <c r="I2079">
        <v>23</v>
      </c>
    </row>
    <row r="2080" spans="1:9" x14ac:dyDescent="0.25">
      <c r="A2080" t="s">
        <v>1339</v>
      </c>
      <c r="B2080">
        <v>13</v>
      </c>
      <c r="C2080" s="1">
        <v>2834</v>
      </c>
      <c r="D2080">
        <v>224</v>
      </c>
      <c r="E2080">
        <v>224.5</v>
      </c>
      <c r="F2080">
        <v>224</v>
      </c>
      <c r="G2080">
        <v>224</v>
      </c>
      <c r="H2080">
        <v>0</v>
      </c>
      <c r="I2080">
        <v>23</v>
      </c>
    </row>
    <row r="2081" spans="1:9" x14ac:dyDescent="0.25">
      <c r="A2081" t="s">
        <v>1340</v>
      </c>
      <c r="B2081">
        <v>16</v>
      </c>
      <c r="C2081" s="1">
        <v>3671</v>
      </c>
      <c r="D2081">
        <v>224.5</v>
      </c>
      <c r="E2081">
        <v>225</v>
      </c>
      <c r="F2081">
        <v>223</v>
      </c>
      <c r="G2081">
        <v>223</v>
      </c>
      <c r="H2081">
        <v>-1</v>
      </c>
      <c r="I2081">
        <v>35</v>
      </c>
    </row>
    <row r="2082" spans="1:9" x14ac:dyDescent="0.25">
      <c r="A2082" t="s">
        <v>1341</v>
      </c>
      <c r="B2082">
        <v>34</v>
      </c>
      <c r="C2082" s="1">
        <v>7590</v>
      </c>
      <c r="D2082">
        <v>223.5</v>
      </c>
      <c r="E2082">
        <v>224</v>
      </c>
      <c r="F2082">
        <v>223</v>
      </c>
      <c r="G2082">
        <v>223</v>
      </c>
      <c r="H2082">
        <v>0</v>
      </c>
      <c r="I2082">
        <v>42</v>
      </c>
    </row>
    <row r="2083" spans="1:9" x14ac:dyDescent="0.25">
      <c r="A2083" t="s">
        <v>1342</v>
      </c>
      <c r="B2083">
        <v>12</v>
      </c>
      <c r="C2083" s="1">
        <v>2712</v>
      </c>
      <c r="D2083">
        <v>223</v>
      </c>
      <c r="E2083">
        <v>224</v>
      </c>
      <c r="F2083">
        <v>223</v>
      </c>
      <c r="G2083">
        <v>223.5</v>
      </c>
      <c r="H2083">
        <v>0.5</v>
      </c>
      <c r="I2083">
        <v>14</v>
      </c>
    </row>
    <row r="2084" spans="1:9" x14ac:dyDescent="0.25">
      <c r="A2084" t="s">
        <v>1030</v>
      </c>
      <c r="C2084" s="1"/>
    </row>
    <row r="2089" spans="1:9" x14ac:dyDescent="0.25">
      <c r="A2089" s="9" t="s">
        <v>1302</v>
      </c>
      <c r="B2089" s="1">
        <v>23</v>
      </c>
      <c r="C2089" s="1">
        <v>5105</v>
      </c>
      <c r="D2089">
        <v>221.5</v>
      </c>
      <c r="E2089">
        <v>223</v>
      </c>
      <c r="F2089">
        <v>221</v>
      </c>
      <c r="G2089">
        <v>222</v>
      </c>
      <c r="H2089">
        <v>0.5</v>
      </c>
      <c r="I2089" s="1">
        <v>44</v>
      </c>
    </row>
    <row r="2090" spans="1:9" x14ac:dyDescent="0.25">
      <c r="A2090" t="s">
        <v>1303</v>
      </c>
      <c r="B2090">
        <v>13</v>
      </c>
      <c r="C2090" s="1">
        <v>2818</v>
      </c>
      <c r="D2090">
        <v>223</v>
      </c>
      <c r="E2090">
        <v>223</v>
      </c>
      <c r="F2090">
        <v>222</v>
      </c>
      <c r="G2090">
        <v>222.5</v>
      </c>
      <c r="H2090">
        <v>0.5</v>
      </c>
      <c r="I2090">
        <v>24</v>
      </c>
    </row>
    <row r="2091" spans="1:9" x14ac:dyDescent="0.25">
      <c r="A2091" t="s">
        <v>1304</v>
      </c>
      <c r="B2091">
        <v>17</v>
      </c>
      <c r="C2091" s="1">
        <v>3763</v>
      </c>
      <c r="D2091">
        <v>222.5</v>
      </c>
      <c r="E2091">
        <v>222.5</v>
      </c>
      <c r="F2091">
        <v>220.5</v>
      </c>
      <c r="G2091">
        <v>221.5</v>
      </c>
      <c r="H2091">
        <v>-1</v>
      </c>
      <c r="I2091">
        <v>40</v>
      </c>
    </row>
    <row r="2092" spans="1:9" x14ac:dyDescent="0.25">
      <c r="A2092" t="s">
        <v>1305</v>
      </c>
      <c r="B2092">
        <v>19</v>
      </c>
      <c r="C2092" s="1">
        <v>4140</v>
      </c>
      <c r="D2092">
        <v>221.5</v>
      </c>
      <c r="E2092">
        <v>221.5</v>
      </c>
      <c r="F2092">
        <v>221</v>
      </c>
      <c r="G2092">
        <v>221</v>
      </c>
      <c r="H2092">
        <v>-0.5</v>
      </c>
      <c r="I2092">
        <v>27</v>
      </c>
    </row>
    <row r="2093" spans="1:9" x14ac:dyDescent="0.25">
      <c r="A2093" t="s">
        <v>1306</v>
      </c>
      <c r="B2093">
        <v>23</v>
      </c>
      <c r="C2093" s="1">
        <v>5132</v>
      </c>
      <c r="D2093">
        <v>221</v>
      </c>
      <c r="E2093">
        <v>225.5</v>
      </c>
      <c r="F2093">
        <v>220.5</v>
      </c>
      <c r="G2093">
        <v>222.5</v>
      </c>
      <c r="H2093">
        <v>1.5</v>
      </c>
      <c r="I2093">
        <v>54</v>
      </c>
    </row>
    <row r="2094" spans="1:9" x14ac:dyDescent="0.25">
      <c r="A2094" t="s">
        <v>1307</v>
      </c>
      <c r="B2094">
        <v>9</v>
      </c>
      <c r="C2094" s="1">
        <v>2036</v>
      </c>
      <c r="D2094">
        <v>222.5</v>
      </c>
      <c r="E2094">
        <v>222.5</v>
      </c>
      <c r="F2094">
        <v>222</v>
      </c>
      <c r="G2094">
        <v>222</v>
      </c>
      <c r="H2094">
        <v>-0.5</v>
      </c>
      <c r="I2094">
        <v>24</v>
      </c>
    </row>
    <row r="2095" spans="1:9" x14ac:dyDescent="0.25">
      <c r="A2095" t="s">
        <v>1308</v>
      </c>
      <c r="B2095">
        <v>45</v>
      </c>
      <c r="C2095" s="1">
        <v>10019</v>
      </c>
      <c r="D2095">
        <v>222.5</v>
      </c>
      <c r="E2095">
        <v>223</v>
      </c>
      <c r="F2095">
        <v>221</v>
      </c>
      <c r="G2095">
        <v>221</v>
      </c>
      <c r="H2095">
        <v>-1</v>
      </c>
      <c r="I2095">
        <v>61</v>
      </c>
    </row>
    <row r="2096" spans="1:9" x14ac:dyDescent="0.25">
      <c r="A2096" t="s">
        <v>1309</v>
      </c>
      <c r="B2096">
        <v>13</v>
      </c>
      <c r="C2096" s="1">
        <v>2840</v>
      </c>
      <c r="D2096">
        <v>221.5</v>
      </c>
      <c r="E2096">
        <v>222.5</v>
      </c>
      <c r="F2096">
        <v>221</v>
      </c>
      <c r="G2096">
        <v>222</v>
      </c>
      <c r="H2096">
        <v>1</v>
      </c>
      <c r="I2096">
        <v>42</v>
      </c>
    </row>
    <row r="2097" spans="1:9" x14ac:dyDescent="0.25">
      <c r="A2097" t="s">
        <v>1310</v>
      </c>
      <c r="B2097">
        <v>29</v>
      </c>
      <c r="C2097" s="1">
        <v>6356</v>
      </c>
      <c r="D2097">
        <v>224</v>
      </c>
      <c r="E2097">
        <v>224.5</v>
      </c>
      <c r="F2097">
        <v>222</v>
      </c>
      <c r="G2097">
        <v>222</v>
      </c>
      <c r="H2097">
        <v>0</v>
      </c>
      <c r="I2097">
        <v>35</v>
      </c>
    </row>
    <row r="2098" spans="1:9" x14ac:dyDescent="0.25">
      <c r="A2098" t="s">
        <v>1311</v>
      </c>
      <c r="B2098">
        <v>19</v>
      </c>
      <c r="C2098" s="1">
        <v>4295</v>
      </c>
      <c r="D2098">
        <v>222.5</v>
      </c>
      <c r="E2098">
        <v>224</v>
      </c>
      <c r="F2098">
        <v>222.5</v>
      </c>
      <c r="G2098">
        <v>223</v>
      </c>
      <c r="H2098">
        <v>1</v>
      </c>
      <c r="I2098">
        <v>34</v>
      </c>
    </row>
    <row r="2099" spans="1:9" x14ac:dyDescent="0.25">
      <c r="A2099" t="s">
        <v>1312</v>
      </c>
      <c r="B2099">
        <v>31</v>
      </c>
      <c r="C2099" s="1">
        <v>6962</v>
      </c>
      <c r="D2099">
        <v>223.5</v>
      </c>
      <c r="E2099">
        <v>224</v>
      </c>
      <c r="F2099">
        <v>223</v>
      </c>
      <c r="G2099">
        <v>223</v>
      </c>
      <c r="H2099">
        <v>0</v>
      </c>
      <c r="I2099">
        <v>59</v>
      </c>
    </row>
    <row r="2100" spans="1:9" x14ac:dyDescent="0.25">
      <c r="A2100" t="s">
        <v>1313</v>
      </c>
      <c r="B2100">
        <v>23</v>
      </c>
      <c r="C2100" s="1">
        <v>5164</v>
      </c>
      <c r="D2100">
        <v>224</v>
      </c>
      <c r="E2100">
        <v>224</v>
      </c>
      <c r="F2100">
        <v>223.5</v>
      </c>
      <c r="G2100">
        <v>224</v>
      </c>
      <c r="H2100">
        <v>1</v>
      </c>
      <c r="I2100">
        <v>33</v>
      </c>
    </row>
    <row r="2101" spans="1:9" x14ac:dyDescent="0.25">
      <c r="A2101" t="s">
        <v>1314</v>
      </c>
      <c r="B2101">
        <v>20</v>
      </c>
      <c r="C2101" s="1">
        <v>4445</v>
      </c>
      <c r="D2101">
        <v>224</v>
      </c>
      <c r="E2101">
        <v>224</v>
      </c>
      <c r="F2101">
        <v>223</v>
      </c>
      <c r="G2101">
        <v>223</v>
      </c>
      <c r="H2101">
        <v>-1</v>
      </c>
      <c r="I2101">
        <v>37</v>
      </c>
    </row>
    <row r="2102" spans="1:9" x14ac:dyDescent="0.25">
      <c r="A2102" t="s">
        <v>1315</v>
      </c>
      <c r="B2102">
        <v>21</v>
      </c>
      <c r="C2102" s="1">
        <v>4659</v>
      </c>
      <c r="D2102">
        <v>223</v>
      </c>
      <c r="E2102">
        <v>223</v>
      </c>
      <c r="F2102">
        <v>221.5</v>
      </c>
      <c r="G2102">
        <v>221.5</v>
      </c>
      <c r="H2102">
        <v>-1.5</v>
      </c>
      <c r="I2102">
        <v>63</v>
      </c>
    </row>
    <row r="2103" spans="1:9" x14ac:dyDescent="0.25">
      <c r="A2103" t="s">
        <v>1316</v>
      </c>
      <c r="B2103">
        <v>22</v>
      </c>
      <c r="C2103" s="1">
        <v>4979</v>
      </c>
      <c r="D2103">
        <v>222.5</v>
      </c>
      <c r="E2103">
        <v>224</v>
      </c>
      <c r="F2103">
        <v>222.5</v>
      </c>
      <c r="G2103">
        <v>223.5</v>
      </c>
      <c r="H2103">
        <v>2</v>
      </c>
      <c r="I2103">
        <v>41</v>
      </c>
    </row>
    <row r="2104" spans="1:9" x14ac:dyDescent="0.25">
      <c r="A2104" t="s">
        <v>1317</v>
      </c>
      <c r="B2104">
        <v>9</v>
      </c>
      <c r="C2104" s="1">
        <v>1913</v>
      </c>
      <c r="D2104">
        <v>222.5</v>
      </c>
      <c r="E2104">
        <v>222.5</v>
      </c>
      <c r="F2104">
        <v>222.5</v>
      </c>
      <c r="G2104">
        <v>222.5</v>
      </c>
      <c r="H2104">
        <v>-1</v>
      </c>
      <c r="I2104">
        <v>31</v>
      </c>
    </row>
    <row r="2105" spans="1:9" x14ac:dyDescent="0.25">
      <c r="A2105" t="s">
        <v>1318</v>
      </c>
      <c r="B2105">
        <v>25</v>
      </c>
      <c r="C2105" s="1">
        <v>5592</v>
      </c>
      <c r="D2105">
        <v>222</v>
      </c>
      <c r="E2105">
        <v>223</v>
      </c>
      <c r="F2105">
        <v>221.5</v>
      </c>
      <c r="G2105">
        <v>223</v>
      </c>
      <c r="H2105">
        <v>0.5</v>
      </c>
      <c r="I2105">
        <v>66</v>
      </c>
    </row>
    <row r="2106" spans="1:9" x14ac:dyDescent="0.25">
      <c r="A2106" t="s">
        <v>1319</v>
      </c>
      <c r="B2106">
        <v>7</v>
      </c>
      <c r="C2106" s="1">
        <v>1526</v>
      </c>
      <c r="D2106">
        <v>223</v>
      </c>
      <c r="E2106">
        <v>223</v>
      </c>
      <c r="F2106">
        <v>222</v>
      </c>
      <c r="G2106">
        <v>222</v>
      </c>
      <c r="H2106">
        <v>-1</v>
      </c>
      <c r="I2106">
        <v>23</v>
      </c>
    </row>
    <row r="2107" spans="1:9" x14ac:dyDescent="0.25">
      <c r="A2107" t="s">
        <v>1320</v>
      </c>
      <c r="B2107">
        <v>7</v>
      </c>
      <c r="C2107" s="1">
        <v>1491</v>
      </c>
      <c r="D2107">
        <v>222.5</v>
      </c>
      <c r="E2107">
        <v>223.5</v>
      </c>
      <c r="F2107">
        <v>222.5</v>
      </c>
      <c r="G2107">
        <v>223</v>
      </c>
      <c r="H2107">
        <v>1</v>
      </c>
      <c r="I2107">
        <v>18</v>
      </c>
    </row>
    <row r="2108" spans="1:9" x14ac:dyDescent="0.25">
      <c r="A2108" t="s">
        <v>1321</v>
      </c>
      <c r="B2108">
        <v>4</v>
      </c>
      <c r="C2108" s="1">
        <v>858</v>
      </c>
      <c r="D2108">
        <v>223</v>
      </c>
      <c r="E2108">
        <v>223</v>
      </c>
      <c r="F2108">
        <v>223</v>
      </c>
      <c r="G2108">
        <v>223</v>
      </c>
      <c r="H2108">
        <v>0</v>
      </c>
      <c r="I2108">
        <v>13</v>
      </c>
    </row>
    <row r="2109" spans="1:9" x14ac:dyDescent="0.25">
      <c r="A2109" t="s">
        <v>1322</v>
      </c>
      <c r="B2109">
        <v>21</v>
      </c>
      <c r="C2109" s="1">
        <v>4656</v>
      </c>
      <c r="D2109">
        <v>223</v>
      </c>
      <c r="E2109">
        <v>223.5</v>
      </c>
      <c r="F2109">
        <v>222.5</v>
      </c>
      <c r="G2109">
        <v>223.5</v>
      </c>
      <c r="H2109">
        <v>0.5</v>
      </c>
      <c r="I2109">
        <v>45</v>
      </c>
    </row>
    <row r="2110" spans="1:9" x14ac:dyDescent="0.25">
      <c r="A2110" t="s">
        <v>1323</v>
      </c>
      <c r="B2110">
        <v>12</v>
      </c>
      <c r="C2110" s="1">
        <v>2571</v>
      </c>
      <c r="D2110">
        <v>223</v>
      </c>
      <c r="E2110">
        <v>224</v>
      </c>
      <c r="F2110">
        <v>222</v>
      </c>
      <c r="G2110">
        <v>224</v>
      </c>
      <c r="H2110">
        <v>0.5</v>
      </c>
      <c r="I2110">
        <v>18</v>
      </c>
    </row>
    <row r="2111" spans="1:9" x14ac:dyDescent="0.25">
      <c r="A2111" t="s">
        <v>1177</v>
      </c>
      <c r="C2111" s="1"/>
    </row>
    <row r="2113" spans="1:9" x14ac:dyDescent="0.25">
      <c r="A2113" s="9" t="s">
        <v>1279</v>
      </c>
      <c r="B2113" s="1">
        <v>39</v>
      </c>
      <c r="C2113" s="1">
        <v>8761</v>
      </c>
      <c r="D2113">
        <v>225.5</v>
      </c>
      <c r="E2113">
        <v>226.5</v>
      </c>
      <c r="F2113">
        <v>223.5</v>
      </c>
      <c r="G2113">
        <v>225.5</v>
      </c>
      <c r="H2113">
        <v>0</v>
      </c>
      <c r="I2113" s="1">
        <v>60</v>
      </c>
    </row>
    <row r="2114" spans="1:9" x14ac:dyDescent="0.25">
      <c r="A2114" t="s">
        <v>1280</v>
      </c>
      <c r="B2114">
        <v>80</v>
      </c>
      <c r="C2114" s="1">
        <v>18035</v>
      </c>
      <c r="D2114">
        <v>225.5</v>
      </c>
      <c r="E2114">
        <v>225.5</v>
      </c>
      <c r="F2114">
        <v>223</v>
      </c>
      <c r="G2114">
        <v>225</v>
      </c>
      <c r="H2114">
        <v>-0.5</v>
      </c>
      <c r="I2114">
        <v>80</v>
      </c>
    </row>
    <row r="2115" spans="1:9" x14ac:dyDescent="0.25">
      <c r="A2115" t="s">
        <v>1281</v>
      </c>
      <c r="B2115">
        <v>53</v>
      </c>
      <c r="C2115" s="1">
        <v>11961</v>
      </c>
      <c r="D2115">
        <v>225.5</v>
      </c>
      <c r="E2115">
        <v>225.5</v>
      </c>
      <c r="F2115">
        <v>223</v>
      </c>
      <c r="G2115">
        <v>224.5</v>
      </c>
      <c r="H2115">
        <v>-0.5</v>
      </c>
      <c r="I2115">
        <v>66</v>
      </c>
    </row>
    <row r="2116" spans="1:9" x14ac:dyDescent="0.25">
      <c r="A2116" t="s">
        <v>1282</v>
      </c>
      <c r="B2116">
        <v>44</v>
      </c>
      <c r="C2116" s="1">
        <v>9774</v>
      </c>
      <c r="D2116">
        <v>225</v>
      </c>
      <c r="E2116">
        <v>226</v>
      </c>
      <c r="F2116">
        <v>222</v>
      </c>
      <c r="G2116">
        <v>225</v>
      </c>
      <c r="H2116">
        <v>0.5</v>
      </c>
      <c r="I2116">
        <v>51</v>
      </c>
    </row>
    <row r="2117" spans="1:9" x14ac:dyDescent="0.25">
      <c r="A2117" t="s">
        <v>1283</v>
      </c>
      <c r="B2117">
        <v>36</v>
      </c>
      <c r="C2117" s="1">
        <v>8178</v>
      </c>
      <c r="D2117">
        <v>225.5</v>
      </c>
      <c r="E2117">
        <v>225.5</v>
      </c>
      <c r="F2117">
        <v>223</v>
      </c>
      <c r="G2117">
        <v>225</v>
      </c>
      <c r="H2117">
        <v>0</v>
      </c>
      <c r="I2117">
        <v>52</v>
      </c>
    </row>
    <row r="2118" spans="1:9" x14ac:dyDescent="0.25">
      <c r="A2118" t="s">
        <v>1284</v>
      </c>
      <c r="B2118">
        <v>196</v>
      </c>
      <c r="C2118" s="1">
        <v>43615</v>
      </c>
      <c r="D2118">
        <v>224</v>
      </c>
      <c r="E2118">
        <v>227.5</v>
      </c>
      <c r="F2118">
        <v>221.5</v>
      </c>
      <c r="G2118">
        <v>225</v>
      </c>
      <c r="H2118">
        <v>0</v>
      </c>
      <c r="I2118">
        <v>229</v>
      </c>
    </row>
    <row r="2119" spans="1:9" x14ac:dyDescent="0.25">
      <c r="A2119" t="s">
        <v>1285</v>
      </c>
      <c r="B2119">
        <v>54</v>
      </c>
      <c r="C2119" s="1">
        <v>12082</v>
      </c>
      <c r="D2119">
        <v>225</v>
      </c>
      <c r="E2119">
        <v>225</v>
      </c>
      <c r="F2119">
        <v>224</v>
      </c>
      <c r="G2119">
        <v>224</v>
      </c>
      <c r="H2119">
        <v>-1</v>
      </c>
      <c r="I2119">
        <v>107</v>
      </c>
    </row>
    <row r="2120" spans="1:9" x14ac:dyDescent="0.25">
      <c r="A2120" t="s">
        <v>1286</v>
      </c>
      <c r="B2120">
        <v>62</v>
      </c>
      <c r="C2120" s="1">
        <v>13877</v>
      </c>
      <c r="D2120">
        <v>222.5</v>
      </c>
      <c r="E2120">
        <v>224</v>
      </c>
      <c r="F2120">
        <v>222</v>
      </c>
      <c r="G2120">
        <v>222</v>
      </c>
      <c r="H2120">
        <v>-2</v>
      </c>
      <c r="I2120">
        <v>94</v>
      </c>
    </row>
    <row r="2121" spans="1:9" x14ac:dyDescent="0.25">
      <c r="A2121" t="s">
        <v>1287</v>
      </c>
      <c r="B2121">
        <v>35</v>
      </c>
      <c r="C2121" s="1">
        <v>7690</v>
      </c>
      <c r="D2121">
        <v>221</v>
      </c>
      <c r="E2121">
        <v>222.5</v>
      </c>
      <c r="F2121">
        <v>221</v>
      </c>
      <c r="G2121">
        <v>222.5</v>
      </c>
      <c r="H2121">
        <v>0.5</v>
      </c>
      <c r="I2121">
        <v>51</v>
      </c>
    </row>
    <row r="2122" spans="1:9" x14ac:dyDescent="0.25">
      <c r="A2122" t="s">
        <v>1288</v>
      </c>
      <c r="B2122">
        <v>42</v>
      </c>
      <c r="C2122" s="1">
        <v>9221</v>
      </c>
      <c r="D2122">
        <v>222.5</v>
      </c>
      <c r="E2122">
        <v>223.5</v>
      </c>
      <c r="F2122">
        <v>221</v>
      </c>
      <c r="G2122">
        <v>223.5</v>
      </c>
      <c r="H2122">
        <v>1</v>
      </c>
      <c r="I2122">
        <v>78</v>
      </c>
    </row>
    <row r="2123" spans="1:9" x14ac:dyDescent="0.25">
      <c r="A2123" t="s">
        <v>1289</v>
      </c>
      <c r="B2123">
        <v>42</v>
      </c>
      <c r="C2123" s="1">
        <v>9525</v>
      </c>
      <c r="D2123">
        <v>225</v>
      </c>
      <c r="E2123">
        <v>225.5</v>
      </c>
      <c r="F2123">
        <v>223.5</v>
      </c>
      <c r="G2123">
        <v>223.5</v>
      </c>
      <c r="H2123">
        <v>0</v>
      </c>
      <c r="I2123">
        <v>66</v>
      </c>
    </row>
    <row r="2124" spans="1:9" x14ac:dyDescent="0.25">
      <c r="A2124" t="s">
        <v>1290</v>
      </c>
      <c r="B2124">
        <v>17</v>
      </c>
      <c r="C2124" s="1">
        <v>3715</v>
      </c>
      <c r="D2124">
        <v>223.5</v>
      </c>
      <c r="E2124">
        <v>224</v>
      </c>
      <c r="F2124">
        <v>222</v>
      </c>
      <c r="G2124">
        <v>222</v>
      </c>
      <c r="H2124">
        <v>-1.5</v>
      </c>
      <c r="I2124">
        <v>35</v>
      </c>
    </row>
    <row r="2125" spans="1:9" x14ac:dyDescent="0.25">
      <c r="A2125" t="s">
        <v>1291</v>
      </c>
      <c r="B2125">
        <v>19</v>
      </c>
      <c r="C2125" s="1">
        <v>4208</v>
      </c>
      <c r="D2125">
        <v>222</v>
      </c>
      <c r="E2125">
        <v>223</v>
      </c>
      <c r="F2125">
        <v>221.5</v>
      </c>
      <c r="G2125">
        <v>221.5</v>
      </c>
      <c r="H2125">
        <v>-0.5</v>
      </c>
      <c r="I2125">
        <v>33</v>
      </c>
    </row>
    <row r="2126" spans="1:9" x14ac:dyDescent="0.25">
      <c r="A2126" t="s">
        <v>1292</v>
      </c>
      <c r="B2126">
        <v>63</v>
      </c>
      <c r="C2126" s="1">
        <v>13840</v>
      </c>
      <c r="D2126">
        <v>221.5</v>
      </c>
      <c r="E2126">
        <v>221.5</v>
      </c>
      <c r="F2126">
        <v>221</v>
      </c>
      <c r="G2126">
        <v>221</v>
      </c>
      <c r="H2126">
        <v>-0.5</v>
      </c>
      <c r="I2126">
        <v>45</v>
      </c>
    </row>
    <row r="2127" spans="1:9" x14ac:dyDescent="0.25">
      <c r="A2127" t="s">
        <v>1293</v>
      </c>
      <c r="B2127">
        <v>20</v>
      </c>
      <c r="C2127" s="1">
        <v>4527</v>
      </c>
      <c r="D2127">
        <v>220</v>
      </c>
      <c r="E2127">
        <v>223</v>
      </c>
      <c r="F2127">
        <v>220</v>
      </c>
      <c r="G2127">
        <v>221.5</v>
      </c>
      <c r="H2127">
        <v>0.5</v>
      </c>
      <c r="I2127">
        <v>78</v>
      </c>
    </row>
    <row r="2128" spans="1:9" x14ac:dyDescent="0.25">
      <c r="A2128" t="s">
        <v>1294</v>
      </c>
      <c r="B2128">
        <v>14</v>
      </c>
      <c r="C2128" s="1">
        <v>3214</v>
      </c>
      <c r="D2128">
        <v>222.5</v>
      </c>
      <c r="E2128">
        <v>223.5</v>
      </c>
      <c r="F2128">
        <v>222.5</v>
      </c>
      <c r="G2128">
        <v>222.5</v>
      </c>
      <c r="H2128">
        <v>1</v>
      </c>
      <c r="I2128">
        <v>54</v>
      </c>
    </row>
    <row r="2129" spans="1:9" x14ac:dyDescent="0.25">
      <c r="A2129" t="s">
        <v>1295</v>
      </c>
      <c r="B2129">
        <v>6</v>
      </c>
      <c r="C2129" s="1">
        <v>1248</v>
      </c>
      <c r="D2129">
        <v>223.5</v>
      </c>
      <c r="E2129">
        <v>223.5</v>
      </c>
      <c r="F2129">
        <v>222.5</v>
      </c>
      <c r="G2129">
        <v>222.5</v>
      </c>
      <c r="H2129">
        <v>0</v>
      </c>
      <c r="I2129">
        <v>14</v>
      </c>
    </row>
    <row r="2130" spans="1:9" x14ac:dyDescent="0.25">
      <c r="A2130" t="s">
        <v>1296</v>
      </c>
      <c r="B2130">
        <v>40</v>
      </c>
      <c r="C2130" s="1">
        <v>8776</v>
      </c>
      <c r="D2130">
        <v>220.5</v>
      </c>
      <c r="E2130">
        <v>222</v>
      </c>
      <c r="F2130">
        <v>220</v>
      </c>
      <c r="G2130">
        <v>221.5</v>
      </c>
      <c r="H2130">
        <v>-1</v>
      </c>
      <c r="I2130">
        <v>45</v>
      </c>
    </row>
    <row r="2131" spans="1:9" x14ac:dyDescent="0.25">
      <c r="A2131" t="s">
        <v>1297</v>
      </c>
      <c r="B2131">
        <v>8</v>
      </c>
      <c r="C2131" s="1">
        <v>1870</v>
      </c>
      <c r="D2131">
        <v>221.5</v>
      </c>
      <c r="E2131">
        <v>222</v>
      </c>
      <c r="F2131">
        <v>221.5</v>
      </c>
      <c r="G2131">
        <v>222</v>
      </c>
      <c r="H2131">
        <v>0.5</v>
      </c>
      <c r="I2131">
        <v>16</v>
      </c>
    </row>
    <row r="2132" spans="1:9" x14ac:dyDescent="0.25">
      <c r="A2132" t="s">
        <v>1298</v>
      </c>
      <c r="B2132">
        <v>12</v>
      </c>
      <c r="C2132" s="1">
        <v>2721</v>
      </c>
      <c r="D2132">
        <v>222</v>
      </c>
      <c r="E2132">
        <v>222</v>
      </c>
      <c r="F2132">
        <v>221</v>
      </c>
      <c r="G2132">
        <v>221</v>
      </c>
      <c r="H2132">
        <v>-1</v>
      </c>
      <c r="I2132">
        <v>23</v>
      </c>
    </row>
    <row r="2133" spans="1:9" x14ac:dyDescent="0.25">
      <c r="A2133" t="s">
        <v>1299</v>
      </c>
      <c r="B2133">
        <v>26</v>
      </c>
      <c r="C2133" s="1">
        <v>5630</v>
      </c>
      <c r="D2133">
        <v>221</v>
      </c>
      <c r="E2133">
        <v>222</v>
      </c>
      <c r="F2133">
        <v>220</v>
      </c>
      <c r="G2133">
        <v>221.5</v>
      </c>
      <c r="H2133">
        <v>0.5</v>
      </c>
      <c r="I2133">
        <v>42</v>
      </c>
    </row>
    <row r="2134" spans="1:9" x14ac:dyDescent="0.25">
      <c r="A2134" t="s">
        <v>1300</v>
      </c>
      <c r="B2134">
        <v>32</v>
      </c>
      <c r="C2134" s="1">
        <v>7106</v>
      </c>
      <c r="D2134">
        <v>222</v>
      </c>
      <c r="E2134">
        <v>222</v>
      </c>
      <c r="F2134">
        <v>221</v>
      </c>
      <c r="G2134">
        <v>221</v>
      </c>
      <c r="H2134">
        <v>-0.5</v>
      </c>
      <c r="I2134">
        <v>58</v>
      </c>
    </row>
    <row r="2135" spans="1:9" x14ac:dyDescent="0.25">
      <c r="A2135" t="s">
        <v>1301</v>
      </c>
      <c r="B2135">
        <v>38</v>
      </c>
      <c r="C2135" s="1">
        <v>8290</v>
      </c>
      <c r="D2135">
        <v>221</v>
      </c>
      <c r="E2135">
        <v>221.5</v>
      </c>
      <c r="F2135">
        <v>220</v>
      </c>
      <c r="G2135">
        <v>221.5</v>
      </c>
      <c r="H2135">
        <v>0.5</v>
      </c>
      <c r="I2135">
        <v>40</v>
      </c>
    </row>
    <row r="2136" spans="1:9" x14ac:dyDescent="0.25">
      <c r="A2136" t="s">
        <v>951</v>
      </c>
      <c r="C2136" s="1"/>
    </row>
    <row r="2137" spans="1:9" x14ac:dyDescent="0.25">
      <c r="A2137" s="9" t="s">
        <v>1258</v>
      </c>
      <c r="B2137" s="1">
        <v>338</v>
      </c>
      <c r="C2137" s="1">
        <v>86930</v>
      </c>
      <c r="D2137">
        <v>252</v>
      </c>
      <c r="E2137">
        <v>260</v>
      </c>
      <c r="F2137">
        <v>252</v>
      </c>
      <c r="G2137">
        <v>258</v>
      </c>
      <c r="H2137">
        <v>5</v>
      </c>
      <c r="I2137" s="1">
        <v>229</v>
      </c>
    </row>
    <row r="2138" spans="1:9" x14ac:dyDescent="0.25">
      <c r="A2138" t="s">
        <v>1259</v>
      </c>
      <c r="B2138">
        <v>304</v>
      </c>
      <c r="C2138" s="1">
        <v>70758</v>
      </c>
      <c r="D2138">
        <v>228.5</v>
      </c>
      <c r="E2138">
        <v>241</v>
      </c>
      <c r="F2138">
        <v>228.5</v>
      </c>
      <c r="G2138">
        <v>236.5</v>
      </c>
      <c r="H2138">
        <v>11</v>
      </c>
      <c r="I2138">
        <v>308</v>
      </c>
    </row>
    <row r="2139" spans="1:9" x14ac:dyDescent="0.25">
      <c r="A2139" t="s">
        <v>1260</v>
      </c>
      <c r="B2139">
        <v>163</v>
      </c>
      <c r="C2139" s="1">
        <v>38940</v>
      </c>
      <c r="D2139">
        <v>238</v>
      </c>
      <c r="E2139">
        <v>245.5</v>
      </c>
      <c r="F2139">
        <v>235</v>
      </c>
      <c r="G2139">
        <v>235.5</v>
      </c>
      <c r="H2139">
        <v>-1</v>
      </c>
      <c r="I2139">
        <v>185</v>
      </c>
    </row>
    <row r="2140" spans="1:9" x14ac:dyDescent="0.25">
      <c r="A2140" t="s">
        <v>1261</v>
      </c>
      <c r="B2140">
        <v>53</v>
      </c>
      <c r="C2140" s="1">
        <v>12494</v>
      </c>
      <c r="D2140">
        <v>235.5</v>
      </c>
      <c r="E2140">
        <v>237.5</v>
      </c>
      <c r="F2140">
        <v>232.5</v>
      </c>
      <c r="G2140">
        <v>233</v>
      </c>
      <c r="H2140">
        <v>-2.5</v>
      </c>
      <c r="I2140">
        <v>102</v>
      </c>
    </row>
    <row r="2141" spans="1:9" x14ac:dyDescent="0.25">
      <c r="A2141" t="s">
        <v>1262</v>
      </c>
      <c r="B2141">
        <v>76</v>
      </c>
      <c r="C2141" s="1">
        <v>17496</v>
      </c>
      <c r="D2141">
        <v>231</v>
      </c>
      <c r="E2141">
        <v>231</v>
      </c>
      <c r="F2141">
        <v>227</v>
      </c>
      <c r="G2141">
        <v>231</v>
      </c>
      <c r="H2141">
        <v>-2</v>
      </c>
      <c r="I2141">
        <v>105</v>
      </c>
    </row>
    <row r="2142" spans="1:9" x14ac:dyDescent="0.25">
      <c r="A2142" t="s">
        <v>1263</v>
      </c>
      <c r="B2142">
        <v>41</v>
      </c>
      <c r="C2142" s="1">
        <v>9415</v>
      </c>
      <c r="D2142">
        <v>230</v>
      </c>
      <c r="E2142">
        <v>230</v>
      </c>
      <c r="F2142">
        <v>228</v>
      </c>
      <c r="G2142">
        <v>228.5</v>
      </c>
      <c r="H2142">
        <v>-2.5</v>
      </c>
      <c r="I2142">
        <v>58</v>
      </c>
    </row>
    <row r="2143" spans="1:9" x14ac:dyDescent="0.25">
      <c r="A2143" t="s">
        <v>1264</v>
      </c>
      <c r="B2143">
        <v>33</v>
      </c>
      <c r="C2143" s="1">
        <v>7502</v>
      </c>
      <c r="D2143">
        <v>228</v>
      </c>
      <c r="E2143">
        <v>229</v>
      </c>
      <c r="F2143">
        <v>226.5</v>
      </c>
      <c r="G2143">
        <v>229</v>
      </c>
      <c r="H2143">
        <v>0.5</v>
      </c>
      <c r="I2143">
        <v>60</v>
      </c>
    </row>
    <row r="2144" spans="1:9" x14ac:dyDescent="0.25">
      <c r="A2144" t="s">
        <v>1265</v>
      </c>
      <c r="B2144">
        <v>26</v>
      </c>
      <c r="C2144" s="1">
        <v>5924</v>
      </c>
      <c r="D2144">
        <v>226.5</v>
      </c>
      <c r="E2144">
        <v>227.5</v>
      </c>
      <c r="F2144">
        <v>226.5</v>
      </c>
      <c r="G2144">
        <v>226.5</v>
      </c>
      <c r="H2144">
        <v>-2.5</v>
      </c>
      <c r="I2144">
        <v>48</v>
      </c>
    </row>
    <row r="2145" spans="1:9" x14ac:dyDescent="0.25">
      <c r="A2145" t="s">
        <v>1266</v>
      </c>
      <c r="B2145">
        <v>65</v>
      </c>
      <c r="C2145" s="1">
        <v>14759</v>
      </c>
      <c r="D2145">
        <v>226.5</v>
      </c>
      <c r="E2145">
        <v>226.5</v>
      </c>
      <c r="F2145">
        <v>225.5</v>
      </c>
      <c r="G2145">
        <v>226</v>
      </c>
      <c r="H2145">
        <v>-0.5</v>
      </c>
      <c r="I2145">
        <v>70</v>
      </c>
    </row>
    <row r="2146" spans="1:9" x14ac:dyDescent="0.25">
      <c r="A2146" t="s">
        <v>1267</v>
      </c>
      <c r="B2146">
        <v>30</v>
      </c>
      <c r="C2146" s="1">
        <v>6673</v>
      </c>
      <c r="D2146">
        <v>225.5</v>
      </c>
      <c r="E2146">
        <v>225.5</v>
      </c>
      <c r="F2146">
        <v>225</v>
      </c>
      <c r="G2146">
        <v>225.5</v>
      </c>
      <c r="H2146">
        <v>-0.5</v>
      </c>
      <c r="I2146">
        <v>53</v>
      </c>
    </row>
    <row r="2147" spans="1:9" x14ac:dyDescent="0.25">
      <c r="A2147" t="s">
        <v>1268</v>
      </c>
      <c r="B2147">
        <v>81</v>
      </c>
      <c r="C2147" s="1">
        <v>18185</v>
      </c>
      <c r="D2147">
        <v>225</v>
      </c>
      <c r="E2147">
        <v>226</v>
      </c>
      <c r="F2147">
        <v>225</v>
      </c>
      <c r="G2147">
        <v>225.5</v>
      </c>
      <c r="H2147">
        <v>0</v>
      </c>
      <c r="I2147">
        <v>66</v>
      </c>
    </row>
    <row r="2148" spans="1:9" x14ac:dyDescent="0.25">
      <c r="A2148" t="s">
        <v>1269</v>
      </c>
      <c r="B2148">
        <v>43</v>
      </c>
      <c r="C2148" s="1">
        <v>9792</v>
      </c>
      <c r="D2148">
        <v>225</v>
      </c>
      <c r="E2148">
        <v>230</v>
      </c>
      <c r="F2148">
        <v>225</v>
      </c>
      <c r="G2148">
        <v>230</v>
      </c>
      <c r="H2148">
        <v>4.5</v>
      </c>
      <c r="I2148">
        <v>62</v>
      </c>
    </row>
    <row r="2149" spans="1:9" x14ac:dyDescent="0.25">
      <c r="A2149" t="s">
        <v>1270</v>
      </c>
      <c r="B2149">
        <v>45</v>
      </c>
      <c r="C2149" s="1">
        <v>10434</v>
      </c>
      <c r="D2149">
        <v>230</v>
      </c>
      <c r="E2149">
        <v>234</v>
      </c>
      <c r="F2149">
        <v>230</v>
      </c>
      <c r="G2149">
        <v>233.5</v>
      </c>
      <c r="H2149">
        <v>3.5</v>
      </c>
      <c r="I2149">
        <v>61</v>
      </c>
    </row>
    <row r="2150" spans="1:9" x14ac:dyDescent="0.25">
      <c r="A2150" t="s">
        <v>1271</v>
      </c>
      <c r="B2150">
        <v>62</v>
      </c>
      <c r="C2150" s="1">
        <v>14477</v>
      </c>
      <c r="D2150">
        <v>235.5</v>
      </c>
      <c r="E2150">
        <v>236</v>
      </c>
      <c r="F2150">
        <v>234</v>
      </c>
      <c r="G2150">
        <v>234.5</v>
      </c>
      <c r="H2150">
        <v>1</v>
      </c>
      <c r="I2150">
        <v>68</v>
      </c>
    </row>
    <row r="2151" spans="1:9" x14ac:dyDescent="0.25">
      <c r="A2151" t="s">
        <v>1272</v>
      </c>
      <c r="B2151">
        <v>22</v>
      </c>
      <c r="C2151" s="1">
        <v>5203</v>
      </c>
      <c r="D2151">
        <v>236</v>
      </c>
      <c r="E2151">
        <v>236</v>
      </c>
      <c r="F2151">
        <v>235</v>
      </c>
      <c r="G2151">
        <v>235</v>
      </c>
      <c r="H2151">
        <v>0.5</v>
      </c>
      <c r="I2151">
        <v>26</v>
      </c>
    </row>
    <row r="2152" spans="1:9" x14ac:dyDescent="0.25">
      <c r="A2152" t="s">
        <v>1273</v>
      </c>
      <c r="B2152">
        <v>51</v>
      </c>
      <c r="C2152" s="1">
        <v>11750</v>
      </c>
      <c r="D2152">
        <v>235</v>
      </c>
      <c r="E2152">
        <v>235</v>
      </c>
      <c r="F2152">
        <v>228.5</v>
      </c>
      <c r="G2152">
        <v>230</v>
      </c>
      <c r="H2152">
        <v>-5</v>
      </c>
      <c r="I2152">
        <v>63</v>
      </c>
    </row>
    <row r="2153" spans="1:9" x14ac:dyDescent="0.25">
      <c r="A2153" t="s">
        <v>1274</v>
      </c>
      <c r="B2153">
        <v>23</v>
      </c>
      <c r="C2153" s="1">
        <v>5161</v>
      </c>
      <c r="D2153">
        <v>230</v>
      </c>
      <c r="E2153">
        <v>230</v>
      </c>
      <c r="F2153">
        <v>227.5</v>
      </c>
      <c r="G2153">
        <v>228.5</v>
      </c>
      <c r="H2153">
        <v>-1.5</v>
      </c>
      <c r="I2153">
        <v>42</v>
      </c>
    </row>
    <row r="2154" spans="1:9" x14ac:dyDescent="0.25">
      <c r="A2154" t="s">
        <v>1275</v>
      </c>
      <c r="B2154">
        <v>34</v>
      </c>
      <c r="C2154" s="1">
        <v>7637</v>
      </c>
      <c r="D2154">
        <v>228.5</v>
      </c>
      <c r="E2154">
        <v>228.5</v>
      </c>
      <c r="F2154">
        <v>226</v>
      </c>
      <c r="G2154">
        <v>226</v>
      </c>
      <c r="H2154">
        <v>-2.5</v>
      </c>
      <c r="I2154">
        <v>53</v>
      </c>
    </row>
    <row r="2155" spans="1:9" x14ac:dyDescent="0.25">
      <c r="A2155" t="s">
        <v>1276</v>
      </c>
      <c r="B2155">
        <v>19</v>
      </c>
      <c r="C2155" s="1">
        <v>4307</v>
      </c>
      <c r="D2155">
        <v>226</v>
      </c>
      <c r="E2155">
        <v>228</v>
      </c>
      <c r="F2155">
        <v>226</v>
      </c>
      <c r="G2155">
        <v>227.5</v>
      </c>
      <c r="H2155">
        <v>1.5</v>
      </c>
      <c r="I2155">
        <v>29</v>
      </c>
    </row>
    <row r="2156" spans="1:9" x14ac:dyDescent="0.25">
      <c r="A2156" t="s">
        <v>1277</v>
      </c>
      <c r="B2156">
        <v>47</v>
      </c>
      <c r="C2156" s="1">
        <v>10798</v>
      </c>
      <c r="D2156">
        <v>232</v>
      </c>
      <c r="E2156">
        <v>232</v>
      </c>
      <c r="F2156">
        <v>226</v>
      </c>
      <c r="G2156">
        <v>226</v>
      </c>
      <c r="H2156">
        <v>-1.5</v>
      </c>
      <c r="I2156">
        <v>64</v>
      </c>
    </row>
    <row r="2157" spans="1:9" x14ac:dyDescent="0.25">
      <c r="A2157" t="s">
        <v>1278</v>
      </c>
      <c r="B2157">
        <v>14</v>
      </c>
      <c r="C2157" s="1">
        <v>3198</v>
      </c>
      <c r="D2157">
        <v>226</v>
      </c>
      <c r="E2157">
        <v>226</v>
      </c>
      <c r="F2157">
        <v>225.5</v>
      </c>
      <c r="G2157">
        <v>225.5</v>
      </c>
      <c r="H2157">
        <v>-0.5</v>
      </c>
      <c r="I2157">
        <v>38</v>
      </c>
    </row>
    <row r="2158" spans="1:9" x14ac:dyDescent="0.25">
      <c r="A2158" t="s">
        <v>973</v>
      </c>
      <c r="C2158" s="1"/>
    </row>
    <row r="2161" spans="1:9" x14ac:dyDescent="0.25">
      <c r="A2161" s="9" t="s">
        <v>928</v>
      </c>
      <c r="B2161" s="1">
        <v>60</v>
      </c>
      <c r="C2161" s="1">
        <v>15025</v>
      </c>
      <c r="D2161">
        <v>251.5</v>
      </c>
      <c r="E2161">
        <v>252.5</v>
      </c>
      <c r="F2161">
        <v>251</v>
      </c>
      <c r="G2161">
        <v>251.5</v>
      </c>
      <c r="H2161">
        <v>0</v>
      </c>
      <c r="I2161" s="1">
        <v>57</v>
      </c>
    </row>
    <row r="2162" spans="1:9" x14ac:dyDescent="0.25">
      <c r="A2162" t="s">
        <v>929</v>
      </c>
      <c r="B2162">
        <v>62</v>
      </c>
      <c r="C2162" s="1">
        <v>15508</v>
      </c>
      <c r="D2162">
        <v>251.5</v>
      </c>
      <c r="E2162">
        <v>251.5</v>
      </c>
      <c r="F2162">
        <v>249</v>
      </c>
      <c r="G2162">
        <v>249</v>
      </c>
      <c r="H2162">
        <v>-2.5</v>
      </c>
      <c r="I2162">
        <v>83</v>
      </c>
    </row>
    <row r="2163" spans="1:9" x14ac:dyDescent="0.25">
      <c r="A2163" t="s">
        <v>930</v>
      </c>
      <c r="B2163">
        <v>98</v>
      </c>
      <c r="C2163" s="1">
        <v>24104</v>
      </c>
      <c r="D2163">
        <v>250</v>
      </c>
      <c r="E2163">
        <v>250</v>
      </c>
      <c r="F2163">
        <v>244</v>
      </c>
      <c r="G2163">
        <v>245.5</v>
      </c>
      <c r="H2163">
        <v>-3.5</v>
      </c>
      <c r="I2163">
        <v>131</v>
      </c>
    </row>
    <row r="2164" spans="1:9" x14ac:dyDescent="0.25">
      <c r="A2164" t="s">
        <v>931</v>
      </c>
      <c r="B2164">
        <v>96</v>
      </c>
      <c r="C2164" s="1">
        <v>23751</v>
      </c>
      <c r="D2164">
        <v>246</v>
      </c>
      <c r="E2164">
        <v>249.5</v>
      </c>
      <c r="F2164">
        <v>243.5</v>
      </c>
      <c r="G2164">
        <v>249</v>
      </c>
      <c r="H2164">
        <v>3.5</v>
      </c>
      <c r="I2164">
        <v>88</v>
      </c>
    </row>
    <row r="2165" spans="1:9" x14ac:dyDescent="0.25">
      <c r="A2165" t="s">
        <v>932</v>
      </c>
      <c r="B2165">
        <v>42</v>
      </c>
      <c r="C2165" s="1">
        <v>10400</v>
      </c>
      <c r="D2165">
        <v>249</v>
      </c>
      <c r="E2165">
        <v>251</v>
      </c>
      <c r="F2165">
        <v>248.5</v>
      </c>
      <c r="G2165">
        <v>251</v>
      </c>
      <c r="H2165">
        <v>2</v>
      </c>
      <c r="I2165">
        <v>44</v>
      </c>
    </row>
    <row r="2166" spans="1:9" x14ac:dyDescent="0.25">
      <c r="A2166" t="s">
        <v>933</v>
      </c>
      <c r="B2166">
        <v>37</v>
      </c>
      <c r="C2166" s="1">
        <v>9274</v>
      </c>
      <c r="D2166">
        <v>251</v>
      </c>
      <c r="E2166">
        <v>251.5</v>
      </c>
      <c r="F2166">
        <v>251</v>
      </c>
      <c r="G2166">
        <v>251</v>
      </c>
      <c r="H2166">
        <v>0</v>
      </c>
      <c r="I2166">
        <v>54</v>
      </c>
    </row>
    <row r="2167" spans="1:9" x14ac:dyDescent="0.25">
      <c r="A2167" t="s">
        <v>934</v>
      </c>
      <c r="B2167">
        <v>27</v>
      </c>
      <c r="C2167" s="1">
        <v>6824</v>
      </c>
      <c r="D2167">
        <v>252</v>
      </c>
      <c r="E2167">
        <v>252.5</v>
      </c>
      <c r="F2167">
        <v>251.5</v>
      </c>
      <c r="G2167">
        <v>251.5</v>
      </c>
      <c r="H2167">
        <v>0.5</v>
      </c>
      <c r="I2167">
        <v>42</v>
      </c>
    </row>
    <row r="2168" spans="1:9" x14ac:dyDescent="0.25">
      <c r="A2168" t="s">
        <v>935</v>
      </c>
      <c r="B2168">
        <v>41</v>
      </c>
      <c r="C2168" s="1">
        <v>10297</v>
      </c>
      <c r="D2168">
        <v>251</v>
      </c>
      <c r="E2168">
        <v>251</v>
      </c>
      <c r="F2168">
        <v>249</v>
      </c>
      <c r="G2168">
        <v>250</v>
      </c>
      <c r="H2168">
        <v>-1.5</v>
      </c>
      <c r="I2168">
        <v>47</v>
      </c>
    </row>
    <row r="2169" spans="1:9" x14ac:dyDescent="0.25">
      <c r="A2169" t="s">
        <v>936</v>
      </c>
      <c r="B2169">
        <v>14</v>
      </c>
      <c r="C2169" s="1">
        <v>3537</v>
      </c>
      <c r="D2169">
        <v>250</v>
      </c>
      <c r="E2169">
        <v>251</v>
      </c>
      <c r="F2169">
        <v>250</v>
      </c>
      <c r="G2169">
        <v>250</v>
      </c>
      <c r="H2169">
        <v>0</v>
      </c>
      <c r="I2169">
        <v>20</v>
      </c>
    </row>
    <row r="2170" spans="1:9" x14ac:dyDescent="0.25">
      <c r="A2170" t="s">
        <v>937</v>
      </c>
      <c r="B2170">
        <v>24</v>
      </c>
      <c r="C2170" s="1">
        <v>6049</v>
      </c>
      <c r="D2170">
        <v>250</v>
      </c>
      <c r="E2170">
        <v>250.5</v>
      </c>
      <c r="F2170">
        <v>249</v>
      </c>
      <c r="G2170">
        <v>250</v>
      </c>
      <c r="H2170">
        <v>0</v>
      </c>
      <c r="I2170">
        <v>31</v>
      </c>
    </row>
    <row r="2171" spans="1:9" x14ac:dyDescent="0.25">
      <c r="A2171" t="s">
        <v>938</v>
      </c>
      <c r="B2171">
        <v>62</v>
      </c>
      <c r="C2171" s="1">
        <v>15489</v>
      </c>
      <c r="D2171">
        <v>250</v>
      </c>
      <c r="E2171">
        <v>250</v>
      </c>
      <c r="F2171">
        <v>249.5</v>
      </c>
      <c r="G2171">
        <v>250</v>
      </c>
      <c r="H2171">
        <v>0</v>
      </c>
      <c r="I2171">
        <v>76</v>
      </c>
    </row>
    <row r="2172" spans="1:9" x14ac:dyDescent="0.25">
      <c r="A2172" t="s">
        <v>939</v>
      </c>
      <c r="B2172">
        <v>21</v>
      </c>
      <c r="C2172" s="1">
        <v>5218</v>
      </c>
      <c r="D2172">
        <v>250</v>
      </c>
      <c r="E2172">
        <v>250</v>
      </c>
      <c r="F2172">
        <v>249.5</v>
      </c>
      <c r="G2172">
        <v>250</v>
      </c>
      <c r="H2172">
        <v>0</v>
      </c>
      <c r="I2172">
        <v>25</v>
      </c>
    </row>
    <row r="2173" spans="1:9" x14ac:dyDescent="0.25">
      <c r="A2173" t="s">
        <v>940</v>
      </c>
      <c r="B2173">
        <v>12</v>
      </c>
      <c r="C2173" s="1">
        <v>3100</v>
      </c>
      <c r="D2173">
        <v>250</v>
      </c>
      <c r="E2173">
        <v>250.5</v>
      </c>
      <c r="F2173">
        <v>250</v>
      </c>
      <c r="G2173">
        <v>250</v>
      </c>
      <c r="H2173">
        <v>0</v>
      </c>
      <c r="I2173">
        <v>23</v>
      </c>
    </row>
    <row r="2174" spans="1:9" x14ac:dyDescent="0.25">
      <c r="A2174" t="s">
        <v>941</v>
      </c>
      <c r="B2174">
        <v>21</v>
      </c>
      <c r="C2174" s="1">
        <v>5167</v>
      </c>
      <c r="D2174">
        <v>250</v>
      </c>
      <c r="E2174">
        <v>250.5</v>
      </c>
      <c r="F2174">
        <v>250</v>
      </c>
      <c r="G2174">
        <v>250.5</v>
      </c>
      <c r="H2174">
        <v>0.5</v>
      </c>
      <c r="I2174">
        <v>37</v>
      </c>
    </row>
    <row r="2175" spans="1:9" x14ac:dyDescent="0.25">
      <c r="A2175" t="s">
        <v>942</v>
      </c>
      <c r="B2175">
        <v>28</v>
      </c>
      <c r="C2175" s="1">
        <v>7019</v>
      </c>
      <c r="D2175">
        <v>251</v>
      </c>
      <c r="E2175">
        <v>251</v>
      </c>
      <c r="F2175">
        <v>250</v>
      </c>
      <c r="G2175">
        <v>250.5</v>
      </c>
      <c r="H2175">
        <v>0</v>
      </c>
      <c r="I2175">
        <v>26</v>
      </c>
    </row>
    <row r="2176" spans="1:9" x14ac:dyDescent="0.25">
      <c r="A2176" t="s">
        <v>943</v>
      </c>
      <c r="B2176">
        <v>31</v>
      </c>
      <c r="C2176" s="1">
        <v>7826</v>
      </c>
      <c r="D2176">
        <v>250.5</v>
      </c>
      <c r="E2176">
        <v>253</v>
      </c>
      <c r="F2176">
        <v>250</v>
      </c>
      <c r="G2176">
        <v>252.5</v>
      </c>
      <c r="H2176">
        <v>2</v>
      </c>
      <c r="I2176">
        <v>33</v>
      </c>
    </row>
    <row r="2177" spans="1:9" x14ac:dyDescent="0.25">
      <c r="A2177" t="s">
        <v>944</v>
      </c>
      <c r="B2177">
        <v>41</v>
      </c>
      <c r="C2177" s="1">
        <v>10287</v>
      </c>
      <c r="D2177">
        <v>252</v>
      </c>
      <c r="E2177">
        <v>254.5</v>
      </c>
      <c r="F2177">
        <v>252</v>
      </c>
      <c r="G2177">
        <v>253.5</v>
      </c>
      <c r="H2177">
        <v>1</v>
      </c>
      <c r="I2177">
        <v>57</v>
      </c>
    </row>
    <row r="2178" spans="1:9" x14ac:dyDescent="0.25">
      <c r="A2178" t="s">
        <v>945</v>
      </c>
      <c r="B2178">
        <v>18</v>
      </c>
      <c r="C2178" s="1">
        <v>4662</v>
      </c>
      <c r="D2178">
        <v>253.5</v>
      </c>
      <c r="E2178">
        <v>254</v>
      </c>
      <c r="F2178">
        <v>253</v>
      </c>
      <c r="G2178">
        <v>254</v>
      </c>
      <c r="H2178">
        <v>0.5</v>
      </c>
      <c r="I2178">
        <v>27</v>
      </c>
    </row>
    <row r="2179" spans="1:9" x14ac:dyDescent="0.25">
      <c r="A2179" t="s">
        <v>946</v>
      </c>
      <c r="B2179">
        <v>54</v>
      </c>
      <c r="C2179" s="1">
        <v>13608</v>
      </c>
      <c r="D2179">
        <v>253</v>
      </c>
      <c r="E2179">
        <v>254</v>
      </c>
      <c r="F2179">
        <v>250</v>
      </c>
      <c r="G2179">
        <v>253</v>
      </c>
      <c r="H2179">
        <v>-1</v>
      </c>
      <c r="I2179">
        <v>47</v>
      </c>
    </row>
    <row r="2180" spans="1:9" x14ac:dyDescent="0.25">
      <c r="A2180" t="s">
        <v>947</v>
      </c>
      <c r="B2180">
        <v>43</v>
      </c>
      <c r="C2180" s="1">
        <v>10769</v>
      </c>
      <c r="D2180">
        <v>253</v>
      </c>
      <c r="E2180">
        <v>253</v>
      </c>
      <c r="F2180">
        <v>252</v>
      </c>
      <c r="G2180">
        <v>253</v>
      </c>
      <c r="H2180">
        <v>0</v>
      </c>
      <c r="I2180">
        <v>39</v>
      </c>
    </row>
    <row r="2181" spans="1:9" x14ac:dyDescent="0.25">
      <c r="A2181" t="s">
        <v>948</v>
      </c>
      <c r="B2181">
        <v>29</v>
      </c>
      <c r="C2181" s="1">
        <v>7349</v>
      </c>
      <c r="D2181">
        <v>252.5</v>
      </c>
      <c r="E2181">
        <v>252.5</v>
      </c>
      <c r="F2181">
        <v>251</v>
      </c>
      <c r="G2181">
        <v>252.5</v>
      </c>
      <c r="H2181">
        <v>-0.5</v>
      </c>
      <c r="I2181">
        <v>29</v>
      </c>
    </row>
    <row r="2182" spans="1:9" x14ac:dyDescent="0.25">
      <c r="A2182" t="s">
        <v>949</v>
      </c>
      <c r="B2182">
        <v>54</v>
      </c>
      <c r="C2182" s="1">
        <v>13673</v>
      </c>
      <c r="D2182">
        <v>252</v>
      </c>
      <c r="E2182">
        <v>252</v>
      </c>
      <c r="F2182">
        <v>251</v>
      </c>
      <c r="G2182">
        <v>252</v>
      </c>
      <c r="H2182">
        <v>-0.5</v>
      </c>
      <c r="I2182">
        <v>43</v>
      </c>
    </row>
    <row r="2183" spans="1:9" x14ac:dyDescent="0.25">
      <c r="A2183" t="s">
        <v>950</v>
      </c>
      <c r="B2183">
        <v>92</v>
      </c>
      <c r="C2183" s="1">
        <v>23140</v>
      </c>
      <c r="D2183">
        <v>250.5</v>
      </c>
      <c r="E2183">
        <v>253</v>
      </c>
      <c r="F2183">
        <v>250.5</v>
      </c>
      <c r="G2183">
        <v>253</v>
      </c>
      <c r="H2183">
        <v>1</v>
      </c>
      <c r="I2183">
        <v>86</v>
      </c>
    </row>
    <row r="2184" spans="1:9" x14ac:dyDescent="0.25">
      <c r="A2184" t="s">
        <v>951</v>
      </c>
      <c r="C2184" s="1"/>
    </row>
    <row r="2185" spans="1:9" x14ac:dyDescent="0.25">
      <c r="A2185" s="9" t="s">
        <v>907</v>
      </c>
      <c r="B2185" s="1">
        <v>181</v>
      </c>
      <c r="C2185" s="1">
        <v>45502</v>
      </c>
      <c r="D2185">
        <v>247.5</v>
      </c>
      <c r="E2185">
        <v>253</v>
      </c>
      <c r="F2185">
        <v>247.5</v>
      </c>
      <c r="G2185">
        <v>252.5</v>
      </c>
      <c r="H2185">
        <v>5.5</v>
      </c>
      <c r="I2185" s="1">
        <v>167</v>
      </c>
    </row>
    <row r="2186" spans="1:9" x14ac:dyDescent="0.25">
      <c r="A2186" t="s">
        <v>908</v>
      </c>
      <c r="B2186">
        <v>219</v>
      </c>
      <c r="C2186" s="1">
        <v>55974</v>
      </c>
      <c r="D2186">
        <v>253</v>
      </c>
      <c r="E2186">
        <v>259</v>
      </c>
      <c r="F2186">
        <v>252.5</v>
      </c>
      <c r="G2186">
        <v>252.5</v>
      </c>
      <c r="H2186">
        <v>0</v>
      </c>
      <c r="I2186">
        <v>170</v>
      </c>
    </row>
    <row r="2187" spans="1:9" x14ac:dyDescent="0.25">
      <c r="A2187" t="s">
        <v>909</v>
      </c>
      <c r="B2187">
        <v>110</v>
      </c>
      <c r="C2187" s="1">
        <v>27730</v>
      </c>
      <c r="D2187">
        <v>253</v>
      </c>
      <c r="E2187">
        <v>253.5</v>
      </c>
      <c r="F2187">
        <v>248</v>
      </c>
      <c r="G2187">
        <v>251</v>
      </c>
      <c r="H2187">
        <v>-1.5</v>
      </c>
      <c r="I2187">
        <v>101</v>
      </c>
    </row>
    <row r="2188" spans="1:9" x14ac:dyDescent="0.25">
      <c r="A2188" t="s">
        <v>910</v>
      </c>
      <c r="B2188">
        <v>65</v>
      </c>
      <c r="C2188" s="1">
        <v>16203</v>
      </c>
      <c r="D2188">
        <v>251</v>
      </c>
      <c r="E2188">
        <v>251.5</v>
      </c>
      <c r="F2188">
        <v>249.5</v>
      </c>
      <c r="G2188">
        <v>249.5</v>
      </c>
      <c r="H2188">
        <v>-1.5</v>
      </c>
      <c r="I2188">
        <v>62</v>
      </c>
    </row>
    <row r="2189" spans="1:9" x14ac:dyDescent="0.25">
      <c r="A2189" t="s">
        <v>911</v>
      </c>
      <c r="B2189">
        <v>104</v>
      </c>
      <c r="C2189" s="1">
        <v>25965</v>
      </c>
      <c r="D2189">
        <v>252</v>
      </c>
      <c r="E2189">
        <v>254</v>
      </c>
      <c r="F2189">
        <v>248.5</v>
      </c>
      <c r="G2189">
        <v>250</v>
      </c>
      <c r="H2189">
        <v>0.5</v>
      </c>
      <c r="I2189">
        <v>99</v>
      </c>
    </row>
    <row r="2190" spans="1:9" x14ac:dyDescent="0.25">
      <c r="A2190" t="s">
        <v>912</v>
      </c>
      <c r="B2190">
        <v>237</v>
      </c>
      <c r="C2190" s="1">
        <v>58409</v>
      </c>
      <c r="D2190">
        <v>250</v>
      </c>
      <c r="E2190">
        <v>250</v>
      </c>
      <c r="F2190">
        <v>242</v>
      </c>
      <c r="G2190">
        <v>248.5</v>
      </c>
      <c r="H2190">
        <v>-1.5</v>
      </c>
      <c r="I2190">
        <v>234</v>
      </c>
    </row>
    <row r="2191" spans="1:9" x14ac:dyDescent="0.25">
      <c r="A2191" t="s">
        <v>913</v>
      </c>
      <c r="B2191">
        <v>94</v>
      </c>
      <c r="C2191" s="1">
        <v>23449</v>
      </c>
      <c r="D2191">
        <v>250</v>
      </c>
      <c r="E2191">
        <v>251</v>
      </c>
      <c r="F2191">
        <v>248</v>
      </c>
      <c r="G2191">
        <v>250</v>
      </c>
      <c r="H2191">
        <v>1.5</v>
      </c>
      <c r="I2191">
        <v>100</v>
      </c>
    </row>
    <row r="2192" spans="1:9" x14ac:dyDescent="0.25">
      <c r="A2192" t="s">
        <v>914</v>
      </c>
      <c r="B2192">
        <v>72</v>
      </c>
      <c r="C2192" s="1">
        <v>18161</v>
      </c>
      <c r="D2192">
        <v>250</v>
      </c>
      <c r="E2192">
        <v>252.5</v>
      </c>
      <c r="F2192">
        <v>249.5</v>
      </c>
      <c r="G2192">
        <v>252.5</v>
      </c>
      <c r="H2192">
        <v>2.5</v>
      </c>
      <c r="I2192">
        <v>83</v>
      </c>
    </row>
    <row r="2193" spans="1:9" x14ac:dyDescent="0.25">
      <c r="A2193" t="s">
        <v>915</v>
      </c>
      <c r="B2193">
        <v>54</v>
      </c>
      <c r="C2193" s="1">
        <v>13641</v>
      </c>
      <c r="D2193">
        <v>252.5</v>
      </c>
      <c r="E2193">
        <v>254.5</v>
      </c>
      <c r="F2193">
        <v>251</v>
      </c>
      <c r="G2193">
        <v>253.5</v>
      </c>
      <c r="H2193">
        <v>1</v>
      </c>
      <c r="I2193">
        <v>65</v>
      </c>
    </row>
    <row r="2194" spans="1:9" x14ac:dyDescent="0.25">
      <c r="A2194" t="s">
        <v>916</v>
      </c>
      <c r="B2194">
        <v>76</v>
      </c>
      <c r="C2194" s="1">
        <v>19291</v>
      </c>
      <c r="D2194">
        <v>255</v>
      </c>
      <c r="E2194">
        <v>257</v>
      </c>
      <c r="F2194">
        <v>253.5</v>
      </c>
      <c r="G2194">
        <v>257</v>
      </c>
      <c r="H2194">
        <v>3.5</v>
      </c>
      <c r="I2194">
        <v>71</v>
      </c>
    </row>
    <row r="2195" spans="1:9" x14ac:dyDescent="0.25">
      <c r="A2195" t="s">
        <v>917</v>
      </c>
      <c r="B2195">
        <v>50</v>
      </c>
      <c r="C2195" s="1">
        <v>12867</v>
      </c>
      <c r="D2195">
        <v>257</v>
      </c>
      <c r="E2195">
        <v>257</v>
      </c>
      <c r="F2195">
        <v>254</v>
      </c>
      <c r="G2195">
        <v>254</v>
      </c>
      <c r="H2195">
        <v>-3</v>
      </c>
      <c r="I2195">
        <v>52</v>
      </c>
    </row>
    <row r="2196" spans="1:9" x14ac:dyDescent="0.25">
      <c r="A2196" t="s">
        <v>918</v>
      </c>
      <c r="B2196">
        <v>40</v>
      </c>
      <c r="C2196" s="1">
        <v>10097</v>
      </c>
      <c r="D2196">
        <v>255</v>
      </c>
      <c r="E2196">
        <v>255</v>
      </c>
      <c r="F2196">
        <v>251</v>
      </c>
      <c r="G2196">
        <v>253</v>
      </c>
      <c r="H2196">
        <v>-1</v>
      </c>
      <c r="I2196">
        <v>51</v>
      </c>
    </row>
    <row r="2197" spans="1:9" x14ac:dyDescent="0.25">
      <c r="A2197" t="s">
        <v>919</v>
      </c>
      <c r="B2197">
        <v>24</v>
      </c>
      <c r="C2197" s="1">
        <v>6069</v>
      </c>
      <c r="D2197">
        <v>251</v>
      </c>
      <c r="E2197">
        <v>253</v>
      </c>
      <c r="F2197">
        <v>250</v>
      </c>
      <c r="G2197">
        <v>253</v>
      </c>
      <c r="H2197">
        <v>0</v>
      </c>
      <c r="I2197">
        <v>49</v>
      </c>
    </row>
    <row r="2198" spans="1:9" x14ac:dyDescent="0.25">
      <c r="A2198" t="s">
        <v>920</v>
      </c>
      <c r="B2198">
        <v>76</v>
      </c>
      <c r="C2198" s="1">
        <v>18902</v>
      </c>
      <c r="D2198">
        <v>252</v>
      </c>
      <c r="E2198">
        <v>252.5</v>
      </c>
      <c r="F2198">
        <v>248.5</v>
      </c>
      <c r="G2198">
        <v>249.5</v>
      </c>
      <c r="H2198">
        <v>-3.5</v>
      </c>
      <c r="I2198">
        <v>93</v>
      </c>
    </row>
    <row r="2199" spans="1:9" x14ac:dyDescent="0.25">
      <c r="A2199" t="s">
        <v>921</v>
      </c>
      <c r="B2199">
        <v>67</v>
      </c>
      <c r="C2199" s="1">
        <v>16625</v>
      </c>
      <c r="D2199">
        <v>249.5</v>
      </c>
      <c r="E2199">
        <v>251</v>
      </c>
      <c r="F2199">
        <v>249</v>
      </c>
      <c r="G2199">
        <v>250</v>
      </c>
      <c r="H2199">
        <v>0.5</v>
      </c>
      <c r="I2199">
        <v>82</v>
      </c>
    </row>
    <row r="2200" spans="1:9" x14ac:dyDescent="0.25">
      <c r="A2200" t="s">
        <v>922</v>
      </c>
      <c r="B2200">
        <v>60</v>
      </c>
      <c r="C2200" s="1">
        <v>15163</v>
      </c>
      <c r="D2200">
        <v>250</v>
      </c>
      <c r="E2200">
        <v>257</v>
      </c>
      <c r="F2200">
        <v>250</v>
      </c>
      <c r="G2200">
        <v>256.5</v>
      </c>
      <c r="H2200">
        <v>6.5</v>
      </c>
      <c r="I2200">
        <v>83</v>
      </c>
    </row>
    <row r="2201" spans="1:9" x14ac:dyDescent="0.25">
      <c r="A2201" t="s">
        <v>923</v>
      </c>
      <c r="B2201">
        <v>90</v>
      </c>
      <c r="C2201" s="1">
        <v>23288</v>
      </c>
      <c r="D2201">
        <v>256.5</v>
      </c>
      <c r="E2201">
        <v>258</v>
      </c>
      <c r="F2201">
        <v>256</v>
      </c>
      <c r="G2201">
        <v>257</v>
      </c>
      <c r="H2201">
        <v>0.5</v>
      </c>
      <c r="I2201">
        <v>73</v>
      </c>
    </row>
    <row r="2202" spans="1:9" x14ac:dyDescent="0.25">
      <c r="A2202" t="s">
        <v>924</v>
      </c>
      <c r="B2202">
        <v>34</v>
      </c>
      <c r="C2202" s="1">
        <v>8624</v>
      </c>
      <c r="D2202">
        <v>258</v>
      </c>
      <c r="E2202">
        <v>258</v>
      </c>
      <c r="F2202">
        <v>252</v>
      </c>
      <c r="G2202">
        <v>256</v>
      </c>
      <c r="H2202">
        <v>-1</v>
      </c>
      <c r="I2202">
        <v>40</v>
      </c>
    </row>
    <row r="2203" spans="1:9" x14ac:dyDescent="0.25">
      <c r="A2203" t="s">
        <v>925</v>
      </c>
      <c r="B2203">
        <v>32</v>
      </c>
      <c r="C2203" s="1">
        <v>8166</v>
      </c>
      <c r="D2203">
        <v>253.5</v>
      </c>
      <c r="E2203">
        <v>256</v>
      </c>
      <c r="F2203">
        <v>252.5</v>
      </c>
      <c r="G2203">
        <v>253</v>
      </c>
      <c r="H2203">
        <v>-3</v>
      </c>
      <c r="I2203">
        <v>47</v>
      </c>
    </row>
    <row r="2204" spans="1:9" x14ac:dyDescent="0.25">
      <c r="A2204" t="s">
        <v>926</v>
      </c>
      <c r="B2204">
        <v>42</v>
      </c>
      <c r="C2204" s="1">
        <v>10685</v>
      </c>
      <c r="D2204">
        <v>253</v>
      </c>
      <c r="E2204">
        <v>253.5</v>
      </c>
      <c r="F2204">
        <v>251.5</v>
      </c>
      <c r="G2204">
        <v>251.5</v>
      </c>
      <c r="H2204">
        <v>-1.5</v>
      </c>
      <c r="I2204">
        <v>49</v>
      </c>
    </row>
    <row r="2205" spans="1:9" x14ac:dyDescent="0.25">
      <c r="A2205" t="s">
        <v>927</v>
      </c>
      <c r="C2205" s="1"/>
    </row>
    <row r="2209" spans="1:9" x14ac:dyDescent="0.25">
      <c r="A2209" s="9" t="s">
        <v>840</v>
      </c>
      <c r="B2209" s="1">
        <v>62</v>
      </c>
      <c r="C2209" s="1">
        <v>14807</v>
      </c>
      <c r="D2209">
        <v>237</v>
      </c>
      <c r="E2209">
        <v>239.5</v>
      </c>
      <c r="F2209">
        <v>235.5</v>
      </c>
      <c r="G2209">
        <v>238.5</v>
      </c>
      <c r="H2209">
        <v>1.5</v>
      </c>
      <c r="I2209" s="1">
        <v>64</v>
      </c>
    </row>
    <row r="2210" spans="1:9" x14ac:dyDescent="0.25">
      <c r="A2210" t="s">
        <v>841</v>
      </c>
      <c r="B2210">
        <v>85</v>
      </c>
      <c r="C2210" s="1">
        <v>20165</v>
      </c>
      <c r="D2210">
        <v>238</v>
      </c>
      <c r="E2210">
        <v>239.5</v>
      </c>
      <c r="F2210">
        <v>237</v>
      </c>
      <c r="G2210">
        <v>239.5</v>
      </c>
      <c r="H2210">
        <v>1</v>
      </c>
      <c r="I2210">
        <v>46</v>
      </c>
    </row>
    <row r="2211" spans="1:9" x14ac:dyDescent="0.25">
      <c r="A2211" t="s">
        <v>839</v>
      </c>
      <c r="B2211">
        <v>153</v>
      </c>
      <c r="C2211" s="1">
        <v>36799</v>
      </c>
      <c r="D2211">
        <v>239.5</v>
      </c>
      <c r="E2211">
        <v>244.5</v>
      </c>
      <c r="F2211">
        <v>239</v>
      </c>
      <c r="G2211">
        <v>243</v>
      </c>
      <c r="H2211">
        <v>3.5</v>
      </c>
      <c r="I2211">
        <v>120</v>
      </c>
    </row>
    <row r="2212" spans="1:9" x14ac:dyDescent="0.25">
      <c r="A2212" t="s">
        <v>842</v>
      </c>
      <c r="B2212">
        <v>69</v>
      </c>
      <c r="C2212" s="1">
        <v>16561</v>
      </c>
      <c r="D2212">
        <v>243</v>
      </c>
      <c r="E2212">
        <v>243</v>
      </c>
      <c r="F2212">
        <v>239</v>
      </c>
      <c r="G2212">
        <v>240.5</v>
      </c>
      <c r="H2212">
        <v>-2.5</v>
      </c>
      <c r="I2212">
        <v>66</v>
      </c>
    </row>
    <row r="2213" spans="1:9" x14ac:dyDescent="0.25">
      <c r="A2213" t="s">
        <v>843</v>
      </c>
      <c r="B2213">
        <v>63</v>
      </c>
      <c r="C2213" s="1">
        <v>15019</v>
      </c>
      <c r="D2213">
        <v>240</v>
      </c>
      <c r="E2213">
        <v>240.5</v>
      </c>
      <c r="F2213">
        <v>238.5</v>
      </c>
      <c r="G2213">
        <v>239.5</v>
      </c>
      <c r="H2213">
        <v>-1</v>
      </c>
      <c r="I2213">
        <v>77</v>
      </c>
    </row>
    <row r="2214" spans="1:9" x14ac:dyDescent="0.25">
      <c r="A2214" t="s">
        <v>844</v>
      </c>
      <c r="B2214">
        <v>44</v>
      </c>
      <c r="C2214" s="1">
        <v>10469</v>
      </c>
      <c r="D2214">
        <v>239</v>
      </c>
      <c r="E2214">
        <v>240.5</v>
      </c>
      <c r="F2214">
        <v>238</v>
      </c>
      <c r="G2214">
        <v>240.5</v>
      </c>
      <c r="H2214">
        <v>1</v>
      </c>
      <c r="I2214">
        <v>53</v>
      </c>
    </row>
    <row r="2215" spans="1:9" x14ac:dyDescent="0.25">
      <c r="A2215" t="s">
        <v>845</v>
      </c>
      <c r="B2215">
        <v>22</v>
      </c>
      <c r="C2215" s="1">
        <v>5223</v>
      </c>
      <c r="D2215">
        <v>239</v>
      </c>
      <c r="E2215">
        <v>240</v>
      </c>
      <c r="F2215">
        <v>238.5</v>
      </c>
      <c r="G2215">
        <v>240</v>
      </c>
      <c r="H2215">
        <v>-0.5</v>
      </c>
      <c r="I2215">
        <v>32</v>
      </c>
    </row>
    <row r="2216" spans="1:9" x14ac:dyDescent="0.25">
      <c r="A2216" t="s">
        <v>846</v>
      </c>
      <c r="B2216">
        <v>58</v>
      </c>
      <c r="C2216" s="1">
        <v>13749</v>
      </c>
      <c r="D2216">
        <v>239.5</v>
      </c>
      <c r="E2216">
        <v>240</v>
      </c>
      <c r="F2216">
        <v>236</v>
      </c>
      <c r="G2216">
        <v>237</v>
      </c>
      <c r="H2216">
        <v>-3</v>
      </c>
      <c r="I2216">
        <v>77</v>
      </c>
    </row>
    <row r="2217" spans="1:9" x14ac:dyDescent="0.25">
      <c r="A2217" t="s">
        <v>847</v>
      </c>
      <c r="B2217">
        <v>37</v>
      </c>
      <c r="C2217" s="1">
        <v>8818</v>
      </c>
      <c r="D2217">
        <v>237</v>
      </c>
      <c r="E2217">
        <v>239</v>
      </c>
      <c r="F2217">
        <v>236.5</v>
      </c>
      <c r="G2217">
        <v>237</v>
      </c>
      <c r="H2217">
        <v>0</v>
      </c>
      <c r="I2217">
        <v>45</v>
      </c>
    </row>
    <row r="2218" spans="1:9" x14ac:dyDescent="0.25">
      <c r="A2218" t="s">
        <v>848</v>
      </c>
      <c r="B2218">
        <v>27</v>
      </c>
      <c r="C2218" s="1">
        <v>6485</v>
      </c>
      <c r="D2218">
        <v>237</v>
      </c>
      <c r="E2218">
        <v>240</v>
      </c>
      <c r="F2218">
        <v>237</v>
      </c>
      <c r="G2218">
        <v>240</v>
      </c>
      <c r="H2218">
        <v>3</v>
      </c>
      <c r="I2218">
        <v>42</v>
      </c>
    </row>
    <row r="2219" spans="1:9" x14ac:dyDescent="0.25">
      <c r="A2219" t="s">
        <v>849</v>
      </c>
      <c r="B2219">
        <v>14</v>
      </c>
      <c r="C2219" s="1">
        <v>3343</v>
      </c>
      <c r="D2219">
        <v>239</v>
      </c>
      <c r="E2219">
        <v>239</v>
      </c>
      <c r="F2219">
        <v>238</v>
      </c>
      <c r="G2219">
        <v>238</v>
      </c>
      <c r="H2219">
        <v>-2</v>
      </c>
      <c r="I2219">
        <v>25</v>
      </c>
    </row>
    <row r="2220" spans="1:9" x14ac:dyDescent="0.25">
      <c r="A2220" t="s">
        <v>850</v>
      </c>
      <c r="B2220">
        <v>68</v>
      </c>
      <c r="C2220" s="1">
        <v>16249</v>
      </c>
      <c r="D2220">
        <v>237.5</v>
      </c>
      <c r="E2220">
        <v>240.5</v>
      </c>
      <c r="F2220">
        <v>237.5</v>
      </c>
      <c r="G2220">
        <v>240.5</v>
      </c>
      <c r="H2220">
        <v>2.5</v>
      </c>
      <c r="I2220">
        <v>70</v>
      </c>
    </row>
    <row r="2221" spans="1:9" x14ac:dyDescent="0.25">
      <c r="A2221" t="s">
        <v>851</v>
      </c>
      <c r="B2221">
        <v>42</v>
      </c>
      <c r="C2221" s="1">
        <v>10001</v>
      </c>
      <c r="D2221">
        <v>240.5</v>
      </c>
      <c r="E2221">
        <v>242</v>
      </c>
      <c r="F2221">
        <v>239</v>
      </c>
      <c r="G2221">
        <v>240.5</v>
      </c>
      <c r="H2221">
        <v>0</v>
      </c>
      <c r="I2221">
        <v>42</v>
      </c>
    </row>
    <row r="2222" spans="1:9" x14ac:dyDescent="0.25">
      <c r="A2222" t="s">
        <v>852</v>
      </c>
      <c r="B2222">
        <v>43</v>
      </c>
      <c r="C2222" s="1">
        <v>10297</v>
      </c>
      <c r="D2222">
        <v>240</v>
      </c>
      <c r="E2222">
        <v>241</v>
      </c>
      <c r="F2222">
        <v>240</v>
      </c>
      <c r="G2222">
        <v>241</v>
      </c>
      <c r="H2222">
        <v>0.5</v>
      </c>
      <c r="I2222">
        <v>45</v>
      </c>
    </row>
    <row r="2223" spans="1:9" x14ac:dyDescent="0.25">
      <c r="A2223" t="s">
        <v>853</v>
      </c>
      <c r="B2223">
        <v>106</v>
      </c>
      <c r="C2223" s="1">
        <v>25654</v>
      </c>
      <c r="D2223">
        <v>241</v>
      </c>
      <c r="E2223">
        <v>244.5</v>
      </c>
      <c r="F2223">
        <v>241</v>
      </c>
      <c r="G2223">
        <v>243</v>
      </c>
      <c r="H2223">
        <v>2</v>
      </c>
      <c r="I2223">
        <v>69</v>
      </c>
    </row>
    <row r="2224" spans="1:9" x14ac:dyDescent="0.25">
      <c r="A2224" t="s">
        <v>854</v>
      </c>
      <c r="B2224">
        <v>63</v>
      </c>
      <c r="C2224" s="1">
        <v>15292</v>
      </c>
      <c r="D2224">
        <v>245</v>
      </c>
      <c r="E2224">
        <v>245.5</v>
      </c>
      <c r="F2224">
        <v>243.5</v>
      </c>
      <c r="G2224">
        <v>244</v>
      </c>
      <c r="H2224">
        <v>1</v>
      </c>
      <c r="I2224">
        <v>56</v>
      </c>
    </row>
    <row r="2225" spans="1:9" x14ac:dyDescent="0.25">
      <c r="A2225" t="s">
        <v>855</v>
      </c>
      <c r="B2225">
        <v>22</v>
      </c>
      <c r="C2225" s="1">
        <v>5411</v>
      </c>
      <c r="D2225">
        <v>244</v>
      </c>
      <c r="E2225">
        <v>244.5</v>
      </c>
      <c r="F2225">
        <v>243</v>
      </c>
      <c r="G2225">
        <v>244</v>
      </c>
      <c r="H2225">
        <v>0</v>
      </c>
      <c r="I2225">
        <v>38</v>
      </c>
    </row>
    <row r="2226" spans="1:9" x14ac:dyDescent="0.25">
      <c r="A2226" t="s">
        <v>856</v>
      </c>
      <c r="B2226">
        <v>89</v>
      </c>
      <c r="C2226" s="1">
        <v>21987</v>
      </c>
      <c r="D2226">
        <v>244</v>
      </c>
      <c r="E2226">
        <v>247</v>
      </c>
      <c r="F2226">
        <v>244</v>
      </c>
      <c r="G2226">
        <v>247</v>
      </c>
      <c r="H2226">
        <v>3</v>
      </c>
      <c r="I2226">
        <v>76</v>
      </c>
    </row>
    <row r="2227" spans="1:9" x14ac:dyDescent="0.25">
      <c r="A2227" t="s">
        <v>857</v>
      </c>
      <c r="C2227" s="1"/>
    </row>
    <row r="2233" spans="1:9" x14ac:dyDescent="0.25">
      <c r="A2233" s="9" t="s">
        <v>1235</v>
      </c>
      <c r="B2233" s="1">
        <v>49</v>
      </c>
      <c r="C2233" s="1">
        <v>10666</v>
      </c>
      <c r="D2233">
        <v>219</v>
      </c>
      <c r="E2233">
        <v>219</v>
      </c>
      <c r="F2233">
        <v>215</v>
      </c>
      <c r="G2233">
        <v>217</v>
      </c>
      <c r="H2233">
        <v>-2.5</v>
      </c>
      <c r="I2233" s="1">
        <v>35</v>
      </c>
    </row>
    <row r="2234" spans="1:9" x14ac:dyDescent="0.25">
      <c r="A2234" t="s">
        <v>1236</v>
      </c>
      <c r="B2234">
        <v>34</v>
      </c>
      <c r="C2234" s="1">
        <v>7522</v>
      </c>
      <c r="D2234">
        <v>217</v>
      </c>
      <c r="E2234">
        <v>220</v>
      </c>
      <c r="F2234">
        <v>217</v>
      </c>
      <c r="G2234">
        <v>219</v>
      </c>
      <c r="H2234">
        <v>2</v>
      </c>
      <c r="I2234">
        <v>34</v>
      </c>
    </row>
    <row r="2235" spans="1:9" x14ac:dyDescent="0.25">
      <c r="A2235" t="s">
        <v>1237</v>
      </c>
      <c r="B2235">
        <v>28</v>
      </c>
      <c r="C2235" s="1">
        <v>6122</v>
      </c>
      <c r="D2235">
        <v>219</v>
      </c>
      <c r="E2235">
        <v>219.5</v>
      </c>
      <c r="F2235">
        <v>218</v>
      </c>
      <c r="G2235">
        <v>219</v>
      </c>
      <c r="H2235">
        <v>0</v>
      </c>
      <c r="I2235">
        <v>22</v>
      </c>
    </row>
    <row r="2236" spans="1:9" x14ac:dyDescent="0.25">
      <c r="A2236" t="s">
        <v>1238</v>
      </c>
      <c r="B2236">
        <v>29</v>
      </c>
      <c r="C2236" s="1">
        <v>6330</v>
      </c>
      <c r="D2236">
        <v>219</v>
      </c>
      <c r="E2236">
        <v>219</v>
      </c>
      <c r="F2236">
        <v>217</v>
      </c>
      <c r="G2236">
        <v>219</v>
      </c>
      <c r="H2236">
        <v>0</v>
      </c>
      <c r="I2236">
        <v>27</v>
      </c>
    </row>
    <row r="2237" spans="1:9" x14ac:dyDescent="0.25">
      <c r="A2237" t="s">
        <v>1239</v>
      </c>
      <c r="B2237">
        <v>130</v>
      </c>
      <c r="C2237" s="1">
        <v>29011</v>
      </c>
      <c r="D2237">
        <v>219.5</v>
      </c>
      <c r="E2237">
        <v>228</v>
      </c>
      <c r="F2237">
        <v>219</v>
      </c>
      <c r="G2237">
        <v>225</v>
      </c>
      <c r="H2237">
        <v>6</v>
      </c>
      <c r="I2237">
        <v>112</v>
      </c>
    </row>
    <row r="2238" spans="1:9" x14ac:dyDescent="0.25">
      <c r="A2238" t="s">
        <v>1240</v>
      </c>
      <c r="B2238">
        <v>66</v>
      </c>
      <c r="C2238" s="1">
        <v>15147</v>
      </c>
      <c r="D2238">
        <v>226</v>
      </c>
      <c r="E2238">
        <v>229</v>
      </c>
      <c r="F2238">
        <v>225.5</v>
      </c>
      <c r="G2238">
        <v>229</v>
      </c>
      <c r="H2238">
        <v>4</v>
      </c>
      <c r="I2238">
        <v>73</v>
      </c>
    </row>
    <row r="2239" spans="1:9" x14ac:dyDescent="0.25">
      <c r="A2239" t="s">
        <v>1241</v>
      </c>
      <c r="B2239">
        <v>71</v>
      </c>
      <c r="C2239" s="1">
        <v>16073</v>
      </c>
      <c r="D2239">
        <v>227</v>
      </c>
      <c r="E2239">
        <v>229</v>
      </c>
      <c r="F2239">
        <v>225</v>
      </c>
      <c r="G2239">
        <v>228</v>
      </c>
      <c r="H2239">
        <v>-1</v>
      </c>
      <c r="I2239">
        <v>76</v>
      </c>
    </row>
    <row r="2240" spans="1:9" x14ac:dyDescent="0.25">
      <c r="A2240" t="s">
        <v>1242</v>
      </c>
      <c r="B2240">
        <v>44</v>
      </c>
      <c r="C2240" s="1">
        <v>10192</v>
      </c>
      <c r="D2240">
        <v>228</v>
      </c>
      <c r="E2240">
        <v>230.5</v>
      </c>
      <c r="F2240">
        <v>228</v>
      </c>
      <c r="G2240">
        <v>230</v>
      </c>
      <c r="H2240">
        <v>2</v>
      </c>
      <c r="I2240">
        <v>49</v>
      </c>
    </row>
    <row r="2241" spans="1:9" x14ac:dyDescent="0.25">
      <c r="A2241" t="s">
        <v>1243</v>
      </c>
      <c r="B2241">
        <v>230</v>
      </c>
      <c r="C2241" s="1">
        <v>54314</v>
      </c>
      <c r="D2241">
        <v>230</v>
      </c>
      <c r="E2241">
        <v>247</v>
      </c>
      <c r="F2241">
        <v>230</v>
      </c>
      <c r="G2241">
        <v>236</v>
      </c>
      <c r="H2241">
        <v>6</v>
      </c>
      <c r="I2241">
        <v>205</v>
      </c>
    </row>
    <row r="2242" spans="1:9" x14ac:dyDescent="0.25">
      <c r="A2242" t="s">
        <v>1244</v>
      </c>
      <c r="B2242">
        <v>165</v>
      </c>
      <c r="C2242" s="1">
        <v>39334</v>
      </c>
      <c r="D2242">
        <v>236</v>
      </c>
      <c r="E2242">
        <v>241.5</v>
      </c>
      <c r="F2242">
        <v>234.5</v>
      </c>
      <c r="G2242">
        <v>239</v>
      </c>
      <c r="H2242">
        <v>3</v>
      </c>
      <c r="I2242">
        <v>150</v>
      </c>
    </row>
    <row r="2243" spans="1:9" x14ac:dyDescent="0.25">
      <c r="A2243" t="s">
        <v>1245</v>
      </c>
      <c r="B2243">
        <v>43</v>
      </c>
      <c r="C2243" s="1">
        <v>10239</v>
      </c>
      <c r="D2243">
        <v>237</v>
      </c>
      <c r="E2243">
        <v>237.5</v>
      </c>
      <c r="F2243">
        <v>236</v>
      </c>
      <c r="G2243">
        <v>237</v>
      </c>
      <c r="H2243">
        <v>-2</v>
      </c>
      <c r="I2243">
        <v>42</v>
      </c>
    </row>
    <row r="2244" spans="1:9" x14ac:dyDescent="0.25">
      <c r="A2244" t="s">
        <v>1246</v>
      </c>
      <c r="B2244">
        <v>133</v>
      </c>
      <c r="C2244" s="1">
        <v>31954</v>
      </c>
      <c r="D2244">
        <v>237</v>
      </c>
      <c r="E2244">
        <v>244</v>
      </c>
      <c r="F2244">
        <v>236</v>
      </c>
      <c r="G2244">
        <v>238</v>
      </c>
      <c r="H2244">
        <v>1</v>
      </c>
      <c r="I2244">
        <v>104</v>
      </c>
    </row>
    <row r="2245" spans="1:9" x14ac:dyDescent="0.25">
      <c r="A2245" t="s">
        <v>1247</v>
      </c>
      <c r="B2245">
        <v>68</v>
      </c>
      <c r="C2245" s="1">
        <v>16345</v>
      </c>
      <c r="D2245">
        <v>238</v>
      </c>
      <c r="E2245">
        <v>240</v>
      </c>
      <c r="F2245">
        <v>238</v>
      </c>
      <c r="G2245">
        <v>238</v>
      </c>
      <c r="H2245">
        <v>0</v>
      </c>
      <c r="I2245">
        <v>37</v>
      </c>
    </row>
    <row r="2246" spans="1:9" x14ac:dyDescent="0.25">
      <c r="A2246" t="s">
        <v>1248</v>
      </c>
      <c r="B2246">
        <v>63</v>
      </c>
      <c r="C2246" s="1">
        <v>15065</v>
      </c>
      <c r="D2246">
        <v>239</v>
      </c>
      <c r="E2246">
        <v>240</v>
      </c>
      <c r="F2246">
        <v>237.5</v>
      </c>
      <c r="G2246">
        <v>238</v>
      </c>
      <c r="H2246">
        <v>0</v>
      </c>
      <c r="I2246">
        <v>46</v>
      </c>
    </row>
    <row r="2247" spans="1:9" x14ac:dyDescent="0.25">
      <c r="A2247" t="s">
        <v>1249</v>
      </c>
      <c r="B2247">
        <v>105</v>
      </c>
      <c r="C2247" s="1">
        <v>24877</v>
      </c>
      <c r="D2247">
        <v>238</v>
      </c>
      <c r="E2247">
        <v>239</v>
      </c>
      <c r="F2247">
        <v>236.5</v>
      </c>
      <c r="G2247">
        <v>236.5</v>
      </c>
      <c r="H2247">
        <v>-1.5</v>
      </c>
      <c r="I2247">
        <v>90</v>
      </c>
    </row>
    <row r="2248" spans="1:9" x14ac:dyDescent="0.25">
      <c r="A2248" t="s">
        <v>1250</v>
      </c>
      <c r="B2248">
        <v>58</v>
      </c>
      <c r="C2248" s="1">
        <v>13613</v>
      </c>
      <c r="D2248">
        <v>236.5</v>
      </c>
      <c r="E2248">
        <v>238</v>
      </c>
      <c r="F2248">
        <v>236</v>
      </c>
      <c r="G2248">
        <v>237.5</v>
      </c>
      <c r="H2248">
        <v>1</v>
      </c>
      <c r="I2248">
        <v>52</v>
      </c>
    </row>
    <row r="2249" spans="1:9" x14ac:dyDescent="0.25">
      <c r="A2249" t="s">
        <v>1251</v>
      </c>
      <c r="B2249">
        <v>72</v>
      </c>
      <c r="C2249" s="1">
        <v>17079</v>
      </c>
      <c r="D2249">
        <v>237.5</v>
      </c>
      <c r="E2249">
        <v>239</v>
      </c>
      <c r="F2249">
        <v>237</v>
      </c>
      <c r="G2249">
        <v>237</v>
      </c>
      <c r="H2249">
        <v>-0.5</v>
      </c>
      <c r="I2249">
        <v>60</v>
      </c>
    </row>
    <row r="2250" spans="1:9" x14ac:dyDescent="0.25">
      <c r="A2250" t="s">
        <v>1252</v>
      </c>
      <c r="B2250">
        <v>48</v>
      </c>
      <c r="C2250" s="1">
        <v>11471</v>
      </c>
      <c r="D2250">
        <v>237</v>
      </c>
      <c r="E2250">
        <v>238</v>
      </c>
      <c r="F2250">
        <v>236.5</v>
      </c>
      <c r="G2250">
        <v>237.5</v>
      </c>
      <c r="H2250">
        <v>0.5</v>
      </c>
      <c r="I2250">
        <v>58</v>
      </c>
    </row>
    <row r="2251" spans="1:9" x14ac:dyDescent="0.25">
      <c r="A2251" t="s">
        <v>1253</v>
      </c>
      <c r="B2251">
        <v>191</v>
      </c>
      <c r="C2251" s="1">
        <v>44503</v>
      </c>
      <c r="D2251">
        <v>237</v>
      </c>
      <c r="E2251">
        <v>237</v>
      </c>
      <c r="F2251">
        <v>230</v>
      </c>
      <c r="G2251">
        <v>233</v>
      </c>
      <c r="H2251">
        <v>-4.5</v>
      </c>
      <c r="I2251">
        <v>190</v>
      </c>
    </row>
    <row r="2252" spans="1:9" x14ac:dyDescent="0.25">
      <c r="A2252" t="s">
        <v>1254</v>
      </c>
      <c r="B2252">
        <v>139</v>
      </c>
      <c r="C2252" s="1">
        <v>32130</v>
      </c>
      <c r="D2252">
        <v>230.5</v>
      </c>
      <c r="E2252">
        <v>233</v>
      </c>
      <c r="F2252">
        <v>229.5</v>
      </c>
      <c r="G2252">
        <v>231.5</v>
      </c>
      <c r="H2252">
        <v>-1.5</v>
      </c>
      <c r="I2252">
        <v>149</v>
      </c>
    </row>
    <row r="2253" spans="1:9" x14ac:dyDescent="0.25">
      <c r="A2253" t="s">
        <v>1255</v>
      </c>
      <c r="B2253">
        <v>66</v>
      </c>
      <c r="C2253" s="1">
        <v>15082</v>
      </c>
      <c r="D2253">
        <v>230.5</v>
      </c>
      <c r="E2253">
        <v>231</v>
      </c>
      <c r="F2253">
        <v>229.5</v>
      </c>
      <c r="G2253">
        <v>231</v>
      </c>
      <c r="H2253">
        <v>-0.5</v>
      </c>
      <c r="I2253">
        <v>79</v>
      </c>
    </row>
    <row r="2254" spans="1:9" x14ac:dyDescent="0.25">
      <c r="A2254" t="s">
        <v>1256</v>
      </c>
      <c r="B2254">
        <v>62</v>
      </c>
      <c r="C2254" s="1">
        <v>14554</v>
      </c>
      <c r="D2254">
        <v>230.5</v>
      </c>
      <c r="E2254">
        <v>237</v>
      </c>
      <c r="F2254">
        <v>230.5</v>
      </c>
      <c r="G2254">
        <v>236</v>
      </c>
      <c r="H2254">
        <v>5</v>
      </c>
      <c r="I2254">
        <v>93</v>
      </c>
    </row>
    <row r="2255" spans="1:9" x14ac:dyDescent="0.25">
      <c r="A2255" t="s">
        <v>1257</v>
      </c>
      <c r="B2255">
        <v>109</v>
      </c>
      <c r="C2255" s="1">
        <v>25864</v>
      </c>
      <c r="D2255">
        <v>235.5</v>
      </c>
      <c r="E2255">
        <v>240</v>
      </c>
      <c r="F2255">
        <v>235.5</v>
      </c>
      <c r="G2255">
        <v>237</v>
      </c>
      <c r="H2255">
        <v>1</v>
      </c>
      <c r="I2255">
        <v>98</v>
      </c>
    </row>
    <row r="2256" spans="1:9" x14ac:dyDescent="0.25">
      <c r="A2256" t="s">
        <v>951</v>
      </c>
      <c r="C2256" s="1"/>
    </row>
    <row r="2257" spans="1:9" x14ac:dyDescent="0.25">
      <c r="A2257" s="9" t="s">
        <v>1217</v>
      </c>
      <c r="B2257" s="1">
        <v>46</v>
      </c>
      <c r="C2257" s="1">
        <v>9382</v>
      </c>
      <c r="D2257">
        <v>203.5</v>
      </c>
      <c r="E2257">
        <v>205.5</v>
      </c>
      <c r="F2257">
        <v>203.5</v>
      </c>
      <c r="G2257">
        <v>205.5</v>
      </c>
      <c r="H2257">
        <v>2</v>
      </c>
      <c r="I2257" s="1">
        <v>40</v>
      </c>
    </row>
    <row r="2258" spans="1:9" x14ac:dyDescent="0.25">
      <c r="A2258" t="s">
        <v>1218</v>
      </c>
      <c r="B2258">
        <v>104</v>
      </c>
      <c r="C2258" s="1">
        <v>21851</v>
      </c>
      <c r="D2258">
        <v>206</v>
      </c>
      <c r="E2258">
        <v>212</v>
      </c>
      <c r="F2258">
        <v>206</v>
      </c>
      <c r="G2258">
        <v>210</v>
      </c>
      <c r="H2258">
        <v>4.5</v>
      </c>
      <c r="I2258">
        <v>108</v>
      </c>
    </row>
    <row r="2259" spans="1:9" x14ac:dyDescent="0.25">
      <c r="A2259" t="s">
        <v>1219</v>
      </c>
      <c r="B2259">
        <v>157</v>
      </c>
      <c r="C2259" s="1">
        <v>33936</v>
      </c>
      <c r="D2259">
        <v>210.5</v>
      </c>
      <c r="E2259">
        <v>217.5</v>
      </c>
      <c r="F2259">
        <v>210.5</v>
      </c>
      <c r="G2259">
        <v>214</v>
      </c>
      <c r="H2259">
        <v>4</v>
      </c>
      <c r="I2259">
        <v>138</v>
      </c>
    </row>
    <row r="2260" spans="1:9" x14ac:dyDescent="0.25">
      <c r="A2260" t="s">
        <v>1220</v>
      </c>
      <c r="B2260">
        <v>94</v>
      </c>
      <c r="C2260" s="1">
        <v>20185</v>
      </c>
      <c r="D2260">
        <v>215</v>
      </c>
      <c r="E2260">
        <v>215</v>
      </c>
      <c r="F2260">
        <v>212</v>
      </c>
      <c r="G2260">
        <v>214</v>
      </c>
      <c r="H2260">
        <v>0</v>
      </c>
      <c r="I2260">
        <v>66</v>
      </c>
    </row>
    <row r="2261" spans="1:9" x14ac:dyDescent="0.25">
      <c r="A2261" t="s">
        <v>1221</v>
      </c>
      <c r="B2261">
        <v>111</v>
      </c>
      <c r="C2261" s="1">
        <v>23843</v>
      </c>
      <c r="D2261">
        <v>214</v>
      </c>
      <c r="E2261">
        <v>216</v>
      </c>
      <c r="F2261">
        <v>213</v>
      </c>
      <c r="G2261">
        <v>213.5</v>
      </c>
      <c r="H2261">
        <v>-0.5</v>
      </c>
      <c r="I2261">
        <v>105</v>
      </c>
    </row>
    <row r="2262" spans="1:9" x14ac:dyDescent="0.25">
      <c r="A2262" t="s">
        <v>1222</v>
      </c>
      <c r="B2262">
        <v>149</v>
      </c>
      <c r="C2262" s="1">
        <v>31563</v>
      </c>
      <c r="D2262">
        <v>213</v>
      </c>
      <c r="E2262">
        <v>215</v>
      </c>
      <c r="F2262">
        <v>210.5</v>
      </c>
      <c r="G2262">
        <v>214</v>
      </c>
      <c r="H2262">
        <v>0.5</v>
      </c>
      <c r="I2262">
        <v>116</v>
      </c>
    </row>
    <row r="2263" spans="1:9" x14ac:dyDescent="0.25">
      <c r="A2263" t="s">
        <v>1223</v>
      </c>
      <c r="B2263">
        <v>64</v>
      </c>
      <c r="C2263" s="1">
        <v>13828</v>
      </c>
      <c r="D2263">
        <v>214</v>
      </c>
      <c r="E2263">
        <v>216.5</v>
      </c>
      <c r="F2263">
        <v>214</v>
      </c>
      <c r="G2263">
        <v>215</v>
      </c>
      <c r="H2263">
        <v>1</v>
      </c>
      <c r="I2263">
        <v>59</v>
      </c>
    </row>
    <row r="2264" spans="1:9" x14ac:dyDescent="0.25">
      <c r="A2264" t="s">
        <v>1224</v>
      </c>
      <c r="B2264">
        <v>85</v>
      </c>
      <c r="C2264" s="1">
        <v>18686</v>
      </c>
      <c r="D2264">
        <v>217</v>
      </c>
      <c r="E2264">
        <v>220</v>
      </c>
      <c r="F2264">
        <v>217</v>
      </c>
      <c r="G2264">
        <v>218.5</v>
      </c>
      <c r="H2264">
        <v>3.5</v>
      </c>
      <c r="I2264">
        <v>77</v>
      </c>
    </row>
    <row r="2265" spans="1:9" x14ac:dyDescent="0.25">
      <c r="A2265" t="s">
        <v>1225</v>
      </c>
      <c r="B2265">
        <v>42</v>
      </c>
      <c r="C2265" s="1">
        <v>9202</v>
      </c>
      <c r="D2265">
        <v>219.5</v>
      </c>
      <c r="E2265">
        <v>219.5</v>
      </c>
      <c r="F2265">
        <v>218</v>
      </c>
      <c r="G2265">
        <v>218.5</v>
      </c>
      <c r="H2265">
        <v>0</v>
      </c>
      <c r="I2265">
        <v>40</v>
      </c>
    </row>
    <row r="2266" spans="1:9" x14ac:dyDescent="0.25">
      <c r="A2266" t="s">
        <v>1226</v>
      </c>
      <c r="B2266">
        <v>37</v>
      </c>
      <c r="C2266" s="1">
        <v>8111</v>
      </c>
      <c r="D2266">
        <v>219</v>
      </c>
      <c r="E2266">
        <v>220</v>
      </c>
      <c r="F2266">
        <v>218.5</v>
      </c>
      <c r="G2266">
        <v>218.5</v>
      </c>
      <c r="H2266">
        <v>0</v>
      </c>
      <c r="I2266">
        <v>36</v>
      </c>
    </row>
    <row r="2267" spans="1:9" x14ac:dyDescent="0.25">
      <c r="A2267" t="s">
        <v>1227</v>
      </c>
      <c r="B2267">
        <v>51</v>
      </c>
      <c r="C2267" s="1">
        <v>11232</v>
      </c>
      <c r="D2267">
        <v>220</v>
      </c>
      <c r="E2267">
        <v>221</v>
      </c>
      <c r="F2267">
        <v>219.5</v>
      </c>
      <c r="G2267">
        <v>220.5</v>
      </c>
      <c r="H2267">
        <v>2</v>
      </c>
      <c r="I2267">
        <v>44</v>
      </c>
    </row>
    <row r="2268" spans="1:9" x14ac:dyDescent="0.25">
      <c r="A2268" t="s">
        <v>1228</v>
      </c>
      <c r="B2268">
        <v>36</v>
      </c>
      <c r="C2268" s="1">
        <v>7900</v>
      </c>
      <c r="D2268">
        <v>221</v>
      </c>
      <c r="E2268">
        <v>221</v>
      </c>
      <c r="F2268">
        <v>217</v>
      </c>
      <c r="G2268">
        <v>218.5</v>
      </c>
      <c r="H2268">
        <v>-2</v>
      </c>
      <c r="I2268">
        <v>32</v>
      </c>
    </row>
    <row r="2269" spans="1:9" x14ac:dyDescent="0.25">
      <c r="A2269" t="s">
        <v>1229</v>
      </c>
      <c r="B2269">
        <v>7</v>
      </c>
      <c r="C2269" s="1">
        <v>1525</v>
      </c>
      <c r="D2269">
        <v>218.5</v>
      </c>
      <c r="E2269">
        <v>218.5</v>
      </c>
      <c r="F2269">
        <v>216.5</v>
      </c>
      <c r="G2269">
        <v>218.5</v>
      </c>
      <c r="H2269">
        <v>0</v>
      </c>
      <c r="I2269">
        <v>8</v>
      </c>
    </row>
    <row r="2270" spans="1:9" x14ac:dyDescent="0.25">
      <c r="A2270" t="s">
        <v>1230</v>
      </c>
      <c r="B2270">
        <v>20</v>
      </c>
      <c r="C2270" s="1">
        <v>4395</v>
      </c>
      <c r="D2270">
        <v>216.5</v>
      </c>
      <c r="E2270">
        <v>218</v>
      </c>
      <c r="F2270">
        <v>216</v>
      </c>
      <c r="G2270">
        <v>218</v>
      </c>
      <c r="H2270">
        <v>-0.5</v>
      </c>
      <c r="I2270">
        <v>25</v>
      </c>
    </row>
    <row r="2271" spans="1:9" x14ac:dyDescent="0.25">
      <c r="A2271" t="s">
        <v>1231</v>
      </c>
      <c r="B2271">
        <v>53</v>
      </c>
      <c r="C2271" s="1">
        <v>11627</v>
      </c>
      <c r="D2271">
        <v>218</v>
      </c>
      <c r="E2271">
        <v>220.5</v>
      </c>
      <c r="F2271">
        <v>218</v>
      </c>
      <c r="G2271">
        <v>220.5</v>
      </c>
      <c r="H2271">
        <v>2.5</v>
      </c>
      <c r="I2271">
        <v>50</v>
      </c>
    </row>
    <row r="2272" spans="1:9" x14ac:dyDescent="0.25">
      <c r="A2272" t="s">
        <v>1232</v>
      </c>
      <c r="B2272">
        <v>35</v>
      </c>
      <c r="C2272" s="1">
        <v>7707</v>
      </c>
      <c r="D2272">
        <v>220.5</v>
      </c>
      <c r="E2272">
        <v>220.5</v>
      </c>
      <c r="F2272">
        <v>219</v>
      </c>
      <c r="G2272">
        <v>220</v>
      </c>
      <c r="H2272">
        <v>-0.5</v>
      </c>
      <c r="I2272">
        <v>31</v>
      </c>
    </row>
    <row r="2273" spans="1:9" x14ac:dyDescent="0.25">
      <c r="A2273" t="s">
        <v>1233</v>
      </c>
      <c r="B2273">
        <v>24</v>
      </c>
      <c r="C2273" s="1">
        <v>5270</v>
      </c>
      <c r="D2273">
        <v>220</v>
      </c>
      <c r="E2273">
        <v>220</v>
      </c>
      <c r="F2273">
        <v>218.5</v>
      </c>
      <c r="G2273">
        <v>220</v>
      </c>
      <c r="H2273">
        <v>0</v>
      </c>
      <c r="I2273">
        <v>21</v>
      </c>
    </row>
    <row r="2274" spans="1:9" x14ac:dyDescent="0.25">
      <c r="A2274" t="s">
        <v>1234</v>
      </c>
      <c r="B2274">
        <v>22</v>
      </c>
      <c r="C2274" s="1">
        <v>4838</v>
      </c>
      <c r="D2274">
        <v>219</v>
      </c>
      <c r="E2274">
        <v>219.5</v>
      </c>
      <c r="F2274">
        <v>218.5</v>
      </c>
      <c r="G2274">
        <v>219.5</v>
      </c>
      <c r="H2274">
        <v>-0.5</v>
      </c>
      <c r="I2274">
        <v>21</v>
      </c>
    </row>
    <row r="2275" spans="1:9" x14ac:dyDescent="0.25">
      <c r="A2275" t="s">
        <v>857</v>
      </c>
      <c r="C2275" s="1"/>
    </row>
    <row r="2281" spans="1:9" x14ac:dyDescent="0.25">
      <c r="A2281" s="9" t="s">
        <v>1200</v>
      </c>
      <c r="B2281" s="1">
        <v>21</v>
      </c>
      <c r="C2281" s="1">
        <v>4207</v>
      </c>
      <c r="D2281">
        <v>200</v>
      </c>
      <c r="E2281">
        <v>201</v>
      </c>
      <c r="F2281">
        <v>200</v>
      </c>
      <c r="G2281">
        <v>200.5</v>
      </c>
      <c r="H2281">
        <v>-1</v>
      </c>
      <c r="I2281" s="1">
        <v>17</v>
      </c>
    </row>
    <row r="2282" spans="1:9" x14ac:dyDescent="0.25">
      <c r="A2282" t="s">
        <v>1201</v>
      </c>
      <c r="B2282">
        <v>23</v>
      </c>
      <c r="C2282" s="1">
        <v>4617</v>
      </c>
      <c r="D2282">
        <v>200.5</v>
      </c>
      <c r="E2282">
        <v>200.5</v>
      </c>
      <c r="F2282">
        <v>200</v>
      </c>
      <c r="G2282">
        <v>200.5</v>
      </c>
      <c r="H2282">
        <v>0</v>
      </c>
      <c r="I2282">
        <v>22</v>
      </c>
    </row>
    <row r="2283" spans="1:9" x14ac:dyDescent="0.25">
      <c r="A2283" t="s">
        <v>1202</v>
      </c>
      <c r="B2283">
        <v>14</v>
      </c>
      <c r="C2283" s="1">
        <v>2803</v>
      </c>
      <c r="D2283">
        <v>200</v>
      </c>
      <c r="E2283">
        <v>201</v>
      </c>
      <c r="F2283">
        <v>200</v>
      </c>
      <c r="G2283">
        <v>201</v>
      </c>
      <c r="H2283">
        <v>0.5</v>
      </c>
      <c r="I2283">
        <v>13</v>
      </c>
    </row>
    <row r="2284" spans="1:9" x14ac:dyDescent="0.25">
      <c r="A2284" t="s">
        <v>1203</v>
      </c>
      <c r="B2284">
        <v>27</v>
      </c>
      <c r="C2284" s="1">
        <v>5430</v>
      </c>
      <c r="D2284">
        <v>201</v>
      </c>
      <c r="E2284">
        <v>202</v>
      </c>
      <c r="F2284">
        <v>200.5</v>
      </c>
      <c r="G2284">
        <v>200.5</v>
      </c>
      <c r="H2284">
        <v>-0.5</v>
      </c>
      <c r="I2284">
        <v>25</v>
      </c>
    </row>
    <row r="2285" spans="1:9" x14ac:dyDescent="0.25">
      <c r="A2285" t="s">
        <v>1204</v>
      </c>
      <c r="B2285">
        <v>18</v>
      </c>
      <c r="C2285" s="1">
        <v>3537</v>
      </c>
      <c r="D2285">
        <v>201</v>
      </c>
      <c r="E2285">
        <v>201</v>
      </c>
      <c r="F2285">
        <v>200</v>
      </c>
      <c r="G2285">
        <v>200.5</v>
      </c>
      <c r="H2285">
        <v>0</v>
      </c>
      <c r="I2285">
        <v>18</v>
      </c>
    </row>
    <row r="2286" spans="1:9" x14ac:dyDescent="0.25">
      <c r="A2286" t="s">
        <v>1205</v>
      </c>
      <c r="B2286">
        <v>20</v>
      </c>
      <c r="C2286" s="1">
        <v>4041</v>
      </c>
      <c r="D2286">
        <v>200.5</v>
      </c>
      <c r="E2286">
        <v>201.5</v>
      </c>
      <c r="F2286">
        <v>200</v>
      </c>
      <c r="G2286">
        <v>201.5</v>
      </c>
      <c r="H2286">
        <v>1</v>
      </c>
      <c r="I2286">
        <v>20</v>
      </c>
    </row>
    <row r="2287" spans="1:9" x14ac:dyDescent="0.25">
      <c r="A2287" t="s">
        <v>1206</v>
      </c>
      <c r="B2287">
        <v>15</v>
      </c>
      <c r="C2287" s="1">
        <v>3134</v>
      </c>
      <c r="D2287">
        <v>203</v>
      </c>
      <c r="E2287">
        <v>203</v>
      </c>
      <c r="F2287">
        <v>202</v>
      </c>
      <c r="G2287">
        <v>202.5</v>
      </c>
      <c r="H2287">
        <v>1</v>
      </c>
      <c r="I2287">
        <v>20</v>
      </c>
    </row>
    <row r="2288" spans="1:9" x14ac:dyDescent="0.25">
      <c r="A2288" t="s">
        <v>1207</v>
      </c>
      <c r="B2288">
        <v>26</v>
      </c>
      <c r="C2288" s="1">
        <v>5162</v>
      </c>
      <c r="D2288">
        <v>202.5</v>
      </c>
      <c r="E2288">
        <v>203</v>
      </c>
      <c r="F2288">
        <v>201</v>
      </c>
      <c r="G2288">
        <v>202.5</v>
      </c>
      <c r="H2288">
        <v>0</v>
      </c>
      <c r="I2288">
        <v>30</v>
      </c>
    </row>
    <row r="2289" spans="1:9" x14ac:dyDescent="0.25">
      <c r="A2289" t="s">
        <v>1208</v>
      </c>
      <c r="B2289">
        <v>9</v>
      </c>
      <c r="C2289" s="1">
        <v>1821</v>
      </c>
      <c r="D2289">
        <v>201.5</v>
      </c>
      <c r="E2289">
        <v>201.5</v>
      </c>
      <c r="F2289">
        <v>201</v>
      </c>
      <c r="G2289">
        <v>201.5</v>
      </c>
      <c r="H2289">
        <v>-1</v>
      </c>
      <c r="I2289">
        <v>8</v>
      </c>
    </row>
    <row r="2290" spans="1:9" x14ac:dyDescent="0.25">
      <c r="A2290" t="s">
        <v>1209</v>
      </c>
      <c r="B2290">
        <v>9</v>
      </c>
      <c r="C2290" s="1">
        <v>1845</v>
      </c>
      <c r="D2290">
        <v>201.5</v>
      </c>
      <c r="E2290">
        <v>201.5</v>
      </c>
      <c r="F2290">
        <v>200.5</v>
      </c>
      <c r="G2290">
        <v>200.5</v>
      </c>
      <c r="H2290">
        <v>-1</v>
      </c>
      <c r="I2290">
        <v>14</v>
      </c>
    </row>
    <row r="2291" spans="1:9" x14ac:dyDescent="0.25">
      <c r="A2291" t="s">
        <v>1210</v>
      </c>
      <c r="B2291">
        <v>38</v>
      </c>
      <c r="C2291" s="1">
        <v>7622</v>
      </c>
      <c r="D2291">
        <v>201</v>
      </c>
      <c r="E2291">
        <v>201</v>
      </c>
      <c r="F2291">
        <v>200</v>
      </c>
      <c r="G2291">
        <v>200.5</v>
      </c>
      <c r="H2291">
        <v>0</v>
      </c>
      <c r="I2291">
        <v>29</v>
      </c>
    </row>
    <row r="2292" spans="1:9" x14ac:dyDescent="0.25">
      <c r="A2292" t="s">
        <v>1211</v>
      </c>
      <c r="B2292">
        <v>20</v>
      </c>
      <c r="C2292" s="1">
        <v>3945</v>
      </c>
      <c r="D2292">
        <v>200</v>
      </c>
      <c r="E2292">
        <v>202</v>
      </c>
      <c r="F2292">
        <v>200</v>
      </c>
      <c r="G2292">
        <v>202</v>
      </c>
      <c r="H2292">
        <v>1.5</v>
      </c>
      <c r="I2292">
        <v>24</v>
      </c>
    </row>
    <row r="2293" spans="1:9" x14ac:dyDescent="0.25">
      <c r="A2293" t="s">
        <v>1212</v>
      </c>
      <c r="B2293">
        <v>8</v>
      </c>
      <c r="C2293" s="1">
        <v>1670</v>
      </c>
      <c r="D2293">
        <v>201</v>
      </c>
      <c r="E2293">
        <v>202.5</v>
      </c>
      <c r="F2293">
        <v>201</v>
      </c>
      <c r="G2293">
        <v>202.5</v>
      </c>
      <c r="H2293">
        <v>0.5</v>
      </c>
      <c r="I2293">
        <v>15</v>
      </c>
    </row>
    <row r="2294" spans="1:9" x14ac:dyDescent="0.25">
      <c r="A2294" t="s">
        <v>1213</v>
      </c>
      <c r="B2294">
        <v>7</v>
      </c>
      <c r="C2294" s="1">
        <v>1439</v>
      </c>
      <c r="D2294">
        <v>202.5</v>
      </c>
      <c r="E2294">
        <v>202.5</v>
      </c>
      <c r="F2294">
        <v>200</v>
      </c>
      <c r="G2294">
        <v>202.5</v>
      </c>
      <c r="H2294">
        <v>0</v>
      </c>
      <c r="I2294">
        <v>13</v>
      </c>
    </row>
    <row r="2295" spans="1:9" x14ac:dyDescent="0.25">
      <c r="A2295" t="s">
        <v>1214</v>
      </c>
      <c r="B2295">
        <v>31</v>
      </c>
      <c r="C2295" s="1">
        <v>6275</v>
      </c>
      <c r="D2295">
        <v>202.5</v>
      </c>
      <c r="E2295">
        <v>203.5</v>
      </c>
      <c r="F2295">
        <v>200</v>
      </c>
      <c r="G2295">
        <v>203.5</v>
      </c>
      <c r="H2295">
        <v>1</v>
      </c>
      <c r="I2295">
        <v>31</v>
      </c>
    </row>
    <row r="2296" spans="1:9" x14ac:dyDescent="0.25">
      <c r="A2296" t="s">
        <v>1215</v>
      </c>
      <c r="B2296">
        <v>20</v>
      </c>
      <c r="C2296" s="1">
        <v>3976</v>
      </c>
      <c r="D2296">
        <v>203</v>
      </c>
      <c r="E2296">
        <v>203.5</v>
      </c>
      <c r="F2296">
        <v>202</v>
      </c>
      <c r="G2296">
        <v>203.5</v>
      </c>
      <c r="H2296">
        <v>0</v>
      </c>
      <c r="I2296">
        <v>28</v>
      </c>
    </row>
    <row r="2297" spans="1:9" x14ac:dyDescent="0.25">
      <c r="A2297" t="s">
        <v>1216</v>
      </c>
      <c r="C2297" s="1"/>
    </row>
    <row r="2305" spans="1:9" x14ac:dyDescent="0.25">
      <c r="A2305" s="9" t="s">
        <v>1178</v>
      </c>
      <c r="B2305" s="1">
        <v>49</v>
      </c>
      <c r="C2305" s="1">
        <v>9882</v>
      </c>
      <c r="D2305">
        <v>200.5</v>
      </c>
      <c r="E2305">
        <v>202.5</v>
      </c>
      <c r="F2305">
        <v>200.5</v>
      </c>
      <c r="G2305">
        <v>202</v>
      </c>
      <c r="H2305">
        <v>0.5</v>
      </c>
      <c r="I2305" s="1">
        <v>39</v>
      </c>
    </row>
    <row r="2306" spans="1:9" x14ac:dyDescent="0.25">
      <c r="A2306" t="s">
        <v>1179</v>
      </c>
      <c r="B2306">
        <v>107</v>
      </c>
      <c r="C2306" s="1">
        <v>21729</v>
      </c>
      <c r="D2306">
        <v>201</v>
      </c>
      <c r="E2306">
        <v>203</v>
      </c>
      <c r="F2306">
        <v>201</v>
      </c>
      <c r="G2306">
        <v>203</v>
      </c>
      <c r="H2306">
        <v>1</v>
      </c>
      <c r="I2306">
        <v>59</v>
      </c>
    </row>
    <row r="2307" spans="1:9" x14ac:dyDescent="0.25">
      <c r="A2307" t="s">
        <v>1180</v>
      </c>
      <c r="B2307">
        <v>167</v>
      </c>
      <c r="C2307" s="1">
        <v>34018</v>
      </c>
      <c r="D2307">
        <v>203</v>
      </c>
      <c r="E2307">
        <v>208</v>
      </c>
      <c r="F2307">
        <v>201</v>
      </c>
      <c r="G2307">
        <v>207.5</v>
      </c>
      <c r="H2307">
        <v>4.5</v>
      </c>
      <c r="I2307">
        <v>114</v>
      </c>
    </row>
    <row r="2308" spans="1:9" x14ac:dyDescent="0.25">
      <c r="A2308" t="s">
        <v>1181</v>
      </c>
      <c r="B2308">
        <v>39</v>
      </c>
      <c r="C2308" s="1">
        <v>8062</v>
      </c>
      <c r="D2308">
        <v>208</v>
      </c>
      <c r="E2308">
        <v>208</v>
      </c>
      <c r="F2308">
        <v>205</v>
      </c>
      <c r="G2308">
        <v>205.5</v>
      </c>
      <c r="H2308">
        <v>-2</v>
      </c>
      <c r="I2308">
        <v>37</v>
      </c>
    </row>
    <row r="2309" spans="1:9" x14ac:dyDescent="0.25">
      <c r="A2309" t="s">
        <v>1182</v>
      </c>
      <c r="B2309">
        <v>53</v>
      </c>
      <c r="C2309" s="1">
        <v>10913</v>
      </c>
      <c r="D2309">
        <v>206.5</v>
      </c>
      <c r="E2309">
        <v>206.5</v>
      </c>
      <c r="F2309">
        <v>203.5</v>
      </c>
      <c r="G2309">
        <v>205</v>
      </c>
      <c r="H2309">
        <v>-0.5</v>
      </c>
      <c r="I2309">
        <v>51</v>
      </c>
    </row>
    <row r="2310" spans="1:9" x14ac:dyDescent="0.25">
      <c r="A2310" t="s">
        <v>1183</v>
      </c>
      <c r="B2310">
        <v>22</v>
      </c>
      <c r="C2310" s="1">
        <v>4567</v>
      </c>
      <c r="D2310">
        <v>205</v>
      </c>
      <c r="E2310">
        <v>206</v>
      </c>
      <c r="F2310">
        <v>205</v>
      </c>
      <c r="G2310">
        <v>206</v>
      </c>
      <c r="H2310">
        <v>1</v>
      </c>
      <c r="I2310">
        <v>23</v>
      </c>
    </row>
    <row r="2311" spans="1:9" x14ac:dyDescent="0.25">
      <c r="A2311" t="s">
        <v>1184</v>
      </c>
      <c r="B2311">
        <v>27</v>
      </c>
      <c r="C2311" s="1">
        <v>5603</v>
      </c>
      <c r="D2311">
        <v>205.5</v>
      </c>
      <c r="E2311">
        <v>206</v>
      </c>
      <c r="F2311">
        <v>204</v>
      </c>
      <c r="G2311">
        <v>204</v>
      </c>
      <c r="H2311">
        <v>-2</v>
      </c>
      <c r="I2311">
        <v>28</v>
      </c>
    </row>
    <row r="2312" spans="1:9" x14ac:dyDescent="0.25">
      <c r="A2312" t="s">
        <v>1185</v>
      </c>
      <c r="B2312">
        <v>68</v>
      </c>
      <c r="C2312" s="1">
        <v>13800</v>
      </c>
      <c r="D2312">
        <v>204</v>
      </c>
      <c r="E2312">
        <v>204.5</v>
      </c>
      <c r="F2312">
        <v>200</v>
      </c>
      <c r="G2312">
        <v>200.5</v>
      </c>
      <c r="H2312">
        <v>-3.5</v>
      </c>
      <c r="I2312">
        <v>56</v>
      </c>
    </row>
    <row r="2313" spans="1:9" x14ac:dyDescent="0.25">
      <c r="A2313" t="s">
        <v>1186</v>
      </c>
      <c r="B2313">
        <v>19</v>
      </c>
      <c r="C2313" s="1">
        <v>3855</v>
      </c>
      <c r="D2313">
        <v>201</v>
      </c>
      <c r="E2313">
        <v>203</v>
      </c>
      <c r="F2313">
        <v>201</v>
      </c>
      <c r="G2313">
        <v>202.5</v>
      </c>
      <c r="H2313">
        <v>2</v>
      </c>
      <c r="I2313">
        <v>19</v>
      </c>
    </row>
    <row r="2314" spans="1:9" x14ac:dyDescent="0.25">
      <c r="A2314" t="s">
        <v>1187</v>
      </c>
      <c r="B2314">
        <v>13</v>
      </c>
      <c r="C2314" s="1">
        <v>2665</v>
      </c>
      <c r="D2314">
        <v>202</v>
      </c>
      <c r="E2314">
        <v>202.5</v>
      </c>
      <c r="F2314">
        <v>201</v>
      </c>
      <c r="G2314">
        <v>201</v>
      </c>
      <c r="H2314">
        <v>-1.5</v>
      </c>
      <c r="I2314">
        <v>15</v>
      </c>
    </row>
    <row r="2315" spans="1:9" x14ac:dyDescent="0.25">
      <c r="A2315" t="s">
        <v>1188</v>
      </c>
      <c r="B2315">
        <v>13</v>
      </c>
      <c r="C2315" s="1">
        <v>2678</v>
      </c>
      <c r="D2315">
        <v>201</v>
      </c>
      <c r="E2315">
        <v>203</v>
      </c>
      <c r="F2315">
        <v>201</v>
      </c>
      <c r="G2315">
        <v>203</v>
      </c>
      <c r="H2315">
        <v>2</v>
      </c>
      <c r="I2315">
        <v>13</v>
      </c>
    </row>
    <row r="2316" spans="1:9" x14ac:dyDescent="0.25">
      <c r="A2316" t="s">
        <v>1189</v>
      </c>
      <c r="B2316">
        <v>21</v>
      </c>
      <c r="C2316" s="1">
        <v>4363</v>
      </c>
      <c r="D2316">
        <v>202.5</v>
      </c>
      <c r="E2316">
        <v>203.5</v>
      </c>
      <c r="F2316">
        <v>202.5</v>
      </c>
      <c r="G2316">
        <v>203</v>
      </c>
      <c r="H2316">
        <v>0</v>
      </c>
      <c r="I2316">
        <v>28</v>
      </c>
    </row>
    <row r="2317" spans="1:9" x14ac:dyDescent="0.25">
      <c r="A2317" t="s">
        <v>1190</v>
      </c>
      <c r="B2317">
        <v>40</v>
      </c>
      <c r="C2317" s="1">
        <v>8076</v>
      </c>
      <c r="D2317">
        <v>202.5</v>
      </c>
      <c r="E2317">
        <v>202.5</v>
      </c>
      <c r="F2317">
        <v>198</v>
      </c>
      <c r="G2317">
        <v>200</v>
      </c>
      <c r="H2317">
        <v>-3</v>
      </c>
      <c r="I2317">
        <v>44</v>
      </c>
    </row>
    <row r="2318" spans="1:9" x14ac:dyDescent="0.25">
      <c r="A2318" t="s">
        <v>1191</v>
      </c>
      <c r="B2318">
        <v>30</v>
      </c>
      <c r="C2318" s="1">
        <v>6083</v>
      </c>
      <c r="D2318">
        <v>200</v>
      </c>
      <c r="E2318">
        <v>201.5</v>
      </c>
      <c r="F2318">
        <v>199.5</v>
      </c>
      <c r="G2318">
        <v>200</v>
      </c>
      <c r="H2318">
        <v>0</v>
      </c>
      <c r="I2318">
        <v>36</v>
      </c>
    </row>
    <row r="2319" spans="1:9" x14ac:dyDescent="0.25">
      <c r="A2319" t="s">
        <v>1192</v>
      </c>
      <c r="B2319">
        <v>5</v>
      </c>
      <c r="C2319" s="1">
        <v>1005</v>
      </c>
      <c r="D2319">
        <v>200.5</v>
      </c>
      <c r="E2319">
        <v>201</v>
      </c>
      <c r="F2319">
        <v>200</v>
      </c>
      <c r="G2319">
        <v>201</v>
      </c>
      <c r="H2319">
        <v>1</v>
      </c>
      <c r="I2319">
        <v>6</v>
      </c>
    </row>
    <row r="2320" spans="1:9" x14ac:dyDescent="0.25">
      <c r="A2320" t="s">
        <v>1193</v>
      </c>
      <c r="B2320">
        <v>5</v>
      </c>
      <c r="C2320" s="1">
        <v>920</v>
      </c>
      <c r="D2320">
        <v>200</v>
      </c>
      <c r="E2320">
        <v>200</v>
      </c>
      <c r="F2320">
        <v>199.5</v>
      </c>
      <c r="G2320">
        <v>199.5</v>
      </c>
      <c r="H2320">
        <v>-1.5</v>
      </c>
      <c r="I2320">
        <v>9</v>
      </c>
    </row>
    <row r="2321" spans="1:9" x14ac:dyDescent="0.25">
      <c r="A2321" t="s">
        <v>1194</v>
      </c>
      <c r="B2321">
        <v>8</v>
      </c>
      <c r="C2321" s="1">
        <v>1507</v>
      </c>
      <c r="D2321">
        <v>199</v>
      </c>
      <c r="E2321">
        <v>199</v>
      </c>
      <c r="F2321">
        <v>199</v>
      </c>
      <c r="G2321">
        <v>199</v>
      </c>
      <c r="H2321">
        <v>-0.5</v>
      </c>
      <c r="I2321">
        <v>12</v>
      </c>
    </row>
    <row r="2322" spans="1:9" x14ac:dyDescent="0.25">
      <c r="A2322" t="s">
        <v>1195</v>
      </c>
      <c r="B2322">
        <v>12</v>
      </c>
      <c r="C2322" s="1">
        <v>2407</v>
      </c>
      <c r="D2322">
        <v>199</v>
      </c>
      <c r="E2322">
        <v>200</v>
      </c>
      <c r="F2322">
        <v>199</v>
      </c>
      <c r="G2322">
        <v>200</v>
      </c>
      <c r="H2322">
        <v>1</v>
      </c>
      <c r="I2322">
        <v>13</v>
      </c>
    </row>
    <row r="2323" spans="1:9" x14ac:dyDescent="0.25">
      <c r="A2323" t="s">
        <v>1196</v>
      </c>
      <c r="B2323">
        <v>24</v>
      </c>
      <c r="C2323" s="1">
        <v>4838</v>
      </c>
      <c r="D2323">
        <v>200.5</v>
      </c>
      <c r="E2323">
        <v>202</v>
      </c>
      <c r="F2323">
        <v>200.5</v>
      </c>
      <c r="G2323">
        <v>202</v>
      </c>
      <c r="H2323">
        <v>2</v>
      </c>
      <c r="I2323">
        <v>18</v>
      </c>
    </row>
    <row r="2324" spans="1:9" x14ac:dyDescent="0.25">
      <c r="A2324" t="s">
        <v>1197</v>
      </c>
      <c r="B2324">
        <v>11</v>
      </c>
      <c r="C2324" s="1">
        <v>2220</v>
      </c>
      <c r="D2324">
        <v>202</v>
      </c>
      <c r="E2324">
        <v>202</v>
      </c>
      <c r="F2324">
        <v>200</v>
      </c>
      <c r="G2324">
        <v>200</v>
      </c>
      <c r="H2324">
        <v>-2</v>
      </c>
      <c r="I2324">
        <v>12</v>
      </c>
    </row>
    <row r="2325" spans="1:9" x14ac:dyDescent="0.25">
      <c r="A2325" t="s">
        <v>1198</v>
      </c>
      <c r="B2325">
        <v>8</v>
      </c>
      <c r="C2325" s="1">
        <v>1648</v>
      </c>
      <c r="D2325">
        <v>200</v>
      </c>
      <c r="E2325">
        <v>201.5</v>
      </c>
      <c r="F2325">
        <v>200</v>
      </c>
      <c r="G2325">
        <v>200.5</v>
      </c>
      <c r="H2325">
        <v>0.5</v>
      </c>
      <c r="I2325">
        <v>11</v>
      </c>
    </row>
    <row r="2326" spans="1:9" x14ac:dyDescent="0.25">
      <c r="A2326" t="s">
        <v>1199</v>
      </c>
      <c r="B2326">
        <v>6</v>
      </c>
      <c r="C2326" s="1">
        <v>1210</v>
      </c>
      <c r="D2326">
        <v>201</v>
      </c>
      <c r="E2326">
        <v>201.5</v>
      </c>
      <c r="F2326">
        <v>200.5</v>
      </c>
      <c r="G2326">
        <v>201.5</v>
      </c>
      <c r="H2326">
        <v>1</v>
      </c>
      <c r="I2326">
        <v>7</v>
      </c>
    </row>
    <row r="2327" spans="1:9" x14ac:dyDescent="0.25">
      <c r="A2327" t="s">
        <v>1177</v>
      </c>
      <c r="C2327" s="1"/>
    </row>
    <row r="2329" spans="1:9" x14ac:dyDescent="0.25">
      <c r="A2329" s="9" t="s">
        <v>1155</v>
      </c>
      <c r="B2329" s="1">
        <v>3</v>
      </c>
      <c r="C2329" s="1">
        <v>572</v>
      </c>
      <c r="D2329">
        <v>189.5</v>
      </c>
      <c r="E2329">
        <v>189.5</v>
      </c>
      <c r="F2329">
        <v>189.5</v>
      </c>
      <c r="G2329">
        <v>189.5</v>
      </c>
      <c r="H2329">
        <v>0</v>
      </c>
      <c r="I2329" s="1">
        <v>5</v>
      </c>
    </row>
    <row r="2330" spans="1:9" x14ac:dyDescent="0.25">
      <c r="A2330" t="s">
        <v>1156</v>
      </c>
      <c r="B2330">
        <v>80</v>
      </c>
      <c r="C2330" s="1">
        <v>15120</v>
      </c>
      <c r="D2330">
        <v>189</v>
      </c>
      <c r="E2330">
        <v>189</v>
      </c>
      <c r="F2330">
        <v>186</v>
      </c>
      <c r="G2330">
        <v>186.5</v>
      </c>
      <c r="H2330">
        <v>-3</v>
      </c>
      <c r="I2330">
        <v>53</v>
      </c>
    </row>
    <row r="2331" spans="1:9" x14ac:dyDescent="0.25">
      <c r="A2331" t="s">
        <v>1157</v>
      </c>
      <c r="B2331">
        <v>38</v>
      </c>
      <c r="C2331" s="1">
        <v>7064</v>
      </c>
      <c r="D2331">
        <v>186.5</v>
      </c>
      <c r="E2331">
        <v>186.5</v>
      </c>
      <c r="F2331">
        <v>185</v>
      </c>
      <c r="G2331">
        <v>186.5</v>
      </c>
      <c r="H2331">
        <v>0</v>
      </c>
      <c r="I2331">
        <v>35</v>
      </c>
    </row>
    <row r="2332" spans="1:9" x14ac:dyDescent="0.25">
      <c r="A2332" t="s">
        <v>1158</v>
      </c>
      <c r="B2332">
        <v>11</v>
      </c>
      <c r="C2332" s="1">
        <v>2056</v>
      </c>
      <c r="D2332">
        <v>186.5</v>
      </c>
      <c r="E2332">
        <v>187</v>
      </c>
      <c r="F2332">
        <v>186.5</v>
      </c>
      <c r="G2332">
        <v>187</v>
      </c>
      <c r="H2332">
        <v>0.5</v>
      </c>
      <c r="I2332">
        <v>11</v>
      </c>
    </row>
    <row r="2333" spans="1:9" x14ac:dyDescent="0.25">
      <c r="A2333" t="s">
        <v>1159</v>
      </c>
      <c r="B2333">
        <v>5</v>
      </c>
      <c r="C2333" s="1">
        <v>955</v>
      </c>
      <c r="D2333">
        <v>187</v>
      </c>
      <c r="E2333">
        <v>189.5</v>
      </c>
      <c r="F2333">
        <v>187</v>
      </c>
      <c r="G2333">
        <v>189.5</v>
      </c>
      <c r="H2333">
        <v>2.5</v>
      </c>
      <c r="I2333">
        <v>8</v>
      </c>
    </row>
    <row r="2334" spans="1:9" x14ac:dyDescent="0.25">
      <c r="A2334" t="s">
        <v>1160</v>
      </c>
      <c r="B2334">
        <v>28</v>
      </c>
      <c r="C2334" s="1">
        <v>5256</v>
      </c>
      <c r="D2334">
        <v>187</v>
      </c>
      <c r="E2334">
        <v>188.5</v>
      </c>
      <c r="F2334">
        <v>187</v>
      </c>
      <c r="G2334">
        <v>188</v>
      </c>
      <c r="H2334">
        <v>-1.5</v>
      </c>
      <c r="I2334">
        <v>14</v>
      </c>
    </row>
    <row r="2335" spans="1:9" x14ac:dyDescent="0.25">
      <c r="A2335" t="s">
        <v>1161</v>
      </c>
      <c r="B2335">
        <v>54</v>
      </c>
      <c r="C2335" s="1">
        <v>10115</v>
      </c>
      <c r="D2335">
        <v>189</v>
      </c>
      <c r="E2335">
        <v>189</v>
      </c>
      <c r="F2335">
        <v>185</v>
      </c>
      <c r="G2335">
        <v>185</v>
      </c>
      <c r="H2335">
        <v>-3</v>
      </c>
      <c r="I2335">
        <v>33</v>
      </c>
    </row>
    <row r="2336" spans="1:9" x14ac:dyDescent="0.25">
      <c r="A2336" t="s">
        <v>1162</v>
      </c>
      <c r="B2336">
        <v>80</v>
      </c>
      <c r="C2336" s="1">
        <v>14868</v>
      </c>
      <c r="D2336">
        <v>185</v>
      </c>
      <c r="E2336">
        <v>188</v>
      </c>
      <c r="F2336">
        <v>183</v>
      </c>
      <c r="G2336">
        <v>187</v>
      </c>
      <c r="H2336">
        <v>2</v>
      </c>
      <c r="I2336">
        <v>66</v>
      </c>
    </row>
    <row r="2337" spans="1:9" x14ac:dyDescent="0.25">
      <c r="A2337" t="s">
        <v>1163</v>
      </c>
      <c r="B2337">
        <v>48</v>
      </c>
      <c r="C2337" s="1">
        <v>9065</v>
      </c>
      <c r="D2337">
        <v>186.5</v>
      </c>
      <c r="E2337">
        <v>189</v>
      </c>
      <c r="F2337">
        <v>186.5</v>
      </c>
      <c r="G2337">
        <v>188.5</v>
      </c>
      <c r="H2337">
        <v>1.5</v>
      </c>
      <c r="I2337">
        <v>42</v>
      </c>
    </row>
    <row r="2338" spans="1:9" x14ac:dyDescent="0.25">
      <c r="A2338" t="s">
        <v>1164</v>
      </c>
      <c r="B2338">
        <v>2</v>
      </c>
      <c r="C2338" s="1">
        <v>442</v>
      </c>
      <c r="D2338">
        <v>188</v>
      </c>
      <c r="E2338">
        <v>188</v>
      </c>
      <c r="F2338">
        <v>188</v>
      </c>
      <c r="G2338">
        <v>188</v>
      </c>
      <c r="H2338">
        <v>-0.5</v>
      </c>
      <c r="I2338">
        <v>9</v>
      </c>
    </row>
    <row r="2339" spans="1:9" x14ac:dyDescent="0.25">
      <c r="A2339" t="s">
        <v>1165</v>
      </c>
      <c r="B2339">
        <v>96</v>
      </c>
      <c r="C2339" s="1">
        <v>18407</v>
      </c>
      <c r="D2339">
        <v>188</v>
      </c>
      <c r="E2339">
        <v>192.5</v>
      </c>
      <c r="F2339">
        <v>188</v>
      </c>
      <c r="G2339">
        <v>192.5</v>
      </c>
      <c r="H2339">
        <v>4.5</v>
      </c>
      <c r="I2339">
        <v>81</v>
      </c>
    </row>
    <row r="2340" spans="1:9" x14ac:dyDescent="0.25">
      <c r="A2340" t="s">
        <v>1166</v>
      </c>
      <c r="B2340">
        <v>52</v>
      </c>
      <c r="C2340" s="1">
        <v>9931</v>
      </c>
      <c r="D2340">
        <v>191.5</v>
      </c>
      <c r="E2340">
        <v>193.5</v>
      </c>
      <c r="F2340">
        <v>191.5</v>
      </c>
      <c r="G2340">
        <v>192.5</v>
      </c>
      <c r="H2340">
        <v>0</v>
      </c>
      <c r="I2340">
        <v>49</v>
      </c>
    </row>
    <row r="2341" spans="1:9" x14ac:dyDescent="0.25">
      <c r="A2341" t="s">
        <v>1167</v>
      </c>
      <c r="B2341">
        <v>18</v>
      </c>
      <c r="C2341" s="1">
        <v>3512</v>
      </c>
      <c r="D2341">
        <v>192.5</v>
      </c>
      <c r="E2341">
        <v>193</v>
      </c>
      <c r="F2341">
        <v>192</v>
      </c>
      <c r="G2341">
        <v>193</v>
      </c>
      <c r="H2341">
        <v>0.5</v>
      </c>
      <c r="I2341">
        <v>22</v>
      </c>
    </row>
    <row r="2342" spans="1:9" x14ac:dyDescent="0.25">
      <c r="A2342" t="s">
        <v>1168</v>
      </c>
      <c r="B2342">
        <v>29</v>
      </c>
      <c r="C2342" s="1">
        <v>5614</v>
      </c>
      <c r="D2342">
        <v>193</v>
      </c>
      <c r="E2342">
        <v>194</v>
      </c>
      <c r="F2342">
        <v>193</v>
      </c>
      <c r="G2342">
        <v>193.5</v>
      </c>
      <c r="H2342">
        <v>0.5</v>
      </c>
      <c r="I2342">
        <v>22</v>
      </c>
    </row>
    <row r="2343" spans="1:9" x14ac:dyDescent="0.25">
      <c r="A2343" t="s">
        <v>1169</v>
      </c>
      <c r="B2343">
        <v>46</v>
      </c>
      <c r="C2343" s="1">
        <v>8884</v>
      </c>
      <c r="D2343">
        <v>195</v>
      </c>
      <c r="E2343">
        <v>195</v>
      </c>
      <c r="F2343">
        <v>193.5</v>
      </c>
      <c r="G2343">
        <v>194.5</v>
      </c>
      <c r="H2343">
        <v>1</v>
      </c>
      <c r="I2343">
        <v>48</v>
      </c>
    </row>
    <row r="2344" spans="1:9" x14ac:dyDescent="0.25">
      <c r="A2344" t="s">
        <v>1170</v>
      </c>
      <c r="B2344">
        <v>145</v>
      </c>
      <c r="C2344" s="1">
        <v>28674</v>
      </c>
      <c r="D2344">
        <v>196</v>
      </c>
      <c r="E2344">
        <v>199</v>
      </c>
      <c r="F2344">
        <v>195.5</v>
      </c>
      <c r="G2344">
        <v>196.5</v>
      </c>
      <c r="H2344">
        <v>2</v>
      </c>
      <c r="I2344">
        <v>137</v>
      </c>
    </row>
    <row r="2345" spans="1:9" x14ac:dyDescent="0.25">
      <c r="A2345" t="s">
        <v>1171</v>
      </c>
      <c r="B2345">
        <v>43</v>
      </c>
      <c r="C2345" s="1">
        <v>8543</v>
      </c>
      <c r="D2345">
        <v>197</v>
      </c>
      <c r="E2345">
        <v>197.5</v>
      </c>
      <c r="F2345">
        <v>196.5</v>
      </c>
      <c r="G2345">
        <v>197.5</v>
      </c>
      <c r="H2345">
        <v>1</v>
      </c>
      <c r="I2345">
        <v>43</v>
      </c>
    </row>
    <row r="2346" spans="1:9" x14ac:dyDescent="0.25">
      <c r="A2346" t="s">
        <v>1172</v>
      </c>
      <c r="B2346">
        <v>219</v>
      </c>
      <c r="C2346" s="1">
        <v>43784</v>
      </c>
      <c r="D2346">
        <v>198</v>
      </c>
      <c r="E2346">
        <v>201.5</v>
      </c>
      <c r="F2346">
        <v>198</v>
      </c>
      <c r="G2346">
        <v>199</v>
      </c>
      <c r="H2346">
        <v>1.5</v>
      </c>
      <c r="I2346">
        <v>157</v>
      </c>
    </row>
    <row r="2347" spans="1:9" x14ac:dyDescent="0.25">
      <c r="A2347" t="s">
        <v>1173</v>
      </c>
      <c r="B2347">
        <v>47</v>
      </c>
      <c r="C2347" s="1">
        <v>9450</v>
      </c>
      <c r="D2347">
        <v>199</v>
      </c>
      <c r="E2347">
        <v>201</v>
      </c>
      <c r="F2347">
        <v>199</v>
      </c>
      <c r="G2347">
        <v>199.5</v>
      </c>
      <c r="H2347">
        <v>0.5</v>
      </c>
      <c r="I2347">
        <v>43</v>
      </c>
    </row>
    <row r="2348" spans="1:9" x14ac:dyDescent="0.25">
      <c r="A2348" t="s">
        <v>1174</v>
      </c>
      <c r="B2348">
        <v>49</v>
      </c>
      <c r="C2348" s="1">
        <v>9703</v>
      </c>
      <c r="D2348">
        <v>200</v>
      </c>
      <c r="E2348">
        <v>200.5</v>
      </c>
      <c r="F2348">
        <v>200</v>
      </c>
      <c r="G2348">
        <v>200</v>
      </c>
      <c r="H2348">
        <v>0.5</v>
      </c>
      <c r="I2348">
        <v>46</v>
      </c>
    </row>
    <row r="2349" spans="1:9" x14ac:dyDescent="0.25">
      <c r="A2349" t="s">
        <v>1175</v>
      </c>
      <c r="B2349">
        <v>171</v>
      </c>
      <c r="C2349" s="1">
        <v>34487</v>
      </c>
      <c r="D2349">
        <v>200</v>
      </c>
      <c r="E2349">
        <v>202.5</v>
      </c>
      <c r="F2349">
        <v>200</v>
      </c>
      <c r="G2349">
        <v>202</v>
      </c>
      <c r="H2349">
        <v>2</v>
      </c>
      <c r="I2349">
        <v>92</v>
      </c>
    </row>
    <row r="2350" spans="1:9" x14ac:dyDescent="0.25">
      <c r="A2350" t="s">
        <v>1176</v>
      </c>
      <c r="B2350">
        <v>32</v>
      </c>
      <c r="C2350" s="1">
        <v>6466</v>
      </c>
      <c r="D2350">
        <v>202</v>
      </c>
      <c r="E2350">
        <v>202.5</v>
      </c>
      <c r="F2350">
        <v>201</v>
      </c>
      <c r="G2350">
        <v>201.5</v>
      </c>
      <c r="H2350">
        <v>-0.5</v>
      </c>
      <c r="I2350">
        <v>27</v>
      </c>
    </row>
    <row r="2351" spans="1:9" x14ac:dyDescent="0.25">
      <c r="A2351" t="s">
        <v>1177</v>
      </c>
      <c r="C2351" s="1"/>
    </row>
    <row r="2353" spans="1:9" x14ac:dyDescent="0.25">
      <c r="A2353" s="9" t="s">
        <v>1135</v>
      </c>
      <c r="B2353" s="1">
        <v>17</v>
      </c>
      <c r="C2353" s="1">
        <v>3255</v>
      </c>
      <c r="D2353">
        <v>191</v>
      </c>
      <c r="E2353">
        <v>191</v>
      </c>
      <c r="F2353">
        <v>190</v>
      </c>
      <c r="G2353">
        <v>190.5</v>
      </c>
      <c r="H2353">
        <v>-1.5</v>
      </c>
      <c r="I2353" s="1">
        <v>19</v>
      </c>
    </row>
    <row r="2354" spans="1:9" x14ac:dyDescent="0.25">
      <c r="A2354" t="s">
        <v>1136</v>
      </c>
      <c r="B2354">
        <v>28</v>
      </c>
      <c r="C2354" s="1">
        <v>5386</v>
      </c>
      <c r="D2354">
        <v>190</v>
      </c>
      <c r="E2354">
        <v>193</v>
      </c>
      <c r="F2354">
        <v>190</v>
      </c>
      <c r="G2354">
        <v>192</v>
      </c>
      <c r="H2354">
        <v>1.5</v>
      </c>
      <c r="I2354">
        <v>30</v>
      </c>
    </row>
    <row r="2355" spans="1:9" x14ac:dyDescent="0.25">
      <c r="A2355" t="s">
        <v>1137</v>
      </c>
      <c r="B2355">
        <v>33</v>
      </c>
      <c r="C2355" s="1">
        <v>6219</v>
      </c>
      <c r="D2355">
        <v>191</v>
      </c>
      <c r="E2355">
        <v>192</v>
      </c>
      <c r="F2355">
        <v>190.5</v>
      </c>
      <c r="G2355">
        <v>190.5</v>
      </c>
      <c r="H2355">
        <v>-1.5</v>
      </c>
      <c r="I2355">
        <v>30</v>
      </c>
    </row>
    <row r="2356" spans="1:9" x14ac:dyDescent="0.25">
      <c r="A2356" t="s">
        <v>1138</v>
      </c>
      <c r="B2356">
        <v>29</v>
      </c>
      <c r="C2356" s="1">
        <v>5559</v>
      </c>
      <c r="D2356">
        <v>191</v>
      </c>
      <c r="E2356">
        <v>193</v>
      </c>
      <c r="F2356">
        <v>190.5</v>
      </c>
      <c r="G2356">
        <v>192</v>
      </c>
      <c r="H2356">
        <v>1.5</v>
      </c>
      <c r="I2356">
        <v>29</v>
      </c>
    </row>
    <row r="2357" spans="1:9" x14ac:dyDescent="0.25">
      <c r="A2357" t="s">
        <v>1139</v>
      </c>
      <c r="B2357">
        <v>132</v>
      </c>
      <c r="C2357" s="1">
        <v>25930</v>
      </c>
      <c r="D2357">
        <v>192</v>
      </c>
      <c r="E2357">
        <v>198.5</v>
      </c>
      <c r="F2357">
        <v>192</v>
      </c>
      <c r="G2357">
        <v>194.5</v>
      </c>
      <c r="H2357">
        <v>2.5</v>
      </c>
      <c r="I2357">
        <v>123</v>
      </c>
    </row>
    <row r="2358" spans="1:9" x14ac:dyDescent="0.25">
      <c r="A2358" t="s">
        <v>1140</v>
      </c>
      <c r="B2358">
        <v>92</v>
      </c>
      <c r="C2358" s="1">
        <v>17670</v>
      </c>
      <c r="D2358">
        <v>194.5</v>
      </c>
      <c r="E2358">
        <v>194.5</v>
      </c>
      <c r="F2358">
        <v>189</v>
      </c>
      <c r="G2358">
        <v>192.5</v>
      </c>
      <c r="H2358">
        <v>-2</v>
      </c>
      <c r="I2358">
        <v>91</v>
      </c>
    </row>
    <row r="2359" spans="1:9" x14ac:dyDescent="0.25">
      <c r="A2359" t="s">
        <v>1141</v>
      </c>
      <c r="B2359">
        <v>34</v>
      </c>
      <c r="C2359" s="1">
        <v>6535</v>
      </c>
      <c r="D2359">
        <v>191.5</v>
      </c>
      <c r="E2359">
        <v>193</v>
      </c>
      <c r="F2359">
        <v>191</v>
      </c>
      <c r="G2359">
        <v>192.5</v>
      </c>
      <c r="H2359">
        <v>0</v>
      </c>
      <c r="I2359">
        <v>28</v>
      </c>
    </row>
    <row r="2360" spans="1:9" x14ac:dyDescent="0.25">
      <c r="A2360" t="s">
        <v>1142</v>
      </c>
      <c r="B2360">
        <v>31</v>
      </c>
      <c r="C2360" s="1">
        <v>5992</v>
      </c>
      <c r="D2360">
        <v>193</v>
      </c>
      <c r="E2360">
        <v>193</v>
      </c>
      <c r="F2360">
        <v>192</v>
      </c>
      <c r="G2360">
        <v>192</v>
      </c>
      <c r="H2360">
        <v>-0.5</v>
      </c>
      <c r="I2360">
        <v>24</v>
      </c>
    </row>
    <row r="2361" spans="1:9" x14ac:dyDescent="0.25">
      <c r="A2361" t="s">
        <v>1143</v>
      </c>
      <c r="B2361">
        <v>45</v>
      </c>
      <c r="C2361" s="1">
        <v>8651</v>
      </c>
      <c r="D2361">
        <v>192</v>
      </c>
      <c r="E2361">
        <v>193</v>
      </c>
      <c r="F2361">
        <v>189</v>
      </c>
      <c r="G2361">
        <v>189.5</v>
      </c>
      <c r="H2361">
        <v>-2.5</v>
      </c>
      <c r="I2361">
        <v>48</v>
      </c>
    </row>
    <row r="2362" spans="1:9" x14ac:dyDescent="0.25">
      <c r="A2362" t="s">
        <v>1144</v>
      </c>
      <c r="B2362">
        <v>22</v>
      </c>
      <c r="C2362" s="1">
        <v>4166</v>
      </c>
      <c r="D2362">
        <v>189.5</v>
      </c>
      <c r="E2362">
        <v>190.5</v>
      </c>
      <c r="F2362">
        <v>189</v>
      </c>
      <c r="G2362">
        <v>190.5</v>
      </c>
      <c r="H2362">
        <v>1</v>
      </c>
      <c r="I2362">
        <v>27</v>
      </c>
    </row>
    <row r="2363" spans="1:9" x14ac:dyDescent="0.25">
      <c r="A2363" t="s">
        <v>1145</v>
      </c>
      <c r="B2363">
        <v>8</v>
      </c>
      <c r="C2363" s="1">
        <v>1522</v>
      </c>
      <c r="D2363">
        <v>190.5</v>
      </c>
      <c r="E2363">
        <v>190.5</v>
      </c>
      <c r="F2363">
        <v>190</v>
      </c>
      <c r="G2363">
        <v>190</v>
      </c>
      <c r="H2363">
        <v>-0.5</v>
      </c>
      <c r="I2363">
        <v>8</v>
      </c>
    </row>
    <row r="2364" spans="1:9" x14ac:dyDescent="0.25">
      <c r="A2364" t="s">
        <v>1146</v>
      </c>
      <c r="B2364">
        <v>22</v>
      </c>
      <c r="C2364" s="1">
        <v>4233</v>
      </c>
      <c r="D2364">
        <v>190</v>
      </c>
      <c r="E2364">
        <v>192.5</v>
      </c>
      <c r="F2364">
        <v>190</v>
      </c>
      <c r="G2364">
        <v>191</v>
      </c>
      <c r="H2364">
        <v>1</v>
      </c>
      <c r="I2364">
        <v>20</v>
      </c>
    </row>
    <row r="2365" spans="1:9" x14ac:dyDescent="0.25">
      <c r="A2365" t="s">
        <v>1147</v>
      </c>
      <c r="B2365">
        <v>7</v>
      </c>
      <c r="C2365" s="1">
        <v>1358</v>
      </c>
      <c r="D2365">
        <v>192</v>
      </c>
      <c r="E2365">
        <v>192</v>
      </c>
      <c r="F2365">
        <v>191</v>
      </c>
      <c r="G2365">
        <v>191</v>
      </c>
      <c r="H2365">
        <v>0</v>
      </c>
      <c r="I2365">
        <v>9</v>
      </c>
    </row>
    <row r="2366" spans="1:9" x14ac:dyDescent="0.25">
      <c r="A2366" t="s">
        <v>1148</v>
      </c>
      <c r="B2366">
        <v>16</v>
      </c>
      <c r="C2366" s="1">
        <v>3089</v>
      </c>
      <c r="D2366">
        <v>191.5</v>
      </c>
      <c r="E2366">
        <v>192</v>
      </c>
      <c r="F2366">
        <v>191.5</v>
      </c>
      <c r="G2366">
        <v>192</v>
      </c>
      <c r="H2366">
        <v>1</v>
      </c>
      <c r="I2366">
        <v>16</v>
      </c>
    </row>
    <row r="2367" spans="1:9" x14ac:dyDescent="0.25">
      <c r="A2367" t="s">
        <v>1149</v>
      </c>
      <c r="B2367">
        <v>10</v>
      </c>
      <c r="C2367" s="1">
        <v>1920</v>
      </c>
      <c r="D2367">
        <v>191.5</v>
      </c>
      <c r="E2367">
        <v>192</v>
      </c>
      <c r="F2367">
        <v>191.5</v>
      </c>
      <c r="G2367">
        <v>192</v>
      </c>
      <c r="H2367">
        <v>0</v>
      </c>
      <c r="I2367">
        <v>10</v>
      </c>
    </row>
    <row r="2368" spans="1:9" x14ac:dyDescent="0.25">
      <c r="A2368" t="s">
        <v>1150</v>
      </c>
      <c r="B2368">
        <v>15</v>
      </c>
      <c r="C2368" s="1">
        <v>2867</v>
      </c>
      <c r="D2368">
        <v>191.5</v>
      </c>
      <c r="E2368">
        <v>191.5</v>
      </c>
      <c r="F2368">
        <v>190</v>
      </c>
      <c r="G2368">
        <v>190.5</v>
      </c>
      <c r="H2368">
        <v>-1.5</v>
      </c>
      <c r="I2368">
        <v>18</v>
      </c>
    </row>
    <row r="2369" spans="1:9" x14ac:dyDescent="0.25">
      <c r="A2369" t="s">
        <v>1151</v>
      </c>
      <c r="B2369">
        <v>9</v>
      </c>
      <c r="C2369" s="1">
        <v>1726</v>
      </c>
      <c r="D2369">
        <v>194</v>
      </c>
      <c r="E2369">
        <v>194</v>
      </c>
      <c r="F2369">
        <v>190.5</v>
      </c>
      <c r="G2369">
        <v>190.5</v>
      </c>
      <c r="H2369">
        <v>0</v>
      </c>
      <c r="I2369">
        <v>9</v>
      </c>
    </row>
    <row r="2370" spans="1:9" x14ac:dyDescent="0.25">
      <c r="A2370" t="s">
        <v>1152</v>
      </c>
      <c r="B2370">
        <v>17</v>
      </c>
      <c r="C2370" s="1">
        <v>3275</v>
      </c>
      <c r="D2370">
        <v>190.5</v>
      </c>
      <c r="E2370">
        <v>191</v>
      </c>
      <c r="F2370">
        <v>190</v>
      </c>
      <c r="G2370">
        <v>190</v>
      </c>
      <c r="H2370">
        <v>-0.5</v>
      </c>
      <c r="I2370">
        <v>17</v>
      </c>
    </row>
    <row r="2371" spans="1:9" x14ac:dyDescent="0.25">
      <c r="A2371" t="s">
        <v>1153</v>
      </c>
      <c r="B2371">
        <v>30</v>
      </c>
      <c r="C2371" s="1">
        <v>5733</v>
      </c>
      <c r="D2371">
        <v>191</v>
      </c>
      <c r="E2371">
        <v>191</v>
      </c>
      <c r="F2371">
        <v>189</v>
      </c>
      <c r="G2371">
        <v>189</v>
      </c>
      <c r="H2371">
        <v>-1</v>
      </c>
      <c r="I2371">
        <v>30</v>
      </c>
    </row>
    <row r="2372" spans="1:9" x14ac:dyDescent="0.25">
      <c r="A2372" t="s">
        <v>1154</v>
      </c>
      <c r="B2372">
        <v>29</v>
      </c>
      <c r="C2372" s="1">
        <v>5495</v>
      </c>
      <c r="D2372">
        <v>189</v>
      </c>
      <c r="E2372">
        <v>190</v>
      </c>
      <c r="F2372">
        <v>189</v>
      </c>
      <c r="G2372">
        <v>189.5</v>
      </c>
      <c r="H2372">
        <v>0.5</v>
      </c>
      <c r="I2372">
        <v>18</v>
      </c>
    </row>
    <row r="2373" spans="1:9" x14ac:dyDescent="0.25">
      <c r="A2373" t="s">
        <v>927</v>
      </c>
      <c r="C2373" s="1"/>
    </row>
    <row r="2377" spans="1:9" x14ac:dyDescent="0.25">
      <c r="A2377" s="9" t="s">
        <v>1116</v>
      </c>
      <c r="B2377" s="1">
        <v>26</v>
      </c>
      <c r="C2377" s="1">
        <v>4799</v>
      </c>
      <c r="D2377">
        <v>184.5</v>
      </c>
      <c r="E2377">
        <v>185</v>
      </c>
      <c r="F2377">
        <v>184</v>
      </c>
      <c r="G2377">
        <v>184.5</v>
      </c>
      <c r="H2377">
        <v>0</v>
      </c>
      <c r="I2377" s="1">
        <v>18</v>
      </c>
    </row>
    <row r="2378" spans="1:9" x14ac:dyDescent="0.25">
      <c r="A2378" t="s">
        <v>1117</v>
      </c>
      <c r="B2378">
        <v>44</v>
      </c>
      <c r="C2378" s="1">
        <v>8133</v>
      </c>
      <c r="D2378">
        <v>185</v>
      </c>
      <c r="E2378">
        <v>185</v>
      </c>
      <c r="F2378">
        <v>184.5</v>
      </c>
      <c r="G2378">
        <v>185</v>
      </c>
      <c r="H2378">
        <v>0.5</v>
      </c>
      <c r="I2378">
        <v>33</v>
      </c>
    </row>
    <row r="2379" spans="1:9" x14ac:dyDescent="0.25">
      <c r="A2379" t="s">
        <v>1118</v>
      </c>
      <c r="B2379">
        <v>19</v>
      </c>
      <c r="C2379" s="1">
        <v>3573</v>
      </c>
      <c r="D2379">
        <v>185</v>
      </c>
      <c r="E2379">
        <v>185.5</v>
      </c>
      <c r="F2379">
        <v>185</v>
      </c>
      <c r="G2379">
        <v>185</v>
      </c>
      <c r="H2379">
        <v>0</v>
      </c>
      <c r="I2379">
        <v>21</v>
      </c>
    </row>
    <row r="2380" spans="1:9" x14ac:dyDescent="0.25">
      <c r="A2380" t="s">
        <v>1119</v>
      </c>
      <c r="B2380">
        <v>55</v>
      </c>
      <c r="C2380" s="1">
        <v>10199</v>
      </c>
      <c r="D2380">
        <v>185.5</v>
      </c>
      <c r="E2380">
        <v>186</v>
      </c>
      <c r="F2380">
        <v>185</v>
      </c>
      <c r="G2380">
        <v>185.5</v>
      </c>
      <c r="H2380">
        <v>0.5</v>
      </c>
      <c r="I2380">
        <v>37</v>
      </c>
    </row>
    <row r="2381" spans="1:9" x14ac:dyDescent="0.25">
      <c r="A2381" t="s">
        <v>1120</v>
      </c>
      <c r="B2381">
        <v>39</v>
      </c>
      <c r="C2381" s="1">
        <v>7263</v>
      </c>
      <c r="D2381">
        <v>186</v>
      </c>
      <c r="E2381">
        <v>187</v>
      </c>
      <c r="F2381">
        <v>185.5</v>
      </c>
      <c r="G2381">
        <v>186</v>
      </c>
      <c r="H2381">
        <v>0.5</v>
      </c>
      <c r="I2381">
        <v>28</v>
      </c>
    </row>
    <row r="2382" spans="1:9" x14ac:dyDescent="0.25">
      <c r="A2382" t="s">
        <v>1121</v>
      </c>
      <c r="B2382">
        <v>209</v>
      </c>
      <c r="C2382" s="1">
        <v>38503</v>
      </c>
      <c r="D2382">
        <v>185.5</v>
      </c>
      <c r="E2382">
        <v>185.5</v>
      </c>
      <c r="F2382">
        <v>183.5</v>
      </c>
      <c r="G2382">
        <v>185</v>
      </c>
      <c r="H2382">
        <v>-1</v>
      </c>
      <c r="I2382">
        <v>98</v>
      </c>
    </row>
    <row r="2383" spans="1:9" x14ac:dyDescent="0.25">
      <c r="A2383" t="s">
        <v>1122</v>
      </c>
      <c r="B2383">
        <v>115</v>
      </c>
      <c r="C2383" s="1">
        <v>21378</v>
      </c>
      <c r="D2383">
        <v>184.5</v>
      </c>
      <c r="E2383">
        <v>186.5</v>
      </c>
      <c r="F2383">
        <v>184.5</v>
      </c>
      <c r="G2383">
        <v>186.5</v>
      </c>
      <c r="H2383">
        <v>1.5</v>
      </c>
      <c r="I2383">
        <v>44</v>
      </c>
    </row>
    <row r="2384" spans="1:9" x14ac:dyDescent="0.25">
      <c r="A2384" t="s">
        <v>1123</v>
      </c>
      <c r="B2384">
        <v>13</v>
      </c>
      <c r="C2384" s="1">
        <v>2405</v>
      </c>
      <c r="D2384">
        <v>185</v>
      </c>
      <c r="E2384">
        <v>185.5</v>
      </c>
      <c r="F2384">
        <v>184.5</v>
      </c>
      <c r="G2384">
        <v>185.5</v>
      </c>
      <c r="H2384">
        <v>-1</v>
      </c>
      <c r="I2384">
        <v>11</v>
      </c>
    </row>
    <row r="2385" spans="1:9" x14ac:dyDescent="0.25">
      <c r="A2385" t="s">
        <v>1124</v>
      </c>
      <c r="B2385">
        <v>12</v>
      </c>
      <c r="C2385" s="1">
        <v>2250</v>
      </c>
      <c r="D2385">
        <v>186.5</v>
      </c>
      <c r="E2385">
        <v>186.5</v>
      </c>
      <c r="F2385">
        <v>185</v>
      </c>
      <c r="G2385">
        <v>185</v>
      </c>
      <c r="H2385">
        <v>-0.5</v>
      </c>
      <c r="I2385">
        <v>8</v>
      </c>
    </row>
    <row r="2386" spans="1:9" x14ac:dyDescent="0.25">
      <c r="A2386" t="s">
        <v>1125</v>
      </c>
      <c r="B2386">
        <v>55</v>
      </c>
      <c r="C2386" s="1">
        <v>10279</v>
      </c>
      <c r="D2386">
        <v>186</v>
      </c>
      <c r="E2386">
        <v>186.5</v>
      </c>
      <c r="F2386">
        <v>185.5</v>
      </c>
      <c r="G2386">
        <v>186.5</v>
      </c>
      <c r="H2386">
        <v>1.5</v>
      </c>
      <c r="I2386">
        <v>46</v>
      </c>
    </row>
    <row r="2387" spans="1:9" x14ac:dyDescent="0.25">
      <c r="A2387" t="s">
        <v>1126</v>
      </c>
      <c r="B2387">
        <v>38</v>
      </c>
      <c r="C2387" s="1">
        <v>7139</v>
      </c>
      <c r="D2387">
        <v>186</v>
      </c>
      <c r="E2387">
        <v>187</v>
      </c>
      <c r="F2387">
        <v>186</v>
      </c>
      <c r="G2387">
        <v>186.5</v>
      </c>
      <c r="H2387">
        <v>0</v>
      </c>
      <c r="I2387">
        <v>36</v>
      </c>
    </row>
    <row r="2388" spans="1:9" x14ac:dyDescent="0.25">
      <c r="A2388" t="s">
        <v>1127</v>
      </c>
      <c r="B2388">
        <v>89</v>
      </c>
      <c r="C2388" s="1">
        <v>16787</v>
      </c>
      <c r="D2388">
        <v>186.5</v>
      </c>
      <c r="E2388">
        <v>188.5</v>
      </c>
      <c r="F2388">
        <v>186</v>
      </c>
      <c r="G2388">
        <v>188</v>
      </c>
      <c r="H2388">
        <v>1.5</v>
      </c>
      <c r="I2388">
        <v>71</v>
      </c>
    </row>
    <row r="2389" spans="1:9" x14ac:dyDescent="0.25">
      <c r="A2389" t="s">
        <v>1128</v>
      </c>
      <c r="B2389">
        <v>255</v>
      </c>
      <c r="C2389" s="1">
        <v>50045</v>
      </c>
      <c r="D2389">
        <v>188</v>
      </c>
      <c r="E2389">
        <v>203</v>
      </c>
      <c r="F2389">
        <v>188</v>
      </c>
      <c r="G2389">
        <v>195</v>
      </c>
      <c r="H2389">
        <v>7</v>
      </c>
      <c r="I2389">
        <v>220</v>
      </c>
    </row>
    <row r="2390" spans="1:9" x14ac:dyDescent="0.25">
      <c r="A2390" t="s">
        <v>1129</v>
      </c>
      <c r="B2390">
        <v>53</v>
      </c>
      <c r="C2390" s="1">
        <v>10359</v>
      </c>
      <c r="D2390">
        <v>197.5</v>
      </c>
      <c r="E2390">
        <v>197.5</v>
      </c>
      <c r="F2390">
        <v>194</v>
      </c>
      <c r="G2390">
        <v>194</v>
      </c>
      <c r="H2390">
        <v>-1</v>
      </c>
      <c r="I2390">
        <v>43</v>
      </c>
    </row>
    <row r="2391" spans="1:9" x14ac:dyDescent="0.25">
      <c r="A2391" t="s">
        <v>1130</v>
      </c>
      <c r="B2391">
        <v>105</v>
      </c>
      <c r="C2391" s="1">
        <v>20265</v>
      </c>
      <c r="D2391">
        <v>195.5</v>
      </c>
      <c r="E2391">
        <v>195.5</v>
      </c>
      <c r="F2391">
        <v>190</v>
      </c>
      <c r="G2391">
        <v>192</v>
      </c>
      <c r="H2391">
        <v>-2</v>
      </c>
      <c r="I2391">
        <v>75</v>
      </c>
    </row>
    <row r="2392" spans="1:9" x14ac:dyDescent="0.25">
      <c r="A2392" t="s">
        <v>1131</v>
      </c>
      <c r="B2392">
        <v>42</v>
      </c>
      <c r="C2392" s="1">
        <v>8051</v>
      </c>
      <c r="D2392">
        <v>192</v>
      </c>
      <c r="E2392">
        <v>192.5</v>
      </c>
      <c r="F2392">
        <v>190</v>
      </c>
      <c r="G2392">
        <v>192</v>
      </c>
      <c r="H2392">
        <v>0</v>
      </c>
      <c r="I2392">
        <v>35</v>
      </c>
    </row>
    <row r="2393" spans="1:9" x14ac:dyDescent="0.25">
      <c r="A2393" t="s">
        <v>1132</v>
      </c>
      <c r="B2393">
        <v>20</v>
      </c>
      <c r="C2393" s="1">
        <v>3833</v>
      </c>
      <c r="D2393">
        <v>192</v>
      </c>
      <c r="E2393">
        <v>192</v>
      </c>
      <c r="F2393">
        <v>190</v>
      </c>
      <c r="G2393">
        <v>191</v>
      </c>
      <c r="H2393">
        <v>-1</v>
      </c>
      <c r="I2393">
        <v>16</v>
      </c>
    </row>
    <row r="2394" spans="1:9" x14ac:dyDescent="0.25">
      <c r="A2394" t="s">
        <v>1133</v>
      </c>
      <c r="B2394">
        <v>34</v>
      </c>
      <c r="C2394" s="1">
        <v>6593</v>
      </c>
      <c r="D2394">
        <v>192</v>
      </c>
      <c r="E2394">
        <v>194</v>
      </c>
      <c r="F2394">
        <v>192</v>
      </c>
      <c r="G2394">
        <v>192</v>
      </c>
      <c r="H2394">
        <v>1</v>
      </c>
      <c r="I2394">
        <v>37</v>
      </c>
    </row>
    <row r="2395" spans="1:9" x14ac:dyDescent="0.25">
      <c r="A2395" t="s">
        <v>1134</v>
      </c>
      <c r="B2395">
        <v>15</v>
      </c>
      <c r="C2395" s="1">
        <v>2888</v>
      </c>
      <c r="D2395">
        <v>192</v>
      </c>
      <c r="E2395">
        <v>192</v>
      </c>
      <c r="F2395">
        <v>190</v>
      </c>
      <c r="G2395">
        <v>192</v>
      </c>
      <c r="H2395">
        <v>0</v>
      </c>
      <c r="I2395">
        <v>18</v>
      </c>
    </row>
    <row r="2396" spans="1:9" x14ac:dyDescent="0.25">
      <c r="A2396" t="s">
        <v>1030</v>
      </c>
      <c r="C2396" s="1"/>
    </row>
    <row r="2401" spans="1:9" x14ac:dyDescent="0.25">
      <c r="A2401" s="9" t="s">
        <v>1093</v>
      </c>
      <c r="B2401" s="1">
        <v>47</v>
      </c>
      <c r="C2401" s="1">
        <v>8625</v>
      </c>
      <c r="D2401">
        <v>184</v>
      </c>
      <c r="E2401">
        <v>184</v>
      </c>
      <c r="F2401">
        <v>183</v>
      </c>
      <c r="G2401">
        <v>184</v>
      </c>
      <c r="H2401">
        <v>1</v>
      </c>
      <c r="I2401" s="1">
        <v>24</v>
      </c>
    </row>
    <row r="2402" spans="1:9" x14ac:dyDescent="0.25">
      <c r="A2402" t="s">
        <v>1094</v>
      </c>
      <c r="B2402">
        <v>26</v>
      </c>
      <c r="C2402" s="1">
        <v>4795</v>
      </c>
      <c r="D2402">
        <v>183.5</v>
      </c>
      <c r="E2402">
        <v>185</v>
      </c>
      <c r="F2402">
        <v>183</v>
      </c>
      <c r="G2402">
        <v>184.5</v>
      </c>
      <c r="H2402">
        <v>0.5</v>
      </c>
      <c r="I2402">
        <v>21</v>
      </c>
    </row>
    <row r="2403" spans="1:9" x14ac:dyDescent="0.25">
      <c r="A2403" t="s">
        <v>1095</v>
      </c>
      <c r="B2403">
        <v>21</v>
      </c>
      <c r="C2403" s="1">
        <v>3909</v>
      </c>
      <c r="D2403">
        <v>184.5</v>
      </c>
      <c r="E2403">
        <v>186</v>
      </c>
      <c r="F2403">
        <v>184.5</v>
      </c>
      <c r="G2403">
        <v>185</v>
      </c>
      <c r="H2403">
        <v>0.5</v>
      </c>
      <c r="I2403">
        <v>23</v>
      </c>
    </row>
    <row r="2404" spans="1:9" x14ac:dyDescent="0.25">
      <c r="A2404" t="s">
        <v>1096</v>
      </c>
      <c r="B2404">
        <v>18</v>
      </c>
      <c r="C2404" s="1">
        <v>3326</v>
      </c>
      <c r="D2404">
        <v>185</v>
      </c>
      <c r="E2404">
        <v>185</v>
      </c>
      <c r="F2404">
        <v>184</v>
      </c>
      <c r="G2404">
        <v>185</v>
      </c>
      <c r="H2404">
        <v>0</v>
      </c>
      <c r="I2404">
        <v>19</v>
      </c>
    </row>
    <row r="2405" spans="1:9" x14ac:dyDescent="0.25">
      <c r="A2405" t="s">
        <v>1097</v>
      </c>
      <c r="B2405">
        <v>77</v>
      </c>
      <c r="C2405" s="1">
        <v>14306</v>
      </c>
      <c r="D2405">
        <v>185</v>
      </c>
      <c r="E2405">
        <v>187</v>
      </c>
      <c r="F2405">
        <v>185</v>
      </c>
      <c r="G2405">
        <v>186</v>
      </c>
      <c r="H2405">
        <v>1</v>
      </c>
      <c r="I2405">
        <v>28</v>
      </c>
    </row>
    <row r="2406" spans="1:9" x14ac:dyDescent="0.25">
      <c r="A2406" t="s">
        <v>1098</v>
      </c>
      <c r="B2406">
        <v>45</v>
      </c>
      <c r="C2406" s="1">
        <v>8454</v>
      </c>
      <c r="D2406">
        <v>186</v>
      </c>
      <c r="E2406">
        <v>189</v>
      </c>
      <c r="F2406">
        <v>186</v>
      </c>
      <c r="G2406">
        <v>186.5</v>
      </c>
      <c r="H2406">
        <v>0.5</v>
      </c>
      <c r="I2406">
        <v>38</v>
      </c>
    </row>
    <row r="2407" spans="1:9" x14ac:dyDescent="0.25">
      <c r="A2407" t="s">
        <v>1099</v>
      </c>
      <c r="B2407">
        <v>51</v>
      </c>
      <c r="C2407" s="1">
        <v>9427</v>
      </c>
      <c r="D2407">
        <v>188</v>
      </c>
      <c r="E2407">
        <v>188</v>
      </c>
      <c r="F2407">
        <v>184</v>
      </c>
      <c r="G2407">
        <v>185</v>
      </c>
      <c r="H2407">
        <v>-1.5</v>
      </c>
      <c r="I2407">
        <v>44</v>
      </c>
    </row>
    <row r="2408" spans="1:9" x14ac:dyDescent="0.25">
      <c r="A2408" t="s">
        <v>1100</v>
      </c>
      <c r="B2408">
        <v>26</v>
      </c>
      <c r="C2408" s="1">
        <v>4844</v>
      </c>
      <c r="D2408">
        <v>185</v>
      </c>
      <c r="E2408">
        <v>185.5</v>
      </c>
      <c r="F2408">
        <v>184</v>
      </c>
      <c r="G2408">
        <v>185.5</v>
      </c>
      <c r="H2408">
        <v>0.5</v>
      </c>
      <c r="I2408">
        <v>26</v>
      </c>
    </row>
    <row r="2409" spans="1:9" x14ac:dyDescent="0.25">
      <c r="A2409" t="s">
        <v>1101</v>
      </c>
      <c r="B2409">
        <v>26</v>
      </c>
      <c r="C2409" s="1">
        <v>4858</v>
      </c>
      <c r="D2409">
        <v>186</v>
      </c>
      <c r="E2409">
        <v>187</v>
      </c>
      <c r="F2409">
        <v>184.5</v>
      </c>
      <c r="G2409">
        <v>185</v>
      </c>
      <c r="H2409">
        <v>-0.5</v>
      </c>
      <c r="I2409">
        <v>27</v>
      </c>
    </row>
    <row r="2410" spans="1:9" x14ac:dyDescent="0.25">
      <c r="A2410" t="s">
        <v>1102</v>
      </c>
      <c r="B2410">
        <v>46</v>
      </c>
      <c r="C2410" s="1">
        <v>8511</v>
      </c>
      <c r="D2410">
        <v>186</v>
      </c>
      <c r="E2410">
        <v>186</v>
      </c>
      <c r="F2410">
        <v>183.5</v>
      </c>
      <c r="G2410">
        <v>185</v>
      </c>
      <c r="H2410">
        <v>0</v>
      </c>
      <c r="I2410">
        <v>32</v>
      </c>
    </row>
    <row r="2411" spans="1:9" x14ac:dyDescent="0.25">
      <c r="A2411" t="s">
        <v>1103</v>
      </c>
      <c r="B2411">
        <v>42</v>
      </c>
      <c r="C2411" s="1">
        <v>7798</v>
      </c>
      <c r="D2411">
        <v>185</v>
      </c>
      <c r="E2411">
        <v>186.5</v>
      </c>
      <c r="F2411">
        <v>184.5</v>
      </c>
      <c r="G2411">
        <v>185</v>
      </c>
      <c r="H2411">
        <v>0</v>
      </c>
      <c r="I2411">
        <v>39</v>
      </c>
    </row>
    <row r="2412" spans="1:9" x14ac:dyDescent="0.25">
      <c r="A2412" t="s">
        <v>1104</v>
      </c>
      <c r="B2412">
        <v>25</v>
      </c>
      <c r="C2412" s="1">
        <v>4652</v>
      </c>
      <c r="D2412">
        <v>185</v>
      </c>
      <c r="E2412">
        <v>185</v>
      </c>
      <c r="F2412">
        <v>184.5</v>
      </c>
      <c r="G2412">
        <v>185</v>
      </c>
      <c r="H2412">
        <v>0</v>
      </c>
      <c r="I2412">
        <v>26</v>
      </c>
    </row>
    <row r="2413" spans="1:9" x14ac:dyDescent="0.25">
      <c r="A2413" t="s">
        <v>1105</v>
      </c>
      <c r="B2413">
        <v>31</v>
      </c>
      <c r="C2413" s="1">
        <v>5783</v>
      </c>
      <c r="D2413">
        <v>185</v>
      </c>
      <c r="E2413">
        <v>187</v>
      </c>
      <c r="F2413">
        <v>185</v>
      </c>
      <c r="G2413">
        <v>186.5</v>
      </c>
      <c r="H2413">
        <v>1.5</v>
      </c>
      <c r="I2413">
        <v>29</v>
      </c>
    </row>
    <row r="2414" spans="1:9" x14ac:dyDescent="0.25">
      <c r="A2414" t="s">
        <v>1106</v>
      </c>
      <c r="B2414">
        <v>24</v>
      </c>
      <c r="C2414" s="1">
        <v>4473</v>
      </c>
      <c r="D2414">
        <v>186.5</v>
      </c>
      <c r="E2414">
        <v>186.5</v>
      </c>
      <c r="F2414">
        <v>185.5</v>
      </c>
      <c r="G2414">
        <v>185.5</v>
      </c>
      <c r="H2414">
        <v>-1</v>
      </c>
      <c r="I2414">
        <v>20</v>
      </c>
    </row>
    <row r="2415" spans="1:9" x14ac:dyDescent="0.25">
      <c r="A2415" t="s">
        <v>1107</v>
      </c>
      <c r="B2415">
        <v>24</v>
      </c>
      <c r="C2415" s="1">
        <v>4451</v>
      </c>
      <c r="D2415">
        <v>186</v>
      </c>
      <c r="E2415">
        <v>187</v>
      </c>
      <c r="F2415">
        <v>184</v>
      </c>
      <c r="G2415">
        <v>184</v>
      </c>
      <c r="H2415">
        <v>-1.5</v>
      </c>
      <c r="I2415">
        <v>24</v>
      </c>
    </row>
    <row r="2416" spans="1:9" x14ac:dyDescent="0.25">
      <c r="A2416" t="s">
        <v>1108</v>
      </c>
      <c r="B2416">
        <v>24</v>
      </c>
      <c r="C2416" s="1">
        <v>4442</v>
      </c>
      <c r="D2416">
        <v>184</v>
      </c>
      <c r="E2416">
        <v>185</v>
      </c>
      <c r="F2416">
        <v>183.5</v>
      </c>
      <c r="G2416">
        <v>183.5</v>
      </c>
      <c r="H2416">
        <v>-0.5</v>
      </c>
      <c r="I2416">
        <v>26</v>
      </c>
    </row>
    <row r="2417" spans="1:9" x14ac:dyDescent="0.25">
      <c r="A2417" t="s">
        <v>1109</v>
      </c>
      <c r="B2417">
        <v>17</v>
      </c>
      <c r="C2417" s="1">
        <v>3127</v>
      </c>
      <c r="D2417">
        <v>183.5</v>
      </c>
      <c r="E2417">
        <v>184.5</v>
      </c>
      <c r="F2417">
        <v>183.5</v>
      </c>
      <c r="G2417">
        <v>184</v>
      </c>
      <c r="H2417">
        <v>0.5</v>
      </c>
      <c r="I2417">
        <v>16</v>
      </c>
    </row>
    <row r="2418" spans="1:9" x14ac:dyDescent="0.25">
      <c r="A2418" t="s">
        <v>1110</v>
      </c>
      <c r="B2418">
        <v>31</v>
      </c>
      <c r="C2418" s="1">
        <v>5717</v>
      </c>
      <c r="D2418">
        <v>186</v>
      </c>
      <c r="E2418">
        <v>186</v>
      </c>
      <c r="F2418">
        <v>183.5</v>
      </c>
      <c r="G2418">
        <v>185</v>
      </c>
      <c r="H2418">
        <v>1</v>
      </c>
      <c r="I2418">
        <v>26</v>
      </c>
    </row>
    <row r="2419" spans="1:9" x14ac:dyDescent="0.25">
      <c r="A2419" t="s">
        <v>1111</v>
      </c>
      <c r="B2419">
        <v>45</v>
      </c>
      <c r="C2419" s="1">
        <v>8275</v>
      </c>
      <c r="D2419">
        <v>185.5</v>
      </c>
      <c r="E2419">
        <v>187</v>
      </c>
      <c r="F2419">
        <v>185</v>
      </c>
      <c r="G2419">
        <v>185</v>
      </c>
      <c r="H2419">
        <v>0</v>
      </c>
      <c r="I2419">
        <v>49</v>
      </c>
    </row>
    <row r="2420" spans="1:9" x14ac:dyDescent="0.25">
      <c r="A2420" t="s">
        <v>1112</v>
      </c>
      <c r="B2420">
        <v>37</v>
      </c>
      <c r="C2420" s="1">
        <v>6848</v>
      </c>
      <c r="D2420">
        <v>185</v>
      </c>
      <c r="E2420">
        <v>185</v>
      </c>
      <c r="F2420">
        <v>184</v>
      </c>
      <c r="G2420">
        <v>185</v>
      </c>
      <c r="H2420">
        <v>0</v>
      </c>
      <c r="I2420">
        <v>34</v>
      </c>
    </row>
    <row r="2421" spans="1:9" x14ac:dyDescent="0.25">
      <c r="A2421" t="s">
        <v>1113</v>
      </c>
      <c r="B2421">
        <v>14</v>
      </c>
      <c r="C2421" s="1">
        <v>2638</v>
      </c>
      <c r="D2421">
        <v>186</v>
      </c>
      <c r="E2421">
        <v>186</v>
      </c>
      <c r="F2421">
        <v>184</v>
      </c>
      <c r="G2421">
        <v>184.5</v>
      </c>
      <c r="H2421">
        <v>-0.5</v>
      </c>
      <c r="I2421">
        <v>14</v>
      </c>
    </row>
    <row r="2422" spans="1:9" x14ac:dyDescent="0.25">
      <c r="A2422" t="s">
        <v>1114</v>
      </c>
      <c r="B2422">
        <v>14</v>
      </c>
      <c r="C2422" s="1">
        <v>2519</v>
      </c>
      <c r="D2422">
        <v>184.5</v>
      </c>
      <c r="E2422">
        <v>185.5</v>
      </c>
      <c r="F2422">
        <v>184.5</v>
      </c>
      <c r="G2422">
        <v>185.5</v>
      </c>
      <c r="H2422">
        <v>1</v>
      </c>
      <c r="I2422">
        <v>22</v>
      </c>
    </row>
    <row r="2423" spans="1:9" x14ac:dyDescent="0.25">
      <c r="A2423" t="s">
        <v>1115</v>
      </c>
      <c r="B2423">
        <v>25</v>
      </c>
      <c r="C2423" s="1">
        <v>4654</v>
      </c>
      <c r="D2423">
        <v>185.5</v>
      </c>
      <c r="E2423">
        <v>185.5</v>
      </c>
      <c r="F2423">
        <v>184</v>
      </c>
      <c r="G2423">
        <v>184.5</v>
      </c>
      <c r="H2423">
        <v>-1</v>
      </c>
      <c r="I2423">
        <v>23</v>
      </c>
    </row>
    <row r="2424" spans="1:9" x14ac:dyDescent="0.25">
      <c r="A2424" t="s">
        <v>951</v>
      </c>
      <c r="C2424" s="1"/>
    </row>
    <row r="2425" spans="1:9" x14ac:dyDescent="0.25">
      <c r="A2425" s="9" t="s">
        <v>1073</v>
      </c>
      <c r="B2425" s="1">
        <v>30</v>
      </c>
      <c r="C2425" s="1">
        <v>5608</v>
      </c>
      <c r="D2425">
        <v>186.5</v>
      </c>
      <c r="E2425">
        <v>186.5</v>
      </c>
      <c r="F2425">
        <v>185.5</v>
      </c>
      <c r="G2425">
        <v>185.5</v>
      </c>
      <c r="H2425">
        <v>-1</v>
      </c>
      <c r="I2425" s="1">
        <v>30</v>
      </c>
    </row>
    <row r="2426" spans="1:9" x14ac:dyDescent="0.25">
      <c r="A2426" t="s">
        <v>1074</v>
      </c>
      <c r="B2426">
        <v>11</v>
      </c>
      <c r="C2426" s="1">
        <v>2025</v>
      </c>
      <c r="D2426">
        <v>184</v>
      </c>
      <c r="E2426">
        <v>184.5</v>
      </c>
      <c r="F2426">
        <v>184</v>
      </c>
      <c r="G2426">
        <v>184</v>
      </c>
      <c r="H2426">
        <v>-1.5</v>
      </c>
      <c r="I2426">
        <v>9</v>
      </c>
    </row>
    <row r="2427" spans="1:9" x14ac:dyDescent="0.25">
      <c r="A2427" t="s">
        <v>1075</v>
      </c>
      <c r="B2427">
        <v>15</v>
      </c>
      <c r="C2427" s="1">
        <v>2782</v>
      </c>
      <c r="D2427">
        <v>184</v>
      </c>
      <c r="E2427">
        <v>184</v>
      </c>
      <c r="F2427">
        <v>182</v>
      </c>
      <c r="G2427">
        <v>182.5</v>
      </c>
      <c r="H2427">
        <v>-1.5</v>
      </c>
      <c r="I2427">
        <v>17</v>
      </c>
    </row>
    <row r="2428" spans="1:9" x14ac:dyDescent="0.25">
      <c r="A2428" t="s">
        <v>1076</v>
      </c>
      <c r="B2428">
        <v>11</v>
      </c>
      <c r="C2428" s="1">
        <v>2075</v>
      </c>
      <c r="D2428">
        <v>182</v>
      </c>
      <c r="E2428">
        <v>184</v>
      </c>
      <c r="F2428">
        <v>182</v>
      </c>
      <c r="G2428">
        <v>182.5</v>
      </c>
      <c r="H2428">
        <v>0</v>
      </c>
      <c r="I2428">
        <v>15</v>
      </c>
    </row>
    <row r="2429" spans="1:9" x14ac:dyDescent="0.25">
      <c r="A2429" t="s">
        <v>1077</v>
      </c>
      <c r="B2429">
        <v>18</v>
      </c>
      <c r="C2429" s="1">
        <v>3218</v>
      </c>
      <c r="D2429">
        <v>183</v>
      </c>
      <c r="E2429">
        <v>183</v>
      </c>
      <c r="F2429">
        <v>182</v>
      </c>
      <c r="G2429">
        <v>182</v>
      </c>
      <c r="H2429">
        <v>-0.5</v>
      </c>
      <c r="I2429">
        <v>25</v>
      </c>
    </row>
    <row r="2430" spans="1:9" x14ac:dyDescent="0.25">
      <c r="A2430" t="s">
        <v>1078</v>
      </c>
      <c r="B2430">
        <v>20</v>
      </c>
      <c r="C2430" s="1">
        <v>3553</v>
      </c>
      <c r="D2430">
        <v>182</v>
      </c>
      <c r="E2430">
        <v>182.5</v>
      </c>
      <c r="F2430">
        <v>182</v>
      </c>
      <c r="G2430">
        <v>182.5</v>
      </c>
      <c r="H2430">
        <v>0.5</v>
      </c>
      <c r="I2430">
        <v>26</v>
      </c>
    </row>
    <row r="2431" spans="1:9" x14ac:dyDescent="0.25">
      <c r="A2431" t="s">
        <v>1079</v>
      </c>
      <c r="B2431">
        <v>24</v>
      </c>
      <c r="C2431" s="1">
        <v>4391</v>
      </c>
      <c r="D2431">
        <v>183</v>
      </c>
      <c r="E2431">
        <v>183</v>
      </c>
      <c r="F2431">
        <v>182</v>
      </c>
      <c r="G2431">
        <v>182</v>
      </c>
      <c r="H2431">
        <v>-0.5</v>
      </c>
      <c r="I2431">
        <v>22</v>
      </c>
    </row>
    <row r="2432" spans="1:9" x14ac:dyDescent="0.25">
      <c r="A2432" t="s">
        <v>1080</v>
      </c>
      <c r="B2432">
        <v>20</v>
      </c>
      <c r="C2432" s="1">
        <v>3663</v>
      </c>
      <c r="D2432">
        <v>183</v>
      </c>
      <c r="E2432">
        <v>183</v>
      </c>
      <c r="F2432">
        <v>182.5</v>
      </c>
      <c r="G2432">
        <v>183</v>
      </c>
      <c r="H2432">
        <v>1</v>
      </c>
      <c r="I2432">
        <v>22</v>
      </c>
    </row>
    <row r="2433" spans="1:9" x14ac:dyDescent="0.25">
      <c r="A2433" t="s">
        <v>1081</v>
      </c>
      <c r="B2433">
        <v>24</v>
      </c>
      <c r="C2433" s="1">
        <v>4387</v>
      </c>
      <c r="D2433">
        <v>182.5</v>
      </c>
      <c r="E2433">
        <v>183</v>
      </c>
      <c r="F2433">
        <v>182.5</v>
      </c>
      <c r="G2433">
        <v>183</v>
      </c>
      <c r="H2433">
        <v>0</v>
      </c>
      <c r="I2433">
        <v>22</v>
      </c>
    </row>
    <row r="2434" spans="1:9" x14ac:dyDescent="0.25">
      <c r="A2434" t="s">
        <v>1082</v>
      </c>
      <c r="B2434">
        <v>43</v>
      </c>
      <c r="C2434" s="1">
        <v>7911</v>
      </c>
      <c r="D2434">
        <v>184.5</v>
      </c>
      <c r="E2434">
        <v>184.5</v>
      </c>
      <c r="F2434">
        <v>182.5</v>
      </c>
      <c r="G2434">
        <v>182.5</v>
      </c>
      <c r="H2434">
        <v>-0.5</v>
      </c>
      <c r="I2434">
        <v>37</v>
      </c>
    </row>
    <row r="2435" spans="1:9" x14ac:dyDescent="0.25">
      <c r="A2435" t="s">
        <v>1083</v>
      </c>
      <c r="B2435">
        <v>55</v>
      </c>
      <c r="C2435" s="1">
        <v>10127</v>
      </c>
      <c r="D2435">
        <v>183.5</v>
      </c>
      <c r="E2435">
        <v>184</v>
      </c>
      <c r="F2435">
        <v>183.5</v>
      </c>
      <c r="G2435">
        <v>184</v>
      </c>
      <c r="H2435">
        <v>1.5</v>
      </c>
      <c r="I2435">
        <v>45</v>
      </c>
    </row>
    <row r="2436" spans="1:9" x14ac:dyDescent="0.25">
      <c r="A2436" t="s">
        <v>1084</v>
      </c>
      <c r="B2436">
        <v>44</v>
      </c>
      <c r="C2436" s="1">
        <v>8113</v>
      </c>
      <c r="D2436">
        <v>185</v>
      </c>
      <c r="E2436">
        <v>185</v>
      </c>
      <c r="F2436">
        <v>183.5</v>
      </c>
      <c r="G2436">
        <v>184</v>
      </c>
      <c r="H2436">
        <v>0</v>
      </c>
      <c r="I2436">
        <v>26</v>
      </c>
    </row>
    <row r="2437" spans="1:9" x14ac:dyDescent="0.25">
      <c r="A2437" t="s">
        <v>1085</v>
      </c>
      <c r="B2437">
        <v>72</v>
      </c>
      <c r="C2437" s="1">
        <v>13264</v>
      </c>
      <c r="D2437">
        <v>184</v>
      </c>
      <c r="E2437">
        <v>186.5</v>
      </c>
      <c r="F2437">
        <v>183.5</v>
      </c>
      <c r="G2437">
        <v>186.5</v>
      </c>
      <c r="H2437">
        <v>2.5</v>
      </c>
      <c r="I2437">
        <v>43</v>
      </c>
    </row>
    <row r="2438" spans="1:9" x14ac:dyDescent="0.25">
      <c r="A2438" t="s">
        <v>1086</v>
      </c>
      <c r="B2438">
        <v>92</v>
      </c>
      <c r="C2438" s="1">
        <v>17255</v>
      </c>
      <c r="D2438">
        <v>185.5</v>
      </c>
      <c r="E2438">
        <v>190</v>
      </c>
      <c r="F2438">
        <v>185.5</v>
      </c>
      <c r="G2438">
        <v>188</v>
      </c>
      <c r="H2438">
        <v>1.5</v>
      </c>
      <c r="I2438">
        <v>77</v>
      </c>
    </row>
    <row r="2439" spans="1:9" x14ac:dyDescent="0.25">
      <c r="A2439" t="s">
        <v>1087</v>
      </c>
      <c r="B2439">
        <v>19</v>
      </c>
      <c r="C2439" s="1">
        <v>3582</v>
      </c>
      <c r="D2439">
        <v>188</v>
      </c>
      <c r="E2439">
        <v>188</v>
      </c>
      <c r="F2439">
        <v>186</v>
      </c>
      <c r="G2439">
        <v>186</v>
      </c>
      <c r="H2439">
        <v>-2</v>
      </c>
      <c r="I2439">
        <v>19</v>
      </c>
    </row>
    <row r="2440" spans="1:9" x14ac:dyDescent="0.25">
      <c r="A2440" t="s">
        <v>1088</v>
      </c>
      <c r="B2440">
        <v>49</v>
      </c>
      <c r="C2440" s="1">
        <v>9047</v>
      </c>
      <c r="D2440">
        <v>185</v>
      </c>
      <c r="E2440">
        <v>185.5</v>
      </c>
      <c r="F2440">
        <v>183</v>
      </c>
      <c r="G2440">
        <v>184</v>
      </c>
      <c r="H2440">
        <v>-2</v>
      </c>
      <c r="I2440">
        <v>44</v>
      </c>
    </row>
    <row r="2441" spans="1:9" x14ac:dyDescent="0.25">
      <c r="A2441" t="s">
        <v>1089</v>
      </c>
      <c r="B2441">
        <v>42</v>
      </c>
      <c r="C2441" s="1">
        <v>7728</v>
      </c>
      <c r="D2441">
        <v>184</v>
      </c>
      <c r="E2441">
        <v>184.5</v>
      </c>
      <c r="F2441">
        <v>183</v>
      </c>
      <c r="G2441">
        <v>183.5</v>
      </c>
      <c r="H2441">
        <v>-0.5</v>
      </c>
      <c r="I2441">
        <v>24</v>
      </c>
    </row>
    <row r="2442" spans="1:9" x14ac:dyDescent="0.25">
      <c r="A2442" t="s">
        <v>1090</v>
      </c>
      <c r="B2442">
        <v>31</v>
      </c>
      <c r="C2442" s="1">
        <v>5712</v>
      </c>
      <c r="D2442">
        <v>183.5</v>
      </c>
      <c r="E2442">
        <v>184.5</v>
      </c>
      <c r="F2442">
        <v>183.5</v>
      </c>
      <c r="G2442">
        <v>184</v>
      </c>
      <c r="H2442">
        <v>0.5</v>
      </c>
      <c r="I2442">
        <v>18</v>
      </c>
    </row>
    <row r="2443" spans="1:9" x14ac:dyDescent="0.25">
      <c r="A2443" t="s">
        <v>1091</v>
      </c>
      <c r="B2443">
        <v>8</v>
      </c>
      <c r="C2443" s="1">
        <v>1483</v>
      </c>
      <c r="D2443">
        <v>184.5</v>
      </c>
      <c r="E2443">
        <v>184.5</v>
      </c>
      <c r="F2443">
        <v>183</v>
      </c>
      <c r="G2443">
        <v>183</v>
      </c>
      <c r="H2443">
        <v>-1</v>
      </c>
      <c r="I2443">
        <v>10</v>
      </c>
    </row>
    <row r="2444" spans="1:9" x14ac:dyDescent="0.25">
      <c r="A2444" t="s">
        <v>1092</v>
      </c>
      <c r="B2444">
        <v>71</v>
      </c>
      <c r="C2444" s="1">
        <v>13051</v>
      </c>
      <c r="D2444">
        <v>183</v>
      </c>
      <c r="E2444">
        <v>184.5</v>
      </c>
      <c r="F2444">
        <v>183</v>
      </c>
      <c r="G2444">
        <v>183</v>
      </c>
      <c r="H2444">
        <v>0</v>
      </c>
      <c r="I2444">
        <v>34</v>
      </c>
    </row>
    <row r="2445" spans="1:9" x14ac:dyDescent="0.25">
      <c r="A2445" t="s">
        <v>927</v>
      </c>
      <c r="C2445" s="1"/>
    </row>
    <row r="2449" spans="1:9" x14ac:dyDescent="0.25">
      <c r="A2449" s="9" t="s">
        <v>1052</v>
      </c>
      <c r="B2449" s="1">
        <v>97</v>
      </c>
      <c r="C2449" s="1">
        <v>19263</v>
      </c>
      <c r="D2449">
        <v>197.5</v>
      </c>
      <c r="E2449">
        <v>199.5</v>
      </c>
      <c r="F2449">
        <v>197.5</v>
      </c>
      <c r="G2449">
        <v>199.5</v>
      </c>
      <c r="H2449">
        <v>2.5</v>
      </c>
      <c r="I2449" s="1">
        <v>88</v>
      </c>
    </row>
    <row r="2450" spans="1:9" x14ac:dyDescent="0.25">
      <c r="A2450" t="s">
        <v>1053</v>
      </c>
      <c r="B2450">
        <v>83</v>
      </c>
      <c r="C2450" s="1">
        <v>16684</v>
      </c>
      <c r="D2450">
        <v>199.5</v>
      </c>
      <c r="E2450">
        <v>202.5</v>
      </c>
      <c r="F2450">
        <v>198</v>
      </c>
      <c r="G2450">
        <v>200.5</v>
      </c>
      <c r="H2450">
        <v>1</v>
      </c>
      <c r="I2450">
        <v>78</v>
      </c>
    </row>
    <row r="2451" spans="1:9" x14ac:dyDescent="0.25">
      <c r="A2451" t="s">
        <v>1054</v>
      </c>
      <c r="B2451">
        <v>44</v>
      </c>
      <c r="C2451" s="1">
        <v>8815</v>
      </c>
      <c r="D2451">
        <v>200</v>
      </c>
      <c r="E2451">
        <v>202</v>
      </c>
      <c r="F2451">
        <v>195.5</v>
      </c>
      <c r="G2451">
        <v>200</v>
      </c>
      <c r="H2451">
        <v>-0.5</v>
      </c>
      <c r="I2451">
        <v>38</v>
      </c>
    </row>
    <row r="2452" spans="1:9" x14ac:dyDescent="0.25">
      <c r="A2452" t="s">
        <v>1055</v>
      </c>
      <c r="B2452">
        <v>22</v>
      </c>
      <c r="C2452" s="1">
        <v>4418</v>
      </c>
      <c r="D2452">
        <v>200</v>
      </c>
      <c r="E2452">
        <v>202</v>
      </c>
      <c r="F2452">
        <v>199</v>
      </c>
      <c r="G2452">
        <v>199</v>
      </c>
      <c r="H2452">
        <v>-1</v>
      </c>
      <c r="I2452">
        <v>21</v>
      </c>
    </row>
    <row r="2453" spans="1:9" x14ac:dyDescent="0.25">
      <c r="A2453" t="s">
        <v>1056</v>
      </c>
      <c r="B2453">
        <v>31</v>
      </c>
      <c r="C2453" s="1">
        <v>6184</v>
      </c>
      <c r="D2453">
        <v>199.5</v>
      </c>
      <c r="E2453">
        <v>200</v>
      </c>
      <c r="F2453">
        <v>198</v>
      </c>
      <c r="G2453">
        <v>198</v>
      </c>
      <c r="H2453">
        <v>-1</v>
      </c>
      <c r="I2453">
        <v>22</v>
      </c>
    </row>
    <row r="2454" spans="1:9" x14ac:dyDescent="0.25">
      <c r="A2454" t="s">
        <v>1057</v>
      </c>
      <c r="B2454">
        <v>74</v>
      </c>
      <c r="C2454" s="1">
        <v>14694</v>
      </c>
      <c r="D2454">
        <v>198</v>
      </c>
      <c r="E2454">
        <v>200</v>
      </c>
      <c r="F2454">
        <v>196</v>
      </c>
      <c r="G2454">
        <v>196</v>
      </c>
      <c r="H2454">
        <v>-2</v>
      </c>
      <c r="I2454">
        <v>57</v>
      </c>
    </row>
    <row r="2455" spans="1:9" x14ac:dyDescent="0.25">
      <c r="A2455" t="s">
        <v>1058</v>
      </c>
      <c r="B2455">
        <v>33</v>
      </c>
      <c r="C2455" s="1">
        <v>6452</v>
      </c>
      <c r="D2455">
        <v>196</v>
      </c>
      <c r="E2455">
        <v>196</v>
      </c>
      <c r="F2455">
        <v>194.5</v>
      </c>
      <c r="G2455">
        <v>194.5</v>
      </c>
      <c r="H2455">
        <v>-1.5</v>
      </c>
      <c r="I2455">
        <v>26</v>
      </c>
    </row>
    <row r="2456" spans="1:9" x14ac:dyDescent="0.25">
      <c r="A2456" t="s">
        <v>1059</v>
      </c>
      <c r="B2456">
        <v>124</v>
      </c>
      <c r="C2456" s="1">
        <v>23878</v>
      </c>
      <c r="D2456">
        <v>194.5</v>
      </c>
      <c r="E2456">
        <v>194.5</v>
      </c>
      <c r="F2456">
        <v>191.5</v>
      </c>
      <c r="G2456">
        <v>192.5</v>
      </c>
      <c r="H2456">
        <v>-2</v>
      </c>
      <c r="I2456">
        <v>105</v>
      </c>
    </row>
    <row r="2457" spans="1:9" x14ac:dyDescent="0.25">
      <c r="A2457" t="s">
        <v>1060</v>
      </c>
      <c r="B2457">
        <v>133</v>
      </c>
      <c r="C2457" s="1">
        <v>25588</v>
      </c>
      <c r="D2457">
        <v>192.5</v>
      </c>
      <c r="E2457">
        <v>192.5</v>
      </c>
      <c r="F2457">
        <v>192</v>
      </c>
      <c r="G2457">
        <v>192</v>
      </c>
      <c r="H2457">
        <v>-0.5</v>
      </c>
      <c r="I2457">
        <v>100</v>
      </c>
    </row>
    <row r="2458" spans="1:9" x14ac:dyDescent="0.25">
      <c r="A2458" t="s">
        <v>1061</v>
      </c>
      <c r="B2458">
        <v>171</v>
      </c>
      <c r="C2458" s="1">
        <v>32782</v>
      </c>
      <c r="D2458">
        <v>192.5</v>
      </c>
      <c r="E2458">
        <v>192.5</v>
      </c>
      <c r="F2458">
        <v>190.5</v>
      </c>
      <c r="G2458">
        <v>191</v>
      </c>
      <c r="H2458">
        <v>-1</v>
      </c>
      <c r="I2458">
        <v>122</v>
      </c>
    </row>
    <row r="2459" spans="1:9" x14ac:dyDescent="0.25">
      <c r="A2459" t="s">
        <v>1062</v>
      </c>
      <c r="B2459">
        <v>178</v>
      </c>
      <c r="C2459" s="1">
        <v>34036</v>
      </c>
      <c r="D2459">
        <v>191.5</v>
      </c>
      <c r="E2459">
        <v>192</v>
      </c>
      <c r="F2459">
        <v>190.5</v>
      </c>
      <c r="G2459">
        <v>191</v>
      </c>
      <c r="H2459">
        <v>0</v>
      </c>
      <c r="I2459">
        <v>139</v>
      </c>
    </row>
    <row r="2460" spans="1:9" x14ac:dyDescent="0.25">
      <c r="A2460" t="s">
        <v>1063</v>
      </c>
      <c r="B2460">
        <v>387</v>
      </c>
      <c r="C2460" s="1">
        <v>74277</v>
      </c>
      <c r="D2460">
        <v>192</v>
      </c>
      <c r="E2460">
        <v>192.5</v>
      </c>
      <c r="F2460">
        <v>190.5</v>
      </c>
      <c r="G2460">
        <v>192</v>
      </c>
      <c r="H2460">
        <v>1</v>
      </c>
      <c r="I2460">
        <v>286</v>
      </c>
    </row>
    <row r="2461" spans="1:9" x14ac:dyDescent="0.25">
      <c r="A2461" t="s">
        <v>1064</v>
      </c>
      <c r="B2461">
        <v>225</v>
      </c>
      <c r="C2461" s="1">
        <v>41237</v>
      </c>
      <c r="D2461">
        <v>182</v>
      </c>
      <c r="E2461">
        <v>185</v>
      </c>
      <c r="F2461">
        <v>181</v>
      </c>
      <c r="G2461">
        <v>184.5</v>
      </c>
      <c r="H2461">
        <v>3.5</v>
      </c>
      <c r="I2461">
        <v>201</v>
      </c>
    </row>
    <row r="2462" spans="1:9" x14ac:dyDescent="0.25">
      <c r="A2462" t="s">
        <v>1065</v>
      </c>
      <c r="B2462">
        <v>53</v>
      </c>
      <c r="C2462" s="1">
        <v>9815</v>
      </c>
      <c r="D2462">
        <v>185</v>
      </c>
      <c r="E2462">
        <v>185.5</v>
      </c>
      <c r="F2462">
        <v>184</v>
      </c>
      <c r="G2462">
        <v>185</v>
      </c>
      <c r="H2462">
        <v>0.5</v>
      </c>
      <c r="I2462">
        <v>55</v>
      </c>
    </row>
    <row r="2463" spans="1:9" x14ac:dyDescent="0.25">
      <c r="A2463" t="s">
        <v>1066</v>
      </c>
      <c r="B2463">
        <v>25</v>
      </c>
      <c r="C2463" s="1">
        <v>4628</v>
      </c>
      <c r="D2463">
        <v>185</v>
      </c>
      <c r="E2463">
        <v>185</v>
      </c>
      <c r="F2463">
        <v>184</v>
      </c>
      <c r="G2463">
        <v>184</v>
      </c>
      <c r="H2463">
        <v>-1</v>
      </c>
      <c r="I2463">
        <v>26</v>
      </c>
    </row>
    <row r="2464" spans="1:9" x14ac:dyDescent="0.25">
      <c r="A2464" t="s">
        <v>1067</v>
      </c>
      <c r="B2464">
        <v>54</v>
      </c>
      <c r="C2464" s="1">
        <v>9871</v>
      </c>
      <c r="D2464">
        <v>184</v>
      </c>
      <c r="E2464">
        <v>184</v>
      </c>
      <c r="F2464">
        <v>181.5</v>
      </c>
      <c r="G2464">
        <v>182</v>
      </c>
      <c r="H2464">
        <v>-2</v>
      </c>
      <c r="I2464">
        <v>48</v>
      </c>
    </row>
    <row r="2465" spans="1:9" x14ac:dyDescent="0.25">
      <c r="A2465" t="s">
        <v>1068</v>
      </c>
      <c r="B2465">
        <v>130</v>
      </c>
      <c r="C2465" s="1">
        <v>23502</v>
      </c>
      <c r="D2465">
        <v>182</v>
      </c>
      <c r="E2465">
        <v>182</v>
      </c>
      <c r="F2465">
        <v>179</v>
      </c>
      <c r="G2465">
        <v>180</v>
      </c>
      <c r="H2465">
        <v>-2</v>
      </c>
      <c r="I2465">
        <v>97</v>
      </c>
    </row>
    <row r="2466" spans="1:9" x14ac:dyDescent="0.25">
      <c r="A2466" t="s">
        <v>1069</v>
      </c>
      <c r="B2466">
        <v>73</v>
      </c>
      <c r="C2466" s="1">
        <v>13300</v>
      </c>
      <c r="D2466">
        <v>179</v>
      </c>
      <c r="E2466">
        <v>184</v>
      </c>
      <c r="F2466">
        <v>179</v>
      </c>
      <c r="G2466">
        <v>182.5</v>
      </c>
      <c r="H2466">
        <v>2.5</v>
      </c>
      <c r="I2466">
        <v>62</v>
      </c>
    </row>
    <row r="2467" spans="1:9" x14ac:dyDescent="0.25">
      <c r="A2467" t="s">
        <v>1070</v>
      </c>
      <c r="B2467">
        <v>16</v>
      </c>
      <c r="C2467" s="1">
        <v>2944</v>
      </c>
      <c r="D2467">
        <v>182.5</v>
      </c>
      <c r="E2467">
        <v>183</v>
      </c>
      <c r="F2467">
        <v>180</v>
      </c>
      <c r="G2467">
        <v>182</v>
      </c>
      <c r="H2467">
        <v>-0.5</v>
      </c>
      <c r="I2467">
        <v>19</v>
      </c>
    </row>
    <row r="2468" spans="1:9" x14ac:dyDescent="0.25">
      <c r="A2468" t="s">
        <v>1071</v>
      </c>
      <c r="B2468">
        <v>18</v>
      </c>
      <c r="C2468" s="1">
        <v>3322</v>
      </c>
      <c r="D2468">
        <v>182.5</v>
      </c>
      <c r="E2468">
        <v>183</v>
      </c>
      <c r="F2468">
        <v>182.5</v>
      </c>
      <c r="G2468">
        <v>183</v>
      </c>
      <c r="H2468">
        <v>1</v>
      </c>
      <c r="I2468">
        <v>20</v>
      </c>
    </row>
    <row r="2469" spans="1:9" x14ac:dyDescent="0.25">
      <c r="A2469" t="s">
        <v>1072</v>
      </c>
      <c r="B2469">
        <v>79</v>
      </c>
      <c r="C2469" s="1">
        <v>14635</v>
      </c>
      <c r="D2469">
        <v>183</v>
      </c>
      <c r="E2469">
        <v>186.5</v>
      </c>
      <c r="F2469">
        <v>183</v>
      </c>
      <c r="G2469">
        <v>186.5</v>
      </c>
      <c r="H2469">
        <v>3.5</v>
      </c>
      <c r="I2469">
        <v>63</v>
      </c>
    </row>
    <row r="2470" spans="1:9" x14ac:dyDescent="0.25">
      <c r="A2470" t="s">
        <v>973</v>
      </c>
      <c r="C2470" s="1"/>
    </row>
    <row r="2473" spans="1:9" x14ac:dyDescent="0.25">
      <c r="A2473" s="9" t="s">
        <v>1031</v>
      </c>
      <c r="B2473" s="1">
        <v>2</v>
      </c>
      <c r="C2473" s="1">
        <v>380</v>
      </c>
      <c r="D2473">
        <v>190</v>
      </c>
      <c r="E2473">
        <v>190</v>
      </c>
      <c r="F2473">
        <v>190</v>
      </c>
      <c r="G2473">
        <v>190</v>
      </c>
      <c r="H2473">
        <v>0</v>
      </c>
      <c r="I2473" s="1">
        <v>3</v>
      </c>
    </row>
    <row r="2474" spans="1:9" x14ac:dyDescent="0.25">
      <c r="A2474" t="s">
        <v>1032</v>
      </c>
      <c r="B2474">
        <v>19</v>
      </c>
      <c r="C2474" s="1">
        <v>3585</v>
      </c>
      <c r="D2474">
        <v>190</v>
      </c>
      <c r="E2474">
        <v>190</v>
      </c>
      <c r="F2474">
        <v>185.5</v>
      </c>
      <c r="G2474">
        <v>186</v>
      </c>
      <c r="H2474">
        <v>-4</v>
      </c>
      <c r="I2474">
        <v>20</v>
      </c>
    </row>
    <row r="2475" spans="1:9" x14ac:dyDescent="0.25">
      <c r="A2475" t="s">
        <v>1033</v>
      </c>
      <c r="B2475">
        <v>20</v>
      </c>
      <c r="C2475" s="1">
        <v>3728</v>
      </c>
      <c r="D2475">
        <v>186</v>
      </c>
      <c r="E2475">
        <v>188.5</v>
      </c>
      <c r="F2475">
        <v>185</v>
      </c>
      <c r="G2475">
        <v>187</v>
      </c>
      <c r="H2475">
        <v>1</v>
      </c>
      <c r="I2475">
        <v>17</v>
      </c>
    </row>
    <row r="2476" spans="1:9" x14ac:dyDescent="0.25">
      <c r="A2476" t="s">
        <v>1034</v>
      </c>
      <c r="B2476">
        <v>31</v>
      </c>
      <c r="C2476" s="1">
        <v>5759</v>
      </c>
      <c r="D2476">
        <v>187.5</v>
      </c>
      <c r="E2476">
        <v>187.5</v>
      </c>
      <c r="F2476">
        <v>185</v>
      </c>
      <c r="G2476">
        <v>186.5</v>
      </c>
      <c r="H2476">
        <v>-0.5</v>
      </c>
      <c r="I2476">
        <v>24</v>
      </c>
    </row>
    <row r="2477" spans="1:9" x14ac:dyDescent="0.25">
      <c r="A2477" t="s">
        <v>1035</v>
      </c>
      <c r="B2477">
        <v>18</v>
      </c>
      <c r="C2477" s="1">
        <v>3365</v>
      </c>
      <c r="D2477">
        <v>186</v>
      </c>
      <c r="E2477">
        <v>186.5</v>
      </c>
      <c r="F2477">
        <v>185.5</v>
      </c>
      <c r="G2477">
        <v>186</v>
      </c>
      <c r="H2477">
        <v>-0.5</v>
      </c>
      <c r="I2477">
        <v>18</v>
      </c>
    </row>
    <row r="2478" spans="1:9" x14ac:dyDescent="0.25">
      <c r="A2478" t="s">
        <v>1036</v>
      </c>
      <c r="B2478">
        <v>17</v>
      </c>
      <c r="C2478" s="1">
        <v>3099</v>
      </c>
      <c r="D2478">
        <v>186</v>
      </c>
      <c r="E2478">
        <v>187.5</v>
      </c>
      <c r="F2478">
        <v>186</v>
      </c>
      <c r="G2478">
        <v>186</v>
      </c>
      <c r="H2478">
        <v>0</v>
      </c>
      <c r="I2478">
        <v>17</v>
      </c>
    </row>
    <row r="2479" spans="1:9" x14ac:dyDescent="0.25">
      <c r="A2479" t="s">
        <v>1037</v>
      </c>
      <c r="B2479">
        <v>24</v>
      </c>
      <c r="C2479" s="1">
        <v>4516</v>
      </c>
      <c r="D2479">
        <v>187</v>
      </c>
      <c r="E2479">
        <v>188.5</v>
      </c>
      <c r="F2479">
        <v>187</v>
      </c>
      <c r="G2479">
        <v>188</v>
      </c>
      <c r="H2479">
        <v>2</v>
      </c>
      <c r="I2479">
        <v>23</v>
      </c>
    </row>
    <row r="2480" spans="1:9" x14ac:dyDescent="0.25">
      <c r="A2480" t="s">
        <v>1038</v>
      </c>
      <c r="B2480">
        <v>26</v>
      </c>
      <c r="C2480" s="1">
        <v>4880</v>
      </c>
      <c r="D2480">
        <v>189</v>
      </c>
      <c r="E2480">
        <v>189</v>
      </c>
      <c r="F2480">
        <v>186</v>
      </c>
      <c r="G2480">
        <v>186</v>
      </c>
      <c r="H2480">
        <v>-2</v>
      </c>
      <c r="I2480">
        <v>23</v>
      </c>
    </row>
    <row r="2481" spans="1:9" x14ac:dyDescent="0.25">
      <c r="A2481" t="s">
        <v>1039</v>
      </c>
      <c r="B2481">
        <v>37</v>
      </c>
      <c r="C2481" s="1">
        <v>6927</v>
      </c>
      <c r="D2481">
        <v>185.5</v>
      </c>
      <c r="E2481">
        <v>190</v>
      </c>
      <c r="F2481">
        <v>185</v>
      </c>
      <c r="G2481">
        <v>190</v>
      </c>
      <c r="H2481">
        <v>4</v>
      </c>
      <c r="I2481">
        <v>32</v>
      </c>
    </row>
    <row r="2482" spans="1:9" x14ac:dyDescent="0.25">
      <c r="A2482" t="s">
        <v>1040</v>
      </c>
      <c r="B2482">
        <v>10</v>
      </c>
      <c r="C2482" s="1">
        <v>1888</v>
      </c>
      <c r="D2482">
        <v>192.5</v>
      </c>
      <c r="E2482">
        <v>192.5</v>
      </c>
      <c r="F2482">
        <v>187</v>
      </c>
      <c r="G2482">
        <v>187</v>
      </c>
      <c r="H2482">
        <v>-3</v>
      </c>
      <c r="I2482">
        <v>10</v>
      </c>
    </row>
    <row r="2483" spans="1:9" x14ac:dyDescent="0.25">
      <c r="A2483" t="s">
        <v>1041</v>
      </c>
      <c r="B2483">
        <v>9</v>
      </c>
      <c r="C2483" s="1">
        <v>1687</v>
      </c>
      <c r="D2483">
        <v>187</v>
      </c>
      <c r="E2483">
        <v>188</v>
      </c>
      <c r="F2483">
        <v>187</v>
      </c>
      <c r="G2483">
        <v>187.5</v>
      </c>
      <c r="H2483">
        <v>0.5</v>
      </c>
      <c r="I2483">
        <v>9</v>
      </c>
    </row>
    <row r="2484" spans="1:9" x14ac:dyDescent="0.25">
      <c r="A2484" t="s">
        <v>1042</v>
      </c>
      <c r="B2484">
        <v>4</v>
      </c>
      <c r="C2484" s="1">
        <v>750</v>
      </c>
      <c r="D2484">
        <v>187.5</v>
      </c>
      <c r="E2484">
        <v>187.5</v>
      </c>
      <c r="F2484">
        <v>187.5</v>
      </c>
      <c r="G2484">
        <v>187.5</v>
      </c>
      <c r="H2484">
        <v>0</v>
      </c>
      <c r="I2484">
        <v>4</v>
      </c>
    </row>
    <row r="2485" spans="1:9" x14ac:dyDescent="0.25">
      <c r="A2485" t="s">
        <v>1043</v>
      </c>
      <c r="B2485">
        <v>5</v>
      </c>
      <c r="C2485" s="1">
        <v>955</v>
      </c>
      <c r="D2485">
        <v>187.5</v>
      </c>
      <c r="E2485">
        <v>187.5</v>
      </c>
      <c r="F2485">
        <v>186.5</v>
      </c>
      <c r="G2485">
        <v>186.5</v>
      </c>
      <c r="H2485">
        <v>-1</v>
      </c>
      <c r="I2485">
        <v>8</v>
      </c>
    </row>
    <row r="2486" spans="1:9" x14ac:dyDescent="0.25">
      <c r="A2486" t="s">
        <v>1044</v>
      </c>
      <c r="B2486">
        <v>3</v>
      </c>
      <c r="C2486" s="1">
        <v>560</v>
      </c>
      <c r="D2486">
        <v>186.5</v>
      </c>
      <c r="E2486">
        <v>186.5</v>
      </c>
      <c r="F2486">
        <v>186.5</v>
      </c>
      <c r="G2486">
        <v>186.5</v>
      </c>
      <c r="H2486">
        <v>0</v>
      </c>
      <c r="I2486">
        <v>3</v>
      </c>
    </row>
    <row r="2487" spans="1:9" x14ac:dyDescent="0.25">
      <c r="A2487" t="s">
        <v>1045</v>
      </c>
      <c r="B2487">
        <v>16</v>
      </c>
      <c r="C2487" s="1">
        <v>3059</v>
      </c>
      <c r="D2487">
        <v>190</v>
      </c>
      <c r="E2487">
        <v>190</v>
      </c>
      <c r="F2487">
        <v>189</v>
      </c>
      <c r="G2487">
        <v>189.5</v>
      </c>
      <c r="H2487">
        <v>3</v>
      </c>
      <c r="I2487">
        <v>19</v>
      </c>
    </row>
    <row r="2488" spans="1:9" x14ac:dyDescent="0.25">
      <c r="A2488" t="s">
        <v>1046</v>
      </c>
      <c r="B2488">
        <v>27</v>
      </c>
      <c r="C2488" s="1">
        <v>5126</v>
      </c>
      <c r="D2488">
        <v>189.5</v>
      </c>
      <c r="E2488">
        <v>191</v>
      </c>
      <c r="F2488">
        <v>189</v>
      </c>
      <c r="G2488">
        <v>190.5</v>
      </c>
      <c r="H2488">
        <v>1</v>
      </c>
      <c r="I2488">
        <v>20</v>
      </c>
    </row>
    <row r="2489" spans="1:9" x14ac:dyDescent="0.25">
      <c r="A2489" t="s">
        <v>1047</v>
      </c>
      <c r="B2489">
        <v>23</v>
      </c>
      <c r="C2489" s="1">
        <v>4378</v>
      </c>
      <c r="D2489">
        <v>190</v>
      </c>
      <c r="E2489">
        <v>191</v>
      </c>
      <c r="F2489">
        <v>189</v>
      </c>
      <c r="G2489">
        <v>189.5</v>
      </c>
      <c r="H2489">
        <v>-1</v>
      </c>
      <c r="I2489">
        <v>20</v>
      </c>
    </row>
    <row r="2490" spans="1:9" x14ac:dyDescent="0.25">
      <c r="A2490" t="s">
        <v>1048</v>
      </c>
      <c r="B2490">
        <v>66</v>
      </c>
      <c r="C2490" s="1">
        <v>12720</v>
      </c>
      <c r="D2490">
        <v>192</v>
      </c>
      <c r="E2490">
        <v>195</v>
      </c>
      <c r="F2490">
        <v>191</v>
      </c>
      <c r="G2490">
        <v>192</v>
      </c>
      <c r="H2490">
        <v>2.5</v>
      </c>
      <c r="I2490">
        <v>64</v>
      </c>
    </row>
    <row r="2491" spans="1:9" x14ac:dyDescent="0.25">
      <c r="A2491" t="s">
        <v>1049</v>
      </c>
      <c r="B2491">
        <v>104</v>
      </c>
      <c r="C2491" s="1">
        <v>20176</v>
      </c>
      <c r="D2491">
        <v>192</v>
      </c>
      <c r="E2491">
        <v>196</v>
      </c>
      <c r="F2491">
        <v>191.5</v>
      </c>
      <c r="G2491">
        <v>195</v>
      </c>
      <c r="H2491">
        <v>3</v>
      </c>
      <c r="I2491">
        <v>81</v>
      </c>
    </row>
    <row r="2492" spans="1:9" x14ac:dyDescent="0.25">
      <c r="A2492" t="s">
        <v>1050</v>
      </c>
      <c r="B2492">
        <v>63</v>
      </c>
      <c r="C2492" s="1">
        <v>12350</v>
      </c>
      <c r="D2492">
        <v>195</v>
      </c>
      <c r="E2492">
        <v>197</v>
      </c>
      <c r="F2492">
        <v>193.5</v>
      </c>
      <c r="G2492">
        <v>197</v>
      </c>
      <c r="H2492">
        <v>2</v>
      </c>
      <c r="I2492">
        <v>55</v>
      </c>
    </row>
    <row r="2493" spans="1:9" x14ac:dyDescent="0.25">
      <c r="A2493" t="s">
        <v>1051</v>
      </c>
      <c r="B2493">
        <v>44</v>
      </c>
      <c r="C2493" s="1">
        <v>8674</v>
      </c>
      <c r="D2493">
        <v>196</v>
      </c>
      <c r="E2493">
        <v>197</v>
      </c>
      <c r="F2493">
        <v>195</v>
      </c>
      <c r="G2493">
        <v>197</v>
      </c>
      <c r="H2493">
        <v>0</v>
      </c>
      <c r="I2493">
        <v>37</v>
      </c>
    </row>
    <row r="2494" spans="1:9" x14ac:dyDescent="0.25">
      <c r="A2494" t="s">
        <v>973</v>
      </c>
      <c r="C2494" s="1"/>
    </row>
    <row r="2497" spans="1:9" x14ac:dyDescent="0.25">
      <c r="A2497" s="9" t="s">
        <v>1011</v>
      </c>
      <c r="B2497" s="1">
        <v>47</v>
      </c>
      <c r="C2497" s="1">
        <v>9032</v>
      </c>
      <c r="D2497">
        <v>191</v>
      </c>
      <c r="E2497">
        <v>193</v>
      </c>
      <c r="F2497">
        <v>190.5</v>
      </c>
      <c r="G2497">
        <v>193</v>
      </c>
      <c r="H2497">
        <v>0</v>
      </c>
      <c r="I2497" s="1">
        <v>42</v>
      </c>
    </row>
    <row r="2498" spans="1:9" x14ac:dyDescent="0.25">
      <c r="A2498" t="s">
        <v>1012</v>
      </c>
      <c r="B2498">
        <v>29</v>
      </c>
      <c r="C2498" s="1">
        <v>5573</v>
      </c>
      <c r="D2498">
        <v>192.5</v>
      </c>
      <c r="E2498">
        <v>193</v>
      </c>
      <c r="F2498">
        <v>191</v>
      </c>
      <c r="G2498">
        <v>193</v>
      </c>
      <c r="H2498">
        <v>0</v>
      </c>
      <c r="I2498">
        <v>26</v>
      </c>
    </row>
    <row r="2499" spans="1:9" x14ac:dyDescent="0.25">
      <c r="A2499" t="s">
        <v>1013</v>
      </c>
      <c r="B2499">
        <v>29</v>
      </c>
      <c r="C2499" s="1">
        <v>5645</v>
      </c>
      <c r="D2499">
        <v>195</v>
      </c>
      <c r="E2499">
        <v>195</v>
      </c>
      <c r="F2499">
        <v>191.5</v>
      </c>
      <c r="G2499">
        <v>192</v>
      </c>
      <c r="H2499">
        <v>-1</v>
      </c>
      <c r="I2499">
        <v>31</v>
      </c>
    </row>
    <row r="2500" spans="1:9" x14ac:dyDescent="0.25">
      <c r="A2500" t="s">
        <v>1014</v>
      </c>
      <c r="B2500">
        <v>65</v>
      </c>
      <c r="C2500" s="1">
        <v>12399</v>
      </c>
      <c r="D2500">
        <v>192</v>
      </c>
      <c r="E2500">
        <v>192</v>
      </c>
      <c r="F2500">
        <v>189.5</v>
      </c>
      <c r="G2500">
        <v>191.5</v>
      </c>
      <c r="H2500">
        <v>-0.5</v>
      </c>
      <c r="I2500">
        <v>57</v>
      </c>
    </row>
    <row r="2501" spans="1:9" x14ac:dyDescent="0.25">
      <c r="A2501" t="s">
        <v>1015</v>
      </c>
      <c r="B2501">
        <v>34</v>
      </c>
      <c r="C2501" s="1">
        <v>6516</v>
      </c>
      <c r="D2501">
        <v>192</v>
      </c>
      <c r="E2501">
        <v>192</v>
      </c>
      <c r="F2501">
        <v>191</v>
      </c>
      <c r="G2501">
        <v>191</v>
      </c>
      <c r="H2501">
        <v>-0.5</v>
      </c>
      <c r="I2501">
        <v>26</v>
      </c>
    </row>
    <row r="2502" spans="1:9" x14ac:dyDescent="0.25">
      <c r="A2502" t="s">
        <v>1016</v>
      </c>
      <c r="B2502">
        <v>121</v>
      </c>
      <c r="C2502" s="1">
        <v>22745</v>
      </c>
      <c r="D2502">
        <v>191.5</v>
      </c>
      <c r="E2502">
        <v>191.5</v>
      </c>
      <c r="F2502">
        <v>185</v>
      </c>
      <c r="G2502">
        <v>186.5</v>
      </c>
      <c r="H2502">
        <v>-4.5</v>
      </c>
      <c r="I2502">
        <v>105</v>
      </c>
    </row>
    <row r="2503" spans="1:9" x14ac:dyDescent="0.25">
      <c r="A2503" t="s">
        <v>1017</v>
      </c>
      <c r="B2503">
        <v>55</v>
      </c>
      <c r="C2503" s="1">
        <v>10338</v>
      </c>
      <c r="D2503">
        <v>186.5</v>
      </c>
      <c r="E2503">
        <v>188.5</v>
      </c>
      <c r="F2503">
        <v>186.5</v>
      </c>
      <c r="G2503">
        <v>187</v>
      </c>
      <c r="H2503">
        <v>0.5</v>
      </c>
      <c r="I2503">
        <v>42</v>
      </c>
    </row>
    <row r="2504" spans="1:9" x14ac:dyDescent="0.25">
      <c r="A2504" t="s">
        <v>1018</v>
      </c>
      <c r="B2504">
        <v>27</v>
      </c>
      <c r="C2504" s="1">
        <v>5119</v>
      </c>
      <c r="D2504">
        <v>188.5</v>
      </c>
      <c r="E2504">
        <v>189.5</v>
      </c>
      <c r="F2504">
        <v>188</v>
      </c>
      <c r="G2504">
        <v>189</v>
      </c>
      <c r="H2504">
        <v>2</v>
      </c>
      <c r="I2504">
        <v>28</v>
      </c>
    </row>
    <row r="2505" spans="1:9" x14ac:dyDescent="0.25">
      <c r="A2505" t="s">
        <v>1019</v>
      </c>
      <c r="B2505">
        <v>20</v>
      </c>
      <c r="C2505" s="1">
        <v>3783</v>
      </c>
      <c r="D2505">
        <v>189.5</v>
      </c>
      <c r="E2505">
        <v>189.5</v>
      </c>
      <c r="F2505">
        <v>188</v>
      </c>
      <c r="G2505">
        <v>189</v>
      </c>
      <c r="H2505">
        <v>0</v>
      </c>
      <c r="I2505">
        <v>19</v>
      </c>
    </row>
    <row r="2506" spans="1:9" x14ac:dyDescent="0.25">
      <c r="A2506" t="s">
        <v>1020</v>
      </c>
      <c r="B2506">
        <v>73</v>
      </c>
      <c r="C2506" s="1">
        <v>13765</v>
      </c>
      <c r="D2506">
        <v>186.5</v>
      </c>
      <c r="E2506">
        <v>190</v>
      </c>
      <c r="F2506">
        <v>185</v>
      </c>
      <c r="G2506">
        <v>189.5</v>
      </c>
      <c r="H2506">
        <v>0.5</v>
      </c>
      <c r="I2506">
        <v>70</v>
      </c>
    </row>
    <row r="2507" spans="1:9" x14ac:dyDescent="0.25">
      <c r="A2507" t="s">
        <v>1021</v>
      </c>
      <c r="B2507">
        <v>21</v>
      </c>
      <c r="C2507" s="1">
        <v>3857</v>
      </c>
      <c r="D2507">
        <v>189.5</v>
      </c>
      <c r="E2507">
        <v>189.5</v>
      </c>
      <c r="F2507">
        <v>186</v>
      </c>
      <c r="G2507">
        <v>186.5</v>
      </c>
      <c r="H2507">
        <v>-3</v>
      </c>
      <c r="I2507">
        <v>23</v>
      </c>
    </row>
    <row r="2508" spans="1:9" x14ac:dyDescent="0.25">
      <c r="A2508" t="s">
        <v>1022</v>
      </c>
      <c r="B2508">
        <v>69</v>
      </c>
      <c r="C2508" s="1">
        <v>13165</v>
      </c>
      <c r="D2508">
        <v>187</v>
      </c>
      <c r="E2508">
        <v>193</v>
      </c>
      <c r="F2508">
        <v>186.5</v>
      </c>
      <c r="G2508">
        <v>191</v>
      </c>
      <c r="H2508">
        <v>4.5</v>
      </c>
      <c r="I2508">
        <v>65</v>
      </c>
    </row>
    <row r="2509" spans="1:9" x14ac:dyDescent="0.25">
      <c r="A2509" t="s">
        <v>1023</v>
      </c>
      <c r="B2509">
        <v>76</v>
      </c>
      <c r="C2509" s="1">
        <v>14798</v>
      </c>
      <c r="D2509">
        <v>191</v>
      </c>
      <c r="E2509">
        <v>196</v>
      </c>
      <c r="F2509">
        <v>191</v>
      </c>
      <c r="G2509">
        <v>194.5</v>
      </c>
      <c r="H2509">
        <v>3.5</v>
      </c>
      <c r="I2509">
        <v>62</v>
      </c>
    </row>
    <row r="2510" spans="1:9" x14ac:dyDescent="0.25">
      <c r="A2510" t="s">
        <v>1024</v>
      </c>
      <c r="B2510">
        <v>45</v>
      </c>
      <c r="C2510" s="1">
        <v>8622</v>
      </c>
      <c r="D2510">
        <v>194</v>
      </c>
      <c r="E2510">
        <v>194</v>
      </c>
      <c r="F2510">
        <v>188.5</v>
      </c>
      <c r="G2510">
        <v>190</v>
      </c>
      <c r="H2510">
        <v>-4.5</v>
      </c>
      <c r="I2510">
        <v>49</v>
      </c>
    </row>
    <row r="2511" spans="1:9" x14ac:dyDescent="0.25">
      <c r="A2511" t="s">
        <v>1025</v>
      </c>
      <c r="B2511">
        <v>10</v>
      </c>
      <c r="C2511" s="1">
        <v>1914</v>
      </c>
      <c r="D2511">
        <v>190</v>
      </c>
      <c r="E2511">
        <v>192</v>
      </c>
      <c r="F2511">
        <v>190</v>
      </c>
      <c r="G2511">
        <v>192</v>
      </c>
      <c r="H2511">
        <v>2</v>
      </c>
      <c r="I2511">
        <v>10</v>
      </c>
    </row>
    <row r="2512" spans="1:9" x14ac:dyDescent="0.25">
      <c r="A2512" t="s">
        <v>1026</v>
      </c>
      <c r="B2512">
        <v>24</v>
      </c>
      <c r="C2512" s="1">
        <v>4581</v>
      </c>
      <c r="D2512">
        <v>192</v>
      </c>
      <c r="E2512">
        <v>192</v>
      </c>
      <c r="F2512">
        <v>189.5</v>
      </c>
      <c r="G2512">
        <v>190</v>
      </c>
      <c r="H2512">
        <v>-2</v>
      </c>
      <c r="I2512">
        <v>20</v>
      </c>
    </row>
    <row r="2513" spans="1:9" x14ac:dyDescent="0.25">
      <c r="A2513" t="s">
        <v>1027</v>
      </c>
      <c r="B2513">
        <v>15</v>
      </c>
      <c r="C2513" s="1">
        <v>2844</v>
      </c>
      <c r="D2513">
        <v>188.5</v>
      </c>
      <c r="E2513">
        <v>190</v>
      </c>
      <c r="F2513">
        <v>188.5</v>
      </c>
      <c r="G2513">
        <v>188.5</v>
      </c>
      <c r="H2513">
        <v>-1.5</v>
      </c>
      <c r="I2513">
        <v>15</v>
      </c>
    </row>
    <row r="2514" spans="1:9" x14ac:dyDescent="0.25">
      <c r="A2514" t="s">
        <v>1028</v>
      </c>
      <c r="B2514">
        <v>21</v>
      </c>
      <c r="C2514" s="1">
        <v>3965</v>
      </c>
      <c r="D2514">
        <v>188</v>
      </c>
      <c r="E2514">
        <v>188</v>
      </c>
      <c r="F2514">
        <v>187</v>
      </c>
      <c r="G2514">
        <v>188</v>
      </c>
      <c r="H2514">
        <v>-0.5</v>
      </c>
      <c r="I2514">
        <v>18</v>
      </c>
    </row>
    <row r="2515" spans="1:9" x14ac:dyDescent="0.25">
      <c r="A2515" t="s">
        <v>1029</v>
      </c>
      <c r="B2515">
        <v>8</v>
      </c>
      <c r="C2515" s="1">
        <v>1514</v>
      </c>
      <c r="D2515">
        <v>188</v>
      </c>
      <c r="E2515">
        <v>190</v>
      </c>
      <c r="F2515">
        <v>188</v>
      </c>
      <c r="G2515">
        <v>190</v>
      </c>
      <c r="H2515">
        <v>2</v>
      </c>
      <c r="I2515">
        <v>7</v>
      </c>
    </row>
    <row r="2516" spans="1:9" x14ac:dyDescent="0.25">
      <c r="A2516" t="s">
        <v>1030</v>
      </c>
      <c r="C2516" s="1"/>
    </row>
    <row r="2521" spans="1:9" x14ac:dyDescent="0.25">
      <c r="A2521" s="9" t="s">
        <v>988</v>
      </c>
      <c r="B2521" s="1">
        <v>174</v>
      </c>
      <c r="C2521" s="1">
        <v>35684</v>
      </c>
      <c r="D2521">
        <v>202</v>
      </c>
      <c r="E2521">
        <v>210</v>
      </c>
      <c r="F2521">
        <v>201.5</v>
      </c>
      <c r="G2521">
        <v>205</v>
      </c>
      <c r="H2521">
        <v>5</v>
      </c>
      <c r="I2521" s="1">
        <v>144</v>
      </c>
    </row>
    <row r="2522" spans="1:9" x14ac:dyDescent="0.25">
      <c r="A2522" t="s">
        <v>989</v>
      </c>
      <c r="B2522">
        <v>115</v>
      </c>
      <c r="C2522" s="1">
        <v>23737</v>
      </c>
      <c r="D2522">
        <v>206</v>
      </c>
      <c r="E2522">
        <v>207.5</v>
      </c>
      <c r="F2522">
        <v>204</v>
      </c>
      <c r="G2522">
        <v>206</v>
      </c>
      <c r="H2522">
        <v>1</v>
      </c>
      <c r="I2522">
        <v>85</v>
      </c>
    </row>
    <row r="2523" spans="1:9" x14ac:dyDescent="0.25">
      <c r="A2523" t="s">
        <v>990</v>
      </c>
      <c r="B2523">
        <v>265</v>
      </c>
      <c r="C2523" s="1">
        <v>55768</v>
      </c>
      <c r="D2523">
        <v>208</v>
      </c>
      <c r="E2523">
        <v>215</v>
      </c>
      <c r="F2523">
        <v>206.5</v>
      </c>
      <c r="G2523">
        <v>206.5</v>
      </c>
      <c r="H2523">
        <v>0.5</v>
      </c>
      <c r="I2523">
        <v>216</v>
      </c>
    </row>
    <row r="2524" spans="1:9" x14ac:dyDescent="0.25">
      <c r="A2524" t="s">
        <v>991</v>
      </c>
      <c r="B2524">
        <v>185</v>
      </c>
      <c r="C2524" s="1">
        <v>38836</v>
      </c>
      <c r="D2524">
        <v>208</v>
      </c>
      <c r="E2524">
        <v>212</v>
      </c>
      <c r="F2524">
        <v>207</v>
      </c>
      <c r="G2524">
        <v>208.5</v>
      </c>
      <c r="H2524">
        <v>2</v>
      </c>
      <c r="I2524">
        <v>159</v>
      </c>
    </row>
    <row r="2525" spans="1:9" x14ac:dyDescent="0.25">
      <c r="A2525" t="s">
        <v>992</v>
      </c>
      <c r="B2525">
        <v>74</v>
      </c>
      <c r="C2525" s="1">
        <v>15477</v>
      </c>
      <c r="D2525">
        <v>209</v>
      </c>
      <c r="E2525">
        <v>212</v>
      </c>
      <c r="F2525">
        <v>206</v>
      </c>
      <c r="G2525">
        <v>206.5</v>
      </c>
      <c r="H2525">
        <v>-2</v>
      </c>
      <c r="I2525">
        <v>76</v>
      </c>
    </row>
    <row r="2526" spans="1:9" x14ac:dyDescent="0.25">
      <c r="A2526" t="s">
        <v>993</v>
      </c>
      <c r="B2526">
        <v>127</v>
      </c>
      <c r="C2526" s="1">
        <v>25743</v>
      </c>
      <c r="D2526">
        <v>205.5</v>
      </c>
      <c r="E2526">
        <v>205.5</v>
      </c>
      <c r="F2526">
        <v>200.5</v>
      </c>
      <c r="G2526">
        <v>203</v>
      </c>
      <c r="H2526">
        <v>-3.5</v>
      </c>
      <c r="I2526">
        <v>101</v>
      </c>
    </row>
    <row r="2527" spans="1:9" x14ac:dyDescent="0.25">
      <c r="A2527" t="s">
        <v>994</v>
      </c>
      <c r="B2527">
        <v>116</v>
      </c>
      <c r="C2527" s="1">
        <v>23501</v>
      </c>
      <c r="D2527">
        <v>203</v>
      </c>
      <c r="E2527">
        <v>205</v>
      </c>
      <c r="F2527">
        <v>201</v>
      </c>
      <c r="G2527">
        <v>203.5</v>
      </c>
      <c r="H2527">
        <v>0.5</v>
      </c>
      <c r="I2527">
        <v>79</v>
      </c>
    </row>
    <row r="2528" spans="1:9" x14ac:dyDescent="0.25">
      <c r="A2528" t="s">
        <v>995</v>
      </c>
      <c r="B2528">
        <v>228</v>
      </c>
      <c r="C2528" s="1">
        <v>45534</v>
      </c>
      <c r="D2528">
        <v>201.5</v>
      </c>
      <c r="E2528">
        <v>202</v>
      </c>
      <c r="F2528">
        <v>198</v>
      </c>
      <c r="G2528">
        <v>200.5</v>
      </c>
      <c r="H2528">
        <v>-3</v>
      </c>
      <c r="I2528">
        <v>176</v>
      </c>
    </row>
    <row r="2529" spans="1:9" x14ac:dyDescent="0.25">
      <c r="A2529" t="s">
        <v>996</v>
      </c>
      <c r="B2529">
        <v>95</v>
      </c>
      <c r="C2529" s="1">
        <v>19275</v>
      </c>
      <c r="D2529">
        <v>201</v>
      </c>
      <c r="E2529">
        <v>205</v>
      </c>
      <c r="F2529">
        <v>200.5</v>
      </c>
      <c r="G2529">
        <v>202.5</v>
      </c>
      <c r="H2529">
        <v>2</v>
      </c>
      <c r="I2529">
        <v>79</v>
      </c>
    </row>
    <row r="2530" spans="1:9" x14ac:dyDescent="0.25">
      <c r="A2530" t="s">
        <v>997</v>
      </c>
      <c r="B2530">
        <v>192</v>
      </c>
      <c r="C2530" s="1">
        <v>40095</v>
      </c>
      <c r="D2530">
        <v>204</v>
      </c>
      <c r="E2530">
        <v>212</v>
      </c>
      <c r="F2530">
        <v>204</v>
      </c>
      <c r="G2530">
        <v>206</v>
      </c>
      <c r="H2530">
        <v>3.5</v>
      </c>
      <c r="I2530">
        <v>177</v>
      </c>
    </row>
    <row r="2531" spans="1:9" x14ac:dyDescent="0.25">
      <c r="A2531" t="s">
        <v>998</v>
      </c>
      <c r="B2531">
        <v>114</v>
      </c>
      <c r="C2531" s="1">
        <v>23306</v>
      </c>
      <c r="D2531">
        <v>208</v>
      </c>
      <c r="E2531">
        <v>208</v>
      </c>
      <c r="F2531">
        <v>202.5</v>
      </c>
      <c r="G2531">
        <v>203</v>
      </c>
      <c r="H2531">
        <v>-3</v>
      </c>
      <c r="I2531">
        <v>91</v>
      </c>
    </row>
    <row r="2532" spans="1:9" x14ac:dyDescent="0.25">
      <c r="A2532" t="s">
        <v>999</v>
      </c>
      <c r="B2532">
        <v>34</v>
      </c>
      <c r="C2532" s="1">
        <v>6960</v>
      </c>
      <c r="D2532">
        <v>203.5</v>
      </c>
      <c r="E2532">
        <v>206</v>
      </c>
      <c r="F2532">
        <v>203</v>
      </c>
      <c r="G2532">
        <v>203</v>
      </c>
      <c r="H2532">
        <v>0</v>
      </c>
      <c r="I2532">
        <v>33</v>
      </c>
    </row>
    <row r="2533" spans="1:9" x14ac:dyDescent="0.25">
      <c r="A2533" t="s">
        <v>1000</v>
      </c>
      <c r="B2533">
        <v>124</v>
      </c>
      <c r="C2533" s="1">
        <v>25280</v>
      </c>
      <c r="D2533">
        <v>205</v>
      </c>
      <c r="E2533">
        <v>206</v>
      </c>
      <c r="F2533">
        <v>202</v>
      </c>
      <c r="G2533">
        <v>202.5</v>
      </c>
      <c r="H2533">
        <v>-0.5</v>
      </c>
      <c r="I2533">
        <v>97</v>
      </c>
    </row>
    <row r="2534" spans="1:9" x14ac:dyDescent="0.25">
      <c r="A2534" t="s">
        <v>1001</v>
      </c>
      <c r="B2534">
        <v>105</v>
      </c>
      <c r="C2534" s="1">
        <v>21388</v>
      </c>
      <c r="D2534">
        <v>202.5</v>
      </c>
      <c r="E2534">
        <v>207</v>
      </c>
      <c r="F2534">
        <v>201</v>
      </c>
      <c r="G2534">
        <v>202.5</v>
      </c>
      <c r="H2534">
        <v>0</v>
      </c>
      <c r="I2534">
        <v>91</v>
      </c>
    </row>
    <row r="2535" spans="1:9" x14ac:dyDescent="0.25">
      <c r="A2535" t="s">
        <v>1002</v>
      </c>
      <c r="B2535">
        <v>82</v>
      </c>
      <c r="C2535" s="1">
        <v>16572</v>
      </c>
      <c r="D2535">
        <v>204</v>
      </c>
      <c r="E2535">
        <v>206.5</v>
      </c>
      <c r="F2535">
        <v>201</v>
      </c>
      <c r="G2535">
        <v>202</v>
      </c>
      <c r="H2535">
        <v>-0.5</v>
      </c>
      <c r="I2535">
        <v>72</v>
      </c>
    </row>
    <row r="2536" spans="1:9" x14ac:dyDescent="0.25">
      <c r="A2536" t="s">
        <v>1003</v>
      </c>
      <c r="B2536">
        <v>106</v>
      </c>
      <c r="C2536" s="1">
        <v>21210</v>
      </c>
      <c r="D2536">
        <v>200.5</v>
      </c>
      <c r="E2536">
        <v>202.5</v>
      </c>
      <c r="F2536">
        <v>199</v>
      </c>
      <c r="G2536">
        <v>199</v>
      </c>
      <c r="H2536">
        <v>-3</v>
      </c>
      <c r="I2536">
        <v>82</v>
      </c>
    </row>
    <row r="2537" spans="1:9" x14ac:dyDescent="0.25">
      <c r="A2537" t="s">
        <v>1004</v>
      </c>
      <c r="B2537">
        <v>108</v>
      </c>
      <c r="C2537" s="1">
        <v>21896</v>
      </c>
      <c r="D2537">
        <v>199.5</v>
      </c>
      <c r="E2537">
        <v>204</v>
      </c>
      <c r="F2537">
        <v>199.5</v>
      </c>
      <c r="G2537">
        <v>201.5</v>
      </c>
      <c r="H2537">
        <v>2.5</v>
      </c>
      <c r="I2537">
        <v>80</v>
      </c>
    </row>
    <row r="2538" spans="1:9" x14ac:dyDescent="0.25">
      <c r="A2538" t="s">
        <v>1005</v>
      </c>
      <c r="B2538">
        <v>80</v>
      </c>
      <c r="C2538" s="1">
        <v>15961</v>
      </c>
      <c r="D2538">
        <v>201.5</v>
      </c>
      <c r="E2538">
        <v>201.5</v>
      </c>
      <c r="F2538">
        <v>197</v>
      </c>
      <c r="G2538">
        <v>199.5</v>
      </c>
      <c r="H2538">
        <v>-2</v>
      </c>
      <c r="I2538">
        <v>75</v>
      </c>
    </row>
    <row r="2539" spans="1:9" x14ac:dyDescent="0.25">
      <c r="A2539" t="s">
        <v>1006</v>
      </c>
      <c r="B2539">
        <v>34</v>
      </c>
      <c r="C2539" s="1">
        <v>6748</v>
      </c>
      <c r="D2539">
        <v>199.5</v>
      </c>
      <c r="E2539">
        <v>199.5</v>
      </c>
      <c r="F2539">
        <v>197.5</v>
      </c>
      <c r="G2539">
        <v>199</v>
      </c>
      <c r="H2539">
        <v>-0.5</v>
      </c>
      <c r="I2539">
        <v>33</v>
      </c>
    </row>
    <row r="2540" spans="1:9" x14ac:dyDescent="0.25">
      <c r="A2540" t="s">
        <v>1007</v>
      </c>
      <c r="B2540">
        <v>37</v>
      </c>
      <c r="C2540" s="1">
        <v>7340</v>
      </c>
      <c r="D2540">
        <v>200.5</v>
      </c>
      <c r="E2540">
        <v>200.5</v>
      </c>
      <c r="F2540">
        <v>197.5</v>
      </c>
      <c r="G2540">
        <v>197.5</v>
      </c>
      <c r="H2540">
        <v>-1.5</v>
      </c>
      <c r="I2540">
        <v>31</v>
      </c>
    </row>
    <row r="2541" spans="1:9" x14ac:dyDescent="0.25">
      <c r="A2541" t="s">
        <v>1008</v>
      </c>
      <c r="B2541">
        <v>173</v>
      </c>
      <c r="C2541" s="1">
        <v>33259</v>
      </c>
      <c r="D2541">
        <v>197.5</v>
      </c>
      <c r="E2541">
        <v>197.5</v>
      </c>
      <c r="F2541">
        <v>190</v>
      </c>
      <c r="G2541">
        <v>190.5</v>
      </c>
      <c r="H2541">
        <v>-7</v>
      </c>
      <c r="I2541">
        <v>138</v>
      </c>
    </row>
    <row r="2542" spans="1:9" x14ac:dyDescent="0.25">
      <c r="A2542" t="s">
        <v>1009</v>
      </c>
      <c r="B2542">
        <v>54</v>
      </c>
      <c r="C2542" s="1">
        <v>10505</v>
      </c>
      <c r="D2542">
        <v>190.5</v>
      </c>
      <c r="E2542">
        <v>196</v>
      </c>
      <c r="F2542">
        <v>190.5</v>
      </c>
      <c r="G2542">
        <v>195.5</v>
      </c>
      <c r="H2542">
        <v>5</v>
      </c>
      <c r="I2542">
        <v>55</v>
      </c>
    </row>
    <row r="2543" spans="1:9" x14ac:dyDescent="0.25">
      <c r="A2543" t="s">
        <v>1010</v>
      </c>
      <c r="B2543">
        <v>42</v>
      </c>
      <c r="C2543" s="1">
        <v>8174</v>
      </c>
      <c r="D2543">
        <v>195.5</v>
      </c>
      <c r="E2543">
        <v>196</v>
      </c>
      <c r="F2543">
        <v>193</v>
      </c>
      <c r="G2543">
        <v>193</v>
      </c>
      <c r="H2543">
        <v>-2.5</v>
      </c>
      <c r="I2543">
        <v>36</v>
      </c>
    </row>
    <row r="2544" spans="1:9" x14ac:dyDescent="0.25">
      <c r="A2544" t="s">
        <v>951</v>
      </c>
      <c r="C2544" s="1"/>
    </row>
    <row r="2545" spans="1:9" x14ac:dyDescent="0.25">
      <c r="A2545" s="9" t="s">
        <v>974</v>
      </c>
      <c r="B2545" s="1">
        <v>116</v>
      </c>
      <c r="C2545" s="1">
        <v>21106</v>
      </c>
      <c r="D2545">
        <v>178</v>
      </c>
      <c r="E2545">
        <v>184</v>
      </c>
      <c r="F2545">
        <v>177</v>
      </c>
      <c r="G2545">
        <v>180.5</v>
      </c>
      <c r="H2545">
        <v>4</v>
      </c>
      <c r="I2545" s="1">
        <v>102</v>
      </c>
    </row>
    <row r="2546" spans="1:9" x14ac:dyDescent="0.25">
      <c r="A2546" t="s">
        <v>975</v>
      </c>
      <c r="B2546">
        <v>38</v>
      </c>
      <c r="C2546" s="1">
        <v>6873</v>
      </c>
      <c r="D2546">
        <v>180</v>
      </c>
      <c r="E2546">
        <v>181.5</v>
      </c>
      <c r="F2546">
        <v>180</v>
      </c>
      <c r="G2546">
        <v>180.5</v>
      </c>
      <c r="H2546">
        <v>0</v>
      </c>
      <c r="I2546">
        <v>28</v>
      </c>
    </row>
    <row r="2547" spans="1:9" x14ac:dyDescent="0.25">
      <c r="A2547" t="s">
        <v>976</v>
      </c>
      <c r="B2547">
        <v>57</v>
      </c>
      <c r="C2547" s="1">
        <v>10298</v>
      </c>
      <c r="D2547">
        <v>180.5</v>
      </c>
      <c r="E2547">
        <v>182</v>
      </c>
      <c r="F2547">
        <v>180</v>
      </c>
      <c r="G2547">
        <v>180.5</v>
      </c>
      <c r="H2547">
        <v>0</v>
      </c>
      <c r="I2547">
        <v>46</v>
      </c>
    </row>
    <row r="2548" spans="1:9" x14ac:dyDescent="0.25">
      <c r="A2548" t="s">
        <v>977</v>
      </c>
      <c r="B2548">
        <v>34</v>
      </c>
      <c r="C2548" s="1">
        <v>6246</v>
      </c>
      <c r="D2548">
        <v>180.5</v>
      </c>
      <c r="E2548">
        <v>183</v>
      </c>
      <c r="F2548">
        <v>180.5</v>
      </c>
      <c r="G2548">
        <v>182</v>
      </c>
      <c r="H2548">
        <v>1.5</v>
      </c>
      <c r="I2548">
        <v>33</v>
      </c>
    </row>
    <row r="2549" spans="1:9" x14ac:dyDescent="0.25">
      <c r="A2549" t="s">
        <v>978</v>
      </c>
      <c r="B2549">
        <v>120</v>
      </c>
      <c r="C2549" s="1">
        <v>22093</v>
      </c>
      <c r="D2549">
        <v>182</v>
      </c>
      <c r="E2549">
        <v>186.5</v>
      </c>
      <c r="F2549">
        <v>182</v>
      </c>
      <c r="G2549">
        <v>186.5</v>
      </c>
      <c r="H2549">
        <v>4.5</v>
      </c>
      <c r="I2549">
        <v>84</v>
      </c>
    </row>
    <row r="2550" spans="1:9" x14ac:dyDescent="0.25">
      <c r="A2550" t="s">
        <v>979</v>
      </c>
      <c r="B2550">
        <v>64</v>
      </c>
      <c r="C2550" s="1">
        <v>11873</v>
      </c>
      <c r="D2550">
        <v>186.5</v>
      </c>
      <c r="E2550">
        <v>186.5</v>
      </c>
      <c r="F2550">
        <v>183</v>
      </c>
      <c r="G2550">
        <v>186</v>
      </c>
      <c r="H2550">
        <v>-0.5</v>
      </c>
      <c r="I2550">
        <v>58</v>
      </c>
    </row>
    <row r="2551" spans="1:9" x14ac:dyDescent="0.25">
      <c r="A2551" t="s">
        <v>980</v>
      </c>
      <c r="B2551">
        <v>98</v>
      </c>
      <c r="C2551" s="1">
        <v>18245</v>
      </c>
      <c r="D2551">
        <v>186.5</v>
      </c>
      <c r="E2551">
        <v>187.5</v>
      </c>
      <c r="F2551">
        <v>184.5</v>
      </c>
      <c r="G2551">
        <v>186</v>
      </c>
      <c r="H2551">
        <v>0</v>
      </c>
      <c r="I2551">
        <v>78</v>
      </c>
    </row>
    <row r="2552" spans="1:9" x14ac:dyDescent="0.25">
      <c r="A2552" t="s">
        <v>981</v>
      </c>
      <c r="B2552">
        <v>84</v>
      </c>
      <c r="C2552" s="1">
        <v>15633</v>
      </c>
      <c r="D2552">
        <v>186.5</v>
      </c>
      <c r="E2552">
        <v>186.5</v>
      </c>
      <c r="F2552">
        <v>186</v>
      </c>
      <c r="G2552">
        <v>186.5</v>
      </c>
      <c r="H2552">
        <v>0.5</v>
      </c>
      <c r="I2552">
        <v>51</v>
      </c>
    </row>
    <row r="2553" spans="1:9" x14ac:dyDescent="0.25">
      <c r="A2553" t="s">
        <v>982</v>
      </c>
      <c r="B2553">
        <v>686</v>
      </c>
      <c r="C2553" s="1">
        <v>137107</v>
      </c>
      <c r="D2553">
        <v>187</v>
      </c>
      <c r="E2553">
        <v>205</v>
      </c>
      <c r="F2553">
        <v>187</v>
      </c>
      <c r="G2553">
        <v>205</v>
      </c>
      <c r="H2553">
        <v>18.5</v>
      </c>
      <c r="I2553">
        <v>557</v>
      </c>
    </row>
    <row r="2554" spans="1:9" x14ac:dyDescent="0.25">
      <c r="A2554" t="s">
        <v>983</v>
      </c>
      <c r="B2554">
        <v>371</v>
      </c>
      <c r="C2554" s="1">
        <v>76523</v>
      </c>
      <c r="D2554">
        <v>206</v>
      </c>
      <c r="E2554">
        <v>210</v>
      </c>
      <c r="F2554">
        <v>203</v>
      </c>
      <c r="G2554">
        <v>204.5</v>
      </c>
      <c r="H2554">
        <v>-0.5</v>
      </c>
      <c r="I2554">
        <v>327</v>
      </c>
    </row>
    <row r="2555" spans="1:9" x14ac:dyDescent="0.25">
      <c r="A2555" t="s">
        <v>984</v>
      </c>
      <c r="B2555">
        <v>131</v>
      </c>
      <c r="C2555" s="1">
        <v>26263</v>
      </c>
      <c r="D2555">
        <v>204.5</v>
      </c>
      <c r="E2555">
        <v>204.5</v>
      </c>
      <c r="F2555">
        <v>198</v>
      </c>
      <c r="G2555">
        <v>201</v>
      </c>
      <c r="H2555">
        <v>-3.5</v>
      </c>
      <c r="I2555">
        <v>117</v>
      </c>
    </row>
    <row r="2556" spans="1:9" x14ac:dyDescent="0.25">
      <c r="A2556" t="s">
        <v>985</v>
      </c>
      <c r="B2556">
        <v>146</v>
      </c>
      <c r="C2556" s="1">
        <v>29216</v>
      </c>
      <c r="D2556">
        <v>204.5</v>
      </c>
      <c r="E2556">
        <v>204.5</v>
      </c>
      <c r="F2556">
        <v>198</v>
      </c>
      <c r="G2556">
        <v>198.5</v>
      </c>
      <c r="H2556">
        <v>-2.5</v>
      </c>
      <c r="I2556">
        <v>118</v>
      </c>
    </row>
    <row r="2557" spans="1:9" x14ac:dyDescent="0.25">
      <c r="A2557" t="s">
        <v>986</v>
      </c>
      <c r="B2557">
        <v>134</v>
      </c>
      <c r="C2557" s="1">
        <v>26909</v>
      </c>
      <c r="D2557">
        <v>202</v>
      </c>
      <c r="E2557">
        <v>203.5</v>
      </c>
      <c r="F2557">
        <v>199</v>
      </c>
      <c r="G2557">
        <v>200</v>
      </c>
      <c r="H2557">
        <v>1.5</v>
      </c>
      <c r="I2557">
        <v>103</v>
      </c>
    </row>
    <row r="2558" spans="1:9" x14ac:dyDescent="0.25">
      <c r="A2558" t="s">
        <v>987</v>
      </c>
      <c r="C2558" s="1"/>
    </row>
    <row r="2569" spans="1:9" x14ac:dyDescent="0.25">
      <c r="A2569" s="9" t="s">
        <v>952</v>
      </c>
      <c r="B2569" s="1">
        <v>73</v>
      </c>
      <c r="C2569" s="1">
        <v>13116</v>
      </c>
      <c r="D2569">
        <v>181.5</v>
      </c>
      <c r="E2569">
        <v>181.5</v>
      </c>
      <c r="F2569">
        <v>178</v>
      </c>
      <c r="G2569">
        <v>181</v>
      </c>
      <c r="H2569">
        <v>-0.5</v>
      </c>
      <c r="I2569" s="1">
        <v>58</v>
      </c>
    </row>
    <row r="2570" spans="1:9" x14ac:dyDescent="0.25">
      <c r="A2570" t="s">
        <v>953</v>
      </c>
      <c r="B2570">
        <v>39</v>
      </c>
      <c r="C2570" s="1">
        <v>6949</v>
      </c>
      <c r="D2570">
        <v>180</v>
      </c>
      <c r="E2570">
        <v>180</v>
      </c>
      <c r="F2570">
        <v>177.5</v>
      </c>
      <c r="G2570">
        <v>178.5</v>
      </c>
      <c r="H2570">
        <v>-2.5</v>
      </c>
      <c r="I2570">
        <v>36</v>
      </c>
    </row>
    <row r="2571" spans="1:9" x14ac:dyDescent="0.25">
      <c r="A2571" t="s">
        <v>954</v>
      </c>
      <c r="B2571">
        <v>42</v>
      </c>
      <c r="C2571" s="1">
        <v>7414</v>
      </c>
      <c r="D2571">
        <v>177</v>
      </c>
      <c r="E2571">
        <v>178</v>
      </c>
      <c r="F2571">
        <v>175.5</v>
      </c>
      <c r="G2571">
        <v>177</v>
      </c>
      <c r="H2571">
        <v>-1.5</v>
      </c>
      <c r="I2571">
        <v>37</v>
      </c>
    </row>
    <row r="2572" spans="1:9" x14ac:dyDescent="0.25">
      <c r="A2572" t="s">
        <v>955</v>
      </c>
      <c r="B2572">
        <v>76</v>
      </c>
      <c r="C2572" s="1">
        <v>13295</v>
      </c>
      <c r="D2572">
        <v>176.5</v>
      </c>
      <c r="E2572">
        <v>177</v>
      </c>
      <c r="F2572">
        <v>173.5</v>
      </c>
      <c r="G2572">
        <v>173.5</v>
      </c>
      <c r="H2572">
        <v>-3.5</v>
      </c>
      <c r="I2572">
        <v>55</v>
      </c>
    </row>
    <row r="2573" spans="1:9" x14ac:dyDescent="0.25">
      <c r="A2573" t="s">
        <v>956</v>
      </c>
      <c r="B2573">
        <v>21</v>
      </c>
      <c r="C2573" s="1">
        <v>3699</v>
      </c>
      <c r="D2573">
        <v>175.5</v>
      </c>
      <c r="E2573">
        <v>177.5</v>
      </c>
      <c r="F2573">
        <v>174</v>
      </c>
      <c r="G2573">
        <v>177.5</v>
      </c>
      <c r="H2573">
        <v>4</v>
      </c>
      <c r="I2573">
        <v>22</v>
      </c>
    </row>
    <row r="2574" spans="1:9" x14ac:dyDescent="0.25">
      <c r="A2574" t="s">
        <v>957</v>
      </c>
      <c r="B2574">
        <v>37</v>
      </c>
      <c r="C2574" s="1">
        <v>6496</v>
      </c>
      <c r="D2574">
        <v>178</v>
      </c>
      <c r="E2574">
        <v>179</v>
      </c>
      <c r="F2574">
        <v>174</v>
      </c>
      <c r="G2574">
        <v>175</v>
      </c>
      <c r="H2574">
        <v>-2.5</v>
      </c>
      <c r="I2574">
        <v>30</v>
      </c>
    </row>
    <row r="2575" spans="1:9" x14ac:dyDescent="0.25">
      <c r="A2575" t="s">
        <v>958</v>
      </c>
      <c r="B2575">
        <v>26</v>
      </c>
      <c r="C2575" s="1">
        <v>4566</v>
      </c>
      <c r="D2575">
        <v>179</v>
      </c>
      <c r="E2575">
        <v>179</v>
      </c>
      <c r="F2575">
        <v>174</v>
      </c>
      <c r="G2575">
        <v>175</v>
      </c>
      <c r="H2575">
        <v>0</v>
      </c>
      <c r="I2575">
        <v>24</v>
      </c>
    </row>
    <row r="2576" spans="1:9" x14ac:dyDescent="0.25">
      <c r="A2576" t="s">
        <v>959</v>
      </c>
      <c r="B2576">
        <v>28</v>
      </c>
      <c r="C2576" s="1">
        <v>4958</v>
      </c>
      <c r="D2576">
        <v>177.5</v>
      </c>
      <c r="E2576">
        <v>179.5</v>
      </c>
      <c r="F2576">
        <v>176</v>
      </c>
      <c r="G2576">
        <v>176</v>
      </c>
      <c r="H2576">
        <v>1</v>
      </c>
      <c r="I2576">
        <v>23</v>
      </c>
    </row>
    <row r="2577" spans="1:9" x14ac:dyDescent="0.25">
      <c r="A2577" t="s">
        <v>960</v>
      </c>
      <c r="B2577">
        <v>26</v>
      </c>
      <c r="C2577" s="1">
        <v>4535</v>
      </c>
      <c r="D2577">
        <v>174</v>
      </c>
      <c r="E2577">
        <v>176</v>
      </c>
      <c r="F2577">
        <v>172</v>
      </c>
      <c r="G2577">
        <v>173</v>
      </c>
      <c r="H2577">
        <v>-3</v>
      </c>
      <c r="I2577">
        <v>26</v>
      </c>
    </row>
    <row r="2578" spans="1:9" x14ac:dyDescent="0.25">
      <c r="A2578" t="s">
        <v>961</v>
      </c>
      <c r="B2578">
        <v>36</v>
      </c>
      <c r="C2578" s="1">
        <v>6365</v>
      </c>
      <c r="D2578">
        <v>177</v>
      </c>
      <c r="E2578">
        <v>179</v>
      </c>
      <c r="F2578">
        <v>175</v>
      </c>
      <c r="G2578">
        <v>175</v>
      </c>
      <c r="H2578">
        <v>2</v>
      </c>
      <c r="I2578">
        <v>27</v>
      </c>
    </row>
    <row r="2579" spans="1:9" x14ac:dyDescent="0.25">
      <c r="A2579" t="s">
        <v>962</v>
      </c>
      <c r="B2579">
        <v>26</v>
      </c>
      <c r="C2579" s="1">
        <v>4605</v>
      </c>
      <c r="D2579">
        <v>175</v>
      </c>
      <c r="E2579">
        <v>178</v>
      </c>
      <c r="F2579">
        <v>175</v>
      </c>
      <c r="G2579">
        <v>178</v>
      </c>
      <c r="H2579">
        <v>3</v>
      </c>
      <c r="I2579">
        <v>22</v>
      </c>
    </row>
    <row r="2580" spans="1:9" x14ac:dyDescent="0.25">
      <c r="A2580" t="s">
        <v>963</v>
      </c>
      <c r="B2580">
        <v>118</v>
      </c>
      <c r="C2580" s="1">
        <v>21642</v>
      </c>
      <c r="D2580">
        <v>178</v>
      </c>
      <c r="E2580">
        <v>186.5</v>
      </c>
      <c r="F2580">
        <v>177.5</v>
      </c>
      <c r="G2580">
        <v>184</v>
      </c>
      <c r="H2580">
        <v>6</v>
      </c>
      <c r="I2580">
        <v>101</v>
      </c>
    </row>
    <row r="2581" spans="1:9" x14ac:dyDescent="0.25">
      <c r="A2581" t="s">
        <v>964</v>
      </c>
      <c r="B2581">
        <v>151</v>
      </c>
      <c r="C2581" s="1">
        <v>28467</v>
      </c>
      <c r="D2581">
        <v>184.5</v>
      </c>
      <c r="E2581">
        <v>195</v>
      </c>
      <c r="F2581">
        <v>184</v>
      </c>
      <c r="G2581">
        <v>184</v>
      </c>
      <c r="H2581">
        <v>0</v>
      </c>
      <c r="I2581">
        <v>134</v>
      </c>
    </row>
    <row r="2582" spans="1:9" x14ac:dyDescent="0.25">
      <c r="A2582" t="s">
        <v>965</v>
      </c>
      <c r="B2582">
        <v>38</v>
      </c>
      <c r="C2582" s="1">
        <v>7073</v>
      </c>
      <c r="D2582">
        <v>186</v>
      </c>
      <c r="E2582">
        <v>187</v>
      </c>
      <c r="F2582">
        <v>184</v>
      </c>
      <c r="G2582">
        <v>184.5</v>
      </c>
      <c r="H2582">
        <v>0.5</v>
      </c>
      <c r="I2582">
        <v>37</v>
      </c>
    </row>
    <row r="2583" spans="1:9" x14ac:dyDescent="0.25">
      <c r="A2583" t="s">
        <v>966</v>
      </c>
      <c r="B2583">
        <v>24</v>
      </c>
      <c r="C2583" s="1">
        <v>4451</v>
      </c>
      <c r="D2583">
        <v>185.5</v>
      </c>
      <c r="E2583">
        <v>186.5</v>
      </c>
      <c r="F2583">
        <v>185</v>
      </c>
      <c r="G2583">
        <v>185.5</v>
      </c>
      <c r="H2583">
        <v>1</v>
      </c>
      <c r="I2583">
        <v>21</v>
      </c>
    </row>
    <row r="2584" spans="1:9" x14ac:dyDescent="0.25">
      <c r="A2584" t="s">
        <v>967</v>
      </c>
      <c r="B2584">
        <v>73</v>
      </c>
      <c r="C2584" s="1">
        <v>13610</v>
      </c>
      <c r="D2584">
        <v>189</v>
      </c>
      <c r="E2584">
        <v>190</v>
      </c>
      <c r="F2584">
        <v>185</v>
      </c>
      <c r="G2584">
        <v>185</v>
      </c>
      <c r="H2584">
        <v>-0.5</v>
      </c>
      <c r="I2584">
        <v>52</v>
      </c>
    </row>
    <row r="2585" spans="1:9" x14ac:dyDescent="0.25">
      <c r="A2585" t="s">
        <v>968</v>
      </c>
      <c r="B2585">
        <v>16</v>
      </c>
      <c r="C2585" s="1">
        <v>2957</v>
      </c>
      <c r="D2585">
        <v>185</v>
      </c>
      <c r="E2585">
        <v>186</v>
      </c>
      <c r="F2585">
        <v>182.5</v>
      </c>
      <c r="G2585">
        <v>183.5</v>
      </c>
      <c r="H2585">
        <v>-1.5</v>
      </c>
      <c r="I2585">
        <v>16</v>
      </c>
    </row>
    <row r="2586" spans="1:9" x14ac:dyDescent="0.25">
      <c r="A2586" t="s">
        <v>969</v>
      </c>
      <c r="B2586">
        <v>37</v>
      </c>
      <c r="C2586" s="1">
        <v>6760</v>
      </c>
      <c r="D2586">
        <v>187.5</v>
      </c>
      <c r="E2586">
        <v>187.5</v>
      </c>
      <c r="F2586">
        <v>180</v>
      </c>
      <c r="G2586">
        <v>183.5</v>
      </c>
      <c r="H2586">
        <v>0</v>
      </c>
      <c r="I2586">
        <v>32</v>
      </c>
    </row>
    <row r="2587" spans="1:9" x14ac:dyDescent="0.25">
      <c r="A2587" t="s">
        <v>970</v>
      </c>
      <c r="B2587">
        <v>92</v>
      </c>
      <c r="C2587" s="1">
        <v>16636</v>
      </c>
      <c r="D2587">
        <v>183.5</v>
      </c>
      <c r="E2587">
        <v>183.5</v>
      </c>
      <c r="F2587">
        <v>179.5</v>
      </c>
      <c r="G2587">
        <v>180</v>
      </c>
      <c r="H2587">
        <v>-3.5</v>
      </c>
      <c r="I2587">
        <v>75</v>
      </c>
    </row>
    <row r="2588" spans="1:9" x14ac:dyDescent="0.25">
      <c r="A2588" s="9" t="s">
        <v>971</v>
      </c>
      <c r="B2588" s="1">
        <v>89</v>
      </c>
      <c r="C2588" s="1">
        <v>16034</v>
      </c>
      <c r="D2588">
        <v>179</v>
      </c>
      <c r="E2588">
        <v>181</v>
      </c>
      <c r="F2588">
        <v>179</v>
      </c>
      <c r="G2588">
        <v>179</v>
      </c>
      <c r="H2588">
        <v>-1</v>
      </c>
      <c r="I2588" s="1">
        <v>67</v>
      </c>
    </row>
    <row r="2589" spans="1:9" x14ac:dyDescent="0.25">
      <c r="A2589" s="9" t="s">
        <v>972</v>
      </c>
      <c r="B2589" s="1">
        <v>104</v>
      </c>
      <c r="C2589" s="1">
        <v>18557</v>
      </c>
      <c r="D2589">
        <v>181</v>
      </c>
      <c r="E2589">
        <v>181</v>
      </c>
      <c r="F2589">
        <v>176.5</v>
      </c>
      <c r="G2589">
        <v>176.5</v>
      </c>
      <c r="H2589">
        <v>-2.5</v>
      </c>
      <c r="I2589" s="1">
        <v>86</v>
      </c>
    </row>
    <row r="2590" spans="1:9" x14ac:dyDescent="0.25">
      <c r="A2590" s="9" t="s">
        <v>973</v>
      </c>
      <c r="B2590" s="1"/>
      <c r="C2590" s="1"/>
      <c r="I2590" s="1"/>
    </row>
    <row r="2593" spans="1:9" x14ac:dyDescent="0.25">
      <c r="A2593" s="9" t="s">
        <v>6572</v>
      </c>
      <c r="B2593" s="1">
        <v>26</v>
      </c>
      <c r="C2593" s="1">
        <v>4798</v>
      </c>
      <c r="D2593">
        <v>185.5</v>
      </c>
      <c r="E2593">
        <v>185.5</v>
      </c>
      <c r="F2593">
        <v>184</v>
      </c>
      <c r="G2593">
        <v>184.5</v>
      </c>
      <c r="H2593">
        <v>-0.5</v>
      </c>
      <c r="I2593" s="1">
        <v>25</v>
      </c>
    </row>
    <row r="2594" spans="1:9" x14ac:dyDescent="0.25">
      <c r="A2594" t="s">
        <v>6573</v>
      </c>
      <c r="B2594">
        <v>42</v>
      </c>
      <c r="C2594" s="1">
        <v>7745</v>
      </c>
      <c r="D2594">
        <v>184.5</v>
      </c>
      <c r="E2594">
        <v>185</v>
      </c>
      <c r="F2594">
        <v>183</v>
      </c>
      <c r="G2594">
        <v>184</v>
      </c>
      <c r="H2594">
        <v>-0.5</v>
      </c>
      <c r="I2594">
        <v>33</v>
      </c>
    </row>
    <row r="2595" spans="1:9" x14ac:dyDescent="0.25">
      <c r="A2595" t="s">
        <v>6574</v>
      </c>
      <c r="B2595">
        <v>50</v>
      </c>
      <c r="C2595" s="1">
        <v>9126</v>
      </c>
      <c r="D2595">
        <v>183.5</v>
      </c>
      <c r="E2595">
        <v>183.5</v>
      </c>
      <c r="F2595">
        <v>181.5</v>
      </c>
      <c r="G2595">
        <v>182.5</v>
      </c>
      <c r="H2595">
        <v>-1.5</v>
      </c>
      <c r="I2595">
        <v>38</v>
      </c>
    </row>
    <row r="2596" spans="1:9" x14ac:dyDescent="0.25">
      <c r="A2596" t="s">
        <v>6575</v>
      </c>
      <c r="B2596">
        <v>3</v>
      </c>
      <c r="C2596" s="1">
        <v>549</v>
      </c>
      <c r="D2596">
        <v>182.5</v>
      </c>
      <c r="E2596">
        <v>183</v>
      </c>
      <c r="F2596">
        <v>182.5</v>
      </c>
      <c r="G2596">
        <v>183</v>
      </c>
      <c r="H2596">
        <v>0.5</v>
      </c>
      <c r="I2596">
        <v>3</v>
      </c>
    </row>
    <row r="2597" spans="1:9" x14ac:dyDescent="0.25">
      <c r="A2597" t="s">
        <v>6576</v>
      </c>
      <c r="B2597">
        <v>14</v>
      </c>
      <c r="C2597" s="1">
        <v>2562</v>
      </c>
      <c r="D2597">
        <v>183</v>
      </c>
      <c r="E2597">
        <v>183</v>
      </c>
      <c r="F2597">
        <v>182</v>
      </c>
      <c r="G2597">
        <v>182</v>
      </c>
      <c r="H2597">
        <v>-1</v>
      </c>
      <c r="I2597">
        <v>15</v>
      </c>
    </row>
    <row r="2598" spans="1:9" x14ac:dyDescent="0.25">
      <c r="A2598" t="s">
        <v>6577</v>
      </c>
      <c r="B2598">
        <v>15</v>
      </c>
      <c r="C2598" s="1">
        <v>2787</v>
      </c>
      <c r="D2598">
        <v>182</v>
      </c>
      <c r="E2598">
        <v>182</v>
      </c>
      <c r="F2598">
        <v>181.5</v>
      </c>
      <c r="G2598">
        <v>181.5</v>
      </c>
      <c r="H2598">
        <v>-0.5</v>
      </c>
      <c r="I2598">
        <v>12</v>
      </c>
    </row>
    <row r="2599" spans="1:9" x14ac:dyDescent="0.25">
      <c r="A2599" t="s">
        <v>6578</v>
      </c>
      <c r="B2599">
        <v>42</v>
      </c>
      <c r="C2599" s="1">
        <v>7551</v>
      </c>
      <c r="D2599">
        <v>181.5</v>
      </c>
      <c r="E2599">
        <v>181.5</v>
      </c>
      <c r="F2599">
        <v>178</v>
      </c>
      <c r="G2599">
        <v>181</v>
      </c>
      <c r="H2599">
        <v>-0.5</v>
      </c>
      <c r="I2599">
        <v>30</v>
      </c>
    </row>
    <row r="2600" spans="1:9" x14ac:dyDescent="0.25">
      <c r="A2600" t="s">
        <v>6579</v>
      </c>
      <c r="B2600">
        <v>49</v>
      </c>
      <c r="C2600" s="1">
        <v>8694</v>
      </c>
      <c r="D2600">
        <v>178</v>
      </c>
      <c r="E2600">
        <v>179</v>
      </c>
      <c r="F2600">
        <v>175.5</v>
      </c>
      <c r="G2600">
        <v>178</v>
      </c>
      <c r="H2600">
        <v>-3</v>
      </c>
      <c r="I2600">
        <v>41</v>
      </c>
    </row>
    <row r="2601" spans="1:9" x14ac:dyDescent="0.25">
      <c r="A2601" t="s">
        <v>6580</v>
      </c>
      <c r="B2601">
        <v>35</v>
      </c>
      <c r="C2601" s="1">
        <v>6228</v>
      </c>
      <c r="D2601">
        <v>178</v>
      </c>
      <c r="E2601">
        <v>178</v>
      </c>
      <c r="F2601">
        <v>175</v>
      </c>
      <c r="G2601">
        <v>176</v>
      </c>
      <c r="H2601">
        <v>-2</v>
      </c>
      <c r="I2601">
        <v>33</v>
      </c>
    </row>
    <row r="2602" spans="1:9" x14ac:dyDescent="0.25">
      <c r="A2602" t="s">
        <v>6581</v>
      </c>
      <c r="B2602">
        <v>28</v>
      </c>
      <c r="C2602" s="1">
        <v>4874</v>
      </c>
      <c r="D2602">
        <v>174</v>
      </c>
      <c r="E2602">
        <v>175</v>
      </c>
      <c r="F2602">
        <v>173</v>
      </c>
      <c r="G2602">
        <v>173</v>
      </c>
      <c r="H2602">
        <v>-3</v>
      </c>
      <c r="I2602">
        <v>19</v>
      </c>
    </row>
    <row r="2603" spans="1:9" x14ac:dyDescent="0.25">
      <c r="A2603" t="s">
        <v>6582</v>
      </c>
      <c r="B2603">
        <v>7</v>
      </c>
      <c r="C2603" s="1">
        <v>1215</v>
      </c>
      <c r="D2603">
        <v>174</v>
      </c>
      <c r="E2603">
        <v>174</v>
      </c>
      <c r="F2603">
        <v>172.5</v>
      </c>
      <c r="G2603">
        <v>172.5</v>
      </c>
      <c r="H2603">
        <v>-0.5</v>
      </c>
      <c r="I2603">
        <v>6</v>
      </c>
    </row>
    <row r="2604" spans="1:9" x14ac:dyDescent="0.25">
      <c r="A2604" t="s">
        <v>6583</v>
      </c>
      <c r="B2604">
        <v>21</v>
      </c>
      <c r="C2604" s="1">
        <v>3676</v>
      </c>
      <c r="D2604">
        <v>173</v>
      </c>
      <c r="E2604">
        <v>178</v>
      </c>
      <c r="F2604">
        <v>172.5</v>
      </c>
      <c r="G2604">
        <v>178</v>
      </c>
      <c r="H2604">
        <v>5.5</v>
      </c>
      <c r="I2604">
        <v>17</v>
      </c>
    </row>
    <row r="2605" spans="1:9" x14ac:dyDescent="0.25">
      <c r="A2605" t="s">
        <v>6584</v>
      </c>
      <c r="B2605">
        <v>18</v>
      </c>
      <c r="C2605" s="1">
        <v>3215</v>
      </c>
      <c r="D2605">
        <v>178</v>
      </c>
      <c r="E2605">
        <v>180</v>
      </c>
      <c r="F2605">
        <v>177.5</v>
      </c>
      <c r="G2605">
        <v>177.5</v>
      </c>
      <c r="H2605">
        <v>-0.5</v>
      </c>
      <c r="I2605">
        <v>18</v>
      </c>
    </row>
    <row r="2606" spans="1:9" x14ac:dyDescent="0.25">
      <c r="A2606" t="s">
        <v>6585</v>
      </c>
      <c r="B2606">
        <v>16</v>
      </c>
      <c r="C2606" s="1">
        <v>2842</v>
      </c>
      <c r="D2606">
        <v>177.5</v>
      </c>
      <c r="E2606">
        <v>178.5</v>
      </c>
      <c r="F2606">
        <v>176</v>
      </c>
      <c r="G2606">
        <v>178.5</v>
      </c>
      <c r="H2606">
        <v>1</v>
      </c>
      <c r="I2606">
        <v>14</v>
      </c>
    </row>
    <row r="2607" spans="1:9" x14ac:dyDescent="0.25">
      <c r="A2607" t="s">
        <v>6586</v>
      </c>
      <c r="B2607">
        <v>37</v>
      </c>
      <c r="C2607" s="1">
        <v>6708</v>
      </c>
      <c r="D2607">
        <v>176.5</v>
      </c>
      <c r="E2607">
        <v>185</v>
      </c>
      <c r="F2607">
        <v>176.5</v>
      </c>
      <c r="G2607">
        <v>182</v>
      </c>
      <c r="H2607">
        <v>3.5</v>
      </c>
      <c r="I2607">
        <v>36</v>
      </c>
    </row>
    <row r="2608" spans="1:9" x14ac:dyDescent="0.25">
      <c r="A2608" t="s">
        <v>6587</v>
      </c>
      <c r="B2608">
        <v>12</v>
      </c>
      <c r="C2608" s="1">
        <v>2170</v>
      </c>
      <c r="D2608">
        <v>184.5</v>
      </c>
      <c r="E2608">
        <v>184.5</v>
      </c>
      <c r="F2608">
        <v>180</v>
      </c>
      <c r="G2608">
        <v>180</v>
      </c>
      <c r="H2608">
        <v>-2</v>
      </c>
      <c r="I2608">
        <v>11</v>
      </c>
    </row>
    <row r="2609" spans="1:9" x14ac:dyDescent="0.25">
      <c r="A2609" t="s">
        <v>6588</v>
      </c>
      <c r="B2609">
        <v>44</v>
      </c>
      <c r="C2609" s="1">
        <v>7896</v>
      </c>
      <c r="D2609">
        <v>180.5</v>
      </c>
      <c r="E2609">
        <v>181</v>
      </c>
      <c r="F2609">
        <v>177</v>
      </c>
      <c r="G2609">
        <v>177</v>
      </c>
      <c r="H2609">
        <v>-3</v>
      </c>
      <c r="I2609">
        <v>33</v>
      </c>
    </row>
    <row r="2610" spans="1:9" x14ac:dyDescent="0.25">
      <c r="A2610" t="s">
        <v>6589</v>
      </c>
      <c r="B2610">
        <v>10</v>
      </c>
      <c r="C2610" s="1">
        <v>1785</v>
      </c>
      <c r="D2610">
        <v>180.5</v>
      </c>
      <c r="E2610">
        <v>180.5</v>
      </c>
      <c r="F2610">
        <v>177</v>
      </c>
      <c r="G2610">
        <v>177.5</v>
      </c>
      <c r="H2610">
        <v>0.5</v>
      </c>
      <c r="I2610">
        <v>11</v>
      </c>
    </row>
    <row r="2611" spans="1:9" x14ac:dyDescent="0.25">
      <c r="A2611" t="s">
        <v>6590</v>
      </c>
      <c r="B2611">
        <v>16</v>
      </c>
      <c r="C2611" s="1">
        <v>2835</v>
      </c>
      <c r="D2611">
        <v>177.5</v>
      </c>
      <c r="E2611">
        <v>178</v>
      </c>
      <c r="F2611">
        <v>176</v>
      </c>
      <c r="G2611">
        <v>177</v>
      </c>
      <c r="H2611">
        <v>-0.5</v>
      </c>
      <c r="I2611">
        <v>11</v>
      </c>
    </row>
    <row r="2612" spans="1:9" x14ac:dyDescent="0.25">
      <c r="A2612" s="9" t="s">
        <v>6591</v>
      </c>
      <c r="B2612" s="1">
        <v>26</v>
      </c>
      <c r="C2612" s="1">
        <v>4638</v>
      </c>
      <c r="D2612">
        <v>178.5</v>
      </c>
      <c r="E2612">
        <v>179</v>
      </c>
      <c r="F2612">
        <v>177.5</v>
      </c>
      <c r="G2612">
        <v>177.5</v>
      </c>
      <c r="H2612">
        <v>0.5</v>
      </c>
      <c r="I2612" s="1">
        <v>20</v>
      </c>
    </row>
    <row r="2613" spans="1:9" x14ac:dyDescent="0.25">
      <c r="A2613" s="9" t="s">
        <v>6592</v>
      </c>
      <c r="B2613" s="1">
        <v>69</v>
      </c>
      <c r="C2613" s="1">
        <v>12166</v>
      </c>
      <c r="D2613">
        <v>180</v>
      </c>
      <c r="E2613">
        <v>180</v>
      </c>
      <c r="F2613">
        <v>175</v>
      </c>
      <c r="G2613">
        <v>175</v>
      </c>
      <c r="H2613">
        <v>-2.5</v>
      </c>
      <c r="I2613" s="1">
        <v>42</v>
      </c>
    </row>
    <row r="2614" spans="1:9" x14ac:dyDescent="0.25">
      <c r="A2614" s="9" t="s">
        <v>6593</v>
      </c>
      <c r="B2614" s="1">
        <v>110</v>
      </c>
      <c r="C2614" s="1">
        <v>19351</v>
      </c>
      <c r="D2614">
        <v>177</v>
      </c>
      <c r="E2614">
        <v>178</v>
      </c>
      <c r="F2614">
        <v>175</v>
      </c>
      <c r="G2614">
        <v>175</v>
      </c>
      <c r="H2614">
        <v>0</v>
      </c>
      <c r="I2614" s="1">
        <v>66</v>
      </c>
    </row>
    <row r="2615" spans="1:9" x14ac:dyDescent="0.25">
      <c r="A2615" s="9" t="s">
        <v>6594</v>
      </c>
      <c r="B2615" s="1">
        <v>221</v>
      </c>
      <c r="C2615" s="1">
        <v>39642</v>
      </c>
      <c r="D2615">
        <v>175</v>
      </c>
      <c r="E2615">
        <v>182</v>
      </c>
      <c r="F2615">
        <v>175</v>
      </c>
      <c r="G2615">
        <v>181.5</v>
      </c>
      <c r="H2615">
        <v>6.5</v>
      </c>
      <c r="I2615" s="1">
        <v>142</v>
      </c>
    </row>
    <row r="2616" spans="1:9" x14ac:dyDescent="0.25">
      <c r="A2616" s="9" t="s">
        <v>951</v>
      </c>
      <c r="B2616" s="1"/>
      <c r="C2616" s="1"/>
      <c r="I2616" s="1"/>
    </row>
    <row r="2617" spans="1:9" x14ac:dyDescent="0.25">
      <c r="A2617" s="9" t="s">
        <v>6551</v>
      </c>
      <c r="B2617" s="1">
        <v>27</v>
      </c>
      <c r="C2617" s="1">
        <v>5134</v>
      </c>
      <c r="D2617">
        <v>190</v>
      </c>
      <c r="E2617">
        <v>191.5</v>
      </c>
      <c r="F2617">
        <v>188</v>
      </c>
      <c r="G2617">
        <v>191</v>
      </c>
      <c r="H2617">
        <v>0.5</v>
      </c>
      <c r="I2617" s="1">
        <v>22</v>
      </c>
    </row>
    <row r="2618" spans="1:9" x14ac:dyDescent="0.25">
      <c r="A2618" t="s">
        <v>6552</v>
      </c>
      <c r="B2618">
        <v>167</v>
      </c>
      <c r="C2618" s="1">
        <v>33244</v>
      </c>
      <c r="D2618">
        <v>191.5</v>
      </c>
      <c r="E2618">
        <v>201.5</v>
      </c>
      <c r="F2618">
        <v>191.5</v>
      </c>
      <c r="G2618">
        <v>197</v>
      </c>
      <c r="H2618">
        <v>6</v>
      </c>
      <c r="I2618">
        <v>143</v>
      </c>
    </row>
    <row r="2619" spans="1:9" x14ac:dyDescent="0.25">
      <c r="A2619" t="s">
        <v>6553</v>
      </c>
      <c r="B2619">
        <v>32</v>
      </c>
      <c r="C2619" s="1">
        <v>6338</v>
      </c>
      <c r="D2619">
        <v>199.5</v>
      </c>
      <c r="E2619">
        <v>200</v>
      </c>
      <c r="F2619">
        <v>196</v>
      </c>
      <c r="G2619">
        <v>197</v>
      </c>
      <c r="H2619">
        <v>0</v>
      </c>
      <c r="I2619">
        <v>28</v>
      </c>
    </row>
    <row r="2620" spans="1:9" x14ac:dyDescent="0.25">
      <c r="A2620" t="s">
        <v>6554</v>
      </c>
      <c r="B2620">
        <v>43</v>
      </c>
      <c r="C2620" s="1">
        <v>8418</v>
      </c>
      <c r="D2620">
        <v>197</v>
      </c>
      <c r="E2620">
        <v>198</v>
      </c>
      <c r="F2620">
        <v>194</v>
      </c>
      <c r="G2620">
        <v>194.5</v>
      </c>
      <c r="H2620">
        <v>-2.5</v>
      </c>
      <c r="I2620">
        <v>42</v>
      </c>
    </row>
    <row r="2621" spans="1:9" x14ac:dyDescent="0.25">
      <c r="A2621" t="s">
        <v>6555</v>
      </c>
      <c r="B2621">
        <v>69</v>
      </c>
      <c r="C2621" s="1">
        <v>13336</v>
      </c>
      <c r="D2621">
        <v>196</v>
      </c>
      <c r="E2621">
        <v>196</v>
      </c>
      <c r="F2621">
        <v>191.5</v>
      </c>
      <c r="G2621">
        <v>191.5</v>
      </c>
      <c r="H2621">
        <v>-3</v>
      </c>
      <c r="I2621">
        <v>65</v>
      </c>
    </row>
    <row r="2622" spans="1:9" x14ac:dyDescent="0.25">
      <c r="A2622" t="s">
        <v>6556</v>
      </c>
      <c r="B2622">
        <v>53</v>
      </c>
      <c r="C2622" s="1">
        <v>10077</v>
      </c>
      <c r="D2622">
        <v>191.5</v>
      </c>
      <c r="E2622">
        <v>192</v>
      </c>
      <c r="F2622">
        <v>188</v>
      </c>
      <c r="G2622">
        <v>189</v>
      </c>
      <c r="H2622">
        <v>-2.5</v>
      </c>
      <c r="I2622">
        <v>46</v>
      </c>
    </row>
    <row r="2623" spans="1:9" x14ac:dyDescent="0.25">
      <c r="A2623" t="s">
        <v>6557</v>
      </c>
      <c r="B2623">
        <v>31</v>
      </c>
      <c r="C2623" s="1">
        <v>5814</v>
      </c>
      <c r="D2623">
        <v>187</v>
      </c>
      <c r="E2623">
        <v>190.5</v>
      </c>
      <c r="F2623">
        <v>186</v>
      </c>
      <c r="G2623">
        <v>190.5</v>
      </c>
      <c r="H2623">
        <v>1.5</v>
      </c>
      <c r="I2623">
        <v>24</v>
      </c>
    </row>
    <row r="2624" spans="1:9" x14ac:dyDescent="0.25">
      <c r="A2624" t="s">
        <v>6558</v>
      </c>
      <c r="B2624">
        <v>42</v>
      </c>
      <c r="C2624" s="1">
        <v>7991</v>
      </c>
      <c r="D2624">
        <v>191</v>
      </c>
      <c r="E2624">
        <v>191.5</v>
      </c>
      <c r="F2624">
        <v>187</v>
      </c>
      <c r="G2624">
        <v>187</v>
      </c>
      <c r="H2624">
        <v>-3.5</v>
      </c>
      <c r="I2624">
        <v>38</v>
      </c>
    </row>
    <row r="2625" spans="1:9" x14ac:dyDescent="0.25">
      <c r="A2625" t="s">
        <v>6559</v>
      </c>
      <c r="B2625">
        <v>85</v>
      </c>
      <c r="C2625" s="1">
        <v>16062</v>
      </c>
      <c r="D2625">
        <v>189.5</v>
      </c>
      <c r="E2625">
        <v>191.5</v>
      </c>
      <c r="F2625">
        <v>188</v>
      </c>
      <c r="G2625">
        <v>189</v>
      </c>
      <c r="H2625">
        <v>2</v>
      </c>
      <c r="I2625">
        <v>51</v>
      </c>
    </row>
    <row r="2626" spans="1:9" x14ac:dyDescent="0.25">
      <c r="A2626" t="s">
        <v>6560</v>
      </c>
      <c r="B2626">
        <v>30</v>
      </c>
      <c r="C2626" s="1">
        <v>5644</v>
      </c>
      <c r="D2626">
        <v>189</v>
      </c>
      <c r="E2626">
        <v>190.5</v>
      </c>
      <c r="F2626">
        <v>187</v>
      </c>
      <c r="G2626">
        <v>187</v>
      </c>
      <c r="H2626">
        <v>-2</v>
      </c>
      <c r="I2626">
        <v>29</v>
      </c>
    </row>
    <row r="2627" spans="1:9" x14ac:dyDescent="0.25">
      <c r="A2627" t="s">
        <v>6561</v>
      </c>
      <c r="B2627">
        <v>82</v>
      </c>
      <c r="C2627" s="1">
        <v>15193</v>
      </c>
      <c r="D2627">
        <v>186.5</v>
      </c>
      <c r="E2627">
        <v>187</v>
      </c>
      <c r="F2627">
        <v>184.5</v>
      </c>
      <c r="G2627">
        <v>185</v>
      </c>
      <c r="H2627">
        <v>-2</v>
      </c>
      <c r="I2627">
        <v>32</v>
      </c>
    </row>
    <row r="2628" spans="1:9" x14ac:dyDescent="0.25">
      <c r="A2628" t="s">
        <v>6562</v>
      </c>
      <c r="B2628">
        <v>31</v>
      </c>
      <c r="C2628" s="1">
        <v>5763</v>
      </c>
      <c r="D2628">
        <v>185</v>
      </c>
      <c r="E2628">
        <v>187</v>
      </c>
      <c r="F2628">
        <v>185</v>
      </c>
      <c r="G2628">
        <v>185.5</v>
      </c>
      <c r="H2628">
        <v>0.5</v>
      </c>
      <c r="I2628">
        <v>26</v>
      </c>
    </row>
    <row r="2629" spans="1:9" x14ac:dyDescent="0.25">
      <c r="A2629" t="s">
        <v>6563</v>
      </c>
      <c r="B2629">
        <v>6</v>
      </c>
      <c r="C2629" s="1">
        <v>1116</v>
      </c>
      <c r="D2629">
        <v>186</v>
      </c>
      <c r="E2629">
        <v>186</v>
      </c>
      <c r="F2629">
        <v>186</v>
      </c>
      <c r="G2629">
        <v>186</v>
      </c>
      <c r="H2629">
        <v>0.5</v>
      </c>
      <c r="I2629">
        <v>7</v>
      </c>
    </row>
    <row r="2630" spans="1:9" x14ac:dyDescent="0.25">
      <c r="A2630" t="s">
        <v>6564</v>
      </c>
      <c r="B2630">
        <v>38</v>
      </c>
      <c r="C2630" s="1">
        <v>7044</v>
      </c>
      <c r="D2630">
        <v>186</v>
      </c>
      <c r="E2630">
        <v>186</v>
      </c>
      <c r="F2630">
        <v>185</v>
      </c>
      <c r="G2630">
        <v>186</v>
      </c>
      <c r="H2630">
        <v>0</v>
      </c>
      <c r="I2630">
        <v>36</v>
      </c>
    </row>
    <row r="2631" spans="1:9" x14ac:dyDescent="0.25">
      <c r="A2631" t="s">
        <v>6565</v>
      </c>
      <c r="B2631">
        <v>36</v>
      </c>
      <c r="C2631" s="1">
        <v>6680</v>
      </c>
      <c r="D2631">
        <v>186</v>
      </c>
      <c r="E2631">
        <v>186.5</v>
      </c>
      <c r="F2631">
        <v>184.5</v>
      </c>
      <c r="G2631">
        <v>186</v>
      </c>
      <c r="H2631">
        <v>0</v>
      </c>
      <c r="I2631">
        <v>33</v>
      </c>
    </row>
    <row r="2632" spans="1:9" x14ac:dyDescent="0.25">
      <c r="A2632" t="s">
        <v>6566</v>
      </c>
      <c r="B2632">
        <v>71</v>
      </c>
      <c r="C2632" s="1">
        <v>13626</v>
      </c>
      <c r="D2632">
        <v>189</v>
      </c>
      <c r="E2632">
        <v>196</v>
      </c>
      <c r="F2632">
        <v>188.5</v>
      </c>
      <c r="G2632">
        <v>191</v>
      </c>
      <c r="H2632">
        <v>5</v>
      </c>
      <c r="I2632">
        <v>69</v>
      </c>
    </row>
    <row r="2633" spans="1:9" x14ac:dyDescent="0.25">
      <c r="A2633" t="s">
        <v>6567</v>
      </c>
      <c r="B2633">
        <v>53</v>
      </c>
      <c r="C2633" s="1">
        <v>10018</v>
      </c>
      <c r="D2633">
        <v>190</v>
      </c>
      <c r="E2633">
        <v>190.5</v>
      </c>
      <c r="F2633">
        <v>187.5</v>
      </c>
      <c r="G2633">
        <v>187.5</v>
      </c>
      <c r="H2633">
        <v>-3.5</v>
      </c>
      <c r="I2633">
        <v>32</v>
      </c>
    </row>
    <row r="2634" spans="1:9" x14ac:dyDescent="0.25">
      <c r="A2634" t="s">
        <v>6568</v>
      </c>
      <c r="B2634">
        <v>44</v>
      </c>
      <c r="C2634" s="1">
        <v>8220</v>
      </c>
      <c r="D2634">
        <v>188</v>
      </c>
      <c r="E2634">
        <v>189</v>
      </c>
      <c r="F2634">
        <v>185</v>
      </c>
      <c r="G2634">
        <v>185</v>
      </c>
      <c r="H2634">
        <v>-2.5</v>
      </c>
      <c r="I2634">
        <v>40</v>
      </c>
    </row>
    <row r="2635" spans="1:9" x14ac:dyDescent="0.25">
      <c r="A2635" t="s">
        <v>6569</v>
      </c>
      <c r="B2635">
        <v>37</v>
      </c>
      <c r="C2635" s="1">
        <v>6871</v>
      </c>
      <c r="D2635">
        <v>186</v>
      </c>
      <c r="E2635">
        <v>188</v>
      </c>
      <c r="F2635">
        <v>185</v>
      </c>
      <c r="G2635">
        <v>185</v>
      </c>
      <c r="H2635">
        <v>0</v>
      </c>
      <c r="I2635">
        <v>32</v>
      </c>
    </row>
    <row r="2636" spans="1:9" x14ac:dyDescent="0.25">
      <c r="A2636" s="9" t="s">
        <v>6570</v>
      </c>
      <c r="B2636" s="1">
        <v>52</v>
      </c>
      <c r="C2636" s="1">
        <v>9711</v>
      </c>
      <c r="D2636">
        <v>187</v>
      </c>
      <c r="E2636">
        <v>187.5</v>
      </c>
      <c r="F2636">
        <v>186</v>
      </c>
      <c r="G2636">
        <v>186.5</v>
      </c>
      <c r="H2636">
        <v>1.5</v>
      </c>
      <c r="I2636" s="1">
        <v>42</v>
      </c>
    </row>
    <row r="2637" spans="1:9" x14ac:dyDescent="0.25">
      <c r="A2637" s="9" t="s">
        <v>6571</v>
      </c>
      <c r="B2637" s="1">
        <v>58</v>
      </c>
      <c r="C2637" s="1">
        <v>10793</v>
      </c>
      <c r="D2637">
        <v>188.5</v>
      </c>
      <c r="E2637">
        <v>188.5</v>
      </c>
      <c r="F2637">
        <v>184.5</v>
      </c>
      <c r="G2637">
        <v>185</v>
      </c>
      <c r="H2637">
        <v>-1.5</v>
      </c>
      <c r="I2637" s="1">
        <v>37</v>
      </c>
    </row>
    <row r="2638" spans="1:9" x14ac:dyDescent="0.25">
      <c r="A2638" s="9" t="s">
        <v>973</v>
      </c>
      <c r="B2638" s="1"/>
      <c r="C2638" s="1"/>
      <c r="I2638" s="1"/>
    </row>
    <row r="2641" spans="1:9" x14ac:dyDescent="0.25">
      <c r="A2641" s="9" t="s">
        <v>6530</v>
      </c>
      <c r="B2641" s="1">
        <v>6</v>
      </c>
      <c r="C2641" s="1">
        <v>1097</v>
      </c>
      <c r="D2641">
        <v>183</v>
      </c>
      <c r="E2641">
        <v>183</v>
      </c>
      <c r="F2641">
        <v>182</v>
      </c>
      <c r="G2641">
        <v>182</v>
      </c>
      <c r="H2641">
        <v>-0.5</v>
      </c>
      <c r="I2641" s="1">
        <v>7</v>
      </c>
    </row>
    <row r="2642" spans="1:9" x14ac:dyDescent="0.25">
      <c r="A2642" t="s">
        <v>6531</v>
      </c>
      <c r="B2642">
        <v>27</v>
      </c>
      <c r="C2642" s="1">
        <v>4865</v>
      </c>
      <c r="D2642">
        <v>182.5</v>
      </c>
      <c r="E2642">
        <v>182.5</v>
      </c>
      <c r="F2642">
        <v>177.5</v>
      </c>
      <c r="G2642">
        <v>181</v>
      </c>
      <c r="H2642">
        <v>-1</v>
      </c>
      <c r="I2642">
        <v>27</v>
      </c>
    </row>
    <row r="2643" spans="1:9" x14ac:dyDescent="0.25">
      <c r="A2643" t="s">
        <v>6532</v>
      </c>
      <c r="B2643">
        <v>40</v>
      </c>
      <c r="C2643" s="1">
        <v>7364</v>
      </c>
      <c r="D2643">
        <v>181</v>
      </c>
      <c r="E2643">
        <v>187</v>
      </c>
      <c r="F2643">
        <v>181</v>
      </c>
      <c r="G2643">
        <v>187</v>
      </c>
      <c r="H2643">
        <v>6</v>
      </c>
      <c r="I2643">
        <v>41</v>
      </c>
    </row>
    <row r="2644" spans="1:9" x14ac:dyDescent="0.25">
      <c r="A2644" t="s">
        <v>6533</v>
      </c>
      <c r="B2644">
        <v>37</v>
      </c>
      <c r="C2644" s="1">
        <v>6873</v>
      </c>
      <c r="D2644">
        <v>186</v>
      </c>
      <c r="E2644">
        <v>186.5</v>
      </c>
      <c r="F2644">
        <v>183.5</v>
      </c>
      <c r="G2644">
        <v>184.5</v>
      </c>
      <c r="H2644">
        <v>-2.5</v>
      </c>
      <c r="I2644">
        <v>38</v>
      </c>
    </row>
    <row r="2645" spans="1:9" x14ac:dyDescent="0.25">
      <c r="A2645" t="s">
        <v>6534</v>
      </c>
      <c r="B2645">
        <v>62</v>
      </c>
      <c r="C2645" s="1">
        <v>11652</v>
      </c>
      <c r="D2645">
        <v>184.5</v>
      </c>
      <c r="E2645">
        <v>189.5</v>
      </c>
      <c r="F2645">
        <v>184.5</v>
      </c>
      <c r="G2645">
        <v>189</v>
      </c>
      <c r="H2645">
        <v>4.5</v>
      </c>
      <c r="I2645">
        <v>57</v>
      </c>
    </row>
    <row r="2646" spans="1:9" x14ac:dyDescent="0.25">
      <c r="A2646" t="s">
        <v>6535</v>
      </c>
      <c r="B2646">
        <v>37</v>
      </c>
      <c r="C2646" s="1">
        <v>6968</v>
      </c>
      <c r="D2646">
        <v>191.5</v>
      </c>
      <c r="E2646">
        <v>191.5</v>
      </c>
      <c r="F2646">
        <v>186</v>
      </c>
      <c r="G2646">
        <v>187</v>
      </c>
      <c r="H2646">
        <v>-2</v>
      </c>
      <c r="I2646">
        <v>35</v>
      </c>
    </row>
    <row r="2647" spans="1:9" x14ac:dyDescent="0.25">
      <c r="A2647" t="s">
        <v>6536</v>
      </c>
      <c r="B2647">
        <v>94</v>
      </c>
      <c r="C2647" s="1">
        <v>18063</v>
      </c>
      <c r="D2647">
        <v>187</v>
      </c>
      <c r="E2647">
        <v>197</v>
      </c>
      <c r="F2647">
        <v>187</v>
      </c>
      <c r="G2647">
        <v>195</v>
      </c>
      <c r="H2647">
        <v>8</v>
      </c>
      <c r="I2647">
        <v>87</v>
      </c>
    </row>
    <row r="2648" spans="1:9" x14ac:dyDescent="0.25">
      <c r="A2648" t="s">
        <v>6537</v>
      </c>
      <c r="B2648">
        <v>35</v>
      </c>
      <c r="C2648" s="1">
        <v>6809</v>
      </c>
      <c r="D2648">
        <v>195.5</v>
      </c>
      <c r="E2648">
        <v>196</v>
      </c>
      <c r="F2648">
        <v>193</v>
      </c>
      <c r="G2648">
        <v>195</v>
      </c>
      <c r="H2648">
        <v>0</v>
      </c>
      <c r="I2648">
        <v>35</v>
      </c>
    </row>
    <row r="2649" spans="1:9" x14ac:dyDescent="0.25">
      <c r="A2649" t="s">
        <v>6538</v>
      </c>
      <c r="B2649">
        <v>13</v>
      </c>
      <c r="C2649" s="1">
        <v>2519</v>
      </c>
      <c r="D2649">
        <v>194.5</v>
      </c>
      <c r="E2649">
        <v>194.5</v>
      </c>
      <c r="F2649">
        <v>192</v>
      </c>
      <c r="G2649">
        <v>192.5</v>
      </c>
      <c r="H2649">
        <v>-2.5</v>
      </c>
      <c r="I2649">
        <v>15</v>
      </c>
    </row>
    <row r="2650" spans="1:9" x14ac:dyDescent="0.25">
      <c r="A2650" t="s">
        <v>6539</v>
      </c>
      <c r="B2650">
        <v>64</v>
      </c>
      <c r="C2650" s="1">
        <v>12460</v>
      </c>
      <c r="D2650">
        <v>195</v>
      </c>
      <c r="E2650">
        <v>198</v>
      </c>
      <c r="F2650">
        <v>192</v>
      </c>
      <c r="G2650">
        <v>192</v>
      </c>
      <c r="H2650">
        <v>-0.5</v>
      </c>
      <c r="I2650">
        <v>60</v>
      </c>
    </row>
    <row r="2651" spans="1:9" x14ac:dyDescent="0.25">
      <c r="A2651" t="s">
        <v>6540</v>
      </c>
      <c r="B2651">
        <v>19</v>
      </c>
      <c r="C2651" s="1">
        <v>3608</v>
      </c>
      <c r="D2651">
        <v>195</v>
      </c>
      <c r="E2651">
        <v>195</v>
      </c>
      <c r="F2651">
        <v>188.5</v>
      </c>
      <c r="G2651">
        <v>189.5</v>
      </c>
      <c r="H2651">
        <v>-2.5</v>
      </c>
      <c r="I2651">
        <v>17</v>
      </c>
    </row>
    <row r="2652" spans="1:9" x14ac:dyDescent="0.25">
      <c r="A2652" t="s">
        <v>6541</v>
      </c>
      <c r="B2652">
        <v>11</v>
      </c>
      <c r="C2652" s="1">
        <v>2077</v>
      </c>
      <c r="D2652">
        <v>190</v>
      </c>
      <c r="E2652">
        <v>190</v>
      </c>
      <c r="F2652">
        <v>188</v>
      </c>
      <c r="G2652">
        <v>188</v>
      </c>
      <c r="H2652">
        <v>-1.5</v>
      </c>
      <c r="I2652">
        <v>11</v>
      </c>
    </row>
    <row r="2653" spans="1:9" x14ac:dyDescent="0.25">
      <c r="A2653" t="s">
        <v>6542</v>
      </c>
      <c r="B2653">
        <v>15</v>
      </c>
      <c r="C2653" s="1">
        <v>2841</v>
      </c>
      <c r="D2653">
        <v>189</v>
      </c>
      <c r="E2653">
        <v>190</v>
      </c>
      <c r="F2653">
        <v>188</v>
      </c>
      <c r="G2653">
        <v>190</v>
      </c>
      <c r="H2653">
        <v>2</v>
      </c>
      <c r="I2653">
        <v>13</v>
      </c>
    </row>
    <row r="2654" spans="1:9" x14ac:dyDescent="0.25">
      <c r="A2654" t="s">
        <v>6543</v>
      </c>
      <c r="B2654">
        <v>14</v>
      </c>
      <c r="C2654" s="1">
        <v>2640</v>
      </c>
      <c r="D2654">
        <v>190</v>
      </c>
      <c r="E2654">
        <v>190</v>
      </c>
      <c r="F2654">
        <v>188</v>
      </c>
      <c r="G2654">
        <v>188</v>
      </c>
      <c r="H2654">
        <v>-2</v>
      </c>
      <c r="I2654">
        <v>11</v>
      </c>
    </row>
    <row r="2655" spans="1:9" x14ac:dyDescent="0.25">
      <c r="A2655" t="s">
        <v>6544</v>
      </c>
      <c r="B2655">
        <v>18</v>
      </c>
      <c r="C2655" s="1">
        <v>3431</v>
      </c>
      <c r="D2655">
        <v>189</v>
      </c>
      <c r="E2655">
        <v>192</v>
      </c>
      <c r="F2655">
        <v>188.5</v>
      </c>
      <c r="G2655">
        <v>192</v>
      </c>
      <c r="H2655">
        <v>4</v>
      </c>
      <c r="I2655">
        <v>18</v>
      </c>
    </row>
    <row r="2656" spans="1:9" x14ac:dyDescent="0.25">
      <c r="A2656" t="s">
        <v>6545</v>
      </c>
      <c r="B2656">
        <v>21</v>
      </c>
      <c r="C2656" s="1">
        <v>4038</v>
      </c>
      <c r="D2656">
        <v>195</v>
      </c>
      <c r="E2656">
        <v>195</v>
      </c>
      <c r="F2656">
        <v>191</v>
      </c>
      <c r="G2656">
        <v>191</v>
      </c>
      <c r="H2656">
        <v>-1</v>
      </c>
      <c r="I2656">
        <v>21</v>
      </c>
    </row>
    <row r="2657" spans="1:9" x14ac:dyDescent="0.25">
      <c r="A2657" t="s">
        <v>6546</v>
      </c>
      <c r="B2657">
        <v>14</v>
      </c>
      <c r="C2657" s="1">
        <v>2675</v>
      </c>
      <c r="D2657">
        <v>192</v>
      </c>
      <c r="E2657">
        <v>192</v>
      </c>
      <c r="F2657">
        <v>190.5</v>
      </c>
      <c r="G2657">
        <v>191</v>
      </c>
      <c r="H2657">
        <v>0</v>
      </c>
      <c r="I2657">
        <v>13</v>
      </c>
    </row>
    <row r="2658" spans="1:9" x14ac:dyDescent="0.25">
      <c r="A2658" t="s">
        <v>6547</v>
      </c>
      <c r="B2658">
        <v>19</v>
      </c>
      <c r="C2658" s="1">
        <v>3635</v>
      </c>
      <c r="D2658">
        <v>189</v>
      </c>
      <c r="E2658">
        <v>193</v>
      </c>
      <c r="F2658">
        <v>189</v>
      </c>
      <c r="G2658">
        <v>191.5</v>
      </c>
      <c r="H2658">
        <v>0.5</v>
      </c>
      <c r="I2658">
        <v>19</v>
      </c>
    </row>
    <row r="2659" spans="1:9" x14ac:dyDescent="0.25">
      <c r="A2659" t="s">
        <v>6548</v>
      </c>
      <c r="B2659">
        <v>20</v>
      </c>
      <c r="C2659" s="1">
        <v>3860</v>
      </c>
      <c r="D2659">
        <v>191</v>
      </c>
      <c r="E2659">
        <v>191.5</v>
      </c>
      <c r="F2659">
        <v>189.5</v>
      </c>
      <c r="G2659">
        <v>191.5</v>
      </c>
      <c r="H2659">
        <v>0</v>
      </c>
      <c r="I2659">
        <v>18</v>
      </c>
    </row>
    <row r="2660" spans="1:9" x14ac:dyDescent="0.25">
      <c r="A2660" s="9" t="s">
        <v>6549</v>
      </c>
      <c r="B2660" s="1">
        <v>29</v>
      </c>
      <c r="C2660" s="1">
        <v>5542</v>
      </c>
      <c r="D2660">
        <v>191.5</v>
      </c>
      <c r="E2660">
        <v>192</v>
      </c>
      <c r="F2660">
        <v>190</v>
      </c>
      <c r="G2660">
        <v>190</v>
      </c>
      <c r="H2660">
        <v>-1.5</v>
      </c>
      <c r="I2660" s="1">
        <v>23</v>
      </c>
    </row>
    <row r="2661" spans="1:9" x14ac:dyDescent="0.25">
      <c r="A2661" s="9" t="s">
        <v>6550</v>
      </c>
      <c r="B2661" s="1">
        <v>26</v>
      </c>
      <c r="C2661" s="1">
        <v>4954</v>
      </c>
      <c r="D2661">
        <v>189</v>
      </c>
      <c r="E2661">
        <v>191</v>
      </c>
      <c r="F2661">
        <v>189</v>
      </c>
      <c r="G2661">
        <v>190.5</v>
      </c>
      <c r="H2661">
        <v>0.5</v>
      </c>
      <c r="I2661" s="1">
        <v>14</v>
      </c>
    </row>
    <row r="2662" spans="1:9" x14ac:dyDescent="0.25">
      <c r="A2662" s="9" t="s">
        <v>973</v>
      </c>
      <c r="B2662" s="1"/>
      <c r="C2662" s="1"/>
      <c r="I2662" s="1"/>
    </row>
    <row r="2665" spans="1:9" x14ac:dyDescent="0.25">
      <c r="A2665" s="9" t="s">
        <v>6510</v>
      </c>
      <c r="B2665" s="1">
        <v>12</v>
      </c>
      <c r="C2665" s="1">
        <v>2016</v>
      </c>
      <c r="D2665">
        <v>168</v>
      </c>
      <c r="E2665">
        <v>168</v>
      </c>
      <c r="F2665">
        <v>167.5</v>
      </c>
      <c r="G2665">
        <v>167.5</v>
      </c>
      <c r="H2665">
        <v>-3</v>
      </c>
      <c r="I2665" s="1">
        <v>12</v>
      </c>
    </row>
    <row r="2666" spans="1:9" x14ac:dyDescent="0.25">
      <c r="A2666" t="s">
        <v>6511</v>
      </c>
      <c r="B2666">
        <v>14</v>
      </c>
      <c r="C2666" s="1">
        <v>2378</v>
      </c>
      <c r="D2666">
        <v>166.5</v>
      </c>
      <c r="E2666">
        <v>168</v>
      </c>
      <c r="F2666">
        <v>166.5</v>
      </c>
      <c r="G2666">
        <v>167</v>
      </c>
      <c r="H2666">
        <v>-0.5</v>
      </c>
      <c r="I2666">
        <v>15</v>
      </c>
    </row>
    <row r="2667" spans="1:9" x14ac:dyDescent="0.25">
      <c r="A2667" t="s">
        <v>6512</v>
      </c>
      <c r="B2667">
        <v>27</v>
      </c>
      <c r="C2667" s="1">
        <v>4627</v>
      </c>
      <c r="D2667">
        <v>168</v>
      </c>
      <c r="E2667">
        <v>173</v>
      </c>
      <c r="F2667">
        <v>168</v>
      </c>
      <c r="G2667">
        <v>171</v>
      </c>
      <c r="H2667">
        <v>4</v>
      </c>
      <c r="I2667">
        <v>24</v>
      </c>
    </row>
    <row r="2668" spans="1:9" x14ac:dyDescent="0.25">
      <c r="A2668" t="s">
        <v>6513</v>
      </c>
      <c r="B2668">
        <v>7</v>
      </c>
      <c r="C2668" s="1">
        <v>1184</v>
      </c>
      <c r="D2668">
        <v>170</v>
      </c>
      <c r="E2668">
        <v>170</v>
      </c>
      <c r="F2668">
        <v>168</v>
      </c>
      <c r="G2668">
        <v>168</v>
      </c>
      <c r="H2668">
        <v>-3</v>
      </c>
      <c r="I2668">
        <v>7</v>
      </c>
    </row>
    <row r="2669" spans="1:9" x14ac:dyDescent="0.25">
      <c r="A2669" t="s">
        <v>6514</v>
      </c>
      <c r="B2669">
        <v>10</v>
      </c>
      <c r="C2669" s="1">
        <v>1683</v>
      </c>
      <c r="D2669">
        <v>169</v>
      </c>
      <c r="E2669">
        <v>169</v>
      </c>
      <c r="F2669">
        <v>167.5</v>
      </c>
      <c r="G2669">
        <v>169</v>
      </c>
      <c r="H2669">
        <v>1</v>
      </c>
      <c r="I2669">
        <v>9</v>
      </c>
    </row>
    <row r="2670" spans="1:9" x14ac:dyDescent="0.25">
      <c r="A2670" t="s">
        <v>6515</v>
      </c>
      <c r="B2670">
        <v>21</v>
      </c>
      <c r="C2670" s="1">
        <v>3592</v>
      </c>
      <c r="D2670">
        <v>177.5</v>
      </c>
      <c r="E2670">
        <v>177.5</v>
      </c>
      <c r="F2670">
        <v>169.5</v>
      </c>
      <c r="G2670">
        <v>170</v>
      </c>
      <c r="H2670">
        <v>1</v>
      </c>
      <c r="I2670">
        <v>20</v>
      </c>
    </row>
    <row r="2671" spans="1:9" x14ac:dyDescent="0.25">
      <c r="A2671" t="s">
        <v>6516</v>
      </c>
      <c r="B2671">
        <v>657</v>
      </c>
      <c r="C2671" s="1">
        <v>114878</v>
      </c>
      <c r="D2671">
        <v>174</v>
      </c>
      <c r="E2671">
        <v>175</v>
      </c>
      <c r="F2671">
        <v>170</v>
      </c>
      <c r="G2671">
        <v>175</v>
      </c>
      <c r="H2671">
        <v>5</v>
      </c>
      <c r="I2671">
        <v>53</v>
      </c>
    </row>
    <row r="2672" spans="1:9" x14ac:dyDescent="0.25">
      <c r="A2672" t="s">
        <v>6517</v>
      </c>
      <c r="B2672">
        <v>125</v>
      </c>
      <c r="C2672" s="1">
        <v>23216</v>
      </c>
      <c r="D2672">
        <v>176</v>
      </c>
      <c r="E2672">
        <v>192.5</v>
      </c>
      <c r="F2672">
        <v>176</v>
      </c>
      <c r="G2672">
        <v>189</v>
      </c>
      <c r="H2672">
        <v>14</v>
      </c>
      <c r="I2672">
        <v>114</v>
      </c>
    </row>
    <row r="2673" spans="1:9" x14ac:dyDescent="0.25">
      <c r="A2673" t="s">
        <v>6518</v>
      </c>
      <c r="B2673">
        <v>67</v>
      </c>
      <c r="C2673" s="1">
        <v>12437</v>
      </c>
      <c r="D2673">
        <v>189.5</v>
      </c>
      <c r="E2673">
        <v>189.5</v>
      </c>
      <c r="F2673">
        <v>183</v>
      </c>
      <c r="G2673">
        <v>184.5</v>
      </c>
      <c r="H2673">
        <v>-4.5</v>
      </c>
      <c r="I2673">
        <v>68</v>
      </c>
    </row>
    <row r="2674" spans="1:9" x14ac:dyDescent="0.25">
      <c r="A2674" t="s">
        <v>6519</v>
      </c>
      <c r="B2674">
        <v>52</v>
      </c>
      <c r="C2674" s="1">
        <v>9698</v>
      </c>
      <c r="D2674">
        <v>186.5</v>
      </c>
      <c r="E2674">
        <v>186.5</v>
      </c>
      <c r="F2674">
        <v>183</v>
      </c>
      <c r="G2674">
        <v>185</v>
      </c>
      <c r="H2674">
        <v>0.5</v>
      </c>
      <c r="I2674">
        <v>50</v>
      </c>
    </row>
    <row r="2675" spans="1:9" x14ac:dyDescent="0.25">
      <c r="A2675" t="s">
        <v>6520</v>
      </c>
      <c r="B2675">
        <v>27</v>
      </c>
      <c r="C2675" s="1">
        <v>4984</v>
      </c>
      <c r="D2675">
        <v>185.5</v>
      </c>
      <c r="E2675">
        <v>185.5</v>
      </c>
      <c r="F2675">
        <v>183</v>
      </c>
      <c r="G2675">
        <v>184</v>
      </c>
      <c r="H2675">
        <v>-1</v>
      </c>
      <c r="I2675">
        <v>23</v>
      </c>
    </row>
    <row r="2676" spans="1:9" x14ac:dyDescent="0.25">
      <c r="A2676" t="s">
        <v>6521</v>
      </c>
      <c r="B2676">
        <v>50</v>
      </c>
      <c r="C2676" s="1">
        <v>9364</v>
      </c>
      <c r="D2676">
        <v>186</v>
      </c>
      <c r="E2676">
        <v>191</v>
      </c>
      <c r="F2676">
        <v>185.5</v>
      </c>
      <c r="G2676">
        <v>185.5</v>
      </c>
      <c r="H2676">
        <v>1.5</v>
      </c>
      <c r="I2676">
        <v>46</v>
      </c>
    </row>
    <row r="2677" spans="1:9" x14ac:dyDescent="0.25">
      <c r="A2677" t="s">
        <v>6522</v>
      </c>
      <c r="B2677">
        <v>36</v>
      </c>
      <c r="C2677" s="1">
        <v>6826</v>
      </c>
      <c r="D2677">
        <v>187</v>
      </c>
      <c r="E2677">
        <v>191</v>
      </c>
      <c r="F2677">
        <v>187</v>
      </c>
      <c r="G2677">
        <v>188.5</v>
      </c>
      <c r="H2677">
        <v>3</v>
      </c>
      <c r="I2677">
        <v>32</v>
      </c>
    </row>
    <row r="2678" spans="1:9" x14ac:dyDescent="0.25">
      <c r="A2678" t="s">
        <v>6523</v>
      </c>
      <c r="B2678">
        <v>19</v>
      </c>
      <c r="C2678" s="1">
        <v>3637</v>
      </c>
      <c r="D2678">
        <v>188.5</v>
      </c>
      <c r="E2678">
        <v>188.5</v>
      </c>
      <c r="F2678">
        <v>186</v>
      </c>
      <c r="G2678">
        <v>188</v>
      </c>
      <c r="H2678">
        <v>-0.5</v>
      </c>
      <c r="I2678">
        <v>23</v>
      </c>
    </row>
    <row r="2679" spans="1:9" x14ac:dyDescent="0.25">
      <c r="A2679" t="s">
        <v>6524</v>
      </c>
      <c r="B2679">
        <v>21</v>
      </c>
      <c r="C2679" s="1">
        <v>3901</v>
      </c>
      <c r="D2679">
        <v>188</v>
      </c>
      <c r="E2679">
        <v>188</v>
      </c>
      <c r="F2679">
        <v>184</v>
      </c>
      <c r="G2679">
        <v>184</v>
      </c>
      <c r="H2679">
        <v>-4</v>
      </c>
      <c r="I2679">
        <v>23</v>
      </c>
    </row>
    <row r="2680" spans="1:9" x14ac:dyDescent="0.25">
      <c r="A2680" t="s">
        <v>6525</v>
      </c>
      <c r="B2680">
        <v>33</v>
      </c>
      <c r="C2680" s="1">
        <v>6084</v>
      </c>
      <c r="D2680">
        <v>184</v>
      </c>
      <c r="E2680">
        <v>185</v>
      </c>
      <c r="F2680">
        <v>184</v>
      </c>
      <c r="G2680">
        <v>184</v>
      </c>
      <c r="H2680">
        <v>0</v>
      </c>
      <c r="I2680">
        <v>32</v>
      </c>
    </row>
    <row r="2681" spans="1:9" x14ac:dyDescent="0.25">
      <c r="A2681" t="s">
        <v>6526</v>
      </c>
      <c r="B2681">
        <v>30</v>
      </c>
      <c r="C2681" s="1">
        <v>5475</v>
      </c>
      <c r="D2681">
        <v>184</v>
      </c>
      <c r="E2681">
        <v>184</v>
      </c>
      <c r="F2681">
        <v>181.5</v>
      </c>
      <c r="G2681">
        <v>184</v>
      </c>
      <c r="H2681">
        <v>0</v>
      </c>
      <c r="I2681">
        <v>28</v>
      </c>
    </row>
    <row r="2682" spans="1:9" x14ac:dyDescent="0.25">
      <c r="A2682" t="s">
        <v>6527</v>
      </c>
      <c r="B2682">
        <v>34</v>
      </c>
      <c r="C2682" s="1">
        <v>6176</v>
      </c>
      <c r="D2682">
        <v>187</v>
      </c>
      <c r="E2682">
        <v>187</v>
      </c>
      <c r="F2682">
        <v>179</v>
      </c>
      <c r="G2682">
        <v>180</v>
      </c>
      <c r="H2682">
        <v>-4</v>
      </c>
      <c r="I2682">
        <v>32</v>
      </c>
    </row>
    <row r="2683" spans="1:9" x14ac:dyDescent="0.25">
      <c r="A2683" t="s">
        <v>6528</v>
      </c>
      <c r="B2683">
        <v>41</v>
      </c>
      <c r="C2683" s="1">
        <v>7366</v>
      </c>
      <c r="D2683">
        <v>180</v>
      </c>
      <c r="E2683">
        <v>181.5</v>
      </c>
      <c r="F2683">
        <v>178</v>
      </c>
      <c r="G2683">
        <v>181.5</v>
      </c>
      <c r="H2683">
        <v>1.5</v>
      </c>
      <c r="I2683">
        <v>31</v>
      </c>
    </row>
    <row r="2684" spans="1:9" x14ac:dyDescent="0.25">
      <c r="A2684" s="9" t="s">
        <v>6529</v>
      </c>
      <c r="B2684" s="1">
        <v>24</v>
      </c>
      <c r="C2684" s="1">
        <v>4347</v>
      </c>
      <c r="D2684">
        <v>181.5</v>
      </c>
      <c r="E2684">
        <v>183.5</v>
      </c>
      <c r="F2684">
        <v>177</v>
      </c>
      <c r="G2684">
        <v>182.5</v>
      </c>
      <c r="H2684">
        <v>1</v>
      </c>
      <c r="I2684" s="1">
        <v>24</v>
      </c>
    </row>
    <row r="2685" spans="1:9" x14ac:dyDescent="0.25">
      <c r="A2685" s="9" t="s">
        <v>927</v>
      </c>
      <c r="B2685" s="1"/>
      <c r="C2685" s="1"/>
      <c r="I2685" s="1"/>
    </row>
    <row r="2689" spans="1:9" x14ac:dyDescent="0.25">
      <c r="A2689" s="9" t="s">
        <v>6489</v>
      </c>
      <c r="B2689" s="1">
        <v>32</v>
      </c>
      <c r="C2689" s="1">
        <v>5962</v>
      </c>
      <c r="D2689">
        <v>187.5</v>
      </c>
      <c r="E2689">
        <v>188</v>
      </c>
      <c r="F2689">
        <v>185</v>
      </c>
      <c r="G2689">
        <v>185</v>
      </c>
      <c r="H2689">
        <v>-7</v>
      </c>
      <c r="I2689" s="1">
        <v>25</v>
      </c>
    </row>
    <row r="2690" spans="1:9" x14ac:dyDescent="0.25">
      <c r="A2690" t="s">
        <v>6490</v>
      </c>
      <c r="B2690">
        <v>54</v>
      </c>
      <c r="C2690" s="1">
        <v>9829</v>
      </c>
      <c r="D2690">
        <v>183</v>
      </c>
      <c r="E2690">
        <v>184</v>
      </c>
      <c r="F2690">
        <v>175</v>
      </c>
      <c r="G2690">
        <v>178</v>
      </c>
      <c r="H2690">
        <v>-7</v>
      </c>
      <c r="I2690">
        <v>53</v>
      </c>
    </row>
    <row r="2691" spans="1:9" x14ac:dyDescent="0.25">
      <c r="A2691" t="s">
        <v>6491</v>
      </c>
      <c r="B2691">
        <v>187</v>
      </c>
      <c r="C2691" s="1">
        <v>32242</v>
      </c>
      <c r="D2691">
        <v>178</v>
      </c>
      <c r="E2691">
        <v>178</v>
      </c>
      <c r="F2691">
        <v>165</v>
      </c>
      <c r="G2691">
        <v>171.5</v>
      </c>
      <c r="H2691">
        <v>-6.5</v>
      </c>
      <c r="I2691">
        <v>105</v>
      </c>
    </row>
    <row r="2692" spans="1:9" x14ac:dyDescent="0.25">
      <c r="A2692" t="s">
        <v>6492</v>
      </c>
      <c r="B2692">
        <v>151</v>
      </c>
      <c r="C2692" s="1">
        <v>25640</v>
      </c>
      <c r="D2692">
        <v>171.5</v>
      </c>
      <c r="E2692">
        <v>173</v>
      </c>
      <c r="F2692">
        <v>168</v>
      </c>
      <c r="G2692">
        <v>170</v>
      </c>
      <c r="H2692">
        <v>-1.5</v>
      </c>
      <c r="I2692">
        <v>67</v>
      </c>
    </row>
    <row r="2693" spans="1:9" x14ac:dyDescent="0.25">
      <c r="A2693" t="s">
        <v>6493</v>
      </c>
      <c r="B2693">
        <v>91</v>
      </c>
      <c r="C2693" s="1">
        <v>15242</v>
      </c>
      <c r="D2693">
        <v>170</v>
      </c>
      <c r="E2693">
        <v>173</v>
      </c>
      <c r="F2693">
        <v>164</v>
      </c>
      <c r="G2693">
        <v>173</v>
      </c>
      <c r="H2693">
        <v>3</v>
      </c>
      <c r="I2693">
        <v>78</v>
      </c>
    </row>
    <row r="2694" spans="1:9" x14ac:dyDescent="0.25">
      <c r="A2694" t="s">
        <v>6494</v>
      </c>
      <c r="B2694">
        <v>28</v>
      </c>
      <c r="C2694" s="1">
        <v>4962</v>
      </c>
      <c r="D2694">
        <v>171.5</v>
      </c>
      <c r="E2694">
        <v>180</v>
      </c>
      <c r="F2694">
        <v>171.5</v>
      </c>
      <c r="G2694">
        <v>179</v>
      </c>
      <c r="H2694">
        <v>6</v>
      </c>
      <c r="I2694">
        <v>30</v>
      </c>
    </row>
    <row r="2695" spans="1:9" x14ac:dyDescent="0.25">
      <c r="A2695" t="s">
        <v>6495</v>
      </c>
      <c r="B2695">
        <v>34</v>
      </c>
      <c r="C2695" s="1">
        <v>6097</v>
      </c>
      <c r="D2695">
        <v>179</v>
      </c>
      <c r="E2695">
        <v>180</v>
      </c>
      <c r="F2695">
        <v>174.5</v>
      </c>
      <c r="G2695">
        <v>174.5</v>
      </c>
      <c r="H2695">
        <v>-4.5</v>
      </c>
      <c r="I2695">
        <v>35</v>
      </c>
    </row>
    <row r="2696" spans="1:9" x14ac:dyDescent="0.25">
      <c r="A2696" t="s">
        <v>6496</v>
      </c>
      <c r="B2696">
        <v>22</v>
      </c>
      <c r="C2696" s="1">
        <v>3834</v>
      </c>
      <c r="D2696">
        <v>174</v>
      </c>
      <c r="E2696">
        <v>176.5</v>
      </c>
      <c r="F2696">
        <v>171</v>
      </c>
      <c r="G2696">
        <v>175.5</v>
      </c>
      <c r="H2696">
        <v>1</v>
      </c>
      <c r="I2696">
        <v>25</v>
      </c>
    </row>
    <row r="2697" spans="1:9" x14ac:dyDescent="0.25">
      <c r="A2697" t="s">
        <v>6497</v>
      </c>
      <c r="B2697">
        <v>17</v>
      </c>
      <c r="C2697" s="1">
        <v>3072</v>
      </c>
      <c r="D2697">
        <v>175.5</v>
      </c>
      <c r="E2697">
        <v>179</v>
      </c>
      <c r="F2697">
        <v>175.5</v>
      </c>
      <c r="G2697">
        <v>179</v>
      </c>
      <c r="H2697">
        <v>3.5</v>
      </c>
      <c r="I2697">
        <v>20</v>
      </c>
    </row>
    <row r="2698" spans="1:9" x14ac:dyDescent="0.25">
      <c r="A2698" t="s">
        <v>6498</v>
      </c>
      <c r="B2698">
        <v>15</v>
      </c>
      <c r="C2698" s="1">
        <v>2699</v>
      </c>
      <c r="D2698">
        <v>181</v>
      </c>
      <c r="E2698">
        <v>181</v>
      </c>
      <c r="F2698">
        <v>179</v>
      </c>
      <c r="G2698">
        <v>179</v>
      </c>
      <c r="H2698">
        <v>0</v>
      </c>
      <c r="I2698">
        <v>12</v>
      </c>
    </row>
    <row r="2699" spans="1:9" x14ac:dyDescent="0.25">
      <c r="A2699" t="s">
        <v>6499</v>
      </c>
      <c r="B2699">
        <v>20</v>
      </c>
      <c r="C2699" s="1">
        <v>3604</v>
      </c>
      <c r="D2699">
        <v>179</v>
      </c>
      <c r="E2699">
        <v>179</v>
      </c>
      <c r="F2699">
        <v>177</v>
      </c>
      <c r="G2699">
        <v>179</v>
      </c>
      <c r="H2699">
        <v>0</v>
      </c>
      <c r="I2699">
        <v>20</v>
      </c>
    </row>
    <row r="2700" spans="1:9" x14ac:dyDescent="0.25">
      <c r="A2700" t="s">
        <v>6500</v>
      </c>
      <c r="B2700">
        <v>21</v>
      </c>
      <c r="C2700" s="1">
        <v>3715</v>
      </c>
      <c r="D2700">
        <v>179</v>
      </c>
      <c r="E2700">
        <v>179</v>
      </c>
      <c r="F2700">
        <v>173.5</v>
      </c>
      <c r="G2700">
        <v>177</v>
      </c>
      <c r="H2700">
        <v>-2</v>
      </c>
      <c r="I2700">
        <v>20</v>
      </c>
    </row>
    <row r="2701" spans="1:9" x14ac:dyDescent="0.25">
      <c r="A2701" t="s">
        <v>6501</v>
      </c>
      <c r="B2701">
        <v>26</v>
      </c>
      <c r="C2701" s="1">
        <v>4506</v>
      </c>
      <c r="D2701">
        <v>177</v>
      </c>
      <c r="E2701">
        <v>177</v>
      </c>
      <c r="F2701">
        <v>172</v>
      </c>
      <c r="G2701">
        <v>172</v>
      </c>
      <c r="H2701">
        <v>-5</v>
      </c>
      <c r="I2701">
        <v>21</v>
      </c>
    </row>
    <row r="2702" spans="1:9" x14ac:dyDescent="0.25">
      <c r="A2702" t="s">
        <v>6502</v>
      </c>
      <c r="B2702">
        <v>15</v>
      </c>
      <c r="C2702" s="1">
        <v>2585</v>
      </c>
      <c r="D2702">
        <v>172</v>
      </c>
      <c r="E2702">
        <v>173</v>
      </c>
      <c r="F2702">
        <v>170.5</v>
      </c>
      <c r="G2702">
        <v>172</v>
      </c>
      <c r="H2702">
        <v>0</v>
      </c>
      <c r="I2702">
        <v>14</v>
      </c>
    </row>
    <row r="2703" spans="1:9" x14ac:dyDescent="0.25">
      <c r="A2703" t="s">
        <v>6503</v>
      </c>
      <c r="B2703">
        <v>24</v>
      </c>
      <c r="C2703" s="1">
        <v>4059</v>
      </c>
      <c r="D2703">
        <v>170</v>
      </c>
      <c r="E2703">
        <v>171</v>
      </c>
      <c r="F2703">
        <v>168</v>
      </c>
      <c r="G2703">
        <v>171</v>
      </c>
      <c r="H2703">
        <v>-1</v>
      </c>
      <c r="I2703">
        <v>23</v>
      </c>
    </row>
    <row r="2704" spans="1:9" x14ac:dyDescent="0.25">
      <c r="A2704" t="s">
        <v>6504</v>
      </c>
      <c r="B2704">
        <v>55</v>
      </c>
      <c r="C2704" s="1">
        <v>9075</v>
      </c>
      <c r="D2704">
        <v>174.5</v>
      </c>
      <c r="E2704">
        <v>174.5</v>
      </c>
      <c r="F2704">
        <v>161</v>
      </c>
      <c r="G2704">
        <v>173</v>
      </c>
      <c r="H2704">
        <v>2</v>
      </c>
      <c r="I2704">
        <v>55</v>
      </c>
    </row>
    <row r="2705" spans="1:9" x14ac:dyDescent="0.25">
      <c r="A2705" t="s">
        <v>6505</v>
      </c>
      <c r="B2705">
        <v>40</v>
      </c>
      <c r="C2705" s="1">
        <v>6816</v>
      </c>
      <c r="D2705">
        <v>164</v>
      </c>
      <c r="E2705">
        <v>173</v>
      </c>
      <c r="F2705">
        <v>164</v>
      </c>
      <c r="G2705">
        <v>169</v>
      </c>
      <c r="H2705">
        <v>-4</v>
      </c>
      <c r="I2705">
        <v>37</v>
      </c>
    </row>
    <row r="2706" spans="1:9" x14ac:dyDescent="0.25">
      <c r="A2706" t="s">
        <v>6506</v>
      </c>
      <c r="B2706">
        <v>17</v>
      </c>
      <c r="C2706" s="1">
        <v>2816</v>
      </c>
      <c r="D2706">
        <v>167</v>
      </c>
      <c r="E2706">
        <v>167</v>
      </c>
      <c r="F2706">
        <v>163.5</v>
      </c>
      <c r="G2706">
        <v>165</v>
      </c>
      <c r="H2706">
        <v>-4</v>
      </c>
      <c r="I2706">
        <v>17</v>
      </c>
    </row>
    <row r="2707" spans="1:9" x14ac:dyDescent="0.25">
      <c r="A2707" t="s">
        <v>6507</v>
      </c>
      <c r="B2707">
        <v>21</v>
      </c>
      <c r="C2707" s="1">
        <v>3546</v>
      </c>
      <c r="D2707">
        <v>166.5</v>
      </c>
      <c r="E2707">
        <v>170</v>
      </c>
      <c r="F2707">
        <v>166.5</v>
      </c>
      <c r="G2707">
        <v>167.5</v>
      </c>
      <c r="H2707">
        <v>2.5</v>
      </c>
      <c r="I2707">
        <v>25</v>
      </c>
    </row>
    <row r="2708" spans="1:9" x14ac:dyDescent="0.25">
      <c r="A2708" s="9" t="s">
        <v>6508</v>
      </c>
      <c r="B2708" s="1">
        <v>61</v>
      </c>
      <c r="C2708" s="1">
        <v>10508</v>
      </c>
      <c r="D2708">
        <v>170</v>
      </c>
      <c r="E2708">
        <v>178</v>
      </c>
      <c r="F2708">
        <v>168.5</v>
      </c>
      <c r="G2708">
        <v>169</v>
      </c>
      <c r="H2708">
        <v>1.5</v>
      </c>
      <c r="I2708" s="1">
        <v>53</v>
      </c>
    </row>
    <row r="2709" spans="1:9" x14ac:dyDescent="0.25">
      <c r="A2709" s="9" t="s">
        <v>6509</v>
      </c>
      <c r="B2709" s="1">
        <v>21</v>
      </c>
      <c r="C2709" s="1">
        <v>3598</v>
      </c>
      <c r="D2709">
        <v>172</v>
      </c>
      <c r="E2709">
        <v>172</v>
      </c>
      <c r="F2709">
        <v>170</v>
      </c>
      <c r="G2709">
        <v>170.5</v>
      </c>
      <c r="H2709">
        <v>1.5</v>
      </c>
      <c r="I2709" s="1">
        <v>24</v>
      </c>
    </row>
    <row r="2710" spans="1:9" x14ac:dyDescent="0.25">
      <c r="A2710" s="9" t="s">
        <v>973</v>
      </c>
      <c r="B2710" s="1"/>
      <c r="C2710" s="1"/>
      <c r="I2710" s="1"/>
    </row>
    <row r="2713" spans="1:9" x14ac:dyDescent="0.25">
      <c r="A2713" s="9" t="s">
        <v>6467</v>
      </c>
      <c r="B2713" s="1">
        <v>74</v>
      </c>
      <c r="C2713" s="1">
        <v>14994</v>
      </c>
      <c r="D2713">
        <v>204</v>
      </c>
      <c r="E2713">
        <v>204</v>
      </c>
      <c r="F2713">
        <v>200</v>
      </c>
      <c r="G2713">
        <v>202</v>
      </c>
      <c r="H2713">
        <v>-8</v>
      </c>
      <c r="I2713" s="1">
        <v>63</v>
      </c>
    </row>
    <row r="2714" spans="1:9" x14ac:dyDescent="0.25">
      <c r="A2714" t="s">
        <v>6468</v>
      </c>
      <c r="B2714">
        <v>29</v>
      </c>
      <c r="C2714" s="1">
        <v>5915</v>
      </c>
      <c r="D2714">
        <v>200.5</v>
      </c>
      <c r="E2714">
        <v>202.5</v>
      </c>
      <c r="F2714">
        <v>200.5</v>
      </c>
      <c r="G2714">
        <v>202.5</v>
      </c>
      <c r="H2714">
        <v>0.5</v>
      </c>
      <c r="I2714">
        <v>22</v>
      </c>
    </row>
    <row r="2715" spans="1:9" x14ac:dyDescent="0.25">
      <c r="A2715" t="s">
        <v>6469</v>
      </c>
      <c r="B2715">
        <v>42</v>
      </c>
      <c r="C2715" s="1">
        <v>8392</v>
      </c>
      <c r="D2715">
        <v>200.5</v>
      </c>
      <c r="E2715">
        <v>201.5</v>
      </c>
      <c r="F2715">
        <v>199</v>
      </c>
      <c r="G2715">
        <v>201.5</v>
      </c>
      <c r="H2715">
        <v>-1</v>
      </c>
      <c r="I2715">
        <v>29</v>
      </c>
    </row>
    <row r="2716" spans="1:9" x14ac:dyDescent="0.25">
      <c r="A2716" t="s">
        <v>6470</v>
      </c>
      <c r="B2716">
        <v>27</v>
      </c>
      <c r="C2716" s="1">
        <v>5412</v>
      </c>
      <c r="D2716">
        <v>201</v>
      </c>
      <c r="E2716">
        <v>201.5</v>
      </c>
      <c r="F2716">
        <v>199</v>
      </c>
      <c r="G2716">
        <v>201.5</v>
      </c>
      <c r="H2716">
        <v>0</v>
      </c>
      <c r="I2716">
        <v>25</v>
      </c>
    </row>
    <row r="2717" spans="1:9" x14ac:dyDescent="0.25">
      <c r="A2717" t="s">
        <v>6471</v>
      </c>
      <c r="B2717">
        <v>30</v>
      </c>
      <c r="C2717" s="1">
        <v>6073</v>
      </c>
      <c r="D2717">
        <v>203</v>
      </c>
      <c r="E2717">
        <v>203</v>
      </c>
      <c r="F2717">
        <v>200</v>
      </c>
      <c r="G2717">
        <v>200.5</v>
      </c>
      <c r="H2717">
        <v>-1</v>
      </c>
      <c r="I2717">
        <v>25</v>
      </c>
    </row>
    <row r="2718" spans="1:9" x14ac:dyDescent="0.25">
      <c r="A2718" t="s">
        <v>6472</v>
      </c>
      <c r="B2718">
        <v>148</v>
      </c>
      <c r="C2718" s="1">
        <v>29579</v>
      </c>
      <c r="D2718">
        <v>201</v>
      </c>
      <c r="E2718">
        <v>201</v>
      </c>
      <c r="F2718">
        <v>198</v>
      </c>
      <c r="G2718">
        <v>198</v>
      </c>
      <c r="H2718">
        <v>-2.5</v>
      </c>
      <c r="I2718">
        <v>81</v>
      </c>
    </row>
    <row r="2719" spans="1:9" x14ac:dyDescent="0.25">
      <c r="A2719" t="s">
        <v>6473</v>
      </c>
      <c r="B2719">
        <v>77</v>
      </c>
      <c r="C2719" s="1">
        <v>15028</v>
      </c>
      <c r="D2719">
        <v>196.5</v>
      </c>
      <c r="E2719">
        <v>198</v>
      </c>
      <c r="F2719">
        <v>189</v>
      </c>
      <c r="G2719">
        <v>198</v>
      </c>
      <c r="H2719">
        <v>0</v>
      </c>
      <c r="I2719">
        <v>74</v>
      </c>
    </row>
    <row r="2720" spans="1:9" x14ac:dyDescent="0.25">
      <c r="A2720" t="s">
        <v>6474</v>
      </c>
      <c r="B2720">
        <v>46</v>
      </c>
      <c r="C2720" s="1">
        <v>9206</v>
      </c>
      <c r="D2720">
        <v>200</v>
      </c>
      <c r="E2720">
        <v>201</v>
      </c>
      <c r="F2720">
        <v>199</v>
      </c>
      <c r="G2720">
        <v>200</v>
      </c>
      <c r="H2720">
        <v>2</v>
      </c>
      <c r="I2720">
        <v>37</v>
      </c>
    </row>
    <row r="2721" spans="1:9" x14ac:dyDescent="0.25">
      <c r="A2721" t="s">
        <v>6475</v>
      </c>
      <c r="B2721">
        <v>30</v>
      </c>
      <c r="C2721" s="1">
        <v>6004</v>
      </c>
      <c r="D2721">
        <v>201</v>
      </c>
      <c r="E2721">
        <v>201</v>
      </c>
      <c r="F2721">
        <v>199</v>
      </c>
      <c r="G2721">
        <v>200</v>
      </c>
      <c r="H2721">
        <v>0</v>
      </c>
      <c r="I2721">
        <v>22</v>
      </c>
    </row>
    <row r="2722" spans="1:9" x14ac:dyDescent="0.25">
      <c r="A2722" t="s">
        <v>6476</v>
      </c>
      <c r="B2722">
        <v>30</v>
      </c>
      <c r="C2722" s="1">
        <v>6010</v>
      </c>
      <c r="D2722">
        <v>200</v>
      </c>
      <c r="E2722">
        <v>201</v>
      </c>
      <c r="F2722">
        <v>200</v>
      </c>
      <c r="G2722">
        <v>201</v>
      </c>
      <c r="H2722">
        <v>1</v>
      </c>
      <c r="I2722">
        <v>19</v>
      </c>
    </row>
    <row r="2723" spans="1:9" x14ac:dyDescent="0.25">
      <c r="A2723" t="s">
        <v>6477</v>
      </c>
      <c r="B2723">
        <v>28</v>
      </c>
      <c r="C2723" s="1">
        <v>5602</v>
      </c>
      <c r="D2723">
        <v>200.5</v>
      </c>
      <c r="E2723">
        <v>200.5</v>
      </c>
      <c r="F2723">
        <v>199</v>
      </c>
      <c r="G2723">
        <v>200</v>
      </c>
      <c r="H2723">
        <v>-1</v>
      </c>
      <c r="I2723">
        <v>21</v>
      </c>
    </row>
    <row r="2724" spans="1:9" x14ac:dyDescent="0.25">
      <c r="A2724" t="s">
        <v>6478</v>
      </c>
      <c r="B2724">
        <v>10</v>
      </c>
      <c r="C2724" s="1">
        <v>1988</v>
      </c>
      <c r="D2724">
        <v>198</v>
      </c>
      <c r="E2724">
        <v>199</v>
      </c>
      <c r="F2724">
        <v>198</v>
      </c>
      <c r="G2724">
        <v>199</v>
      </c>
      <c r="H2724">
        <v>-1</v>
      </c>
      <c r="I2724">
        <v>9</v>
      </c>
    </row>
    <row r="2725" spans="1:9" x14ac:dyDescent="0.25">
      <c r="A2725" t="s">
        <v>6479</v>
      </c>
      <c r="B2725">
        <v>24</v>
      </c>
      <c r="C2725" s="1">
        <v>4818</v>
      </c>
      <c r="D2725">
        <v>200</v>
      </c>
      <c r="E2725">
        <v>200</v>
      </c>
      <c r="F2725">
        <v>199</v>
      </c>
      <c r="G2725">
        <v>200</v>
      </c>
      <c r="H2725">
        <v>1</v>
      </c>
      <c r="I2725">
        <v>22</v>
      </c>
    </row>
    <row r="2726" spans="1:9" x14ac:dyDescent="0.25">
      <c r="A2726" t="s">
        <v>6480</v>
      </c>
      <c r="B2726">
        <v>16</v>
      </c>
      <c r="C2726" s="1">
        <v>3200</v>
      </c>
      <c r="D2726">
        <v>198</v>
      </c>
      <c r="E2726">
        <v>198.5</v>
      </c>
      <c r="F2726">
        <v>197</v>
      </c>
      <c r="G2726">
        <v>197</v>
      </c>
      <c r="H2726">
        <v>-3</v>
      </c>
      <c r="I2726">
        <v>17</v>
      </c>
    </row>
    <row r="2727" spans="1:9" x14ac:dyDescent="0.25">
      <c r="A2727" t="s">
        <v>6481</v>
      </c>
      <c r="B2727">
        <v>22</v>
      </c>
      <c r="C2727" s="1">
        <v>4289</v>
      </c>
      <c r="D2727">
        <v>196</v>
      </c>
      <c r="E2727">
        <v>196</v>
      </c>
      <c r="F2727">
        <v>194</v>
      </c>
      <c r="G2727">
        <v>194</v>
      </c>
      <c r="H2727">
        <v>-3</v>
      </c>
      <c r="I2727">
        <v>24</v>
      </c>
    </row>
    <row r="2728" spans="1:9" x14ac:dyDescent="0.25">
      <c r="A2728" t="s">
        <v>6482</v>
      </c>
      <c r="B2728">
        <v>34</v>
      </c>
      <c r="C2728" s="1">
        <v>6612</v>
      </c>
      <c r="D2728">
        <v>195</v>
      </c>
      <c r="E2728">
        <v>195</v>
      </c>
      <c r="F2728">
        <v>193</v>
      </c>
      <c r="G2728">
        <v>194</v>
      </c>
      <c r="H2728">
        <v>0</v>
      </c>
      <c r="I2728">
        <v>26</v>
      </c>
    </row>
    <row r="2729" spans="1:9" x14ac:dyDescent="0.25">
      <c r="A2729" t="s">
        <v>6483</v>
      </c>
      <c r="B2729">
        <v>16</v>
      </c>
      <c r="C2729" s="1">
        <v>3114</v>
      </c>
      <c r="D2729">
        <v>196</v>
      </c>
      <c r="E2729">
        <v>196</v>
      </c>
      <c r="F2729">
        <v>194</v>
      </c>
      <c r="G2729">
        <v>194</v>
      </c>
      <c r="H2729">
        <v>0</v>
      </c>
      <c r="I2729">
        <v>12</v>
      </c>
    </row>
    <row r="2730" spans="1:9" x14ac:dyDescent="0.25">
      <c r="A2730" t="s">
        <v>6484</v>
      </c>
      <c r="B2730">
        <v>208</v>
      </c>
      <c r="C2730" s="1">
        <v>39582</v>
      </c>
      <c r="D2730">
        <v>194.5</v>
      </c>
      <c r="E2730">
        <v>194.5</v>
      </c>
      <c r="F2730">
        <v>185.5</v>
      </c>
      <c r="G2730">
        <v>187</v>
      </c>
      <c r="H2730">
        <v>-7</v>
      </c>
      <c r="I2730">
        <v>58</v>
      </c>
    </row>
    <row r="2731" spans="1:9" x14ac:dyDescent="0.25">
      <c r="A2731" t="s">
        <v>6485</v>
      </c>
      <c r="B2731">
        <v>13</v>
      </c>
      <c r="C2731" s="1">
        <v>2450</v>
      </c>
      <c r="D2731">
        <v>187</v>
      </c>
      <c r="E2731">
        <v>193</v>
      </c>
      <c r="F2731">
        <v>187</v>
      </c>
      <c r="G2731">
        <v>188</v>
      </c>
      <c r="H2731">
        <v>1</v>
      </c>
      <c r="I2731">
        <v>13</v>
      </c>
    </row>
    <row r="2732" spans="1:9" x14ac:dyDescent="0.25">
      <c r="A2732" s="9" t="s">
        <v>6486</v>
      </c>
      <c r="B2732" s="1">
        <v>19</v>
      </c>
      <c r="C2732" s="1">
        <v>3583</v>
      </c>
      <c r="D2732">
        <v>187</v>
      </c>
      <c r="E2732">
        <v>190</v>
      </c>
      <c r="F2732">
        <v>187</v>
      </c>
      <c r="G2732">
        <v>190</v>
      </c>
      <c r="H2732">
        <v>2</v>
      </c>
      <c r="I2732" s="1">
        <v>16</v>
      </c>
    </row>
    <row r="2733" spans="1:9" x14ac:dyDescent="0.25">
      <c r="A2733" s="9" t="s">
        <v>6487</v>
      </c>
      <c r="B2733" s="1">
        <v>23</v>
      </c>
      <c r="C2733" s="1">
        <v>4363</v>
      </c>
      <c r="D2733">
        <v>189.5</v>
      </c>
      <c r="E2733">
        <v>191</v>
      </c>
      <c r="F2733">
        <v>188.5</v>
      </c>
      <c r="G2733">
        <v>189</v>
      </c>
      <c r="H2733">
        <v>-1</v>
      </c>
      <c r="I2733" s="1">
        <v>20</v>
      </c>
    </row>
    <row r="2734" spans="1:9" x14ac:dyDescent="0.25">
      <c r="A2734" s="9" t="s">
        <v>6488</v>
      </c>
      <c r="B2734" s="1">
        <v>32</v>
      </c>
      <c r="C2734" s="1">
        <v>6043</v>
      </c>
      <c r="D2734">
        <v>188</v>
      </c>
      <c r="E2734">
        <v>192</v>
      </c>
      <c r="F2734">
        <v>187</v>
      </c>
      <c r="G2734">
        <v>192</v>
      </c>
      <c r="H2734">
        <v>3</v>
      </c>
      <c r="I2734" s="1">
        <v>30</v>
      </c>
    </row>
    <row r="2735" spans="1:9" x14ac:dyDescent="0.25">
      <c r="A2735" s="9" t="s">
        <v>1177</v>
      </c>
      <c r="B2735" s="1"/>
      <c r="C2735" s="1"/>
      <c r="I2735" s="1"/>
    </row>
    <row r="2737" spans="1:9" x14ac:dyDescent="0.25">
      <c r="A2737" s="9" t="s">
        <v>6446</v>
      </c>
      <c r="B2737" s="1">
        <v>74</v>
      </c>
      <c r="C2737" s="1">
        <v>16443</v>
      </c>
      <c r="D2737">
        <v>226</v>
      </c>
      <c r="E2737">
        <v>226</v>
      </c>
      <c r="F2737">
        <v>219.5</v>
      </c>
      <c r="G2737">
        <v>222</v>
      </c>
      <c r="H2737">
        <v>-4</v>
      </c>
      <c r="I2737" s="1">
        <v>62</v>
      </c>
    </row>
    <row r="2738" spans="1:9" x14ac:dyDescent="0.25">
      <c r="A2738" t="s">
        <v>6447</v>
      </c>
      <c r="B2738">
        <v>59</v>
      </c>
      <c r="C2738" s="1">
        <v>13187</v>
      </c>
      <c r="D2738">
        <v>222</v>
      </c>
      <c r="E2738">
        <v>226</v>
      </c>
      <c r="F2738">
        <v>221</v>
      </c>
      <c r="G2738">
        <v>223</v>
      </c>
      <c r="H2738">
        <v>1</v>
      </c>
      <c r="I2738">
        <v>49</v>
      </c>
    </row>
    <row r="2739" spans="1:9" x14ac:dyDescent="0.25">
      <c r="A2739" t="s">
        <v>6448</v>
      </c>
      <c r="B2739">
        <v>43</v>
      </c>
      <c r="C2739" s="1">
        <v>9593</v>
      </c>
      <c r="D2739">
        <v>225</v>
      </c>
      <c r="E2739">
        <v>225</v>
      </c>
      <c r="F2739">
        <v>221</v>
      </c>
      <c r="G2739">
        <v>222.5</v>
      </c>
      <c r="H2739">
        <v>-0.5</v>
      </c>
      <c r="I2739">
        <v>37</v>
      </c>
    </row>
    <row r="2740" spans="1:9" x14ac:dyDescent="0.25">
      <c r="A2740" t="s">
        <v>6449</v>
      </c>
      <c r="B2740">
        <v>139</v>
      </c>
      <c r="C2740" s="1">
        <v>30612</v>
      </c>
      <c r="D2740">
        <v>221.5</v>
      </c>
      <c r="E2740">
        <v>223</v>
      </c>
      <c r="F2740">
        <v>219.5</v>
      </c>
      <c r="G2740">
        <v>220</v>
      </c>
      <c r="H2740">
        <v>-2.5</v>
      </c>
      <c r="I2740">
        <v>63</v>
      </c>
    </row>
    <row r="2741" spans="1:9" x14ac:dyDescent="0.25">
      <c r="A2741" t="s">
        <v>6450</v>
      </c>
      <c r="B2741">
        <v>52</v>
      </c>
      <c r="C2741" s="1">
        <v>11331</v>
      </c>
      <c r="D2741">
        <v>219</v>
      </c>
      <c r="E2741">
        <v>219</v>
      </c>
      <c r="F2741">
        <v>216</v>
      </c>
      <c r="G2741">
        <v>218</v>
      </c>
      <c r="H2741">
        <v>-2</v>
      </c>
      <c r="I2741">
        <v>43</v>
      </c>
    </row>
    <row r="2742" spans="1:9" x14ac:dyDescent="0.25">
      <c r="A2742" t="s">
        <v>6451</v>
      </c>
      <c r="B2742">
        <v>47</v>
      </c>
      <c r="C2742" s="1">
        <v>10227</v>
      </c>
      <c r="D2742">
        <v>218</v>
      </c>
      <c r="E2742">
        <v>218.5</v>
      </c>
      <c r="F2742">
        <v>216</v>
      </c>
      <c r="G2742">
        <v>216</v>
      </c>
      <c r="H2742">
        <v>-2</v>
      </c>
      <c r="I2742">
        <v>31</v>
      </c>
    </row>
    <row r="2743" spans="1:9" x14ac:dyDescent="0.25">
      <c r="A2743" t="s">
        <v>6452</v>
      </c>
      <c r="B2743">
        <v>55</v>
      </c>
      <c r="C2743" s="1">
        <v>11847</v>
      </c>
      <c r="D2743">
        <v>216</v>
      </c>
      <c r="E2743">
        <v>219</v>
      </c>
      <c r="F2743">
        <v>213</v>
      </c>
      <c r="G2743">
        <v>213.5</v>
      </c>
      <c r="H2743">
        <v>-2.5</v>
      </c>
      <c r="I2743">
        <v>60</v>
      </c>
    </row>
    <row r="2744" spans="1:9" x14ac:dyDescent="0.25">
      <c r="A2744" t="s">
        <v>6453</v>
      </c>
      <c r="B2744">
        <v>48</v>
      </c>
      <c r="C2744" s="1">
        <v>10243</v>
      </c>
      <c r="D2744">
        <v>213.5</v>
      </c>
      <c r="E2744">
        <v>214</v>
      </c>
      <c r="F2744">
        <v>210.5</v>
      </c>
      <c r="G2744">
        <v>211.5</v>
      </c>
      <c r="H2744">
        <v>-2</v>
      </c>
      <c r="I2744">
        <v>54</v>
      </c>
    </row>
    <row r="2745" spans="1:9" x14ac:dyDescent="0.25">
      <c r="A2745" t="s">
        <v>6454</v>
      </c>
      <c r="B2745">
        <v>31</v>
      </c>
      <c r="C2745" s="1">
        <v>6726</v>
      </c>
      <c r="D2745">
        <v>213</v>
      </c>
      <c r="E2745">
        <v>218.5</v>
      </c>
      <c r="F2745">
        <v>212</v>
      </c>
      <c r="G2745">
        <v>214</v>
      </c>
      <c r="H2745">
        <v>2.5</v>
      </c>
      <c r="I2745">
        <v>35</v>
      </c>
    </row>
    <row r="2746" spans="1:9" x14ac:dyDescent="0.25">
      <c r="A2746" t="s">
        <v>6455</v>
      </c>
      <c r="B2746">
        <v>55</v>
      </c>
      <c r="C2746" s="1">
        <v>11801</v>
      </c>
      <c r="D2746">
        <v>212</v>
      </c>
      <c r="E2746">
        <v>214.5</v>
      </c>
      <c r="F2746">
        <v>211.5</v>
      </c>
      <c r="G2746">
        <v>214.5</v>
      </c>
      <c r="H2746">
        <v>0.5</v>
      </c>
      <c r="I2746">
        <v>49</v>
      </c>
    </row>
    <row r="2747" spans="1:9" x14ac:dyDescent="0.25">
      <c r="A2747" t="s">
        <v>6456</v>
      </c>
      <c r="B2747">
        <v>84</v>
      </c>
      <c r="C2747" s="1">
        <v>18195</v>
      </c>
      <c r="D2747">
        <v>214.5</v>
      </c>
      <c r="E2747">
        <v>219</v>
      </c>
      <c r="F2747">
        <v>214.5</v>
      </c>
      <c r="G2747">
        <v>218</v>
      </c>
      <c r="H2747">
        <v>3.5</v>
      </c>
      <c r="I2747">
        <v>77</v>
      </c>
    </row>
    <row r="2748" spans="1:9" x14ac:dyDescent="0.25">
      <c r="A2748" t="s">
        <v>6457</v>
      </c>
      <c r="B2748">
        <v>86</v>
      </c>
      <c r="C2748" s="1">
        <v>18055</v>
      </c>
      <c r="D2748">
        <v>208.5</v>
      </c>
      <c r="E2748">
        <v>212</v>
      </c>
      <c r="F2748">
        <v>207.5</v>
      </c>
      <c r="G2748">
        <v>208</v>
      </c>
      <c r="H2748">
        <v>0</v>
      </c>
      <c r="I2748">
        <v>81</v>
      </c>
    </row>
    <row r="2749" spans="1:9" x14ac:dyDescent="0.25">
      <c r="A2749" t="s">
        <v>6458</v>
      </c>
      <c r="B2749">
        <v>18</v>
      </c>
      <c r="C2749" s="1">
        <v>3767</v>
      </c>
      <c r="D2749">
        <v>208.5</v>
      </c>
      <c r="E2749">
        <v>209</v>
      </c>
      <c r="F2749">
        <v>208</v>
      </c>
      <c r="G2749">
        <v>208.5</v>
      </c>
      <c r="H2749">
        <v>0.5</v>
      </c>
      <c r="I2749">
        <v>17</v>
      </c>
    </row>
    <row r="2750" spans="1:9" x14ac:dyDescent="0.25">
      <c r="A2750" t="s">
        <v>6459</v>
      </c>
      <c r="B2750">
        <v>18</v>
      </c>
      <c r="C2750" s="1">
        <v>3767</v>
      </c>
      <c r="D2750">
        <v>209</v>
      </c>
      <c r="E2750">
        <v>210</v>
      </c>
      <c r="F2750">
        <v>208.5</v>
      </c>
      <c r="G2750">
        <v>208.5</v>
      </c>
      <c r="H2750">
        <v>0</v>
      </c>
      <c r="I2750">
        <v>19</v>
      </c>
    </row>
    <row r="2751" spans="1:9" x14ac:dyDescent="0.25">
      <c r="A2751" t="s">
        <v>6460</v>
      </c>
      <c r="B2751">
        <v>10</v>
      </c>
      <c r="C2751" s="1">
        <v>2090</v>
      </c>
      <c r="D2751">
        <v>209</v>
      </c>
      <c r="E2751">
        <v>209</v>
      </c>
      <c r="F2751">
        <v>207</v>
      </c>
      <c r="G2751">
        <v>207</v>
      </c>
      <c r="H2751">
        <v>-1.5</v>
      </c>
      <c r="I2751">
        <v>10</v>
      </c>
    </row>
    <row r="2752" spans="1:9" x14ac:dyDescent="0.25">
      <c r="A2752" t="s">
        <v>6461</v>
      </c>
      <c r="B2752">
        <v>72</v>
      </c>
      <c r="C2752" s="1">
        <v>14711</v>
      </c>
      <c r="D2752">
        <v>207.5</v>
      </c>
      <c r="E2752">
        <v>207.5</v>
      </c>
      <c r="F2752">
        <v>202</v>
      </c>
      <c r="G2752">
        <v>202</v>
      </c>
      <c r="H2752">
        <v>-5</v>
      </c>
      <c r="I2752">
        <v>52</v>
      </c>
    </row>
    <row r="2753" spans="1:9" x14ac:dyDescent="0.25">
      <c r="A2753" t="s">
        <v>6462</v>
      </c>
      <c r="B2753">
        <v>79</v>
      </c>
      <c r="C2753" s="1">
        <v>16023</v>
      </c>
      <c r="D2753">
        <v>203.5</v>
      </c>
      <c r="E2753">
        <v>205</v>
      </c>
      <c r="F2753">
        <v>202</v>
      </c>
      <c r="G2753">
        <v>202.5</v>
      </c>
      <c r="H2753">
        <v>0.5</v>
      </c>
      <c r="I2753">
        <v>52</v>
      </c>
    </row>
    <row r="2754" spans="1:9" x14ac:dyDescent="0.25">
      <c r="A2754" t="s">
        <v>6463</v>
      </c>
      <c r="B2754">
        <v>17</v>
      </c>
      <c r="C2754" s="1">
        <v>3441</v>
      </c>
      <c r="D2754">
        <v>202.5</v>
      </c>
      <c r="E2754">
        <v>203</v>
      </c>
      <c r="F2754">
        <v>202</v>
      </c>
      <c r="G2754">
        <v>203</v>
      </c>
      <c r="H2754">
        <v>0.5</v>
      </c>
      <c r="I2754">
        <v>13</v>
      </c>
    </row>
    <row r="2755" spans="1:9" x14ac:dyDescent="0.25">
      <c r="A2755" t="s">
        <v>6464</v>
      </c>
      <c r="B2755">
        <v>56</v>
      </c>
      <c r="C2755" s="1">
        <v>11414</v>
      </c>
      <c r="D2755">
        <v>203.5</v>
      </c>
      <c r="E2755">
        <v>204</v>
      </c>
      <c r="F2755">
        <v>202.5</v>
      </c>
      <c r="G2755">
        <v>203</v>
      </c>
      <c r="H2755">
        <v>0</v>
      </c>
      <c r="I2755">
        <v>52</v>
      </c>
    </row>
    <row r="2756" spans="1:9" x14ac:dyDescent="0.25">
      <c r="A2756" s="9" t="s">
        <v>6465</v>
      </c>
      <c r="B2756" s="1">
        <v>50</v>
      </c>
      <c r="C2756" s="1">
        <v>10007</v>
      </c>
      <c r="D2756">
        <v>203</v>
      </c>
      <c r="E2756">
        <v>203</v>
      </c>
      <c r="F2756">
        <v>198</v>
      </c>
      <c r="G2756">
        <v>198.5</v>
      </c>
      <c r="H2756">
        <v>-4.5</v>
      </c>
      <c r="I2756" s="1">
        <v>45</v>
      </c>
    </row>
    <row r="2757" spans="1:9" x14ac:dyDescent="0.25">
      <c r="A2757" s="9" t="s">
        <v>6466</v>
      </c>
      <c r="B2757" s="1">
        <v>151</v>
      </c>
      <c r="C2757" s="1">
        <v>30698</v>
      </c>
      <c r="D2757">
        <v>199</v>
      </c>
      <c r="E2757">
        <v>210</v>
      </c>
      <c r="F2757">
        <v>198</v>
      </c>
      <c r="G2757">
        <v>210</v>
      </c>
      <c r="H2757">
        <v>11.5</v>
      </c>
      <c r="I2757" s="1">
        <v>85</v>
      </c>
    </row>
    <row r="2758" spans="1:9" x14ac:dyDescent="0.25">
      <c r="A2758" s="9" t="s">
        <v>973</v>
      </c>
      <c r="B2758" s="1"/>
      <c r="C2758" s="1"/>
      <c r="I2758" s="1"/>
    </row>
    <row r="2761" spans="1:9" x14ac:dyDescent="0.25">
      <c r="A2761" s="9" t="s">
        <v>6426</v>
      </c>
      <c r="B2761" s="1">
        <v>330</v>
      </c>
      <c r="C2761" s="1">
        <v>74640</v>
      </c>
      <c r="D2761">
        <v>227</v>
      </c>
      <c r="E2761">
        <v>230.5</v>
      </c>
      <c r="F2761">
        <v>221</v>
      </c>
      <c r="G2761">
        <v>225</v>
      </c>
      <c r="H2761">
        <v>-1.5</v>
      </c>
      <c r="I2761" s="1">
        <v>270</v>
      </c>
    </row>
    <row r="2762" spans="1:9" x14ac:dyDescent="0.25">
      <c r="A2762" t="s">
        <v>6427</v>
      </c>
      <c r="B2762">
        <v>146</v>
      </c>
      <c r="C2762" s="1">
        <v>32859</v>
      </c>
      <c r="D2762">
        <v>226.5</v>
      </c>
      <c r="E2762">
        <v>227</v>
      </c>
      <c r="F2762">
        <v>223</v>
      </c>
      <c r="G2762">
        <v>225</v>
      </c>
      <c r="H2762">
        <v>0</v>
      </c>
      <c r="I2762">
        <v>107</v>
      </c>
    </row>
    <row r="2763" spans="1:9" x14ac:dyDescent="0.25">
      <c r="A2763" t="s">
        <v>6428</v>
      </c>
      <c r="B2763">
        <v>391</v>
      </c>
      <c r="C2763" s="1">
        <v>90658</v>
      </c>
      <c r="D2763">
        <v>225</v>
      </c>
      <c r="E2763">
        <v>239</v>
      </c>
      <c r="F2763">
        <v>224</v>
      </c>
      <c r="G2763">
        <v>232.5</v>
      </c>
      <c r="H2763">
        <v>7.5</v>
      </c>
      <c r="I2763">
        <v>323</v>
      </c>
    </row>
    <row r="2764" spans="1:9" x14ac:dyDescent="0.25">
      <c r="A2764" t="s">
        <v>6429</v>
      </c>
      <c r="B2764">
        <v>125</v>
      </c>
      <c r="C2764" s="1">
        <v>28651</v>
      </c>
      <c r="D2764">
        <v>230</v>
      </c>
      <c r="E2764">
        <v>233.5</v>
      </c>
      <c r="F2764">
        <v>226.5</v>
      </c>
      <c r="G2764">
        <v>227.5</v>
      </c>
      <c r="H2764">
        <v>-5</v>
      </c>
      <c r="I2764">
        <v>111</v>
      </c>
    </row>
    <row r="2765" spans="1:9" x14ac:dyDescent="0.25">
      <c r="A2765" t="s">
        <v>6430</v>
      </c>
      <c r="B2765">
        <v>88</v>
      </c>
      <c r="C2765" s="1">
        <v>19948</v>
      </c>
      <c r="D2765">
        <v>230</v>
      </c>
      <c r="E2765">
        <v>230</v>
      </c>
      <c r="F2765">
        <v>226.5</v>
      </c>
      <c r="G2765">
        <v>226.5</v>
      </c>
      <c r="H2765">
        <v>-1</v>
      </c>
      <c r="I2765">
        <v>73</v>
      </c>
    </row>
    <row r="2766" spans="1:9" x14ac:dyDescent="0.25">
      <c r="A2766" t="s">
        <v>6431</v>
      </c>
      <c r="B2766">
        <v>169</v>
      </c>
      <c r="C2766" s="1">
        <v>38192</v>
      </c>
      <c r="D2766">
        <v>230</v>
      </c>
      <c r="E2766">
        <v>230</v>
      </c>
      <c r="F2766">
        <v>223.5</v>
      </c>
      <c r="G2766">
        <v>223.5</v>
      </c>
      <c r="H2766">
        <v>-3</v>
      </c>
      <c r="I2766">
        <v>121</v>
      </c>
    </row>
    <row r="2767" spans="1:9" x14ac:dyDescent="0.25">
      <c r="A2767" t="s">
        <v>6432</v>
      </c>
      <c r="B2767">
        <v>44</v>
      </c>
      <c r="C2767" s="1">
        <v>9907</v>
      </c>
      <c r="D2767">
        <v>224.5</v>
      </c>
      <c r="E2767">
        <v>227</v>
      </c>
      <c r="F2767">
        <v>222</v>
      </c>
      <c r="G2767">
        <v>225.5</v>
      </c>
      <c r="H2767">
        <v>2</v>
      </c>
      <c r="I2767">
        <v>43</v>
      </c>
    </row>
    <row r="2768" spans="1:9" x14ac:dyDescent="0.25">
      <c r="A2768" t="s">
        <v>6433</v>
      </c>
      <c r="B2768">
        <v>66</v>
      </c>
      <c r="C2768" s="1">
        <v>14917</v>
      </c>
      <c r="D2768">
        <v>224</v>
      </c>
      <c r="E2768">
        <v>226</v>
      </c>
      <c r="F2768">
        <v>223</v>
      </c>
      <c r="G2768">
        <v>225</v>
      </c>
      <c r="H2768">
        <v>-0.5</v>
      </c>
      <c r="I2768">
        <v>58</v>
      </c>
    </row>
    <row r="2769" spans="1:9" x14ac:dyDescent="0.25">
      <c r="A2769" t="s">
        <v>6434</v>
      </c>
      <c r="B2769">
        <v>24</v>
      </c>
      <c r="C2769" s="1">
        <v>5446</v>
      </c>
      <c r="D2769">
        <v>226</v>
      </c>
      <c r="E2769">
        <v>226</v>
      </c>
      <c r="F2769">
        <v>224</v>
      </c>
      <c r="G2769">
        <v>225.5</v>
      </c>
      <c r="H2769">
        <v>0.5</v>
      </c>
      <c r="I2769">
        <v>24</v>
      </c>
    </row>
    <row r="2770" spans="1:9" x14ac:dyDescent="0.25">
      <c r="A2770" t="s">
        <v>6435</v>
      </c>
      <c r="B2770">
        <v>37</v>
      </c>
      <c r="C2770" s="1">
        <v>8340</v>
      </c>
      <c r="D2770">
        <v>226.5</v>
      </c>
      <c r="E2770">
        <v>228</v>
      </c>
      <c r="F2770">
        <v>224</v>
      </c>
      <c r="G2770">
        <v>224.5</v>
      </c>
      <c r="H2770">
        <v>-1</v>
      </c>
      <c r="I2770">
        <v>37</v>
      </c>
    </row>
    <row r="2771" spans="1:9" x14ac:dyDescent="0.25">
      <c r="A2771" t="s">
        <v>6436</v>
      </c>
      <c r="B2771">
        <v>35</v>
      </c>
      <c r="C2771" s="1">
        <v>7897</v>
      </c>
      <c r="D2771">
        <v>227</v>
      </c>
      <c r="E2771">
        <v>227</v>
      </c>
      <c r="F2771">
        <v>223</v>
      </c>
      <c r="G2771">
        <v>223</v>
      </c>
      <c r="H2771">
        <v>-1.5</v>
      </c>
      <c r="I2771">
        <v>28</v>
      </c>
    </row>
    <row r="2772" spans="1:9" x14ac:dyDescent="0.25">
      <c r="A2772" t="s">
        <v>6437</v>
      </c>
      <c r="B2772">
        <v>68</v>
      </c>
      <c r="C2772" s="1">
        <v>15386</v>
      </c>
      <c r="D2772">
        <v>224</v>
      </c>
      <c r="E2772">
        <v>229</v>
      </c>
      <c r="F2772">
        <v>223.5</v>
      </c>
      <c r="G2772">
        <v>227.5</v>
      </c>
      <c r="H2772">
        <v>4.5</v>
      </c>
      <c r="I2772">
        <v>59</v>
      </c>
    </row>
    <row r="2773" spans="1:9" x14ac:dyDescent="0.25">
      <c r="A2773" t="s">
        <v>6438</v>
      </c>
      <c r="B2773">
        <v>24</v>
      </c>
      <c r="C2773" s="1">
        <v>5444</v>
      </c>
      <c r="D2773">
        <v>228</v>
      </c>
      <c r="E2773">
        <v>228</v>
      </c>
      <c r="F2773">
        <v>225</v>
      </c>
      <c r="G2773">
        <v>225</v>
      </c>
      <c r="H2773">
        <v>-2.5</v>
      </c>
      <c r="I2773">
        <v>26</v>
      </c>
    </row>
    <row r="2774" spans="1:9" x14ac:dyDescent="0.25">
      <c r="A2774" t="s">
        <v>6439</v>
      </c>
      <c r="B2774">
        <v>128</v>
      </c>
      <c r="C2774" s="1">
        <v>28047</v>
      </c>
      <c r="D2774">
        <v>223</v>
      </c>
      <c r="E2774">
        <v>224</v>
      </c>
      <c r="F2774">
        <v>214.5</v>
      </c>
      <c r="G2774">
        <v>218</v>
      </c>
      <c r="H2774">
        <v>-7</v>
      </c>
      <c r="I2774">
        <v>115</v>
      </c>
    </row>
    <row r="2775" spans="1:9" x14ac:dyDescent="0.25">
      <c r="A2775" t="s">
        <v>6440</v>
      </c>
      <c r="B2775">
        <v>75</v>
      </c>
      <c r="C2775" s="1">
        <v>16307</v>
      </c>
      <c r="D2775">
        <v>219</v>
      </c>
      <c r="E2775">
        <v>219</v>
      </c>
      <c r="F2775">
        <v>215</v>
      </c>
      <c r="G2775">
        <v>216</v>
      </c>
      <c r="H2775">
        <v>-2</v>
      </c>
      <c r="I2775">
        <v>67</v>
      </c>
    </row>
    <row r="2776" spans="1:9" x14ac:dyDescent="0.25">
      <c r="A2776" t="s">
        <v>6441</v>
      </c>
      <c r="B2776">
        <v>90</v>
      </c>
      <c r="C2776" s="1">
        <v>20008</v>
      </c>
      <c r="D2776">
        <v>225</v>
      </c>
      <c r="E2776">
        <v>226</v>
      </c>
      <c r="F2776">
        <v>219</v>
      </c>
      <c r="G2776">
        <v>226</v>
      </c>
      <c r="H2776">
        <v>10</v>
      </c>
      <c r="I2776">
        <v>88</v>
      </c>
    </row>
    <row r="2777" spans="1:9" x14ac:dyDescent="0.25">
      <c r="A2777" t="s">
        <v>6442</v>
      </c>
      <c r="B2777">
        <v>84</v>
      </c>
      <c r="C2777" s="1">
        <v>19119</v>
      </c>
      <c r="D2777">
        <v>227</v>
      </c>
      <c r="E2777">
        <v>229</v>
      </c>
      <c r="F2777">
        <v>225.5</v>
      </c>
      <c r="G2777">
        <v>226.5</v>
      </c>
      <c r="H2777">
        <v>0.5</v>
      </c>
      <c r="I2777">
        <v>75</v>
      </c>
    </row>
    <row r="2778" spans="1:9" x14ac:dyDescent="0.25">
      <c r="A2778" t="s">
        <v>6443</v>
      </c>
      <c r="B2778">
        <v>160</v>
      </c>
      <c r="C2778" s="1">
        <v>36873</v>
      </c>
      <c r="D2778">
        <v>229</v>
      </c>
      <c r="E2778">
        <v>233.5</v>
      </c>
      <c r="F2778">
        <v>228</v>
      </c>
      <c r="G2778">
        <v>228</v>
      </c>
      <c r="H2778">
        <v>1.5</v>
      </c>
      <c r="I2778">
        <v>138</v>
      </c>
    </row>
    <row r="2779" spans="1:9" x14ac:dyDescent="0.25">
      <c r="A2779" t="s">
        <v>6444</v>
      </c>
      <c r="B2779">
        <v>169</v>
      </c>
      <c r="C2779" s="1">
        <v>38743</v>
      </c>
      <c r="D2779">
        <v>230</v>
      </c>
      <c r="E2779">
        <v>231.5</v>
      </c>
      <c r="F2779">
        <v>226</v>
      </c>
      <c r="G2779">
        <v>228</v>
      </c>
      <c r="H2779">
        <v>0</v>
      </c>
      <c r="I2779">
        <v>129</v>
      </c>
    </row>
    <row r="2780" spans="1:9" x14ac:dyDescent="0.25">
      <c r="A2780" s="9" t="s">
        <v>6445</v>
      </c>
      <c r="B2780" s="1">
        <v>111</v>
      </c>
      <c r="C2780" s="1">
        <v>24964</v>
      </c>
      <c r="D2780">
        <v>229.5</v>
      </c>
      <c r="E2780">
        <v>229.5</v>
      </c>
      <c r="F2780">
        <v>222</v>
      </c>
      <c r="G2780">
        <v>226</v>
      </c>
      <c r="H2780">
        <v>-2</v>
      </c>
      <c r="I2780" s="1">
        <v>100</v>
      </c>
    </row>
    <row r="2781" spans="1:9" x14ac:dyDescent="0.25">
      <c r="A2781" s="9" t="s">
        <v>927</v>
      </c>
      <c r="B2781" s="1"/>
      <c r="C2781" s="1"/>
      <c r="I2781" s="1"/>
    </row>
    <row r="2785" spans="1:9" x14ac:dyDescent="0.25">
      <c r="A2785" s="9" t="s">
        <v>6408</v>
      </c>
      <c r="B2785" s="1">
        <v>1518</v>
      </c>
      <c r="C2785" s="1">
        <v>338046</v>
      </c>
      <c r="D2785">
        <v>220</v>
      </c>
      <c r="E2785">
        <v>229</v>
      </c>
      <c r="F2785">
        <v>220</v>
      </c>
      <c r="G2785">
        <v>220</v>
      </c>
      <c r="H2785">
        <v>28</v>
      </c>
      <c r="I2785" s="1">
        <v>1268</v>
      </c>
    </row>
    <row r="2786" spans="1:9" x14ac:dyDescent="0.25">
      <c r="A2786" t="s">
        <v>6409</v>
      </c>
      <c r="B2786">
        <v>561</v>
      </c>
      <c r="C2786" s="1">
        <v>122687</v>
      </c>
      <c r="D2786">
        <v>224</v>
      </c>
      <c r="E2786">
        <v>225</v>
      </c>
      <c r="F2786">
        <v>213</v>
      </c>
      <c r="G2786">
        <v>214</v>
      </c>
      <c r="H2786">
        <v>-6</v>
      </c>
      <c r="I2786">
        <v>466</v>
      </c>
    </row>
    <row r="2787" spans="1:9" x14ac:dyDescent="0.25">
      <c r="A2787" t="s">
        <v>6410</v>
      </c>
      <c r="B2787">
        <v>281</v>
      </c>
      <c r="C2787" s="1">
        <v>60285</v>
      </c>
      <c r="D2787">
        <v>215</v>
      </c>
      <c r="E2787">
        <v>218</v>
      </c>
      <c r="F2787">
        <v>211</v>
      </c>
      <c r="G2787">
        <v>212</v>
      </c>
      <c r="H2787">
        <v>-2</v>
      </c>
      <c r="I2787">
        <v>228</v>
      </c>
    </row>
    <row r="2788" spans="1:9" x14ac:dyDescent="0.25">
      <c r="A2788" t="s">
        <v>6411</v>
      </c>
      <c r="B2788">
        <v>208</v>
      </c>
      <c r="C2788" s="1">
        <v>43939</v>
      </c>
      <c r="D2788">
        <v>214</v>
      </c>
      <c r="E2788">
        <v>214.5</v>
      </c>
      <c r="F2788">
        <v>208.5</v>
      </c>
      <c r="G2788">
        <v>213.5</v>
      </c>
      <c r="H2788">
        <v>1.5</v>
      </c>
      <c r="I2788">
        <v>183</v>
      </c>
    </row>
    <row r="2789" spans="1:9" x14ac:dyDescent="0.25">
      <c r="A2789" t="s">
        <v>6412</v>
      </c>
      <c r="B2789">
        <v>395</v>
      </c>
      <c r="C2789" s="1">
        <v>87136</v>
      </c>
      <c r="D2789">
        <v>214</v>
      </c>
      <c r="E2789">
        <v>224.5</v>
      </c>
      <c r="F2789">
        <v>214</v>
      </c>
      <c r="G2789">
        <v>224.5</v>
      </c>
      <c r="H2789">
        <v>11</v>
      </c>
      <c r="I2789">
        <v>341</v>
      </c>
    </row>
    <row r="2790" spans="1:9" x14ac:dyDescent="0.25">
      <c r="A2790" t="s">
        <v>6413</v>
      </c>
      <c r="B2790">
        <v>210</v>
      </c>
      <c r="C2790" s="1">
        <v>46252</v>
      </c>
      <c r="D2790">
        <v>224.5</v>
      </c>
      <c r="E2790">
        <v>224.5</v>
      </c>
      <c r="F2790">
        <v>217.5</v>
      </c>
      <c r="G2790">
        <v>218.5</v>
      </c>
      <c r="H2790">
        <v>-6</v>
      </c>
      <c r="I2790">
        <v>196</v>
      </c>
    </row>
    <row r="2791" spans="1:9" x14ac:dyDescent="0.25">
      <c r="A2791" t="s">
        <v>6414</v>
      </c>
      <c r="B2791">
        <v>110</v>
      </c>
      <c r="C2791" s="1">
        <v>23818</v>
      </c>
      <c r="D2791">
        <v>218.5</v>
      </c>
      <c r="E2791">
        <v>220</v>
      </c>
      <c r="F2791">
        <v>215</v>
      </c>
      <c r="G2791">
        <v>215</v>
      </c>
      <c r="H2791">
        <v>-3.5</v>
      </c>
      <c r="I2791">
        <v>89</v>
      </c>
    </row>
    <row r="2792" spans="1:9" x14ac:dyDescent="0.25">
      <c r="A2792" t="s">
        <v>6415</v>
      </c>
      <c r="B2792">
        <v>91</v>
      </c>
      <c r="C2792" s="1">
        <v>19292</v>
      </c>
      <c r="D2792">
        <v>215</v>
      </c>
      <c r="E2792">
        <v>215</v>
      </c>
      <c r="F2792">
        <v>210</v>
      </c>
      <c r="G2792">
        <v>210.5</v>
      </c>
      <c r="H2792">
        <v>-4.5</v>
      </c>
      <c r="I2792">
        <v>86</v>
      </c>
    </row>
    <row r="2793" spans="1:9" x14ac:dyDescent="0.25">
      <c r="A2793" t="s">
        <v>6416</v>
      </c>
      <c r="B2793">
        <v>211</v>
      </c>
      <c r="C2793" s="1">
        <v>44094</v>
      </c>
      <c r="D2793">
        <v>211</v>
      </c>
      <c r="E2793">
        <v>212</v>
      </c>
      <c r="F2793">
        <v>206.5</v>
      </c>
      <c r="G2793">
        <v>209.5</v>
      </c>
      <c r="H2793">
        <v>-1</v>
      </c>
      <c r="I2793">
        <v>141</v>
      </c>
    </row>
    <row r="2794" spans="1:9" x14ac:dyDescent="0.25">
      <c r="A2794" t="s">
        <v>6417</v>
      </c>
      <c r="B2794">
        <v>81</v>
      </c>
      <c r="C2794" s="1">
        <v>17025</v>
      </c>
      <c r="D2794">
        <v>209.5</v>
      </c>
      <c r="E2794">
        <v>213</v>
      </c>
      <c r="F2794">
        <v>206</v>
      </c>
      <c r="G2794">
        <v>210</v>
      </c>
      <c r="H2794">
        <v>0.5</v>
      </c>
      <c r="I2794">
        <v>72</v>
      </c>
    </row>
    <row r="2795" spans="1:9" x14ac:dyDescent="0.25">
      <c r="A2795" t="s">
        <v>6418</v>
      </c>
      <c r="B2795">
        <v>116</v>
      </c>
      <c r="C2795" s="1">
        <v>24161</v>
      </c>
      <c r="D2795">
        <v>209</v>
      </c>
      <c r="E2795">
        <v>210</v>
      </c>
      <c r="F2795">
        <v>207</v>
      </c>
      <c r="G2795">
        <v>208.5</v>
      </c>
      <c r="H2795">
        <v>-1.5</v>
      </c>
      <c r="I2795">
        <v>87</v>
      </c>
    </row>
    <row r="2796" spans="1:9" x14ac:dyDescent="0.25">
      <c r="A2796" t="s">
        <v>6419</v>
      </c>
      <c r="B2796">
        <v>96</v>
      </c>
      <c r="C2796" s="1">
        <v>20301</v>
      </c>
      <c r="D2796">
        <v>207</v>
      </c>
      <c r="E2796">
        <v>215</v>
      </c>
      <c r="F2796">
        <v>207</v>
      </c>
      <c r="G2796">
        <v>210.5</v>
      </c>
      <c r="H2796">
        <v>2</v>
      </c>
      <c r="I2796">
        <v>89</v>
      </c>
    </row>
    <row r="2797" spans="1:9" x14ac:dyDescent="0.25">
      <c r="A2797" t="s">
        <v>6420</v>
      </c>
      <c r="B2797">
        <v>115</v>
      </c>
      <c r="C2797" s="1">
        <v>24653</v>
      </c>
      <c r="D2797">
        <v>212</v>
      </c>
      <c r="E2797">
        <v>217</v>
      </c>
      <c r="F2797">
        <v>211</v>
      </c>
      <c r="G2797">
        <v>215</v>
      </c>
      <c r="H2797">
        <v>4.5</v>
      </c>
      <c r="I2797">
        <v>103</v>
      </c>
    </row>
    <row r="2798" spans="1:9" x14ac:dyDescent="0.25">
      <c r="A2798" t="s">
        <v>6421</v>
      </c>
      <c r="B2798">
        <v>80</v>
      </c>
      <c r="C2798" s="1">
        <v>17030</v>
      </c>
      <c r="D2798">
        <v>215</v>
      </c>
      <c r="E2798">
        <v>215</v>
      </c>
      <c r="F2798">
        <v>211</v>
      </c>
      <c r="G2798">
        <v>214</v>
      </c>
      <c r="H2798">
        <v>-1</v>
      </c>
      <c r="I2798">
        <v>67</v>
      </c>
    </row>
    <row r="2799" spans="1:9" x14ac:dyDescent="0.25">
      <c r="A2799" t="s">
        <v>6422</v>
      </c>
      <c r="B2799">
        <v>46</v>
      </c>
      <c r="C2799" s="1">
        <v>9827</v>
      </c>
      <c r="D2799">
        <v>214</v>
      </c>
      <c r="E2799">
        <v>215.5</v>
      </c>
      <c r="F2799">
        <v>212</v>
      </c>
      <c r="G2799">
        <v>212</v>
      </c>
      <c r="H2799">
        <v>-2</v>
      </c>
      <c r="I2799">
        <v>38</v>
      </c>
    </row>
    <row r="2800" spans="1:9" x14ac:dyDescent="0.25">
      <c r="A2800" t="s">
        <v>6423</v>
      </c>
      <c r="B2800">
        <v>434</v>
      </c>
      <c r="C2800" s="1">
        <v>96266</v>
      </c>
      <c r="D2800">
        <v>212</v>
      </c>
      <c r="E2800">
        <v>226.5</v>
      </c>
      <c r="F2800">
        <v>212</v>
      </c>
      <c r="G2800">
        <v>226.5</v>
      </c>
      <c r="H2800">
        <v>14.5</v>
      </c>
      <c r="I2800">
        <v>344</v>
      </c>
    </row>
    <row r="2801" spans="1:9" x14ac:dyDescent="0.25">
      <c r="A2801" t="s">
        <v>1216</v>
      </c>
    </row>
    <row r="2803" spans="1:9" x14ac:dyDescent="0.25">
      <c r="A2803" t="s">
        <v>6424</v>
      </c>
    </row>
    <row r="2804" spans="1:9" x14ac:dyDescent="0.25">
      <c r="A2804" s="9" t="s">
        <v>6425</v>
      </c>
      <c r="B2804" s="1"/>
      <c r="C2804" s="1"/>
      <c r="I2804" s="1"/>
    </row>
    <row r="2809" spans="1:9" x14ac:dyDescent="0.25">
      <c r="A2809" s="9" t="s">
        <v>6407</v>
      </c>
      <c r="B2809" s="1"/>
      <c r="C2809" s="1"/>
      <c r="I2809" s="1"/>
    </row>
    <row r="2833" spans="1:9" x14ac:dyDescent="0.25">
      <c r="A2833" s="9" t="s">
        <v>6407</v>
      </c>
      <c r="B2833" s="1"/>
      <c r="C2833" s="1"/>
      <c r="I2833" s="1"/>
    </row>
    <row r="2857" spans="1:9" x14ac:dyDescent="0.25">
      <c r="A2857" s="9" t="s">
        <v>6407</v>
      </c>
      <c r="B2857" s="1"/>
      <c r="C2857" s="1"/>
      <c r="I2857" s="1"/>
    </row>
    <row r="2881" spans="1:9" x14ac:dyDescent="0.25">
      <c r="A2881" s="9" t="s">
        <v>6407</v>
      </c>
      <c r="B2881" s="1"/>
      <c r="C2881" s="1"/>
      <c r="I2881" s="1"/>
    </row>
    <row r="2905" spans="1:9" x14ac:dyDescent="0.25">
      <c r="A2905" s="9" t="s">
        <v>6407</v>
      </c>
      <c r="B2905" s="1"/>
      <c r="C2905" s="1"/>
      <c r="I2905" s="1"/>
    </row>
    <row r="2929" spans="1:9" x14ac:dyDescent="0.25">
      <c r="A2929" s="9" t="s">
        <v>6407</v>
      </c>
      <c r="B2929" s="1"/>
      <c r="C2929" s="1"/>
      <c r="I2929" s="1"/>
    </row>
    <row r="2953" spans="1:9" x14ac:dyDescent="0.25">
      <c r="A2953" s="9" t="s">
        <v>6407</v>
      </c>
      <c r="B2953" s="1"/>
      <c r="C2953" s="1"/>
      <c r="I2953" s="1"/>
    </row>
    <row r="2977" spans="1:9" x14ac:dyDescent="0.25">
      <c r="A2977" s="9" t="s">
        <v>6407</v>
      </c>
      <c r="B2977" s="1"/>
      <c r="C2977" s="1"/>
      <c r="I2977" s="1"/>
    </row>
    <row r="3001" spans="1:9" x14ac:dyDescent="0.25">
      <c r="A3001" s="9" t="s">
        <v>6407</v>
      </c>
      <c r="B3001" s="1"/>
      <c r="C3001" s="1"/>
      <c r="I3001" s="1"/>
    </row>
    <row r="3025" spans="1:9" x14ac:dyDescent="0.25">
      <c r="A3025" s="9" t="s">
        <v>6407</v>
      </c>
      <c r="B3025" s="1"/>
      <c r="C3025" s="1"/>
      <c r="I3025" s="1"/>
    </row>
    <row r="3049" spans="1:9" x14ac:dyDescent="0.25">
      <c r="A3049" s="9" t="s">
        <v>6407</v>
      </c>
      <c r="B3049" s="1"/>
      <c r="C3049" s="1"/>
      <c r="I3049" s="1"/>
    </row>
    <row r="3073" spans="1:9" x14ac:dyDescent="0.25">
      <c r="A3073" s="9" t="s">
        <v>6407</v>
      </c>
      <c r="B3073" s="1"/>
      <c r="C3073" s="1"/>
      <c r="I3073" s="1"/>
    </row>
    <row r="3097" spans="1:9" x14ac:dyDescent="0.25">
      <c r="A3097" s="9" t="s">
        <v>6407</v>
      </c>
      <c r="B3097" s="1"/>
      <c r="C3097" s="1"/>
      <c r="I3097" s="1"/>
    </row>
    <row r="3121" spans="1:9" x14ac:dyDescent="0.25">
      <c r="A3121" s="9" t="s">
        <v>6407</v>
      </c>
      <c r="B3121" s="1"/>
      <c r="C3121" s="1"/>
      <c r="I3121" s="1"/>
    </row>
    <row r="3145" spans="1:9" x14ac:dyDescent="0.25">
      <c r="A3145" s="9" t="s">
        <v>6407</v>
      </c>
      <c r="B3145" s="1"/>
      <c r="C3145" s="1"/>
      <c r="I3145" s="1"/>
    </row>
    <row r="3169" spans="1:9" x14ac:dyDescent="0.25">
      <c r="A3169" s="9" t="s">
        <v>6407</v>
      </c>
      <c r="B3169" s="1"/>
      <c r="C3169" s="1"/>
      <c r="I3169" s="1"/>
    </row>
    <row r="3193" spans="1:9" x14ac:dyDescent="0.25">
      <c r="A3193" s="9" t="s">
        <v>6407</v>
      </c>
      <c r="B3193" s="1"/>
      <c r="C3193" s="1"/>
      <c r="I3193" s="1"/>
    </row>
    <row r="3217" spans="1:9" x14ac:dyDescent="0.25">
      <c r="A3217" s="9" t="s">
        <v>6407</v>
      </c>
      <c r="B3217" s="1"/>
      <c r="C3217" s="1"/>
      <c r="I3217" s="1"/>
    </row>
    <row r="3241" spans="1:9" x14ac:dyDescent="0.25">
      <c r="A3241" s="9" t="s">
        <v>6407</v>
      </c>
      <c r="B3241" s="1"/>
      <c r="C3241" s="1"/>
      <c r="I3241" s="1"/>
    </row>
    <row r="3265" spans="1:9" x14ac:dyDescent="0.25">
      <c r="A3265" s="9" t="s">
        <v>6407</v>
      </c>
      <c r="B3265" s="1"/>
      <c r="C3265" s="1"/>
      <c r="I3265" s="1"/>
    </row>
    <row r="3289" spans="1:9" x14ac:dyDescent="0.25">
      <c r="A3289" s="9" t="s">
        <v>6407</v>
      </c>
      <c r="B3289" s="1"/>
      <c r="C3289" s="1"/>
      <c r="I3289" s="1"/>
    </row>
    <row r="3313" spans="1:9" x14ac:dyDescent="0.25">
      <c r="A3313" s="9" t="s">
        <v>6407</v>
      </c>
      <c r="B3313" s="1"/>
      <c r="C3313" s="1"/>
      <c r="I3313" s="1"/>
    </row>
    <row r="3337" spans="1:9" x14ac:dyDescent="0.25">
      <c r="A3337" s="9" t="s">
        <v>6407</v>
      </c>
      <c r="B3337" s="1"/>
      <c r="C3337" s="1"/>
      <c r="I3337" s="1"/>
    </row>
    <row r="3361" spans="1:9" x14ac:dyDescent="0.25">
      <c r="A3361" s="9" t="s">
        <v>6407</v>
      </c>
      <c r="B3361" s="1"/>
      <c r="C3361" s="1"/>
      <c r="I3361" s="1"/>
    </row>
    <row r="3385" spans="1:9" x14ac:dyDescent="0.25">
      <c r="A3385" s="9" t="s">
        <v>6407</v>
      </c>
      <c r="B3385" s="1"/>
      <c r="C3385" s="1"/>
      <c r="I3385" s="1"/>
    </row>
    <row r="3409" spans="1:9" x14ac:dyDescent="0.25">
      <c r="A3409" s="9" t="s">
        <v>6407</v>
      </c>
      <c r="B3409" s="1"/>
      <c r="C3409" s="1"/>
      <c r="I3409" s="1"/>
    </row>
    <row r="3433" spans="1:9" x14ac:dyDescent="0.25">
      <c r="A3433" s="9" t="s">
        <v>6407</v>
      </c>
      <c r="B3433" s="1"/>
      <c r="C3433" s="1"/>
      <c r="I3433" s="1"/>
    </row>
    <row r="3457" spans="1:9" x14ac:dyDescent="0.25">
      <c r="A3457" s="9" t="s">
        <v>6407</v>
      </c>
      <c r="B3457" s="1"/>
      <c r="C3457" s="1"/>
      <c r="I3457" s="1"/>
    </row>
    <row r="3481" spans="1:9" x14ac:dyDescent="0.25">
      <c r="A3481" s="9" t="s">
        <v>6407</v>
      </c>
      <c r="B3481" s="1"/>
      <c r="C3481" s="1"/>
      <c r="I3481" s="1"/>
    </row>
    <row r="3505" spans="1:9" x14ac:dyDescent="0.25">
      <c r="A3505" s="9" t="s">
        <v>6407</v>
      </c>
      <c r="B3505" s="1"/>
      <c r="C3505" s="1"/>
      <c r="I3505" s="1"/>
    </row>
    <row r="3529" spans="1:9" x14ac:dyDescent="0.25">
      <c r="A3529" s="9" t="s">
        <v>6407</v>
      </c>
      <c r="B3529" s="1"/>
      <c r="C3529" s="1"/>
      <c r="I3529" s="1"/>
    </row>
    <row r="3553" spans="1:9" x14ac:dyDescent="0.25">
      <c r="A3553" s="9" t="s">
        <v>6407</v>
      </c>
      <c r="B3553" s="1"/>
      <c r="C3553" s="1"/>
      <c r="I3553" s="1"/>
    </row>
    <row r="3577" spans="1:9" x14ac:dyDescent="0.25">
      <c r="A3577" s="9" t="s">
        <v>6407</v>
      </c>
      <c r="B3577" s="1"/>
      <c r="C3577" s="1"/>
      <c r="I3577" s="1"/>
    </row>
    <row r="3601" spans="1:9" x14ac:dyDescent="0.25">
      <c r="A3601" s="9" t="s">
        <v>6407</v>
      </c>
      <c r="B3601" s="1"/>
      <c r="C3601" s="1"/>
      <c r="I3601" s="1"/>
    </row>
    <row r="3625" spans="1:9" x14ac:dyDescent="0.25">
      <c r="A3625" s="9" t="s">
        <v>6407</v>
      </c>
      <c r="B3625" s="1"/>
      <c r="C3625" s="1"/>
      <c r="I3625" s="1"/>
    </row>
    <row r="3649" spans="1:9" x14ac:dyDescent="0.25">
      <c r="A3649" s="9" t="s">
        <v>6407</v>
      </c>
      <c r="B3649" s="1"/>
      <c r="C3649" s="1"/>
      <c r="I3649" s="1"/>
    </row>
    <row r="3673" spans="1:9" x14ac:dyDescent="0.25">
      <c r="A3673" s="9" t="s">
        <v>6407</v>
      </c>
      <c r="B3673" s="1"/>
      <c r="C3673" s="1"/>
      <c r="I3673" s="1"/>
    </row>
    <row r="3697" spans="1:9" x14ac:dyDescent="0.25">
      <c r="A3697" s="9" t="s">
        <v>6407</v>
      </c>
      <c r="B3697" s="1"/>
      <c r="C3697" s="1"/>
      <c r="I3697" s="1"/>
    </row>
    <row r="3721" spans="1:9" x14ac:dyDescent="0.25">
      <c r="A3721" s="9" t="s">
        <v>6407</v>
      </c>
      <c r="B3721" s="1"/>
      <c r="C3721" s="1"/>
      <c r="I3721" s="1"/>
    </row>
    <row r="3745" spans="1:9" x14ac:dyDescent="0.25">
      <c r="A3745" s="9" t="s">
        <v>6407</v>
      </c>
      <c r="B3745" s="1"/>
      <c r="C3745" s="1"/>
      <c r="I3745" s="1"/>
    </row>
    <row r="3769" spans="1:9" x14ac:dyDescent="0.25">
      <c r="A3769" s="9" t="s">
        <v>6407</v>
      </c>
      <c r="B3769" s="1"/>
      <c r="C3769" s="1"/>
      <c r="I3769" s="1"/>
    </row>
    <row r="3793" spans="1:9" x14ac:dyDescent="0.25">
      <c r="A3793" s="9" t="s">
        <v>6407</v>
      </c>
      <c r="B3793" s="1"/>
      <c r="C3793" s="1"/>
      <c r="I3793" s="1"/>
    </row>
    <row r="3817" spans="1:9" x14ac:dyDescent="0.25">
      <c r="A3817" s="9" t="s">
        <v>6407</v>
      </c>
      <c r="B3817" s="1"/>
      <c r="C3817" s="1"/>
      <c r="I3817" s="1"/>
    </row>
    <row r="3841" spans="1:9" x14ac:dyDescent="0.25">
      <c r="A3841" s="9" t="s">
        <v>6407</v>
      </c>
      <c r="B3841" s="1"/>
      <c r="C3841" s="1"/>
      <c r="I3841" s="1"/>
    </row>
    <row r="3865" spans="1:9" x14ac:dyDescent="0.25">
      <c r="A3865" s="9" t="s">
        <v>6407</v>
      </c>
      <c r="B3865" s="1"/>
      <c r="C3865" s="1"/>
      <c r="I3865" s="1"/>
    </row>
    <row r="3889" spans="1:9" x14ac:dyDescent="0.25">
      <c r="A3889" s="9" t="s">
        <v>6407</v>
      </c>
      <c r="B3889" s="1"/>
      <c r="C3889" s="1"/>
      <c r="I3889" s="1"/>
    </row>
    <row r="3913" spans="1:9" x14ac:dyDescent="0.25">
      <c r="A3913" s="9" t="s">
        <v>6407</v>
      </c>
      <c r="B3913" s="1"/>
      <c r="C3913" s="1"/>
      <c r="I3913" s="1"/>
    </row>
    <row r="3937" spans="1:9" x14ac:dyDescent="0.25">
      <c r="A3937" s="9" t="s">
        <v>6407</v>
      </c>
      <c r="B3937" s="1"/>
      <c r="C3937" s="1"/>
      <c r="I3937" s="1"/>
    </row>
    <row r="3961" spans="1:9" x14ac:dyDescent="0.25">
      <c r="A3961" s="9" t="s">
        <v>6407</v>
      </c>
      <c r="B3961" s="1"/>
      <c r="C3961" s="1"/>
      <c r="I3961" s="1"/>
    </row>
    <row r="3985" spans="1:9" x14ac:dyDescent="0.25">
      <c r="A3985" s="9" t="s">
        <v>6407</v>
      </c>
      <c r="B3985" s="1"/>
      <c r="C3985" s="1"/>
      <c r="I3985" s="1"/>
    </row>
    <row r="4009" spans="1:9" x14ac:dyDescent="0.25">
      <c r="A4009" s="9" t="s">
        <v>6407</v>
      </c>
      <c r="B4009" s="1"/>
      <c r="C4009" s="1"/>
      <c r="I4009" s="1"/>
    </row>
    <row r="4033" spans="1:9" x14ac:dyDescent="0.25">
      <c r="A4033" s="9" t="s">
        <v>1365</v>
      </c>
      <c r="B4033" s="1">
        <v>31</v>
      </c>
      <c r="C4033" s="1">
        <v>7151</v>
      </c>
      <c r="D4033">
        <v>231</v>
      </c>
      <c r="E4033">
        <v>231.5</v>
      </c>
      <c r="F4033">
        <v>230</v>
      </c>
      <c r="G4033">
        <v>231.5</v>
      </c>
      <c r="H4033">
        <v>-1.5</v>
      </c>
      <c r="I4033" s="1">
        <v>43</v>
      </c>
    </row>
    <row r="4034" spans="1:9" x14ac:dyDescent="0.25">
      <c r="A4034" t="s">
        <v>1366</v>
      </c>
      <c r="B4034">
        <v>14</v>
      </c>
      <c r="C4034" s="1">
        <v>3181</v>
      </c>
      <c r="D4034">
        <v>231.5</v>
      </c>
      <c r="E4034">
        <v>235</v>
      </c>
      <c r="F4034">
        <v>231.5</v>
      </c>
      <c r="G4034">
        <v>233.5</v>
      </c>
      <c r="H4034">
        <v>2</v>
      </c>
      <c r="I4034">
        <v>24</v>
      </c>
    </row>
    <row r="4035" spans="1:9" x14ac:dyDescent="0.25">
      <c r="A4035" t="s">
        <v>1367</v>
      </c>
      <c r="B4035">
        <v>18</v>
      </c>
      <c r="C4035" s="1">
        <v>4203</v>
      </c>
      <c r="D4035">
        <v>233.5</v>
      </c>
      <c r="E4035">
        <v>233.5</v>
      </c>
      <c r="F4035">
        <v>231.5</v>
      </c>
      <c r="G4035">
        <v>231.5</v>
      </c>
      <c r="H4035">
        <v>-2</v>
      </c>
      <c r="I4035">
        <v>29</v>
      </c>
    </row>
    <row r="4036" spans="1:9" x14ac:dyDescent="0.25">
      <c r="A4036" t="s">
        <v>1368</v>
      </c>
      <c r="B4036">
        <v>18</v>
      </c>
      <c r="C4036" s="1">
        <v>4171</v>
      </c>
      <c r="D4036">
        <v>230.5</v>
      </c>
      <c r="E4036">
        <v>231</v>
      </c>
      <c r="F4036">
        <v>230.5</v>
      </c>
      <c r="G4036">
        <v>231</v>
      </c>
      <c r="H4036">
        <v>-0.5</v>
      </c>
      <c r="I4036">
        <v>27</v>
      </c>
    </row>
    <row r="4037" spans="1:9" x14ac:dyDescent="0.25">
      <c r="A4037" t="s">
        <v>1369</v>
      </c>
      <c r="B4037">
        <v>31</v>
      </c>
      <c r="C4037" s="1">
        <v>7129</v>
      </c>
      <c r="D4037">
        <v>230</v>
      </c>
      <c r="E4037">
        <v>232</v>
      </c>
      <c r="F4037">
        <v>230</v>
      </c>
      <c r="G4037">
        <v>230.5</v>
      </c>
      <c r="H4037">
        <v>-0.5</v>
      </c>
      <c r="I4037">
        <v>48</v>
      </c>
    </row>
    <row r="4038" spans="1:9" x14ac:dyDescent="0.25">
      <c r="A4038" t="s">
        <v>1370</v>
      </c>
      <c r="B4038">
        <v>11</v>
      </c>
      <c r="C4038" s="1">
        <v>2537</v>
      </c>
      <c r="D4038">
        <v>230</v>
      </c>
      <c r="E4038">
        <v>231</v>
      </c>
      <c r="F4038">
        <v>230</v>
      </c>
      <c r="G4038">
        <v>231</v>
      </c>
      <c r="H4038">
        <v>0.5</v>
      </c>
      <c r="I4038">
        <v>4</v>
      </c>
    </row>
    <row r="4039" spans="1:9" x14ac:dyDescent="0.25">
      <c r="A4039" t="s">
        <v>1371</v>
      </c>
      <c r="B4039">
        <v>6</v>
      </c>
      <c r="C4039" s="1">
        <v>1432</v>
      </c>
      <c r="D4039">
        <v>238</v>
      </c>
      <c r="E4039">
        <v>238</v>
      </c>
      <c r="F4039">
        <v>232</v>
      </c>
      <c r="G4039">
        <v>233</v>
      </c>
      <c r="H4039">
        <v>2</v>
      </c>
      <c r="I4039">
        <v>9</v>
      </c>
    </row>
    <row r="4040" spans="1:9" x14ac:dyDescent="0.25">
      <c r="A4040" t="s">
        <v>1372</v>
      </c>
      <c r="B4040">
        <v>11</v>
      </c>
      <c r="C4040" s="1">
        <v>2626</v>
      </c>
      <c r="D4040">
        <v>234.5</v>
      </c>
      <c r="E4040">
        <v>235</v>
      </c>
      <c r="F4040">
        <v>233.5</v>
      </c>
      <c r="G4040">
        <v>234.5</v>
      </c>
      <c r="H4040">
        <v>1.5</v>
      </c>
      <c r="I4040">
        <v>14</v>
      </c>
    </row>
    <row r="4041" spans="1:9" x14ac:dyDescent="0.25">
      <c r="A4041" t="s">
        <v>1373</v>
      </c>
      <c r="B4041">
        <v>17</v>
      </c>
      <c r="C4041" s="1">
        <v>3952</v>
      </c>
      <c r="D4041">
        <v>236</v>
      </c>
      <c r="E4041">
        <v>237</v>
      </c>
      <c r="F4041">
        <v>236</v>
      </c>
      <c r="G4041">
        <v>237</v>
      </c>
      <c r="H4041">
        <v>2.5</v>
      </c>
      <c r="I4041">
        <v>31</v>
      </c>
    </row>
    <row r="4042" spans="1:9" x14ac:dyDescent="0.25">
      <c r="A4042" t="s">
        <v>1374</v>
      </c>
      <c r="B4042">
        <v>8</v>
      </c>
      <c r="C4042" s="1">
        <v>1998</v>
      </c>
      <c r="D4042">
        <v>239.5</v>
      </c>
      <c r="E4042">
        <v>239.5</v>
      </c>
      <c r="F4042">
        <v>237</v>
      </c>
      <c r="G4042">
        <v>238</v>
      </c>
      <c r="H4042">
        <v>1</v>
      </c>
      <c r="I4042">
        <v>34</v>
      </c>
    </row>
    <row r="4043" spans="1:9" x14ac:dyDescent="0.25">
      <c r="A4043" t="s">
        <v>1375</v>
      </c>
      <c r="B4043">
        <v>19</v>
      </c>
      <c r="C4043" s="1">
        <v>4607</v>
      </c>
      <c r="D4043">
        <v>238</v>
      </c>
      <c r="E4043">
        <v>238</v>
      </c>
      <c r="F4043">
        <v>235.5</v>
      </c>
      <c r="G4043">
        <v>237.5</v>
      </c>
      <c r="H4043">
        <v>-0.5</v>
      </c>
      <c r="I4043">
        <v>35</v>
      </c>
    </row>
    <row r="4044" spans="1:9" x14ac:dyDescent="0.25">
      <c r="A4044" t="s">
        <v>1376</v>
      </c>
      <c r="B4044">
        <v>14</v>
      </c>
      <c r="C4044" s="1">
        <v>3288</v>
      </c>
      <c r="D4044">
        <v>235.5</v>
      </c>
      <c r="E4044">
        <v>235.5</v>
      </c>
      <c r="F4044">
        <v>233</v>
      </c>
      <c r="G4044">
        <v>235.5</v>
      </c>
      <c r="H4044">
        <v>-2</v>
      </c>
      <c r="I4044">
        <v>63</v>
      </c>
    </row>
    <row r="4045" spans="1:9" x14ac:dyDescent="0.25">
      <c r="A4045" t="s">
        <v>1377</v>
      </c>
      <c r="B4045">
        <v>6</v>
      </c>
      <c r="C4045" s="1">
        <v>1300</v>
      </c>
      <c r="D4045">
        <v>236</v>
      </c>
      <c r="E4045">
        <v>237</v>
      </c>
      <c r="F4045">
        <v>233.5</v>
      </c>
      <c r="G4045">
        <v>233.5</v>
      </c>
      <c r="H4045">
        <v>-2</v>
      </c>
      <c r="I4045">
        <v>29</v>
      </c>
    </row>
    <row r="4046" spans="1:9" x14ac:dyDescent="0.25">
      <c r="A4046" t="s">
        <v>1378</v>
      </c>
      <c r="B4046">
        <v>3</v>
      </c>
      <c r="C4046" s="1">
        <v>604</v>
      </c>
      <c r="D4046">
        <v>233.5</v>
      </c>
      <c r="E4046">
        <v>233.5</v>
      </c>
      <c r="F4046">
        <v>233</v>
      </c>
      <c r="G4046">
        <v>233</v>
      </c>
      <c r="H4046">
        <v>-0.5</v>
      </c>
      <c r="I4046">
        <v>8</v>
      </c>
    </row>
    <row r="4047" spans="1:9" x14ac:dyDescent="0.25">
      <c r="A4047" t="s">
        <v>1379</v>
      </c>
      <c r="B4047">
        <v>3</v>
      </c>
      <c r="C4047" s="1">
        <v>751</v>
      </c>
      <c r="D4047">
        <v>233</v>
      </c>
      <c r="E4047">
        <v>233</v>
      </c>
      <c r="F4047">
        <v>233</v>
      </c>
      <c r="G4047">
        <v>233</v>
      </c>
      <c r="H4047">
        <v>0</v>
      </c>
      <c r="I4047">
        <v>23</v>
      </c>
    </row>
    <row r="4048" spans="1:9" x14ac:dyDescent="0.25">
      <c r="A4048" t="s">
        <v>1380</v>
      </c>
      <c r="B4048">
        <v>19</v>
      </c>
      <c r="C4048" s="1">
        <v>4418</v>
      </c>
      <c r="D4048">
        <v>233</v>
      </c>
      <c r="E4048">
        <v>235.5</v>
      </c>
      <c r="F4048">
        <v>232</v>
      </c>
      <c r="G4048">
        <v>235.5</v>
      </c>
      <c r="H4048">
        <v>2.5</v>
      </c>
      <c r="I4048">
        <v>42</v>
      </c>
    </row>
    <row r="4049" spans="1:9" x14ac:dyDescent="0.25">
      <c r="A4049" t="s">
        <v>1381</v>
      </c>
      <c r="B4049">
        <v>7</v>
      </c>
      <c r="C4049" s="1">
        <v>1532</v>
      </c>
      <c r="D4049">
        <v>233</v>
      </c>
      <c r="E4049">
        <v>233</v>
      </c>
      <c r="F4049">
        <v>233</v>
      </c>
      <c r="G4049">
        <v>233</v>
      </c>
      <c r="H4049">
        <v>-2.5</v>
      </c>
      <c r="I4049">
        <v>14</v>
      </c>
    </row>
    <row r="4050" spans="1:9" x14ac:dyDescent="0.25">
      <c r="A4050" t="s">
        <v>1382</v>
      </c>
      <c r="B4050">
        <v>5</v>
      </c>
      <c r="C4050" s="1">
        <v>1057</v>
      </c>
      <c r="D4050">
        <v>233</v>
      </c>
      <c r="E4050">
        <v>233</v>
      </c>
      <c r="F4050">
        <v>232.5</v>
      </c>
      <c r="G4050">
        <v>232.5</v>
      </c>
      <c r="H4050">
        <v>-0.5</v>
      </c>
      <c r="I4050">
        <v>9</v>
      </c>
    </row>
    <row r="4051" spans="1:9" x14ac:dyDescent="0.25">
      <c r="A4051" t="s">
        <v>1383</v>
      </c>
      <c r="B4051">
        <v>7</v>
      </c>
      <c r="C4051" s="1">
        <v>1591</v>
      </c>
      <c r="D4051">
        <v>232</v>
      </c>
      <c r="E4051">
        <v>233</v>
      </c>
      <c r="F4051">
        <v>232</v>
      </c>
      <c r="G4051">
        <v>232.5</v>
      </c>
      <c r="H4051">
        <v>0</v>
      </c>
      <c r="I4051">
        <v>20</v>
      </c>
    </row>
    <row r="4052" spans="1:9" x14ac:dyDescent="0.25">
      <c r="A4052" t="s">
        <v>1384</v>
      </c>
      <c r="B4052">
        <v>8</v>
      </c>
      <c r="C4052" s="1">
        <v>1883</v>
      </c>
      <c r="D4052">
        <v>232</v>
      </c>
      <c r="E4052">
        <v>233.5</v>
      </c>
      <c r="F4052">
        <v>232</v>
      </c>
      <c r="G4052">
        <v>233.5</v>
      </c>
      <c r="H4052">
        <v>1</v>
      </c>
      <c r="I4052">
        <v>14</v>
      </c>
    </row>
    <row r="4053" spans="1:9" x14ac:dyDescent="0.25">
      <c r="A4053" t="s">
        <v>1385</v>
      </c>
      <c r="B4053">
        <v>7</v>
      </c>
      <c r="C4053" s="1">
        <v>1737</v>
      </c>
      <c r="D4053">
        <v>233.5</v>
      </c>
      <c r="E4053">
        <v>235</v>
      </c>
      <c r="F4053">
        <v>233.5</v>
      </c>
      <c r="G4053">
        <v>235</v>
      </c>
      <c r="H4053">
        <v>1.5</v>
      </c>
      <c r="I4053">
        <v>16</v>
      </c>
    </row>
    <row r="4054" spans="1:9" x14ac:dyDescent="0.25">
      <c r="A4054" t="s">
        <v>973</v>
      </c>
      <c r="C4054" s="1"/>
    </row>
    <row r="4057" spans="1:9" x14ac:dyDescent="0.25">
      <c r="A4057" s="9" t="s">
        <v>1343</v>
      </c>
      <c r="B4057" s="1">
        <v>19</v>
      </c>
      <c r="C4057" s="1">
        <v>4166</v>
      </c>
      <c r="D4057">
        <v>224</v>
      </c>
      <c r="E4057">
        <v>224.5</v>
      </c>
      <c r="F4057">
        <v>223.5</v>
      </c>
      <c r="G4057">
        <v>223.5</v>
      </c>
      <c r="H4057">
        <v>0</v>
      </c>
      <c r="I4057" s="1">
        <v>26</v>
      </c>
    </row>
    <row r="4058" spans="1:9" x14ac:dyDescent="0.25">
      <c r="A4058" t="s">
        <v>1344</v>
      </c>
      <c r="B4058">
        <v>19</v>
      </c>
      <c r="C4058" s="1">
        <v>4196</v>
      </c>
      <c r="D4058">
        <v>223.5</v>
      </c>
      <c r="E4058">
        <v>224</v>
      </c>
      <c r="F4058">
        <v>223</v>
      </c>
      <c r="G4058">
        <v>223.5</v>
      </c>
      <c r="H4058">
        <v>0</v>
      </c>
      <c r="I4058">
        <v>42</v>
      </c>
    </row>
    <row r="4059" spans="1:9" x14ac:dyDescent="0.25">
      <c r="A4059" t="s">
        <v>1345</v>
      </c>
      <c r="B4059">
        <v>17</v>
      </c>
      <c r="C4059" s="1">
        <v>3905</v>
      </c>
      <c r="D4059">
        <v>224.5</v>
      </c>
      <c r="E4059">
        <v>225</v>
      </c>
      <c r="F4059">
        <v>224</v>
      </c>
      <c r="G4059">
        <v>224</v>
      </c>
      <c r="H4059">
        <v>0.5</v>
      </c>
      <c r="I4059">
        <v>27</v>
      </c>
    </row>
    <row r="4060" spans="1:9" x14ac:dyDescent="0.25">
      <c r="A4060" t="s">
        <v>1346</v>
      </c>
      <c r="B4060">
        <v>16</v>
      </c>
      <c r="C4060" s="1">
        <v>3620</v>
      </c>
      <c r="D4060">
        <v>224</v>
      </c>
      <c r="E4060">
        <v>225</v>
      </c>
      <c r="F4060">
        <v>224</v>
      </c>
      <c r="G4060">
        <v>224</v>
      </c>
      <c r="H4060">
        <v>0</v>
      </c>
      <c r="I4060">
        <v>32</v>
      </c>
    </row>
    <row r="4061" spans="1:9" x14ac:dyDescent="0.25">
      <c r="A4061" t="s">
        <v>1347</v>
      </c>
      <c r="B4061">
        <v>15</v>
      </c>
      <c r="C4061" s="1">
        <v>3303</v>
      </c>
      <c r="D4061">
        <v>224</v>
      </c>
      <c r="E4061">
        <v>224</v>
      </c>
      <c r="F4061">
        <v>223</v>
      </c>
      <c r="G4061">
        <v>223.5</v>
      </c>
      <c r="H4061">
        <v>-0.5</v>
      </c>
      <c r="I4061">
        <v>35</v>
      </c>
    </row>
    <row r="4062" spans="1:9" x14ac:dyDescent="0.25">
      <c r="A4062" t="s">
        <v>1348</v>
      </c>
      <c r="B4062">
        <v>7</v>
      </c>
      <c r="C4062" s="1">
        <v>1634</v>
      </c>
      <c r="D4062">
        <v>223.5</v>
      </c>
      <c r="E4062">
        <v>224</v>
      </c>
      <c r="F4062">
        <v>223.5</v>
      </c>
      <c r="G4062">
        <v>224</v>
      </c>
      <c r="H4062">
        <v>0.5</v>
      </c>
      <c r="I4062">
        <v>11</v>
      </c>
    </row>
    <row r="4063" spans="1:9" x14ac:dyDescent="0.25">
      <c r="A4063" t="s">
        <v>1349</v>
      </c>
      <c r="B4063">
        <v>26</v>
      </c>
      <c r="C4063" s="1">
        <v>5731</v>
      </c>
      <c r="D4063">
        <v>224</v>
      </c>
      <c r="E4063">
        <v>224</v>
      </c>
      <c r="F4063">
        <v>222.5</v>
      </c>
      <c r="G4063">
        <v>222.5</v>
      </c>
      <c r="H4063">
        <v>-1.5</v>
      </c>
      <c r="I4063">
        <v>51</v>
      </c>
    </row>
    <row r="4064" spans="1:9" x14ac:dyDescent="0.25">
      <c r="A4064" t="s">
        <v>1350</v>
      </c>
      <c r="B4064">
        <v>30</v>
      </c>
      <c r="C4064" s="1">
        <v>6628</v>
      </c>
      <c r="D4064">
        <v>222</v>
      </c>
      <c r="E4064">
        <v>223</v>
      </c>
      <c r="F4064">
        <v>222</v>
      </c>
      <c r="G4064">
        <v>222.5</v>
      </c>
      <c r="H4064">
        <v>0</v>
      </c>
      <c r="I4064">
        <v>60</v>
      </c>
    </row>
    <row r="4065" spans="1:9" x14ac:dyDescent="0.25">
      <c r="A4065" t="s">
        <v>1351</v>
      </c>
      <c r="B4065">
        <v>15</v>
      </c>
      <c r="C4065" s="1">
        <v>3456</v>
      </c>
      <c r="D4065">
        <v>223</v>
      </c>
      <c r="E4065">
        <v>223.5</v>
      </c>
      <c r="F4065">
        <v>223</v>
      </c>
      <c r="G4065">
        <v>223</v>
      </c>
      <c r="H4065">
        <v>0.5</v>
      </c>
      <c r="I4065">
        <v>26</v>
      </c>
    </row>
    <row r="4066" spans="1:9" x14ac:dyDescent="0.25">
      <c r="A4066" t="s">
        <v>1352</v>
      </c>
      <c r="B4066">
        <v>22</v>
      </c>
      <c r="C4066" s="1">
        <v>4894</v>
      </c>
      <c r="D4066">
        <v>223</v>
      </c>
      <c r="E4066">
        <v>224</v>
      </c>
      <c r="F4066">
        <v>222.5</v>
      </c>
      <c r="G4066">
        <v>223.5</v>
      </c>
      <c r="H4066">
        <v>0.5</v>
      </c>
      <c r="I4066">
        <v>36</v>
      </c>
    </row>
    <row r="4067" spans="1:9" x14ac:dyDescent="0.25">
      <c r="A4067" t="s">
        <v>1353</v>
      </c>
      <c r="B4067">
        <v>11</v>
      </c>
      <c r="C4067" s="1">
        <v>2442</v>
      </c>
      <c r="D4067">
        <v>223</v>
      </c>
      <c r="E4067">
        <v>223</v>
      </c>
      <c r="F4067">
        <v>222.5</v>
      </c>
      <c r="G4067">
        <v>222.5</v>
      </c>
      <c r="H4067">
        <v>-1</v>
      </c>
      <c r="I4067">
        <v>33</v>
      </c>
    </row>
    <row r="4068" spans="1:9" x14ac:dyDescent="0.25">
      <c r="A4068" t="s">
        <v>1354</v>
      </c>
      <c r="B4068">
        <v>16</v>
      </c>
      <c r="C4068" s="1">
        <v>3691</v>
      </c>
      <c r="D4068">
        <v>222.5</v>
      </c>
      <c r="E4068">
        <v>225</v>
      </c>
      <c r="F4068">
        <v>222.5</v>
      </c>
      <c r="G4068">
        <v>225</v>
      </c>
      <c r="H4068">
        <v>2.5</v>
      </c>
      <c r="I4068">
        <v>34</v>
      </c>
    </row>
    <row r="4069" spans="1:9" x14ac:dyDescent="0.25">
      <c r="A4069" t="s">
        <v>1355</v>
      </c>
      <c r="B4069">
        <v>22</v>
      </c>
      <c r="C4069" s="1">
        <v>4996</v>
      </c>
      <c r="D4069">
        <v>225</v>
      </c>
      <c r="E4069">
        <v>226.5</v>
      </c>
      <c r="F4069">
        <v>225</v>
      </c>
      <c r="G4069">
        <v>226</v>
      </c>
      <c r="H4069">
        <v>1</v>
      </c>
      <c r="I4069">
        <v>36</v>
      </c>
    </row>
    <row r="4070" spans="1:9" x14ac:dyDescent="0.25">
      <c r="A4070" t="s">
        <v>1356</v>
      </c>
      <c r="B4070">
        <v>168</v>
      </c>
      <c r="C4070" s="1">
        <v>40088</v>
      </c>
      <c r="D4070">
        <v>228</v>
      </c>
      <c r="E4070">
        <v>248.5</v>
      </c>
      <c r="F4070">
        <v>228</v>
      </c>
      <c r="G4070">
        <v>239.5</v>
      </c>
      <c r="H4070">
        <v>13.5</v>
      </c>
      <c r="I4070">
        <v>213</v>
      </c>
    </row>
    <row r="4071" spans="1:9" x14ac:dyDescent="0.25">
      <c r="A4071" t="s">
        <v>1357</v>
      </c>
      <c r="B4071">
        <v>62</v>
      </c>
      <c r="C4071" s="1">
        <v>14759</v>
      </c>
      <c r="D4071">
        <v>245</v>
      </c>
      <c r="E4071">
        <v>245</v>
      </c>
      <c r="F4071">
        <v>235</v>
      </c>
      <c r="G4071">
        <v>237</v>
      </c>
      <c r="H4071">
        <v>-2.5</v>
      </c>
      <c r="I4071">
        <v>103</v>
      </c>
    </row>
    <row r="4072" spans="1:9" x14ac:dyDescent="0.25">
      <c r="A4072" t="s">
        <v>1358</v>
      </c>
      <c r="B4072">
        <v>47</v>
      </c>
      <c r="C4072" s="1">
        <v>11007</v>
      </c>
      <c r="D4072">
        <v>235</v>
      </c>
      <c r="E4072">
        <v>235</v>
      </c>
      <c r="F4072">
        <v>232</v>
      </c>
      <c r="G4072">
        <v>232</v>
      </c>
      <c r="H4072">
        <v>-5</v>
      </c>
      <c r="I4072">
        <v>65</v>
      </c>
    </row>
    <row r="4073" spans="1:9" x14ac:dyDescent="0.25">
      <c r="A4073" t="s">
        <v>1359</v>
      </c>
      <c r="B4073">
        <v>25</v>
      </c>
      <c r="C4073" s="1">
        <v>5846</v>
      </c>
      <c r="D4073">
        <v>232</v>
      </c>
      <c r="E4073">
        <v>233</v>
      </c>
      <c r="F4073">
        <v>229.5</v>
      </c>
      <c r="G4073">
        <v>233</v>
      </c>
      <c r="H4073">
        <v>1</v>
      </c>
      <c r="I4073">
        <v>32</v>
      </c>
    </row>
    <row r="4074" spans="1:9" x14ac:dyDescent="0.25">
      <c r="A4074" t="s">
        <v>1360</v>
      </c>
      <c r="B4074">
        <v>14</v>
      </c>
      <c r="C4074" s="1">
        <v>3365</v>
      </c>
      <c r="D4074">
        <v>233</v>
      </c>
      <c r="E4074">
        <v>237.5</v>
      </c>
      <c r="F4074">
        <v>232</v>
      </c>
      <c r="G4074">
        <v>237.5</v>
      </c>
      <c r="H4074">
        <v>4.5</v>
      </c>
      <c r="I4074">
        <v>25</v>
      </c>
    </row>
    <row r="4075" spans="1:9" x14ac:dyDescent="0.25">
      <c r="A4075" t="s">
        <v>1361</v>
      </c>
      <c r="B4075">
        <v>46</v>
      </c>
      <c r="C4075" s="1">
        <v>10829</v>
      </c>
      <c r="D4075">
        <v>235.5</v>
      </c>
      <c r="E4075">
        <v>239</v>
      </c>
      <c r="F4075">
        <v>235</v>
      </c>
      <c r="G4075">
        <v>239</v>
      </c>
      <c r="H4075">
        <v>1.5</v>
      </c>
      <c r="I4075">
        <v>50</v>
      </c>
    </row>
    <row r="4076" spans="1:9" x14ac:dyDescent="0.25">
      <c r="A4076" t="s">
        <v>1362</v>
      </c>
      <c r="B4076">
        <v>31</v>
      </c>
      <c r="C4076" s="1">
        <v>7545</v>
      </c>
      <c r="D4076">
        <v>240</v>
      </c>
      <c r="E4076">
        <v>240.5</v>
      </c>
      <c r="F4076">
        <v>239</v>
      </c>
      <c r="G4076">
        <v>239</v>
      </c>
      <c r="H4076">
        <v>0</v>
      </c>
      <c r="I4076">
        <v>54</v>
      </c>
    </row>
    <row r="4077" spans="1:9" x14ac:dyDescent="0.25">
      <c r="A4077" t="s">
        <v>1363</v>
      </c>
      <c r="B4077">
        <v>17</v>
      </c>
      <c r="C4077" s="1">
        <v>4097</v>
      </c>
      <c r="D4077">
        <v>239</v>
      </c>
      <c r="E4077">
        <v>239</v>
      </c>
      <c r="F4077">
        <v>236</v>
      </c>
      <c r="G4077">
        <v>236</v>
      </c>
      <c r="H4077">
        <v>-3</v>
      </c>
      <c r="I4077">
        <v>34</v>
      </c>
    </row>
    <row r="4078" spans="1:9" x14ac:dyDescent="0.25">
      <c r="A4078" t="s">
        <v>1364</v>
      </c>
      <c r="B4078">
        <v>12</v>
      </c>
      <c r="C4078" s="1">
        <v>2860</v>
      </c>
      <c r="D4078">
        <v>235</v>
      </c>
      <c r="E4078">
        <v>235</v>
      </c>
      <c r="F4078">
        <v>233</v>
      </c>
      <c r="G4078">
        <v>233</v>
      </c>
      <c r="H4078">
        <v>-3</v>
      </c>
      <c r="I4078">
        <v>22</v>
      </c>
    </row>
    <row r="4079" spans="1:9" x14ac:dyDescent="0.25">
      <c r="A4079" t="s">
        <v>1177</v>
      </c>
      <c r="C4079" s="1"/>
    </row>
    <row r="4081" spans="1:9" x14ac:dyDescent="0.25">
      <c r="A4081" s="9" t="s">
        <v>1324</v>
      </c>
      <c r="B4081" s="1">
        <v>16</v>
      </c>
      <c r="C4081" s="1">
        <v>3601</v>
      </c>
      <c r="D4081">
        <v>224.5</v>
      </c>
      <c r="E4081">
        <v>225</v>
      </c>
      <c r="F4081">
        <v>224.5</v>
      </c>
      <c r="G4081">
        <v>224.5</v>
      </c>
      <c r="H4081">
        <v>0.5</v>
      </c>
      <c r="I4081" s="1">
        <v>22</v>
      </c>
    </row>
    <row r="4082" spans="1:9" x14ac:dyDescent="0.25">
      <c r="A4082" t="s">
        <v>1325</v>
      </c>
      <c r="B4082">
        <v>19</v>
      </c>
      <c r="C4082" s="1">
        <v>4190</v>
      </c>
      <c r="D4082">
        <v>224.5</v>
      </c>
      <c r="E4082">
        <v>226</v>
      </c>
      <c r="F4082">
        <v>224.5</v>
      </c>
      <c r="G4082">
        <v>225.5</v>
      </c>
      <c r="H4082">
        <v>1</v>
      </c>
      <c r="I4082">
        <v>29</v>
      </c>
    </row>
    <row r="4083" spans="1:9" x14ac:dyDescent="0.25">
      <c r="A4083" t="s">
        <v>1326</v>
      </c>
      <c r="B4083">
        <v>18</v>
      </c>
      <c r="C4083" s="1">
        <v>3971</v>
      </c>
      <c r="D4083">
        <v>223.5</v>
      </c>
      <c r="E4083">
        <v>226.5</v>
      </c>
      <c r="F4083">
        <v>223.5</v>
      </c>
      <c r="G4083">
        <v>224.5</v>
      </c>
      <c r="H4083">
        <v>-1</v>
      </c>
      <c r="I4083">
        <v>31</v>
      </c>
    </row>
    <row r="4084" spans="1:9" x14ac:dyDescent="0.25">
      <c r="A4084" t="s">
        <v>1327</v>
      </c>
      <c r="B4084">
        <v>6</v>
      </c>
      <c r="C4084" s="1">
        <v>1451</v>
      </c>
      <c r="D4084">
        <v>223.5</v>
      </c>
      <c r="E4084">
        <v>224</v>
      </c>
      <c r="F4084">
        <v>223.5</v>
      </c>
      <c r="G4084">
        <v>224</v>
      </c>
      <c r="H4084">
        <v>-0.5</v>
      </c>
      <c r="I4084">
        <v>25</v>
      </c>
    </row>
    <row r="4085" spans="1:9" x14ac:dyDescent="0.25">
      <c r="A4085" t="s">
        <v>1328</v>
      </c>
      <c r="B4085">
        <v>26</v>
      </c>
      <c r="C4085" s="1">
        <v>5794</v>
      </c>
      <c r="D4085">
        <v>224</v>
      </c>
      <c r="E4085">
        <v>226</v>
      </c>
      <c r="F4085">
        <v>223</v>
      </c>
      <c r="G4085">
        <v>224</v>
      </c>
      <c r="H4085">
        <v>0</v>
      </c>
      <c r="I4085">
        <v>58</v>
      </c>
    </row>
    <row r="4086" spans="1:9" x14ac:dyDescent="0.25">
      <c r="A4086" t="s">
        <v>1329</v>
      </c>
      <c r="B4086">
        <v>37</v>
      </c>
      <c r="C4086" s="1">
        <v>8288</v>
      </c>
      <c r="D4086">
        <v>224</v>
      </c>
      <c r="E4086">
        <v>224</v>
      </c>
      <c r="F4086">
        <v>222</v>
      </c>
      <c r="G4086">
        <v>222</v>
      </c>
      <c r="H4086">
        <v>-2</v>
      </c>
      <c r="I4086">
        <v>63</v>
      </c>
    </row>
    <row r="4087" spans="1:9" x14ac:dyDescent="0.25">
      <c r="A4087" t="s">
        <v>1330</v>
      </c>
      <c r="B4087">
        <v>29</v>
      </c>
      <c r="C4087" s="1">
        <v>6357</v>
      </c>
      <c r="D4087">
        <v>222</v>
      </c>
      <c r="E4087">
        <v>222</v>
      </c>
      <c r="F4087">
        <v>221</v>
      </c>
      <c r="G4087">
        <v>222</v>
      </c>
      <c r="H4087">
        <v>0</v>
      </c>
      <c r="I4087">
        <v>64</v>
      </c>
    </row>
    <row r="4088" spans="1:9" x14ac:dyDescent="0.25">
      <c r="A4088" t="s">
        <v>1331</v>
      </c>
      <c r="B4088">
        <v>28</v>
      </c>
      <c r="C4088" s="1">
        <v>6117</v>
      </c>
      <c r="D4088">
        <v>222</v>
      </c>
      <c r="E4088">
        <v>224</v>
      </c>
      <c r="F4088">
        <v>221.5</v>
      </c>
      <c r="G4088">
        <v>224</v>
      </c>
      <c r="H4088">
        <v>2</v>
      </c>
      <c r="I4088">
        <v>64</v>
      </c>
    </row>
    <row r="4089" spans="1:9" x14ac:dyDescent="0.25">
      <c r="A4089" t="s">
        <v>1332</v>
      </c>
      <c r="B4089">
        <v>10</v>
      </c>
      <c r="C4089" s="1">
        <v>2312</v>
      </c>
      <c r="D4089">
        <v>222.5</v>
      </c>
      <c r="E4089">
        <v>223</v>
      </c>
      <c r="F4089">
        <v>222</v>
      </c>
      <c r="G4089">
        <v>223</v>
      </c>
      <c r="H4089">
        <v>-1</v>
      </c>
      <c r="I4089">
        <v>32</v>
      </c>
    </row>
    <row r="4090" spans="1:9" x14ac:dyDescent="0.25">
      <c r="A4090" t="s">
        <v>1333</v>
      </c>
      <c r="B4090">
        <v>31</v>
      </c>
      <c r="C4090" s="1">
        <v>6808</v>
      </c>
      <c r="D4090">
        <v>223</v>
      </c>
      <c r="E4090">
        <v>223</v>
      </c>
      <c r="F4090">
        <v>221.5</v>
      </c>
      <c r="G4090">
        <v>222.5</v>
      </c>
      <c r="H4090">
        <v>-0.5</v>
      </c>
      <c r="I4090">
        <v>44</v>
      </c>
    </row>
    <row r="4091" spans="1:9" x14ac:dyDescent="0.25">
      <c r="A4091" t="s">
        <v>1334</v>
      </c>
      <c r="B4091">
        <v>12</v>
      </c>
      <c r="C4091" s="1">
        <v>2624</v>
      </c>
      <c r="D4091">
        <v>222.5</v>
      </c>
      <c r="E4091">
        <v>222.5</v>
      </c>
      <c r="F4091">
        <v>222</v>
      </c>
      <c r="G4091">
        <v>222</v>
      </c>
      <c r="H4091">
        <v>-0.5</v>
      </c>
      <c r="I4091">
        <v>17</v>
      </c>
    </row>
    <row r="4092" spans="1:9" x14ac:dyDescent="0.25">
      <c r="A4092" t="s">
        <v>1335</v>
      </c>
      <c r="B4092">
        <v>11</v>
      </c>
      <c r="C4092" s="1">
        <v>2409</v>
      </c>
      <c r="D4092">
        <v>222</v>
      </c>
      <c r="E4092">
        <v>222.5</v>
      </c>
      <c r="F4092">
        <v>222</v>
      </c>
      <c r="G4092">
        <v>222.5</v>
      </c>
      <c r="H4092">
        <v>0.5</v>
      </c>
      <c r="I4092">
        <v>22</v>
      </c>
    </row>
    <row r="4093" spans="1:9" x14ac:dyDescent="0.25">
      <c r="A4093" t="s">
        <v>1336</v>
      </c>
      <c r="B4093">
        <v>9</v>
      </c>
      <c r="C4093" s="1">
        <v>1954</v>
      </c>
      <c r="D4093">
        <v>223</v>
      </c>
      <c r="E4093">
        <v>223.5</v>
      </c>
      <c r="F4093">
        <v>223</v>
      </c>
      <c r="G4093">
        <v>223.5</v>
      </c>
      <c r="H4093">
        <v>1</v>
      </c>
      <c r="I4093">
        <v>21</v>
      </c>
    </row>
    <row r="4094" spans="1:9" x14ac:dyDescent="0.25">
      <c r="A4094" t="s">
        <v>1337</v>
      </c>
      <c r="B4094">
        <v>8</v>
      </c>
      <c r="C4094" s="1">
        <v>1759</v>
      </c>
      <c r="D4094">
        <v>222.5</v>
      </c>
      <c r="E4094">
        <v>224</v>
      </c>
      <c r="F4094">
        <v>222.5</v>
      </c>
      <c r="G4094">
        <v>223.5</v>
      </c>
      <c r="H4094">
        <v>0</v>
      </c>
      <c r="I4094">
        <v>20</v>
      </c>
    </row>
    <row r="4095" spans="1:9" x14ac:dyDescent="0.25">
      <c r="A4095" t="s">
        <v>1338</v>
      </c>
      <c r="B4095">
        <v>7</v>
      </c>
      <c r="C4095" s="1">
        <v>1521</v>
      </c>
      <c r="D4095">
        <v>224</v>
      </c>
      <c r="E4095">
        <v>224</v>
      </c>
      <c r="F4095">
        <v>224</v>
      </c>
      <c r="G4095">
        <v>224</v>
      </c>
      <c r="H4095">
        <v>0.5</v>
      </c>
      <c r="I4095">
        <v>23</v>
      </c>
    </row>
    <row r="4096" spans="1:9" x14ac:dyDescent="0.25">
      <c r="A4096" t="s">
        <v>1339</v>
      </c>
      <c r="B4096">
        <v>13</v>
      </c>
      <c r="C4096" s="1">
        <v>2834</v>
      </c>
      <c r="D4096">
        <v>224</v>
      </c>
      <c r="E4096">
        <v>224.5</v>
      </c>
      <c r="F4096">
        <v>224</v>
      </c>
      <c r="G4096">
        <v>224</v>
      </c>
      <c r="H4096">
        <v>0</v>
      </c>
      <c r="I4096">
        <v>23</v>
      </c>
    </row>
    <row r="4097" spans="1:9" x14ac:dyDescent="0.25">
      <c r="A4097" t="s">
        <v>1340</v>
      </c>
      <c r="B4097">
        <v>16</v>
      </c>
      <c r="C4097" s="1">
        <v>3671</v>
      </c>
      <c r="D4097">
        <v>224.5</v>
      </c>
      <c r="E4097">
        <v>225</v>
      </c>
      <c r="F4097">
        <v>223</v>
      </c>
      <c r="G4097">
        <v>223</v>
      </c>
      <c r="H4097">
        <v>-1</v>
      </c>
      <c r="I4097">
        <v>35</v>
      </c>
    </row>
    <row r="4098" spans="1:9" x14ac:dyDescent="0.25">
      <c r="A4098" t="s">
        <v>1341</v>
      </c>
      <c r="B4098">
        <v>34</v>
      </c>
      <c r="C4098" s="1">
        <v>7590</v>
      </c>
      <c r="D4098">
        <v>223.5</v>
      </c>
      <c r="E4098">
        <v>224</v>
      </c>
      <c r="F4098">
        <v>223</v>
      </c>
      <c r="G4098">
        <v>223</v>
      </c>
      <c r="H4098">
        <v>0</v>
      </c>
      <c r="I4098">
        <v>42</v>
      </c>
    </row>
    <row r="4099" spans="1:9" x14ac:dyDescent="0.25">
      <c r="A4099" t="s">
        <v>1342</v>
      </c>
      <c r="B4099">
        <v>12</v>
      </c>
      <c r="C4099" s="1">
        <v>2712</v>
      </c>
      <c r="D4099">
        <v>223</v>
      </c>
      <c r="E4099">
        <v>224</v>
      </c>
      <c r="F4099">
        <v>223</v>
      </c>
      <c r="G4099">
        <v>223.5</v>
      </c>
      <c r="H4099">
        <v>0.5</v>
      </c>
      <c r="I4099">
        <v>14</v>
      </c>
    </row>
    <row r="4100" spans="1:9" x14ac:dyDescent="0.25">
      <c r="A4100" t="s">
        <v>1030</v>
      </c>
      <c r="C4100" s="1"/>
    </row>
    <row r="4105" spans="1:9" x14ac:dyDescent="0.25">
      <c r="A4105" s="9" t="s">
        <v>1302</v>
      </c>
      <c r="B4105" s="1">
        <v>23</v>
      </c>
      <c r="C4105" s="1">
        <v>5105</v>
      </c>
      <c r="D4105">
        <v>221.5</v>
      </c>
      <c r="E4105">
        <v>223</v>
      </c>
      <c r="F4105">
        <v>221</v>
      </c>
      <c r="G4105">
        <v>222</v>
      </c>
      <c r="H4105">
        <v>0.5</v>
      </c>
      <c r="I4105" s="1">
        <v>44</v>
      </c>
    </row>
    <row r="4106" spans="1:9" x14ac:dyDescent="0.25">
      <c r="A4106" t="s">
        <v>1303</v>
      </c>
      <c r="B4106">
        <v>13</v>
      </c>
      <c r="C4106" s="1">
        <v>2818</v>
      </c>
      <c r="D4106">
        <v>223</v>
      </c>
      <c r="E4106">
        <v>223</v>
      </c>
      <c r="F4106">
        <v>222</v>
      </c>
      <c r="G4106">
        <v>222.5</v>
      </c>
      <c r="H4106">
        <v>0.5</v>
      </c>
      <c r="I4106">
        <v>24</v>
      </c>
    </row>
    <row r="4107" spans="1:9" x14ac:dyDescent="0.25">
      <c r="A4107" t="s">
        <v>1304</v>
      </c>
      <c r="B4107">
        <v>17</v>
      </c>
      <c r="C4107" s="1">
        <v>3763</v>
      </c>
      <c r="D4107">
        <v>222.5</v>
      </c>
      <c r="E4107">
        <v>222.5</v>
      </c>
      <c r="F4107">
        <v>220.5</v>
      </c>
      <c r="G4107">
        <v>221.5</v>
      </c>
      <c r="H4107">
        <v>-1</v>
      </c>
      <c r="I4107">
        <v>40</v>
      </c>
    </row>
    <row r="4108" spans="1:9" x14ac:dyDescent="0.25">
      <c r="A4108" t="s">
        <v>1305</v>
      </c>
      <c r="B4108">
        <v>19</v>
      </c>
      <c r="C4108" s="1">
        <v>4140</v>
      </c>
      <c r="D4108">
        <v>221.5</v>
      </c>
      <c r="E4108">
        <v>221.5</v>
      </c>
      <c r="F4108">
        <v>221</v>
      </c>
      <c r="G4108">
        <v>221</v>
      </c>
      <c r="H4108">
        <v>-0.5</v>
      </c>
      <c r="I4108">
        <v>27</v>
      </c>
    </row>
    <row r="4109" spans="1:9" x14ac:dyDescent="0.25">
      <c r="A4109" t="s">
        <v>1306</v>
      </c>
      <c r="B4109">
        <v>23</v>
      </c>
      <c r="C4109" s="1">
        <v>5132</v>
      </c>
      <c r="D4109">
        <v>221</v>
      </c>
      <c r="E4109">
        <v>225.5</v>
      </c>
      <c r="F4109">
        <v>220.5</v>
      </c>
      <c r="G4109">
        <v>222.5</v>
      </c>
      <c r="H4109">
        <v>1.5</v>
      </c>
      <c r="I4109">
        <v>54</v>
      </c>
    </row>
    <row r="4110" spans="1:9" x14ac:dyDescent="0.25">
      <c r="A4110" t="s">
        <v>1307</v>
      </c>
      <c r="B4110">
        <v>9</v>
      </c>
      <c r="C4110" s="1">
        <v>2036</v>
      </c>
      <c r="D4110">
        <v>222.5</v>
      </c>
      <c r="E4110">
        <v>222.5</v>
      </c>
      <c r="F4110">
        <v>222</v>
      </c>
      <c r="G4110">
        <v>222</v>
      </c>
      <c r="H4110">
        <v>-0.5</v>
      </c>
      <c r="I4110">
        <v>24</v>
      </c>
    </row>
    <row r="4111" spans="1:9" x14ac:dyDescent="0.25">
      <c r="A4111" t="s">
        <v>1308</v>
      </c>
      <c r="B4111">
        <v>45</v>
      </c>
      <c r="C4111" s="1">
        <v>10019</v>
      </c>
      <c r="D4111">
        <v>222.5</v>
      </c>
      <c r="E4111">
        <v>223</v>
      </c>
      <c r="F4111">
        <v>221</v>
      </c>
      <c r="G4111">
        <v>221</v>
      </c>
      <c r="H4111">
        <v>-1</v>
      </c>
      <c r="I4111">
        <v>61</v>
      </c>
    </row>
    <row r="4112" spans="1:9" x14ac:dyDescent="0.25">
      <c r="A4112" t="s">
        <v>1309</v>
      </c>
      <c r="B4112">
        <v>13</v>
      </c>
      <c r="C4112" s="1">
        <v>2840</v>
      </c>
      <c r="D4112">
        <v>221.5</v>
      </c>
      <c r="E4112">
        <v>222.5</v>
      </c>
      <c r="F4112">
        <v>221</v>
      </c>
      <c r="G4112">
        <v>222</v>
      </c>
      <c r="H4112">
        <v>1</v>
      </c>
      <c r="I4112">
        <v>42</v>
      </c>
    </row>
    <row r="4113" spans="1:9" x14ac:dyDescent="0.25">
      <c r="A4113" t="s">
        <v>1310</v>
      </c>
      <c r="B4113">
        <v>29</v>
      </c>
      <c r="C4113" s="1">
        <v>6356</v>
      </c>
      <c r="D4113">
        <v>224</v>
      </c>
      <c r="E4113">
        <v>224.5</v>
      </c>
      <c r="F4113">
        <v>222</v>
      </c>
      <c r="G4113">
        <v>222</v>
      </c>
      <c r="H4113">
        <v>0</v>
      </c>
      <c r="I4113">
        <v>35</v>
      </c>
    </row>
    <row r="4114" spans="1:9" x14ac:dyDescent="0.25">
      <c r="A4114" t="s">
        <v>1311</v>
      </c>
      <c r="B4114">
        <v>19</v>
      </c>
      <c r="C4114" s="1">
        <v>4295</v>
      </c>
      <c r="D4114">
        <v>222.5</v>
      </c>
      <c r="E4114">
        <v>224</v>
      </c>
      <c r="F4114">
        <v>222.5</v>
      </c>
      <c r="G4114">
        <v>223</v>
      </c>
      <c r="H4114">
        <v>1</v>
      </c>
      <c r="I4114">
        <v>34</v>
      </c>
    </row>
    <row r="4115" spans="1:9" x14ac:dyDescent="0.25">
      <c r="A4115" t="s">
        <v>1312</v>
      </c>
      <c r="B4115">
        <v>31</v>
      </c>
      <c r="C4115" s="1">
        <v>6962</v>
      </c>
      <c r="D4115">
        <v>223.5</v>
      </c>
      <c r="E4115">
        <v>224</v>
      </c>
      <c r="F4115">
        <v>223</v>
      </c>
      <c r="G4115">
        <v>223</v>
      </c>
      <c r="H4115">
        <v>0</v>
      </c>
      <c r="I4115">
        <v>59</v>
      </c>
    </row>
    <row r="4116" spans="1:9" x14ac:dyDescent="0.25">
      <c r="A4116" t="s">
        <v>1313</v>
      </c>
      <c r="B4116">
        <v>23</v>
      </c>
      <c r="C4116" s="1">
        <v>5164</v>
      </c>
      <c r="D4116">
        <v>224</v>
      </c>
      <c r="E4116">
        <v>224</v>
      </c>
      <c r="F4116">
        <v>223.5</v>
      </c>
      <c r="G4116">
        <v>224</v>
      </c>
      <c r="H4116">
        <v>1</v>
      </c>
      <c r="I4116">
        <v>33</v>
      </c>
    </row>
    <row r="4117" spans="1:9" x14ac:dyDescent="0.25">
      <c r="A4117" t="s">
        <v>1314</v>
      </c>
      <c r="B4117">
        <v>20</v>
      </c>
      <c r="C4117" s="1">
        <v>4445</v>
      </c>
      <c r="D4117">
        <v>224</v>
      </c>
      <c r="E4117">
        <v>224</v>
      </c>
      <c r="F4117">
        <v>223</v>
      </c>
      <c r="G4117">
        <v>223</v>
      </c>
      <c r="H4117">
        <v>-1</v>
      </c>
      <c r="I4117">
        <v>37</v>
      </c>
    </row>
    <row r="4118" spans="1:9" x14ac:dyDescent="0.25">
      <c r="A4118" t="s">
        <v>1315</v>
      </c>
      <c r="B4118">
        <v>21</v>
      </c>
      <c r="C4118" s="1">
        <v>4659</v>
      </c>
      <c r="D4118">
        <v>223</v>
      </c>
      <c r="E4118">
        <v>223</v>
      </c>
      <c r="F4118">
        <v>221.5</v>
      </c>
      <c r="G4118">
        <v>221.5</v>
      </c>
      <c r="H4118">
        <v>-1.5</v>
      </c>
      <c r="I4118">
        <v>63</v>
      </c>
    </row>
    <row r="4119" spans="1:9" x14ac:dyDescent="0.25">
      <c r="A4119" t="s">
        <v>1316</v>
      </c>
      <c r="B4119">
        <v>22</v>
      </c>
      <c r="C4119" s="1">
        <v>4979</v>
      </c>
      <c r="D4119">
        <v>222.5</v>
      </c>
      <c r="E4119">
        <v>224</v>
      </c>
      <c r="F4119">
        <v>222.5</v>
      </c>
      <c r="G4119">
        <v>223.5</v>
      </c>
      <c r="H4119">
        <v>2</v>
      </c>
      <c r="I4119">
        <v>41</v>
      </c>
    </row>
    <row r="4120" spans="1:9" x14ac:dyDescent="0.25">
      <c r="A4120" t="s">
        <v>1317</v>
      </c>
      <c r="B4120">
        <v>9</v>
      </c>
      <c r="C4120" s="1">
        <v>1913</v>
      </c>
      <c r="D4120">
        <v>222.5</v>
      </c>
      <c r="E4120">
        <v>222.5</v>
      </c>
      <c r="F4120">
        <v>222.5</v>
      </c>
      <c r="G4120">
        <v>222.5</v>
      </c>
      <c r="H4120">
        <v>-1</v>
      </c>
      <c r="I4120">
        <v>31</v>
      </c>
    </row>
    <row r="4121" spans="1:9" x14ac:dyDescent="0.25">
      <c r="A4121" t="s">
        <v>1318</v>
      </c>
      <c r="B4121">
        <v>25</v>
      </c>
      <c r="C4121" s="1">
        <v>5592</v>
      </c>
      <c r="D4121">
        <v>222</v>
      </c>
      <c r="E4121">
        <v>223</v>
      </c>
      <c r="F4121">
        <v>221.5</v>
      </c>
      <c r="G4121">
        <v>223</v>
      </c>
      <c r="H4121">
        <v>0.5</v>
      </c>
      <c r="I4121">
        <v>66</v>
      </c>
    </row>
    <row r="4122" spans="1:9" x14ac:dyDescent="0.25">
      <c r="A4122" t="s">
        <v>1319</v>
      </c>
      <c r="B4122">
        <v>7</v>
      </c>
      <c r="C4122" s="1">
        <v>1526</v>
      </c>
      <c r="D4122">
        <v>223</v>
      </c>
      <c r="E4122">
        <v>223</v>
      </c>
      <c r="F4122">
        <v>222</v>
      </c>
      <c r="G4122">
        <v>222</v>
      </c>
      <c r="H4122">
        <v>-1</v>
      </c>
      <c r="I4122">
        <v>23</v>
      </c>
    </row>
    <row r="4123" spans="1:9" x14ac:dyDescent="0.25">
      <c r="A4123" t="s">
        <v>1320</v>
      </c>
      <c r="B4123">
        <v>7</v>
      </c>
      <c r="C4123" s="1">
        <v>1491</v>
      </c>
      <c r="D4123">
        <v>222.5</v>
      </c>
      <c r="E4123">
        <v>223.5</v>
      </c>
      <c r="F4123">
        <v>222.5</v>
      </c>
      <c r="G4123">
        <v>223</v>
      </c>
      <c r="H4123">
        <v>1</v>
      </c>
      <c r="I4123">
        <v>18</v>
      </c>
    </row>
    <row r="4124" spans="1:9" x14ac:dyDescent="0.25">
      <c r="A4124" t="s">
        <v>1321</v>
      </c>
      <c r="B4124">
        <v>4</v>
      </c>
      <c r="C4124" s="1">
        <v>858</v>
      </c>
      <c r="D4124">
        <v>223</v>
      </c>
      <c r="E4124">
        <v>223</v>
      </c>
      <c r="F4124">
        <v>223</v>
      </c>
      <c r="G4124">
        <v>223</v>
      </c>
      <c r="H4124">
        <v>0</v>
      </c>
      <c r="I4124">
        <v>13</v>
      </c>
    </row>
    <row r="4125" spans="1:9" x14ac:dyDescent="0.25">
      <c r="A4125" t="s">
        <v>1322</v>
      </c>
      <c r="B4125">
        <v>21</v>
      </c>
      <c r="C4125" s="1">
        <v>4656</v>
      </c>
      <c r="D4125">
        <v>223</v>
      </c>
      <c r="E4125">
        <v>223.5</v>
      </c>
      <c r="F4125">
        <v>222.5</v>
      </c>
      <c r="G4125">
        <v>223.5</v>
      </c>
      <c r="H4125">
        <v>0.5</v>
      </c>
      <c r="I4125">
        <v>45</v>
      </c>
    </row>
    <row r="4126" spans="1:9" x14ac:dyDescent="0.25">
      <c r="A4126" t="s">
        <v>1323</v>
      </c>
      <c r="B4126">
        <v>12</v>
      </c>
      <c r="C4126" s="1">
        <v>2571</v>
      </c>
      <c r="D4126">
        <v>223</v>
      </c>
      <c r="E4126">
        <v>224</v>
      </c>
      <c r="F4126">
        <v>222</v>
      </c>
      <c r="G4126">
        <v>224</v>
      </c>
      <c r="H4126">
        <v>0.5</v>
      </c>
      <c r="I4126">
        <v>18</v>
      </c>
    </row>
    <row r="4127" spans="1:9" x14ac:dyDescent="0.25">
      <c r="A4127" t="s">
        <v>1177</v>
      </c>
      <c r="C4127" s="1"/>
    </row>
    <row r="4129" spans="1:9" x14ac:dyDescent="0.25">
      <c r="A4129" s="9" t="s">
        <v>1279</v>
      </c>
      <c r="B4129" s="1">
        <v>39</v>
      </c>
      <c r="C4129" s="1">
        <v>8761</v>
      </c>
      <c r="D4129">
        <v>225.5</v>
      </c>
      <c r="E4129">
        <v>226.5</v>
      </c>
      <c r="F4129">
        <v>223.5</v>
      </c>
      <c r="G4129">
        <v>225.5</v>
      </c>
      <c r="H4129">
        <v>0</v>
      </c>
      <c r="I4129" s="1">
        <v>60</v>
      </c>
    </row>
    <row r="4130" spans="1:9" x14ac:dyDescent="0.25">
      <c r="A4130" t="s">
        <v>1280</v>
      </c>
      <c r="B4130">
        <v>80</v>
      </c>
      <c r="C4130" s="1">
        <v>18035</v>
      </c>
      <c r="D4130">
        <v>225.5</v>
      </c>
      <c r="E4130">
        <v>225.5</v>
      </c>
      <c r="F4130">
        <v>223</v>
      </c>
      <c r="G4130">
        <v>225</v>
      </c>
      <c r="H4130">
        <v>-0.5</v>
      </c>
      <c r="I4130">
        <v>80</v>
      </c>
    </row>
    <row r="4131" spans="1:9" x14ac:dyDescent="0.25">
      <c r="A4131" t="s">
        <v>1281</v>
      </c>
      <c r="B4131">
        <v>53</v>
      </c>
      <c r="C4131" s="1">
        <v>11961</v>
      </c>
      <c r="D4131">
        <v>225.5</v>
      </c>
      <c r="E4131">
        <v>225.5</v>
      </c>
      <c r="F4131">
        <v>223</v>
      </c>
      <c r="G4131">
        <v>224.5</v>
      </c>
      <c r="H4131">
        <v>-0.5</v>
      </c>
      <c r="I4131">
        <v>66</v>
      </c>
    </row>
    <row r="4132" spans="1:9" x14ac:dyDescent="0.25">
      <c r="A4132" t="s">
        <v>1282</v>
      </c>
      <c r="B4132">
        <v>44</v>
      </c>
      <c r="C4132" s="1">
        <v>9774</v>
      </c>
      <c r="D4132">
        <v>225</v>
      </c>
      <c r="E4132">
        <v>226</v>
      </c>
      <c r="F4132">
        <v>222</v>
      </c>
      <c r="G4132">
        <v>225</v>
      </c>
      <c r="H4132">
        <v>0.5</v>
      </c>
      <c r="I4132">
        <v>51</v>
      </c>
    </row>
    <row r="4133" spans="1:9" x14ac:dyDescent="0.25">
      <c r="A4133" t="s">
        <v>1283</v>
      </c>
      <c r="B4133">
        <v>36</v>
      </c>
      <c r="C4133" s="1">
        <v>8178</v>
      </c>
      <c r="D4133">
        <v>225.5</v>
      </c>
      <c r="E4133">
        <v>225.5</v>
      </c>
      <c r="F4133">
        <v>223</v>
      </c>
      <c r="G4133">
        <v>225</v>
      </c>
      <c r="H4133">
        <v>0</v>
      </c>
      <c r="I4133">
        <v>52</v>
      </c>
    </row>
    <row r="4134" spans="1:9" x14ac:dyDescent="0.25">
      <c r="A4134" t="s">
        <v>1284</v>
      </c>
      <c r="B4134">
        <v>196</v>
      </c>
      <c r="C4134" s="1">
        <v>43615</v>
      </c>
      <c r="D4134">
        <v>224</v>
      </c>
      <c r="E4134">
        <v>227.5</v>
      </c>
      <c r="F4134">
        <v>221.5</v>
      </c>
      <c r="G4134">
        <v>225</v>
      </c>
      <c r="H4134">
        <v>0</v>
      </c>
      <c r="I4134">
        <v>229</v>
      </c>
    </row>
    <row r="4135" spans="1:9" x14ac:dyDescent="0.25">
      <c r="A4135" t="s">
        <v>1285</v>
      </c>
      <c r="B4135">
        <v>54</v>
      </c>
      <c r="C4135" s="1">
        <v>12082</v>
      </c>
      <c r="D4135">
        <v>225</v>
      </c>
      <c r="E4135">
        <v>225</v>
      </c>
      <c r="F4135">
        <v>224</v>
      </c>
      <c r="G4135">
        <v>224</v>
      </c>
      <c r="H4135">
        <v>-1</v>
      </c>
      <c r="I4135">
        <v>107</v>
      </c>
    </row>
    <row r="4136" spans="1:9" x14ac:dyDescent="0.25">
      <c r="A4136" t="s">
        <v>1286</v>
      </c>
      <c r="B4136">
        <v>62</v>
      </c>
      <c r="C4136" s="1">
        <v>13877</v>
      </c>
      <c r="D4136">
        <v>222.5</v>
      </c>
      <c r="E4136">
        <v>224</v>
      </c>
      <c r="F4136">
        <v>222</v>
      </c>
      <c r="G4136">
        <v>222</v>
      </c>
      <c r="H4136">
        <v>-2</v>
      </c>
      <c r="I4136">
        <v>94</v>
      </c>
    </row>
    <row r="4137" spans="1:9" x14ac:dyDescent="0.25">
      <c r="A4137" t="s">
        <v>1287</v>
      </c>
      <c r="B4137">
        <v>35</v>
      </c>
      <c r="C4137" s="1">
        <v>7690</v>
      </c>
      <c r="D4137">
        <v>221</v>
      </c>
      <c r="E4137">
        <v>222.5</v>
      </c>
      <c r="F4137">
        <v>221</v>
      </c>
      <c r="G4137">
        <v>222.5</v>
      </c>
      <c r="H4137">
        <v>0.5</v>
      </c>
      <c r="I4137">
        <v>51</v>
      </c>
    </row>
    <row r="4138" spans="1:9" x14ac:dyDescent="0.25">
      <c r="A4138" t="s">
        <v>1288</v>
      </c>
      <c r="B4138">
        <v>42</v>
      </c>
      <c r="C4138" s="1">
        <v>9221</v>
      </c>
      <c r="D4138">
        <v>222.5</v>
      </c>
      <c r="E4138">
        <v>223.5</v>
      </c>
      <c r="F4138">
        <v>221</v>
      </c>
      <c r="G4138">
        <v>223.5</v>
      </c>
      <c r="H4138">
        <v>1</v>
      </c>
      <c r="I4138">
        <v>78</v>
      </c>
    </row>
    <row r="4139" spans="1:9" x14ac:dyDescent="0.25">
      <c r="A4139" t="s">
        <v>1289</v>
      </c>
      <c r="B4139">
        <v>42</v>
      </c>
      <c r="C4139" s="1">
        <v>9525</v>
      </c>
      <c r="D4139">
        <v>225</v>
      </c>
      <c r="E4139">
        <v>225.5</v>
      </c>
      <c r="F4139">
        <v>223.5</v>
      </c>
      <c r="G4139">
        <v>223.5</v>
      </c>
      <c r="H4139">
        <v>0</v>
      </c>
      <c r="I4139">
        <v>66</v>
      </c>
    </row>
    <row r="4140" spans="1:9" x14ac:dyDescent="0.25">
      <c r="A4140" t="s">
        <v>1290</v>
      </c>
      <c r="B4140">
        <v>17</v>
      </c>
      <c r="C4140" s="1">
        <v>3715</v>
      </c>
      <c r="D4140">
        <v>223.5</v>
      </c>
      <c r="E4140">
        <v>224</v>
      </c>
      <c r="F4140">
        <v>222</v>
      </c>
      <c r="G4140">
        <v>222</v>
      </c>
      <c r="H4140">
        <v>-1.5</v>
      </c>
      <c r="I4140">
        <v>35</v>
      </c>
    </row>
    <row r="4141" spans="1:9" x14ac:dyDescent="0.25">
      <c r="A4141" t="s">
        <v>1291</v>
      </c>
      <c r="B4141">
        <v>19</v>
      </c>
      <c r="C4141" s="1">
        <v>4208</v>
      </c>
      <c r="D4141">
        <v>222</v>
      </c>
      <c r="E4141">
        <v>223</v>
      </c>
      <c r="F4141">
        <v>221.5</v>
      </c>
      <c r="G4141">
        <v>221.5</v>
      </c>
      <c r="H4141">
        <v>-0.5</v>
      </c>
      <c r="I4141">
        <v>33</v>
      </c>
    </row>
    <row r="4142" spans="1:9" x14ac:dyDescent="0.25">
      <c r="A4142" t="s">
        <v>1292</v>
      </c>
      <c r="B4142">
        <v>63</v>
      </c>
      <c r="C4142" s="1">
        <v>13840</v>
      </c>
      <c r="D4142">
        <v>221.5</v>
      </c>
      <c r="E4142">
        <v>221.5</v>
      </c>
      <c r="F4142">
        <v>221</v>
      </c>
      <c r="G4142">
        <v>221</v>
      </c>
      <c r="H4142">
        <v>-0.5</v>
      </c>
      <c r="I4142">
        <v>45</v>
      </c>
    </row>
    <row r="4143" spans="1:9" x14ac:dyDescent="0.25">
      <c r="A4143" t="s">
        <v>1293</v>
      </c>
      <c r="B4143">
        <v>20</v>
      </c>
      <c r="C4143" s="1">
        <v>4527</v>
      </c>
      <c r="D4143">
        <v>220</v>
      </c>
      <c r="E4143">
        <v>223</v>
      </c>
      <c r="F4143">
        <v>220</v>
      </c>
      <c r="G4143">
        <v>221.5</v>
      </c>
      <c r="H4143">
        <v>0.5</v>
      </c>
      <c r="I4143">
        <v>78</v>
      </c>
    </row>
    <row r="4144" spans="1:9" x14ac:dyDescent="0.25">
      <c r="A4144" t="s">
        <v>1294</v>
      </c>
      <c r="B4144">
        <v>14</v>
      </c>
      <c r="C4144" s="1">
        <v>3214</v>
      </c>
      <c r="D4144">
        <v>222.5</v>
      </c>
      <c r="E4144">
        <v>223.5</v>
      </c>
      <c r="F4144">
        <v>222.5</v>
      </c>
      <c r="G4144">
        <v>222.5</v>
      </c>
      <c r="H4144">
        <v>1</v>
      </c>
      <c r="I4144">
        <v>54</v>
      </c>
    </row>
    <row r="4145" spans="1:9" x14ac:dyDescent="0.25">
      <c r="A4145" t="s">
        <v>1295</v>
      </c>
      <c r="B4145">
        <v>6</v>
      </c>
      <c r="C4145" s="1">
        <v>1248</v>
      </c>
      <c r="D4145">
        <v>223.5</v>
      </c>
      <c r="E4145">
        <v>223.5</v>
      </c>
      <c r="F4145">
        <v>222.5</v>
      </c>
      <c r="G4145">
        <v>222.5</v>
      </c>
      <c r="H4145">
        <v>0</v>
      </c>
      <c r="I4145">
        <v>14</v>
      </c>
    </row>
    <row r="4146" spans="1:9" x14ac:dyDescent="0.25">
      <c r="A4146" t="s">
        <v>1296</v>
      </c>
      <c r="B4146">
        <v>40</v>
      </c>
      <c r="C4146" s="1">
        <v>8776</v>
      </c>
      <c r="D4146">
        <v>220.5</v>
      </c>
      <c r="E4146">
        <v>222</v>
      </c>
      <c r="F4146">
        <v>220</v>
      </c>
      <c r="G4146">
        <v>221.5</v>
      </c>
      <c r="H4146">
        <v>-1</v>
      </c>
      <c r="I4146">
        <v>45</v>
      </c>
    </row>
    <row r="4147" spans="1:9" x14ac:dyDescent="0.25">
      <c r="A4147" t="s">
        <v>1297</v>
      </c>
      <c r="B4147">
        <v>8</v>
      </c>
      <c r="C4147" s="1">
        <v>1870</v>
      </c>
      <c r="D4147">
        <v>221.5</v>
      </c>
      <c r="E4147">
        <v>222</v>
      </c>
      <c r="F4147">
        <v>221.5</v>
      </c>
      <c r="G4147">
        <v>222</v>
      </c>
      <c r="H4147">
        <v>0.5</v>
      </c>
      <c r="I4147">
        <v>16</v>
      </c>
    </row>
    <row r="4148" spans="1:9" x14ac:dyDescent="0.25">
      <c r="A4148" t="s">
        <v>1298</v>
      </c>
      <c r="B4148">
        <v>12</v>
      </c>
      <c r="C4148" s="1">
        <v>2721</v>
      </c>
      <c r="D4148">
        <v>222</v>
      </c>
      <c r="E4148">
        <v>222</v>
      </c>
      <c r="F4148">
        <v>221</v>
      </c>
      <c r="G4148">
        <v>221</v>
      </c>
      <c r="H4148">
        <v>-1</v>
      </c>
      <c r="I4148">
        <v>23</v>
      </c>
    </row>
    <row r="4149" spans="1:9" x14ac:dyDescent="0.25">
      <c r="A4149" t="s">
        <v>1299</v>
      </c>
      <c r="B4149">
        <v>26</v>
      </c>
      <c r="C4149" s="1">
        <v>5630</v>
      </c>
      <c r="D4149">
        <v>221</v>
      </c>
      <c r="E4149">
        <v>222</v>
      </c>
      <c r="F4149">
        <v>220</v>
      </c>
      <c r="G4149">
        <v>221.5</v>
      </c>
      <c r="H4149">
        <v>0.5</v>
      </c>
      <c r="I4149">
        <v>42</v>
      </c>
    </row>
    <row r="4150" spans="1:9" x14ac:dyDescent="0.25">
      <c r="A4150" t="s">
        <v>1300</v>
      </c>
      <c r="B4150">
        <v>32</v>
      </c>
      <c r="C4150" s="1">
        <v>7106</v>
      </c>
      <c r="D4150">
        <v>222</v>
      </c>
      <c r="E4150">
        <v>222</v>
      </c>
      <c r="F4150">
        <v>221</v>
      </c>
      <c r="G4150">
        <v>221</v>
      </c>
      <c r="H4150">
        <v>-0.5</v>
      </c>
      <c r="I4150">
        <v>58</v>
      </c>
    </row>
    <row r="4151" spans="1:9" x14ac:dyDescent="0.25">
      <c r="A4151" t="s">
        <v>1301</v>
      </c>
      <c r="B4151">
        <v>38</v>
      </c>
      <c r="C4151" s="1">
        <v>8290</v>
      </c>
      <c r="D4151">
        <v>221</v>
      </c>
      <c r="E4151">
        <v>221.5</v>
      </c>
      <c r="F4151">
        <v>220</v>
      </c>
      <c r="G4151">
        <v>221.5</v>
      </c>
      <c r="H4151">
        <v>0.5</v>
      </c>
      <c r="I4151">
        <v>40</v>
      </c>
    </row>
    <row r="4152" spans="1:9" x14ac:dyDescent="0.25">
      <c r="A4152" t="s">
        <v>951</v>
      </c>
      <c r="C4152" s="1"/>
    </row>
    <row r="4153" spans="1:9" x14ac:dyDescent="0.25">
      <c r="A4153" s="9" t="s">
        <v>1258</v>
      </c>
      <c r="B4153" s="1">
        <v>338</v>
      </c>
      <c r="C4153" s="1">
        <v>86930</v>
      </c>
      <c r="D4153">
        <v>252</v>
      </c>
      <c r="E4153">
        <v>260</v>
      </c>
      <c r="F4153">
        <v>252</v>
      </c>
      <c r="G4153">
        <v>258</v>
      </c>
      <c r="H4153">
        <v>5</v>
      </c>
      <c r="I4153" s="1">
        <v>229</v>
      </c>
    </row>
    <row r="4154" spans="1:9" x14ac:dyDescent="0.25">
      <c r="A4154" t="s">
        <v>1259</v>
      </c>
      <c r="B4154">
        <v>304</v>
      </c>
      <c r="C4154" s="1">
        <v>70758</v>
      </c>
      <c r="D4154">
        <v>228.5</v>
      </c>
      <c r="E4154">
        <v>241</v>
      </c>
      <c r="F4154">
        <v>228.5</v>
      </c>
      <c r="G4154">
        <v>236.5</v>
      </c>
      <c r="H4154">
        <v>11</v>
      </c>
      <c r="I4154">
        <v>308</v>
      </c>
    </row>
    <row r="4155" spans="1:9" x14ac:dyDescent="0.25">
      <c r="A4155" t="s">
        <v>1260</v>
      </c>
      <c r="B4155">
        <v>163</v>
      </c>
      <c r="C4155" s="1">
        <v>38940</v>
      </c>
      <c r="D4155">
        <v>238</v>
      </c>
      <c r="E4155">
        <v>245.5</v>
      </c>
      <c r="F4155">
        <v>235</v>
      </c>
      <c r="G4155">
        <v>235.5</v>
      </c>
      <c r="H4155">
        <v>-1</v>
      </c>
      <c r="I4155">
        <v>185</v>
      </c>
    </row>
    <row r="4156" spans="1:9" x14ac:dyDescent="0.25">
      <c r="A4156" t="s">
        <v>1261</v>
      </c>
      <c r="B4156">
        <v>53</v>
      </c>
      <c r="C4156" s="1">
        <v>12494</v>
      </c>
      <c r="D4156">
        <v>235.5</v>
      </c>
      <c r="E4156">
        <v>237.5</v>
      </c>
      <c r="F4156">
        <v>232.5</v>
      </c>
      <c r="G4156">
        <v>233</v>
      </c>
      <c r="H4156">
        <v>-2.5</v>
      </c>
      <c r="I4156">
        <v>102</v>
      </c>
    </row>
    <row r="4157" spans="1:9" x14ac:dyDescent="0.25">
      <c r="A4157" t="s">
        <v>1262</v>
      </c>
      <c r="B4157">
        <v>76</v>
      </c>
      <c r="C4157" s="1">
        <v>17496</v>
      </c>
      <c r="D4157">
        <v>231</v>
      </c>
      <c r="E4157">
        <v>231</v>
      </c>
      <c r="F4157">
        <v>227</v>
      </c>
      <c r="G4157">
        <v>231</v>
      </c>
      <c r="H4157">
        <v>-2</v>
      </c>
      <c r="I4157">
        <v>105</v>
      </c>
    </row>
    <row r="4158" spans="1:9" x14ac:dyDescent="0.25">
      <c r="A4158" t="s">
        <v>1263</v>
      </c>
      <c r="B4158">
        <v>41</v>
      </c>
      <c r="C4158" s="1">
        <v>9415</v>
      </c>
      <c r="D4158">
        <v>230</v>
      </c>
      <c r="E4158">
        <v>230</v>
      </c>
      <c r="F4158">
        <v>228</v>
      </c>
      <c r="G4158">
        <v>228.5</v>
      </c>
      <c r="H4158">
        <v>-2.5</v>
      </c>
      <c r="I4158">
        <v>58</v>
      </c>
    </row>
    <row r="4159" spans="1:9" x14ac:dyDescent="0.25">
      <c r="A4159" t="s">
        <v>1264</v>
      </c>
      <c r="B4159">
        <v>33</v>
      </c>
      <c r="C4159" s="1">
        <v>7502</v>
      </c>
      <c r="D4159">
        <v>228</v>
      </c>
      <c r="E4159">
        <v>229</v>
      </c>
      <c r="F4159">
        <v>226.5</v>
      </c>
      <c r="G4159">
        <v>229</v>
      </c>
      <c r="H4159">
        <v>0.5</v>
      </c>
      <c r="I4159">
        <v>60</v>
      </c>
    </row>
    <row r="4160" spans="1:9" x14ac:dyDescent="0.25">
      <c r="A4160" t="s">
        <v>1265</v>
      </c>
      <c r="B4160">
        <v>26</v>
      </c>
      <c r="C4160" s="1">
        <v>5924</v>
      </c>
      <c r="D4160">
        <v>226.5</v>
      </c>
      <c r="E4160">
        <v>227.5</v>
      </c>
      <c r="F4160">
        <v>226.5</v>
      </c>
      <c r="G4160">
        <v>226.5</v>
      </c>
      <c r="H4160">
        <v>-2.5</v>
      </c>
      <c r="I4160">
        <v>48</v>
      </c>
    </row>
    <row r="4161" spans="1:9" x14ac:dyDescent="0.25">
      <c r="A4161" t="s">
        <v>1266</v>
      </c>
      <c r="B4161">
        <v>65</v>
      </c>
      <c r="C4161" s="1">
        <v>14759</v>
      </c>
      <c r="D4161">
        <v>226.5</v>
      </c>
      <c r="E4161">
        <v>226.5</v>
      </c>
      <c r="F4161">
        <v>225.5</v>
      </c>
      <c r="G4161">
        <v>226</v>
      </c>
      <c r="H4161">
        <v>-0.5</v>
      </c>
      <c r="I4161">
        <v>70</v>
      </c>
    </row>
    <row r="4162" spans="1:9" x14ac:dyDescent="0.25">
      <c r="A4162" t="s">
        <v>1267</v>
      </c>
      <c r="B4162">
        <v>30</v>
      </c>
      <c r="C4162" s="1">
        <v>6673</v>
      </c>
      <c r="D4162">
        <v>225.5</v>
      </c>
      <c r="E4162">
        <v>225.5</v>
      </c>
      <c r="F4162">
        <v>225</v>
      </c>
      <c r="G4162">
        <v>225.5</v>
      </c>
      <c r="H4162">
        <v>-0.5</v>
      </c>
      <c r="I4162">
        <v>53</v>
      </c>
    </row>
    <row r="4163" spans="1:9" x14ac:dyDescent="0.25">
      <c r="A4163" t="s">
        <v>1268</v>
      </c>
      <c r="B4163">
        <v>81</v>
      </c>
      <c r="C4163" s="1">
        <v>18185</v>
      </c>
      <c r="D4163">
        <v>225</v>
      </c>
      <c r="E4163">
        <v>226</v>
      </c>
      <c r="F4163">
        <v>225</v>
      </c>
      <c r="G4163">
        <v>225.5</v>
      </c>
      <c r="H4163">
        <v>0</v>
      </c>
      <c r="I4163">
        <v>66</v>
      </c>
    </row>
    <row r="4164" spans="1:9" x14ac:dyDescent="0.25">
      <c r="A4164" t="s">
        <v>1269</v>
      </c>
      <c r="B4164">
        <v>43</v>
      </c>
      <c r="C4164" s="1">
        <v>9792</v>
      </c>
      <c r="D4164">
        <v>225</v>
      </c>
      <c r="E4164">
        <v>230</v>
      </c>
      <c r="F4164">
        <v>225</v>
      </c>
      <c r="G4164">
        <v>230</v>
      </c>
      <c r="H4164">
        <v>4.5</v>
      </c>
      <c r="I4164">
        <v>62</v>
      </c>
    </row>
    <row r="4165" spans="1:9" x14ac:dyDescent="0.25">
      <c r="A4165" t="s">
        <v>1270</v>
      </c>
      <c r="B4165">
        <v>45</v>
      </c>
      <c r="C4165" s="1">
        <v>10434</v>
      </c>
      <c r="D4165">
        <v>230</v>
      </c>
      <c r="E4165">
        <v>234</v>
      </c>
      <c r="F4165">
        <v>230</v>
      </c>
      <c r="G4165">
        <v>233.5</v>
      </c>
      <c r="H4165">
        <v>3.5</v>
      </c>
      <c r="I4165">
        <v>61</v>
      </c>
    </row>
    <row r="4166" spans="1:9" x14ac:dyDescent="0.25">
      <c r="A4166" t="s">
        <v>1271</v>
      </c>
      <c r="B4166">
        <v>62</v>
      </c>
      <c r="C4166" s="1">
        <v>14477</v>
      </c>
      <c r="D4166">
        <v>235.5</v>
      </c>
      <c r="E4166">
        <v>236</v>
      </c>
      <c r="F4166">
        <v>234</v>
      </c>
      <c r="G4166">
        <v>234.5</v>
      </c>
      <c r="H4166">
        <v>1</v>
      </c>
      <c r="I4166">
        <v>68</v>
      </c>
    </row>
    <row r="4167" spans="1:9" x14ac:dyDescent="0.25">
      <c r="A4167" t="s">
        <v>1272</v>
      </c>
      <c r="B4167">
        <v>22</v>
      </c>
      <c r="C4167" s="1">
        <v>5203</v>
      </c>
      <c r="D4167">
        <v>236</v>
      </c>
      <c r="E4167">
        <v>236</v>
      </c>
      <c r="F4167">
        <v>235</v>
      </c>
      <c r="G4167">
        <v>235</v>
      </c>
      <c r="H4167">
        <v>0.5</v>
      </c>
      <c r="I4167">
        <v>26</v>
      </c>
    </row>
    <row r="4168" spans="1:9" x14ac:dyDescent="0.25">
      <c r="A4168" t="s">
        <v>1273</v>
      </c>
      <c r="B4168">
        <v>51</v>
      </c>
      <c r="C4168" s="1">
        <v>11750</v>
      </c>
      <c r="D4168">
        <v>235</v>
      </c>
      <c r="E4168">
        <v>235</v>
      </c>
      <c r="F4168">
        <v>228.5</v>
      </c>
      <c r="G4168">
        <v>230</v>
      </c>
      <c r="H4168">
        <v>-5</v>
      </c>
      <c r="I4168">
        <v>63</v>
      </c>
    </row>
    <row r="4169" spans="1:9" x14ac:dyDescent="0.25">
      <c r="A4169" t="s">
        <v>1274</v>
      </c>
      <c r="B4169">
        <v>23</v>
      </c>
      <c r="C4169" s="1">
        <v>5161</v>
      </c>
      <c r="D4169">
        <v>230</v>
      </c>
      <c r="E4169">
        <v>230</v>
      </c>
      <c r="F4169">
        <v>227.5</v>
      </c>
      <c r="G4169">
        <v>228.5</v>
      </c>
      <c r="H4169">
        <v>-1.5</v>
      </c>
      <c r="I4169">
        <v>42</v>
      </c>
    </row>
    <row r="4170" spans="1:9" x14ac:dyDescent="0.25">
      <c r="A4170" t="s">
        <v>1275</v>
      </c>
      <c r="B4170">
        <v>34</v>
      </c>
      <c r="C4170" s="1">
        <v>7637</v>
      </c>
      <c r="D4170">
        <v>228.5</v>
      </c>
      <c r="E4170">
        <v>228.5</v>
      </c>
      <c r="F4170">
        <v>226</v>
      </c>
      <c r="G4170">
        <v>226</v>
      </c>
      <c r="H4170">
        <v>-2.5</v>
      </c>
      <c r="I4170">
        <v>53</v>
      </c>
    </row>
    <row r="4171" spans="1:9" x14ac:dyDescent="0.25">
      <c r="A4171" t="s">
        <v>1276</v>
      </c>
      <c r="B4171">
        <v>19</v>
      </c>
      <c r="C4171" s="1">
        <v>4307</v>
      </c>
      <c r="D4171">
        <v>226</v>
      </c>
      <c r="E4171">
        <v>228</v>
      </c>
      <c r="F4171">
        <v>226</v>
      </c>
      <c r="G4171">
        <v>227.5</v>
      </c>
      <c r="H4171">
        <v>1.5</v>
      </c>
      <c r="I4171">
        <v>29</v>
      </c>
    </row>
    <row r="4172" spans="1:9" x14ac:dyDescent="0.25">
      <c r="A4172" t="s">
        <v>1277</v>
      </c>
      <c r="B4172">
        <v>47</v>
      </c>
      <c r="C4172" s="1">
        <v>10798</v>
      </c>
      <c r="D4172">
        <v>232</v>
      </c>
      <c r="E4172">
        <v>232</v>
      </c>
      <c r="F4172">
        <v>226</v>
      </c>
      <c r="G4172">
        <v>226</v>
      </c>
      <c r="H4172">
        <v>-1.5</v>
      </c>
      <c r="I4172">
        <v>64</v>
      </c>
    </row>
    <row r="4173" spans="1:9" x14ac:dyDescent="0.25">
      <c r="A4173" t="s">
        <v>1278</v>
      </c>
      <c r="B4173">
        <v>14</v>
      </c>
      <c r="C4173" s="1">
        <v>3198</v>
      </c>
      <c r="D4173">
        <v>226</v>
      </c>
      <c r="E4173">
        <v>226</v>
      </c>
      <c r="F4173">
        <v>225.5</v>
      </c>
      <c r="G4173">
        <v>225.5</v>
      </c>
      <c r="H4173">
        <v>-0.5</v>
      </c>
      <c r="I4173">
        <v>38</v>
      </c>
    </row>
    <row r="4174" spans="1:9" x14ac:dyDescent="0.25">
      <c r="A4174" t="s">
        <v>973</v>
      </c>
      <c r="C4174" s="1"/>
    </row>
    <row r="4177" spans="1:9" x14ac:dyDescent="0.25">
      <c r="A4177" s="9" t="s">
        <v>928</v>
      </c>
      <c r="B4177" s="1">
        <v>60</v>
      </c>
      <c r="C4177" s="1">
        <v>15025</v>
      </c>
      <c r="D4177">
        <v>251.5</v>
      </c>
      <c r="E4177">
        <v>252.5</v>
      </c>
      <c r="F4177">
        <v>251</v>
      </c>
      <c r="G4177">
        <v>251.5</v>
      </c>
      <c r="H4177">
        <v>0</v>
      </c>
      <c r="I4177" s="1">
        <v>57</v>
      </c>
    </row>
    <row r="4178" spans="1:9" x14ac:dyDescent="0.25">
      <c r="A4178" t="s">
        <v>929</v>
      </c>
      <c r="B4178">
        <v>62</v>
      </c>
      <c r="C4178" s="1">
        <v>15508</v>
      </c>
      <c r="D4178">
        <v>251.5</v>
      </c>
      <c r="E4178">
        <v>251.5</v>
      </c>
      <c r="F4178">
        <v>249</v>
      </c>
      <c r="G4178">
        <v>249</v>
      </c>
      <c r="H4178">
        <v>-2.5</v>
      </c>
      <c r="I4178">
        <v>83</v>
      </c>
    </row>
    <row r="4179" spans="1:9" x14ac:dyDescent="0.25">
      <c r="A4179" t="s">
        <v>930</v>
      </c>
      <c r="B4179">
        <v>98</v>
      </c>
      <c r="C4179" s="1">
        <v>24104</v>
      </c>
      <c r="D4179">
        <v>250</v>
      </c>
      <c r="E4179">
        <v>250</v>
      </c>
      <c r="F4179">
        <v>244</v>
      </c>
      <c r="G4179">
        <v>245.5</v>
      </c>
      <c r="H4179">
        <v>-3.5</v>
      </c>
      <c r="I4179">
        <v>131</v>
      </c>
    </row>
    <row r="4180" spans="1:9" x14ac:dyDescent="0.25">
      <c r="A4180" t="s">
        <v>931</v>
      </c>
      <c r="B4180">
        <v>96</v>
      </c>
      <c r="C4180" s="1">
        <v>23751</v>
      </c>
      <c r="D4180">
        <v>246</v>
      </c>
      <c r="E4180">
        <v>249.5</v>
      </c>
      <c r="F4180">
        <v>243.5</v>
      </c>
      <c r="G4180">
        <v>249</v>
      </c>
      <c r="H4180">
        <v>3.5</v>
      </c>
      <c r="I4180">
        <v>88</v>
      </c>
    </row>
    <row r="4181" spans="1:9" x14ac:dyDescent="0.25">
      <c r="A4181" t="s">
        <v>932</v>
      </c>
      <c r="B4181">
        <v>42</v>
      </c>
      <c r="C4181" s="1">
        <v>10400</v>
      </c>
      <c r="D4181">
        <v>249</v>
      </c>
      <c r="E4181">
        <v>251</v>
      </c>
      <c r="F4181">
        <v>248.5</v>
      </c>
      <c r="G4181">
        <v>251</v>
      </c>
      <c r="H4181">
        <v>2</v>
      </c>
      <c r="I4181">
        <v>44</v>
      </c>
    </row>
    <row r="4182" spans="1:9" x14ac:dyDescent="0.25">
      <c r="A4182" t="s">
        <v>933</v>
      </c>
      <c r="B4182">
        <v>37</v>
      </c>
      <c r="C4182" s="1">
        <v>9274</v>
      </c>
      <c r="D4182">
        <v>251</v>
      </c>
      <c r="E4182">
        <v>251.5</v>
      </c>
      <c r="F4182">
        <v>251</v>
      </c>
      <c r="G4182">
        <v>251</v>
      </c>
      <c r="H4182">
        <v>0</v>
      </c>
      <c r="I4182">
        <v>54</v>
      </c>
    </row>
    <row r="4183" spans="1:9" x14ac:dyDescent="0.25">
      <c r="A4183" t="s">
        <v>934</v>
      </c>
      <c r="B4183">
        <v>27</v>
      </c>
      <c r="C4183" s="1">
        <v>6824</v>
      </c>
      <c r="D4183">
        <v>252</v>
      </c>
      <c r="E4183">
        <v>252.5</v>
      </c>
      <c r="F4183">
        <v>251.5</v>
      </c>
      <c r="G4183">
        <v>251.5</v>
      </c>
      <c r="H4183">
        <v>0.5</v>
      </c>
      <c r="I4183">
        <v>42</v>
      </c>
    </row>
    <row r="4184" spans="1:9" x14ac:dyDescent="0.25">
      <c r="A4184" t="s">
        <v>935</v>
      </c>
      <c r="B4184">
        <v>41</v>
      </c>
      <c r="C4184" s="1">
        <v>10297</v>
      </c>
      <c r="D4184">
        <v>251</v>
      </c>
      <c r="E4184">
        <v>251</v>
      </c>
      <c r="F4184">
        <v>249</v>
      </c>
      <c r="G4184">
        <v>250</v>
      </c>
      <c r="H4184">
        <v>-1.5</v>
      </c>
      <c r="I4184">
        <v>47</v>
      </c>
    </row>
    <row r="4185" spans="1:9" x14ac:dyDescent="0.25">
      <c r="A4185" t="s">
        <v>936</v>
      </c>
      <c r="B4185">
        <v>14</v>
      </c>
      <c r="C4185" s="1">
        <v>3537</v>
      </c>
      <c r="D4185">
        <v>250</v>
      </c>
      <c r="E4185">
        <v>251</v>
      </c>
      <c r="F4185">
        <v>250</v>
      </c>
      <c r="G4185">
        <v>250</v>
      </c>
      <c r="H4185">
        <v>0</v>
      </c>
      <c r="I4185">
        <v>20</v>
      </c>
    </row>
    <row r="4186" spans="1:9" x14ac:dyDescent="0.25">
      <c r="A4186" t="s">
        <v>937</v>
      </c>
      <c r="B4186">
        <v>24</v>
      </c>
      <c r="C4186" s="1">
        <v>6049</v>
      </c>
      <c r="D4186">
        <v>250</v>
      </c>
      <c r="E4186">
        <v>250.5</v>
      </c>
      <c r="F4186">
        <v>249</v>
      </c>
      <c r="G4186">
        <v>250</v>
      </c>
      <c r="H4186">
        <v>0</v>
      </c>
      <c r="I4186">
        <v>31</v>
      </c>
    </row>
    <row r="4187" spans="1:9" x14ac:dyDescent="0.25">
      <c r="A4187" t="s">
        <v>938</v>
      </c>
      <c r="B4187">
        <v>62</v>
      </c>
      <c r="C4187" s="1">
        <v>15489</v>
      </c>
      <c r="D4187">
        <v>250</v>
      </c>
      <c r="E4187">
        <v>250</v>
      </c>
      <c r="F4187">
        <v>249.5</v>
      </c>
      <c r="G4187">
        <v>250</v>
      </c>
      <c r="H4187">
        <v>0</v>
      </c>
      <c r="I4187">
        <v>76</v>
      </c>
    </row>
    <row r="4188" spans="1:9" x14ac:dyDescent="0.25">
      <c r="A4188" t="s">
        <v>939</v>
      </c>
      <c r="B4188">
        <v>21</v>
      </c>
      <c r="C4188" s="1">
        <v>5218</v>
      </c>
      <c r="D4188">
        <v>250</v>
      </c>
      <c r="E4188">
        <v>250</v>
      </c>
      <c r="F4188">
        <v>249.5</v>
      </c>
      <c r="G4188">
        <v>250</v>
      </c>
      <c r="H4188">
        <v>0</v>
      </c>
      <c r="I4188">
        <v>25</v>
      </c>
    </row>
    <row r="4189" spans="1:9" x14ac:dyDescent="0.25">
      <c r="A4189" t="s">
        <v>940</v>
      </c>
      <c r="B4189">
        <v>12</v>
      </c>
      <c r="C4189" s="1">
        <v>3100</v>
      </c>
      <c r="D4189">
        <v>250</v>
      </c>
      <c r="E4189">
        <v>250.5</v>
      </c>
      <c r="F4189">
        <v>250</v>
      </c>
      <c r="G4189">
        <v>250</v>
      </c>
      <c r="H4189">
        <v>0</v>
      </c>
      <c r="I4189">
        <v>23</v>
      </c>
    </row>
    <row r="4190" spans="1:9" x14ac:dyDescent="0.25">
      <c r="A4190" t="s">
        <v>941</v>
      </c>
      <c r="B4190">
        <v>21</v>
      </c>
      <c r="C4190" s="1">
        <v>5167</v>
      </c>
      <c r="D4190">
        <v>250</v>
      </c>
      <c r="E4190">
        <v>250.5</v>
      </c>
      <c r="F4190">
        <v>250</v>
      </c>
      <c r="G4190">
        <v>250.5</v>
      </c>
      <c r="H4190">
        <v>0.5</v>
      </c>
      <c r="I4190">
        <v>37</v>
      </c>
    </row>
    <row r="4191" spans="1:9" x14ac:dyDescent="0.25">
      <c r="A4191" t="s">
        <v>942</v>
      </c>
      <c r="B4191">
        <v>28</v>
      </c>
      <c r="C4191" s="1">
        <v>7019</v>
      </c>
      <c r="D4191">
        <v>251</v>
      </c>
      <c r="E4191">
        <v>251</v>
      </c>
      <c r="F4191">
        <v>250</v>
      </c>
      <c r="G4191">
        <v>250.5</v>
      </c>
      <c r="H4191">
        <v>0</v>
      </c>
      <c r="I4191">
        <v>26</v>
      </c>
    </row>
    <row r="4192" spans="1:9" x14ac:dyDescent="0.25">
      <c r="A4192" t="s">
        <v>943</v>
      </c>
      <c r="B4192">
        <v>31</v>
      </c>
      <c r="C4192" s="1">
        <v>7826</v>
      </c>
      <c r="D4192">
        <v>250.5</v>
      </c>
      <c r="E4192">
        <v>253</v>
      </c>
      <c r="F4192">
        <v>250</v>
      </c>
      <c r="G4192">
        <v>252.5</v>
      </c>
      <c r="H4192">
        <v>2</v>
      </c>
      <c r="I4192">
        <v>33</v>
      </c>
    </row>
    <row r="4193" spans="1:9" x14ac:dyDescent="0.25">
      <c r="A4193" t="s">
        <v>944</v>
      </c>
      <c r="B4193">
        <v>41</v>
      </c>
      <c r="C4193" s="1">
        <v>10287</v>
      </c>
      <c r="D4193">
        <v>252</v>
      </c>
      <c r="E4193">
        <v>254.5</v>
      </c>
      <c r="F4193">
        <v>252</v>
      </c>
      <c r="G4193">
        <v>253.5</v>
      </c>
      <c r="H4193">
        <v>1</v>
      </c>
      <c r="I4193">
        <v>57</v>
      </c>
    </row>
    <row r="4194" spans="1:9" x14ac:dyDescent="0.25">
      <c r="A4194" t="s">
        <v>945</v>
      </c>
      <c r="B4194">
        <v>18</v>
      </c>
      <c r="C4194" s="1">
        <v>4662</v>
      </c>
      <c r="D4194">
        <v>253.5</v>
      </c>
      <c r="E4194">
        <v>254</v>
      </c>
      <c r="F4194">
        <v>253</v>
      </c>
      <c r="G4194">
        <v>254</v>
      </c>
      <c r="H4194">
        <v>0.5</v>
      </c>
      <c r="I4194">
        <v>27</v>
      </c>
    </row>
    <row r="4195" spans="1:9" x14ac:dyDescent="0.25">
      <c r="A4195" t="s">
        <v>946</v>
      </c>
      <c r="B4195">
        <v>54</v>
      </c>
      <c r="C4195" s="1">
        <v>13608</v>
      </c>
      <c r="D4195">
        <v>253</v>
      </c>
      <c r="E4195">
        <v>254</v>
      </c>
      <c r="F4195">
        <v>250</v>
      </c>
      <c r="G4195">
        <v>253</v>
      </c>
      <c r="H4195">
        <v>-1</v>
      </c>
      <c r="I4195">
        <v>47</v>
      </c>
    </row>
    <row r="4196" spans="1:9" x14ac:dyDescent="0.25">
      <c r="A4196" t="s">
        <v>947</v>
      </c>
      <c r="B4196">
        <v>43</v>
      </c>
      <c r="C4196" s="1">
        <v>10769</v>
      </c>
      <c r="D4196">
        <v>253</v>
      </c>
      <c r="E4196">
        <v>253</v>
      </c>
      <c r="F4196">
        <v>252</v>
      </c>
      <c r="G4196">
        <v>253</v>
      </c>
      <c r="H4196">
        <v>0</v>
      </c>
      <c r="I4196">
        <v>39</v>
      </c>
    </row>
    <row r="4197" spans="1:9" x14ac:dyDescent="0.25">
      <c r="A4197" t="s">
        <v>948</v>
      </c>
      <c r="B4197">
        <v>29</v>
      </c>
      <c r="C4197" s="1">
        <v>7349</v>
      </c>
      <c r="D4197">
        <v>252.5</v>
      </c>
      <c r="E4197">
        <v>252.5</v>
      </c>
      <c r="F4197">
        <v>251</v>
      </c>
      <c r="G4197">
        <v>252.5</v>
      </c>
      <c r="H4197">
        <v>-0.5</v>
      </c>
      <c r="I4197">
        <v>29</v>
      </c>
    </row>
    <row r="4198" spans="1:9" x14ac:dyDescent="0.25">
      <c r="A4198" t="s">
        <v>949</v>
      </c>
      <c r="B4198">
        <v>54</v>
      </c>
      <c r="C4198" s="1">
        <v>13673</v>
      </c>
      <c r="D4198">
        <v>252</v>
      </c>
      <c r="E4198">
        <v>252</v>
      </c>
      <c r="F4198">
        <v>251</v>
      </c>
      <c r="G4198">
        <v>252</v>
      </c>
      <c r="H4198">
        <v>-0.5</v>
      </c>
      <c r="I4198">
        <v>43</v>
      </c>
    </row>
    <row r="4199" spans="1:9" x14ac:dyDescent="0.25">
      <c r="A4199" t="s">
        <v>950</v>
      </c>
      <c r="B4199">
        <v>92</v>
      </c>
      <c r="C4199" s="1">
        <v>23140</v>
      </c>
      <c r="D4199">
        <v>250.5</v>
      </c>
      <c r="E4199">
        <v>253</v>
      </c>
      <c r="F4199">
        <v>250.5</v>
      </c>
      <c r="G4199">
        <v>253</v>
      </c>
      <c r="H4199">
        <v>1</v>
      </c>
      <c r="I4199">
        <v>86</v>
      </c>
    </row>
    <row r="4200" spans="1:9" x14ac:dyDescent="0.25">
      <c r="A4200" t="s">
        <v>951</v>
      </c>
      <c r="C4200" s="1"/>
    </row>
    <row r="4201" spans="1:9" x14ac:dyDescent="0.25">
      <c r="A4201" s="9" t="s">
        <v>907</v>
      </c>
      <c r="B4201" s="1">
        <v>181</v>
      </c>
      <c r="C4201" s="1">
        <v>45502</v>
      </c>
      <c r="D4201">
        <v>247.5</v>
      </c>
      <c r="E4201">
        <v>253</v>
      </c>
      <c r="F4201">
        <v>247.5</v>
      </c>
      <c r="G4201">
        <v>252.5</v>
      </c>
      <c r="H4201">
        <v>5.5</v>
      </c>
      <c r="I4201" s="1">
        <v>167</v>
      </c>
    </row>
    <row r="4202" spans="1:9" x14ac:dyDescent="0.25">
      <c r="A4202" t="s">
        <v>908</v>
      </c>
      <c r="B4202">
        <v>219</v>
      </c>
      <c r="C4202" s="1">
        <v>55974</v>
      </c>
      <c r="D4202">
        <v>253</v>
      </c>
      <c r="E4202">
        <v>259</v>
      </c>
      <c r="F4202">
        <v>252.5</v>
      </c>
      <c r="G4202">
        <v>252.5</v>
      </c>
      <c r="H4202">
        <v>0</v>
      </c>
      <c r="I4202">
        <v>170</v>
      </c>
    </row>
    <row r="4203" spans="1:9" x14ac:dyDescent="0.25">
      <c r="A4203" t="s">
        <v>909</v>
      </c>
      <c r="B4203">
        <v>110</v>
      </c>
      <c r="C4203" s="1">
        <v>27730</v>
      </c>
      <c r="D4203">
        <v>253</v>
      </c>
      <c r="E4203">
        <v>253.5</v>
      </c>
      <c r="F4203">
        <v>248</v>
      </c>
      <c r="G4203">
        <v>251</v>
      </c>
      <c r="H4203">
        <v>-1.5</v>
      </c>
      <c r="I4203">
        <v>101</v>
      </c>
    </row>
    <row r="4204" spans="1:9" x14ac:dyDescent="0.25">
      <c r="A4204" t="s">
        <v>910</v>
      </c>
      <c r="B4204">
        <v>65</v>
      </c>
      <c r="C4204" s="1">
        <v>16203</v>
      </c>
      <c r="D4204">
        <v>251</v>
      </c>
      <c r="E4204">
        <v>251.5</v>
      </c>
      <c r="F4204">
        <v>249.5</v>
      </c>
      <c r="G4204">
        <v>249.5</v>
      </c>
      <c r="H4204">
        <v>-1.5</v>
      </c>
      <c r="I4204">
        <v>62</v>
      </c>
    </row>
    <row r="4205" spans="1:9" x14ac:dyDescent="0.25">
      <c r="A4205" t="s">
        <v>911</v>
      </c>
      <c r="B4205">
        <v>104</v>
      </c>
      <c r="C4205" s="1">
        <v>25965</v>
      </c>
      <c r="D4205">
        <v>252</v>
      </c>
      <c r="E4205">
        <v>254</v>
      </c>
      <c r="F4205">
        <v>248.5</v>
      </c>
      <c r="G4205">
        <v>250</v>
      </c>
      <c r="H4205">
        <v>0.5</v>
      </c>
      <c r="I4205">
        <v>99</v>
      </c>
    </row>
    <row r="4206" spans="1:9" x14ac:dyDescent="0.25">
      <c r="A4206" t="s">
        <v>912</v>
      </c>
      <c r="B4206">
        <v>237</v>
      </c>
      <c r="C4206" s="1">
        <v>58409</v>
      </c>
      <c r="D4206">
        <v>250</v>
      </c>
      <c r="E4206">
        <v>250</v>
      </c>
      <c r="F4206">
        <v>242</v>
      </c>
      <c r="G4206">
        <v>248.5</v>
      </c>
      <c r="H4206">
        <v>-1.5</v>
      </c>
      <c r="I4206">
        <v>234</v>
      </c>
    </row>
    <row r="4207" spans="1:9" x14ac:dyDescent="0.25">
      <c r="A4207" t="s">
        <v>913</v>
      </c>
      <c r="B4207">
        <v>94</v>
      </c>
      <c r="C4207" s="1">
        <v>23449</v>
      </c>
      <c r="D4207">
        <v>250</v>
      </c>
      <c r="E4207">
        <v>251</v>
      </c>
      <c r="F4207">
        <v>248</v>
      </c>
      <c r="G4207">
        <v>250</v>
      </c>
      <c r="H4207">
        <v>1.5</v>
      </c>
      <c r="I4207">
        <v>100</v>
      </c>
    </row>
    <row r="4208" spans="1:9" x14ac:dyDescent="0.25">
      <c r="A4208" t="s">
        <v>914</v>
      </c>
      <c r="B4208">
        <v>72</v>
      </c>
      <c r="C4208" s="1">
        <v>18161</v>
      </c>
      <c r="D4208">
        <v>250</v>
      </c>
      <c r="E4208">
        <v>252.5</v>
      </c>
      <c r="F4208">
        <v>249.5</v>
      </c>
      <c r="G4208">
        <v>252.5</v>
      </c>
      <c r="H4208">
        <v>2.5</v>
      </c>
      <c r="I4208">
        <v>83</v>
      </c>
    </row>
    <row r="4209" spans="1:9" x14ac:dyDescent="0.25">
      <c r="A4209" t="s">
        <v>915</v>
      </c>
      <c r="B4209">
        <v>54</v>
      </c>
      <c r="C4209" s="1">
        <v>13641</v>
      </c>
      <c r="D4209">
        <v>252.5</v>
      </c>
      <c r="E4209">
        <v>254.5</v>
      </c>
      <c r="F4209">
        <v>251</v>
      </c>
      <c r="G4209">
        <v>253.5</v>
      </c>
      <c r="H4209">
        <v>1</v>
      </c>
      <c r="I4209">
        <v>65</v>
      </c>
    </row>
    <row r="4210" spans="1:9" x14ac:dyDescent="0.25">
      <c r="A4210" t="s">
        <v>916</v>
      </c>
      <c r="B4210">
        <v>76</v>
      </c>
      <c r="C4210" s="1">
        <v>19291</v>
      </c>
      <c r="D4210">
        <v>255</v>
      </c>
      <c r="E4210">
        <v>257</v>
      </c>
      <c r="F4210">
        <v>253.5</v>
      </c>
      <c r="G4210">
        <v>257</v>
      </c>
      <c r="H4210">
        <v>3.5</v>
      </c>
      <c r="I4210">
        <v>71</v>
      </c>
    </row>
    <row r="4211" spans="1:9" x14ac:dyDescent="0.25">
      <c r="A4211" t="s">
        <v>917</v>
      </c>
      <c r="B4211">
        <v>50</v>
      </c>
      <c r="C4211" s="1">
        <v>12867</v>
      </c>
      <c r="D4211">
        <v>257</v>
      </c>
      <c r="E4211">
        <v>257</v>
      </c>
      <c r="F4211">
        <v>254</v>
      </c>
      <c r="G4211">
        <v>254</v>
      </c>
      <c r="H4211">
        <v>-3</v>
      </c>
      <c r="I4211">
        <v>52</v>
      </c>
    </row>
    <row r="4212" spans="1:9" x14ac:dyDescent="0.25">
      <c r="A4212" t="s">
        <v>918</v>
      </c>
      <c r="B4212">
        <v>40</v>
      </c>
      <c r="C4212" s="1">
        <v>10097</v>
      </c>
      <c r="D4212">
        <v>255</v>
      </c>
      <c r="E4212">
        <v>255</v>
      </c>
      <c r="F4212">
        <v>251</v>
      </c>
      <c r="G4212">
        <v>253</v>
      </c>
      <c r="H4212">
        <v>-1</v>
      </c>
      <c r="I4212">
        <v>51</v>
      </c>
    </row>
    <row r="4213" spans="1:9" x14ac:dyDescent="0.25">
      <c r="A4213" t="s">
        <v>919</v>
      </c>
      <c r="B4213">
        <v>24</v>
      </c>
      <c r="C4213" s="1">
        <v>6069</v>
      </c>
      <c r="D4213">
        <v>251</v>
      </c>
      <c r="E4213">
        <v>253</v>
      </c>
      <c r="F4213">
        <v>250</v>
      </c>
      <c r="G4213">
        <v>253</v>
      </c>
      <c r="H4213">
        <v>0</v>
      </c>
      <c r="I4213">
        <v>49</v>
      </c>
    </row>
    <row r="4214" spans="1:9" x14ac:dyDescent="0.25">
      <c r="A4214" t="s">
        <v>920</v>
      </c>
      <c r="B4214">
        <v>76</v>
      </c>
      <c r="C4214" s="1">
        <v>18902</v>
      </c>
      <c r="D4214">
        <v>252</v>
      </c>
      <c r="E4214">
        <v>252.5</v>
      </c>
      <c r="F4214">
        <v>248.5</v>
      </c>
      <c r="G4214">
        <v>249.5</v>
      </c>
      <c r="H4214">
        <v>-3.5</v>
      </c>
      <c r="I4214">
        <v>93</v>
      </c>
    </row>
    <row r="4215" spans="1:9" x14ac:dyDescent="0.25">
      <c r="A4215" t="s">
        <v>921</v>
      </c>
      <c r="B4215">
        <v>67</v>
      </c>
      <c r="C4215" s="1">
        <v>16625</v>
      </c>
      <c r="D4215">
        <v>249.5</v>
      </c>
      <c r="E4215">
        <v>251</v>
      </c>
      <c r="F4215">
        <v>249</v>
      </c>
      <c r="G4215">
        <v>250</v>
      </c>
      <c r="H4215">
        <v>0.5</v>
      </c>
      <c r="I4215">
        <v>82</v>
      </c>
    </row>
    <row r="4216" spans="1:9" x14ac:dyDescent="0.25">
      <c r="A4216" t="s">
        <v>922</v>
      </c>
      <c r="B4216">
        <v>60</v>
      </c>
      <c r="C4216" s="1">
        <v>15163</v>
      </c>
      <c r="D4216">
        <v>250</v>
      </c>
      <c r="E4216">
        <v>257</v>
      </c>
      <c r="F4216">
        <v>250</v>
      </c>
      <c r="G4216">
        <v>256.5</v>
      </c>
      <c r="H4216">
        <v>6.5</v>
      </c>
      <c r="I4216">
        <v>83</v>
      </c>
    </row>
    <row r="4217" spans="1:9" x14ac:dyDescent="0.25">
      <c r="A4217" t="s">
        <v>923</v>
      </c>
      <c r="B4217">
        <v>90</v>
      </c>
      <c r="C4217" s="1">
        <v>23288</v>
      </c>
      <c r="D4217">
        <v>256.5</v>
      </c>
      <c r="E4217">
        <v>258</v>
      </c>
      <c r="F4217">
        <v>256</v>
      </c>
      <c r="G4217">
        <v>257</v>
      </c>
      <c r="H4217">
        <v>0.5</v>
      </c>
      <c r="I4217">
        <v>73</v>
      </c>
    </row>
    <row r="4218" spans="1:9" x14ac:dyDescent="0.25">
      <c r="A4218" t="s">
        <v>924</v>
      </c>
      <c r="B4218">
        <v>34</v>
      </c>
      <c r="C4218" s="1">
        <v>8624</v>
      </c>
      <c r="D4218">
        <v>258</v>
      </c>
      <c r="E4218">
        <v>258</v>
      </c>
      <c r="F4218">
        <v>252</v>
      </c>
      <c r="G4218">
        <v>256</v>
      </c>
      <c r="H4218">
        <v>-1</v>
      </c>
      <c r="I4218">
        <v>40</v>
      </c>
    </row>
    <row r="4219" spans="1:9" x14ac:dyDescent="0.25">
      <c r="A4219" t="s">
        <v>925</v>
      </c>
      <c r="B4219">
        <v>32</v>
      </c>
      <c r="C4219" s="1">
        <v>8166</v>
      </c>
      <c r="D4219">
        <v>253.5</v>
      </c>
      <c r="E4219">
        <v>256</v>
      </c>
      <c r="F4219">
        <v>252.5</v>
      </c>
      <c r="G4219">
        <v>253</v>
      </c>
      <c r="H4219">
        <v>-3</v>
      </c>
      <c r="I4219">
        <v>47</v>
      </c>
    </row>
    <row r="4220" spans="1:9" x14ac:dyDescent="0.25">
      <c r="A4220" t="s">
        <v>926</v>
      </c>
      <c r="B4220">
        <v>42</v>
      </c>
      <c r="C4220" s="1">
        <v>10685</v>
      </c>
      <c r="D4220">
        <v>253</v>
      </c>
      <c r="E4220">
        <v>253.5</v>
      </c>
      <c r="F4220">
        <v>251.5</v>
      </c>
      <c r="G4220">
        <v>251.5</v>
      </c>
      <c r="H4220">
        <v>-1.5</v>
      </c>
      <c r="I4220">
        <v>49</v>
      </c>
    </row>
    <row r="4221" spans="1:9" x14ac:dyDescent="0.25">
      <c r="A4221" t="s">
        <v>927</v>
      </c>
      <c r="C4221" s="1"/>
    </row>
    <row r="4225" spans="1:9" x14ac:dyDescent="0.25">
      <c r="A4225" s="9" t="s">
        <v>840</v>
      </c>
      <c r="B4225" s="1">
        <v>62</v>
      </c>
      <c r="C4225" s="1">
        <v>14807</v>
      </c>
      <c r="D4225">
        <v>237</v>
      </c>
      <c r="E4225">
        <v>239.5</v>
      </c>
      <c r="F4225">
        <v>235.5</v>
      </c>
      <c r="G4225">
        <v>238.5</v>
      </c>
      <c r="H4225">
        <v>1.5</v>
      </c>
      <c r="I4225" s="1">
        <v>64</v>
      </c>
    </row>
    <row r="4226" spans="1:9" x14ac:dyDescent="0.25">
      <c r="A4226" t="s">
        <v>841</v>
      </c>
      <c r="B4226">
        <v>85</v>
      </c>
      <c r="C4226" s="1">
        <v>20165</v>
      </c>
      <c r="D4226">
        <v>238</v>
      </c>
      <c r="E4226">
        <v>239.5</v>
      </c>
      <c r="F4226">
        <v>237</v>
      </c>
      <c r="G4226">
        <v>239.5</v>
      </c>
      <c r="H4226">
        <v>1</v>
      </c>
      <c r="I4226">
        <v>46</v>
      </c>
    </row>
    <row r="4227" spans="1:9" x14ac:dyDescent="0.25">
      <c r="A4227" t="s">
        <v>839</v>
      </c>
      <c r="B4227">
        <v>153</v>
      </c>
      <c r="C4227" s="1">
        <v>36799</v>
      </c>
      <c r="D4227">
        <v>239.5</v>
      </c>
      <c r="E4227">
        <v>244.5</v>
      </c>
      <c r="F4227">
        <v>239</v>
      </c>
      <c r="G4227">
        <v>243</v>
      </c>
      <c r="H4227">
        <v>3.5</v>
      </c>
      <c r="I4227">
        <v>120</v>
      </c>
    </row>
    <row r="4228" spans="1:9" x14ac:dyDescent="0.25">
      <c r="A4228" t="s">
        <v>842</v>
      </c>
      <c r="B4228">
        <v>69</v>
      </c>
      <c r="C4228" s="1">
        <v>16561</v>
      </c>
      <c r="D4228">
        <v>243</v>
      </c>
      <c r="E4228">
        <v>243</v>
      </c>
      <c r="F4228">
        <v>239</v>
      </c>
      <c r="G4228">
        <v>240.5</v>
      </c>
      <c r="H4228">
        <v>-2.5</v>
      </c>
      <c r="I4228">
        <v>66</v>
      </c>
    </row>
    <row r="4229" spans="1:9" x14ac:dyDescent="0.25">
      <c r="A4229" t="s">
        <v>843</v>
      </c>
      <c r="B4229">
        <v>63</v>
      </c>
      <c r="C4229" s="1">
        <v>15019</v>
      </c>
      <c r="D4229">
        <v>240</v>
      </c>
      <c r="E4229">
        <v>240.5</v>
      </c>
      <c r="F4229">
        <v>238.5</v>
      </c>
      <c r="G4229">
        <v>239.5</v>
      </c>
      <c r="H4229">
        <v>-1</v>
      </c>
      <c r="I4229">
        <v>77</v>
      </c>
    </row>
    <row r="4230" spans="1:9" x14ac:dyDescent="0.25">
      <c r="A4230" t="s">
        <v>844</v>
      </c>
      <c r="B4230">
        <v>44</v>
      </c>
      <c r="C4230" s="1">
        <v>10469</v>
      </c>
      <c r="D4230">
        <v>239</v>
      </c>
      <c r="E4230">
        <v>240.5</v>
      </c>
      <c r="F4230">
        <v>238</v>
      </c>
      <c r="G4230">
        <v>240.5</v>
      </c>
      <c r="H4230">
        <v>1</v>
      </c>
      <c r="I4230">
        <v>53</v>
      </c>
    </row>
    <row r="4231" spans="1:9" x14ac:dyDescent="0.25">
      <c r="A4231" t="s">
        <v>845</v>
      </c>
      <c r="B4231">
        <v>22</v>
      </c>
      <c r="C4231" s="1">
        <v>5223</v>
      </c>
      <c r="D4231">
        <v>239</v>
      </c>
      <c r="E4231">
        <v>240</v>
      </c>
      <c r="F4231">
        <v>238.5</v>
      </c>
      <c r="G4231">
        <v>240</v>
      </c>
      <c r="H4231">
        <v>-0.5</v>
      </c>
      <c r="I4231">
        <v>32</v>
      </c>
    </row>
    <row r="4232" spans="1:9" x14ac:dyDescent="0.25">
      <c r="A4232" t="s">
        <v>846</v>
      </c>
      <c r="B4232">
        <v>58</v>
      </c>
      <c r="C4232" s="1">
        <v>13749</v>
      </c>
      <c r="D4232">
        <v>239.5</v>
      </c>
      <c r="E4232">
        <v>240</v>
      </c>
      <c r="F4232">
        <v>236</v>
      </c>
      <c r="G4232">
        <v>237</v>
      </c>
      <c r="H4232">
        <v>-3</v>
      </c>
      <c r="I4232">
        <v>77</v>
      </c>
    </row>
    <row r="4233" spans="1:9" x14ac:dyDescent="0.25">
      <c r="A4233" t="s">
        <v>847</v>
      </c>
      <c r="B4233">
        <v>37</v>
      </c>
      <c r="C4233" s="1">
        <v>8818</v>
      </c>
      <c r="D4233">
        <v>237</v>
      </c>
      <c r="E4233">
        <v>239</v>
      </c>
      <c r="F4233">
        <v>236.5</v>
      </c>
      <c r="G4233">
        <v>237</v>
      </c>
      <c r="H4233">
        <v>0</v>
      </c>
      <c r="I4233">
        <v>45</v>
      </c>
    </row>
    <row r="4234" spans="1:9" x14ac:dyDescent="0.25">
      <c r="A4234" t="s">
        <v>848</v>
      </c>
      <c r="B4234">
        <v>27</v>
      </c>
      <c r="C4234" s="1">
        <v>6485</v>
      </c>
      <c r="D4234">
        <v>237</v>
      </c>
      <c r="E4234">
        <v>240</v>
      </c>
      <c r="F4234">
        <v>237</v>
      </c>
      <c r="G4234">
        <v>240</v>
      </c>
      <c r="H4234">
        <v>3</v>
      </c>
      <c r="I4234">
        <v>42</v>
      </c>
    </row>
    <row r="4235" spans="1:9" x14ac:dyDescent="0.25">
      <c r="A4235" t="s">
        <v>849</v>
      </c>
      <c r="B4235">
        <v>14</v>
      </c>
      <c r="C4235" s="1">
        <v>3343</v>
      </c>
      <c r="D4235">
        <v>239</v>
      </c>
      <c r="E4235">
        <v>239</v>
      </c>
      <c r="F4235">
        <v>238</v>
      </c>
      <c r="G4235">
        <v>238</v>
      </c>
      <c r="H4235">
        <v>-2</v>
      </c>
      <c r="I4235">
        <v>25</v>
      </c>
    </row>
    <row r="4236" spans="1:9" x14ac:dyDescent="0.25">
      <c r="A4236" t="s">
        <v>850</v>
      </c>
      <c r="B4236">
        <v>68</v>
      </c>
      <c r="C4236" s="1">
        <v>16249</v>
      </c>
      <c r="D4236">
        <v>237.5</v>
      </c>
      <c r="E4236">
        <v>240.5</v>
      </c>
      <c r="F4236">
        <v>237.5</v>
      </c>
      <c r="G4236">
        <v>240.5</v>
      </c>
      <c r="H4236">
        <v>2.5</v>
      </c>
      <c r="I4236">
        <v>70</v>
      </c>
    </row>
    <row r="4237" spans="1:9" x14ac:dyDescent="0.25">
      <c r="A4237" t="s">
        <v>851</v>
      </c>
      <c r="B4237">
        <v>42</v>
      </c>
      <c r="C4237" s="1">
        <v>10001</v>
      </c>
      <c r="D4237">
        <v>240.5</v>
      </c>
      <c r="E4237">
        <v>242</v>
      </c>
      <c r="F4237">
        <v>239</v>
      </c>
      <c r="G4237">
        <v>240.5</v>
      </c>
      <c r="H4237">
        <v>0</v>
      </c>
      <c r="I4237">
        <v>42</v>
      </c>
    </row>
    <row r="4238" spans="1:9" x14ac:dyDescent="0.25">
      <c r="A4238" t="s">
        <v>852</v>
      </c>
      <c r="B4238">
        <v>43</v>
      </c>
      <c r="C4238" s="1">
        <v>10297</v>
      </c>
      <c r="D4238">
        <v>240</v>
      </c>
      <c r="E4238">
        <v>241</v>
      </c>
      <c r="F4238">
        <v>240</v>
      </c>
      <c r="G4238">
        <v>241</v>
      </c>
      <c r="H4238">
        <v>0.5</v>
      </c>
      <c r="I4238">
        <v>45</v>
      </c>
    </row>
    <row r="4239" spans="1:9" x14ac:dyDescent="0.25">
      <c r="A4239" t="s">
        <v>853</v>
      </c>
      <c r="B4239">
        <v>106</v>
      </c>
      <c r="C4239" s="1">
        <v>25654</v>
      </c>
      <c r="D4239">
        <v>241</v>
      </c>
      <c r="E4239">
        <v>244.5</v>
      </c>
      <c r="F4239">
        <v>241</v>
      </c>
      <c r="G4239">
        <v>243</v>
      </c>
      <c r="H4239">
        <v>2</v>
      </c>
      <c r="I4239">
        <v>69</v>
      </c>
    </row>
    <row r="4240" spans="1:9" x14ac:dyDescent="0.25">
      <c r="A4240" t="s">
        <v>854</v>
      </c>
      <c r="B4240">
        <v>63</v>
      </c>
      <c r="C4240" s="1">
        <v>15292</v>
      </c>
      <c r="D4240">
        <v>245</v>
      </c>
      <c r="E4240">
        <v>245.5</v>
      </c>
      <c r="F4240">
        <v>243.5</v>
      </c>
      <c r="G4240">
        <v>244</v>
      </c>
      <c r="H4240">
        <v>1</v>
      </c>
      <c r="I4240">
        <v>56</v>
      </c>
    </row>
    <row r="4241" spans="1:9" x14ac:dyDescent="0.25">
      <c r="A4241" t="s">
        <v>855</v>
      </c>
      <c r="B4241">
        <v>22</v>
      </c>
      <c r="C4241" s="1">
        <v>5411</v>
      </c>
      <c r="D4241">
        <v>244</v>
      </c>
      <c r="E4241">
        <v>244.5</v>
      </c>
      <c r="F4241">
        <v>243</v>
      </c>
      <c r="G4241">
        <v>244</v>
      </c>
      <c r="H4241">
        <v>0</v>
      </c>
      <c r="I4241">
        <v>38</v>
      </c>
    </row>
    <row r="4242" spans="1:9" x14ac:dyDescent="0.25">
      <c r="A4242" t="s">
        <v>856</v>
      </c>
      <c r="B4242">
        <v>89</v>
      </c>
      <c r="C4242" s="1">
        <v>21987</v>
      </c>
      <c r="D4242">
        <v>244</v>
      </c>
      <c r="E4242">
        <v>247</v>
      </c>
      <c r="F4242">
        <v>244</v>
      </c>
      <c r="G4242">
        <v>247</v>
      </c>
      <c r="H4242">
        <v>3</v>
      </c>
      <c r="I4242">
        <v>76</v>
      </c>
    </row>
    <row r="4243" spans="1:9" x14ac:dyDescent="0.25">
      <c r="A4243" t="s">
        <v>857</v>
      </c>
      <c r="C4243" s="1"/>
    </row>
    <row r="4249" spans="1:9" x14ac:dyDescent="0.25">
      <c r="A4249" s="9" t="s">
        <v>1235</v>
      </c>
      <c r="B4249" s="1">
        <v>49</v>
      </c>
      <c r="C4249" s="1">
        <v>10666</v>
      </c>
      <c r="D4249">
        <v>219</v>
      </c>
      <c r="E4249">
        <v>219</v>
      </c>
      <c r="F4249">
        <v>215</v>
      </c>
      <c r="G4249">
        <v>217</v>
      </c>
      <c r="H4249">
        <v>-2.5</v>
      </c>
      <c r="I4249" s="1">
        <v>35</v>
      </c>
    </row>
    <row r="4250" spans="1:9" x14ac:dyDescent="0.25">
      <c r="A4250" t="s">
        <v>1236</v>
      </c>
      <c r="B4250">
        <v>34</v>
      </c>
      <c r="C4250" s="1">
        <v>7522</v>
      </c>
      <c r="D4250">
        <v>217</v>
      </c>
      <c r="E4250">
        <v>220</v>
      </c>
      <c r="F4250">
        <v>217</v>
      </c>
      <c r="G4250">
        <v>219</v>
      </c>
      <c r="H4250">
        <v>2</v>
      </c>
      <c r="I4250">
        <v>34</v>
      </c>
    </row>
    <row r="4251" spans="1:9" x14ac:dyDescent="0.25">
      <c r="A4251" t="s">
        <v>1237</v>
      </c>
      <c r="B4251">
        <v>28</v>
      </c>
      <c r="C4251" s="1">
        <v>6122</v>
      </c>
      <c r="D4251">
        <v>219</v>
      </c>
      <c r="E4251">
        <v>219.5</v>
      </c>
      <c r="F4251">
        <v>218</v>
      </c>
      <c r="G4251">
        <v>219</v>
      </c>
      <c r="H4251">
        <v>0</v>
      </c>
      <c r="I4251">
        <v>22</v>
      </c>
    </row>
    <row r="4252" spans="1:9" x14ac:dyDescent="0.25">
      <c r="A4252" t="s">
        <v>1238</v>
      </c>
      <c r="B4252">
        <v>29</v>
      </c>
      <c r="C4252" s="1">
        <v>6330</v>
      </c>
      <c r="D4252">
        <v>219</v>
      </c>
      <c r="E4252">
        <v>219</v>
      </c>
      <c r="F4252">
        <v>217</v>
      </c>
      <c r="G4252">
        <v>219</v>
      </c>
      <c r="H4252">
        <v>0</v>
      </c>
      <c r="I4252">
        <v>27</v>
      </c>
    </row>
    <row r="4253" spans="1:9" x14ac:dyDescent="0.25">
      <c r="A4253" t="s">
        <v>1239</v>
      </c>
      <c r="B4253">
        <v>130</v>
      </c>
      <c r="C4253" s="1">
        <v>29011</v>
      </c>
      <c r="D4253">
        <v>219.5</v>
      </c>
      <c r="E4253">
        <v>228</v>
      </c>
      <c r="F4253">
        <v>219</v>
      </c>
      <c r="G4253">
        <v>225</v>
      </c>
      <c r="H4253">
        <v>6</v>
      </c>
      <c r="I4253">
        <v>112</v>
      </c>
    </row>
    <row r="4254" spans="1:9" x14ac:dyDescent="0.25">
      <c r="A4254" t="s">
        <v>1240</v>
      </c>
      <c r="B4254">
        <v>66</v>
      </c>
      <c r="C4254" s="1">
        <v>15147</v>
      </c>
      <c r="D4254">
        <v>226</v>
      </c>
      <c r="E4254">
        <v>229</v>
      </c>
      <c r="F4254">
        <v>225.5</v>
      </c>
      <c r="G4254">
        <v>229</v>
      </c>
      <c r="H4254">
        <v>4</v>
      </c>
      <c r="I4254">
        <v>73</v>
      </c>
    </row>
    <row r="4255" spans="1:9" x14ac:dyDescent="0.25">
      <c r="A4255" t="s">
        <v>1241</v>
      </c>
      <c r="B4255">
        <v>71</v>
      </c>
      <c r="C4255" s="1">
        <v>16073</v>
      </c>
      <c r="D4255">
        <v>227</v>
      </c>
      <c r="E4255">
        <v>229</v>
      </c>
      <c r="F4255">
        <v>225</v>
      </c>
      <c r="G4255">
        <v>228</v>
      </c>
      <c r="H4255">
        <v>-1</v>
      </c>
      <c r="I4255">
        <v>76</v>
      </c>
    </row>
    <row r="4256" spans="1:9" x14ac:dyDescent="0.25">
      <c r="A4256" t="s">
        <v>1242</v>
      </c>
      <c r="B4256">
        <v>44</v>
      </c>
      <c r="C4256" s="1">
        <v>10192</v>
      </c>
      <c r="D4256">
        <v>228</v>
      </c>
      <c r="E4256">
        <v>230.5</v>
      </c>
      <c r="F4256">
        <v>228</v>
      </c>
      <c r="G4256">
        <v>230</v>
      </c>
      <c r="H4256">
        <v>2</v>
      </c>
      <c r="I4256">
        <v>49</v>
      </c>
    </row>
    <row r="4257" spans="1:9" x14ac:dyDescent="0.25">
      <c r="A4257" t="s">
        <v>1243</v>
      </c>
      <c r="B4257">
        <v>230</v>
      </c>
      <c r="C4257" s="1">
        <v>54314</v>
      </c>
      <c r="D4257">
        <v>230</v>
      </c>
      <c r="E4257">
        <v>247</v>
      </c>
      <c r="F4257">
        <v>230</v>
      </c>
      <c r="G4257">
        <v>236</v>
      </c>
      <c r="H4257">
        <v>6</v>
      </c>
      <c r="I4257">
        <v>205</v>
      </c>
    </row>
    <row r="4258" spans="1:9" x14ac:dyDescent="0.25">
      <c r="A4258" t="s">
        <v>1244</v>
      </c>
      <c r="B4258">
        <v>165</v>
      </c>
      <c r="C4258" s="1">
        <v>39334</v>
      </c>
      <c r="D4258">
        <v>236</v>
      </c>
      <c r="E4258">
        <v>241.5</v>
      </c>
      <c r="F4258">
        <v>234.5</v>
      </c>
      <c r="G4258">
        <v>239</v>
      </c>
      <c r="H4258">
        <v>3</v>
      </c>
      <c r="I4258">
        <v>150</v>
      </c>
    </row>
    <row r="4259" spans="1:9" x14ac:dyDescent="0.25">
      <c r="A4259" t="s">
        <v>1245</v>
      </c>
      <c r="B4259">
        <v>43</v>
      </c>
      <c r="C4259" s="1">
        <v>10239</v>
      </c>
      <c r="D4259">
        <v>237</v>
      </c>
      <c r="E4259">
        <v>237.5</v>
      </c>
      <c r="F4259">
        <v>236</v>
      </c>
      <c r="G4259">
        <v>237</v>
      </c>
      <c r="H4259">
        <v>-2</v>
      </c>
      <c r="I4259">
        <v>42</v>
      </c>
    </row>
    <row r="4260" spans="1:9" x14ac:dyDescent="0.25">
      <c r="A4260" t="s">
        <v>1246</v>
      </c>
      <c r="B4260">
        <v>133</v>
      </c>
      <c r="C4260" s="1">
        <v>31954</v>
      </c>
      <c r="D4260">
        <v>237</v>
      </c>
      <c r="E4260">
        <v>244</v>
      </c>
      <c r="F4260">
        <v>236</v>
      </c>
      <c r="G4260">
        <v>238</v>
      </c>
      <c r="H4260">
        <v>1</v>
      </c>
      <c r="I4260">
        <v>104</v>
      </c>
    </row>
    <row r="4261" spans="1:9" x14ac:dyDescent="0.25">
      <c r="A4261" t="s">
        <v>1247</v>
      </c>
      <c r="B4261">
        <v>68</v>
      </c>
      <c r="C4261" s="1">
        <v>16345</v>
      </c>
      <c r="D4261">
        <v>238</v>
      </c>
      <c r="E4261">
        <v>240</v>
      </c>
      <c r="F4261">
        <v>238</v>
      </c>
      <c r="G4261">
        <v>238</v>
      </c>
      <c r="H4261">
        <v>0</v>
      </c>
      <c r="I4261">
        <v>37</v>
      </c>
    </row>
    <row r="4262" spans="1:9" x14ac:dyDescent="0.25">
      <c r="A4262" t="s">
        <v>1248</v>
      </c>
      <c r="B4262">
        <v>63</v>
      </c>
      <c r="C4262" s="1">
        <v>15065</v>
      </c>
      <c r="D4262">
        <v>239</v>
      </c>
      <c r="E4262">
        <v>240</v>
      </c>
      <c r="F4262">
        <v>237.5</v>
      </c>
      <c r="G4262">
        <v>238</v>
      </c>
      <c r="H4262">
        <v>0</v>
      </c>
      <c r="I4262">
        <v>46</v>
      </c>
    </row>
    <row r="4263" spans="1:9" x14ac:dyDescent="0.25">
      <c r="A4263" t="s">
        <v>1249</v>
      </c>
      <c r="B4263">
        <v>105</v>
      </c>
      <c r="C4263" s="1">
        <v>24877</v>
      </c>
      <c r="D4263">
        <v>238</v>
      </c>
      <c r="E4263">
        <v>239</v>
      </c>
      <c r="F4263">
        <v>236.5</v>
      </c>
      <c r="G4263">
        <v>236.5</v>
      </c>
      <c r="H4263">
        <v>-1.5</v>
      </c>
      <c r="I4263">
        <v>90</v>
      </c>
    </row>
    <row r="4264" spans="1:9" x14ac:dyDescent="0.25">
      <c r="A4264" t="s">
        <v>1250</v>
      </c>
      <c r="B4264">
        <v>58</v>
      </c>
      <c r="C4264" s="1">
        <v>13613</v>
      </c>
      <c r="D4264">
        <v>236.5</v>
      </c>
      <c r="E4264">
        <v>238</v>
      </c>
      <c r="F4264">
        <v>236</v>
      </c>
      <c r="G4264">
        <v>237.5</v>
      </c>
      <c r="H4264">
        <v>1</v>
      </c>
      <c r="I4264">
        <v>52</v>
      </c>
    </row>
    <row r="4265" spans="1:9" x14ac:dyDescent="0.25">
      <c r="A4265" t="s">
        <v>1251</v>
      </c>
      <c r="B4265">
        <v>72</v>
      </c>
      <c r="C4265" s="1">
        <v>17079</v>
      </c>
      <c r="D4265">
        <v>237.5</v>
      </c>
      <c r="E4265">
        <v>239</v>
      </c>
      <c r="F4265">
        <v>237</v>
      </c>
      <c r="G4265">
        <v>237</v>
      </c>
      <c r="H4265">
        <v>-0.5</v>
      </c>
      <c r="I4265">
        <v>60</v>
      </c>
    </row>
    <row r="4266" spans="1:9" x14ac:dyDescent="0.25">
      <c r="A4266" t="s">
        <v>1252</v>
      </c>
      <c r="B4266">
        <v>48</v>
      </c>
      <c r="C4266" s="1">
        <v>11471</v>
      </c>
      <c r="D4266">
        <v>237</v>
      </c>
      <c r="E4266">
        <v>238</v>
      </c>
      <c r="F4266">
        <v>236.5</v>
      </c>
      <c r="G4266">
        <v>237.5</v>
      </c>
      <c r="H4266">
        <v>0.5</v>
      </c>
      <c r="I4266">
        <v>58</v>
      </c>
    </row>
    <row r="4267" spans="1:9" x14ac:dyDescent="0.25">
      <c r="A4267" t="s">
        <v>1253</v>
      </c>
      <c r="B4267">
        <v>191</v>
      </c>
      <c r="C4267" s="1">
        <v>44503</v>
      </c>
      <c r="D4267">
        <v>237</v>
      </c>
      <c r="E4267">
        <v>237</v>
      </c>
      <c r="F4267">
        <v>230</v>
      </c>
      <c r="G4267">
        <v>233</v>
      </c>
      <c r="H4267">
        <v>-4.5</v>
      </c>
      <c r="I4267">
        <v>190</v>
      </c>
    </row>
    <row r="4268" spans="1:9" x14ac:dyDescent="0.25">
      <c r="A4268" t="s">
        <v>1254</v>
      </c>
      <c r="B4268">
        <v>139</v>
      </c>
      <c r="C4268" s="1">
        <v>32130</v>
      </c>
      <c r="D4268">
        <v>230.5</v>
      </c>
      <c r="E4268">
        <v>233</v>
      </c>
      <c r="F4268">
        <v>229.5</v>
      </c>
      <c r="G4268">
        <v>231.5</v>
      </c>
      <c r="H4268">
        <v>-1.5</v>
      </c>
      <c r="I4268">
        <v>149</v>
      </c>
    </row>
    <row r="4269" spans="1:9" x14ac:dyDescent="0.25">
      <c r="A4269" t="s">
        <v>1255</v>
      </c>
      <c r="B4269">
        <v>66</v>
      </c>
      <c r="C4269" s="1">
        <v>15082</v>
      </c>
      <c r="D4269">
        <v>230.5</v>
      </c>
      <c r="E4269">
        <v>231</v>
      </c>
      <c r="F4269">
        <v>229.5</v>
      </c>
      <c r="G4269">
        <v>231</v>
      </c>
      <c r="H4269">
        <v>-0.5</v>
      </c>
      <c r="I4269">
        <v>79</v>
      </c>
    </row>
    <row r="4270" spans="1:9" x14ac:dyDescent="0.25">
      <c r="A4270" t="s">
        <v>1256</v>
      </c>
      <c r="B4270">
        <v>62</v>
      </c>
      <c r="C4270" s="1">
        <v>14554</v>
      </c>
      <c r="D4270">
        <v>230.5</v>
      </c>
      <c r="E4270">
        <v>237</v>
      </c>
      <c r="F4270">
        <v>230.5</v>
      </c>
      <c r="G4270">
        <v>236</v>
      </c>
      <c r="H4270">
        <v>5</v>
      </c>
      <c r="I4270">
        <v>93</v>
      </c>
    </row>
    <row r="4271" spans="1:9" x14ac:dyDescent="0.25">
      <c r="A4271" t="s">
        <v>1257</v>
      </c>
      <c r="B4271">
        <v>109</v>
      </c>
      <c r="C4271" s="1">
        <v>25864</v>
      </c>
      <c r="D4271">
        <v>235.5</v>
      </c>
      <c r="E4271">
        <v>240</v>
      </c>
      <c r="F4271">
        <v>235.5</v>
      </c>
      <c r="G4271">
        <v>237</v>
      </c>
      <c r="H4271">
        <v>1</v>
      </c>
      <c r="I4271">
        <v>98</v>
      </c>
    </row>
    <row r="4272" spans="1:9" x14ac:dyDescent="0.25">
      <c r="A4272" t="s">
        <v>951</v>
      </c>
      <c r="C4272" s="1"/>
    </row>
    <row r="4273" spans="1:9" x14ac:dyDescent="0.25">
      <c r="A4273" s="9" t="s">
        <v>1217</v>
      </c>
      <c r="B4273" s="1">
        <v>46</v>
      </c>
      <c r="C4273" s="1">
        <v>9382</v>
      </c>
      <c r="D4273">
        <v>203.5</v>
      </c>
      <c r="E4273">
        <v>205.5</v>
      </c>
      <c r="F4273">
        <v>203.5</v>
      </c>
      <c r="G4273">
        <v>205.5</v>
      </c>
      <c r="H4273">
        <v>2</v>
      </c>
      <c r="I4273" s="1">
        <v>40</v>
      </c>
    </row>
    <row r="4274" spans="1:9" x14ac:dyDescent="0.25">
      <c r="A4274" t="s">
        <v>1218</v>
      </c>
      <c r="B4274">
        <v>104</v>
      </c>
      <c r="C4274" s="1">
        <v>21851</v>
      </c>
      <c r="D4274">
        <v>206</v>
      </c>
      <c r="E4274">
        <v>212</v>
      </c>
      <c r="F4274">
        <v>206</v>
      </c>
      <c r="G4274">
        <v>210</v>
      </c>
      <c r="H4274">
        <v>4.5</v>
      </c>
      <c r="I4274">
        <v>108</v>
      </c>
    </row>
    <row r="4275" spans="1:9" x14ac:dyDescent="0.25">
      <c r="A4275" t="s">
        <v>1219</v>
      </c>
      <c r="B4275">
        <v>157</v>
      </c>
      <c r="C4275" s="1">
        <v>33936</v>
      </c>
      <c r="D4275">
        <v>210.5</v>
      </c>
      <c r="E4275">
        <v>217.5</v>
      </c>
      <c r="F4275">
        <v>210.5</v>
      </c>
      <c r="G4275">
        <v>214</v>
      </c>
      <c r="H4275">
        <v>4</v>
      </c>
      <c r="I4275">
        <v>138</v>
      </c>
    </row>
    <row r="4276" spans="1:9" x14ac:dyDescent="0.25">
      <c r="A4276" t="s">
        <v>1220</v>
      </c>
      <c r="B4276">
        <v>94</v>
      </c>
      <c r="C4276" s="1">
        <v>20185</v>
      </c>
      <c r="D4276">
        <v>215</v>
      </c>
      <c r="E4276">
        <v>215</v>
      </c>
      <c r="F4276">
        <v>212</v>
      </c>
      <c r="G4276">
        <v>214</v>
      </c>
      <c r="H4276">
        <v>0</v>
      </c>
      <c r="I4276">
        <v>66</v>
      </c>
    </row>
    <row r="4277" spans="1:9" x14ac:dyDescent="0.25">
      <c r="A4277" t="s">
        <v>1221</v>
      </c>
      <c r="B4277">
        <v>111</v>
      </c>
      <c r="C4277" s="1">
        <v>23843</v>
      </c>
      <c r="D4277">
        <v>214</v>
      </c>
      <c r="E4277">
        <v>216</v>
      </c>
      <c r="F4277">
        <v>213</v>
      </c>
      <c r="G4277">
        <v>213.5</v>
      </c>
      <c r="H4277">
        <v>-0.5</v>
      </c>
      <c r="I4277">
        <v>105</v>
      </c>
    </row>
    <row r="4278" spans="1:9" x14ac:dyDescent="0.25">
      <c r="A4278" t="s">
        <v>1222</v>
      </c>
      <c r="B4278">
        <v>149</v>
      </c>
      <c r="C4278" s="1">
        <v>31563</v>
      </c>
      <c r="D4278">
        <v>213</v>
      </c>
      <c r="E4278">
        <v>215</v>
      </c>
      <c r="F4278">
        <v>210.5</v>
      </c>
      <c r="G4278">
        <v>214</v>
      </c>
      <c r="H4278">
        <v>0.5</v>
      </c>
      <c r="I4278">
        <v>116</v>
      </c>
    </row>
    <row r="4279" spans="1:9" x14ac:dyDescent="0.25">
      <c r="A4279" t="s">
        <v>1223</v>
      </c>
      <c r="B4279">
        <v>64</v>
      </c>
      <c r="C4279" s="1">
        <v>13828</v>
      </c>
      <c r="D4279">
        <v>214</v>
      </c>
      <c r="E4279">
        <v>216.5</v>
      </c>
      <c r="F4279">
        <v>214</v>
      </c>
      <c r="G4279">
        <v>215</v>
      </c>
      <c r="H4279">
        <v>1</v>
      </c>
      <c r="I4279">
        <v>59</v>
      </c>
    </row>
    <row r="4280" spans="1:9" x14ac:dyDescent="0.25">
      <c r="A4280" t="s">
        <v>1224</v>
      </c>
      <c r="B4280">
        <v>85</v>
      </c>
      <c r="C4280" s="1">
        <v>18686</v>
      </c>
      <c r="D4280">
        <v>217</v>
      </c>
      <c r="E4280">
        <v>220</v>
      </c>
      <c r="F4280">
        <v>217</v>
      </c>
      <c r="G4280">
        <v>218.5</v>
      </c>
      <c r="H4280">
        <v>3.5</v>
      </c>
      <c r="I4280">
        <v>77</v>
      </c>
    </row>
    <row r="4281" spans="1:9" x14ac:dyDescent="0.25">
      <c r="A4281" t="s">
        <v>1225</v>
      </c>
      <c r="B4281">
        <v>42</v>
      </c>
      <c r="C4281" s="1">
        <v>9202</v>
      </c>
      <c r="D4281">
        <v>219.5</v>
      </c>
      <c r="E4281">
        <v>219.5</v>
      </c>
      <c r="F4281">
        <v>218</v>
      </c>
      <c r="G4281">
        <v>218.5</v>
      </c>
      <c r="H4281">
        <v>0</v>
      </c>
      <c r="I4281">
        <v>40</v>
      </c>
    </row>
    <row r="4282" spans="1:9" x14ac:dyDescent="0.25">
      <c r="A4282" t="s">
        <v>1226</v>
      </c>
      <c r="B4282">
        <v>37</v>
      </c>
      <c r="C4282" s="1">
        <v>8111</v>
      </c>
      <c r="D4282">
        <v>219</v>
      </c>
      <c r="E4282">
        <v>220</v>
      </c>
      <c r="F4282">
        <v>218.5</v>
      </c>
      <c r="G4282">
        <v>218.5</v>
      </c>
      <c r="H4282">
        <v>0</v>
      </c>
      <c r="I4282">
        <v>36</v>
      </c>
    </row>
    <row r="4283" spans="1:9" x14ac:dyDescent="0.25">
      <c r="A4283" t="s">
        <v>1227</v>
      </c>
      <c r="B4283">
        <v>51</v>
      </c>
      <c r="C4283" s="1">
        <v>11232</v>
      </c>
      <c r="D4283">
        <v>220</v>
      </c>
      <c r="E4283">
        <v>221</v>
      </c>
      <c r="F4283">
        <v>219.5</v>
      </c>
      <c r="G4283">
        <v>220.5</v>
      </c>
      <c r="H4283">
        <v>2</v>
      </c>
      <c r="I4283">
        <v>44</v>
      </c>
    </row>
    <row r="4284" spans="1:9" x14ac:dyDescent="0.25">
      <c r="A4284" t="s">
        <v>1228</v>
      </c>
      <c r="B4284">
        <v>36</v>
      </c>
      <c r="C4284" s="1">
        <v>7900</v>
      </c>
      <c r="D4284">
        <v>221</v>
      </c>
      <c r="E4284">
        <v>221</v>
      </c>
      <c r="F4284">
        <v>217</v>
      </c>
      <c r="G4284">
        <v>218.5</v>
      </c>
      <c r="H4284">
        <v>-2</v>
      </c>
      <c r="I4284">
        <v>32</v>
      </c>
    </row>
    <row r="4285" spans="1:9" x14ac:dyDescent="0.25">
      <c r="A4285" t="s">
        <v>1229</v>
      </c>
      <c r="B4285">
        <v>7</v>
      </c>
      <c r="C4285" s="1">
        <v>1525</v>
      </c>
      <c r="D4285">
        <v>218.5</v>
      </c>
      <c r="E4285">
        <v>218.5</v>
      </c>
      <c r="F4285">
        <v>216.5</v>
      </c>
      <c r="G4285">
        <v>218.5</v>
      </c>
      <c r="H4285">
        <v>0</v>
      </c>
      <c r="I4285">
        <v>8</v>
      </c>
    </row>
    <row r="4286" spans="1:9" x14ac:dyDescent="0.25">
      <c r="A4286" t="s">
        <v>1230</v>
      </c>
      <c r="B4286">
        <v>20</v>
      </c>
      <c r="C4286" s="1">
        <v>4395</v>
      </c>
      <c r="D4286">
        <v>216.5</v>
      </c>
      <c r="E4286">
        <v>218</v>
      </c>
      <c r="F4286">
        <v>216</v>
      </c>
      <c r="G4286">
        <v>218</v>
      </c>
      <c r="H4286">
        <v>-0.5</v>
      </c>
      <c r="I4286">
        <v>25</v>
      </c>
    </row>
    <row r="4287" spans="1:9" x14ac:dyDescent="0.25">
      <c r="A4287" t="s">
        <v>1231</v>
      </c>
      <c r="B4287">
        <v>53</v>
      </c>
      <c r="C4287" s="1">
        <v>11627</v>
      </c>
      <c r="D4287">
        <v>218</v>
      </c>
      <c r="E4287">
        <v>220.5</v>
      </c>
      <c r="F4287">
        <v>218</v>
      </c>
      <c r="G4287">
        <v>220.5</v>
      </c>
      <c r="H4287">
        <v>2.5</v>
      </c>
      <c r="I4287">
        <v>50</v>
      </c>
    </row>
    <row r="4288" spans="1:9" x14ac:dyDescent="0.25">
      <c r="A4288" t="s">
        <v>1232</v>
      </c>
      <c r="B4288">
        <v>35</v>
      </c>
      <c r="C4288" s="1">
        <v>7707</v>
      </c>
      <c r="D4288">
        <v>220.5</v>
      </c>
      <c r="E4288">
        <v>220.5</v>
      </c>
      <c r="F4288">
        <v>219</v>
      </c>
      <c r="G4288">
        <v>220</v>
      </c>
      <c r="H4288">
        <v>-0.5</v>
      </c>
      <c r="I4288">
        <v>31</v>
      </c>
    </row>
    <row r="4289" spans="1:9" x14ac:dyDescent="0.25">
      <c r="A4289" t="s">
        <v>1233</v>
      </c>
      <c r="B4289">
        <v>24</v>
      </c>
      <c r="C4289" s="1">
        <v>5270</v>
      </c>
      <c r="D4289">
        <v>220</v>
      </c>
      <c r="E4289">
        <v>220</v>
      </c>
      <c r="F4289">
        <v>218.5</v>
      </c>
      <c r="G4289">
        <v>220</v>
      </c>
      <c r="H4289">
        <v>0</v>
      </c>
      <c r="I4289">
        <v>21</v>
      </c>
    </row>
    <row r="4290" spans="1:9" x14ac:dyDescent="0.25">
      <c r="A4290" t="s">
        <v>1234</v>
      </c>
      <c r="B4290">
        <v>22</v>
      </c>
      <c r="C4290" s="1">
        <v>4838</v>
      </c>
      <c r="D4290">
        <v>219</v>
      </c>
      <c r="E4290">
        <v>219.5</v>
      </c>
      <c r="F4290">
        <v>218.5</v>
      </c>
      <c r="G4290">
        <v>219.5</v>
      </c>
      <c r="H4290">
        <v>-0.5</v>
      </c>
      <c r="I4290">
        <v>21</v>
      </c>
    </row>
    <row r="4291" spans="1:9" x14ac:dyDescent="0.25">
      <c r="A4291" t="s">
        <v>857</v>
      </c>
      <c r="C4291" s="1"/>
    </row>
    <row r="4297" spans="1:9" x14ac:dyDescent="0.25">
      <c r="A4297" s="9" t="s">
        <v>1200</v>
      </c>
      <c r="B4297" s="1">
        <v>21</v>
      </c>
      <c r="C4297" s="1">
        <v>4207</v>
      </c>
      <c r="D4297">
        <v>200</v>
      </c>
      <c r="E4297">
        <v>201</v>
      </c>
      <c r="F4297">
        <v>200</v>
      </c>
      <c r="G4297">
        <v>200.5</v>
      </c>
      <c r="H4297">
        <v>-1</v>
      </c>
      <c r="I4297" s="1">
        <v>17</v>
      </c>
    </row>
    <row r="4298" spans="1:9" x14ac:dyDescent="0.25">
      <c r="A4298" t="s">
        <v>1201</v>
      </c>
      <c r="B4298">
        <v>23</v>
      </c>
      <c r="C4298" s="1">
        <v>4617</v>
      </c>
      <c r="D4298">
        <v>200.5</v>
      </c>
      <c r="E4298">
        <v>200.5</v>
      </c>
      <c r="F4298">
        <v>200</v>
      </c>
      <c r="G4298">
        <v>200.5</v>
      </c>
      <c r="H4298">
        <v>0</v>
      </c>
      <c r="I4298">
        <v>22</v>
      </c>
    </row>
    <row r="4299" spans="1:9" x14ac:dyDescent="0.25">
      <c r="A4299" t="s">
        <v>1202</v>
      </c>
      <c r="B4299">
        <v>14</v>
      </c>
      <c r="C4299" s="1">
        <v>2803</v>
      </c>
      <c r="D4299">
        <v>200</v>
      </c>
      <c r="E4299">
        <v>201</v>
      </c>
      <c r="F4299">
        <v>200</v>
      </c>
      <c r="G4299">
        <v>201</v>
      </c>
      <c r="H4299">
        <v>0.5</v>
      </c>
      <c r="I4299">
        <v>13</v>
      </c>
    </row>
    <row r="4300" spans="1:9" x14ac:dyDescent="0.25">
      <c r="A4300" t="s">
        <v>1203</v>
      </c>
      <c r="B4300">
        <v>27</v>
      </c>
      <c r="C4300" s="1">
        <v>5430</v>
      </c>
      <c r="D4300">
        <v>201</v>
      </c>
      <c r="E4300">
        <v>202</v>
      </c>
      <c r="F4300">
        <v>200.5</v>
      </c>
      <c r="G4300">
        <v>200.5</v>
      </c>
      <c r="H4300">
        <v>-0.5</v>
      </c>
      <c r="I4300">
        <v>25</v>
      </c>
    </row>
    <row r="4301" spans="1:9" x14ac:dyDescent="0.25">
      <c r="A4301" t="s">
        <v>1204</v>
      </c>
      <c r="B4301">
        <v>18</v>
      </c>
      <c r="C4301" s="1">
        <v>3537</v>
      </c>
      <c r="D4301">
        <v>201</v>
      </c>
      <c r="E4301">
        <v>201</v>
      </c>
      <c r="F4301">
        <v>200</v>
      </c>
      <c r="G4301">
        <v>200.5</v>
      </c>
      <c r="H4301">
        <v>0</v>
      </c>
      <c r="I4301">
        <v>18</v>
      </c>
    </row>
    <row r="4302" spans="1:9" x14ac:dyDescent="0.25">
      <c r="A4302" t="s">
        <v>1205</v>
      </c>
      <c r="B4302">
        <v>20</v>
      </c>
      <c r="C4302" s="1">
        <v>4041</v>
      </c>
      <c r="D4302">
        <v>200.5</v>
      </c>
      <c r="E4302">
        <v>201.5</v>
      </c>
      <c r="F4302">
        <v>200</v>
      </c>
      <c r="G4302">
        <v>201.5</v>
      </c>
      <c r="H4302">
        <v>1</v>
      </c>
      <c r="I4302">
        <v>20</v>
      </c>
    </row>
    <row r="4303" spans="1:9" x14ac:dyDescent="0.25">
      <c r="A4303" t="s">
        <v>1206</v>
      </c>
      <c r="B4303">
        <v>15</v>
      </c>
      <c r="C4303" s="1">
        <v>3134</v>
      </c>
      <c r="D4303">
        <v>203</v>
      </c>
      <c r="E4303">
        <v>203</v>
      </c>
      <c r="F4303">
        <v>202</v>
      </c>
      <c r="G4303">
        <v>202.5</v>
      </c>
      <c r="H4303">
        <v>1</v>
      </c>
      <c r="I4303">
        <v>20</v>
      </c>
    </row>
    <row r="4304" spans="1:9" x14ac:dyDescent="0.25">
      <c r="A4304" t="s">
        <v>1207</v>
      </c>
      <c r="B4304">
        <v>26</v>
      </c>
      <c r="C4304" s="1">
        <v>5162</v>
      </c>
      <c r="D4304">
        <v>202.5</v>
      </c>
      <c r="E4304">
        <v>203</v>
      </c>
      <c r="F4304">
        <v>201</v>
      </c>
      <c r="G4304">
        <v>202.5</v>
      </c>
      <c r="H4304">
        <v>0</v>
      </c>
      <c r="I4304">
        <v>30</v>
      </c>
    </row>
    <row r="4305" spans="1:9" x14ac:dyDescent="0.25">
      <c r="A4305" t="s">
        <v>1208</v>
      </c>
      <c r="B4305">
        <v>9</v>
      </c>
      <c r="C4305" s="1">
        <v>1821</v>
      </c>
      <c r="D4305">
        <v>201.5</v>
      </c>
      <c r="E4305">
        <v>201.5</v>
      </c>
      <c r="F4305">
        <v>201</v>
      </c>
      <c r="G4305">
        <v>201.5</v>
      </c>
      <c r="H4305">
        <v>-1</v>
      </c>
      <c r="I4305">
        <v>8</v>
      </c>
    </row>
    <row r="4306" spans="1:9" x14ac:dyDescent="0.25">
      <c r="A4306" t="s">
        <v>1209</v>
      </c>
      <c r="B4306">
        <v>9</v>
      </c>
      <c r="C4306" s="1">
        <v>1845</v>
      </c>
      <c r="D4306">
        <v>201.5</v>
      </c>
      <c r="E4306">
        <v>201.5</v>
      </c>
      <c r="F4306">
        <v>200.5</v>
      </c>
      <c r="G4306">
        <v>200.5</v>
      </c>
      <c r="H4306">
        <v>-1</v>
      </c>
      <c r="I4306">
        <v>14</v>
      </c>
    </row>
    <row r="4307" spans="1:9" x14ac:dyDescent="0.25">
      <c r="A4307" t="s">
        <v>1210</v>
      </c>
      <c r="B4307">
        <v>38</v>
      </c>
      <c r="C4307" s="1">
        <v>7622</v>
      </c>
      <c r="D4307">
        <v>201</v>
      </c>
      <c r="E4307">
        <v>201</v>
      </c>
      <c r="F4307">
        <v>200</v>
      </c>
      <c r="G4307">
        <v>200.5</v>
      </c>
      <c r="H4307">
        <v>0</v>
      </c>
      <c r="I4307">
        <v>29</v>
      </c>
    </row>
    <row r="4308" spans="1:9" x14ac:dyDescent="0.25">
      <c r="A4308" t="s">
        <v>1211</v>
      </c>
      <c r="B4308">
        <v>20</v>
      </c>
      <c r="C4308" s="1">
        <v>3945</v>
      </c>
      <c r="D4308">
        <v>200</v>
      </c>
      <c r="E4308">
        <v>202</v>
      </c>
      <c r="F4308">
        <v>200</v>
      </c>
      <c r="G4308">
        <v>202</v>
      </c>
      <c r="H4308">
        <v>1.5</v>
      </c>
      <c r="I4308">
        <v>24</v>
      </c>
    </row>
    <row r="4309" spans="1:9" x14ac:dyDescent="0.25">
      <c r="A4309" t="s">
        <v>1212</v>
      </c>
      <c r="B4309">
        <v>8</v>
      </c>
      <c r="C4309" s="1">
        <v>1670</v>
      </c>
      <c r="D4309">
        <v>201</v>
      </c>
      <c r="E4309">
        <v>202.5</v>
      </c>
      <c r="F4309">
        <v>201</v>
      </c>
      <c r="G4309">
        <v>202.5</v>
      </c>
      <c r="H4309">
        <v>0.5</v>
      </c>
      <c r="I4309">
        <v>15</v>
      </c>
    </row>
    <row r="4310" spans="1:9" x14ac:dyDescent="0.25">
      <c r="A4310" t="s">
        <v>1213</v>
      </c>
      <c r="B4310">
        <v>7</v>
      </c>
      <c r="C4310" s="1">
        <v>1439</v>
      </c>
      <c r="D4310">
        <v>202.5</v>
      </c>
      <c r="E4310">
        <v>202.5</v>
      </c>
      <c r="F4310">
        <v>200</v>
      </c>
      <c r="G4310">
        <v>202.5</v>
      </c>
      <c r="H4310">
        <v>0</v>
      </c>
      <c r="I4310">
        <v>13</v>
      </c>
    </row>
    <row r="4311" spans="1:9" x14ac:dyDescent="0.25">
      <c r="A4311" t="s">
        <v>1214</v>
      </c>
      <c r="B4311">
        <v>31</v>
      </c>
      <c r="C4311" s="1">
        <v>6275</v>
      </c>
      <c r="D4311">
        <v>202.5</v>
      </c>
      <c r="E4311">
        <v>203.5</v>
      </c>
      <c r="F4311">
        <v>200</v>
      </c>
      <c r="G4311">
        <v>203.5</v>
      </c>
      <c r="H4311">
        <v>1</v>
      </c>
      <c r="I4311">
        <v>31</v>
      </c>
    </row>
    <row r="4312" spans="1:9" x14ac:dyDescent="0.25">
      <c r="A4312" t="s">
        <v>1215</v>
      </c>
      <c r="B4312">
        <v>20</v>
      </c>
      <c r="C4312" s="1">
        <v>3976</v>
      </c>
      <c r="D4312">
        <v>203</v>
      </c>
      <c r="E4312">
        <v>203.5</v>
      </c>
      <c r="F4312">
        <v>202</v>
      </c>
      <c r="G4312">
        <v>203.5</v>
      </c>
      <c r="H4312">
        <v>0</v>
      </c>
      <c r="I4312">
        <v>28</v>
      </c>
    </row>
    <row r="4313" spans="1:9" x14ac:dyDescent="0.25">
      <c r="A4313" t="s">
        <v>1216</v>
      </c>
      <c r="C4313" s="1"/>
    </row>
    <row r="4321" spans="1:9" x14ac:dyDescent="0.25">
      <c r="A4321" s="9" t="s">
        <v>1178</v>
      </c>
      <c r="B4321" s="1">
        <v>49</v>
      </c>
      <c r="C4321" s="1">
        <v>9882</v>
      </c>
      <c r="D4321">
        <v>200.5</v>
      </c>
      <c r="E4321">
        <v>202.5</v>
      </c>
      <c r="F4321">
        <v>200.5</v>
      </c>
      <c r="G4321">
        <v>202</v>
      </c>
      <c r="H4321">
        <v>0.5</v>
      </c>
      <c r="I4321" s="1">
        <v>39</v>
      </c>
    </row>
    <row r="4322" spans="1:9" x14ac:dyDescent="0.25">
      <c r="A4322" t="s">
        <v>1179</v>
      </c>
      <c r="B4322">
        <v>107</v>
      </c>
      <c r="C4322" s="1">
        <v>21729</v>
      </c>
      <c r="D4322">
        <v>201</v>
      </c>
      <c r="E4322">
        <v>203</v>
      </c>
      <c r="F4322">
        <v>201</v>
      </c>
      <c r="G4322">
        <v>203</v>
      </c>
      <c r="H4322">
        <v>1</v>
      </c>
      <c r="I4322">
        <v>59</v>
      </c>
    </row>
    <row r="4323" spans="1:9" x14ac:dyDescent="0.25">
      <c r="A4323" t="s">
        <v>1180</v>
      </c>
      <c r="B4323">
        <v>167</v>
      </c>
      <c r="C4323" s="1">
        <v>34018</v>
      </c>
      <c r="D4323">
        <v>203</v>
      </c>
      <c r="E4323">
        <v>208</v>
      </c>
      <c r="F4323">
        <v>201</v>
      </c>
      <c r="G4323">
        <v>207.5</v>
      </c>
      <c r="H4323">
        <v>4.5</v>
      </c>
      <c r="I4323">
        <v>114</v>
      </c>
    </row>
    <row r="4324" spans="1:9" x14ac:dyDescent="0.25">
      <c r="A4324" t="s">
        <v>1181</v>
      </c>
      <c r="B4324">
        <v>39</v>
      </c>
      <c r="C4324" s="1">
        <v>8062</v>
      </c>
      <c r="D4324">
        <v>208</v>
      </c>
      <c r="E4324">
        <v>208</v>
      </c>
      <c r="F4324">
        <v>205</v>
      </c>
      <c r="G4324">
        <v>205.5</v>
      </c>
      <c r="H4324">
        <v>-2</v>
      </c>
      <c r="I4324">
        <v>37</v>
      </c>
    </row>
    <row r="4325" spans="1:9" x14ac:dyDescent="0.25">
      <c r="A4325" t="s">
        <v>1182</v>
      </c>
      <c r="B4325">
        <v>53</v>
      </c>
      <c r="C4325" s="1">
        <v>10913</v>
      </c>
      <c r="D4325">
        <v>206.5</v>
      </c>
      <c r="E4325">
        <v>206.5</v>
      </c>
      <c r="F4325">
        <v>203.5</v>
      </c>
      <c r="G4325">
        <v>205</v>
      </c>
      <c r="H4325">
        <v>-0.5</v>
      </c>
      <c r="I4325">
        <v>51</v>
      </c>
    </row>
    <row r="4326" spans="1:9" x14ac:dyDescent="0.25">
      <c r="A4326" t="s">
        <v>1183</v>
      </c>
      <c r="B4326">
        <v>22</v>
      </c>
      <c r="C4326" s="1">
        <v>4567</v>
      </c>
      <c r="D4326">
        <v>205</v>
      </c>
      <c r="E4326">
        <v>206</v>
      </c>
      <c r="F4326">
        <v>205</v>
      </c>
      <c r="G4326">
        <v>206</v>
      </c>
      <c r="H4326">
        <v>1</v>
      </c>
      <c r="I4326">
        <v>23</v>
      </c>
    </row>
    <row r="4327" spans="1:9" x14ac:dyDescent="0.25">
      <c r="A4327" t="s">
        <v>1184</v>
      </c>
      <c r="B4327">
        <v>27</v>
      </c>
      <c r="C4327" s="1">
        <v>5603</v>
      </c>
      <c r="D4327">
        <v>205.5</v>
      </c>
      <c r="E4327">
        <v>206</v>
      </c>
      <c r="F4327">
        <v>204</v>
      </c>
      <c r="G4327">
        <v>204</v>
      </c>
      <c r="H4327">
        <v>-2</v>
      </c>
      <c r="I4327">
        <v>28</v>
      </c>
    </row>
    <row r="4328" spans="1:9" x14ac:dyDescent="0.25">
      <c r="A4328" t="s">
        <v>1185</v>
      </c>
      <c r="B4328">
        <v>68</v>
      </c>
      <c r="C4328" s="1">
        <v>13800</v>
      </c>
      <c r="D4328">
        <v>204</v>
      </c>
      <c r="E4328">
        <v>204.5</v>
      </c>
      <c r="F4328">
        <v>200</v>
      </c>
      <c r="G4328">
        <v>200.5</v>
      </c>
      <c r="H4328">
        <v>-3.5</v>
      </c>
      <c r="I4328">
        <v>56</v>
      </c>
    </row>
    <row r="4329" spans="1:9" x14ac:dyDescent="0.25">
      <c r="A4329" t="s">
        <v>1186</v>
      </c>
      <c r="B4329">
        <v>19</v>
      </c>
      <c r="C4329" s="1">
        <v>3855</v>
      </c>
      <c r="D4329">
        <v>201</v>
      </c>
      <c r="E4329">
        <v>203</v>
      </c>
      <c r="F4329">
        <v>201</v>
      </c>
      <c r="G4329">
        <v>202.5</v>
      </c>
      <c r="H4329">
        <v>2</v>
      </c>
      <c r="I4329">
        <v>19</v>
      </c>
    </row>
    <row r="4330" spans="1:9" x14ac:dyDescent="0.25">
      <c r="A4330" t="s">
        <v>1187</v>
      </c>
      <c r="B4330">
        <v>13</v>
      </c>
      <c r="C4330" s="1">
        <v>2665</v>
      </c>
      <c r="D4330">
        <v>202</v>
      </c>
      <c r="E4330">
        <v>202.5</v>
      </c>
      <c r="F4330">
        <v>201</v>
      </c>
      <c r="G4330">
        <v>201</v>
      </c>
      <c r="H4330">
        <v>-1.5</v>
      </c>
      <c r="I4330">
        <v>15</v>
      </c>
    </row>
    <row r="4331" spans="1:9" x14ac:dyDescent="0.25">
      <c r="A4331" t="s">
        <v>1188</v>
      </c>
      <c r="B4331">
        <v>13</v>
      </c>
      <c r="C4331" s="1">
        <v>2678</v>
      </c>
      <c r="D4331">
        <v>201</v>
      </c>
      <c r="E4331">
        <v>203</v>
      </c>
      <c r="F4331">
        <v>201</v>
      </c>
      <c r="G4331">
        <v>203</v>
      </c>
      <c r="H4331">
        <v>2</v>
      </c>
      <c r="I4331">
        <v>13</v>
      </c>
    </row>
    <row r="4332" spans="1:9" x14ac:dyDescent="0.25">
      <c r="A4332" t="s">
        <v>1189</v>
      </c>
      <c r="B4332">
        <v>21</v>
      </c>
      <c r="C4332" s="1">
        <v>4363</v>
      </c>
      <c r="D4332">
        <v>202.5</v>
      </c>
      <c r="E4332">
        <v>203.5</v>
      </c>
      <c r="F4332">
        <v>202.5</v>
      </c>
      <c r="G4332">
        <v>203</v>
      </c>
      <c r="H4332">
        <v>0</v>
      </c>
      <c r="I4332">
        <v>28</v>
      </c>
    </row>
    <row r="4333" spans="1:9" x14ac:dyDescent="0.25">
      <c r="A4333" t="s">
        <v>1190</v>
      </c>
      <c r="B4333">
        <v>40</v>
      </c>
      <c r="C4333" s="1">
        <v>8076</v>
      </c>
      <c r="D4333">
        <v>202.5</v>
      </c>
      <c r="E4333">
        <v>202.5</v>
      </c>
      <c r="F4333">
        <v>198</v>
      </c>
      <c r="G4333">
        <v>200</v>
      </c>
      <c r="H4333">
        <v>-3</v>
      </c>
      <c r="I4333">
        <v>44</v>
      </c>
    </row>
    <row r="4334" spans="1:9" x14ac:dyDescent="0.25">
      <c r="A4334" t="s">
        <v>1191</v>
      </c>
      <c r="B4334">
        <v>30</v>
      </c>
      <c r="C4334" s="1">
        <v>6083</v>
      </c>
      <c r="D4334">
        <v>200</v>
      </c>
      <c r="E4334">
        <v>201.5</v>
      </c>
      <c r="F4334">
        <v>199.5</v>
      </c>
      <c r="G4334">
        <v>200</v>
      </c>
      <c r="H4334">
        <v>0</v>
      </c>
      <c r="I4334">
        <v>36</v>
      </c>
    </row>
    <row r="4335" spans="1:9" x14ac:dyDescent="0.25">
      <c r="A4335" t="s">
        <v>1192</v>
      </c>
      <c r="B4335">
        <v>5</v>
      </c>
      <c r="C4335" s="1">
        <v>1005</v>
      </c>
      <c r="D4335">
        <v>200.5</v>
      </c>
      <c r="E4335">
        <v>201</v>
      </c>
      <c r="F4335">
        <v>200</v>
      </c>
      <c r="G4335">
        <v>201</v>
      </c>
      <c r="H4335">
        <v>1</v>
      </c>
      <c r="I4335">
        <v>6</v>
      </c>
    </row>
    <row r="4336" spans="1:9" x14ac:dyDescent="0.25">
      <c r="A4336" t="s">
        <v>1193</v>
      </c>
      <c r="B4336">
        <v>5</v>
      </c>
      <c r="C4336" s="1">
        <v>920</v>
      </c>
      <c r="D4336">
        <v>200</v>
      </c>
      <c r="E4336">
        <v>200</v>
      </c>
      <c r="F4336">
        <v>199.5</v>
      </c>
      <c r="G4336">
        <v>199.5</v>
      </c>
      <c r="H4336">
        <v>-1.5</v>
      </c>
      <c r="I4336">
        <v>9</v>
      </c>
    </row>
    <row r="4337" spans="1:9" x14ac:dyDescent="0.25">
      <c r="A4337" t="s">
        <v>1194</v>
      </c>
      <c r="B4337">
        <v>8</v>
      </c>
      <c r="C4337" s="1">
        <v>1507</v>
      </c>
      <c r="D4337">
        <v>199</v>
      </c>
      <c r="E4337">
        <v>199</v>
      </c>
      <c r="F4337">
        <v>199</v>
      </c>
      <c r="G4337">
        <v>199</v>
      </c>
      <c r="H4337">
        <v>-0.5</v>
      </c>
      <c r="I4337">
        <v>12</v>
      </c>
    </row>
    <row r="4338" spans="1:9" x14ac:dyDescent="0.25">
      <c r="A4338" t="s">
        <v>1195</v>
      </c>
      <c r="B4338">
        <v>12</v>
      </c>
      <c r="C4338" s="1">
        <v>2407</v>
      </c>
      <c r="D4338">
        <v>199</v>
      </c>
      <c r="E4338">
        <v>200</v>
      </c>
      <c r="F4338">
        <v>199</v>
      </c>
      <c r="G4338">
        <v>200</v>
      </c>
      <c r="H4338">
        <v>1</v>
      </c>
      <c r="I4338">
        <v>13</v>
      </c>
    </row>
    <row r="4339" spans="1:9" x14ac:dyDescent="0.25">
      <c r="A4339" t="s">
        <v>1196</v>
      </c>
      <c r="B4339">
        <v>24</v>
      </c>
      <c r="C4339" s="1">
        <v>4838</v>
      </c>
      <c r="D4339">
        <v>200.5</v>
      </c>
      <c r="E4339">
        <v>202</v>
      </c>
      <c r="F4339">
        <v>200.5</v>
      </c>
      <c r="G4339">
        <v>202</v>
      </c>
      <c r="H4339">
        <v>2</v>
      </c>
      <c r="I4339">
        <v>18</v>
      </c>
    </row>
    <row r="4340" spans="1:9" x14ac:dyDescent="0.25">
      <c r="A4340" t="s">
        <v>1197</v>
      </c>
      <c r="B4340">
        <v>11</v>
      </c>
      <c r="C4340" s="1">
        <v>2220</v>
      </c>
      <c r="D4340">
        <v>202</v>
      </c>
      <c r="E4340">
        <v>202</v>
      </c>
      <c r="F4340">
        <v>200</v>
      </c>
      <c r="G4340">
        <v>200</v>
      </c>
      <c r="H4340">
        <v>-2</v>
      </c>
      <c r="I4340">
        <v>12</v>
      </c>
    </row>
    <row r="4341" spans="1:9" x14ac:dyDescent="0.25">
      <c r="A4341" t="s">
        <v>1198</v>
      </c>
      <c r="B4341">
        <v>8</v>
      </c>
      <c r="C4341" s="1">
        <v>1648</v>
      </c>
      <c r="D4341">
        <v>200</v>
      </c>
      <c r="E4341">
        <v>201.5</v>
      </c>
      <c r="F4341">
        <v>200</v>
      </c>
      <c r="G4341">
        <v>200.5</v>
      </c>
      <c r="H4341">
        <v>0.5</v>
      </c>
      <c r="I4341">
        <v>11</v>
      </c>
    </row>
    <row r="4342" spans="1:9" x14ac:dyDescent="0.25">
      <c r="A4342" t="s">
        <v>1199</v>
      </c>
      <c r="B4342">
        <v>6</v>
      </c>
      <c r="C4342" s="1">
        <v>1210</v>
      </c>
      <c r="D4342">
        <v>201</v>
      </c>
      <c r="E4342">
        <v>201.5</v>
      </c>
      <c r="F4342">
        <v>200.5</v>
      </c>
      <c r="G4342">
        <v>201.5</v>
      </c>
      <c r="H4342">
        <v>1</v>
      </c>
      <c r="I4342">
        <v>7</v>
      </c>
    </row>
    <row r="4343" spans="1:9" x14ac:dyDescent="0.25">
      <c r="A4343" t="s">
        <v>1177</v>
      </c>
      <c r="C4343" s="1"/>
    </row>
    <row r="4345" spans="1:9" x14ac:dyDescent="0.25">
      <c r="A4345" s="9" t="s">
        <v>1155</v>
      </c>
      <c r="B4345" s="1">
        <v>3</v>
      </c>
      <c r="C4345" s="1">
        <v>572</v>
      </c>
      <c r="D4345">
        <v>189.5</v>
      </c>
      <c r="E4345">
        <v>189.5</v>
      </c>
      <c r="F4345">
        <v>189.5</v>
      </c>
      <c r="G4345">
        <v>189.5</v>
      </c>
      <c r="H4345">
        <v>0</v>
      </c>
      <c r="I4345" s="1">
        <v>5</v>
      </c>
    </row>
    <row r="4346" spans="1:9" x14ac:dyDescent="0.25">
      <c r="A4346" t="s">
        <v>1156</v>
      </c>
      <c r="B4346">
        <v>80</v>
      </c>
      <c r="C4346" s="1">
        <v>15120</v>
      </c>
      <c r="D4346">
        <v>189</v>
      </c>
      <c r="E4346">
        <v>189</v>
      </c>
      <c r="F4346">
        <v>186</v>
      </c>
      <c r="G4346">
        <v>186.5</v>
      </c>
      <c r="H4346">
        <v>-3</v>
      </c>
      <c r="I4346">
        <v>53</v>
      </c>
    </row>
    <row r="4347" spans="1:9" x14ac:dyDescent="0.25">
      <c r="A4347" t="s">
        <v>1157</v>
      </c>
      <c r="B4347">
        <v>38</v>
      </c>
      <c r="C4347" s="1">
        <v>7064</v>
      </c>
      <c r="D4347">
        <v>186.5</v>
      </c>
      <c r="E4347">
        <v>186.5</v>
      </c>
      <c r="F4347">
        <v>185</v>
      </c>
      <c r="G4347">
        <v>186.5</v>
      </c>
      <c r="H4347">
        <v>0</v>
      </c>
      <c r="I4347">
        <v>35</v>
      </c>
    </row>
    <row r="4348" spans="1:9" x14ac:dyDescent="0.25">
      <c r="A4348" t="s">
        <v>1158</v>
      </c>
      <c r="B4348">
        <v>11</v>
      </c>
      <c r="C4348" s="1">
        <v>2056</v>
      </c>
      <c r="D4348">
        <v>186.5</v>
      </c>
      <c r="E4348">
        <v>187</v>
      </c>
      <c r="F4348">
        <v>186.5</v>
      </c>
      <c r="G4348">
        <v>187</v>
      </c>
      <c r="H4348">
        <v>0.5</v>
      </c>
      <c r="I4348">
        <v>11</v>
      </c>
    </row>
    <row r="4349" spans="1:9" x14ac:dyDescent="0.25">
      <c r="A4349" t="s">
        <v>1159</v>
      </c>
      <c r="B4349">
        <v>5</v>
      </c>
      <c r="C4349" s="1">
        <v>955</v>
      </c>
      <c r="D4349">
        <v>187</v>
      </c>
      <c r="E4349">
        <v>189.5</v>
      </c>
      <c r="F4349">
        <v>187</v>
      </c>
      <c r="G4349">
        <v>189.5</v>
      </c>
      <c r="H4349">
        <v>2.5</v>
      </c>
      <c r="I4349">
        <v>8</v>
      </c>
    </row>
    <row r="4350" spans="1:9" x14ac:dyDescent="0.25">
      <c r="A4350" t="s">
        <v>1160</v>
      </c>
      <c r="B4350">
        <v>28</v>
      </c>
      <c r="C4350" s="1">
        <v>5256</v>
      </c>
      <c r="D4350">
        <v>187</v>
      </c>
      <c r="E4350">
        <v>188.5</v>
      </c>
      <c r="F4350">
        <v>187</v>
      </c>
      <c r="G4350">
        <v>188</v>
      </c>
      <c r="H4350">
        <v>-1.5</v>
      </c>
      <c r="I4350">
        <v>14</v>
      </c>
    </row>
    <row r="4351" spans="1:9" x14ac:dyDescent="0.25">
      <c r="A4351" t="s">
        <v>1161</v>
      </c>
      <c r="B4351">
        <v>54</v>
      </c>
      <c r="C4351" s="1">
        <v>10115</v>
      </c>
      <c r="D4351">
        <v>189</v>
      </c>
      <c r="E4351">
        <v>189</v>
      </c>
      <c r="F4351">
        <v>185</v>
      </c>
      <c r="G4351">
        <v>185</v>
      </c>
      <c r="H4351">
        <v>-3</v>
      </c>
      <c r="I4351">
        <v>33</v>
      </c>
    </row>
    <row r="4352" spans="1:9" x14ac:dyDescent="0.25">
      <c r="A4352" t="s">
        <v>1162</v>
      </c>
      <c r="B4352">
        <v>80</v>
      </c>
      <c r="C4352" s="1">
        <v>14868</v>
      </c>
      <c r="D4352">
        <v>185</v>
      </c>
      <c r="E4352">
        <v>188</v>
      </c>
      <c r="F4352">
        <v>183</v>
      </c>
      <c r="G4352">
        <v>187</v>
      </c>
      <c r="H4352">
        <v>2</v>
      </c>
      <c r="I4352">
        <v>66</v>
      </c>
    </row>
    <row r="4353" spans="1:9" x14ac:dyDescent="0.25">
      <c r="A4353" t="s">
        <v>1163</v>
      </c>
      <c r="B4353">
        <v>48</v>
      </c>
      <c r="C4353" s="1">
        <v>9065</v>
      </c>
      <c r="D4353">
        <v>186.5</v>
      </c>
      <c r="E4353">
        <v>189</v>
      </c>
      <c r="F4353">
        <v>186.5</v>
      </c>
      <c r="G4353">
        <v>188.5</v>
      </c>
      <c r="H4353">
        <v>1.5</v>
      </c>
      <c r="I4353">
        <v>42</v>
      </c>
    </row>
    <row r="4354" spans="1:9" x14ac:dyDescent="0.25">
      <c r="A4354" t="s">
        <v>1164</v>
      </c>
      <c r="B4354">
        <v>2</v>
      </c>
      <c r="C4354" s="1">
        <v>442</v>
      </c>
      <c r="D4354">
        <v>188</v>
      </c>
      <c r="E4354">
        <v>188</v>
      </c>
      <c r="F4354">
        <v>188</v>
      </c>
      <c r="G4354">
        <v>188</v>
      </c>
      <c r="H4354">
        <v>-0.5</v>
      </c>
      <c r="I4354">
        <v>9</v>
      </c>
    </row>
    <row r="4355" spans="1:9" x14ac:dyDescent="0.25">
      <c r="A4355" t="s">
        <v>1165</v>
      </c>
      <c r="B4355">
        <v>96</v>
      </c>
      <c r="C4355" s="1">
        <v>18407</v>
      </c>
      <c r="D4355">
        <v>188</v>
      </c>
      <c r="E4355">
        <v>192.5</v>
      </c>
      <c r="F4355">
        <v>188</v>
      </c>
      <c r="G4355">
        <v>192.5</v>
      </c>
      <c r="H4355">
        <v>4.5</v>
      </c>
      <c r="I4355">
        <v>81</v>
      </c>
    </row>
    <row r="4356" spans="1:9" x14ac:dyDescent="0.25">
      <c r="A4356" t="s">
        <v>1166</v>
      </c>
      <c r="B4356">
        <v>52</v>
      </c>
      <c r="C4356" s="1">
        <v>9931</v>
      </c>
      <c r="D4356">
        <v>191.5</v>
      </c>
      <c r="E4356">
        <v>193.5</v>
      </c>
      <c r="F4356">
        <v>191.5</v>
      </c>
      <c r="G4356">
        <v>192.5</v>
      </c>
      <c r="H4356">
        <v>0</v>
      </c>
      <c r="I4356">
        <v>49</v>
      </c>
    </row>
    <row r="4357" spans="1:9" x14ac:dyDescent="0.25">
      <c r="A4357" t="s">
        <v>1167</v>
      </c>
      <c r="B4357">
        <v>18</v>
      </c>
      <c r="C4357" s="1">
        <v>3512</v>
      </c>
      <c r="D4357">
        <v>192.5</v>
      </c>
      <c r="E4357">
        <v>193</v>
      </c>
      <c r="F4357">
        <v>192</v>
      </c>
      <c r="G4357">
        <v>193</v>
      </c>
      <c r="H4357">
        <v>0.5</v>
      </c>
      <c r="I4357">
        <v>22</v>
      </c>
    </row>
    <row r="4358" spans="1:9" x14ac:dyDescent="0.25">
      <c r="A4358" t="s">
        <v>1168</v>
      </c>
      <c r="B4358">
        <v>29</v>
      </c>
      <c r="C4358" s="1">
        <v>5614</v>
      </c>
      <c r="D4358">
        <v>193</v>
      </c>
      <c r="E4358">
        <v>194</v>
      </c>
      <c r="F4358">
        <v>193</v>
      </c>
      <c r="G4358">
        <v>193.5</v>
      </c>
      <c r="H4358">
        <v>0.5</v>
      </c>
      <c r="I4358">
        <v>22</v>
      </c>
    </row>
    <row r="4359" spans="1:9" x14ac:dyDescent="0.25">
      <c r="A4359" t="s">
        <v>1169</v>
      </c>
      <c r="B4359">
        <v>46</v>
      </c>
      <c r="C4359" s="1">
        <v>8884</v>
      </c>
      <c r="D4359">
        <v>195</v>
      </c>
      <c r="E4359">
        <v>195</v>
      </c>
      <c r="F4359">
        <v>193.5</v>
      </c>
      <c r="G4359">
        <v>194.5</v>
      </c>
      <c r="H4359">
        <v>1</v>
      </c>
      <c r="I4359">
        <v>48</v>
      </c>
    </row>
    <row r="4360" spans="1:9" x14ac:dyDescent="0.25">
      <c r="A4360" t="s">
        <v>1170</v>
      </c>
      <c r="B4360">
        <v>145</v>
      </c>
      <c r="C4360" s="1">
        <v>28674</v>
      </c>
      <c r="D4360">
        <v>196</v>
      </c>
      <c r="E4360">
        <v>199</v>
      </c>
      <c r="F4360">
        <v>195.5</v>
      </c>
      <c r="G4360">
        <v>196.5</v>
      </c>
      <c r="H4360">
        <v>2</v>
      </c>
      <c r="I4360">
        <v>137</v>
      </c>
    </row>
    <row r="4361" spans="1:9" x14ac:dyDescent="0.25">
      <c r="A4361" t="s">
        <v>1171</v>
      </c>
      <c r="B4361">
        <v>43</v>
      </c>
      <c r="C4361" s="1">
        <v>8543</v>
      </c>
      <c r="D4361">
        <v>197</v>
      </c>
      <c r="E4361">
        <v>197.5</v>
      </c>
      <c r="F4361">
        <v>196.5</v>
      </c>
      <c r="G4361">
        <v>197.5</v>
      </c>
      <c r="H4361">
        <v>1</v>
      </c>
      <c r="I4361">
        <v>43</v>
      </c>
    </row>
    <row r="4362" spans="1:9" x14ac:dyDescent="0.25">
      <c r="A4362" t="s">
        <v>1172</v>
      </c>
      <c r="B4362">
        <v>219</v>
      </c>
      <c r="C4362" s="1">
        <v>43784</v>
      </c>
      <c r="D4362">
        <v>198</v>
      </c>
      <c r="E4362">
        <v>201.5</v>
      </c>
      <c r="F4362">
        <v>198</v>
      </c>
      <c r="G4362">
        <v>199</v>
      </c>
      <c r="H4362">
        <v>1.5</v>
      </c>
      <c r="I4362">
        <v>157</v>
      </c>
    </row>
    <row r="4363" spans="1:9" x14ac:dyDescent="0.25">
      <c r="A4363" t="s">
        <v>1173</v>
      </c>
      <c r="B4363">
        <v>47</v>
      </c>
      <c r="C4363" s="1">
        <v>9450</v>
      </c>
      <c r="D4363">
        <v>199</v>
      </c>
      <c r="E4363">
        <v>201</v>
      </c>
      <c r="F4363">
        <v>199</v>
      </c>
      <c r="G4363">
        <v>199.5</v>
      </c>
      <c r="H4363">
        <v>0.5</v>
      </c>
      <c r="I4363">
        <v>43</v>
      </c>
    </row>
    <row r="4364" spans="1:9" x14ac:dyDescent="0.25">
      <c r="A4364" t="s">
        <v>1174</v>
      </c>
      <c r="B4364">
        <v>49</v>
      </c>
      <c r="C4364" s="1">
        <v>9703</v>
      </c>
      <c r="D4364">
        <v>200</v>
      </c>
      <c r="E4364">
        <v>200.5</v>
      </c>
      <c r="F4364">
        <v>200</v>
      </c>
      <c r="G4364">
        <v>200</v>
      </c>
      <c r="H4364">
        <v>0.5</v>
      </c>
      <c r="I4364">
        <v>46</v>
      </c>
    </row>
    <row r="4365" spans="1:9" x14ac:dyDescent="0.25">
      <c r="A4365" t="s">
        <v>1175</v>
      </c>
      <c r="B4365">
        <v>171</v>
      </c>
      <c r="C4365" s="1">
        <v>34487</v>
      </c>
      <c r="D4365">
        <v>200</v>
      </c>
      <c r="E4365">
        <v>202.5</v>
      </c>
      <c r="F4365">
        <v>200</v>
      </c>
      <c r="G4365">
        <v>202</v>
      </c>
      <c r="H4365">
        <v>2</v>
      </c>
      <c r="I4365">
        <v>92</v>
      </c>
    </row>
    <row r="4366" spans="1:9" x14ac:dyDescent="0.25">
      <c r="A4366" t="s">
        <v>1176</v>
      </c>
      <c r="B4366">
        <v>32</v>
      </c>
      <c r="C4366" s="1">
        <v>6466</v>
      </c>
      <c r="D4366">
        <v>202</v>
      </c>
      <c r="E4366">
        <v>202.5</v>
      </c>
      <c r="F4366">
        <v>201</v>
      </c>
      <c r="G4366">
        <v>201.5</v>
      </c>
      <c r="H4366">
        <v>-0.5</v>
      </c>
      <c r="I4366">
        <v>27</v>
      </c>
    </row>
    <row r="4367" spans="1:9" x14ac:dyDescent="0.25">
      <c r="A4367" t="s">
        <v>1177</v>
      </c>
      <c r="C4367" s="1"/>
    </row>
    <row r="4369" spans="1:9" x14ac:dyDescent="0.25">
      <c r="A4369" s="9" t="s">
        <v>1135</v>
      </c>
      <c r="B4369" s="1">
        <v>17</v>
      </c>
      <c r="C4369" s="1">
        <v>3255</v>
      </c>
      <c r="D4369">
        <v>191</v>
      </c>
      <c r="E4369">
        <v>191</v>
      </c>
      <c r="F4369">
        <v>190</v>
      </c>
      <c r="G4369">
        <v>190.5</v>
      </c>
      <c r="H4369">
        <v>-1.5</v>
      </c>
      <c r="I4369" s="1">
        <v>19</v>
      </c>
    </row>
    <row r="4370" spans="1:9" x14ac:dyDescent="0.25">
      <c r="A4370" t="s">
        <v>1136</v>
      </c>
      <c r="B4370">
        <v>28</v>
      </c>
      <c r="C4370" s="1">
        <v>5386</v>
      </c>
      <c r="D4370">
        <v>190</v>
      </c>
      <c r="E4370">
        <v>193</v>
      </c>
      <c r="F4370">
        <v>190</v>
      </c>
      <c r="G4370">
        <v>192</v>
      </c>
      <c r="H4370">
        <v>1.5</v>
      </c>
      <c r="I4370">
        <v>30</v>
      </c>
    </row>
    <row r="4371" spans="1:9" x14ac:dyDescent="0.25">
      <c r="A4371" t="s">
        <v>1137</v>
      </c>
      <c r="B4371">
        <v>33</v>
      </c>
      <c r="C4371" s="1">
        <v>6219</v>
      </c>
      <c r="D4371">
        <v>191</v>
      </c>
      <c r="E4371">
        <v>192</v>
      </c>
      <c r="F4371">
        <v>190.5</v>
      </c>
      <c r="G4371">
        <v>190.5</v>
      </c>
      <c r="H4371">
        <v>-1.5</v>
      </c>
      <c r="I4371">
        <v>30</v>
      </c>
    </row>
    <row r="4372" spans="1:9" x14ac:dyDescent="0.25">
      <c r="A4372" t="s">
        <v>1138</v>
      </c>
      <c r="B4372">
        <v>29</v>
      </c>
      <c r="C4372" s="1">
        <v>5559</v>
      </c>
      <c r="D4372">
        <v>191</v>
      </c>
      <c r="E4372">
        <v>193</v>
      </c>
      <c r="F4372">
        <v>190.5</v>
      </c>
      <c r="G4372">
        <v>192</v>
      </c>
      <c r="H4372">
        <v>1.5</v>
      </c>
      <c r="I4372">
        <v>29</v>
      </c>
    </row>
    <row r="4373" spans="1:9" x14ac:dyDescent="0.25">
      <c r="A4373" t="s">
        <v>1139</v>
      </c>
      <c r="B4373">
        <v>132</v>
      </c>
      <c r="C4373" s="1">
        <v>25930</v>
      </c>
      <c r="D4373">
        <v>192</v>
      </c>
      <c r="E4373">
        <v>198.5</v>
      </c>
      <c r="F4373">
        <v>192</v>
      </c>
      <c r="G4373">
        <v>194.5</v>
      </c>
      <c r="H4373">
        <v>2.5</v>
      </c>
      <c r="I4373">
        <v>123</v>
      </c>
    </row>
    <row r="4374" spans="1:9" x14ac:dyDescent="0.25">
      <c r="A4374" t="s">
        <v>1140</v>
      </c>
      <c r="B4374">
        <v>92</v>
      </c>
      <c r="C4374" s="1">
        <v>17670</v>
      </c>
      <c r="D4374">
        <v>194.5</v>
      </c>
      <c r="E4374">
        <v>194.5</v>
      </c>
      <c r="F4374">
        <v>189</v>
      </c>
      <c r="G4374">
        <v>192.5</v>
      </c>
      <c r="H4374">
        <v>-2</v>
      </c>
      <c r="I4374">
        <v>91</v>
      </c>
    </row>
    <row r="4375" spans="1:9" x14ac:dyDescent="0.25">
      <c r="A4375" t="s">
        <v>1141</v>
      </c>
      <c r="B4375">
        <v>34</v>
      </c>
      <c r="C4375" s="1">
        <v>6535</v>
      </c>
      <c r="D4375">
        <v>191.5</v>
      </c>
      <c r="E4375">
        <v>193</v>
      </c>
      <c r="F4375">
        <v>191</v>
      </c>
      <c r="G4375">
        <v>192.5</v>
      </c>
      <c r="H4375">
        <v>0</v>
      </c>
      <c r="I4375">
        <v>28</v>
      </c>
    </row>
    <row r="4376" spans="1:9" x14ac:dyDescent="0.25">
      <c r="A4376" t="s">
        <v>1142</v>
      </c>
      <c r="B4376">
        <v>31</v>
      </c>
      <c r="C4376" s="1">
        <v>5992</v>
      </c>
      <c r="D4376">
        <v>193</v>
      </c>
      <c r="E4376">
        <v>193</v>
      </c>
      <c r="F4376">
        <v>192</v>
      </c>
      <c r="G4376">
        <v>192</v>
      </c>
      <c r="H4376">
        <v>-0.5</v>
      </c>
      <c r="I4376">
        <v>24</v>
      </c>
    </row>
    <row r="4377" spans="1:9" x14ac:dyDescent="0.25">
      <c r="A4377" t="s">
        <v>1143</v>
      </c>
      <c r="B4377">
        <v>45</v>
      </c>
      <c r="C4377" s="1">
        <v>8651</v>
      </c>
      <c r="D4377">
        <v>192</v>
      </c>
      <c r="E4377">
        <v>193</v>
      </c>
      <c r="F4377">
        <v>189</v>
      </c>
      <c r="G4377">
        <v>189.5</v>
      </c>
      <c r="H4377">
        <v>-2.5</v>
      </c>
      <c r="I4377">
        <v>48</v>
      </c>
    </row>
    <row r="4378" spans="1:9" x14ac:dyDescent="0.25">
      <c r="A4378" t="s">
        <v>1144</v>
      </c>
      <c r="B4378">
        <v>22</v>
      </c>
      <c r="C4378" s="1">
        <v>4166</v>
      </c>
      <c r="D4378">
        <v>189.5</v>
      </c>
      <c r="E4378">
        <v>190.5</v>
      </c>
      <c r="F4378">
        <v>189</v>
      </c>
      <c r="G4378">
        <v>190.5</v>
      </c>
      <c r="H4378">
        <v>1</v>
      </c>
      <c r="I4378">
        <v>27</v>
      </c>
    </row>
    <row r="4379" spans="1:9" x14ac:dyDescent="0.25">
      <c r="A4379" t="s">
        <v>1145</v>
      </c>
      <c r="B4379">
        <v>8</v>
      </c>
      <c r="C4379" s="1">
        <v>1522</v>
      </c>
      <c r="D4379">
        <v>190.5</v>
      </c>
      <c r="E4379">
        <v>190.5</v>
      </c>
      <c r="F4379">
        <v>190</v>
      </c>
      <c r="G4379">
        <v>190</v>
      </c>
      <c r="H4379">
        <v>-0.5</v>
      </c>
      <c r="I4379">
        <v>8</v>
      </c>
    </row>
    <row r="4380" spans="1:9" x14ac:dyDescent="0.25">
      <c r="A4380" t="s">
        <v>1146</v>
      </c>
      <c r="B4380">
        <v>22</v>
      </c>
      <c r="C4380" s="1">
        <v>4233</v>
      </c>
      <c r="D4380">
        <v>190</v>
      </c>
      <c r="E4380">
        <v>192.5</v>
      </c>
      <c r="F4380">
        <v>190</v>
      </c>
      <c r="G4380">
        <v>191</v>
      </c>
      <c r="H4380">
        <v>1</v>
      </c>
      <c r="I4380">
        <v>20</v>
      </c>
    </row>
    <row r="4381" spans="1:9" x14ac:dyDescent="0.25">
      <c r="A4381" t="s">
        <v>1147</v>
      </c>
      <c r="B4381">
        <v>7</v>
      </c>
      <c r="C4381" s="1">
        <v>1358</v>
      </c>
      <c r="D4381">
        <v>192</v>
      </c>
      <c r="E4381">
        <v>192</v>
      </c>
      <c r="F4381">
        <v>191</v>
      </c>
      <c r="G4381">
        <v>191</v>
      </c>
      <c r="H4381">
        <v>0</v>
      </c>
      <c r="I4381">
        <v>9</v>
      </c>
    </row>
    <row r="4382" spans="1:9" x14ac:dyDescent="0.25">
      <c r="A4382" t="s">
        <v>1148</v>
      </c>
      <c r="B4382">
        <v>16</v>
      </c>
      <c r="C4382" s="1">
        <v>3089</v>
      </c>
      <c r="D4382">
        <v>191.5</v>
      </c>
      <c r="E4382">
        <v>192</v>
      </c>
      <c r="F4382">
        <v>191.5</v>
      </c>
      <c r="G4382">
        <v>192</v>
      </c>
      <c r="H4382">
        <v>1</v>
      </c>
      <c r="I4382">
        <v>16</v>
      </c>
    </row>
    <row r="4383" spans="1:9" x14ac:dyDescent="0.25">
      <c r="A4383" t="s">
        <v>1149</v>
      </c>
      <c r="B4383">
        <v>10</v>
      </c>
      <c r="C4383" s="1">
        <v>1920</v>
      </c>
      <c r="D4383">
        <v>191.5</v>
      </c>
      <c r="E4383">
        <v>192</v>
      </c>
      <c r="F4383">
        <v>191.5</v>
      </c>
      <c r="G4383">
        <v>192</v>
      </c>
      <c r="H4383">
        <v>0</v>
      </c>
      <c r="I4383">
        <v>10</v>
      </c>
    </row>
    <row r="4384" spans="1:9" x14ac:dyDescent="0.25">
      <c r="A4384" t="s">
        <v>1150</v>
      </c>
      <c r="B4384">
        <v>15</v>
      </c>
      <c r="C4384" s="1">
        <v>2867</v>
      </c>
      <c r="D4384">
        <v>191.5</v>
      </c>
      <c r="E4384">
        <v>191.5</v>
      </c>
      <c r="F4384">
        <v>190</v>
      </c>
      <c r="G4384">
        <v>190.5</v>
      </c>
      <c r="H4384">
        <v>-1.5</v>
      </c>
      <c r="I4384">
        <v>18</v>
      </c>
    </row>
    <row r="4385" spans="1:9" x14ac:dyDescent="0.25">
      <c r="A4385" t="s">
        <v>1151</v>
      </c>
      <c r="B4385">
        <v>9</v>
      </c>
      <c r="C4385" s="1">
        <v>1726</v>
      </c>
      <c r="D4385">
        <v>194</v>
      </c>
      <c r="E4385">
        <v>194</v>
      </c>
      <c r="F4385">
        <v>190.5</v>
      </c>
      <c r="G4385">
        <v>190.5</v>
      </c>
      <c r="H4385">
        <v>0</v>
      </c>
      <c r="I4385">
        <v>9</v>
      </c>
    </row>
    <row r="4386" spans="1:9" x14ac:dyDescent="0.25">
      <c r="A4386" t="s">
        <v>1152</v>
      </c>
      <c r="B4386">
        <v>17</v>
      </c>
      <c r="C4386" s="1">
        <v>3275</v>
      </c>
      <c r="D4386">
        <v>190.5</v>
      </c>
      <c r="E4386">
        <v>191</v>
      </c>
      <c r="F4386">
        <v>190</v>
      </c>
      <c r="G4386">
        <v>190</v>
      </c>
      <c r="H4386">
        <v>-0.5</v>
      </c>
      <c r="I4386">
        <v>17</v>
      </c>
    </row>
    <row r="4387" spans="1:9" x14ac:dyDescent="0.25">
      <c r="A4387" t="s">
        <v>1153</v>
      </c>
      <c r="B4387">
        <v>30</v>
      </c>
      <c r="C4387" s="1">
        <v>5733</v>
      </c>
      <c r="D4387">
        <v>191</v>
      </c>
      <c r="E4387">
        <v>191</v>
      </c>
      <c r="F4387">
        <v>189</v>
      </c>
      <c r="G4387">
        <v>189</v>
      </c>
      <c r="H4387">
        <v>-1</v>
      </c>
      <c r="I4387">
        <v>30</v>
      </c>
    </row>
    <row r="4388" spans="1:9" x14ac:dyDescent="0.25">
      <c r="A4388" t="s">
        <v>1154</v>
      </c>
      <c r="B4388">
        <v>29</v>
      </c>
      <c r="C4388" s="1">
        <v>5495</v>
      </c>
      <c r="D4388">
        <v>189</v>
      </c>
      <c r="E4388">
        <v>190</v>
      </c>
      <c r="F4388">
        <v>189</v>
      </c>
      <c r="G4388">
        <v>189.5</v>
      </c>
      <c r="H4388">
        <v>0.5</v>
      </c>
      <c r="I4388">
        <v>18</v>
      </c>
    </row>
    <row r="4389" spans="1:9" x14ac:dyDescent="0.25">
      <c r="A4389" t="s">
        <v>927</v>
      </c>
      <c r="C4389" s="1"/>
    </row>
    <row r="4393" spans="1:9" x14ac:dyDescent="0.25">
      <c r="A4393" s="9" t="s">
        <v>1116</v>
      </c>
      <c r="B4393" s="1">
        <v>26</v>
      </c>
      <c r="C4393" s="1">
        <v>4799</v>
      </c>
      <c r="D4393">
        <v>184.5</v>
      </c>
      <c r="E4393">
        <v>185</v>
      </c>
      <c r="F4393">
        <v>184</v>
      </c>
      <c r="G4393">
        <v>184.5</v>
      </c>
      <c r="H4393">
        <v>0</v>
      </c>
      <c r="I4393" s="1">
        <v>18</v>
      </c>
    </row>
    <row r="4394" spans="1:9" x14ac:dyDescent="0.25">
      <c r="A4394" t="s">
        <v>1117</v>
      </c>
      <c r="B4394">
        <v>44</v>
      </c>
      <c r="C4394" s="1">
        <v>8133</v>
      </c>
      <c r="D4394">
        <v>185</v>
      </c>
      <c r="E4394">
        <v>185</v>
      </c>
      <c r="F4394">
        <v>184.5</v>
      </c>
      <c r="G4394">
        <v>185</v>
      </c>
      <c r="H4394">
        <v>0.5</v>
      </c>
      <c r="I4394">
        <v>33</v>
      </c>
    </row>
    <row r="4395" spans="1:9" x14ac:dyDescent="0.25">
      <c r="A4395" t="s">
        <v>1118</v>
      </c>
      <c r="B4395">
        <v>19</v>
      </c>
      <c r="C4395" s="1">
        <v>3573</v>
      </c>
      <c r="D4395">
        <v>185</v>
      </c>
      <c r="E4395">
        <v>185.5</v>
      </c>
      <c r="F4395">
        <v>185</v>
      </c>
      <c r="G4395">
        <v>185</v>
      </c>
      <c r="H4395">
        <v>0</v>
      </c>
      <c r="I4395">
        <v>21</v>
      </c>
    </row>
    <row r="4396" spans="1:9" x14ac:dyDescent="0.25">
      <c r="A4396" t="s">
        <v>1119</v>
      </c>
      <c r="B4396">
        <v>55</v>
      </c>
      <c r="C4396" s="1">
        <v>10199</v>
      </c>
      <c r="D4396">
        <v>185.5</v>
      </c>
      <c r="E4396">
        <v>186</v>
      </c>
      <c r="F4396">
        <v>185</v>
      </c>
      <c r="G4396">
        <v>185.5</v>
      </c>
      <c r="H4396">
        <v>0.5</v>
      </c>
      <c r="I4396">
        <v>37</v>
      </c>
    </row>
    <row r="4397" spans="1:9" x14ac:dyDescent="0.25">
      <c r="A4397" t="s">
        <v>1120</v>
      </c>
      <c r="B4397">
        <v>39</v>
      </c>
      <c r="C4397" s="1">
        <v>7263</v>
      </c>
      <c r="D4397">
        <v>186</v>
      </c>
      <c r="E4397">
        <v>187</v>
      </c>
      <c r="F4397">
        <v>185.5</v>
      </c>
      <c r="G4397">
        <v>186</v>
      </c>
      <c r="H4397">
        <v>0.5</v>
      </c>
      <c r="I4397">
        <v>28</v>
      </c>
    </row>
    <row r="4398" spans="1:9" x14ac:dyDescent="0.25">
      <c r="A4398" t="s">
        <v>1121</v>
      </c>
      <c r="B4398">
        <v>209</v>
      </c>
      <c r="C4398" s="1">
        <v>38503</v>
      </c>
      <c r="D4398">
        <v>185.5</v>
      </c>
      <c r="E4398">
        <v>185.5</v>
      </c>
      <c r="F4398">
        <v>183.5</v>
      </c>
      <c r="G4398">
        <v>185</v>
      </c>
      <c r="H4398">
        <v>-1</v>
      </c>
      <c r="I4398">
        <v>98</v>
      </c>
    </row>
    <row r="4399" spans="1:9" x14ac:dyDescent="0.25">
      <c r="A4399" t="s">
        <v>1122</v>
      </c>
      <c r="B4399">
        <v>115</v>
      </c>
      <c r="C4399" s="1">
        <v>21378</v>
      </c>
      <c r="D4399">
        <v>184.5</v>
      </c>
      <c r="E4399">
        <v>186.5</v>
      </c>
      <c r="F4399">
        <v>184.5</v>
      </c>
      <c r="G4399">
        <v>186.5</v>
      </c>
      <c r="H4399">
        <v>1.5</v>
      </c>
      <c r="I4399">
        <v>44</v>
      </c>
    </row>
    <row r="4400" spans="1:9" x14ac:dyDescent="0.25">
      <c r="A4400" t="s">
        <v>1123</v>
      </c>
      <c r="B4400">
        <v>13</v>
      </c>
      <c r="C4400" s="1">
        <v>2405</v>
      </c>
      <c r="D4400">
        <v>185</v>
      </c>
      <c r="E4400">
        <v>185.5</v>
      </c>
      <c r="F4400">
        <v>184.5</v>
      </c>
      <c r="G4400">
        <v>185.5</v>
      </c>
      <c r="H4400">
        <v>-1</v>
      </c>
      <c r="I4400">
        <v>11</v>
      </c>
    </row>
    <row r="4401" spans="1:9" x14ac:dyDescent="0.25">
      <c r="A4401" t="s">
        <v>1124</v>
      </c>
      <c r="B4401">
        <v>12</v>
      </c>
      <c r="C4401" s="1">
        <v>2250</v>
      </c>
      <c r="D4401">
        <v>186.5</v>
      </c>
      <c r="E4401">
        <v>186.5</v>
      </c>
      <c r="F4401">
        <v>185</v>
      </c>
      <c r="G4401">
        <v>185</v>
      </c>
      <c r="H4401">
        <v>-0.5</v>
      </c>
      <c r="I4401">
        <v>8</v>
      </c>
    </row>
    <row r="4402" spans="1:9" x14ac:dyDescent="0.25">
      <c r="A4402" t="s">
        <v>1125</v>
      </c>
      <c r="B4402">
        <v>55</v>
      </c>
      <c r="C4402" s="1">
        <v>10279</v>
      </c>
      <c r="D4402">
        <v>186</v>
      </c>
      <c r="E4402">
        <v>186.5</v>
      </c>
      <c r="F4402">
        <v>185.5</v>
      </c>
      <c r="G4402">
        <v>186.5</v>
      </c>
      <c r="H4402">
        <v>1.5</v>
      </c>
      <c r="I4402">
        <v>46</v>
      </c>
    </row>
    <row r="4403" spans="1:9" x14ac:dyDescent="0.25">
      <c r="A4403" t="s">
        <v>1126</v>
      </c>
      <c r="B4403">
        <v>38</v>
      </c>
      <c r="C4403" s="1">
        <v>7139</v>
      </c>
      <c r="D4403">
        <v>186</v>
      </c>
      <c r="E4403">
        <v>187</v>
      </c>
      <c r="F4403">
        <v>186</v>
      </c>
      <c r="G4403">
        <v>186.5</v>
      </c>
      <c r="H4403">
        <v>0</v>
      </c>
      <c r="I4403">
        <v>36</v>
      </c>
    </row>
    <row r="4404" spans="1:9" x14ac:dyDescent="0.25">
      <c r="A4404" t="s">
        <v>1127</v>
      </c>
      <c r="B4404">
        <v>89</v>
      </c>
      <c r="C4404" s="1">
        <v>16787</v>
      </c>
      <c r="D4404">
        <v>186.5</v>
      </c>
      <c r="E4404">
        <v>188.5</v>
      </c>
      <c r="F4404">
        <v>186</v>
      </c>
      <c r="G4404">
        <v>188</v>
      </c>
      <c r="H4404">
        <v>1.5</v>
      </c>
      <c r="I4404">
        <v>71</v>
      </c>
    </row>
    <row r="4405" spans="1:9" x14ac:dyDescent="0.25">
      <c r="A4405" t="s">
        <v>1128</v>
      </c>
      <c r="B4405">
        <v>255</v>
      </c>
      <c r="C4405" s="1">
        <v>50045</v>
      </c>
      <c r="D4405">
        <v>188</v>
      </c>
      <c r="E4405">
        <v>203</v>
      </c>
      <c r="F4405">
        <v>188</v>
      </c>
      <c r="G4405">
        <v>195</v>
      </c>
      <c r="H4405">
        <v>7</v>
      </c>
      <c r="I4405">
        <v>220</v>
      </c>
    </row>
    <row r="4406" spans="1:9" x14ac:dyDescent="0.25">
      <c r="A4406" t="s">
        <v>1129</v>
      </c>
      <c r="B4406">
        <v>53</v>
      </c>
      <c r="C4406" s="1">
        <v>10359</v>
      </c>
      <c r="D4406">
        <v>197.5</v>
      </c>
      <c r="E4406">
        <v>197.5</v>
      </c>
      <c r="F4406">
        <v>194</v>
      </c>
      <c r="G4406">
        <v>194</v>
      </c>
      <c r="H4406">
        <v>-1</v>
      </c>
      <c r="I4406">
        <v>43</v>
      </c>
    </row>
    <row r="4407" spans="1:9" x14ac:dyDescent="0.25">
      <c r="A4407" t="s">
        <v>1130</v>
      </c>
      <c r="B4407">
        <v>105</v>
      </c>
      <c r="C4407" s="1">
        <v>20265</v>
      </c>
      <c r="D4407">
        <v>195.5</v>
      </c>
      <c r="E4407">
        <v>195.5</v>
      </c>
      <c r="F4407">
        <v>190</v>
      </c>
      <c r="G4407">
        <v>192</v>
      </c>
      <c r="H4407">
        <v>-2</v>
      </c>
      <c r="I4407">
        <v>75</v>
      </c>
    </row>
    <row r="4408" spans="1:9" x14ac:dyDescent="0.25">
      <c r="A4408" t="s">
        <v>1131</v>
      </c>
      <c r="B4408">
        <v>42</v>
      </c>
      <c r="C4408" s="1">
        <v>8051</v>
      </c>
      <c r="D4408">
        <v>192</v>
      </c>
      <c r="E4408">
        <v>192.5</v>
      </c>
      <c r="F4408">
        <v>190</v>
      </c>
      <c r="G4408">
        <v>192</v>
      </c>
      <c r="H4408">
        <v>0</v>
      </c>
      <c r="I4408">
        <v>35</v>
      </c>
    </row>
    <row r="4409" spans="1:9" x14ac:dyDescent="0.25">
      <c r="A4409" t="s">
        <v>1132</v>
      </c>
      <c r="B4409">
        <v>20</v>
      </c>
      <c r="C4409" s="1">
        <v>3833</v>
      </c>
      <c r="D4409">
        <v>192</v>
      </c>
      <c r="E4409">
        <v>192</v>
      </c>
      <c r="F4409">
        <v>190</v>
      </c>
      <c r="G4409">
        <v>191</v>
      </c>
      <c r="H4409">
        <v>-1</v>
      </c>
      <c r="I4409">
        <v>16</v>
      </c>
    </row>
    <row r="4410" spans="1:9" x14ac:dyDescent="0.25">
      <c r="A4410" t="s">
        <v>1133</v>
      </c>
      <c r="B4410">
        <v>34</v>
      </c>
      <c r="C4410" s="1">
        <v>6593</v>
      </c>
      <c r="D4410">
        <v>192</v>
      </c>
      <c r="E4410">
        <v>194</v>
      </c>
      <c r="F4410">
        <v>192</v>
      </c>
      <c r="G4410">
        <v>192</v>
      </c>
      <c r="H4410">
        <v>1</v>
      </c>
      <c r="I4410">
        <v>37</v>
      </c>
    </row>
    <row r="4411" spans="1:9" x14ac:dyDescent="0.25">
      <c r="A4411" t="s">
        <v>1134</v>
      </c>
      <c r="B4411">
        <v>15</v>
      </c>
      <c r="C4411" s="1">
        <v>2888</v>
      </c>
      <c r="D4411">
        <v>192</v>
      </c>
      <c r="E4411">
        <v>192</v>
      </c>
      <c r="F4411">
        <v>190</v>
      </c>
      <c r="G4411">
        <v>192</v>
      </c>
      <c r="H4411">
        <v>0</v>
      </c>
      <c r="I4411">
        <v>18</v>
      </c>
    </row>
    <row r="4412" spans="1:9" x14ac:dyDescent="0.25">
      <c r="A4412" t="s">
        <v>1030</v>
      </c>
      <c r="C4412" s="1"/>
    </row>
    <row r="4417" spans="1:9" x14ac:dyDescent="0.25">
      <c r="A4417" s="9" t="s">
        <v>1093</v>
      </c>
      <c r="B4417" s="1">
        <v>47</v>
      </c>
      <c r="C4417" s="1">
        <v>8625</v>
      </c>
      <c r="D4417">
        <v>184</v>
      </c>
      <c r="E4417">
        <v>184</v>
      </c>
      <c r="F4417">
        <v>183</v>
      </c>
      <c r="G4417">
        <v>184</v>
      </c>
      <c r="H4417">
        <v>1</v>
      </c>
      <c r="I4417" s="1">
        <v>24</v>
      </c>
    </row>
    <row r="4418" spans="1:9" x14ac:dyDescent="0.25">
      <c r="A4418" t="s">
        <v>1094</v>
      </c>
      <c r="B4418">
        <v>26</v>
      </c>
      <c r="C4418" s="1">
        <v>4795</v>
      </c>
      <c r="D4418">
        <v>183.5</v>
      </c>
      <c r="E4418">
        <v>185</v>
      </c>
      <c r="F4418">
        <v>183</v>
      </c>
      <c r="G4418">
        <v>184.5</v>
      </c>
      <c r="H4418">
        <v>0.5</v>
      </c>
      <c r="I4418">
        <v>21</v>
      </c>
    </row>
    <row r="4419" spans="1:9" x14ac:dyDescent="0.25">
      <c r="A4419" t="s">
        <v>1095</v>
      </c>
      <c r="B4419">
        <v>21</v>
      </c>
      <c r="C4419" s="1">
        <v>3909</v>
      </c>
      <c r="D4419">
        <v>184.5</v>
      </c>
      <c r="E4419">
        <v>186</v>
      </c>
      <c r="F4419">
        <v>184.5</v>
      </c>
      <c r="G4419">
        <v>185</v>
      </c>
      <c r="H4419">
        <v>0.5</v>
      </c>
      <c r="I4419">
        <v>23</v>
      </c>
    </row>
    <row r="4420" spans="1:9" x14ac:dyDescent="0.25">
      <c r="A4420" t="s">
        <v>1096</v>
      </c>
      <c r="B4420">
        <v>18</v>
      </c>
      <c r="C4420" s="1">
        <v>3326</v>
      </c>
      <c r="D4420">
        <v>185</v>
      </c>
      <c r="E4420">
        <v>185</v>
      </c>
      <c r="F4420">
        <v>184</v>
      </c>
      <c r="G4420">
        <v>185</v>
      </c>
      <c r="H4420">
        <v>0</v>
      </c>
      <c r="I4420">
        <v>19</v>
      </c>
    </row>
    <row r="4421" spans="1:9" x14ac:dyDescent="0.25">
      <c r="A4421" t="s">
        <v>1097</v>
      </c>
      <c r="B4421">
        <v>77</v>
      </c>
      <c r="C4421" s="1">
        <v>14306</v>
      </c>
      <c r="D4421">
        <v>185</v>
      </c>
      <c r="E4421">
        <v>187</v>
      </c>
      <c r="F4421">
        <v>185</v>
      </c>
      <c r="G4421">
        <v>186</v>
      </c>
      <c r="H4421">
        <v>1</v>
      </c>
      <c r="I4421">
        <v>28</v>
      </c>
    </row>
    <row r="4422" spans="1:9" x14ac:dyDescent="0.25">
      <c r="A4422" t="s">
        <v>1098</v>
      </c>
      <c r="B4422">
        <v>45</v>
      </c>
      <c r="C4422" s="1">
        <v>8454</v>
      </c>
      <c r="D4422">
        <v>186</v>
      </c>
      <c r="E4422">
        <v>189</v>
      </c>
      <c r="F4422">
        <v>186</v>
      </c>
      <c r="G4422">
        <v>186.5</v>
      </c>
      <c r="H4422">
        <v>0.5</v>
      </c>
      <c r="I4422">
        <v>38</v>
      </c>
    </row>
    <row r="4423" spans="1:9" x14ac:dyDescent="0.25">
      <c r="A4423" t="s">
        <v>1099</v>
      </c>
      <c r="B4423">
        <v>51</v>
      </c>
      <c r="C4423" s="1">
        <v>9427</v>
      </c>
      <c r="D4423">
        <v>188</v>
      </c>
      <c r="E4423">
        <v>188</v>
      </c>
      <c r="F4423">
        <v>184</v>
      </c>
      <c r="G4423">
        <v>185</v>
      </c>
      <c r="H4423">
        <v>-1.5</v>
      </c>
      <c r="I4423">
        <v>44</v>
      </c>
    </row>
    <row r="4424" spans="1:9" x14ac:dyDescent="0.25">
      <c r="A4424" t="s">
        <v>1100</v>
      </c>
      <c r="B4424">
        <v>26</v>
      </c>
      <c r="C4424" s="1">
        <v>4844</v>
      </c>
      <c r="D4424">
        <v>185</v>
      </c>
      <c r="E4424">
        <v>185.5</v>
      </c>
      <c r="F4424">
        <v>184</v>
      </c>
      <c r="G4424">
        <v>185.5</v>
      </c>
      <c r="H4424">
        <v>0.5</v>
      </c>
      <c r="I4424">
        <v>26</v>
      </c>
    </row>
    <row r="4425" spans="1:9" x14ac:dyDescent="0.25">
      <c r="A4425" t="s">
        <v>1101</v>
      </c>
      <c r="B4425">
        <v>26</v>
      </c>
      <c r="C4425" s="1">
        <v>4858</v>
      </c>
      <c r="D4425">
        <v>186</v>
      </c>
      <c r="E4425">
        <v>187</v>
      </c>
      <c r="F4425">
        <v>184.5</v>
      </c>
      <c r="G4425">
        <v>185</v>
      </c>
      <c r="H4425">
        <v>-0.5</v>
      </c>
      <c r="I4425">
        <v>27</v>
      </c>
    </row>
    <row r="4426" spans="1:9" x14ac:dyDescent="0.25">
      <c r="A4426" t="s">
        <v>1102</v>
      </c>
      <c r="B4426">
        <v>46</v>
      </c>
      <c r="C4426" s="1">
        <v>8511</v>
      </c>
      <c r="D4426">
        <v>186</v>
      </c>
      <c r="E4426">
        <v>186</v>
      </c>
      <c r="F4426">
        <v>183.5</v>
      </c>
      <c r="G4426">
        <v>185</v>
      </c>
      <c r="H4426">
        <v>0</v>
      </c>
      <c r="I4426">
        <v>32</v>
      </c>
    </row>
    <row r="4427" spans="1:9" x14ac:dyDescent="0.25">
      <c r="A4427" t="s">
        <v>1103</v>
      </c>
      <c r="B4427">
        <v>42</v>
      </c>
      <c r="C4427" s="1">
        <v>7798</v>
      </c>
      <c r="D4427">
        <v>185</v>
      </c>
      <c r="E4427">
        <v>186.5</v>
      </c>
      <c r="F4427">
        <v>184.5</v>
      </c>
      <c r="G4427">
        <v>185</v>
      </c>
      <c r="H4427">
        <v>0</v>
      </c>
      <c r="I4427">
        <v>39</v>
      </c>
    </row>
    <row r="4428" spans="1:9" x14ac:dyDescent="0.25">
      <c r="A4428" t="s">
        <v>1104</v>
      </c>
      <c r="B4428">
        <v>25</v>
      </c>
      <c r="C4428" s="1">
        <v>4652</v>
      </c>
      <c r="D4428">
        <v>185</v>
      </c>
      <c r="E4428">
        <v>185</v>
      </c>
      <c r="F4428">
        <v>184.5</v>
      </c>
      <c r="G4428">
        <v>185</v>
      </c>
      <c r="H4428">
        <v>0</v>
      </c>
      <c r="I4428">
        <v>26</v>
      </c>
    </row>
    <row r="4429" spans="1:9" x14ac:dyDescent="0.25">
      <c r="A4429" t="s">
        <v>1105</v>
      </c>
      <c r="B4429">
        <v>31</v>
      </c>
      <c r="C4429" s="1">
        <v>5783</v>
      </c>
      <c r="D4429">
        <v>185</v>
      </c>
      <c r="E4429">
        <v>187</v>
      </c>
      <c r="F4429">
        <v>185</v>
      </c>
      <c r="G4429">
        <v>186.5</v>
      </c>
      <c r="H4429">
        <v>1.5</v>
      </c>
      <c r="I4429">
        <v>29</v>
      </c>
    </row>
    <row r="4430" spans="1:9" x14ac:dyDescent="0.25">
      <c r="A4430" t="s">
        <v>1106</v>
      </c>
      <c r="B4430">
        <v>24</v>
      </c>
      <c r="C4430" s="1">
        <v>4473</v>
      </c>
      <c r="D4430">
        <v>186.5</v>
      </c>
      <c r="E4430">
        <v>186.5</v>
      </c>
      <c r="F4430">
        <v>185.5</v>
      </c>
      <c r="G4430">
        <v>185.5</v>
      </c>
      <c r="H4430">
        <v>-1</v>
      </c>
      <c r="I4430">
        <v>20</v>
      </c>
    </row>
    <row r="4431" spans="1:9" x14ac:dyDescent="0.25">
      <c r="A4431" t="s">
        <v>1107</v>
      </c>
      <c r="B4431">
        <v>24</v>
      </c>
      <c r="C4431" s="1">
        <v>4451</v>
      </c>
      <c r="D4431">
        <v>186</v>
      </c>
      <c r="E4431">
        <v>187</v>
      </c>
      <c r="F4431">
        <v>184</v>
      </c>
      <c r="G4431">
        <v>184</v>
      </c>
      <c r="H4431">
        <v>-1.5</v>
      </c>
      <c r="I4431">
        <v>24</v>
      </c>
    </row>
    <row r="4432" spans="1:9" x14ac:dyDescent="0.25">
      <c r="A4432" t="s">
        <v>1108</v>
      </c>
      <c r="B4432">
        <v>24</v>
      </c>
      <c r="C4432" s="1">
        <v>4442</v>
      </c>
      <c r="D4432">
        <v>184</v>
      </c>
      <c r="E4432">
        <v>185</v>
      </c>
      <c r="F4432">
        <v>183.5</v>
      </c>
      <c r="G4432">
        <v>183.5</v>
      </c>
      <c r="H4432">
        <v>-0.5</v>
      </c>
      <c r="I4432">
        <v>26</v>
      </c>
    </row>
    <row r="4433" spans="1:9" x14ac:dyDescent="0.25">
      <c r="A4433" t="s">
        <v>1109</v>
      </c>
      <c r="B4433">
        <v>17</v>
      </c>
      <c r="C4433" s="1">
        <v>3127</v>
      </c>
      <c r="D4433">
        <v>183.5</v>
      </c>
      <c r="E4433">
        <v>184.5</v>
      </c>
      <c r="F4433">
        <v>183.5</v>
      </c>
      <c r="G4433">
        <v>184</v>
      </c>
      <c r="H4433">
        <v>0.5</v>
      </c>
      <c r="I4433">
        <v>16</v>
      </c>
    </row>
    <row r="4434" spans="1:9" x14ac:dyDescent="0.25">
      <c r="A4434" t="s">
        <v>1110</v>
      </c>
      <c r="B4434">
        <v>31</v>
      </c>
      <c r="C4434" s="1">
        <v>5717</v>
      </c>
      <c r="D4434">
        <v>186</v>
      </c>
      <c r="E4434">
        <v>186</v>
      </c>
      <c r="F4434">
        <v>183.5</v>
      </c>
      <c r="G4434">
        <v>185</v>
      </c>
      <c r="H4434">
        <v>1</v>
      </c>
      <c r="I4434">
        <v>26</v>
      </c>
    </row>
    <row r="4435" spans="1:9" x14ac:dyDescent="0.25">
      <c r="A4435" t="s">
        <v>1111</v>
      </c>
      <c r="B4435">
        <v>45</v>
      </c>
      <c r="C4435" s="1">
        <v>8275</v>
      </c>
      <c r="D4435">
        <v>185.5</v>
      </c>
      <c r="E4435">
        <v>187</v>
      </c>
      <c r="F4435">
        <v>185</v>
      </c>
      <c r="G4435">
        <v>185</v>
      </c>
      <c r="H4435">
        <v>0</v>
      </c>
      <c r="I4435">
        <v>49</v>
      </c>
    </row>
    <row r="4436" spans="1:9" x14ac:dyDescent="0.25">
      <c r="A4436" t="s">
        <v>1112</v>
      </c>
      <c r="B4436">
        <v>37</v>
      </c>
      <c r="C4436" s="1">
        <v>6848</v>
      </c>
      <c r="D4436">
        <v>185</v>
      </c>
      <c r="E4436">
        <v>185</v>
      </c>
      <c r="F4436">
        <v>184</v>
      </c>
      <c r="G4436">
        <v>185</v>
      </c>
      <c r="H4436">
        <v>0</v>
      </c>
      <c r="I4436">
        <v>34</v>
      </c>
    </row>
    <row r="4437" spans="1:9" x14ac:dyDescent="0.25">
      <c r="A4437" t="s">
        <v>1113</v>
      </c>
      <c r="B4437">
        <v>14</v>
      </c>
      <c r="C4437" s="1">
        <v>2638</v>
      </c>
      <c r="D4437">
        <v>186</v>
      </c>
      <c r="E4437">
        <v>186</v>
      </c>
      <c r="F4437">
        <v>184</v>
      </c>
      <c r="G4437">
        <v>184.5</v>
      </c>
      <c r="H4437">
        <v>-0.5</v>
      </c>
      <c r="I4437">
        <v>14</v>
      </c>
    </row>
    <row r="4438" spans="1:9" x14ac:dyDescent="0.25">
      <c r="A4438" t="s">
        <v>1114</v>
      </c>
      <c r="B4438">
        <v>14</v>
      </c>
      <c r="C4438" s="1">
        <v>2519</v>
      </c>
      <c r="D4438">
        <v>184.5</v>
      </c>
      <c r="E4438">
        <v>185.5</v>
      </c>
      <c r="F4438">
        <v>184.5</v>
      </c>
      <c r="G4438">
        <v>185.5</v>
      </c>
      <c r="H4438">
        <v>1</v>
      </c>
      <c r="I4438">
        <v>22</v>
      </c>
    </row>
    <row r="4439" spans="1:9" x14ac:dyDescent="0.25">
      <c r="A4439" t="s">
        <v>1115</v>
      </c>
      <c r="B4439">
        <v>25</v>
      </c>
      <c r="C4439" s="1">
        <v>4654</v>
      </c>
      <c r="D4439">
        <v>185.5</v>
      </c>
      <c r="E4439">
        <v>185.5</v>
      </c>
      <c r="F4439">
        <v>184</v>
      </c>
      <c r="G4439">
        <v>184.5</v>
      </c>
      <c r="H4439">
        <v>-1</v>
      </c>
      <c r="I4439">
        <v>23</v>
      </c>
    </row>
    <row r="4440" spans="1:9" x14ac:dyDescent="0.25">
      <c r="A4440" t="s">
        <v>951</v>
      </c>
      <c r="C4440" s="1"/>
    </row>
    <row r="4441" spans="1:9" x14ac:dyDescent="0.25">
      <c r="A4441" s="9" t="s">
        <v>1073</v>
      </c>
      <c r="B4441" s="1">
        <v>30</v>
      </c>
      <c r="C4441" s="1">
        <v>5608</v>
      </c>
      <c r="D4441">
        <v>186.5</v>
      </c>
      <c r="E4441">
        <v>186.5</v>
      </c>
      <c r="F4441">
        <v>185.5</v>
      </c>
      <c r="G4441">
        <v>185.5</v>
      </c>
      <c r="H4441">
        <v>-1</v>
      </c>
      <c r="I4441" s="1">
        <v>30</v>
      </c>
    </row>
    <row r="4442" spans="1:9" x14ac:dyDescent="0.25">
      <c r="A4442" t="s">
        <v>1074</v>
      </c>
      <c r="B4442">
        <v>11</v>
      </c>
      <c r="C4442" s="1">
        <v>2025</v>
      </c>
      <c r="D4442">
        <v>184</v>
      </c>
      <c r="E4442">
        <v>184.5</v>
      </c>
      <c r="F4442">
        <v>184</v>
      </c>
      <c r="G4442">
        <v>184</v>
      </c>
      <c r="H4442">
        <v>-1.5</v>
      </c>
      <c r="I4442">
        <v>9</v>
      </c>
    </row>
    <row r="4443" spans="1:9" x14ac:dyDescent="0.25">
      <c r="A4443" t="s">
        <v>1075</v>
      </c>
      <c r="B4443">
        <v>15</v>
      </c>
      <c r="C4443" s="1">
        <v>2782</v>
      </c>
      <c r="D4443">
        <v>184</v>
      </c>
      <c r="E4443">
        <v>184</v>
      </c>
      <c r="F4443">
        <v>182</v>
      </c>
      <c r="G4443">
        <v>182.5</v>
      </c>
      <c r="H4443">
        <v>-1.5</v>
      </c>
      <c r="I4443">
        <v>17</v>
      </c>
    </row>
    <row r="4444" spans="1:9" x14ac:dyDescent="0.25">
      <c r="A4444" t="s">
        <v>1076</v>
      </c>
      <c r="B4444">
        <v>11</v>
      </c>
      <c r="C4444" s="1">
        <v>2075</v>
      </c>
      <c r="D4444">
        <v>182</v>
      </c>
      <c r="E4444">
        <v>184</v>
      </c>
      <c r="F4444">
        <v>182</v>
      </c>
      <c r="G4444">
        <v>182.5</v>
      </c>
      <c r="H4444">
        <v>0</v>
      </c>
      <c r="I4444">
        <v>15</v>
      </c>
    </row>
    <row r="4445" spans="1:9" x14ac:dyDescent="0.25">
      <c r="A4445" t="s">
        <v>1077</v>
      </c>
      <c r="B4445">
        <v>18</v>
      </c>
      <c r="C4445" s="1">
        <v>3218</v>
      </c>
      <c r="D4445">
        <v>183</v>
      </c>
      <c r="E4445">
        <v>183</v>
      </c>
      <c r="F4445">
        <v>182</v>
      </c>
      <c r="G4445">
        <v>182</v>
      </c>
      <c r="H4445">
        <v>-0.5</v>
      </c>
      <c r="I4445">
        <v>25</v>
      </c>
    </row>
    <row r="4446" spans="1:9" x14ac:dyDescent="0.25">
      <c r="A4446" t="s">
        <v>1078</v>
      </c>
      <c r="B4446">
        <v>20</v>
      </c>
      <c r="C4446" s="1">
        <v>3553</v>
      </c>
      <c r="D4446">
        <v>182</v>
      </c>
      <c r="E4446">
        <v>182.5</v>
      </c>
      <c r="F4446">
        <v>182</v>
      </c>
      <c r="G4446">
        <v>182.5</v>
      </c>
      <c r="H4446">
        <v>0.5</v>
      </c>
      <c r="I4446">
        <v>26</v>
      </c>
    </row>
    <row r="4447" spans="1:9" x14ac:dyDescent="0.25">
      <c r="A4447" t="s">
        <v>1079</v>
      </c>
      <c r="B4447">
        <v>24</v>
      </c>
      <c r="C4447" s="1">
        <v>4391</v>
      </c>
      <c r="D4447">
        <v>183</v>
      </c>
      <c r="E4447">
        <v>183</v>
      </c>
      <c r="F4447">
        <v>182</v>
      </c>
      <c r="G4447">
        <v>182</v>
      </c>
      <c r="H4447">
        <v>-0.5</v>
      </c>
      <c r="I4447">
        <v>22</v>
      </c>
    </row>
    <row r="4448" spans="1:9" x14ac:dyDescent="0.25">
      <c r="A4448" t="s">
        <v>1080</v>
      </c>
      <c r="B4448">
        <v>20</v>
      </c>
      <c r="C4448" s="1">
        <v>3663</v>
      </c>
      <c r="D4448">
        <v>183</v>
      </c>
      <c r="E4448">
        <v>183</v>
      </c>
      <c r="F4448">
        <v>182.5</v>
      </c>
      <c r="G4448">
        <v>183</v>
      </c>
      <c r="H4448">
        <v>1</v>
      </c>
      <c r="I4448">
        <v>22</v>
      </c>
    </row>
    <row r="4449" spans="1:9" x14ac:dyDescent="0.25">
      <c r="A4449" t="s">
        <v>1081</v>
      </c>
      <c r="B4449">
        <v>24</v>
      </c>
      <c r="C4449" s="1">
        <v>4387</v>
      </c>
      <c r="D4449">
        <v>182.5</v>
      </c>
      <c r="E4449">
        <v>183</v>
      </c>
      <c r="F4449">
        <v>182.5</v>
      </c>
      <c r="G4449">
        <v>183</v>
      </c>
      <c r="H4449">
        <v>0</v>
      </c>
      <c r="I4449">
        <v>22</v>
      </c>
    </row>
    <row r="4450" spans="1:9" x14ac:dyDescent="0.25">
      <c r="A4450" t="s">
        <v>1082</v>
      </c>
      <c r="B4450">
        <v>43</v>
      </c>
      <c r="C4450" s="1">
        <v>7911</v>
      </c>
      <c r="D4450">
        <v>184.5</v>
      </c>
      <c r="E4450">
        <v>184.5</v>
      </c>
      <c r="F4450">
        <v>182.5</v>
      </c>
      <c r="G4450">
        <v>182.5</v>
      </c>
      <c r="H4450">
        <v>-0.5</v>
      </c>
      <c r="I4450">
        <v>37</v>
      </c>
    </row>
    <row r="4451" spans="1:9" x14ac:dyDescent="0.25">
      <c r="A4451" t="s">
        <v>1083</v>
      </c>
      <c r="B4451">
        <v>55</v>
      </c>
      <c r="C4451" s="1">
        <v>10127</v>
      </c>
      <c r="D4451">
        <v>183.5</v>
      </c>
      <c r="E4451">
        <v>184</v>
      </c>
      <c r="F4451">
        <v>183.5</v>
      </c>
      <c r="G4451">
        <v>184</v>
      </c>
      <c r="H4451">
        <v>1.5</v>
      </c>
      <c r="I4451">
        <v>45</v>
      </c>
    </row>
    <row r="4452" spans="1:9" x14ac:dyDescent="0.25">
      <c r="A4452" t="s">
        <v>1084</v>
      </c>
      <c r="B4452">
        <v>44</v>
      </c>
      <c r="C4452" s="1">
        <v>8113</v>
      </c>
      <c r="D4452">
        <v>185</v>
      </c>
      <c r="E4452">
        <v>185</v>
      </c>
      <c r="F4452">
        <v>183.5</v>
      </c>
      <c r="G4452">
        <v>184</v>
      </c>
      <c r="H4452">
        <v>0</v>
      </c>
      <c r="I4452">
        <v>26</v>
      </c>
    </row>
    <row r="4453" spans="1:9" x14ac:dyDescent="0.25">
      <c r="A4453" t="s">
        <v>1085</v>
      </c>
      <c r="B4453">
        <v>72</v>
      </c>
      <c r="C4453" s="1">
        <v>13264</v>
      </c>
      <c r="D4453">
        <v>184</v>
      </c>
      <c r="E4453">
        <v>186.5</v>
      </c>
      <c r="F4453">
        <v>183.5</v>
      </c>
      <c r="G4453">
        <v>186.5</v>
      </c>
      <c r="H4453">
        <v>2.5</v>
      </c>
      <c r="I4453">
        <v>43</v>
      </c>
    </row>
    <row r="4454" spans="1:9" x14ac:dyDescent="0.25">
      <c r="A4454" t="s">
        <v>1086</v>
      </c>
      <c r="B4454">
        <v>92</v>
      </c>
      <c r="C4454" s="1">
        <v>17255</v>
      </c>
      <c r="D4454">
        <v>185.5</v>
      </c>
      <c r="E4454">
        <v>190</v>
      </c>
      <c r="F4454">
        <v>185.5</v>
      </c>
      <c r="G4454">
        <v>188</v>
      </c>
      <c r="H4454">
        <v>1.5</v>
      </c>
      <c r="I4454">
        <v>77</v>
      </c>
    </row>
    <row r="4455" spans="1:9" x14ac:dyDescent="0.25">
      <c r="A4455" t="s">
        <v>1087</v>
      </c>
      <c r="B4455">
        <v>19</v>
      </c>
      <c r="C4455" s="1">
        <v>3582</v>
      </c>
      <c r="D4455">
        <v>188</v>
      </c>
      <c r="E4455">
        <v>188</v>
      </c>
      <c r="F4455">
        <v>186</v>
      </c>
      <c r="G4455">
        <v>186</v>
      </c>
      <c r="H4455">
        <v>-2</v>
      </c>
      <c r="I4455">
        <v>19</v>
      </c>
    </row>
    <row r="4456" spans="1:9" x14ac:dyDescent="0.25">
      <c r="A4456" t="s">
        <v>1088</v>
      </c>
      <c r="B4456">
        <v>49</v>
      </c>
      <c r="C4456" s="1">
        <v>9047</v>
      </c>
      <c r="D4456">
        <v>185</v>
      </c>
      <c r="E4456">
        <v>185.5</v>
      </c>
      <c r="F4456">
        <v>183</v>
      </c>
      <c r="G4456">
        <v>184</v>
      </c>
      <c r="H4456">
        <v>-2</v>
      </c>
      <c r="I4456">
        <v>44</v>
      </c>
    </row>
    <row r="4457" spans="1:9" x14ac:dyDescent="0.25">
      <c r="A4457" t="s">
        <v>1089</v>
      </c>
      <c r="B4457">
        <v>42</v>
      </c>
      <c r="C4457" s="1">
        <v>7728</v>
      </c>
      <c r="D4457">
        <v>184</v>
      </c>
      <c r="E4457">
        <v>184.5</v>
      </c>
      <c r="F4457">
        <v>183</v>
      </c>
      <c r="G4457">
        <v>183.5</v>
      </c>
      <c r="H4457">
        <v>-0.5</v>
      </c>
      <c r="I4457">
        <v>24</v>
      </c>
    </row>
    <row r="4458" spans="1:9" x14ac:dyDescent="0.25">
      <c r="A4458" t="s">
        <v>1090</v>
      </c>
      <c r="B4458">
        <v>31</v>
      </c>
      <c r="C4458" s="1">
        <v>5712</v>
      </c>
      <c r="D4458">
        <v>183.5</v>
      </c>
      <c r="E4458">
        <v>184.5</v>
      </c>
      <c r="F4458">
        <v>183.5</v>
      </c>
      <c r="G4458">
        <v>184</v>
      </c>
      <c r="H4458">
        <v>0.5</v>
      </c>
      <c r="I4458">
        <v>18</v>
      </c>
    </row>
    <row r="4459" spans="1:9" x14ac:dyDescent="0.25">
      <c r="A4459" t="s">
        <v>1091</v>
      </c>
      <c r="B4459">
        <v>8</v>
      </c>
      <c r="C4459" s="1">
        <v>1483</v>
      </c>
      <c r="D4459">
        <v>184.5</v>
      </c>
      <c r="E4459">
        <v>184.5</v>
      </c>
      <c r="F4459">
        <v>183</v>
      </c>
      <c r="G4459">
        <v>183</v>
      </c>
      <c r="H4459">
        <v>-1</v>
      </c>
      <c r="I4459">
        <v>10</v>
      </c>
    </row>
    <row r="4460" spans="1:9" x14ac:dyDescent="0.25">
      <c r="A4460" t="s">
        <v>1092</v>
      </c>
      <c r="B4460">
        <v>71</v>
      </c>
      <c r="C4460" s="1">
        <v>13051</v>
      </c>
      <c r="D4460">
        <v>183</v>
      </c>
      <c r="E4460">
        <v>184.5</v>
      </c>
      <c r="F4460">
        <v>183</v>
      </c>
      <c r="G4460">
        <v>183</v>
      </c>
      <c r="H4460">
        <v>0</v>
      </c>
      <c r="I4460">
        <v>34</v>
      </c>
    </row>
    <row r="4461" spans="1:9" x14ac:dyDescent="0.25">
      <c r="A4461" t="s">
        <v>927</v>
      </c>
      <c r="C4461" s="1"/>
    </row>
    <row r="4465" spans="1:9" x14ac:dyDescent="0.25">
      <c r="A4465" s="9" t="s">
        <v>1052</v>
      </c>
      <c r="B4465" s="1">
        <v>97</v>
      </c>
      <c r="C4465" s="1">
        <v>19263</v>
      </c>
      <c r="D4465">
        <v>197.5</v>
      </c>
      <c r="E4465">
        <v>199.5</v>
      </c>
      <c r="F4465">
        <v>197.5</v>
      </c>
      <c r="G4465">
        <v>199.5</v>
      </c>
      <c r="H4465">
        <v>2.5</v>
      </c>
      <c r="I4465" s="1">
        <v>88</v>
      </c>
    </row>
    <row r="4466" spans="1:9" x14ac:dyDescent="0.25">
      <c r="A4466" t="s">
        <v>1053</v>
      </c>
      <c r="B4466">
        <v>83</v>
      </c>
      <c r="C4466" s="1">
        <v>16684</v>
      </c>
      <c r="D4466">
        <v>199.5</v>
      </c>
      <c r="E4466">
        <v>202.5</v>
      </c>
      <c r="F4466">
        <v>198</v>
      </c>
      <c r="G4466">
        <v>200.5</v>
      </c>
      <c r="H4466">
        <v>1</v>
      </c>
      <c r="I4466">
        <v>78</v>
      </c>
    </row>
    <row r="4467" spans="1:9" x14ac:dyDescent="0.25">
      <c r="A4467" t="s">
        <v>1054</v>
      </c>
      <c r="B4467">
        <v>44</v>
      </c>
      <c r="C4467" s="1">
        <v>8815</v>
      </c>
      <c r="D4467">
        <v>200</v>
      </c>
      <c r="E4467">
        <v>202</v>
      </c>
      <c r="F4467">
        <v>195.5</v>
      </c>
      <c r="G4467">
        <v>200</v>
      </c>
      <c r="H4467">
        <v>-0.5</v>
      </c>
      <c r="I4467">
        <v>38</v>
      </c>
    </row>
    <row r="4468" spans="1:9" x14ac:dyDescent="0.25">
      <c r="A4468" t="s">
        <v>1055</v>
      </c>
      <c r="B4468">
        <v>22</v>
      </c>
      <c r="C4468" s="1">
        <v>4418</v>
      </c>
      <c r="D4468">
        <v>200</v>
      </c>
      <c r="E4468">
        <v>202</v>
      </c>
      <c r="F4468">
        <v>199</v>
      </c>
      <c r="G4468">
        <v>199</v>
      </c>
      <c r="H4468">
        <v>-1</v>
      </c>
      <c r="I4468">
        <v>21</v>
      </c>
    </row>
    <row r="4469" spans="1:9" x14ac:dyDescent="0.25">
      <c r="A4469" t="s">
        <v>1056</v>
      </c>
      <c r="B4469">
        <v>31</v>
      </c>
      <c r="C4469" s="1">
        <v>6184</v>
      </c>
      <c r="D4469">
        <v>199.5</v>
      </c>
      <c r="E4469">
        <v>200</v>
      </c>
      <c r="F4469">
        <v>198</v>
      </c>
      <c r="G4469">
        <v>198</v>
      </c>
      <c r="H4469">
        <v>-1</v>
      </c>
      <c r="I4469">
        <v>22</v>
      </c>
    </row>
    <row r="4470" spans="1:9" x14ac:dyDescent="0.25">
      <c r="A4470" t="s">
        <v>1057</v>
      </c>
      <c r="B4470">
        <v>74</v>
      </c>
      <c r="C4470" s="1">
        <v>14694</v>
      </c>
      <c r="D4470">
        <v>198</v>
      </c>
      <c r="E4470">
        <v>200</v>
      </c>
      <c r="F4470">
        <v>196</v>
      </c>
      <c r="G4470">
        <v>196</v>
      </c>
      <c r="H4470">
        <v>-2</v>
      </c>
      <c r="I4470">
        <v>57</v>
      </c>
    </row>
    <row r="4471" spans="1:9" x14ac:dyDescent="0.25">
      <c r="A4471" t="s">
        <v>1058</v>
      </c>
      <c r="B4471">
        <v>33</v>
      </c>
      <c r="C4471" s="1">
        <v>6452</v>
      </c>
      <c r="D4471">
        <v>196</v>
      </c>
      <c r="E4471">
        <v>196</v>
      </c>
      <c r="F4471">
        <v>194.5</v>
      </c>
      <c r="G4471">
        <v>194.5</v>
      </c>
      <c r="H4471">
        <v>-1.5</v>
      </c>
      <c r="I4471">
        <v>26</v>
      </c>
    </row>
    <row r="4472" spans="1:9" x14ac:dyDescent="0.25">
      <c r="A4472" t="s">
        <v>1059</v>
      </c>
      <c r="B4472">
        <v>124</v>
      </c>
      <c r="C4472" s="1">
        <v>23878</v>
      </c>
      <c r="D4472">
        <v>194.5</v>
      </c>
      <c r="E4472">
        <v>194.5</v>
      </c>
      <c r="F4472">
        <v>191.5</v>
      </c>
      <c r="G4472">
        <v>192.5</v>
      </c>
      <c r="H4472">
        <v>-2</v>
      </c>
      <c r="I4472">
        <v>105</v>
      </c>
    </row>
    <row r="4473" spans="1:9" x14ac:dyDescent="0.25">
      <c r="A4473" t="s">
        <v>1060</v>
      </c>
      <c r="B4473">
        <v>133</v>
      </c>
      <c r="C4473" s="1">
        <v>25588</v>
      </c>
      <c r="D4473">
        <v>192.5</v>
      </c>
      <c r="E4473">
        <v>192.5</v>
      </c>
      <c r="F4473">
        <v>192</v>
      </c>
      <c r="G4473">
        <v>192</v>
      </c>
      <c r="H4473">
        <v>-0.5</v>
      </c>
      <c r="I4473">
        <v>100</v>
      </c>
    </row>
    <row r="4474" spans="1:9" x14ac:dyDescent="0.25">
      <c r="A4474" t="s">
        <v>1061</v>
      </c>
      <c r="B4474">
        <v>171</v>
      </c>
      <c r="C4474" s="1">
        <v>32782</v>
      </c>
      <c r="D4474">
        <v>192.5</v>
      </c>
      <c r="E4474">
        <v>192.5</v>
      </c>
      <c r="F4474">
        <v>190.5</v>
      </c>
      <c r="G4474">
        <v>191</v>
      </c>
      <c r="H4474">
        <v>-1</v>
      </c>
      <c r="I4474">
        <v>122</v>
      </c>
    </row>
    <row r="4475" spans="1:9" x14ac:dyDescent="0.25">
      <c r="A4475" t="s">
        <v>1062</v>
      </c>
      <c r="B4475">
        <v>178</v>
      </c>
      <c r="C4475" s="1">
        <v>34036</v>
      </c>
      <c r="D4475">
        <v>191.5</v>
      </c>
      <c r="E4475">
        <v>192</v>
      </c>
      <c r="F4475">
        <v>190.5</v>
      </c>
      <c r="G4475">
        <v>191</v>
      </c>
      <c r="H4475">
        <v>0</v>
      </c>
      <c r="I4475">
        <v>139</v>
      </c>
    </row>
    <row r="4476" spans="1:9" x14ac:dyDescent="0.25">
      <c r="A4476" t="s">
        <v>1063</v>
      </c>
      <c r="B4476">
        <v>387</v>
      </c>
      <c r="C4476" s="1">
        <v>74277</v>
      </c>
      <c r="D4476">
        <v>192</v>
      </c>
      <c r="E4476">
        <v>192.5</v>
      </c>
      <c r="F4476">
        <v>190.5</v>
      </c>
      <c r="G4476">
        <v>192</v>
      </c>
      <c r="H4476">
        <v>1</v>
      </c>
      <c r="I4476">
        <v>286</v>
      </c>
    </row>
    <row r="4477" spans="1:9" x14ac:dyDescent="0.25">
      <c r="A4477" t="s">
        <v>1064</v>
      </c>
      <c r="B4477">
        <v>225</v>
      </c>
      <c r="C4477" s="1">
        <v>41237</v>
      </c>
      <c r="D4477">
        <v>182</v>
      </c>
      <c r="E4477">
        <v>185</v>
      </c>
      <c r="F4477">
        <v>181</v>
      </c>
      <c r="G4477">
        <v>184.5</v>
      </c>
      <c r="H4477">
        <v>3.5</v>
      </c>
      <c r="I4477">
        <v>201</v>
      </c>
    </row>
    <row r="4478" spans="1:9" x14ac:dyDescent="0.25">
      <c r="A4478" t="s">
        <v>1065</v>
      </c>
      <c r="B4478">
        <v>53</v>
      </c>
      <c r="C4478" s="1">
        <v>9815</v>
      </c>
      <c r="D4478">
        <v>185</v>
      </c>
      <c r="E4478">
        <v>185.5</v>
      </c>
      <c r="F4478">
        <v>184</v>
      </c>
      <c r="G4478">
        <v>185</v>
      </c>
      <c r="H4478">
        <v>0.5</v>
      </c>
      <c r="I4478">
        <v>55</v>
      </c>
    </row>
    <row r="4479" spans="1:9" x14ac:dyDescent="0.25">
      <c r="A4479" t="s">
        <v>1066</v>
      </c>
      <c r="B4479">
        <v>25</v>
      </c>
      <c r="C4479" s="1">
        <v>4628</v>
      </c>
      <c r="D4479">
        <v>185</v>
      </c>
      <c r="E4479">
        <v>185</v>
      </c>
      <c r="F4479">
        <v>184</v>
      </c>
      <c r="G4479">
        <v>184</v>
      </c>
      <c r="H4479">
        <v>-1</v>
      </c>
      <c r="I4479">
        <v>26</v>
      </c>
    </row>
    <row r="4480" spans="1:9" x14ac:dyDescent="0.25">
      <c r="A4480" t="s">
        <v>1067</v>
      </c>
      <c r="B4480">
        <v>54</v>
      </c>
      <c r="C4480" s="1">
        <v>9871</v>
      </c>
      <c r="D4480">
        <v>184</v>
      </c>
      <c r="E4480">
        <v>184</v>
      </c>
      <c r="F4480">
        <v>181.5</v>
      </c>
      <c r="G4480">
        <v>182</v>
      </c>
      <c r="H4480">
        <v>-2</v>
      </c>
      <c r="I4480">
        <v>48</v>
      </c>
    </row>
    <row r="4481" spans="1:9" x14ac:dyDescent="0.25">
      <c r="A4481" t="s">
        <v>1068</v>
      </c>
      <c r="B4481">
        <v>130</v>
      </c>
      <c r="C4481" s="1">
        <v>23502</v>
      </c>
      <c r="D4481">
        <v>182</v>
      </c>
      <c r="E4481">
        <v>182</v>
      </c>
      <c r="F4481">
        <v>179</v>
      </c>
      <c r="G4481">
        <v>180</v>
      </c>
      <c r="H4481">
        <v>-2</v>
      </c>
      <c r="I4481">
        <v>97</v>
      </c>
    </row>
    <row r="4482" spans="1:9" x14ac:dyDescent="0.25">
      <c r="A4482" t="s">
        <v>1069</v>
      </c>
      <c r="B4482">
        <v>73</v>
      </c>
      <c r="C4482" s="1">
        <v>13300</v>
      </c>
      <c r="D4482">
        <v>179</v>
      </c>
      <c r="E4482">
        <v>184</v>
      </c>
      <c r="F4482">
        <v>179</v>
      </c>
      <c r="G4482">
        <v>182.5</v>
      </c>
      <c r="H4482">
        <v>2.5</v>
      </c>
      <c r="I4482">
        <v>62</v>
      </c>
    </row>
    <row r="4483" spans="1:9" x14ac:dyDescent="0.25">
      <c r="A4483" t="s">
        <v>1070</v>
      </c>
      <c r="B4483">
        <v>16</v>
      </c>
      <c r="C4483" s="1">
        <v>2944</v>
      </c>
      <c r="D4483">
        <v>182.5</v>
      </c>
      <c r="E4483">
        <v>183</v>
      </c>
      <c r="F4483">
        <v>180</v>
      </c>
      <c r="G4483">
        <v>182</v>
      </c>
      <c r="H4483">
        <v>-0.5</v>
      </c>
      <c r="I4483">
        <v>19</v>
      </c>
    </row>
    <row r="4484" spans="1:9" x14ac:dyDescent="0.25">
      <c r="A4484" t="s">
        <v>1071</v>
      </c>
      <c r="B4484">
        <v>18</v>
      </c>
      <c r="C4484" s="1">
        <v>3322</v>
      </c>
      <c r="D4484">
        <v>182.5</v>
      </c>
      <c r="E4484">
        <v>183</v>
      </c>
      <c r="F4484">
        <v>182.5</v>
      </c>
      <c r="G4484">
        <v>183</v>
      </c>
      <c r="H4484">
        <v>1</v>
      </c>
      <c r="I4484">
        <v>20</v>
      </c>
    </row>
    <row r="4485" spans="1:9" x14ac:dyDescent="0.25">
      <c r="A4485" t="s">
        <v>1072</v>
      </c>
      <c r="B4485">
        <v>79</v>
      </c>
      <c r="C4485" s="1">
        <v>14635</v>
      </c>
      <c r="D4485">
        <v>183</v>
      </c>
      <c r="E4485">
        <v>186.5</v>
      </c>
      <c r="F4485">
        <v>183</v>
      </c>
      <c r="G4485">
        <v>186.5</v>
      </c>
      <c r="H4485">
        <v>3.5</v>
      </c>
      <c r="I4485">
        <v>63</v>
      </c>
    </row>
    <row r="4486" spans="1:9" x14ac:dyDescent="0.25">
      <c r="A4486" t="s">
        <v>973</v>
      </c>
      <c r="C4486" s="1"/>
    </row>
    <row r="4489" spans="1:9" x14ac:dyDescent="0.25">
      <c r="A4489" s="9" t="s">
        <v>1031</v>
      </c>
      <c r="B4489" s="1">
        <v>2</v>
      </c>
      <c r="C4489" s="1">
        <v>380</v>
      </c>
      <c r="D4489">
        <v>190</v>
      </c>
      <c r="E4489">
        <v>190</v>
      </c>
      <c r="F4489">
        <v>190</v>
      </c>
      <c r="G4489">
        <v>190</v>
      </c>
      <c r="H4489">
        <v>0</v>
      </c>
      <c r="I4489" s="1">
        <v>3</v>
      </c>
    </row>
    <row r="4490" spans="1:9" x14ac:dyDescent="0.25">
      <c r="A4490" t="s">
        <v>1032</v>
      </c>
      <c r="B4490">
        <v>19</v>
      </c>
      <c r="C4490" s="1">
        <v>3585</v>
      </c>
      <c r="D4490">
        <v>190</v>
      </c>
      <c r="E4490">
        <v>190</v>
      </c>
      <c r="F4490">
        <v>185.5</v>
      </c>
      <c r="G4490">
        <v>186</v>
      </c>
      <c r="H4490">
        <v>-4</v>
      </c>
      <c r="I4490">
        <v>20</v>
      </c>
    </row>
    <row r="4491" spans="1:9" x14ac:dyDescent="0.25">
      <c r="A4491" t="s">
        <v>1033</v>
      </c>
      <c r="B4491">
        <v>20</v>
      </c>
      <c r="C4491" s="1">
        <v>3728</v>
      </c>
      <c r="D4491">
        <v>186</v>
      </c>
      <c r="E4491">
        <v>188.5</v>
      </c>
      <c r="F4491">
        <v>185</v>
      </c>
      <c r="G4491">
        <v>187</v>
      </c>
      <c r="H4491">
        <v>1</v>
      </c>
      <c r="I4491">
        <v>17</v>
      </c>
    </row>
    <row r="4492" spans="1:9" x14ac:dyDescent="0.25">
      <c r="A4492" t="s">
        <v>1034</v>
      </c>
      <c r="B4492">
        <v>31</v>
      </c>
      <c r="C4492" s="1">
        <v>5759</v>
      </c>
      <c r="D4492">
        <v>187.5</v>
      </c>
      <c r="E4492">
        <v>187.5</v>
      </c>
      <c r="F4492">
        <v>185</v>
      </c>
      <c r="G4492">
        <v>186.5</v>
      </c>
      <c r="H4492">
        <v>-0.5</v>
      </c>
      <c r="I4492">
        <v>24</v>
      </c>
    </row>
    <row r="4493" spans="1:9" x14ac:dyDescent="0.25">
      <c r="A4493" t="s">
        <v>1035</v>
      </c>
      <c r="B4493">
        <v>18</v>
      </c>
      <c r="C4493" s="1">
        <v>3365</v>
      </c>
      <c r="D4493">
        <v>186</v>
      </c>
      <c r="E4493">
        <v>186.5</v>
      </c>
      <c r="F4493">
        <v>185.5</v>
      </c>
      <c r="G4493">
        <v>186</v>
      </c>
      <c r="H4493">
        <v>-0.5</v>
      </c>
      <c r="I4493">
        <v>18</v>
      </c>
    </row>
    <row r="4494" spans="1:9" x14ac:dyDescent="0.25">
      <c r="A4494" t="s">
        <v>1036</v>
      </c>
      <c r="B4494">
        <v>17</v>
      </c>
      <c r="C4494" s="1">
        <v>3099</v>
      </c>
      <c r="D4494">
        <v>186</v>
      </c>
      <c r="E4494">
        <v>187.5</v>
      </c>
      <c r="F4494">
        <v>186</v>
      </c>
      <c r="G4494">
        <v>186</v>
      </c>
      <c r="H4494">
        <v>0</v>
      </c>
      <c r="I4494">
        <v>17</v>
      </c>
    </row>
    <row r="4495" spans="1:9" x14ac:dyDescent="0.25">
      <c r="A4495" t="s">
        <v>1037</v>
      </c>
      <c r="B4495">
        <v>24</v>
      </c>
      <c r="C4495" s="1">
        <v>4516</v>
      </c>
      <c r="D4495">
        <v>187</v>
      </c>
      <c r="E4495">
        <v>188.5</v>
      </c>
      <c r="F4495">
        <v>187</v>
      </c>
      <c r="G4495">
        <v>188</v>
      </c>
      <c r="H4495">
        <v>2</v>
      </c>
      <c r="I4495">
        <v>23</v>
      </c>
    </row>
    <row r="4496" spans="1:9" x14ac:dyDescent="0.25">
      <c r="A4496" t="s">
        <v>1038</v>
      </c>
      <c r="B4496">
        <v>26</v>
      </c>
      <c r="C4496" s="1">
        <v>4880</v>
      </c>
      <c r="D4496">
        <v>189</v>
      </c>
      <c r="E4496">
        <v>189</v>
      </c>
      <c r="F4496">
        <v>186</v>
      </c>
      <c r="G4496">
        <v>186</v>
      </c>
      <c r="H4496">
        <v>-2</v>
      </c>
      <c r="I4496">
        <v>23</v>
      </c>
    </row>
    <row r="4497" spans="1:9" x14ac:dyDescent="0.25">
      <c r="A4497" t="s">
        <v>1039</v>
      </c>
      <c r="B4497">
        <v>37</v>
      </c>
      <c r="C4497" s="1">
        <v>6927</v>
      </c>
      <c r="D4497">
        <v>185.5</v>
      </c>
      <c r="E4497">
        <v>190</v>
      </c>
      <c r="F4497">
        <v>185</v>
      </c>
      <c r="G4497">
        <v>190</v>
      </c>
      <c r="H4497">
        <v>4</v>
      </c>
      <c r="I4497">
        <v>32</v>
      </c>
    </row>
    <row r="4498" spans="1:9" x14ac:dyDescent="0.25">
      <c r="A4498" t="s">
        <v>1040</v>
      </c>
      <c r="B4498">
        <v>10</v>
      </c>
      <c r="C4498" s="1">
        <v>1888</v>
      </c>
      <c r="D4498">
        <v>192.5</v>
      </c>
      <c r="E4498">
        <v>192.5</v>
      </c>
      <c r="F4498">
        <v>187</v>
      </c>
      <c r="G4498">
        <v>187</v>
      </c>
      <c r="H4498">
        <v>-3</v>
      </c>
      <c r="I4498">
        <v>10</v>
      </c>
    </row>
    <row r="4499" spans="1:9" x14ac:dyDescent="0.25">
      <c r="A4499" t="s">
        <v>1041</v>
      </c>
      <c r="B4499">
        <v>9</v>
      </c>
      <c r="C4499" s="1">
        <v>1687</v>
      </c>
      <c r="D4499">
        <v>187</v>
      </c>
      <c r="E4499">
        <v>188</v>
      </c>
      <c r="F4499">
        <v>187</v>
      </c>
      <c r="G4499">
        <v>187.5</v>
      </c>
      <c r="H4499">
        <v>0.5</v>
      </c>
      <c r="I4499">
        <v>9</v>
      </c>
    </row>
    <row r="4500" spans="1:9" x14ac:dyDescent="0.25">
      <c r="A4500" t="s">
        <v>1042</v>
      </c>
      <c r="B4500">
        <v>4</v>
      </c>
      <c r="C4500" s="1">
        <v>750</v>
      </c>
      <c r="D4500">
        <v>187.5</v>
      </c>
      <c r="E4500">
        <v>187.5</v>
      </c>
      <c r="F4500">
        <v>187.5</v>
      </c>
      <c r="G4500">
        <v>187.5</v>
      </c>
      <c r="H4500">
        <v>0</v>
      </c>
      <c r="I4500">
        <v>4</v>
      </c>
    </row>
    <row r="4501" spans="1:9" x14ac:dyDescent="0.25">
      <c r="A4501" t="s">
        <v>1043</v>
      </c>
      <c r="B4501">
        <v>5</v>
      </c>
      <c r="C4501" s="1">
        <v>955</v>
      </c>
      <c r="D4501">
        <v>187.5</v>
      </c>
      <c r="E4501">
        <v>187.5</v>
      </c>
      <c r="F4501">
        <v>186.5</v>
      </c>
      <c r="G4501">
        <v>186.5</v>
      </c>
      <c r="H4501">
        <v>-1</v>
      </c>
      <c r="I4501">
        <v>8</v>
      </c>
    </row>
    <row r="4502" spans="1:9" x14ac:dyDescent="0.25">
      <c r="A4502" t="s">
        <v>1044</v>
      </c>
      <c r="B4502">
        <v>3</v>
      </c>
      <c r="C4502" s="1">
        <v>560</v>
      </c>
      <c r="D4502">
        <v>186.5</v>
      </c>
      <c r="E4502">
        <v>186.5</v>
      </c>
      <c r="F4502">
        <v>186.5</v>
      </c>
      <c r="G4502">
        <v>186.5</v>
      </c>
      <c r="H4502">
        <v>0</v>
      </c>
      <c r="I4502">
        <v>3</v>
      </c>
    </row>
    <row r="4503" spans="1:9" x14ac:dyDescent="0.25">
      <c r="A4503" t="s">
        <v>1045</v>
      </c>
      <c r="B4503">
        <v>16</v>
      </c>
      <c r="C4503" s="1">
        <v>3059</v>
      </c>
      <c r="D4503">
        <v>190</v>
      </c>
      <c r="E4503">
        <v>190</v>
      </c>
      <c r="F4503">
        <v>189</v>
      </c>
      <c r="G4503">
        <v>189.5</v>
      </c>
      <c r="H4503">
        <v>3</v>
      </c>
      <c r="I4503">
        <v>19</v>
      </c>
    </row>
    <row r="4504" spans="1:9" x14ac:dyDescent="0.25">
      <c r="A4504" t="s">
        <v>1046</v>
      </c>
      <c r="B4504">
        <v>27</v>
      </c>
      <c r="C4504" s="1">
        <v>5126</v>
      </c>
      <c r="D4504">
        <v>189.5</v>
      </c>
      <c r="E4504">
        <v>191</v>
      </c>
      <c r="F4504">
        <v>189</v>
      </c>
      <c r="G4504">
        <v>190.5</v>
      </c>
      <c r="H4504">
        <v>1</v>
      </c>
      <c r="I4504">
        <v>20</v>
      </c>
    </row>
    <row r="4505" spans="1:9" x14ac:dyDescent="0.25">
      <c r="A4505" t="s">
        <v>1047</v>
      </c>
      <c r="B4505">
        <v>23</v>
      </c>
      <c r="C4505" s="1">
        <v>4378</v>
      </c>
      <c r="D4505">
        <v>190</v>
      </c>
      <c r="E4505">
        <v>191</v>
      </c>
      <c r="F4505">
        <v>189</v>
      </c>
      <c r="G4505">
        <v>189.5</v>
      </c>
      <c r="H4505">
        <v>-1</v>
      </c>
      <c r="I4505">
        <v>20</v>
      </c>
    </row>
    <row r="4506" spans="1:9" x14ac:dyDescent="0.25">
      <c r="A4506" t="s">
        <v>1048</v>
      </c>
      <c r="B4506">
        <v>66</v>
      </c>
      <c r="C4506" s="1">
        <v>12720</v>
      </c>
      <c r="D4506">
        <v>192</v>
      </c>
      <c r="E4506">
        <v>195</v>
      </c>
      <c r="F4506">
        <v>191</v>
      </c>
      <c r="G4506">
        <v>192</v>
      </c>
      <c r="H4506">
        <v>2.5</v>
      </c>
      <c r="I4506">
        <v>64</v>
      </c>
    </row>
    <row r="4507" spans="1:9" x14ac:dyDescent="0.25">
      <c r="A4507" t="s">
        <v>1049</v>
      </c>
      <c r="B4507">
        <v>104</v>
      </c>
      <c r="C4507" s="1">
        <v>20176</v>
      </c>
      <c r="D4507">
        <v>192</v>
      </c>
      <c r="E4507">
        <v>196</v>
      </c>
      <c r="F4507">
        <v>191.5</v>
      </c>
      <c r="G4507">
        <v>195</v>
      </c>
      <c r="H4507">
        <v>3</v>
      </c>
      <c r="I4507">
        <v>81</v>
      </c>
    </row>
    <row r="4508" spans="1:9" x14ac:dyDescent="0.25">
      <c r="A4508" t="s">
        <v>1050</v>
      </c>
      <c r="B4508">
        <v>63</v>
      </c>
      <c r="C4508" s="1">
        <v>12350</v>
      </c>
      <c r="D4508">
        <v>195</v>
      </c>
      <c r="E4508">
        <v>197</v>
      </c>
      <c r="F4508">
        <v>193.5</v>
      </c>
      <c r="G4508">
        <v>197</v>
      </c>
      <c r="H4508">
        <v>2</v>
      </c>
      <c r="I4508">
        <v>55</v>
      </c>
    </row>
    <row r="4509" spans="1:9" x14ac:dyDescent="0.25">
      <c r="A4509" t="s">
        <v>1051</v>
      </c>
      <c r="B4509">
        <v>44</v>
      </c>
      <c r="C4509" s="1">
        <v>8674</v>
      </c>
      <c r="D4509">
        <v>196</v>
      </c>
      <c r="E4509">
        <v>197</v>
      </c>
      <c r="F4509">
        <v>195</v>
      </c>
      <c r="G4509">
        <v>197</v>
      </c>
      <c r="H4509">
        <v>0</v>
      </c>
      <c r="I4509">
        <v>37</v>
      </c>
    </row>
    <row r="4510" spans="1:9" x14ac:dyDescent="0.25">
      <c r="A4510" t="s">
        <v>973</v>
      </c>
      <c r="C4510" s="1"/>
    </row>
    <row r="4513" spans="1:9" x14ac:dyDescent="0.25">
      <c r="A4513" s="9" t="s">
        <v>1011</v>
      </c>
      <c r="B4513" s="1">
        <v>47</v>
      </c>
      <c r="C4513" s="1">
        <v>9032</v>
      </c>
      <c r="D4513">
        <v>191</v>
      </c>
      <c r="E4513">
        <v>193</v>
      </c>
      <c r="F4513">
        <v>190.5</v>
      </c>
      <c r="G4513">
        <v>193</v>
      </c>
      <c r="H4513">
        <v>0</v>
      </c>
      <c r="I4513" s="1">
        <v>42</v>
      </c>
    </row>
    <row r="4514" spans="1:9" x14ac:dyDescent="0.25">
      <c r="A4514" t="s">
        <v>1012</v>
      </c>
      <c r="B4514">
        <v>29</v>
      </c>
      <c r="C4514" s="1">
        <v>5573</v>
      </c>
      <c r="D4514">
        <v>192.5</v>
      </c>
      <c r="E4514">
        <v>193</v>
      </c>
      <c r="F4514">
        <v>191</v>
      </c>
      <c r="G4514">
        <v>193</v>
      </c>
      <c r="H4514">
        <v>0</v>
      </c>
      <c r="I4514">
        <v>26</v>
      </c>
    </row>
    <row r="4515" spans="1:9" x14ac:dyDescent="0.25">
      <c r="A4515" t="s">
        <v>1013</v>
      </c>
      <c r="B4515">
        <v>29</v>
      </c>
      <c r="C4515" s="1">
        <v>5645</v>
      </c>
      <c r="D4515">
        <v>195</v>
      </c>
      <c r="E4515">
        <v>195</v>
      </c>
      <c r="F4515">
        <v>191.5</v>
      </c>
      <c r="G4515">
        <v>192</v>
      </c>
      <c r="H4515">
        <v>-1</v>
      </c>
      <c r="I4515">
        <v>31</v>
      </c>
    </row>
    <row r="4516" spans="1:9" x14ac:dyDescent="0.25">
      <c r="A4516" t="s">
        <v>1014</v>
      </c>
      <c r="B4516">
        <v>65</v>
      </c>
      <c r="C4516" s="1">
        <v>12399</v>
      </c>
      <c r="D4516">
        <v>192</v>
      </c>
      <c r="E4516">
        <v>192</v>
      </c>
      <c r="F4516">
        <v>189.5</v>
      </c>
      <c r="G4516">
        <v>191.5</v>
      </c>
      <c r="H4516">
        <v>-0.5</v>
      </c>
      <c r="I4516">
        <v>57</v>
      </c>
    </row>
    <row r="4517" spans="1:9" x14ac:dyDescent="0.25">
      <c r="A4517" t="s">
        <v>1015</v>
      </c>
      <c r="B4517">
        <v>34</v>
      </c>
      <c r="C4517" s="1">
        <v>6516</v>
      </c>
      <c r="D4517">
        <v>192</v>
      </c>
      <c r="E4517">
        <v>192</v>
      </c>
      <c r="F4517">
        <v>191</v>
      </c>
      <c r="G4517">
        <v>191</v>
      </c>
      <c r="H4517">
        <v>-0.5</v>
      </c>
      <c r="I4517">
        <v>26</v>
      </c>
    </row>
    <row r="4518" spans="1:9" x14ac:dyDescent="0.25">
      <c r="A4518" t="s">
        <v>1016</v>
      </c>
      <c r="B4518">
        <v>121</v>
      </c>
      <c r="C4518" s="1">
        <v>22745</v>
      </c>
      <c r="D4518">
        <v>191.5</v>
      </c>
      <c r="E4518">
        <v>191.5</v>
      </c>
      <c r="F4518">
        <v>185</v>
      </c>
      <c r="G4518">
        <v>186.5</v>
      </c>
      <c r="H4518">
        <v>-4.5</v>
      </c>
      <c r="I4518">
        <v>105</v>
      </c>
    </row>
    <row r="4519" spans="1:9" x14ac:dyDescent="0.25">
      <c r="A4519" t="s">
        <v>1017</v>
      </c>
      <c r="B4519">
        <v>55</v>
      </c>
      <c r="C4519" s="1">
        <v>10338</v>
      </c>
      <c r="D4519">
        <v>186.5</v>
      </c>
      <c r="E4519">
        <v>188.5</v>
      </c>
      <c r="F4519">
        <v>186.5</v>
      </c>
      <c r="G4519">
        <v>187</v>
      </c>
      <c r="H4519">
        <v>0.5</v>
      </c>
      <c r="I4519">
        <v>42</v>
      </c>
    </row>
    <row r="4520" spans="1:9" x14ac:dyDescent="0.25">
      <c r="A4520" t="s">
        <v>1018</v>
      </c>
      <c r="B4520">
        <v>27</v>
      </c>
      <c r="C4520" s="1">
        <v>5119</v>
      </c>
      <c r="D4520">
        <v>188.5</v>
      </c>
      <c r="E4520">
        <v>189.5</v>
      </c>
      <c r="F4520">
        <v>188</v>
      </c>
      <c r="G4520">
        <v>189</v>
      </c>
      <c r="H4520">
        <v>2</v>
      </c>
      <c r="I4520">
        <v>28</v>
      </c>
    </row>
    <row r="4521" spans="1:9" x14ac:dyDescent="0.25">
      <c r="A4521" t="s">
        <v>1019</v>
      </c>
      <c r="B4521">
        <v>20</v>
      </c>
      <c r="C4521" s="1">
        <v>3783</v>
      </c>
      <c r="D4521">
        <v>189.5</v>
      </c>
      <c r="E4521">
        <v>189.5</v>
      </c>
      <c r="F4521">
        <v>188</v>
      </c>
      <c r="G4521">
        <v>189</v>
      </c>
      <c r="H4521">
        <v>0</v>
      </c>
      <c r="I4521">
        <v>19</v>
      </c>
    </row>
    <row r="4522" spans="1:9" x14ac:dyDescent="0.25">
      <c r="A4522" t="s">
        <v>1020</v>
      </c>
      <c r="B4522">
        <v>73</v>
      </c>
      <c r="C4522" s="1">
        <v>13765</v>
      </c>
      <c r="D4522">
        <v>186.5</v>
      </c>
      <c r="E4522">
        <v>190</v>
      </c>
      <c r="F4522">
        <v>185</v>
      </c>
      <c r="G4522">
        <v>189.5</v>
      </c>
      <c r="H4522">
        <v>0.5</v>
      </c>
      <c r="I4522">
        <v>70</v>
      </c>
    </row>
    <row r="4523" spans="1:9" x14ac:dyDescent="0.25">
      <c r="A4523" t="s">
        <v>1021</v>
      </c>
      <c r="B4523">
        <v>21</v>
      </c>
      <c r="C4523" s="1">
        <v>3857</v>
      </c>
      <c r="D4523">
        <v>189.5</v>
      </c>
      <c r="E4523">
        <v>189.5</v>
      </c>
      <c r="F4523">
        <v>186</v>
      </c>
      <c r="G4523">
        <v>186.5</v>
      </c>
      <c r="H4523">
        <v>-3</v>
      </c>
      <c r="I4523">
        <v>23</v>
      </c>
    </row>
    <row r="4524" spans="1:9" x14ac:dyDescent="0.25">
      <c r="A4524" t="s">
        <v>1022</v>
      </c>
      <c r="B4524">
        <v>69</v>
      </c>
      <c r="C4524" s="1">
        <v>13165</v>
      </c>
      <c r="D4524">
        <v>187</v>
      </c>
      <c r="E4524">
        <v>193</v>
      </c>
      <c r="F4524">
        <v>186.5</v>
      </c>
      <c r="G4524">
        <v>191</v>
      </c>
      <c r="H4524">
        <v>4.5</v>
      </c>
      <c r="I4524">
        <v>65</v>
      </c>
    </row>
    <row r="4525" spans="1:9" x14ac:dyDescent="0.25">
      <c r="A4525" t="s">
        <v>1023</v>
      </c>
      <c r="B4525">
        <v>76</v>
      </c>
      <c r="C4525" s="1">
        <v>14798</v>
      </c>
      <c r="D4525">
        <v>191</v>
      </c>
      <c r="E4525">
        <v>196</v>
      </c>
      <c r="F4525">
        <v>191</v>
      </c>
      <c r="G4525">
        <v>194.5</v>
      </c>
      <c r="H4525">
        <v>3.5</v>
      </c>
      <c r="I4525">
        <v>62</v>
      </c>
    </row>
    <row r="4526" spans="1:9" x14ac:dyDescent="0.25">
      <c r="A4526" t="s">
        <v>1024</v>
      </c>
      <c r="B4526">
        <v>45</v>
      </c>
      <c r="C4526" s="1">
        <v>8622</v>
      </c>
      <c r="D4526">
        <v>194</v>
      </c>
      <c r="E4526">
        <v>194</v>
      </c>
      <c r="F4526">
        <v>188.5</v>
      </c>
      <c r="G4526">
        <v>190</v>
      </c>
      <c r="H4526">
        <v>-4.5</v>
      </c>
      <c r="I4526">
        <v>49</v>
      </c>
    </row>
    <row r="4527" spans="1:9" x14ac:dyDescent="0.25">
      <c r="A4527" t="s">
        <v>1025</v>
      </c>
      <c r="B4527">
        <v>10</v>
      </c>
      <c r="C4527" s="1">
        <v>1914</v>
      </c>
      <c r="D4527">
        <v>190</v>
      </c>
      <c r="E4527">
        <v>192</v>
      </c>
      <c r="F4527">
        <v>190</v>
      </c>
      <c r="G4527">
        <v>192</v>
      </c>
      <c r="H4527">
        <v>2</v>
      </c>
      <c r="I4527">
        <v>10</v>
      </c>
    </row>
    <row r="4528" spans="1:9" x14ac:dyDescent="0.25">
      <c r="A4528" t="s">
        <v>1026</v>
      </c>
      <c r="B4528">
        <v>24</v>
      </c>
      <c r="C4528" s="1">
        <v>4581</v>
      </c>
      <c r="D4528">
        <v>192</v>
      </c>
      <c r="E4528">
        <v>192</v>
      </c>
      <c r="F4528">
        <v>189.5</v>
      </c>
      <c r="G4528">
        <v>190</v>
      </c>
      <c r="H4528">
        <v>-2</v>
      </c>
      <c r="I4528">
        <v>20</v>
      </c>
    </row>
    <row r="4529" spans="1:9" x14ac:dyDescent="0.25">
      <c r="A4529" t="s">
        <v>1027</v>
      </c>
      <c r="B4529">
        <v>15</v>
      </c>
      <c r="C4529" s="1">
        <v>2844</v>
      </c>
      <c r="D4529">
        <v>188.5</v>
      </c>
      <c r="E4529">
        <v>190</v>
      </c>
      <c r="F4529">
        <v>188.5</v>
      </c>
      <c r="G4529">
        <v>188.5</v>
      </c>
      <c r="H4529">
        <v>-1.5</v>
      </c>
      <c r="I4529">
        <v>15</v>
      </c>
    </row>
    <row r="4530" spans="1:9" x14ac:dyDescent="0.25">
      <c r="A4530" t="s">
        <v>1028</v>
      </c>
      <c r="B4530">
        <v>21</v>
      </c>
      <c r="C4530" s="1">
        <v>3965</v>
      </c>
      <c r="D4530">
        <v>188</v>
      </c>
      <c r="E4530">
        <v>188</v>
      </c>
      <c r="F4530">
        <v>187</v>
      </c>
      <c r="G4530">
        <v>188</v>
      </c>
      <c r="H4530">
        <v>-0.5</v>
      </c>
      <c r="I4530">
        <v>18</v>
      </c>
    </row>
    <row r="4531" spans="1:9" x14ac:dyDescent="0.25">
      <c r="A4531" t="s">
        <v>1029</v>
      </c>
      <c r="B4531">
        <v>8</v>
      </c>
      <c r="C4531" s="1">
        <v>1514</v>
      </c>
      <c r="D4531">
        <v>188</v>
      </c>
      <c r="E4531">
        <v>190</v>
      </c>
      <c r="F4531">
        <v>188</v>
      </c>
      <c r="G4531">
        <v>190</v>
      </c>
      <c r="H4531">
        <v>2</v>
      </c>
      <c r="I4531">
        <v>7</v>
      </c>
    </row>
    <row r="4532" spans="1:9" x14ac:dyDescent="0.25">
      <c r="A4532" t="s">
        <v>1030</v>
      </c>
      <c r="C4532" s="1"/>
    </row>
    <row r="4537" spans="1:9" x14ac:dyDescent="0.25">
      <c r="A4537" s="9" t="s">
        <v>988</v>
      </c>
      <c r="B4537" s="1">
        <v>174</v>
      </c>
      <c r="C4537" s="1">
        <v>35684</v>
      </c>
      <c r="D4537">
        <v>202</v>
      </c>
      <c r="E4537">
        <v>210</v>
      </c>
      <c r="F4537">
        <v>201.5</v>
      </c>
      <c r="G4537">
        <v>205</v>
      </c>
      <c r="H4537">
        <v>5</v>
      </c>
      <c r="I4537" s="1">
        <v>144</v>
      </c>
    </row>
    <row r="4538" spans="1:9" x14ac:dyDescent="0.25">
      <c r="A4538" t="s">
        <v>989</v>
      </c>
      <c r="B4538">
        <v>115</v>
      </c>
      <c r="C4538" s="1">
        <v>23737</v>
      </c>
      <c r="D4538">
        <v>206</v>
      </c>
      <c r="E4538">
        <v>207.5</v>
      </c>
      <c r="F4538">
        <v>204</v>
      </c>
      <c r="G4538">
        <v>206</v>
      </c>
      <c r="H4538">
        <v>1</v>
      </c>
      <c r="I4538">
        <v>85</v>
      </c>
    </row>
    <row r="4539" spans="1:9" x14ac:dyDescent="0.25">
      <c r="A4539" t="s">
        <v>990</v>
      </c>
      <c r="B4539">
        <v>265</v>
      </c>
      <c r="C4539" s="1">
        <v>55768</v>
      </c>
      <c r="D4539">
        <v>208</v>
      </c>
      <c r="E4539">
        <v>215</v>
      </c>
      <c r="F4539">
        <v>206.5</v>
      </c>
      <c r="G4539">
        <v>206.5</v>
      </c>
      <c r="H4539">
        <v>0.5</v>
      </c>
      <c r="I4539">
        <v>216</v>
      </c>
    </row>
    <row r="4540" spans="1:9" x14ac:dyDescent="0.25">
      <c r="A4540" t="s">
        <v>991</v>
      </c>
      <c r="B4540">
        <v>185</v>
      </c>
      <c r="C4540" s="1">
        <v>38836</v>
      </c>
      <c r="D4540">
        <v>208</v>
      </c>
      <c r="E4540">
        <v>212</v>
      </c>
      <c r="F4540">
        <v>207</v>
      </c>
      <c r="G4540">
        <v>208.5</v>
      </c>
      <c r="H4540">
        <v>2</v>
      </c>
      <c r="I4540">
        <v>159</v>
      </c>
    </row>
    <row r="4541" spans="1:9" x14ac:dyDescent="0.25">
      <c r="A4541" t="s">
        <v>992</v>
      </c>
      <c r="B4541">
        <v>74</v>
      </c>
      <c r="C4541" s="1">
        <v>15477</v>
      </c>
      <c r="D4541">
        <v>209</v>
      </c>
      <c r="E4541">
        <v>212</v>
      </c>
      <c r="F4541">
        <v>206</v>
      </c>
      <c r="G4541">
        <v>206.5</v>
      </c>
      <c r="H4541">
        <v>-2</v>
      </c>
      <c r="I4541">
        <v>76</v>
      </c>
    </row>
    <row r="4542" spans="1:9" x14ac:dyDescent="0.25">
      <c r="A4542" t="s">
        <v>993</v>
      </c>
      <c r="B4542">
        <v>127</v>
      </c>
      <c r="C4542" s="1">
        <v>25743</v>
      </c>
      <c r="D4542">
        <v>205.5</v>
      </c>
      <c r="E4542">
        <v>205.5</v>
      </c>
      <c r="F4542">
        <v>200.5</v>
      </c>
      <c r="G4542">
        <v>203</v>
      </c>
      <c r="H4542">
        <v>-3.5</v>
      </c>
      <c r="I4542">
        <v>101</v>
      </c>
    </row>
    <row r="4543" spans="1:9" x14ac:dyDescent="0.25">
      <c r="A4543" t="s">
        <v>994</v>
      </c>
      <c r="B4543">
        <v>116</v>
      </c>
      <c r="C4543" s="1">
        <v>23501</v>
      </c>
      <c r="D4543">
        <v>203</v>
      </c>
      <c r="E4543">
        <v>205</v>
      </c>
      <c r="F4543">
        <v>201</v>
      </c>
      <c r="G4543">
        <v>203.5</v>
      </c>
      <c r="H4543">
        <v>0.5</v>
      </c>
      <c r="I4543">
        <v>79</v>
      </c>
    </row>
    <row r="4544" spans="1:9" x14ac:dyDescent="0.25">
      <c r="A4544" t="s">
        <v>995</v>
      </c>
      <c r="B4544">
        <v>228</v>
      </c>
      <c r="C4544" s="1">
        <v>45534</v>
      </c>
      <c r="D4544">
        <v>201.5</v>
      </c>
      <c r="E4544">
        <v>202</v>
      </c>
      <c r="F4544">
        <v>198</v>
      </c>
      <c r="G4544">
        <v>200.5</v>
      </c>
      <c r="H4544">
        <v>-3</v>
      </c>
      <c r="I4544">
        <v>176</v>
      </c>
    </row>
    <row r="4545" spans="1:9" x14ac:dyDescent="0.25">
      <c r="A4545" t="s">
        <v>996</v>
      </c>
      <c r="B4545">
        <v>95</v>
      </c>
      <c r="C4545" s="1">
        <v>19275</v>
      </c>
      <c r="D4545">
        <v>201</v>
      </c>
      <c r="E4545">
        <v>205</v>
      </c>
      <c r="F4545">
        <v>200.5</v>
      </c>
      <c r="G4545">
        <v>202.5</v>
      </c>
      <c r="H4545">
        <v>2</v>
      </c>
      <c r="I4545">
        <v>79</v>
      </c>
    </row>
    <row r="4546" spans="1:9" x14ac:dyDescent="0.25">
      <c r="A4546" t="s">
        <v>997</v>
      </c>
      <c r="B4546">
        <v>192</v>
      </c>
      <c r="C4546" s="1">
        <v>40095</v>
      </c>
      <c r="D4546">
        <v>204</v>
      </c>
      <c r="E4546">
        <v>212</v>
      </c>
      <c r="F4546">
        <v>204</v>
      </c>
      <c r="G4546">
        <v>206</v>
      </c>
      <c r="H4546">
        <v>3.5</v>
      </c>
      <c r="I4546">
        <v>177</v>
      </c>
    </row>
    <row r="4547" spans="1:9" x14ac:dyDescent="0.25">
      <c r="A4547" t="s">
        <v>998</v>
      </c>
      <c r="B4547">
        <v>114</v>
      </c>
      <c r="C4547" s="1">
        <v>23306</v>
      </c>
      <c r="D4547">
        <v>208</v>
      </c>
      <c r="E4547">
        <v>208</v>
      </c>
      <c r="F4547">
        <v>202.5</v>
      </c>
      <c r="G4547">
        <v>203</v>
      </c>
      <c r="H4547">
        <v>-3</v>
      </c>
      <c r="I4547">
        <v>91</v>
      </c>
    </row>
    <row r="4548" spans="1:9" x14ac:dyDescent="0.25">
      <c r="A4548" t="s">
        <v>999</v>
      </c>
      <c r="B4548">
        <v>34</v>
      </c>
      <c r="C4548" s="1">
        <v>6960</v>
      </c>
      <c r="D4548">
        <v>203.5</v>
      </c>
      <c r="E4548">
        <v>206</v>
      </c>
      <c r="F4548">
        <v>203</v>
      </c>
      <c r="G4548">
        <v>203</v>
      </c>
      <c r="H4548">
        <v>0</v>
      </c>
      <c r="I4548">
        <v>33</v>
      </c>
    </row>
    <row r="4549" spans="1:9" x14ac:dyDescent="0.25">
      <c r="A4549" t="s">
        <v>1000</v>
      </c>
      <c r="B4549">
        <v>124</v>
      </c>
      <c r="C4549" s="1">
        <v>25280</v>
      </c>
      <c r="D4549">
        <v>205</v>
      </c>
      <c r="E4549">
        <v>206</v>
      </c>
      <c r="F4549">
        <v>202</v>
      </c>
      <c r="G4549">
        <v>202.5</v>
      </c>
      <c r="H4549">
        <v>-0.5</v>
      </c>
      <c r="I4549">
        <v>97</v>
      </c>
    </row>
    <row r="4550" spans="1:9" x14ac:dyDescent="0.25">
      <c r="A4550" t="s">
        <v>1001</v>
      </c>
      <c r="B4550">
        <v>105</v>
      </c>
      <c r="C4550" s="1">
        <v>21388</v>
      </c>
      <c r="D4550">
        <v>202.5</v>
      </c>
      <c r="E4550">
        <v>207</v>
      </c>
      <c r="F4550">
        <v>201</v>
      </c>
      <c r="G4550">
        <v>202.5</v>
      </c>
      <c r="H4550">
        <v>0</v>
      </c>
      <c r="I4550">
        <v>91</v>
      </c>
    </row>
    <row r="4551" spans="1:9" x14ac:dyDescent="0.25">
      <c r="A4551" t="s">
        <v>1002</v>
      </c>
      <c r="B4551">
        <v>82</v>
      </c>
      <c r="C4551" s="1">
        <v>16572</v>
      </c>
      <c r="D4551">
        <v>204</v>
      </c>
      <c r="E4551">
        <v>206.5</v>
      </c>
      <c r="F4551">
        <v>201</v>
      </c>
      <c r="G4551">
        <v>202</v>
      </c>
      <c r="H4551">
        <v>-0.5</v>
      </c>
      <c r="I4551">
        <v>72</v>
      </c>
    </row>
    <row r="4552" spans="1:9" x14ac:dyDescent="0.25">
      <c r="A4552" t="s">
        <v>1003</v>
      </c>
      <c r="B4552">
        <v>106</v>
      </c>
      <c r="C4552" s="1">
        <v>21210</v>
      </c>
      <c r="D4552">
        <v>200.5</v>
      </c>
      <c r="E4552">
        <v>202.5</v>
      </c>
      <c r="F4552">
        <v>199</v>
      </c>
      <c r="G4552">
        <v>199</v>
      </c>
      <c r="H4552">
        <v>-3</v>
      </c>
      <c r="I4552">
        <v>82</v>
      </c>
    </row>
    <row r="4553" spans="1:9" x14ac:dyDescent="0.25">
      <c r="A4553" t="s">
        <v>1004</v>
      </c>
      <c r="B4553">
        <v>108</v>
      </c>
      <c r="C4553" s="1">
        <v>21896</v>
      </c>
      <c r="D4553">
        <v>199.5</v>
      </c>
      <c r="E4553">
        <v>204</v>
      </c>
      <c r="F4553">
        <v>199.5</v>
      </c>
      <c r="G4553">
        <v>201.5</v>
      </c>
      <c r="H4553">
        <v>2.5</v>
      </c>
      <c r="I4553">
        <v>80</v>
      </c>
    </row>
    <row r="4554" spans="1:9" x14ac:dyDescent="0.25">
      <c r="A4554" t="s">
        <v>1005</v>
      </c>
      <c r="B4554">
        <v>80</v>
      </c>
      <c r="C4554" s="1">
        <v>15961</v>
      </c>
      <c r="D4554">
        <v>201.5</v>
      </c>
      <c r="E4554">
        <v>201.5</v>
      </c>
      <c r="F4554">
        <v>197</v>
      </c>
      <c r="G4554">
        <v>199.5</v>
      </c>
      <c r="H4554">
        <v>-2</v>
      </c>
      <c r="I4554">
        <v>75</v>
      </c>
    </row>
    <row r="4555" spans="1:9" x14ac:dyDescent="0.25">
      <c r="A4555" t="s">
        <v>1006</v>
      </c>
      <c r="B4555">
        <v>34</v>
      </c>
      <c r="C4555" s="1">
        <v>6748</v>
      </c>
      <c r="D4555">
        <v>199.5</v>
      </c>
      <c r="E4555">
        <v>199.5</v>
      </c>
      <c r="F4555">
        <v>197.5</v>
      </c>
      <c r="G4555">
        <v>199</v>
      </c>
      <c r="H4555">
        <v>-0.5</v>
      </c>
      <c r="I4555">
        <v>33</v>
      </c>
    </row>
    <row r="4556" spans="1:9" x14ac:dyDescent="0.25">
      <c r="A4556" t="s">
        <v>1007</v>
      </c>
      <c r="B4556">
        <v>37</v>
      </c>
      <c r="C4556" s="1">
        <v>7340</v>
      </c>
      <c r="D4556">
        <v>200.5</v>
      </c>
      <c r="E4556">
        <v>200.5</v>
      </c>
      <c r="F4556">
        <v>197.5</v>
      </c>
      <c r="G4556">
        <v>197.5</v>
      </c>
      <c r="H4556">
        <v>-1.5</v>
      </c>
      <c r="I4556">
        <v>31</v>
      </c>
    </row>
    <row r="4557" spans="1:9" x14ac:dyDescent="0.25">
      <c r="A4557" t="s">
        <v>1008</v>
      </c>
      <c r="B4557">
        <v>173</v>
      </c>
      <c r="C4557" s="1">
        <v>33259</v>
      </c>
      <c r="D4557">
        <v>197.5</v>
      </c>
      <c r="E4557">
        <v>197.5</v>
      </c>
      <c r="F4557">
        <v>190</v>
      </c>
      <c r="G4557">
        <v>190.5</v>
      </c>
      <c r="H4557">
        <v>-7</v>
      </c>
      <c r="I4557">
        <v>138</v>
      </c>
    </row>
    <row r="4558" spans="1:9" x14ac:dyDescent="0.25">
      <c r="A4558" t="s">
        <v>1009</v>
      </c>
      <c r="B4558">
        <v>54</v>
      </c>
      <c r="C4558" s="1">
        <v>10505</v>
      </c>
      <c r="D4558">
        <v>190.5</v>
      </c>
      <c r="E4558">
        <v>196</v>
      </c>
      <c r="F4558">
        <v>190.5</v>
      </c>
      <c r="G4558">
        <v>195.5</v>
      </c>
      <c r="H4558">
        <v>5</v>
      </c>
      <c r="I4558">
        <v>55</v>
      </c>
    </row>
    <row r="4559" spans="1:9" x14ac:dyDescent="0.25">
      <c r="A4559" t="s">
        <v>1010</v>
      </c>
      <c r="B4559">
        <v>42</v>
      </c>
      <c r="C4559" s="1">
        <v>8174</v>
      </c>
      <c r="D4559">
        <v>195.5</v>
      </c>
      <c r="E4559">
        <v>196</v>
      </c>
      <c r="F4559">
        <v>193</v>
      </c>
      <c r="G4559">
        <v>193</v>
      </c>
      <c r="H4559">
        <v>-2.5</v>
      </c>
      <c r="I4559">
        <v>36</v>
      </c>
    </row>
    <row r="4560" spans="1:9" x14ac:dyDescent="0.25">
      <c r="A4560" t="s">
        <v>951</v>
      </c>
      <c r="C4560" s="1"/>
    </row>
    <row r="4561" spans="1:9" x14ac:dyDescent="0.25">
      <c r="A4561" s="9" t="s">
        <v>974</v>
      </c>
      <c r="B4561" s="1">
        <v>116</v>
      </c>
      <c r="C4561" s="1">
        <v>21106</v>
      </c>
      <c r="D4561">
        <v>178</v>
      </c>
      <c r="E4561">
        <v>184</v>
      </c>
      <c r="F4561">
        <v>177</v>
      </c>
      <c r="G4561">
        <v>180.5</v>
      </c>
      <c r="H4561">
        <v>4</v>
      </c>
      <c r="I4561" s="1">
        <v>102</v>
      </c>
    </row>
    <row r="4562" spans="1:9" x14ac:dyDescent="0.25">
      <c r="A4562" t="s">
        <v>975</v>
      </c>
      <c r="B4562">
        <v>38</v>
      </c>
      <c r="C4562" s="1">
        <v>6873</v>
      </c>
      <c r="D4562">
        <v>180</v>
      </c>
      <c r="E4562">
        <v>181.5</v>
      </c>
      <c r="F4562">
        <v>180</v>
      </c>
      <c r="G4562">
        <v>180.5</v>
      </c>
      <c r="H4562">
        <v>0</v>
      </c>
      <c r="I4562">
        <v>28</v>
      </c>
    </row>
    <row r="4563" spans="1:9" x14ac:dyDescent="0.25">
      <c r="A4563" t="s">
        <v>976</v>
      </c>
      <c r="B4563">
        <v>57</v>
      </c>
      <c r="C4563" s="1">
        <v>10298</v>
      </c>
      <c r="D4563">
        <v>180.5</v>
      </c>
      <c r="E4563">
        <v>182</v>
      </c>
      <c r="F4563">
        <v>180</v>
      </c>
      <c r="G4563">
        <v>180.5</v>
      </c>
      <c r="H4563">
        <v>0</v>
      </c>
      <c r="I4563">
        <v>46</v>
      </c>
    </row>
    <row r="4564" spans="1:9" x14ac:dyDescent="0.25">
      <c r="A4564" t="s">
        <v>977</v>
      </c>
      <c r="B4564">
        <v>34</v>
      </c>
      <c r="C4564" s="1">
        <v>6246</v>
      </c>
      <c r="D4564">
        <v>180.5</v>
      </c>
      <c r="E4564">
        <v>183</v>
      </c>
      <c r="F4564">
        <v>180.5</v>
      </c>
      <c r="G4564">
        <v>182</v>
      </c>
      <c r="H4564">
        <v>1.5</v>
      </c>
      <c r="I4564">
        <v>33</v>
      </c>
    </row>
    <row r="4565" spans="1:9" x14ac:dyDescent="0.25">
      <c r="A4565" t="s">
        <v>978</v>
      </c>
      <c r="B4565">
        <v>120</v>
      </c>
      <c r="C4565" s="1">
        <v>22093</v>
      </c>
      <c r="D4565">
        <v>182</v>
      </c>
      <c r="E4565">
        <v>186.5</v>
      </c>
      <c r="F4565">
        <v>182</v>
      </c>
      <c r="G4565">
        <v>186.5</v>
      </c>
      <c r="H4565">
        <v>4.5</v>
      </c>
      <c r="I4565">
        <v>84</v>
      </c>
    </row>
    <row r="4566" spans="1:9" x14ac:dyDescent="0.25">
      <c r="A4566" t="s">
        <v>979</v>
      </c>
      <c r="B4566">
        <v>64</v>
      </c>
      <c r="C4566" s="1">
        <v>11873</v>
      </c>
      <c r="D4566">
        <v>186.5</v>
      </c>
      <c r="E4566">
        <v>186.5</v>
      </c>
      <c r="F4566">
        <v>183</v>
      </c>
      <c r="G4566">
        <v>186</v>
      </c>
      <c r="H4566">
        <v>-0.5</v>
      </c>
      <c r="I4566">
        <v>58</v>
      </c>
    </row>
    <row r="4567" spans="1:9" x14ac:dyDescent="0.25">
      <c r="A4567" t="s">
        <v>980</v>
      </c>
      <c r="B4567">
        <v>98</v>
      </c>
      <c r="C4567" s="1">
        <v>18245</v>
      </c>
      <c r="D4567">
        <v>186.5</v>
      </c>
      <c r="E4567">
        <v>187.5</v>
      </c>
      <c r="F4567">
        <v>184.5</v>
      </c>
      <c r="G4567">
        <v>186</v>
      </c>
      <c r="H4567">
        <v>0</v>
      </c>
      <c r="I4567">
        <v>78</v>
      </c>
    </row>
    <row r="4568" spans="1:9" x14ac:dyDescent="0.25">
      <c r="A4568" t="s">
        <v>981</v>
      </c>
      <c r="B4568">
        <v>84</v>
      </c>
      <c r="C4568" s="1">
        <v>15633</v>
      </c>
      <c r="D4568">
        <v>186.5</v>
      </c>
      <c r="E4568">
        <v>186.5</v>
      </c>
      <c r="F4568">
        <v>186</v>
      </c>
      <c r="G4568">
        <v>186.5</v>
      </c>
      <c r="H4568">
        <v>0.5</v>
      </c>
      <c r="I4568">
        <v>51</v>
      </c>
    </row>
    <row r="4569" spans="1:9" x14ac:dyDescent="0.25">
      <c r="A4569" t="s">
        <v>982</v>
      </c>
      <c r="B4569">
        <v>686</v>
      </c>
      <c r="C4569" s="1">
        <v>137107</v>
      </c>
      <c r="D4569">
        <v>187</v>
      </c>
      <c r="E4569">
        <v>205</v>
      </c>
      <c r="F4569">
        <v>187</v>
      </c>
      <c r="G4569">
        <v>205</v>
      </c>
      <c r="H4569">
        <v>18.5</v>
      </c>
      <c r="I4569">
        <v>557</v>
      </c>
    </row>
    <row r="4570" spans="1:9" x14ac:dyDescent="0.25">
      <c r="A4570" t="s">
        <v>983</v>
      </c>
      <c r="B4570">
        <v>371</v>
      </c>
      <c r="C4570" s="1">
        <v>76523</v>
      </c>
      <c r="D4570">
        <v>206</v>
      </c>
      <c r="E4570">
        <v>210</v>
      </c>
      <c r="F4570">
        <v>203</v>
      </c>
      <c r="G4570">
        <v>204.5</v>
      </c>
      <c r="H4570">
        <v>-0.5</v>
      </c>
      <c r="I4570">
        <v>327</v>
      </c>
    </row>
    <row r="4571" spans="1:9" x14ac:dyDescent="0.25">
      <c r="A4571" t="s">
        <v>984</v>
      </c>
      <c r="B4571">
        <v>131</v>
      </c>
      <c r="C4571" s="1">
        <v>26263</v>
      </c>
      <c r="D4571">
        <v>204.5</v>
      </c>
      <c r="E4571">
        <v>204.5</v>
      </c>
      <c r="F4571">
        <v>198</v>
      </c>
      <c r="G4571">
        <v>201</v>
      </c>
      <c r="H4571">
        <v>-3.5</v>
      </c>
      <c r="I4571">
        <v>117</v>
      </c>
    </row>
    <row r="4572" spans="1:9" x14ac:dyDescent="0.25">
      <c r="A4572" t="s">
        <v>985</v>
      </c>
      <c r="B4572">
        <v>146</v>
      </c>
      <c r="C4572" s="1">
        <v>29216</v>
      </c>
      <c r="D4572">
        <v>204.5</v>
      </c>
      <c r="E4572">
        <v>204.5</v>
      </c>
      <c r="F4572">
        <v>198</v>
      </c>
      <c r="G4572">
        <v>198.5</v>
      </c>
      <c r="H4572">
        <v>-2.5</v>
      </c>
      <c r="I4572">
        <v>118</v>
      </c>
    </row>
    <row r="4573" spans="1:9" x14ac:dyDescent="0.25">
      <c r="A4573" t="s">
        <v>986</v>
      </c>
      <c r="B4573">
        <v>134</v>
      </c>
      <c r="C4573" s="1">
        <v>26909</v>
      </c>
      <c r="D4573">
        <v>202</v>
      </c>
      <c r="E4573">
        <v>203.5</v>
      </c>
      <c r="F4573">
        <v>199</v>
      </c>
      <c r="G4573">
        <v>200</v>
      </c>
      <c r="H4573">
        <v>1.5</v>
      </c>
      <c r="I4573">
        <v>103</v>
      </c>
    </row>
    <row r="4574" spans="1:9" x14ac:dyDescent="0.25">
      <c r="A4574" t="s">
        <v>987</v>
      </c>
      <c r="C4574" s="1"/>
    </row>
    <row r="4585" spans="1:9" x14ac:dyDescent="0.25">
      <c r="A4585" s="9" t="s">
        <v>952</v>
      </c>
      <c r="B4585" s="1">
        <v>73</v>
      </c>
      <c r="C4585" s="1">
        <v>13116</v>
      </c>
      <c r="D4585">
        <v>181.5</v>
      </c>
      <c r="E4585">
        <v>181.5</v>
      </c>
      <c r="F4585">
        <v>178</v>
      </c>
      <c r="G4585">
        <v>181</v>
      </c>
      <c r="H4585">
        <v>-0.5</v>
      </c>
      <c r="I4585" s="1">
        <v>58</v>
      </c>
    </row>
    <row r="4586" spans="1:9" x14ac:dyDescent="0.25">
      <c r="A4586" t="s">
        <v>953</v>
      </c>
      <c r="B4586">
        <v>39</v>
      </c>
      <c r="C4586" s="1">
        <v>6949</v>
      </c>
      <c r="D4586">
        <v>180</v>
      </c>
      <c r="E4586">
        <v>180</v>
      </c>
      <c r="F4586">
        <v>177.5</v>
      </c>
      <c r="G4586">
        <v>178.5</v>
      </c>
      <c r="H4586">
        <v>-2.5</v>
      </c>
      <c r="I4586">
        <v>36</v>
      </c>
    </row>
    <row r="4587" spans="1:9" x14ac:dyDescent="0.25">
      <c r="A4587" t="s">
        <v>954</v>
      </c>
      <c r="B4587">
        <v>42</v>
      </c>
      <c r="C4587" s="1">
        <v>7414</v>
      </c>
      <c r="D4587">
        <v>177</v>
      </c>
      <c r="E4587">
        <v>178</v>
      </c>
      <c r="F4587">
        <v>175.5</v>
      </c>
      <c r="G4587">
        <v>177</v>
      </c>
      <c r="H4587">
        <v>-1.5</v>
      </c>
      <c r="I4587">
        <v>37</v>
      </c>
    </row>
    <row r="4588" spans="1:9" x14ac:dyDescent="0.25">
      <c r="A4588" t="s">
        <v>955</v>
      </c>
      <c r="B4588">
        <v>76</v>
      </c>
      <c r="C4588" s="1">
        <v>13295</v>
      </c>
      <c r="D4588">
        <v>176.5</v>
      </c>
      <c r="E4588">
        <v>177</v>
      </c>
      <c r="F4588">
        <v>173.5</v>
      </c>
      <c r="G4588">
        <v>173.5</v>
      </c>
      <c r="H4588">
        <v>-3.5</v>
      </c>
      <c r="I4588">
        <v>55</v>
      </c>
    </row>
    <row r="4589" spans="1:9" x14ac:dyDescent="0.25">
      <c r="A4589" t="s">
        <v>956</v>
      </c>
      <c r="B4589">
        <v>21</v>
      </c>
      <c r="C4589" s="1">
        <v>3699</v>
      </c>
      <c r="D4589">
        <v>175.5</v>
      </c>
      <c r="E4589">
        <v>177.5</v>
      </c>
      <c r="F4589">
        <v>174</v>
      </c>
      <c r="G4589">
        <v>177.5</v>
      </c>
      <c r="H4589">
        <v>4</v>
      </c>
      <c r="I4589">
        <v>22</v>
      </c>
    </row>
    <row r="4590" spans="1:9" x14ac:dyDescent="0.25">
      <c r="A4590" t="s">
        <v>957</v>
      </c>
      <c r="B4590">
        <v>37</v>
      </c>
      <c r="C4590" s="1">
        <v>6496</v>
      </c>
      <c r="D4590">
        <v>178</v>
      </c>
      <c r="E4590">
        <v>179</v>
      </c>
      <c r="F4590">
        <v>174</v>
      </c>
      <c r="G4590">
        <v>175</v>
      </c>
      <c r="H4590">
        <v>-2.5</v>
      </c>
      <c r="I4590">
        <v>30</v>
      </c>
    </row>
    <row r="4591" spans="1:9" x14ac:dyDescent="0.25">
      <c r="A4591" t="s">
        <v>958</v>
      </c>
      <c r="B4591">
        <v>26</v>
      </c>
      <c r="C4591" s="1">
        <v>4566</v>
      </c>
      <c r="D4591">
        <v>179</v>
      </c>
      <c r="E4591">
        <v>179</v>
      </c>
      <c r="F4591">
        <v>174</v>
      </c>
      <c r="G4591">
        <v>175</v>
      </c>
      <c r="H4591">
        <v>0</v>
      </c>
      <c r="I4591">
        <v>24</v>
      </c>
    </row>
    <row r="4592" spans="1:9" x14ac:dyDescent="0.25">
      <c r="A4592" t="s">
        <v>959</v>
      </c>
      <c r="B4592">
        <v>28</v>
      </c>
      <c r="C4592" s="1">
        <v>4958</v>
      </c>
      <c r="D4592">
        <v>177.5</v>
      </c>
      <c r="E4592">
        <v>179.5</v>
      </c>
      <c r="F4592">
        <v>176</v>
      </c>
      <c r="G4592">
        <v>176</v>
      </c>
      <c r="H4592">
        <v>1</v>
      </c>
      <c r="I4592">
        <v>23</v>
      </c>
    </row>
    <row r="4593" spans="1:9" x14ac:dyDescent="0.25">
      <c r="A4593" t="s">
        <v>960</v>
      </c>
      <c r="B4593">
        <v>26</v>
      </c>
      <c r="C4593" s="1">
        <v>4535</v>
      </c>
      <c r="D4593">
        <v>174</v>
      </c>
      <c r="E4593">
        <v>176</v>
      </c>
      <c r="F4593">
        <v>172</v>
      </c>
      <c r="G4593">
        <v>173</v>
      </c>
      <c r="H4593">
        <v>-3</v>
      </c>
      <c r="I4593">
        <v>26</v>
      </c>
    </row>
    <row r="4594" spans="1:9" x14ac:dyDescent="0.25">
      <c r="A4594" t="s">
        <v>961</v>
      </c>
      <c r="B4594">
        <v>36</v>
      </c>
      <c r="C4594" s="1">
        <v>6365</v>
      </c>
      <c r="D4594">
        <v>177</v>
      </c>
      <c r="E4594">
        <v>179</v>
      </c>
      <c r="F4594">
        <v>175</v>
      </c>
      <c r="G4594">
        <v>175</v>
      </c>
      <c r="H4594">
        <v>2</v>
      </c>
      <c r="I4594">
        <v>27</v>
      </c>
    </row>
    <row r="4595" spans="1:9" x14ac:dyDescent="0.25">
      <c r="A4595" t="s">
        <v>962</v>
      </c>
      <c r="B4595">
        <v>26</v>
      </c>
      <c r="C4595" s="1">
        <v>4605</v>
      </c>
      <c r="D4595">
        <v>175</v>
      </c>
      <c r="E4595">
        <v>178</v>
      </c>
      <c r="F4595">
        <v>175</v>
      </c>
      <c r="G4595">
        <v>178</v>
      </c>
      <c r="H4595">
        <v>3</v>
      </c>
      <c r="I4595">
        <v>22</v>
      </c>
    </row>
    <row r="4596" spans="1:9" x14ac:dyDescent="0.25">
      <c r="A4596" t="s">
        <v>963</v>
      </c>
      <c r="B4596">
        <v>118</v>
      </c>
      <c r="C4596" s="1">
        <v>21642</v>
      </c>
      <c r="D4596">
        <v>178</v>
      </c>
      <c r="E4596">
        <v>186.5</v>
      </c>
      <c r="F4596">
        <v>177.5</v>
      </c>
      <c r="G4596">
        <v>184</v>
      </c>
      <c r="H4596">
        <v>6</v>
      </c>
      <c r="I4596">
        <v>101</v>
      </c>
    </row>
    <row r="4597" spans="1:9" x14ac:dyDescent="0.25">
      <c r="A4597" t="s">
        <v>964</v>
      </c>
      <c r="B4597">
        <v>151</v>
      </c>
      <c r="C4597" s="1">
        <v>28467</v>
      </c>
      <c r="D4597">
        <v>184.5</v>
      </c>
      <c r="E4597">
        <v>195</v>
      </c>
      <c r="F4597">
        <v>184</v>
      </c>
      <c r="G4597">
        <v>184</v>
      </c>
      <c r="H4597">
        <v>0</v>
      </c>
      <c r="I4597">
        <v>134</v>
      </c>
    </row>
    <row r="4598" spans="1:9" x14ac:dyDescent="0.25">
      <c r="A4598" t="s">
        <v>965</v>
      </c>
      <c r="B4598">
        <v>38</v>
      </c>
      <c r="C4598" s="1">
        <v>7073</v>
      </c>
      <c r="D4598">
        <v>186</v>
      </c>
      <c r="E4598">
        <v>187</v>
      </c>
      <c r="F4598">
        <v>184</v>
      </c>
      <c r="G4598">
        <v>184.5</v>
      </c>
      <c r="H4598">
        <v>0.5</v>
      </c>
      <c r="I4598">
        <v>37</v>
      </c>
    </row>
    <row r="4599" spans="1:9" x14ac:dyDescent="0.25">
      <c r="A4599" t="s">
        <v>966</v>
      </c>
      <c r="B4599">
        <v>24</v>
      </c>
      <c r="C4599" s="1">
        <v>4451</v>
      </c>
      <c r="D4599">
        <v>185.5</v>
      </c>
      <c r="E4599">
        <v>186.5</v>
      </c>
      <c r="F4599">
        <v>185</v>
      </c>
      <c r="G4599">
        <v>185.5</v>
      </c>
      <c r="H4599">
        <v>1</v>
      </c>
      <c r="I4599">
        <v>21</v>
      </c>
    </row>
    <row r="4600" spans="1:9" x14ac:dyDescent="0.25">
      <c r="A4600" t="s">
        <v>967</v>
      </c>
      <c r="B4600">
        <v>73</v>
      </c>
      <c r="C4600" s="1">
        <v>13610</v>
      </c>
      <c r="D4600">
        <v>189</v>
      </c>
      <c r="E4600">
        <v>190</v>
      </c>
      <c r="F4600">
        <v>185</v>
      </c>
      <c r="G4600">
        <v>185</v>
      </c>
      <c r="H4600">
        <v>-0.5</v>
      </c>
      <c r="I4600">
        <v>52</v>
      </c>
    </row>
    <row r="4601" spans="1:9" x14ac:dyDescent="0.25">
      <c r="A4601" t="s">
        <v>968</v>
      </c>
      <c r="B4601">
        <v>16</v>
      </c>
      <c r="C4601" s="1">
        <v>2957</v>
      </c>
      <c r="D4601">
        <v>185</v>
      </c>
      <c r="E4601">
        <v>186</v>
      </c>
      <c r="F4601">
        <v>182.5</v>
      </c>
      <c r="G4601">
        <v>183.5</v>
      </c>
      <c r="H4601">
        <v>-1.5</v>
      </c>
      <c r="I4601">
        <v>16</v>
      </c>
    </row>
    <row r="4602" spans="1:9" x14ac:dyDescent="0.25">
      <c r="A4602" t="s">
        <v>969</v>
      </c>
      <c r="B4602">
        <v>37</v>
      </c>
      <c r="C4602" s="1">
        <v>6760</v>
      </c>
      <c r="D4602">
        <v>187.5</v>
      </c>
      <c r="E4602">
        <v>187.5</v>
      </c>
      <c r="F4602">
        <v>180</v>
      </c>
      <c r="G4602">
        <v>183.5</v>
      </c>
      <c r="H4602">
        <v>0</v>
      </c>
      <c r="I4602">
        <v>32</v>
      </c>
    </row>
    <row r="4603" spans="1:9" x14ac:dyDescent="0.25">
      <c r="A4603" t="s">
        <v>970</v>
      </c>
      <c r="B4603">
        <v>92</v>
      </c>
      <c r="C4603" s="1">
        <v>16636</v>
      </c>
      <c r="D4603">
        <v>183.5</v>
      </c>
      <c r="E4603">
        <v>183.5</v>
      </c>
      <c r="F4603">
        <v>179.5</v>
      </c>
      <c r="G4603">
        <v>180</v>
      </c>
      <c r="H4603">
        <v>-3.5</v>
      </c>
      <c r="I4603">
        <v>75</v>
      </c>
    </row>
    <row r="4604" spans="1:9" x14ac:dyDescent="0.25">
      <c r="A4604" s="9" t="s">
        <v>971</v>
      </c>
      <c r="B4604">
        <v>89</v>
      </c>
      <c r="C4604" s="1">
        <v>16034</v>
      </c>
      <c r="D4604">
        <v>179</v>
      </c>
      <c r="E4604">
        <v>181</v>
      </c>
      <c r="F4604">
        <v>179</v>
      </c>
      <c r="G4604">
        <v>179</v>
      </c>
      <c r="H4604">
        <v>-1</v>
      </c>
      <c r="I4604">
        <v>67</v>
      </c>
    </row>
    <row r="4605" spans="1:9" x14ac:dyDescent="0.25">
      <c r="A4605" s="9" t="s">
        <v>972</v>
      </c>
      <c r="B4605">
        <v>104</v>
      </c>
      <c r="C4605" s="1">
        <v>18557</v>
      </c>
      <c r="D4605">
        <v>181</v>
      </c>
      <c r="E4605">
        <v>181</v>
      </c>
      <c r="F4605">
        <v>176.5</v>
      </c>
      <c r="G4605">
        <v>176.5</v>
      </c>
      <c r="H4605">
        <v>-2.5</v>
      </c>
      <c r="I4605">
        <v>86</v>
      </c>
    </row>
    <row r="4606" spans="1:9" x14ac:dyDescent="0.25">
      <c r="A4606" s="9" t="s">
        <v>973</v>
      </c>
      <c r="C4606" s="1"/>
    </row>
    <row r="4609" spans="1:9" x14ac:dyDescent="0.25">
      <c r="A4609" s="9" t="s">
        <v>6572</v>
      </c>
      <c r="B4609" s="1">
        <v>26</v>
      </c>
      <c r="C4609" s="1">
        <v>4798</v>
      </c>
      <c r="D4609">
        <v>185.5</v>
      </c>
      <c r="E4609">
        <v>185.5</v>
      </c>
      <c r="F4609">
        <v>184</v>
      </c>
      <c r="G4609">
        <v>184.5</v>
      </c>
      <c r="H4609">
        <v>-0.5</v>
      </c>
      <c r="I4609" s="1">
        <v>25</v>
      </c>
    </row>
    <row r="4610" spans="1:9" x14ac:dyDescent="0.25">
      <c r="A4610" t="s">
        <v>6573</v>
      </c>
      <c r="B4610">
        <v>42</v>
      </c>
      <c r="C4610" s="1">
        <v>7745</v>
      </c>
      <c r="D4610">
        <v>184.5</v>
      </c>
      <c r="E4610">
        <v>185</v>
      </c>
      <c r="F4610">
        <v>183</v>
      </c>
      <c r="G4610">
        <v>184</v>
      </c>
      <c r="H4610">
        <v>-0.5</v>
      </c>
      <c r="I4610">
        <v>33</v>
      </c>
    </row>
    <row r="4611" spans="1:9" x14ac:dyDescent="0.25">
      <c r="A4611" t="s">
        <v>6574</v>
      </c>
      <c r="B4611">
        <v>50</v>
      </c>
      <c r="C4611" s="1">
        <v>9126</v>
      </c>
      <c r="D4611">
        <v>183.5</v>
      </c>
      <c r="E4611">
        <v>183.5</v>
      </c>
      <c r="F4611">
        <v>181.5</v>
      </c>
      <c r="G4611">
        <v>182.5</v>
      </c>
      <c r="H4611">
        <v>-1.5</v>
      </c>
      <c r="I4611">
        <v>38</v>
      </c>
    </row>
    <row r="4612" spans="1:9" x14ac:dyDescent="0.25">
      <c r="A4612" t="s">
        <v>6575</v>
      </c>
      <c r="B4612">
        <v>3</v>
      </c>
      <c r="C4612" s="1">
        <v>549</v>
      </c>
      <c r="D4612">
        <v>182.5</v>
      </c>
      <c r="E4612">
        <v>183</v>
      </c>
      <c r="F4612">
        <v>182.5</v>
      </c>
      <c r="G4612">
        <v>183</v>
      </c>
      <c r="H4612">
        <v>0.5</v>
      </c>
      <c r="I4612">
        <v>3</v>
      </c>
    </row>
    <row r="4613" spans="1:9" x14ac:dyDescent="0.25">
      <c r="A4613" t="s">
        <v>6576</v>
      </c>
      <c r="B4613">
        <v>14</v>
      </c>
      <c r="C4613" s="1">
        <v>2562</v>
      </c>
      <c r="D4613">
        <v>183</v>
      </c>
      <c r="E4613">
        <v>183</v>
      </c>
      <c r="F4613">
        <v>182</v>
      </c>
      <c r="G4613">
        <v>182</v>
      </c>
      <c r="H4613">
        <v>-1</v>
      </c>
      <c r="I4613">
        <v>15</v>
      </c>
    </row>
    <row r="4614" spans="1:9" x14ac:dyDescent="0.25">
      <c r="A4614" t="s">
        <v>6577</v>
      </c>
      <c r="B4614">
        <v>15</v>
      </c>
      <c r="C4614" s="1">
        <v>2787</v>
      </c>
      <c r="D4614">
        <v>182</v>
      </c>
      <c r="E4614">
        <v>182</v>
      </c>
      <c r="F4614">
        <v>181.5</v>
      </c>
      <c r="G4614">
        <v>181.5</v>
      </c>
      <c r="H4614">
        <v>-0.5</v>
      </c>
      <c r="I4614">
        <v>12</v>
      </c>
    </row>
    <row r="4615" spans="1:9" x14ac:dyDescent="0.25">
      <c r="A4615" t="s">
        <v>6578</v>
      </c>
      <c r="B4615">
        <v>42</v>
      </c>
      <c r="C4615" s="1">
        <v>7551</v>
      </c>
      <c r="D4615">
        <v>181.5</v>
      </c>
      <c r="E4615">
        <v>181.5</v>
      </c>
      <c r="F4615">
        <v>178</v>
      </c>
      <c r="G4615">
        <v>181</v>
      </c>
      <c r="H4615">
        <v>-0.5</v>
      </c>
      <c r="I4615">
        <v>30</v>
      </c>
    </row>
    <row r="4616" spans="1:9" x14ac:dyDescent="0.25">
      <c r="A4616" t="s">
        <v>6579</v>
      </c>
      <c r="B4616">
        <v>49</v>
      </c>
      <c r="C4616" s="1">
        <v>8694</v>
      </c>
      <c r="D4616">
        <v>178</v>
      </c>
      <c r="E4616">
        <v>179</v>
      </c>
      <c r="F4616">
        <v>175.5</v>
      </c>
      <c r="G4616">
        <v>178</v>
      </c>
      <c r="H4616">
        <v>-3</v>
      </c>
      <c r="I4616">
        <v>41</v>
      </c>
    </row>
    <row r="4617" spans="1:9" x14ac:dyDescent="0.25">
      <c r="A4617" t="s">
        <v>6580</v>
      </c>
      <c r="B4617">
        <v>35</v>
      </c>
      <c r="C4617" s="1">
        <v>6228</v>
      </c>
      <c r="D4617">
        <v>178</v>
      </c>
      <c r="E4617">
        <v>178</v>
      </c>
      <c r="F4617">
        <v>175</v>
      </c>
      <c r="G4617">
        <v>176</v>
      </c>
      <c r="H4617">
        <v>-2</v>
      </c>
      <c r="I4617">
        <v>33</v>
      </c>
    </row>
    <row r="4618" spans="1:9" x14ac:dyDescent="0.25">
      <c r="A4618" t="s">
        <v>6581</v>
      </c>
      <c r="B4618">
        <v>28</v>
      </c>
      <c r="C4618" s="1">
        <v>4874</v>
      </c>
      <c r="D4618">
        <v>174</v>
      </c>
      <c r="E4618">
        <v>175</v>
      </c>
      <c r="F4618">
        <v>173</v>
      </c>
      <c r="G4618">
        <v>173</v>
      </c>
      <c r="H4618">
        <v>-3</v>
      </c>
      <c r="I4618">
        <v>19</v>
      </c>
    </row>
    <row r="4619" spans="1:9" x14ac:dyDescent="0.25">
      <c r="A4619" t="s">
        <v>6582</v>
      </c>
      <c r="B4619">
        <v>7</v>
      </c>
      <c r="C4619" s="1">
        <v>1215</v>
      </c>
      <c r="D4619">
        <v>174</v>
      </c>
      <c r="E4619">
        <v>174</v>
      </c>
      <c r="F4619">
        <v>172.5</v>
      </c>
      <c r="G4619">
        <v>172.5</v>
      </c>
      <c r="H4619">
        <v>-0.5</v>
      </c>
      <c r="I4619">
        <v>6</v>
      </c>
    </row>
    <row r="4620" spans="1:9" x14ac:dyDescent="0.25">
      <c r="A4620" t="s">
        <v>6583</v>
      </c>
      <c r="B4620">
        <v>21</v>
      </c>
      <c r="C4620" s="1">
        <v>3676</v>
      </c>
      <c r="D4620">
        <v>173</v>
      </c>
      <c r="E4620">
        <v>178</v>
      </c>
      <c r="F4620">
        <v>172.5</v>
      </c>
      <c r="G4620">
        <v>178</v>
      </c>
      <c r="H4620">
        <v>5.5</v>
      </c>
      <c r="I4620">
        <v>17</v>
      </c>
    </row>
    <row r="4621" spans="1:9" x14ac:dyDescent="0.25">
      <c r="A4621" t="s">
        <v>6584</v>
      </c>
      <c r="B4621">
        <v>18</v>
      </c>
      <c r="C4621" s="1">
        <v>3215</v>
      </c>
      <c r="D4621">
        <v>178</v>
      </c>
      <c r="E4621">
        <v>180</v>
      </c>
      <c r="F4621">
        <v>177.5</v>
      </c>
      <c r="G4621">
        <v>177.5</v>
      </c>
      <c r="H4621">
        <v>-0.5</v>
      </c>
      <c r="I4621">
        <v>18</v>
      </c>
    </row>
    <row r="4622" spans="1:9" x14ac:dyDescent="0.25">
      <c r="A4622" t="s">
        <v>6585</v>
      </c>
      <c r="B4622">
        <v>16</v>
      </c>
      <c r="C4622" s="1">
        <v>2842</v>
      </c>
      <c r="D4622">
        <v>177.5</v>
      </c>
      <c r="E4622">
        <v>178.5</v>
      </c>
      <c r="F4622">
        <v>176</v>
      </c>
      <c r="G4622">
        <v>178.5</v>
      </c>
      <c r="H4622">
        <v>1</v>
      </c>
      <c r="I4622">
        <v>14</v>
      </c>
    </row>
    <row r="4623" spans="1:9" x14ac:dyDescent="0.25">
      <c r="A4623" t="s">
        <v>6586</v>
      </c>
      <c r="B4623">
        <v>37</v>
      </c>
      <c r="C4623" s="1">
        <v>6708</v>
      </c>
      <c r="D4623">
        <v>176.5</v>
      </c>
      <c r="E4623">
        <v>185</v>
      </c>
      <c r="F4623">
        <v>176.5</v>
      </c>
      <c r="G4623">
        <v>182</v>
      </c>
      <c r="H4623">
        <v>3.5</v>
      </c>
      <c r="I4623">
        <v>36</v>
      </c>
    </row>
    <row r="4624" spans="1:9" x14ac:dyDescent="0.25">
      <c r="A4624" t="s">
        <v>6587</v>
      </c>
      <c r="B4624">
        <v>12</v>
      </c>
      <c r="C4624" s="1">
        <v>2170</v>
      </c>
      <c r="D4624">
        <v>184.5</v>
      </c>
      <c r="E4624">
        <v>184.5</v>
      </c>
      <c r="F4624">
        <v>180</v>
      </c>
      <c r="G4624">
        <v>180</v>
      </c>
      <c r="H4624">
        <v>-2</v>
      </c>
      <c r="I4624">
        <v>11</v>
      </c>
    </row>
    <row r="4625" spans="1:9" x14ac:dyDescent="0.25">
      <c r="A4625" t="s">
        <v>6588</v>
      </c>
      <c r="B4625">
        <v>44</v>
      </c>
      <c r="C4625" s="1">
        <v>7896</v>
      </c>
      <c r="D4625">
        <v>180.5</v>
      </c>
      <c r="E4625">
        <v>181</v>
      </c>
      <c r="F4625">
        <v>177</v>
      </c>
      <c r="G4625">
        <v>177</v>
      </c>
      <c r="H4625">
        <v>-3</v>
      </c>
      <c r="I4625">
        <v>33</v>
      </c>
    </row>
    <row r="4626" spans="1:9" x14ac:dyDescent="0.25">
      <c r="A4626" t="s">
        <v>6589</v>
      </c>
      <c r="B4626">
        <v>10</v>
      </c>
      <c r="C4626" s="1">
        <v>1785</v>
      </c>
      <c r="D4626">
        <v>180.5</v>
      </c>
      <c r="E4626">
        <v>180.5</v>
      </c>
      <c r="F4626">
        <v>177</v>
      </c>
      <c r="G4626">
        <v>177.5</v>
      </c>
      <c r="H4626">
        <v>0.5</v>
      </c>
      <c r="I4626">
        <v>11</v>
      </c>
    </row>
    <row r="4627" spans="1:9" x14ac:dyDescent="0.25">
      <c r="A4627" t="s">
        <v>6590</v>
      </c>
      <c r="B4627">
        <v>16</v>
      </c>
      <c r="C4627" s="1">
        <v>2835</v>
      </c>
      <c r="D4627">
        <v>177.5</v>
      </c>
      <c r="E4627">
        <v>178</v>
      </c>
      <c r="F4627">
        <v>176</v>
      </c>
      <c r="G4627">
        <v>177</v>
      </c>
      <c r="H4627">
        <v>-0.5</v>
      </c>
      <c r="I4627">
        <v>11</v>
      </c>
    </row>
    <row r="4628" spans="1:9" x14ac:dyDescent="0.25">
      <c r="A4628" s="9" t="s">
        <v>6591</v>
      </c>
      <c r="B4628">
        <v>26</v>
      </c>
      <c r="C4628" s="1">
        <v>4638</v>
      </c>
      <c r="D4628">
        <v>178.5</v>
      </c>
      <c r="E4628">
        <v>179</v>
      </c>
      <c r="F4628">
        <v>177.5</v>
      </c>
      <c r="G4628">
        <v>177.5</v>
      </c>
      <c r="H4628">
        <v>0.5</v>
      </c>
      <c r="I4628">
        <v>20</v>
      </c>
    </row>
    <row r="4629" spans="1:9" x14ac:dyDescent="0.25">
      <c r="A4629" s="9" t="s">
        <v>6592</v>
      </c>
      <c r="B4629">
        <v>69</v>
      </c>
      <c r="C4629" s="1">
        <v>12166</v>
      </c>
      <c r="D4629">
        <v>180</v>
      </c>
      <c r="E4629">
        <v>180</v>
      </c>
      <c r="F4629">
        <v>175</v>
      </c>
      <c r="G4629">
        <v>175</v>
      </c>
      <c r="H4629">
        <v>-2.5</v>
      </c>
      <c r="I4629">
        <v>42</v>
      </c>
    </row>
    <row r="4630" spans="1:9" x14ac:dyDescent="0.25">
      <c r="A4630" s="9" t="s">
        <v>6593</v>
      </c>
      <c r="B4630">
        <v>110</v>
      </c>
      <c r="C4630" s="1">
        <v>19351</v>
      </c>
      <c r="D4630">
        <v>177</v>
      </c>
      <c r="E4630">
        <v>178</v>
      </c>
      <c r="F4630">
        <v>175</v>
      </c>
      <c r="G4630">
        <v>175</v>
      </c>
      <c r="H4630">
        <v>0</v>
      </c>
      <c r="I4630">
        <v>66</v>
      </c>
    </row>
    <row r="4631" spans="1:9" x14ac:dyDescent="0.25">
      <c r="A4631" s="9" t="s">
        <v>6594</v>
      </c>
      <c r="B4631">
        <v>221</v>
      </c>
      <c r="C4631" s="1">
        <v>39642</v>
      </c>
      <c r="D4631">
        <v>175</v>
      </c>
      <c r="E4631">
        <v>182</v>
      </c>
      <c r="F4631">
        <v>175</v>
      </c>
      <c r="G4631">
        <v>181.5</v>
      </c>
      <c r="H4631">
        <v>6.5</v>
      </c>
      <c r="I4631">
        <v>142</v>
      </c>
    </row>
    <row r="4632" spans="1:9" x14ac:dyDescent="0.25">
      <c r="A4632" s="9" t="s">
        <v>951</v>
      </c>
      <c r="C4632" s="1"/>
    </row>
    <row r="4633" spans="1:9" x14ac:dyDescent="0.25">
      <c r="A4633" s="9" t="s">
        <v>6551</v>
      </c>
      <c r="B4633" s="1">
        <v>27</v>
      </c>
      <c r="C4633" s="1">
        <v>5134</v>
      </c>
      <c r="D4633">
        <v>190</v>
      </c>
      <c r="E4633">
        <v>191.5</v>
      </c>
      <c r="F4633">
        <v>188</v>
      </c>
      <c r="G4633">
        <v>191</v>
      </c>
      <c r="H4633">
        <v>0.5</v>
      </c>
      <c r="I4633" s="1">
        <v>22</v>
      </c>
    </row>
    <row r="4634" spans="1:9" x14ac:dyDescent="0.25">
      <c r="A4634" t="s">
        <v>6552</v>
      </c>
      <c r="B4634">
        <v>167</v>
      </c>
      <c r="C4634" s="1">
        <v>33244</v>
      </c>
      <c r="D4634">
        <v>191.5</v>
      </c>
      <c r="E4634">
        <v>201.5</v>
      </c>
      <c r="F4634">
        <v>191.5</v>
      </c>
      <c r="G4634">
        <v>197</v>
      </c>
      <c r="H4634">
        <v>6</v>
      </c>
      <c r="I4634">
        <v>143</v>
      </c>
    </row>
    <row r="4635" spans="1:9" x14ac:dyDescent="0.25">
      <c r="A4635" t="s">
        <v>6553</v>
      </c>
      <c r="B4635">
        <v>32</v>
      </c>
      <c r="C4635" s="1">
        <v>6338</v>
      </c>
      <c r="D4635">
        <v>199.5</v>
      </c>
      <c r="E4635">
        <v>200</v>
      </c>
      <c r="F4635">
        <v>196</v>
      </c>
      <c r="G4635">
        <v>197</v>
      </c>
      <c r="H4635">
        <v>0</v>
      </c>
      <c r="I4635">
        <v>28</v>
      </c>
    </row>
    <row r="4636" spans="1:9" x14ac:dyDescent="0.25">
      <c r="A4636" t="s">
        <v>6554</v>
      </c>
      <c r="B4636">
        <v>43</v>
      </c>
      <c r="C4636" s="1">
        <v>8418</v>
      </c>
      <c r="D4636">
        <v>197</v>
      </c>
      <c r="E4636">
        <v>198</v>
      </c>
      <c r="F4636">
        <v>194</v>
      </c>
      <c r="G4636">
        <v>194.5</v>
      </c>
      <c r="H4636">
        <v>-2.5</v>
      </c>
      <c r="I4636">
        <v>42</v>
      </c>
    </row>
    <row r="4637" spans="1:9" x14ac:dyDescent="0.25">
      <c r="A4637" t="s">
        <v>6555</v>
      </c>
      <c r="B4637">
        <v>69</v>
      </c>
      <c r="C4637" s="1">
        <v>13336</v>
      </c>
      <c r="D4637">
        <v>196</v>
      </c>
      <c r="E4637">
        <v>196</v>
      </c>
      <c r="F4637">
        <v>191.5</v>
      </c>
      <c r="G4637">
        <v>191.5</v>
      </c>
      <c r="H4637">
        <v>-3</v>
      </c>
      <c r="I4637">
        <v>65</v>
      </c>
    </row>
    <row r="4638" spans="1:9" x14ac:dyDescent="0.25">
      <c r="A4638" t="s">
        <v>6556</v>
      </c>
      <c r="B4638">
        <v>53</v>
      </c>
      <c r="C4638" s="1">
        <v>10077</v>
      </c>
      <c r="D4638">
        <v>191.5</v>
      </c>
      <c r="E4638">
        <v>192</v>
      </c>
      <c r="F4638">
        <v>188</v>
      </c>
      <c r="G4638">
        <v>189</v>
      </c>
      <c r="H4638">
        <v>-2.5</v>
      </c>
      <c r="I4638">
        <v>46</v>
      </c>
    </row>
    <row r="4639" spans="1:9" x14ac:dyDescent="0.25">
      <c r="A4639" t="s">
        <v>6557</v>
      </c>
      <c r="B4639">
        <v>31</v>
      </c>
      <c r="C4639" s="1">
        <v>5814</v>
      </c>
      <c r="D4639">
        <v>187</v>
      </c>
      <c r="E4639">
        <v>190.5</v>
      </c>
      <c r="F4639">
        <v>186</v>
      </c>
      <c r="G4639">
        <v>190.5</v>
      </c>
      <c r="H4639">
        <v>1.5</v>
      </c>
      <c r="I4639">
        <v>24</v>
      </c>
    </row>
    <row r="4640" spans="1:9" x14ac:dyDescent="0.25">
      <c r="A4640" t="s">
        <v>6558</v>
      </c>
      <c r="B4640">
        <v>42</v>
      </c>
      <c r="C4640" s="1">
        <v>7991</v>
      </c>
      <c r="D4640">
        <v>191</v>
      </c>
      <c r="E4640">
        <v>191.5</v>
      </c>
      <c r="F4640">
        <v>187</v>
      </c>
      <c r="G4640">
        <v>187</v>
      </c>
      <c r="H4640">
        <v>-3.5</v>
      </c>
      <c r="I4640">
        <v>38</v>
      </c>
    </row>
    <row r="4641" spans="1:9" x14ac:dyDescent="0.25">
      <c r="A4641" t="s">
        <v>6559</v>
      </c>
      <c r="B4641">
        <v>85</v>
      </c>
      <c r="C4641" s="1">
        <v>16062</v>
      </c>
      <c r="D4641">
        <v>189.5</v>
      </c>
      <c r="E4641">
        <v>191.5</v>
      </c>
      <c r="F4641">
        <v>188</v>
      </c>
      <c r="G4641">
        <v>189</v>
      </c>
      <c r="H4641">
        <v>2</v>
      </c>
      <c r="I4641">
        <v>51</v>
      </c>
    </row>
    <row r="4642" spans="1:9" x14ac:dyDescent="0.25">
      <c r="A4642" t="s">
        <v>6560</v>
      </c>
      <c r="B4642">
        <v>30</v>
      </c>
      <c r="C4642" s="1">
        <v>5644</v>
      </c>
      <c r="D4642">
        <v>189</v>
      </c>
      <c r="E4642">
        <v>190.5</v>
      </c>
      <c r="F4642">
        <v>187</v>
      </c>
      <c r="G4642">
        <v>187</v>
      </c>
      <c r="H4642">
        <v>-2</v>
      </c>
      <c r="I4642">
        <v>29</v>
      </c>
    </row>
    <row r="4643" spans="1:9" x14ac:dyDescent="0.25">
      <c r="A4643" t="s">
        <v>6561</v>
      </c>
      <c r="B4643">
        <v>82</v>
      </c>
      <c r="C4643" s="1">
        <v>15193</v>
      </c>
      <c r="D4643">
        <v>186.5</v>
      </c>
      <c r="E4643">
        <v>187</v>
      </c>
      <c r="F4643">
        <v>184.5</v>
      </c>
      <c r="G4643">
        <v>185</v>
      </c>
      <c r="H4643">
        <v>-2</v>
      </c>
      <c r="I4643">
        <v>32</v>
      </c>
    </row>
    <row r="4644" spans="1:9" x14ac:dyDescent="0.25">
      <c r="A4644" t="s">
        <v>6562</v>
      </c>
      <c r="B4644">
        <v>31</v>
      </c>
      <c r="C4644" s="1">
        <v>5763</v>
      </c>
      <c r="D4644">
        <v>185</v>
      </c>
      <c r="E4644">
        <v>187</v>
      </c>
      <c r="F4644">
        <v>185</v>
      </c>
      <c r="G4644">
        <v>185.5</v>
      </c>
      <c r="H4644">
        <v>0.5</v>
      </c>
      <c r="I4644">
        <v>26</v>
      </c>
    </row>
    <row r="4645" spans="1:9" x14ac:dyDescent="0.25">
      <c r="A4645" t="s">
        <v>6563</v>
      </c>
      <c r="B4645">
        <v>6</v>
      </c>
      <c r="C4645" s="1">
        <v>1116</v>
      </c>
      <c r="D4645">
        <v>186</v>
      </c>
      <c r="E4645">
        <v>186</v>
      </c>
      <c r="F4645">
        <v>186</v>
      </c>
      <c r="G4645">
        <v>186</v>
      </c>
      <c r="H4645">
        <v>0.5</v>
      </c>
      <c r="I4645">
        <v>7</v>
      </c>
    </row>
    <row r="4646" spans="1:9" x14ac:dyDescent="0.25">
      <c r="A4646" t="s">
        <v>6564</v>
      </c>
      <c r="B4646">
        <v>38</v>
      </c>
      <c r="C4646" s="1">
        <v>7044</v>
      </c>
      <c r="D4646">
        <v>186</v>
      </c>
      <c r="E4646">
        <v>186</v>
      </c>
      <c r="F4646">
        <v>185</v>
      </c>
      <c r="G4646">
        <v>186</v>
      </c>
      <c r="H4646">
        <v>0</v>
      </c>
      <c r="I4646">
        <v>36</v>
      </c>
    </row>
    <row r="4647" spans="1:9" x14ac:dyDescent="0.25">
      <c r="A4647" t="s">
        <v>6565</v>
      </c>
      <c r="B4647">
        <v>36</v>
      </c>
      <c r="C4647" s="1">
        <v>6680</v>
      </c>
      <c r="D4647">
        <v>186</v>
      </c>
      <c r="E4647">
        <v>186.5</v>
      </c>
      <c r="F4647">
        <v>184.5</v>
      </c>
      <c r="G4647">
        <v>186</v>
      </c>
      <c r="H4647">
        <v>0</v>
      </c>
      <c r="I4647">
        <v>33</v>
      </c>
    </row>
    <row r="4648" spans="1:9" x14ac:dyDescent="0.25">
      <c r="A4648" t="s">
        <v>6566</v>
      </c>
      <c r="B4648">
        <v>71</v>
      </c>
      <c r="C4648" s="1">
        <v>13626</v>
      </c>
      <c r="D4648">
        <v>189</v>
      </c>
      <c r="E4648">
        <v>196</v>
      </c>
      <c r="F4648">
        <v>188.5</v>
      </c>
      <c r="G4648">
        <v>191</v>
      </c>
      <c r="H4648">
        <v>5</v>
      </c>
      <c r="I4648">
        <v>69</v>
      </c>
    </row>
    <row r="4649" spans="1:9" x14ac:dyDescent="0.25">
      <c r="A4649" t="s">
        <v>6567</v>
      </c>
      <c r="B4649">
        <v>53</v>
      </c>
      <c r="C4649" s="1">
        <v>10018</v>
      </c>
      <c r="D4649">
        <v>190</v>
      </c>
      <c r="E4649">
        <v>190.5</v>
      </c>
      <c r="F4649">
        <v>187.5</v>
      </c>
      <c r="G4649">
        <v>187.5</v>
      </c>
      <c r="H4649">
        <v>-3.5</v>
      </c>
      <c r="I4649">
        <v>32</v>
      </c>
    </row>
    <row r="4650" spans="1:9" x14ac:dyDescent="0.25">
      <c r="A4650" t="s">
        <v>6568</v>
      </c>
      <c r="B4650">
        <v>44</v>
      </c>
      <c r="C4650" s="1">
        <v>8220</v>
      </c>
      <c r="D4650">
        <v>188</v>
      </c>
      <c r="E4650">
        <v>189</v>
      </c>
      <c r="F4650">
        <v>185</v>
      </c>
      <c r="G4650">
        <v>185</v>
      </c>
      <c r="H4650">
        <v>-2.5</v>
      </c>
      <c r="I4650">
        <v>40</v>
      </c>
    </row>
    <row r="4651" spans="1:9" x14ac:dyDescent="0.25">
      <c r="A4651" t="s">
        <v>6569</v>
      </c>
      <c r="B4651">
        <v>37</v>
      </c>
      <c r="C4651" s="1">
        <v>6871</v>
      </c>
      <c r="D4651">
        <v>186</v>
      </c>
      <c r="E4651">
        <v>188</v>
      </c>
      <c r="F4651">
        <v>185</v>
      </c>
      <c r="G4651">
        <v>185</v>
      </c>
      <c r="H4651">
        <v>0</v>
      </c>
      <c r="I4651">
        <v>32</v>
      </c>
    </row>
    <row r="4652" spans="1:9" x14ac:dyDescent="0.25">
      <c r="A4652" s="9" t="s">
        <v>6570</v>
      </c>
      <c r="B4652">
        <v>52</v>
      </c>
      <c r="C4652" s="1">
        <v>9711</v>
      </c>
      <c r="D4652">
        <v>187</v>
      </c>
      <c r="E4652">
        <v>187.5</v>
      </c>
      <c r="F4652">
        <v>186</v>
      </c>
      <c r="G4652">
        <v>186.5</v>
      </c>
      <c r="H4652">
        <v>1.5</v>
      </c>
      <c r="I4652">
        <v>42</v>
      </c>
    </row>
    <row r="4653" spans="1:9" x14ac:dyDescent="0.25">
      <c r="A4653" s="9" t="s">
        <v>6571</v>
      </c>
      <c r="B4653">
        <v>58</v>
      </c>
      <c r="C4653" s="1">
        <v>10793</v>
      </c>
      <c r="D4653">
        <v>188.5</v>
      </c>
      <c r="E4653">
        <v>188.5</v>
      </c>
      <c r="F4653">
        <v>184.5</v>
      </c>
      <c r="G4653">
        <v>185</v>
      </c>
      <c r="H4653">
        <v>-1.5</v>
      </c>
      <c r="I4653">
        <v>37</v>
      </c>
    </row>
    <row r="4654" spans="1:9" x14ac:dyDescent="0.25">
      <c r="A4654" s="9" t="s">
        <v>973</v>
      </c>
      <c r="C4654" s="1"/>
    </row>
    <row r="4657" spans="1:9" x14ac:dyDescent="0.25">
      <c r="A4657" s="9" t="s">
        <v>6530</v>
      </c>
      <c r="B4657" s="1">
        <v>6</v>
      </c>
      <c r="C4657" s="1">
        <v>1097</v>
      </c>
      <c r="D4657">
        <v>183</v>
      </c>
      <c r="E4657">
        <v>183</v>
      </c>
      <c r="F4657">
        <v>182</v>
      </c>
      <c r="G4657">
        <v>182</v>
      </c>
      <c r="H4657">
        <v>-0.5</v>
      </c>
      <c r="I4657" s="1">
        <v>7</v>
      </c>
    </row>
    <row r="4658" spans="1:9" x14ac:dyDescent="0.25">
      <c r="A4658" t="s">
        <v>6531</v>
      </c>
      <c r="B4658">
        <v>27</v>
      </c>
      <c r="C4658" s="1">
        <v>4865</v>
      </c>
      <c r="D4658">
        <v>182.5</v>
      </c>
      <c r="E4658">
        <v>182.5</v>
      </c>
      <c r="F4658">
        <v>177.5</v>
      </c>
      <c r="G4658">
        <v>181</v>
      </c>
      <c r="H4658">
        <v>-1</v>
      </c>
      <c r="I4658">
        <v>27</v>
      </c>
    </row>
    <row r="4659" spans="1:9" x14ac:dyDescent="0.25">
      <c r="A4659" t="s">
        <v>6532</v>
      </c>
      <c r="B4659">
        <v>40</v>
      </c>
      <c r="C4659" s="1">
        <v>7364</v>
      </c>
      <c r="D4659">
        <v>181</v>
      </c>
      <c r="E4659">
        <v>187</v>
      </c>
      <c r="F4659">
        <v>181</v>
      </c>
      <c r="G4659">
        <v>187</v>
      </c>
      <c r="H4659">
        <v>6</v>
      </c>
      <c r="I4659">
        <v>41</v>
      </c>
    </row>
    <row r="4660" spans="1:9" x14ac:dyDescent="0.25">
      <c r="A4660" t="s">
        <v>6533</v>
      </c>
      <c r="B4660">
        <v>37</v>
      </c>
      <c r="C4660" s="1">
        <v>6873</v>
      </c>
      <c r="D4660">
        <v>186</v>
      </c>
      <c r="E4660">
        <v>186.5</v>
      </c>
      <c r="F4660">
        <v>183.5</v>
      </c>
      <c r="G4660">
        <v>184.5</v>
      </c>
      <c r="H4660">
        <v>-2.5</v>
      </c>
      <c r="I4660">
        <v>38</v>
      </c>
    </row>
    <row r="4661" spans="1:9" x14ac:dyDescent="0.25">
      <c r="A4661" t="s">
        <v>6534</v>
      </c>
      <c r="B4661">
        <v>62</v>
      </c>
      <c r="C4661" s="1">
        <v>11652</v>
      </c>
      <c r="D4661">
        <v>184.5</v>
      </c>
      <c r="E4661">
        <v>189.5</v>
      </c>
      <c r="F4661">
        <v>184.5</v>
      </c>
      <c r="G4661">
        <v>189</v>
      </c>
      <c r="H4661">
        <v>4.5</v>
      </c>
      <c r="I4661">
        <v>57</v>
      </c>
    </row>
    <row r="4662" spans="1:9" x14ac:dyDescent="0.25">
      <c r="A4662" t="s">
        <v>6535</v>
      </c>
      <c r="B4662">
        <v>37</v>
      </c>
      <c r="C4662" s="1">
        <v>6968</v>
      </c>
      <c r="D4662">
        <v>191.5</v>
      </c>
      <c r="E4662">
        <v>191.5</v>
      </c>
      <c r="F4662">
        <v>186</v>
      </c>
      <c r="G4662">
        <v>187</v>
      </c>
      <c r="H4662">
        <v>-2</v>
      </c>
      <c r="I4662">
        <v>35</v>
      </c>
    </row>
    <row r="4663" spans="1:9" x14ac:dyDescent="0.25">
      <c r="A4663" t="s">
        <v>6536</v>
      </c>
      <c r="B4663">
        <v>94</v>
      </c>
      <c r="C4663" s="1">
        <v>18063</v>
      </c>
      <c r="D4663">
        <v>187</v>
      </c>
      <c r="E4663">
        <v>197</v>
      </c>
      <c r="F4663">
        <v>187</v>
      </c>
      <c r="G4663">
        <v>195</v>
      </c>
      <c r="H4663">
        <v>8</v>
      </c>
      <c r="I4663">
        <v>87</v>
      </c>
    </row>
    <row r="4664" spans="1:9" x14ac:dyDescent="0.25">
      <c r="A4664" t="s">
        <v>6537</v>
      </c>
      <c r="B4664">
        <v>35</v>
      </c>
      <c r="C4664" s="1">
        <v>6809</v>
      </c>
      <c r="D4664">
        <v>195.5</v>
      </c>
      <c r="E4664">
        <v>196</v>
      </c>
      <c r="F4664">
        <v>193</v>
      </c>
      <c r="G4664">
        <v>195</v>
      </c>
      <c r="H4664">
        <v>0</v>
      </c>
      <c r="I4664">
        <v>35</v>
      </c>
    </row>
    <row r="4665" spans="1:9" x14ac:dyDescent="0.25">
      <c r="A4665" t="s">
        <v>6538</v>
      </c>
      <c r="B4665">
        <v>13</v>
      </c>
      <c r="C4665" s="1">
        <v>2519</v>
      </c>
      <c r="D4665">
        <v>194.5</v>
      </c>
      <c r="E4665">
        <v>194.5</v>
      </c>
      <c r="F4665">
        <v>192</v>
      </c>
      <c r="G4665">
        <v>192.5</v>
      </c>
      <c r="H4665">
        <v>-2.5</v>
      </c>
      <c r="I4665">
        <v>15</v>
      </c>
    </row>
    <row r="4666" spans="1:9" x14ac:dyDescent="0.25">
      <c r="A4666" t="s">
        <v>6539</v>
      </c>
      <c r="B4666">
        <v>64</v>
      </c>
      <c r="C4666" s="1">
        <v>12460</v>
      </c>
      <c r="D4666">
        <v>195</v>
      </c>
      <c r="E4666">
        <v>198</v>
      </c>
      <c r="F4666">
        <v>192</v>
      </c>
      <c r="G4666">
        <v>192</v>
      </c>
      <c r="H4666">
        <v>-0.5</v>
      </c>
      <c r="I4666">
        <v>60</v>
      </c>
    </row>
    <row r="4667" spans="1:9" x14ac:dyDescent="0.25">
      <c r="A4667" t="s">
        <v>6540</v>
      </c>
      <c r="B4667">
        <v>19</v>
      </c>
      <c r="C4667" s="1">
        <v>3608</v>
      </c>
      <c r="D4667">
        <v>195</v>
      </c>
      <c r="E4667">
        <v>195</v>
      </c>
      <c r="F4667">
        <v>188.5</v>
      </c>
      <c r="G4667">
        <v>189.5</v>
      </c>
      <c r="H4667">
        <v>-2.5</v>
      </c>
      <c r="I4667">
        <v>17</v>
      </c>
    </row>
    <row r="4668" spans="1:9" x14ac:dyDescent="0.25">
      <c r="A4668" t="s">
        <v>6541</v>
      </c>
      <c r="B4668">
        <v>11</v>
      </c>
      <c r="C4668" s="1">
        <v>2077</v>
      </c>
      <c r="D4668">
        <v>190</v>
      </c>
      <c r="E4668">
        <v>190</v>
      </c>
      <c r="F4668">
        <v>188</v>
      </c>
      <c r="G4668">
        <v>188</v>
      </c>
      <c r="H4668">
        <v>-1.5</v>
      </c>
      <c r="I4668">
        <v>11</v>
      </c>
    </row>
    <row r="4669" spans="1:9" x14ac:dyDescent="0.25">
      <c r="A4669" t="s">
        <v>6542</v>
      </c>
      <c r="B4669">
        <v>15</v>
      </c>
      <c r="C4669" s="1">
        <v>2841</v>
      </c>
      <c r="D4669">
        <v>189</v>
      </c>
      <c r="E4669">
        <v>190</v>
      </c>
      <c r="F4669">
        <v>188</v>
      </c>
      <c r="G4669">
        <v>190</v>
      </c>
      <c r="H4669">
        <v>2</v>
      </c>
      <c r="I4669">
        <v>13</v>
      </c>
    </row>
    <row r="4670" spans="1:9" x14ac:dyDescent="0.25">
      <c r="A4670" t="s">
        <v>6543</v>
      </c>
      <c r="B4670">
        <v>14</v>
      </c>
      <c r="C4670" s="1">
        <v>2640</v>
      </c>
      <c r="D4670">
        <v>190</v>
      </c>
      <c r="E4670">
        <v>190</v>
      </c>
      <c r="F4670">
        <v>188</v>
      </c>
      <c r="G4670">
        <v>188</v>
      </c>
      <c r="H4670">
        <v>-2</v>
      </c>
      <c r="I4670">
        <v>11</v>
      </c>
    </row>
    <row r="4671" spans="1:9" x14ac:dyDescent="0.25">
      <c r="A4671" t="s">
        <v>6544</v>
      </c>
      <c r="B4671">
        <v>18</v>
      </c>
      <c r="C4671" s="1">
        <v>3431</v>
      </c>
      <c r="D4671">
        <v>189</v>
      </c>
      <c r="E4671">
        <v>192</v>
      </c>
      <c r="F4671">
        <v>188.5</v>
      </c>
      <c r="G4671">
        <v>192</v>
      </c>
      <c r="H4671">
        <v>4</v>
      </c>
      <c r="I4671">
        <v>18</v>
      </c>
    </row>
    <row r="4672" spans="1:9" x14ac:dyDescent="0.25">
      <c r="A4672" t="s">
        <v>6545</v>
      </c>
      <c r="B4672">
        <v>21</v>
      </c>
      <c r="C4672" s="1">
        <v>4038</v>
      </c>
      <c r="D4672">
        <v>195</v>
      </c>
      <c r="E4672">
        <v>195</v>
      </c>
      <c r="F4672">
        <v>191</v>
      </c>
      <c r="G4672">
        <v>191</v>
      </c>
      <c r="H4672">
        <v>-1</v>
      </c>
      <c r="I4672">
        <v>21</v>
      </c>
    </row>
    <row r="4673" spans="1:9" x14ac:dyDescent="0.25">
      <c r="A4673" t="s">
        <v>6546</v>
      </c>
      <c r="B4673">
        <v>14</v>
      </c>
      <c r="C4673" s="1">
        <v>2675</v>
      </c>
      <c r="D4673">
        <v>192</v>
      </c>
      <c r="E4673">
        <v>192</v>
      </c>
      <c r="F4673">
        <v>190.5</v>
      </c>
      <c r="G4673">
        <v>191</v>
      </c>
      <c r="H4673">
        <v>0</v>
      </c>
      <c r="I4673">
        <v>13</v>
      </c>
    </row>
    <row r="4674" spans="1:9" x14ac:dyDescent="0.25">
      <c r="A4674" t="s">
        <v>6547</v>
      </c>
      <c r="B4674">
        <v>19</v>
      </c>
      <c r="C4674" s="1">
        <v>3635</v>
      </c>
      <c r="D4674">
        <v>189</v>
      </c>
      <c r="E4674">
        <v>193</v>
      </c>
      <c r="F4674">
        <v>189</v>
      </c>
      <c r="G4674">
        <v>191.5</v>
      </c>
      <c r="H4674">
        <v>0.5</v>
      </c>
      <c r="I4674">
        <v>19</v>
      </c>
    </row>
    <row r="4675" spans="1:9" x14ac:dyDescent="0.25">
      <c r="A4675" t="s">
        <v>6548</v>
      </c>
      <c r="B4675">
        <v>20</v>
      </c>
      <c r="C4675" s="1">
        <v>3860</v>
      </c>
      <c r="D4675">
        <v>191</v>
      </c>
      <c r="E4675">
        <v>191.5</v>
      </c>
      <c r="F4675">
        <v>189.5</v>
      </c>
      <c r="G4675">
        <v>191.5</v>
      </c>
      <c r="H4675">
        <v>0</v>
      </c>
      <c r="I4675">
        <v>18</v>
      </c>
    </row>
    <row r="4676" spans="1:9" x14ac:dyDescent="0.25">
      <c r="A4676" s="9" t="s">
        <v>6549</v>
      </c>
      <c r="B4676">
        <v>29</v>
      </c>
      <c r="C4676" s="1">
        <v>5542</v>
      </c>
      <c r="D4676">
        <v>191.5</v>
      </c>
      <c r="E4676">
        <v>192</v>
      </c>
      <c r="F4676">
        <v>190</v>
      </c>
      <c r="G4676">
        <v>190</v>
      </c>
      <c r="H4676">
        <v>-1.5</v>
      </c>
      <c r="I4676">
        <v>23</v>
      </c>
    </row>
    <row r="4677" spans="1:9" x14ac:dyDescent="0.25">
      <c r="A4677" s="9" t="s">
        <v>6550</v>
      </c>
      <c r="B4677">
        <v>26</v>
      </c>
      <c r="C4677" s="1">
        <v>4954</v>
      </c>
      <c r="D4677">
        <v>189</v>
      </c>
      <c r="E4677">
        <v>191</v>
      </c>
      <c r="F4677">
        <v>189</v>
      </c>
      <c r="G4677">
        <v>190.5</v>
      </c>
      <c r="H4677">
        <v>0.5</v>
      </c>
      <c r="I4677">
        <v>14</v>
      </c>
    </row>
    <row r="4678" spans="1:9" x14ac:dyDescent="0.25">
      <c r="A4678" s="9" t="s">
        <v>973</v>
      </c>
      <c r="C4678" s="1"/>
    </row>
    <row r="4681" spans="1:9" x14ac:dyDescent="0.25">
      <c r="A4681" s="9" t="s">
        <v>6510</v>
      </c>
      <c r="B4681" s="1">
        <v>12</v>
      </c>
      <c r="C4681" s="1">
        <v>2016</v>
      </c>
      <c r="D4681">
        <v>168</v>
      </c>
      <c r="E4681">
        <v>168</v>
      </c>
      <c r="F4681">
        <v>167.5</v>
      </c>
      <c r="G4681">
        <v>167.5</v>
      </c>
      <c r="H4681">
        <v>-3</v>
      </c>
      <c r="I4681" s="1">
        <v>12</v>
      </c>
    </row>
    <row r="4682" spans="1:9" x14ac:dyDescent="0.25">
      <c r="A4682" t="s">
        <v>6511</v>
      </c>
      <c r="B4682">
        <v>14</v>
      </c>
      <c r="C4682" s="1">
        <v>2378</v>
      </c>
      <c r="D4682">
        <v>166.5</v>
      </c>
      <c r="E4682">
        <v>168</v>
      </c>
      <c r="F4682">
        <v>166.5</v>
      </c>
      <c r="G4682">
        <v>167</v>
      </c>
      <c r="H4682">
        <v>-0.5</v>
      </c>
      <c r="I4682">
        <v>15</v>
      </c>
    </row>
    <row r="4683" spans="1:9" x14ac:dyDescent="0.25">
      <c r="A4683" t="s">
        <v>6512</v>
      </c>
      <c r="B4683">
        <v>27</v>
      </c>
      <c r="C4683" s="1">
        <v>4627</v>
      </c>
      <c r="D4683">
        <v>168</v>
      </c>
      <c r="E4683">
        <v>173</v>
      </c>
      <c r="F4683">
        <v>168</v>
      </c>
      <c r="G4683">
        <v>171</v>
      </c>
      <c r="H4683">
        <v>4</v>
      </c>
      <c r="I4683">
        <v>24</v>
      </c>
    </row>
    <row r="4684" spans="1:9" x14ac:dyDescent="0.25">
      <c r="A4684" t="s">
        <v>6513</v>
      </c>
      <c r="B4684">
        <v>7</v>
      </c>
      <c r="C4684" s="1">
        <v>1184</v>
      </c>
      <c r="D4684">
        <v>170</v>
      </c>
      <c r="E4684">
        <v>170</v>
      </c>
      <c r="F4684">
        <v>168</v>
      </c>
      <c r="G4684">
        <v>168</v>
      </c>
      <c r="H4684">
        <v>-3</v>
      </c>
      <c r="I4684">
        <v>7</v>
      </c>
    </row>
    <row r="4685" spans="1:9" x14ac:dyDescent="0.25">
      <c r="A4685" t="s">
        <v>6514</v>
      </c>
      <c r="B4685">
        <v>10</v>
      </c>
      <c r="C4685" s="1">
        <v>1683</v>
      </c>
      <c r="D4685">
        <v>169</v>
      </c>
      <c r="E4685">
        <v>169</v>
      </c>
      <c r="F4685">
        <v>167.5</v>
      </c>
      <c r="G4685">
        <v>169</v>
      </c>
      <c r="H4685">
        <v>1</v>
      </c>
      <c r="I4685">
        <v>9</v>
      </c>
    </row>
    <row r="4686" spans="1:9" x14ac:dyDescent="0.25">
      <c r="A4686" t="s">
        <v>6515</v>
      </c>
      <c r="B4686">
        <v>21</v>
      </c>
      <c r="C4686" s="1">
        <v>3592</v>
      </c>
      <c r="D4686">
        <v>177.5</v>
      </c>
      <c r="E4686">
        <v>177.5</v>
      </c>
      <c r="F4686">
        <v>169.5</v>
      </c>
      <c r="G4686">
        <v>170</v>
      </c>
      <c r="H4686">
        <v>1</v>
      </c>
      <c r="I4686">
        <v>20</v>
      </c>
    </row>
    <row r="4687" spans="1:9" x14ac:dyDescent="0.25">
      <c r="A4687" t="s">
        <v>6516</v>
      </c>
      <c r="B4687">
        <v>657</v>
      </c>
      <c r="C4687" s="1">
        <v>114878</v>
      </c>
      <c r="D4687">
        <v>174</v>
      </c>
      <c r="E4687">
        <v>175</v>
      </c>
      <c r="F4687">
        <v>170</v>
      </c>
      <c r="G4687">
        <v>175</v>
      </c>
      <c r="H4687">
        <v>5</v>
      </c>
      <c r="I4687">
        <v>53</v>
      </c>
    </row>
    <row r="4688" spans="1:9" x14ac:dyDescent="0.25">
      <c r="A4688" t="s">
        <v>6517</v>
      </c>
      <c r="B4688">
        <v>125</v>
      </c>
      <c r="C4688" s="1">
        <v>23216</v>
      </c>
      <c r="D4688">
        <v>176</v>
      </c>
      <c r="E4688">
        <v>192.5</v>
      </c>
      <c r="F4688">
        <v>176</v>
      </c>
      <c r="G4688">
        <v>189</v>
      </c>
      <c r="H4688">
        <v>14</v>
      </c>
      <c r="I4688">
        <v>114</v>
      </c>
    </row>
    <row r="4689" spans="1:9" x14ac:dyDescent="0.25">
      <c r="A4689" t="s">
        <v>6518</v>
      </c>
      <c r="B4689">
        <v>67</v>
      </c>
      <c r="C4689" s="1">
        <v>12437</v>
      </c>
      <c r="D4689">
        <v>189.5</v>
      </c>
      <c r="E4689">
        <v>189.5</v>
      </c>
      <c r="F4689">
        <v>183</v>
      </c>
      <c r="G4689">
        <v>184.5</v>
      </c>
      <c r="H4689">
        <v>-4.5</v>
      </c>
      <c r="I4689">
        <v>68</v>
      </c>
    </row>
    <row r="4690" spans="1:9" x14ac:dyDescent="0.25">
      <c r="A4690" t="s">
        <v>6519</v>
      </c>
      <c r="B4690">
        <v>52</v>
      </c>
      <c r="C4690" s="1">
        <v>9698</v>
      </c>
      <c r="D4690">
        <v>186.5</v>
      </c>
      <c r="E4690">
        <v>186.5</v>
      </c>
      <c r="F4690">
        <v>183</v>
      </c>
      <c r="G4690">
        <v>185</v>
      </c>
      <c r="H4690">
        <v>0.5</v>
      </c>
      <c r="I4690">
        <v>50</v>
      </c>
    </row>
    <row r="4691" spans="1:9" x14ac:dyDescent="0.25">
      <c r="A4691" t="s">
        <v>6520</v>
      </c>
      <c r="B4691">
        <v>27</v>
      </c>
      <c r="C4691" s="1">
        <v>4984</v>
      </c>
      <c r="D4691">
        <v>185.5</v>
      </c>
      <c r="E4691">
        <v>185.5</v>
      </c>
      <c r="F4691">
        <v>183</v>
      </c>
      <c r="G4691">
        <v>184</v>
      </c>
      <c r="H4691">
        <v>-1</v>
      </c>
      <c r="I4691">
        <v>23</v>
      </c>
    </row>
    <row r="4692" spans="1:9" x14ac:dyDescent="0.25">
      <c r="A4692" t="s">
        <v>6521</v>
      </c>
      <c r="B4692">
        <v>50</v>
      </c>
      <c r="C4692" s="1">
        <v>9364</v>
      </c>
      <c r="D4692">
        <v>186</v>
      </c>
      <c r="E4692">
        <v>191</v>
      </c>
      <c r="F4692">
        <v>185.5</v>
      </c>
      <c r="G4692">
        <v>185.5</v>
      </c>
      <c r="H4692">
        <v>1.5</v>
      </c>
      <c r="I4692">
        <v>46</v>
      </c>
    </row>
    <row r="4693" spans="1:9" x14ac:dyDescent="0.25">
      <c r="A4693" t="s">
        <v>6522</v>
      </c>
      <c r="B4693">
        <v>36</v>
      </c>
      <c r="C4693" s="1">
        <v>6826</v>
      </c>
      <c r="D4693">
        <v>187</v>
      </c>
      <c r="E4693">
        <v>191</v>
      </c>
      <c r="F4693">
        <v>187</v>
      </c>
      <c r="G4693">
        <v>188.5</v>
      </c>
      <c r="H4693">
        <v>3</v>
      </c>
      <c r="I4693">
        <v>32</v>
      </c>
    </row>
    <row r="4694" spans="1:9" x14ac:dyDescent="0.25">
      <c r="A4694" t="s">
        <v>6523</v>
      </c>
      <c r="B4694">
        <v>19</v>
      </c>
      <c r="C4694" s="1">
        <v>3637</v>
      </c>
      <c r="D4694">
        <v>188.5</v>
      </c>
      <c r="E4694">
        <v>188.5</v>
      </c>
      <c r="F4694">
        <v>186</v>
      </c>
      <c r="G4694">
        <v>188</v>
      </c>
      <c r="H4694">
        <v>-0.5</v>
      </c>
      <c r="I4694">
        <v>23</v>
      </c>
    </row>
    <row r="4695" spans="1:9" x14ac:dyDescent="0.25">
      <c r="A4695" t="s">
        <v>6524</v>
      </c>
      <c r="B4695">
        <v>21</v>
      </c>
      <c r="C4695" s="1">
        <v>3901</v>
      </c>
      <c r="D4695">
        <v>188</v>
      </c>
      <c r="E4695">
        <v>188</v>
      </c>
      <c r="F4695">
        <v>184</v>
      </c>
      <c r="G4695">
        <v>184</v>
      </c>
      <c r="H4695">
        <v>-4</v>
      </c>
      <c r="I4695">
        <v>23</v>
      </c>
    </row>
    <row r="4696" spans="1:9" x14ac:dyDescent="0.25">
      <c r="A4696" t="s">
        <v>6525</v>
      </c>
      <c r="B4696">
        <v>33</v>
      </c>
      <c r="C4696" s="1">
        <v>6084</v>
      </c>
      <c r="D4696">
        <v>184</v>
      </c>
      <c r="E4696">
        <v>185</v>
      </c>
      <c r="F4696">
        <v>184</v>
      </c>
      <c r="G4696">
        <v>184</v>
      </c>
      <c r="H4696">
        <v>0</v>
      </c>
      <c r="I4696">
        <v>32</v>
      </c>
    </row>
    <row r="4697" spans="1:9" x14ac:dyDescent="0.25">
      <c r="A4697" t="s">
        <v>6526</v>
      </c>
      <c r="B4697">
        <v>30</v>
      </c>
      <c r="C4697" s="1">
        <v>5475</v>
      </c>
      <c r="D4697">
        <v>184</v>
      </c>
      <c r="E4697">
        <v>184</v>
      </c>
      <c r="F4697">
        <v>181.5</v>
      </c>
      <c r="G4697">
        <v>184</v>
      </c>
      <c r="H4697">
        <v>0</v>
      </c>
      <c r="I4697">
        <v>28</v>
      </c>
    </row>
    <row r="4698" spans="1:9" x14ac:dyDescent="0.25">
      <c r="A4698" t="s">
        <v>6527</v>
      </c>
      <c r="B4698">
        <v>34</v>
      </c>
      <c r="C4698" s="1">
        <v>6176</v>
      </c>
      <c r="D4698">
        <v>187</v>
      </c>
      <c r="E4698">
        <v>187</v>
      </c>
      <c r="F4698">
        <v>179</v>
      </c>
      <c r="G4698">
        <v>180</v>
      </c>
      <c r="H4698">
        <v>-4</v>
      </c>
      <c r="I4698">
        <v>32</v>
      </c>
    </row>
    <row r="4699" spans="1:9" x14ac:dyDescent="0.25">
      <c r="A4699" t="s">
        <v>6528</v>
      </c>
      <c r="B4699">
        <v>41</v>
      </c>
      <c r="C4699" s="1">
        <v>7366</v>
      </c>
      <c r="D4699">
        <v>180</v>
      </c>
      <c r="E4699">
        <v>181.5</v>
      </c>
      <c r="F4699">
        <v>178</v>
      </c>
      <c r="G4699">
        <v>181.5</v>
      </c>
      <c r="H4699">
        <v>1.5</v>
      </c>
      <c r="I4699">
        <v>31</v>
      </c>
    </row>
    <row r="4700" spans="1:9" x14ac:dyDescent="0.25">
      <c r="A4700" s="9" t="s">
        <v>6529</v>
      </c>
      <c r="B4700">
        <v>24</v>
      </c>
      <c r="C4700" s="1">
        <v>4347</v>
      </c>
      <c r="D4700">
        <v>181.5</v>
      </c>
      <c r="E4700">
        <v>183.5</v>
      </c>
      <c r="F4700">
        <v>177</v>
      </c>
      <c r="G4700">
        <v>182.5</v>
      </c>
      <c r="H4700">
        <v>1</v>
      </c>
      <c r="I4700">
        <v>24</v>
      </c>
    </row>
    <row r="4701" spans="1:9" x14ac:dyDescent="0.25">
      <c r="A4701" s="9" t="s">
        <v>927</v>
      </c>
      <c r="C4701" s="1"/>
    </row>
    <row r="4705" spans="1:9" x14ac:dyDescent="0.25">
      <c r="A4705" s="9" t="s">
        <v>6489</v>
      </c>
      <c r="B4705" s="1">
        <v>32</v>
      </c>
      <c r="C4705" s="1">
        <v>5962</v>
      </c>
      <c r="D4705">
        <v>187.5</v>
      </c>
      <c r="E4705">
        <v>188</v>
      </c>
      <c r="F4705">
        <v>185</v>
      </c>
      <c r="G4705">
        <v>185</v>
      </c>
      <c r="H4705">
        <v>-7</v>
      </c>
      <c r="I4705" s="1">
        <v>25</v>
      </c>
    </row>
    <row r="4706" spans="1:9" x14ac:dyDescent="0.25">
      <c r="A4706" t="s">
        <v>6490</v>
      </c>
      <c r="B4706">
        <v>54</v>
      </c>
      <c r="C4706" s="1">
        <v>9829</v>
      </c>
      <c r="D4706">
        <v>183</v>
      </c>
      <c r="E4706">
        <v>184</v>
      </c>
      <c r="F4706">
        <v>175</v>
      </c>
      <c r="G4706">
        <v>178</v>
      </c>
      <c r="H4706">
        <v>-7</v>
      </c>
      <c r="I4706">
        <v>53</v>
      </c>
    </row>
    <row r="4707" spans="1:9" x14ac:dyDescent="0.25">
      <c r="A4707" t="s">
        <v>6491</v>
      </c>
      <c r="B4707">
        <v>187</v>
      </c>
      <c r="C4707" s="1">
        <v>32242</v>
      </c>
      <c r="D4707">
        <v>178</v>
      </c>
      <c r="E4707">
        <v>178</v>
      </c>
      <c r="F4707">
        <v>165</v>
      </c>
      <c r="G4707">
        <v>171.5</v>
      </c>
      <c r="H4707">
        <v>-6.5</v>
      </c>
      <c r="I4707">
        <v>105</v>
      </c>
    </row>
    <row r="4708" spans="1:9" x14ac:dyDescent="0.25">
      <c r="A4708" t="s">
        <v>6492</v>
      </c>
      <c r="B4708">
        <v>151</v>
      </c>
      <c r="C4708" s="1">
        <v>25640</v>
      </c>
      <c r="D4708">
        <v>171.5</v>
      </c>
      <c r="E4708">
        <v>173</v>
      </c>
      <c r="F4708">
        <v>168</v>
      </c>
      <c r="G4708">
        <v>170</v>
      </c>
      <c r="H4708">
        <v>-1.5</v>
      </c>
      <c r="I4708">
        <v>67</v>
      </c>
    </row>
    <row r="4709" spans="1:9" x14ac:dyDescent="0.25">
      <c r="A4709" t="s">
        <v>6493</v>
      </c>
      <c r="B4709">
        <v>91</v>
      </c>
      <c r="C4709" s="1">
        <v>15242</v>
      </c>
      <c r="D4709">
        <v>170</v>
      </c>
      <c r="E4709">
        <v>173</v>
      </c>
      <c r="F4709">
        <v>164</v>
      </c>
      <c r="G4709">
        <v>173</v>
      </c>
      <c r="H4709">
        <v>3</v>
      </c>
      <c r="I4709">
        <v>78</v>
      </c>
    </row>
    <row r="4710" spans="1:9" x14ac:dyDescent="0.25">
      <c r="A4710" t="s">
        <v>6494</v>
      </c>
      <c r="B4710">
        <v>28</v>
      </c>
      <c r="C4710" s="1">
        <v>4962</v>
      </c>
      <c r="D4710">
        <v>171.5</v>
      </c>
      <c r="E4710">
        <v>180</v>
      </c>
      <c r="F4710">
        <v>171.5</v>
      </c>
      <c r="G4710">
        <v>179</v>
      </c>
      <c r="H4710">
        <v>6</v>
      </c>
      <c r="I4710">
        <v>30</v>
      </c>
    </row>
    <row r="4711" spans="1:9" x14ac:dyDescent="0.25">
      <c r="A4711" t="s">
        <v>6495</v>
      </c>
      <c r="B4711">
        <v>34</v>
      </c>
      <c r="C4711" s="1">
        <v>6097</v>
      </c>
      <c r="D4711">
        <v>179</v>
      </c>
      <c r="E4711">
        <v>180</v>
      </c>
      <c r="F4711">
        <v>174.5</v>
      </c>
      <c r="G4711">
        <v>174.5</v>
      </c>
      <c r="H4711">
        <v>-4.5</v>
      </c>
      <c r="I4711">
        <v>35</v>
      </c>
    </row>
    <row r="4712" spans="1:9" x14ac:dyDescent="0.25">
      <c r="A4712" t="s">
        <v>6496</v>
      </c>
      <c r="B4712">
        <v>22</v>
      </c>
      <c r="C4712" s="1">
        <v>3834</v>
      </c>
      <c r="D4712">
        <v>174</v>
      </c>
      <c r="E4712">
        <v>176.5</v>
      </c>
      <c r="F4712">
        <v>171</v>
      </c>
      <c r="G4712">
        <v>175.5</v>
      </c>
      <c r="H4712">
        <v>1</v>
      </c>
      <c r="I4712">
        <v>25</v>
      </c>
    </row>
    <row r="4713" spans="1:9" x14ac:dyDescent="0.25">
      <c r="A4713" t="s">
        <v>6497</v>
      </c>
      <c r="B4713">
        <v>17</v>
      </c>
      <c r="C4713" s="1">
        <v>3072</v>
      </c>
      <c r="D4713">
        <v>175.5</v>
      </c>
      <c r="E4713">
        <v>179</v>
      </c>
      <c r="F4713">
        <v>175.5</v>
      </c>
      <c r="G4713">
        <v>179</v>
      </c>
      <c r="H4713">
        <v>3.5</v>
      </c>
      <c r="I4713">
        <v>20</v>
      </c>
    </row>
    <row r="4714" spans="1:9" x14ac:dyDescent="0.25">
      <c r="A4714" t="s">
        <v>6498</v>
      </c>
      <c r="B4714">
        <v>15</v>
      </c>
      <c r="C4714" s="1">
        <v>2699</v>
      </c>
      <c r="D4714">
        <v>181</v>
      </c>
      <c r="E4714">
        <v>181</v>
      </c>
      <c r="F4714">
        <v>179</v>
      </c>
      <c r="G4714">
        <v>179</v>
      </c>
      <c r="H4714">
        <v>0</v>
      </c>
      <c r="I4714">
        <v>12</v>
      </c>
    </row>
    <row r="4715" spans="1:9" x14ac:dyDescent="0.25">
      <c r="A4715" t="s">
        <v>6499</v>
      </c>
      <c r="B4715">
        <v>20</v>
      </c>
      <c r="C4715" s="1">
        <v>3604</v>
      </c>
      <c r="D4715">
        <v>179</v>
      </c>
      <c r="E4715">
        <v>179</v>
      </c>
      <c r="F4715">
        <v>177</v>
      </c>
      <c r="G4715">
        <v>179</v>
      </c>
      <c r="H4715">
        <v>0</v>
      </c>
      <c r="I4715">
        <v>20</v>
      </c>
    </row>
    <row r="4716" spans="1:9" x14ac:dyDescent="0.25">
      <c r="A4716" t="s">
        <v>6500</v>
      </c>
      <c r="B4716">
        <v>21</v>
      </c>
      <c r="C4716" s="1">
        <v>3715</v>
      </c>
      <c r="D4716">
        <v>179</v>
      </c>
      <c r="E4716">
        <v>179</v>
      </c>
      <c r="F4716">
        <v>173.5</v>
      </c>
      <c r="G4716">
        <v>177</v>
      </c>
      <c r="H4716">
        <v>-2</v>
      </c>
      <c r="I4716">
        <v>20</v>
      </c>
    </row>
    <row r="4717" spans="1:9" x14ac:dyDescent="0.25">
      <c r="A4717" t="s">
        <v>6501</v>
      </c>
      <c r="B4717">
        <v>26</v>
      </c>
      <c r="C4717" s="1">
        <v>4506</v>
      </c>
      <c r="D4717">
        <v>177</v>
      </c>
      <c r="E4717">
        <v>177</v>
      </c>
      <c r="F4717">
        <v>172</v>
      </c>
      <c r="G4717">
        <v>172</v>
      </c>
      <c r="H4717">
        <v>-5</v>
      </c>
      <c r="I4717">
        <v>21</v>
      </c>
    </row>
    <row r="4718" spans="1:9" x14ac:dyDescent="0.25">
      <c r="A4718" t="s">
        <v>6502</v>
      </c>
      <c r="B4718">
        <v>15</v>
      </c>
      <c r="C4718" s="1">
        <v>2585</v>
      </c>
      <c r="D4718">
        <v>172</v>
      </c>
      <c r="E4718">
        <v>173</v>
      </c>
      <c r="F4718">
        <v>170.5</v>
      </c>
      <c r="G4718">
        <v>172</v>
      </c>
      <c r="H4718">
        <v>0</v>
      </c>
      <c r="I4718">
        <v>14</v>
      </c>
    </row>
    <row r="4719" spans="1:9" x14ac:dyDescent="0.25">
      <c r="A4719" t="s">
        <v>6503</v>
      </c>
      <c r="B4719">
        <v>24</v>
      </c>
      <c r="C4719" s="1">
        <v>4059</v>
      </c>
      <c r="D4719">
        <v>170</v>
      </c>
      <c r="E4719">
        <v>171</v>
      </c>
      <c r="F4719">
        <v>168</v>
      </c>
      <c r="G4719">
        <v>171</v>
      </c>
      <c r="H4719">
        <v>-1</v>
      </c>
      <c r="I4719">
        <v>23</v>
      </c>
    </row>
    <row r="4720" spans="1:9" x14ac:dyDescent="0.25">
      <c r="A4720" t="s">
        <v>6504</v>
      </c>
      <c r="B4720">
        <v>55</v>
      </c>
      <c r="C4720" s="1">
        <v>9075</v>
      </c>
      <c r="D4720">
        <v>174.5</v>
      </c>
      <c r="E4720">
        <v>174.5</v>
      </c>
      <c r="F4720">
        <v>161</v>
      </c>
      <c r="G4720">
        <v>173</v>
      </c>
      <c r="H4720">
        <v>2</v>
      </c>
      <c r="I4720">
        <v>55</v>
      </c>
    </row>
    <row r="4721" spans="1:9" x14ac:dyDescent="0.25">
      <c r="A4721" t="s">
        <v>6505</v>
      </c>
      <c r="B4721">
        <v>40</v>
      </c>
      <c r="C4721" s="1">
        <v>6816</v>
      </c>
      <c r="D4721">
        <v>164</v>
      </c>
      <c r="E4721">
        <v>173</v>
      </c>
      <c r="F4721">
        <v>164</v>
      </c>
      <c r="G4721">
        <v>169</v>
      </c>
      <c r="H4721">
        <v>-4</v>
      </c>
      <c r="I4721">
        <v>37</v>
      </c>
    </row>
    <row r="4722" spans="1:9" x14ac:dyDescent="0.25">
      <c r="A4722" t="s">
        <v>6506</v>
      </c>
      <c r="B4722">
        <v>17</v>
      </c>
      <c r="C4722" s="1">
        <v>2816</v>
      </c>
      <c r="D4722">
        <v>167</v>
      </c>
      <c r="E4722">
        <v>167</v>
      </c>
      <c r="F4722">
        <v>163.5</v>
      </c>
      <c r="G4722">
        <v>165</v>
      </c>
      <c r="H4722">
        <v>-4</v>
      </c>
      <c r="I4722">
        <v>17</v>
      </c>
    </row>
    <row r="4723" spans="1:9" x14ac:dyDescent="0.25">
      <c r="A4723" t="s">
        <v>6507</v>
      </c>
      <c r="B4723">
        <v>21</v>
      </c>
      <c r="C4723" s="1">
        <v>3546</v>
      </c>
      <c r="D4723">
        <v>166.5</v>
      </c>
      <c r="E4723">
        <v>170</v>
      </c>
      <c r="F4723">
        <v>166.5</v>
      </c>
      <c r="G4723">
        <v>167.5</v>
      </c>
      <c r="H4723">
        <v>2.5</v>
      </c>
      <c r="I4723">
        <v>25</v>
      </c>
    </row>
    <row r="4724" spans="1:9" x14ac:dyDescent="0.25">
      <c r="A4724" s="9" t="s">
        <v>6508</v>
      </c>
      <c r="B4724">
        <v>61</v>
      </c>
      <c r="C4724" s="1">
        <v>10508</v>
      </c>
      <c r="D4724">
        <v>170</v>
      </c>
      <c r="E4724">
        <v>178</v>
      </c>
      <c r="F4724">
        <v>168.5</v>
      </c>
      <c r="G4724">
        <v>169</v>
      </c>
      <c r="H4724">
        <v>1.5</v>
      </c>
      <c r="I4724">
        <v>53</v>
      </c>
    </row>
    <row r="4725" spans="1:9" x14ac:dyDescent="0.25">
      <c r="A4725" s="9" t="s">
        <v>6509</v>
      </c>
      <c r="B4725">
        <v>21</v>
      </c>
      <c r="C4725" s="1">
        <v>3598</v>
      </c>
      <c r="D4725">
        <v>172</v>
      </c>
      <c r="E4725">
        <v>172</v>
      </c>
      <c r="F4725">
        <v>170</v>
      </c>
      <c r="G4725">
        <v>170.5</v>
      </c>
      <c r="H4725">
        <v>1.5</v>
      </c>
      <c r="I4725">
        <v>24</v>
      </c>
    </row>
    <row r="4726" spans="1:9" x14ac:dyDescent="0.25">
      <c r="A4726" s="9" t="s">
        <v>973</v>
      </c>
      <c r="C4726" s="1"/>
    </row>
    <row r="4729" spans="1:9" x14ac:dyDescent="0.25">
      <c r="A4729" s="9" t="s">
        <v>6467</v>
      </c>
      <c r="B4729" s="1">
        <v>74</v>
      </c>
      <c r="C4729" s="1">
        <v>14994</v>
      </c>
      <c r="D4729">
        <v>204</v>
      </c>
      <c r="E4729">
        <v>204</v>
      </c>
      <c r="F4729">
        <v>200</v>
      </c>
      <c r="G4729">
        <v>202</v>
      </c>
      <c r="H4729">
        <v>-8</v>
      </c>
      <c r="I4729" s="1">
        <v>63</v>
      </c>
    </row>
    <row r="4730" spans="1:9" x14ac:dyDescent="0.25">
      <c r="A4730" t="s">
        <v>6468</v>
      </c>
      <c r="B4730">
        <v>29</v>
      </c>
      <c r="C4730" s="1">
        <v>5915</v>
      </c>
      <c r="D4730">
        <v>200.5</v>
      </c>
      <c r="E4730">
        <v>202.5</v>
      </c>
      <c r="F4730">
        <v>200.5</v>
      </c>
      <c r="G4730">
        <v>202.5</v>
      </c>
      <c r="H4730">
        <v>0.5</v>
      </c>
      <c r="I4730">
        <v>22</v>
      </c>
    </row>
    <row r="4731" spans="1:9" x14ac:dyDescent="0.25">
      <c r="A4731" t="s">
        <v>6469</v>
      </c>
      <c r="B4731">
        <v>42</v>
      </c>
      <c r="C4731" s="1">
        <v>8392</v>
      </c>
      <c r="D4731">
        <v>200.5</v>
      </c>
      <c r="E4731">
        <v>201.5</v>
      </c>
      <c r="F4731">
        <v>199</v>
      </c>
      <c r="G4731">
        <v>201.5</v>
      </c>
      <c r="H4731">
        <v>-1</v>
      </c>
      <c r="I4731">
        <v>29</v>
      </c>
    </row>
    <row r="4732" spans="1:9" x14ac:dyDescent="0.25">
      <c r="A4732" t="s">
        <v>6470</v>
      </c>
      <c r="B4732">
        <v>27</v>
      </c>
      <c r="C4732" s="1">
        <v>5412</v>
      </c>
      <c r="D4732">
        <v>201</v>
      </c>
      <c r="E4732">
        <v>201.5</v>
      </c>
      <c r="F4732">
        <v>199</v>
      </c>
      <c r="G4732">
        <v>201.5</v>
      </c>
      <c r="H4732">
        <v>0</v>
      </c>
      <c r="I4732">
        <v>25</v>
      </c>
    </row>
    <row r="4733" spans="1:9" x14ac:dyDescent="0.25">
      <c r="A4733" t="s">
        <v>6471</v>
      </c>
      <c r="B4733">
        <v>30</v>
      </c>
      <c r="C4733" s="1">
        <v>6073</v>
      </c>
      <c r="D4733">
        <v>203</v>
      </c>
      <c r="E4733">
        <v>203</v>
      </c>
      <c r="F4733">
        <v>200</v>
      </c>
      <c r="G4733">
        <v>200.5</v>
      </c>
      <c r="H4733">
        <v>-1</v>
      </c>
      <c r="I4733">
        <v>25</v>
      </c>
    </row>
    <row r="4734" spans="1:9" x14ac:dyDescent="0.25">
      <c r="A4734" t="s">
        <v>6472</v>
      </c>
      <c r="B4734">
        <v>148</v>
      </c>
      <c r="C4734" s="1">
        <v>29579</v>
      </c>
      <c r="D4734">
        <v>201</v>
      </c>
      <c r="E4734">
        <v>201</v>
      </c>
      <c r="F4734">
        <v>198</v>
      </c>
      <c r="G4734">
        <v>198</v>
      </c>
      <c r="H4734">
        <v>-2.5</v>
      </c>
      <c r="I4734">
        <v>81</v>
      </c>
    </row>
    <row r="4735" spans="1:9" x14ac:dyDescent="0.25">
      <c r="A4735" t="s">
        <v>6473</v>
      </c>
      <c r="B4735">
        <v>77</v>
      </c>
      <c r="C4735" s="1">
        <v>15028</v>
      </c>
      <c r="D4735">
        <v>196.5</v>
      </c>
      <c r="E4735">
        <v>198</v>
      </c>
      <c r="F4735">
        <v>189</v>
      </c>
      <c r="G4735">
        <v>198</v>
      </c>
      <c r="H4735">
        <v>0</v>
      </c>
      <c r="I4735">
        <v>74</v>
      </c>
    </row>
    <row r="4736" spans="1:9" x14ac:dyDescent="0.25">
      <c r="A4736" t="s">
        <v>6474</v>
      </c>
      <c r="B4736">
        <v>46</v>
      </c>
      <c r="C4736" s="1">
        <v>9206</v>
      </c>
      <c r="D4736">
        <v>200</v>
      </c>
      <c r="E4736">
        <v>201</v>
      </c>
      <c r="F4736">
        <v>199</v>
      </c>
      <c r="G4736">
        <v>200</v>
      </c>
      <c r="H4736">
        <v>2</v>
      </c>
      <c r="I4736">
        <v>37</v>
      </c>
    </row>
    <row r="4737" spans="1:9" x14ac:dyDescent="0.25">
      <c r="A4737" t="s">
        <v>6475</v>
      </c>
      <c r="B4737">
        <v>30</v>
      </c>
      <c r="C4737" s="1">
        <v>6004</v>
      </c>
      <c r="D4737">
        <v>201</v>
      </c>
      <c r="E4737">
        <v>201</v>
      </c>
      <c r="F4737">
        <v>199</v>
      </c>
      <c r="G4737">
        <v>200</v>
      </c>
      <c r="H4737">
        <v>0</v>
      </c>
      <c r="I4737">
        <v>22</v>
      </c>
    </row>
    <row r="4738" spans="1:9" x14ac:dyDescent="0.25">
      <c r="A4738" t="s">
        <v>6476</v>
      </c>
      <c r="B4738">
        <v>30</v>
      </c>
      <c r="C4738" s="1">
        <v>6010</v>
      </c>
      <c r="D4738">
        <v>200</v>
      </c>
      <c r="E4738">
        <v>201</v>
      </c>
      <c r="F4738">
        <v>200</v>
      </c>
      <c r="G4738">
        <v>201</v>
      </c>
      <c r="H4738">
        <v>1</v>
      </c>
      <c r="I4738">
        <v>19</v>
      </c>
    </row>
    <row r="4739" spans="1:9" x14ac:dyDescent="0.25">
      <c r="A4739" t="s">
        <v>6477</v>
      </c>
      <c r="B4739">
        <v>28</v>
      </c>
      <c r="C4739" s="1">
        <v>5602</v>
      </c>
      <c r="D4739">
        <v>200.5</v>
      </c>
      <c r="E4739">
        <v>200.5</v>
      </c>
      <c r="F4739">
        <v>199</v>
      </c>
      <c r="G4739">
        <v>200</v>
      </c>
      <c r="H4739">
        <v>-1</v>
      </c>
      <c r="I4739">
        <v>21</v>
      </c>
    </row>
    <row r="4740" spans="1:9" x14ac:dyDescent="0.25">
      <c r="A4740" t="s">
        <v>6478</v>
      </c>
      <c r="B4740">
        <v>10</v>
      </c>
      <c r="C4740" s="1">
        <v>1988</v>
      </c>
      <c r="D4740">
        <v>198</v>
      </c>
      <c r="E4740">
        <v>199</v>
      </c>
      <c r="F4740">
        <v>198</v>
      </c>
      <c r="G4740">
        <v>199</v>
      </c>
      <c r="H4740">
        <v>-1</v>
      </c>
      <c r="I4740">
        <v>9</v>
      </c>
    </row>
    <row r="4741" spans="1:9" x14ac:dyDescent="0.25">
      <c r="A4741" t="s">
        <v>6479</v>
      </c>
      <c r="B4741">
        <v>24</v>
      </c>
      <c r="C4741" s="1">
        <v>4818</v>
      </c>
      <c r="D4741">
        <v>200</v>
      </c>
      <c r="E4741">
        <v>200</v>
      </c>
      <c r="F4741">
        <v>199</v>
      </c>
      <c r="G4741">
        <v>200</v>
      </c>
      <c r="H4741">
        <v>1</v>
      </c>
      <c r="I4741">
        <v>22</v>
      </c>
    </row>
    <row r="4742" spans="1:9" x14ac:dyDescent="0.25">
      <c r="A4742" t="s">
        <v>6480</v>
      </c>
      <c r="B4742">
        <v>16</v>
      </c>
      <c r="C4742" s="1">
        <v>3200</v>
      </c>
      <c r="D4742">
        <v>198</v>
      </c>
      <c r="E4742">
        <v>198.5</v>
      </c>
      <c r="F4742">
        <v>197</v>
      </c>
      <c r="G4742">
        <v>197</v>
      </c>
      <c r="H4742">
        <v>-3</v>
      </c>
      <c r="I4742">
        <v>17</v>
      </c>
    </row>
    <row r="4743" spans="1:9" x14ac:dyDescent="0.25">
      <c r="A4743" t="s">
        <v>6481</v>
      </c>
      <c r="B4743">
        <v>22</v>
      </c>
      <c r="C4743" s="1">
        <v>4289</v>
      </c>
      <c r="D4743">
        <v>196</v>
      </c>
      <c r="E4743">
        <v>196</v>
      </c>
      <c r="F4743">
        <v>194</v>
      </c>
      <c r="G4743">
        <v>194</v>
      </c>
      <c r="H4743">
        <v>-3</v>
      </c>
      <c r="I4743">
        <v>24</v>
      </c>
    </row>
    <row r="4744" spans="1:9" x14ac:dyDescent="0.25">
      <c r="A4744" t="s">
        <v>6482</v>
      </c>
      <c r="B4744">
        <v>34</v>
      </c>
      <c r="C4744" s="1">
        <v>6612</v>
      </c>
      <c r="D4744">
        <v>195</v>
      </c>
      <c r="E4744">
        <v>195</v>
      </c>
      <c r="F4744">
        <v>193</v>
      </c>
      <c r="G4744">
        <v>194</v>
      </c>
      <c r="H4744">
        <v>0</v>
      </c>
      <c r="I4744">
        <v>26</v>
      </c>
    </row>
    <row r="4745" spans="1:9" x14ac:dyDescent="0.25">
      <c r="A4745" t="s">
        <v>6483</v>
      </c>
      <c r="B4745">
        <v>16</v>
      </c>
      <c r="C4745" s="1">
        <v>3114</v>
      </c>
      <c r="D4745">
        <v>196</v>
      </c>
      <c r="E4745">
        <v>196</v>
      </c>
      <c r="F4745">
        <v>194</v>
      </c>
      <c r="G4745">
        <v>194</v>
      </c>
      <c r="H4745">
        <v>0</v>
      </c>
      <c r="I4745">
        <v>12</v>
      </c>
    </row>
    <row r="4746" spans="1:9" x14ac:dyDescent="0.25">
      <c r="A4746" t="s">
        <v>6484</v>
      </c>
      <c r="B4746">
        <v>208</v>
      </c>
      <c r="C4746" s="1">
        <v>39582</v>
      </c>
      <c r="D4746">
        <v>194.5</v>
      </c>
      <c r="E4746">
        <v>194.5</v>
      </c>
      <c r="F4746">
        <v>185.5</v>
      </c>
      <c r="G4746">
        <v>187</v>
      </c>
      <c r="H4746">
        <v>-7</v>
      </c>
      <c r="I4746">
        <v>58</v>
      </c>
    </row>
    <row r="4747" spans="1:9" x14ac:dyDescent="0.25">
      <c r="A4747" t="s">
        <v>6485</v>
      </c>
      <c r="B4747">
        <v>13</v>
      </c>
      <c r="C4747" s="1">
        <v>2450</v>
      </c>
      <c r="D4747">
        <v>187</v>
      </c>
      <c r="E4747">
        <v>193</v>
      </c>
      <c r="F4747">
        <v>187</v>
      </c>
      <c r="G4747">
        <v>188</v>
      </c>
      <c r="H4747">
        <v>1</v>
      </c>
      <c r="I4747">
        <v>13</v>
      </c>
    </row>
    <row r="4748" spans="1:9" x14ac:dyDescent="0.25">
      <c r="A4748" s="9" t="s">
        <v>6486</v>
      </c>
      <c r="B4748">
        <v>19</v>
      </c>
      <c r="C4748" s="1">
        <v>3583</v>
      </c>
      <c r="D4748">
        <v>187</v>
      </c>
      <c r="E4748">
        <v>190</v>
      </c>
      <c r="F4748">
        <v>187</v>
      </c>
      <c r="G4748">
        <v>190</v>
      </c>
      <c r="H4748">
        <v>2</v>
      </c>
      <c r="I4748">
        <v>16</v>
      </c>
    </row>
    <row r="4749" spans="1:9" x14ac:dyDescent="0.25">
      <c r="A4749" s="9" t="s">
        <v>6487</v>
      </c>
      <c r="B4749">
        <v>23</v>
      </c>
      <c r="C4749" s="1">
        <v>4363</v>
      </c>
      <c r="D4749">
        <v>189.5</v>
      </c>
      <c r="E4749">
        <v>191</v>
      </c>
      <c r="F4749">
        <v>188.5</v>
      </c>
      <c r="G4749">
        <v>189</v>
      </c>
      <c r="H4749">
        <v>-1</v>
      </c>
      <c r="I4749">
        <v>20</v>
      </c>
    </row>
    <row r="4750" spans="1:9" x14ac:dyDescent="0.25">
      <c r="A4750" s="9" t="s">
        <v>6488</v>
      </c>
      <c r="B4750">
        <v>32</v>
      </c>
      <c r="C4750" s="1">
        <v>6043</v>
      </c>
      <c r="D4750">
        <v>188</v>
      </c>
      <c r="E4750">
        <v>192</v>
      </c>
      <c r="F4750">
        <v>187</v>
      </c>
      <c r="G4750">
        <v>192</v>
      </c>
      <c r="H4750">
        <v>3</v>
      </c>
      <c r="I4750">
        <v>30</v>
      </c>
    </row>
    <row r="4751" spans="1:9" x14ac:dyDescent="0.25">
      <c r="A4751" s="9" t="s">
        <v>1177</v>
      </c>
      <c r="C4751" s="1"/>
    </row>
    <row r="4753" spans="1:9" x14ac:dyDescent="0.25">
      <c r="A4753" s="9" t="s">
        <v>6446</v>
      </c>
      <c r="B4753" s="1">
        <v>74</v>
      </c>
      <c r="C4753" s="1">
        <v>16443</v>
      </c>
      <c r="D4753">
        <v>226</v>
      </c>
      <c r="E4753">
        <v>226</v>
      </c>
      <c r="F4753">
        <v>219.5</v>
      </c>
      <c r="G4753">
        <v>222</v>
      </c>
      <c r="H4753">
        <v>-4</v>
      </c>
      <c r="I4753" s="1">
        <v>62</v>
      </c>
    </row>
    <row r="4754" spans="1:9" x14ac:dyDescent="0.25">
      <c r="A4754" t="s">
        <v>6447</v>
      </c>
      <c r="B4754">
        <v>59</v>
      </c>
      <c r="C4754" s="1">
        <v>13187</v>
      </c>
      <c r="D4754">
        <v>222</v>
      </c>
      <c r="E4754">
        <v>226</v>
      </c>
      <c r="F4754">
        <v>221</v>
      </c>
      <c r="G4754">
        <v>223</v>
      </c>
      <c r="H4754">
        <v>1</v>
      </c>
      <c r="I4754">
        <v>49</v>
      </c>
    </row>
    <row r="4755" spans="1:9" x14ac:dyDescent="0.25">
      <c r="A4755" t="s">
        <v>6448</v>
      </c>
      <c r="B4755">
        <v>43</v>
      </c>
      <c r="C4755" s="1">
        <v>9593</v>
      </c>
      <c r="D4755">
        <v>225</v>
      </c>
      <c r="E4755">
        <v>225</v>
      </c>
      <c r="F4755">
        <v>221</v>
      </c>
      <c r="G4755">
        <v>222.5</v>
      </c>
      <c r="H4755">
        <v>-0.5</v>
      </c>
      <c r="I4755">
        <v>37</v>
      </c>
    </row>
    <row r="4756" spans="1:9" x14ac:dyDescent="0.25">
      <c r="A4756" t="s">
        <v>6449</v>
      </c>
      <c r="B4756">
        <v>139</v>
      </c>
      <c r="C4756" s="1">
        <v>30612</v>
      </c>
      <c r="D4756">
        <v>221.5</v>
      </c>
      <c r="E4756">
        <v>223</v>
      </c>
      <c r="F4756">
        <v>219.5</v>
      </c>
      <c r="G4756">
        <v>220</v>
      </c>
      <c r="H4756">
        <v>-2.5</v>
      </c>
      <c r="I4756">
        <v>63</v>
      </c>
    </row>
    <row r="4757" spans="1:9" x14ac:dyDescent="0.25">
      <c r="A4757" t="s">
        <v>6450</v>
      </c>
      <c r="B4757">
        <v>52</v>
      </c>
      <c r="C4757" s="1">
        <v>11331</v>
      </c>
      <c r="D4757">
        <v>219</v>
      </c>
      <c r="E4757">
        <v>219</v>
      </c>
      <c r="F4757">
        <v>216</v>
      </c>
      <c r="G4757">
        <v>218</v>
      </c>
      <c r="H4757">
        <v>-2</v>
      </c>
      <c r="I4757">
        <v>43</v>
      </c>
    </row>
    <row r="4758" spans="1:9" x14ac:dyDescent="0.25">
      <c r="A4758" t="s">
        <v>6451</v>
      </c>
      <c r="B4758">
        <v>47</v>
      </c>
      <c r="C4758" s="1">
        <v>10227</v>
      </c>
      <c r="D4758">
        <v>218</v>
      </c>
      <c r="E4758">
        <v>218.5</v>
      </c>
      <c r="F4758">
        <v>216</v>
      </c>
      <c r="G4758">
        <v>216</v>
      </c>
      <c r="H4758">
        <v>-2</v>
      </c>
      <c r="I4758">
        <v>31</v>
      </c>
    </row>
    <row r="4759" spans="1:9" x14ac:dyDescent="0.25">
      <c r="A4759" t="s">
        <v>6452</v>
      </c>
      <c r="B4759">
        <v>55</v>
      </c>
      <c r="C4759" s="1">
        <v>11847</v>
      </c>
      <c r="D4759">
        <v>216</v>
      </c>
      <c r="E4759">
        <v>219</v>
      </c>
      <c r="F4759">
        <v>213</v>
      </c>
      <c r="G4759">
        <v>213.5</v>
      </c>
      <c r="H4759">
        <v>-2.5</v>
      </c>
      <c r="I4759">
        <v>60</v>
      </c>
    </row>
    <row r="4760" spans="1:9" x14ac:dyDescent="0.25">
      <c r="A4760" t="s">
        <v>6453</v>
      </c>
      <c r="B4760">
        <v>48</v>
      </c>
      <c r="C4760" s="1">
        <v>10243</v>
      </c>
      <c r="D4760">
        <v>213.5</v>
      </c>
      <c r="E4760">
        <v>214</v>
      </c>
      <c r="F4760">
        <v>210.5</v>
      </c>
      <c r="G4760">
        <v>211.5</v>
      </c>
      <c r="H4760">
        <v>-2</v>
      </c>
      <c r="I4760">
        <v>54</v>
      </c>
    </row>
    <row r="4761" spans="1:9" x14ac:dyDescent="0.25">
      <c r="A4761" t="s">
        <v>6454</v>
      </c>
      <c r="B4761">
        <v>31</v>
      </c>
      <c r="C4761" s="1">
        <v>6726</v>
      </c>
      <c r="D4761">
        <v>213</v>
      </c>
      <c r="E4761">
        <v>218.5</v>
      </c>
      <c r="F4761">
        <v>212</v>
      </c>
      <c r="G4761">
        <v>214</v>
      </c>
      <c r="H4761">
        <v>2.5</v>
      </c>
      <c r="I4761">
        <v>35</v>
      </c>
    </row>
    <row r="4762" spans="1:9" x14ac:dyDescent="0.25">
      <c r="A4762" t="s">
        <v>6455</v>
      </c>
      <c r="B4762">
        <v>55</v>
      </c>
      <c r="C4762" s="1">
        <v>11801</v>
      </c>
      <c r="D4762">
        <v>212</v>
      </c>
      <c r="E4762">
        <v>214.5</v>
      </c>
      <c r="F4762">
        <v>211.5</v>
      </c>
      <c r="G4762">
        <v>214.5</v>
      </c>
      <c r="H4762">
        <v>0.5</v>
      </c>
      <c r="I4762">
        <v>49</v>
      </c>
    </row>
    <row r="4763" spans="1:9" x14ac:dyDescent="0.25">
      <c r="A4763" t="s">
        <v>6456</v>
      </c>
      <c r="B4763">
        <v>84</v>
      </c>
      <c r="C4763" s="1">
        <v>18195</v>
      </c>
      <c r="D4763">
        <v>214.5</v>
      </c>
      <c r="E4763">
        <v>219</v>
      </c>
      <c r="F4763">
        <v>214.5</v>
      </c>
      <c r="G4763">
        <v>218</v>
      </c>
      <c r="H4763">
        <v>3.5</v>
      </c>
      <c r="I4763">
        <v>77</v>
      </c>
    </row>
    <row r="4764" spans="1:9" x14ac:dyDescent="0.25">
      <c r="A4764" t="s">
        <v>6457</v>
      </c>
      <c r="B4764">
        <v>86</v>
      </c>
      <c r="C4764" s="1">
        <v>18055</v>
      </c>
      <c r="D4764">
        <v>208.5</v>
      </c>
      <c r="E4764">
        <v>212</v>
      </c>
      <c r="F4764">
        <v>207.5</v>
      </c>
      <c r="G4764">
        <v>208</v>
      </c>
      <c r="H4764">
        <v>0</v>
      </c>
      <c r="I4764">
        <v>81</v>
      </c>
    </row>
    <row r="4765" spans="1:9" x14ac:dyDescent="0.25">
      <c r="A4765" t="s">
        <v>6458</v>
      </c>
      <c r="B4765">
        <v>18</v>
      </c>
      <c r="C4765" s="1">
        <v>3767</v>
      </c>
      <c r="D4765">
        <v>208.5</v>
      </c>
      <c r="E4765">
        <v>209</v>
      </c>
      <c r="F4765">
        <v>208</v>
      </c>
      <c r="G4765">
        <v>208.5</v>
      </c>
      <c r="H4765">
        <v>0.5</v>
      </c>
      <c r="I4765">
        <v>17</v>
      </c>
    </row>
    <row r="4766" spans="1:9" x14ac:dyDescent="0.25">
      <c r="A4766" t="s">
        <v>6459</v>
      </c>
      <c r="B4766">
        <v>18</v>
      </c>
      <c r="C4766" s="1">
        <v>3767</v>
      </c>
      <c r="D4766">
        <v>209</v>
      </c>
      <c r="E4766">
        <v>210</v>
      </c>
      <c r="F4766">
        <v>208.5</v>
      </c>
      <c r="G4766">
        <v>208.5</v>
      </c>
      <c r="H4766">
        <v>0</v>
      </c>
      <c r="I4766">
        <v>19</v>
      </c>
    </row>
    <row r="4767" spans="1:9" x14ac:dyDescent="0.25">
      <c r="A4767" t="s">
        <v>6460</v>
      </c>
      <c r="B4767">
        <v>10</v>
      </c>
      <c r="C4767" s="1">
        <v>2090</v>
      </c>
      <c r="D4767">
        <v>209</v>
      </c>
      <c r="E4767">
        <v>209</v>
      </c>
      <c r="F4767">
        <v>207</v>
      </c>
      <c r="G4767">
        <v>207</v>
      </c>
      <c r="H4767">
        <v>-1.5</v>
      </c>
      <c r="I4767">
        <v>10</v>
      </c>
    </row>
    <row r="4768" spans="1:9" x14ac:dyDescent="0.25">
      <c r="A4768" t="s">
        <v>6461</v>
      </c>
      <c r="B4768">
        <v>72</v>
      </c>
      <c r="C4768" s="1">
        <v>14711</v>
      </c>
      <c r="D4768">
        <v>207.5</v>
      </c>
      <c r="E4768">
        <v>207.5</v>
      </c>
      <c r="F4768">
        <v>202</v>
      </c>
      <c r="G4768">
        <v>202</v>
      </c>
      <c r="H4768">
        <v>-5</v>
      </c>
      <c r="I4768">
        <v>52</v>
      </c>
    </row>
    <row r="4769" spans="1:9" x14ac:dyDescent="0.25">
      <c r="A4769" t="s">
        <v>6462</v>
      </c>
      <c r="B4769">
        <v>79</v>
      </c>
      <c r="C4769" s="1">
        <v>16023</v>
      </c>
      <c r="D4769">
        <v>203.5</v>
      </c>
      <c r="E4769">
        <v>205</v>
      </c>
      <c r="F4769">
        <v>202</v>
      </c>
      <c r="G4769">
        <v>202.5</v>
      </c>
      <c r="H4769">
        <v>0.5</v>
      </c>
      <c r="I4769">
        <v>52</v>
      </c>
    </row>
    <row r="4770" spans="1:9" x14ac:dyDescent="0.25">
      <c r="A4770" t="s">
        <v>6463</v>
      </c>
      <c r="B4770">
        <v>17</v>
      </c>
      <c r="C4770" s="1">
        <v>3441</v>
      </c>
      <c r="D4770">
        <v>202.5</v>
      </c>
      <c r="E4770">
        <v>203</v>
      </c>
      <c r="F4770">
        <v>202</v>
      </c>
      <c r="G4770">
        <v>203</v>
      </c>
      <c r="H4770">
        <v>0.5</v>
      </c>
      <c r="I4770">
        <v>13</v>
      </c>
    </row>
    <row r="4771" spans="1:9" x14ac:dyDescent="0.25">
      <c r="A4771" t="s">
        <v>6464</v>
      </c>
      <c r="B4771">
        <v>56</v>
      </c>
      <c r="C4771" s="1">
        <v>11414</v>
      </c>
      <c r="D4771">
        <v>203.5</v>
      </c>
      <c r="E4771">
        <v>204</v>
      </c>
      <c r="F4771">
        <v>202.5</v>
      </c>
      <c r="G4771">
        <v>203</v>
      </c>
      <c r="H4771">
        <v>0</v>
      </c>
      <c r="I4771">
        <v>52</v>
      </c>
    </row>
    <row r="4772" spans="1:9" x14ac:dyDescent="0.25">
      <c r="A4772" s="9" t="s">
        <v>6465</v>
      </c>
      <c r="B4772">
        <v>50</v>
      </c>
      <c r="C4772" s="1">
        <v>10007</v>
      </c>
      <c r="D4772">
        <v>203</v>
      </c>
      <c r="E4772">
        <v>203</v>
      </c>
      <c r="F4772">
        <v>198</v>
      </c>
      <c r="G4772">
        <v>198.5</v>
      </c>
      <c r="H4772">
        <v>-4.5</v>
      </c>
      <c r="I4772">
        <v>45</v>
      </c>
    </row>
    <row r="4773" spans="1:9" x14ac:dyDescent="0.25">
      <c r="A4773" s="9" t="s">
        <v>6466</v>
      </c>
      <c r="B4773">
        <v>151</v>
      </c>
      <c r="C4773" s="1">
        <v>30698</v>
      </c>
      <c r="D4773">
        <v>199</v>
      </c>
      <c r="E4773">
        <v>210</v>
      </c>
      <c r="F4773">
        <v>198</v>
      </c>
      <c r="G4773">
        <v>210</v>
      </c>
      <c r="H4773">
        <v>11.5</v>
      </c>
      <c r="I4773">
        <v>85</v>
      </c>
    </row>
    <row r="4774" spans="1:9" x14ac:dyDescent="0.25">
      <c r="A4774" s="9" t="s">
        <v>973</v>
      </c>
      <c r="C4774" s="1"/>
    </row>
    <row r="4777" spans="1:9" x14ac:dyDescent="0.25">
      <c r="A4777" s="9" t="s">
        <v>6426</v>
      </c>
      <c r="B4777" s="1">
        <v>330</v>
      </c>
      <c r="C4777" s="1">
        <v>74640</v>
      </c>
      <c r="D4777">
        <v>227</v>
      </c>
      <c r="E4777">
        <v>230.5</v>
      </c>
      <c r="F4777">
        <v>221</v>
      </c>
      <c r="G4777">
        <v>225</v>
      </c>
      <c r="H4777">
        <v>-1.5</v>
      </c>
      <c r="I4777" s="1">
        <v>270</v>
      </c>
    </row>
    <row r="4778" spans="1:9" x14ac:dyDescent="0.25">
      <c r="A4778" t="s">
        <v>6427</v>
      </c>
      <c r="B4778">
        <v>146</v>
      </c>
      <c r="C4778" s="1">
        <v>32859</v>
      </c>
      <c r="D4778">
        <v>226.5</v>
      </c>
      <c r="E4778">
        <v>227</v>
      </c>
      <c r="F4778">
        <v>223</v>
      </c>
      <c r="G4778">
        <v>225</v>
      </c>
      <c r="H4778">
        <v>0</v>
      </c>
      <c r="I4778">
        <v>107</v>
      </c>
    </row>
    <row r="4779" spans="1:9" x14ac:dyDescent="0.25">
      <c r="A4779" t="s">
        <v>6428</v>
      </c>
      <c r="B4779">
        <v>391</v>
      </c>
      <c r="C4779" s="1">
        <v>90658</v>
      </c>
      <c r="D4779">
        <v>225</v>
      </c>
      <c r="E4779">
        <v>239</v>
      </c>
      <c r="F4779">
        <v>224</v>
      </c>
      <c r="G4779">
        <v>232.5</v>
      </c>
      <c r="H4779">
        <v>7.5</v>
      </c>
      <c r="I4779">
        <v>323</v>
      </c>
    </row>
    <row r="4780" spans="1:9" x14ac:dyDescent="0.25">
      <c r="A4780" t="s">
        <v>6429</v>
      </c>
      <c r="B4780">
        <v>125</v>
      </c>
      <c r="C4780" s="1">
        <v>28651</v>
      </c>
      <c r="D4780">
        <v>230</v>
      </c>
      <c r="E4780">
        <v>233.5</v>
      </c>
      <c r="F4780">
        <v>226.5</v>
      </c>
      <c r="G4780">
        <v>227.5</v>
      </c>
      <c r="H4780">
        <v>-5</v>
      </c>
      <c r="I4780">
        <v>111</v>
      </c>
    </row>
    <row r="4781" spans="1:9" x14ac:dyDescent="0.25">
      <c r="A4781" t="s">
        <v>6430</v>
      </c>
      <c r="B4781">
        <v>88</v>
      </c>
      <c r="C4781" s="1">
        <v>19948</v>
      </c>
      <c r="D4781">
        <v>230</v>
      </c>
      <c r="E4781">
        <v>230</v>
      </c>
      <c r="F4781">
        <v>226.5</v>
      </c>
      <c r="G4781">
        <v>226.5</v>
      </c>
      <c r="H4781">
        <v>-1</v>
      </c>
      <c r="I4781">
        <v>73</v>
      </c>
    </row>
    <row r="4782" spans="1:9" x14ac:dyDescent="0.25">
      <c r="A4782" t="s">
        <v>6431</v>
      </c>
      <c r="B4782">
        <v>169</v>
      </c>
      <c r="C4782" s="1">
        <v>38192</v>
      </c>
      <c r="D4782">
        <v>230</v>
      </c>
      <c r="E4782">
        <v>230</v>
      </c>
      <c r="F4782">
        <v>223.5</v>
      </c>
      <c r="G4782">
        <v>223.5</v>
      </c>
      <c r="H4782">
        <v>-3</v>
      </c>
      <c r="I4782">
        <v>121</v>
      </c>
    </row>
    <row r="4783" spans="1:9" x14ac:dyDescent="0.25">
      <c r="A4783" t="s">
        <v>6432</v>
      </c>
      <c r="B4783">
        <v>44</v>
      </c>
      <c r="C4783" s="1">
        <v>9907</v>
      </c>
      <c r="D4783">
        <v>224.5</v>
      </c>
      <c r="E4783">
        <v>227</v>
      </c>
      <c r="F4783">
        <v>222</v>
      </c>
      <c r="G4783">
        <v>225.5</v>
      </c>
      <c r="H4783">
        <v>2</v>
      </c>
      <c r="I4783">
        <v>43</v>
      </c>
    </row>
    <row r="4784" spans="1:9" x14ac:dyDescent="0.25">
      <c r="A4784" t="s">
        <v>6433</v>
      </c>
      <c r="B4784">
        <v>66</v>
      </c>
      <c r="C4784" s="1">
        <v>14917</v>
      </c>
      <c r="D4784">
        <v>224</v>
      </c>
      <c r="E4784">
        <v>226</v>
      </c>
      <c r="F4784">
        <v>223</v>
      </c>
      <c r="G4784">
        <v>225</v>
      </c>
      <c r="H4784">
        <v>-0.5</v>
      </c>
      <c r="I4784">
        <v>58</v>
      </c>
    </row>
    <row r="4785" spans="1:9" x14ac:dyDescent="0.25">
      <c r="A4785" t="s">
        <v>6434</v>
      </c>
      <c r="B4785">
        <v>24</v>
      </c>
      <c r="C4785" s="1">
        <v>5446</v>
      </c>
      <c r="D4785">
        <v>226</v>
      </c>
      <c r="E4785">
        <v>226</v>
      </c>
      <c r="F4785">
        <v>224</v>
      </c>
      <c r="G4785">
        <v>225.5</v>
      </c>
      <c r="H4785">
        <v>0.5</v>
      </c>
      <c r="I4785">
        <v>24</v>
      </c>
    </row>
    <row r="4786" spans="1:9" x14ac:dyDescent="0.25">
      <c r="A4786" t="s">
        <v>6435</v>
      </c>
      <c r="B4786">
        <v>37</v>
      </c>
      <c r="C4786" s="1">
        <v>8340</v>
      </c>
      <c r="D4786">
        <v>226.5</v>
      </c>
      <c r="E4786">
        <v>228</v>
      </c>
      <c r="F4786">
        <v>224</v>
      </c>
      <c r="G4786">
        <v>224.5</v>
      </c>
      <c r="H4786">
        <v>-1</v>
      </c>
      <c r="I4786">
        <v>37</v>
      </c>
    </row>
    <row r="4787" spans="1:9" x14ac:dyDescent="0.25">
      <c r="A4787" t="s">
        <v>6436</v>
      </c>
      <c r="B4787">
        <v>35</v>
      </c>
      <c r="C4787" s="1">
        <v>7897</v>
      </c>
      <c r="D4787">
        <v>227</v>
      </c>
      <c r="E4787">
        <v>227</v>
      </c>
      <c r="F4787">
        <v>223</v>
      </c>
      <c r="G4787">
        <v>223</v>
      </c>
      <c r="H4787">
        <v>-1.5</v>
      </c>
      <c r="I4787">
        <v>28</v>
      </c>
    </row>
    <row r="4788" spans="1:9" x14ac:dyDescent="0.25">
      <c r="A4788" t="s">
        <v>6437</v>
      </c>
      <c r="B4788">
        <v>68</v>
      </c>
      <c r="C4788" s="1">
        <v>15386</v>
      </c>
      <c r="D4788">
        <v>224</v>
      </c>
      <c r="E4788">
        <v>229</v>
      </c>
      <c r="F4788">
        <v>223.5</v>
      </c>
      <c r="G4788">
        <v>227.5</v>
      </c>
      <c r="H4788">
        <v>4.5</v>
      </c>
      <c r="I4788">
        <v>59</v>
      </c>
    </row>
    <row r="4789" spans="1:9" x14ac:dyDescent="0.25">
      <c r="A4789" t="s">
        <v>6438</v>
      </c>
      <c r="B4789">
        <v>24</v>
      </c>
      <c r="C4789" s="1">
        <v>5444</v>
      </c>
      <c r="D4789">
        <v>228</v>
      </c>
      <c r="E4789">
        <v>228</v>
      </c>
      <c r="F4789">
        <v>225</v>
      </c>
      <c r="G4789">
        <v>225</v>
      </c>
      <c r="H4789">
        <v>-2.5</v>
      </c>
      <c r="I4789">
        <v>26</v>
      </c>
    </row>
    <row r="4790" spans="1:9" x14ac:dyDescent="0.25">
      <c r="A4790" t="s">
        <v>6439</v>
      </c>
      <c r="B4790">
        <v>128</v>
      </c>
      <c r="C4790" s="1">
        <v>28047</v>
      </c>
      <c r="D4790">
        <v>223</v>
      </c>
      <c r="E4790">
        <v>224</v>
      </c>
      <c r="F4790">
        <v>214.5</v>
      </c>
      <c r="G4790">
        <v>218</v>
      </c>
      <c r="H4790">
        <v>-7</v>
      </c>
      <c r="I4790">
        <v>115</v>
      </c>
    </row>
    <row r="4791" spans="1:9" x14ac:dyDescent="0.25">
      <c r="A4791" t="s">
        <v>6440</v>
      </c>
      <c r="B4791">
        <v>75</v>
      </c>
      <c r="C4791" s="1">
        <v>16307</v>
      </c>
      <c r="D4791">
        <v>219</v>
      </c>
      <c r="E4791">
        <v>219</v>
      </c>
      <c r="F4791">
        <v>215</v>
      </c>
      <c r="G4791">
        <v>216</v>
      </c>
      <c r="H4791">
        <v>-2</v>
      </c>
      <c r="I4791">
        <v>67</v>
      </c>
    </row>
    <row r="4792" spans="1:9" x14ac:dyDescent="0.25">
      <c r="A4792" t="s">
        <v>6441</v>
      </c>
      <c r="B4792">
        <v>90</v>
      </c>
      <c r="C4792" s="1">
        <v>20008</v>
      </c>
      <c r="D4792">
        <v>225</v>
      </c>
      <c r="E4792">
        <v>226</v>
      </c>
      <c r="F4792">
        <v>219</v>
      </c>
      <c r="G4792">
        <v>226</v>
      </c>
      <c r="H4792">
        <v>10</v>
      </c>
      <c r="I4792">
        <v>88</v>
      </c>
    </row>
    <row r="4793" spans="1:9" x14ac:dyDescent="0.25">
      <c r="A4793" t="s">
        <v>6442</v>
      </c>
      <c r="B4793">
        <v>84</v>
      </c>
      <c r="C4793" s="1">
        <v>19119</v>
      </c>
      <c r="D4793">
        <v>227</v>
      </c>
      <c r="E4793">
        <v>229</v>
      </c>
      <c r="F4793">
        <v>225.5</v>
      </c>
      <c r="G4793">
        <v>226.5</v>
      </c>
      <c r="H4793">
        <v>0.5</v>
      </c>
      <c r="I4793">
        <v>75</v>
      </c>
    </row>
    <row r="4794" spans="1:9" x14ac:dyDescent="0.25">
      <c r="A4794" t="s">
        <v>6443</v>
      </c>
      <c r="B4794">
        <v>160</v>
      </c>
      <c r="C4794" s="1">
        <v>36873</v>
      </c>
      <c r="D4794">
        <v>229</v>
      </c>
      <c r="E4794">
        <v>233.5</v>
      </c>
      <c r="F4794">
        <v>228</v>
      </c>
      <c r="G4794">
        <v>228</v>
      </c>
      <c r="H4794">
        <v>1.5</v>
      </c>
      <c r="I4794">
        <v>138</v>
      </c>
    </row>
    <row r="4795" spans="1:9" x14ac:dyDescent="0.25">
      <c r="A4795" t="s">
        <v>6444</v>
      </c>
      <c r="B4795">
        <v>169</v>
      </c>
      <c r="C4795" s="1">
        <v>38743</v>
      </c>
      <c r="D4795">
        <v>230</v>
      </c>
      <c r="E4795">
        <v>231.5</v>
      </c>
      <c r="F4795">
        <v>226</v>
      </c>
      <c r="G4795">
        <v>228</v>
      </c>
      <c r="H4795">
        <v>0</v>
      </c>
      <c r="I4795">
        <v>129</v>
      </c>
    </row>
    <row r="4796" spans="1:9" x14ac:dyDescent="0.25">
      <c r="A4796" s="9" t="s">
        <v>6445</v>
      </c>
      <c r="B4796">
        <v>111</v>
      </c>
      <c r="C4796" s="1">
        <v>24964</v>
      </c>
      <c r="D4796">
        <v>229.5</v>
      </c>
      <c r="E4796">
        <v>229.5</v>
      </c>
      <c r="F4796">
        <v>222</v>
      </c>
      <c r="G4796">
        <v>226</v>
      </c>
      <c r="H4796">
        <v>-2</v>
      </c>
      <c r="I4796">
        <v>100</v>
      </c>
    </row>
    <row r="4797" spans="1:9" x14ac:dyDescent="0.25">
      <c r="A4797" s="9" t="s">
        <v>927</v>
      </c>
      <c r="C4797" s="1"/>
    </row>
    <row r="4801" spans="1:9" x14ac:dyDescent="0.25">
      <c r="A4801" s="9" t="s">
        <v>6408</v>
      </c>
      <c r="B4801" s="1">
        <v>1518</v>
      </c>
      <c r="C4801" s="1">
        <v>338046</v>
      </c>
      <c r="D4801">
        <v>220</v>
      </c>
      <c r="E4801">
        <v>229</v>
      </c>
      <c r="F4801">
        <v>220</v>
      </c>
      <c r="G4801">
        <v>220</v>
      </c>
      <c r="H4801">
        <v>28</v>
      </c>
      <c r="I4801" s="1">
        <v>1268</v>
      </c>
    </row>
    <row r="4802" spans="1:9" x14ac:dyDescent="0.25">
      <c r="A4802" t="s">
        <v>6409</v>
      </c>
      <c r="B4802">
        <v>561</v>
      </c>
      <c r="C4802" s="1">
        <v>122687</v>
      </c>
      <c r="D4802">
        <v>224</v>
      </c>
      <c r="E4802">
        <v>225</v>
      </c>
      <c r="F4802">
        <v>213</v>
      </c>
      <c r="G4802">
        <v>214</v>
      </c>
      <c r="H4802">
        <v>-6</v>
      </c>
      <c r="I4802">
        <v>466</v>
      </c>
    </row>
    <row r="4803" spans="1:9" x14ac:dyDescent="0.25">
      <c r="A4803" t="s">
        <v>6410</v>
      </c>
      <c r="B4803">
        <v>281</v>
      </c>
      <c r="C4803" s="1">
        <v>60285</v>
      </c>
      <c r="D4803">
        <v>215</v>
      </c>
      <c r="E4803">
        <v>218</v>
      </c>
      <c r="F4803">
        <v>211</v>
      </c>
      <c r="G4803">
        <v>212</v>
      </c>
      <c r="H4803">
        <v>-2</v>
      </c>
      <c r="I4803">
        <v>228</v>
      </c>
    </row>
    <row r="4804" spans="1:9" x14ac:dyDescent="0.25">
      <c r="A4804" t="s">
        <v>6411</v>
      </c>
      <c r="B4804">
        <v>208</v>
      </c>
      <c r="C4804" s="1">
        <v>43939</v>
      </c>
      <c r="D4804">
        <v>214</v>
      </c>
      <c r="E4804">
        <v>214.5</v>
      </c>
      <c r="F4804">
        <v>208.5</v>
      </c>
      <c r="G4804">
        <v>213.5</v>
      </c>
      <c r="H4804">
        <v>1.5</v>
      </c>
      <c r="I4804">
        <v>183</v>
      </c>
    </row>
    <row r="4805" spans="1:9" x14ac:dyDescent="0.25">
      <c r="A4805" t="s">
        <v>6412</v>
      </c>
      <c r="B4805">
        <v>395</v>
      </c>
      <c r="C4805" s="1">
        <v>87136</v>
      </c>
      <c r="D4805">
        <v>214</v>
      </c>
      <c r="E4805">
        <v>224.5</v>
      </c>
      <c r="F4805">
        <v>214</v>
      </c>
      <c r="G4805">
        <v>224.5</v>
      </c>
      <c r="H4805">
        <v>11</v>
      </c>
      <c r="I4805">
        <v>341</v>
      </c>
    </row>
    <row r="4806" spans="1:9" x14ac:dyDescent="0.25">
      <c r="A4806" t="s">
        <v>6413</v>
      </c>
      <c r="B4806">
        <v>210</v>
      </c>
      <c r="C4806" s="1">
        <v>46252</v>
      </c>
      <c r="D4806">
        <v>224.5</v>
      </c>
      <c r="E4806">
        <v>224.5</v>
      </c>
      <c r="F4806">
        <v>217.5</v>
      </c>
      <c r="G4806">
        <v>218.5</v>
      </c>
      <c r="H4806">
        <v>-6</v>
      </c>
      <c r="I4806">
        <v>196</v>
      </c>
    </row>
    <row r="4807" spans="1:9" x14ac:dyDescent="0.25">
      <c r="A4807" t="s">
        <v>6414</v>
      </c>
      <c r="B4807">
        <v>110</v>
      </c>
      <c r="C4807" s="1">
        <v>23818</v>
      </c>
      <c r="D4807">
        <v>218.5</v>
      </c>
      <c r="E4807">
        <v>220</v>
      </c>
      <c r="F4807">
        <v>215</v>
      </c>
      <c r="G4807">
        <v>215</v>
      </c>
      <c r="H4807">
        <v>-3.5</v>
      </c>
      <c r="I4807">
        <v>89</v>
      </c>
    </row>
    <row r="4808" spans="1:9" x14ac:dyDescent="0.25">
      <c r="A4808" t="s">
        <v>6415</v>
      </c>
      <c r="B4808">
        <v>91</v>
      </c>
      <c r="C4808" s="1">
        <v>19292</v>
      </c>
      <c r="D4808">
        <v>215</v>
      </c>
      <c r="E4808">
        <v>215</v>
      </c>
      <c r="F4808">
        <v>210</v>
      </c>
      <c r="G4808">
        <v>210.5</v>
      </c>
      <c r="H4808">
        <v>-4.5</v>
      </c>
      <c r="I4808">
        <v>86</v>
      </c>
    </row>
    <row r="4809" spans="1:9" x14ac:dyDescent="0.25">
      <c r="A4809" t="s">
        <v>6416</v>
      </c>
      <c r="B4809">
        <v>211</v>
      </c>
      <c r="C4809" s="1">
        <v>44094</v>
      </c>
      <c r="D4809">
        <v>211</v>
      </c>
      <c r="E4809">
        <v>212</v>
      </c>
      <c r="F4809">
        <v>206.5</v>
      </c>
      <c r="G4809">
        <v>209.5</v>
      </c>
      <c r="H4809">
        <v>-1</v>
      </c>
      <c r="I4809">
        <v>141</v>
      </c>
    </row>
    <row r="4810" spans="1:9" x14ac:dyDescent="0.25">
      <c r="A4810" t="s">
        <v>6417</v>
      </c>
      <c r="B4810">
        <v>81</v>
      </c>
      <c r="C4810" s="1">
        <v>17025</v>
      </c>
      <c r="D4810">
        <v>209.5</v>
      </c>
      <c r="E4810">
        <v>213</v>
      </c>
      <c r="F4810">
        <v>206</v>
      </c>
      <c r="G4810">
        <v>210</v>
      </c>
      <c r="H4810">
        <v>0.5</v>
      </c>
      <c r="I4810">
        <v>72</v>
      </c>
    </row>
    <row r="4811" spans="1:9" x14ac:dyDescent="0.25">
      <c r="A4811" t="s">
        <v>6418</v>
      </c>
      <c r="B4811">
        <v>116</v>
      </c>
      <c r="C4811" s="1">
        <v>24161</v>
      </c>
      <c r="D4811">
        <v>209</v>
      </c>
      <c r="E4811">
        <v>210</v>
      </c>
      <c r="F4811">
        <v>207</v>
      </c>
      <c r="G4811">
        <v>208.5</v>
      </c>
      <c r="H4811">
        <v>-1.5</v>
      </c>
      <c r="I4811">
        <v>87</v>
      </c>
    </row>
    <row r="4812" spans="1:9" x14ac:dyDescent="0.25">
      <c r="A4812" t="s">
        <v>6419</v>
      </c>
      <c r="B4812">
        <v>96</v>
      </c>
      <c r="C4812" s="1">
        <v>20301</v>
      </c>
      <c r="D4812">
        <v>207</v>
      </c>
      <c r="E4812">
        <v>215</v>
      </c>
      <c r="F4812">
        <v>207</v>
      </c>
      <c r="G4812">
        <v>210.5</v>
      </c>
      <c r="H4812">
        <v>2</v>
      </c>
      <c r="I4812">
        <v>89</v>
      </c>
    </row>
    <row r="4813" spans="1:9" x14ac:dyDescent="0.25">
      <c r="A4813" t="s">
        <v>6420</v>
      </c>
      <c r="B4813">
        <v>115</v>
      </c>
      <c r="C4813" s="1">
        <v>24653</v>
      </c>
      <c r="D4813">
        <v>212</v>
      </c>
      <c r="E4813">
        <v>217</v>
      </c>
      <c r="F4813">
        <v>211</v>
      </c>
      <c r="G4813">
        <v>215</v>
      </c>
      <c r="H4813">
        <v>4.5</v>
      </c>
      <c r="I4813">
        <v>103</v>
      </c>
    </row>
    <row r="4814" spans="1:9" x14ac:dyDescent="0.25">
      <c r="A4814" t="s">
        <v>6421</v>
      </c>
      <c r="B4814">
        <v>80</v>
      </c>
      <c r="C4814" s="1">
        <v>17030</v>
      </c>
      <c r="D4814">
        <v>215</v>
      </c>
      <c r="E4814">
        <v>215</v>
      </c>
      <c r="F4814">
        <v>211</v>
      </c>
      <c r="G4814">
        <v>214</v>
      </c>
      <c r="H4814">
        <v>-1</v>
      </c>
      <c r="I4814">
        <v>67</v>
      </c>
    </row>
    <row r="4815" spans="1:9" x14ac:dyDescent="0.25">
      <c r="A4815" t="s">
        <v>6422</v>
      </c>
      <c r="B4815">
        <v>46</v>
      </c>
      <c r="C4815" s="1">
        <v>9827</v>
      </c>
      <c r="D4815">
        <v>214</v>
      </c>
      <c r="E4815">
        <v>215.5</v>
      </c>
      <c r="F4815">
        <v>212</v>
      </c>
      <c r="G4815">
        <v>212</v>
      </c>
      <c r="H4815">
        <v>-2</v>
      </c>
      <c r="I4815">
        <v>38</v>
      </c>
    </row>
    <row r="4816" spans="1:9" x14ac:dyDescent="0.25">
      <c r="A4816" t="s">
        <v>6423</v>
      </c>
      <c r="B4816">
        <v>434</v>
      </c>
      <c r="C4816" s="1">
        <v>96266</v>
      </c>
      <c r="D4816">
        <v>212</v>
      </c>
      <c r="E4816">
        <v>226.5</v>
      </c>
      <c r="F4816">
        <v>212</v>
      </c>
      <c r="G4816">
        <v>226.5</v>
      </c>
      <c r="H4816">
        <v>14.5</v>
      </c>
      <c r="I4816">
        <v>344</v>
      </c>
    </row>
    <row r="4817" spans="1:3" x14ac:dyDescent="0.25">
      <c r="A4817" t="s">
        <v>1216</v>
      </c>
    </row>
    <row r="4819" spans="1:3" x14ac:dyDescent="0.25">
      <c r="A4819" t="s">
        <v>6424</v>
      </c>
    </row>
    <row r="4820" spans="1:3" x14ac:dyDescent="0.25">
      <c r="A4820" s="9" t="s">
        <v>6425</v>
      </c>
      <c r="C4820" s="1"/>
    </row>
    <row r="4825" spans="1:3" x14ac:dyDescent="0.25">
      <c r="A4825" s="9" t="s">
        <v>6407</v>
      </c>
      <c r="C4825" s="1"/>
    </row>
    <row r="4849" spans="1:3" x14ac:dyDescent="0.25">
      <c r="A4849" s="9" t="s">
        <v>6407</v>
      </c>
      <c r="C4849" s="1"/>
    </row>
    <row r="4873" spans="1:3" x14ac:dyDescent="0.25">
      <c r="A4873" s="9" t="s">
        <v>6407</v>
      </c>
      <c r="C4873" s="1"/>
    </row>
    <row r="4897" spans="1:3" x14ac:dyDescent="0.25">
      <c r="A4897" s="9" t="s">
        <v>6407</v>
      </c>
      <c r="C4897" s="1"/>
    </row>
    <row r="4921" spans="1:3" x14ac:dyDescent="0.25">
      <c r="A4921" s="9" t="s">
        <v>6407</v>
      </c>
      <c r="C4921" s="1"/>
    </row>
    <row r="4945" spans="1:3" x14ac:dyDescent="0.25">
      <c r="A4945" s="9" t="s">
        <v>6407</v>
      </c>
      <c r="C4945" s="1"/>
    </row>
    <row r="4969" spans="1:3" x14ac:dyDescent="0.25">
      <c r="A4969" s="9" t="s">
        <v>6407</v>
      </c>
      <c r="C4969" s="1"/>
    </row>
    <row r="4993" spans="1:3" x14ac:dyDescent="0.25">
      <c r="A4993" s="9" t="s">
        <v>6407</v>
      </c>
      <c r="C4993" s="1"/>
    </row>
    <row r="5017" spans="1:3" x14ac:dyDescent="0.25">
      <c r="A5017" s="9" t="s">
        <v>6407</v>
      </c>
      <c r="C5017" s="1"/>
    </row>
    <row r="5041" spans="1:3" x14ac:dyDescent="0.25">
      <c r="A5041" s="9" t="s">
        <v>6407</v>
      </c>
      <c r="C5041" s="1"/>
    </row>
    <row r="5065" spans="1:3" x14ac:dyDescent="0.25">
      <c r="A5065" s="9" t="s">
        <v>6407</v>
      </c>
      <c r="C5065" s="1"/>
    </row>
    <row r="5089" spans="1:3" x14ac:dyDescent="0.25">
      <c r="A5089" s="9" t="s">
        <v>6407</v>
      </c>
      <c r="C5089" s="1"/>
    </row>
    <row r="5113" spans="1:3" x14ac:dyDescent="0.25">
      <c r="A5113" s="9" t="s">
        <v>6407</v>
      </c>
      <c r="C5113" s="1"/>
    </row>
    <row r="5137" spans="1:3" x14ac:dyDescent="0.25">
      <c r="A5137" s="9" t="s">
        <v>6407</v>
      </c>
      <c r="C5137" s="1"/>
    </row>
    <row r="5161" spans="1:3" x14ac:dyDescent="0.25">
      <c r="A5161" s="9" t="s">
        <v>6407</v>
      </c>
      <c r="C5161" s="1"/>
    </row>
    <row r="5185" spans="1:3" x14ac:dyDescent="0.25">
      <c r="A5185" s="9" t="s">
        <v>6407</v>
      </c>
      <c r="C5185" s="1"/>
    </row>
    <row r="5209" spans="1:3" x14ac:dyDescent="0.25">
      <c r="A5209" s="9" t="s">
        <v>6407</v>
      </c>
      <c r="C5209" s="1"/>
    </row>
    <row r="5233" spans="1:3" x14ac:dyDescent="0.25">
      <c r="A5233" s="9" t="s">
        <v>6407</v>
      </c>
      <c r="C5233" s="1"/>
    </row>
    <row r="5257" spans="1:3" x14ac:dyDescent="0.25">
      <c r="A5257" s="9" t="s">
        <v>6407</v>
      </c>
      <c r="C5257" s="1"/>
    </row>
    <row r="5281" spans="1:3" x14ac:dyDescent="0.25">
      <c r="A5281" s="9" t="s">
        <v>6407</v>
      </c>
      <c r="C5281" s="1"/>
    </row>
    <row r="5305" spans="1:3" x14ac:dyDescent="0.25">
      <c r="A5305" s="9" t="s">
        <v>6407</v>
      </c>
      <c r="C5305" s="1"/>
    </row>
    <row r="5329" spans="1:3" x14ac:dyDescent="0.25">
      <c r="A5329" s="9" t="s">
        <v>6407</v>
      </c>
      <c r="C5329" s="1"/>
    </row>
    <row r="5353" spans="1:3" x14ac:dyDescent="0.25">
      <c r="A5353" s="9" t="s">
        <v>6407</v>
      </c>
      <c r="C5353" s="1"/>
    </row>
    <row r="5377" spans="1:3" x14ac:dyDescent="0.25">
      <c r="A5377" s="9" t="s">
        <v>6407</v>
      </c>
      <c r="C5377" s="1"/>
    </row>
    <row r="5401" spans="1:3" x14ac:dyDescent="0.25">
      <c r="A5401" s="9" t="s">
        <v>6407</v>
      </c>
      <c r="C5401" s="1"/>
    </row>
    <row r="5425" spans="1:3" x14ac:dyDescent="0.25">
      <c r="A5425" s="9" t="s">
        <v>6407</v>
      </c>
      <c r="C5425" s="1"/>
    </row>
    <row r="5449" spans="1:3" x14ac:dyDescent="0.25">
      <c r="A5449" s="9" t="s">
        <v>6407</v>
      </c>
      <c r="C5449" s="1"/>
    </row>
    <row r="5473" spans="1:3" x14ac:dyDescent="0.25">
      <c r="A5473" s="9" t="s">
        <v>6407</v>
      </c>
      <c r="C5473" s="1"/>
    </row>
    <row r="5497" spans="1:3" x14ac:dyDescent="0.25">
      <c r="A5497" s="9" t="s">
        <v>6407</v>
      </c>
      <c r="C5497" s="1"/>
    </row>
    <row r="5521" spans="1:3" x14ac:dyDescent="0.25">
      <c r="A5521" s="9" t="s">
        <v>6407</v>
      </c>
      <c r="C5521" s="1"/>
    </row>
    <row r="5545" spans="1:3" x14ac:dyDescent="0.25">
      <c r="A5545" s="9" t="s">
        <v>6407</v>
      </c>
      <c r="C5545" s="1"/>
    </row>
    <row r="5569" spans="1:3" x14ac:dyDescent="0.25">
      <c r="A5569" s="9" t="s">
        <v>6407</v>
      </c>
      <c r="C5569" s="1"/>
    </row>
    <row r="5593" spans="1:3" x14ac:dyDescent="0.25">
      <c r="A5593" s="9" t="s">
        <v>6407</v>
      </c>
      <c r="C5593" s="1"/>
    </row>
    <row r="5617" spans="1:3" x14ac:dyDescent="0.25">
      <c r="A5617" s="9" t="s">
        <v>6407</v>
      </c>
      <c r="C5617" s="1"/>
    </row>
    <row r="5641" spans="1:3" x14ac:dyDescent="0.25">
      <c r="A5641" s="9" t="s">
        <v>6407</v>
      </c>
      <c r="C5641" s="1"/>
    </row>
    <row r="5665" spans="1:3" x14ac:dyDescent="0.25">
      <c r="A5665" s="9" t="s">
        <v>6407</v>
      </c>
      <c r="C5665" s="1"/>
    </row>
    <row r="5689" spans="1:3" x14ac:dyDescent="0.25">
      <c r="A5689" s="9" t="s">
        <v>6407</v>
      </c>
      <c r="C5689" s="1"/>
    </row>
    <row r="5713" spans="1:3" x14ac:dyDescent="0.25">
      <c r="A5713" s="9" t="s">
        <v>6407</v>
      </c>
      <c r="C5713" s="1"/>
    </row>
    <row r="5737" spans="1:3" x14ac:dyDescent="0.25">
      <c r="A5737" s="9" t="s">
        <v>6407</v>
      </c>
      <c r="C5737" s="1"/>
    </row>
    <row r="5761" spans="1:3" x14ac:dyDescent="0.25">
      <c r="A5761" s="9" t="s">
        <v>6407</v>
      </c>
      <c r="C5761" s="1"/>
    </row>
    <row r="5785" spans="1:3" x14ac:dyDescent="0.25">
      <c r="A5785" s="9" t="s">
        <v>6407</v>
      </c>
      <c r="C5785" s="1"/>
    </row>
    <row r="5809" spans="1:3" x14ac:dyDescent="0.25">
      <c r="A5809" s="9" t="s">
        <v>6407</v>
      </c>
      <c r="C5809" s="1"/>
    </row>
    <row r="5833" spans="1:3" x14ac:dyDescent="0.25">
      <c r="A5833" s="9" t="s">
        <v>6407</v>
      </c>
      <c r="C5833" s="1"/>
    </row>
    <row r="5857" spans="1:3" x14ac:dyDescent="0.25">
      <c r="A5857" s="9" t="s">
        <v>6407</v>
      </c>
      <c r="C5857" s="1"/>
    </row>
    <row r="5881" spans="1:3" x14ac:dyDescent="0.25">
      <c r="A5881" s="9" t="s">
        <v>6407</v>
      </c>
      <c r="C5881" s="1"/>
    </row>
    <row r="5905" spans="1:3" x14ac:dyDescent="0.25">
      <c r="A5905" s="9" t="s">
        <v>6407</v>
      </c>
      <c r="C5905" s="1"/>
    </row>
    <row r="5929" spans="1:3" x14ac:dyDescent="0.25">
      <c r="A5929" s="9" t="s">
        <v>6407</v>
      </c>
      <c r="C5929" s="1"/>
    </row>
    <row r="5953" spans="1:3" x14ac:dyDescent="0.25">
      <c r="A5953" s="9" t="s">
        <v>6407</v>
      </c>
      <c r="C5953" s="1"/>
    </row>
    <row r="5977" spans="1:3" x14ac:dyDescent="0.25">
      <c r="A5977" s="9" t="s">
        <v>6407</v>
      </c>
      <c r="C5977" s="1"/>
    </row>
    <row r="6001" spans="1:3" x14ac:dyDescent="0.25">
      <c r="A6001" s="9" t="s">
        <v>6407</v>
      </c>
      <c r="C6001" s="1"/>
    </row>
    <row r="6025" spans="1:3" x14ac:dyDescent="0.25">
      <c r="A6025" s="9" t="s">
        <v>6407</v>
      </c>
      <c r="C6025" s="1"/>
    </row>
    <row r="6049" spans="1:9" x14ac:dyDescent="0.25">
      <c r="A6049" s="9" t="s">
        <v>1365</v>
      </c>
      <c r="B6049">
        <v>31</v>
      </c>
      <c r="C6049" s="1">
        <v>7151</v>
      </c>
      <c r="D6049">
        <v>231</v>
      </c>
      <c r="E6049">
        <v>231.5</v>
      </c>
      <c r="F6049">
        <v>230</v>
      </c>
      <c r="G6049">
        <v>231.5</v>
      </c>
      <c r="H6049">
        <v>-1.5</v>
      </c>
      <c r="I6049">
        <v>43</v>
      </c>
    </row>
    <row r="6050" spans="1:9" x14ac:dyDescent="0.25">
      <c r="A6050" t="s">
        <v>1366</v>
      </c>
      <c r="B6050">
        <v>14</v>
      </c>
      <c r="C6050" s="1">
        <v>3181</v>
      </c>
      <c r="D6050">
        <v>231.5</v>
      </c>
      <c r="E6050">
        <v>235</v>
      </c>
      <c r="F6050">
        <v>231.5</v>
      </c>
      <c r="G6050">
        <v>233.5</v>
      </c>
      <c r="H6050">
        <v>2</v>
      </c>
      <c r="I6050">
        <v>24</v>
      </c>
    </row>
    <row r="6051" spans="1:9" x14ac:dyDescent="0.25">
      <c r="A6051" t="s">
        <v>1367</v>
      </c>
      <c r="B6051">
        <v>18</v>
      </c>
      <c r="C6051" s="1">
        <v>4203</v>
      </c>
      <c r="D6051">
        <v>233.5</v>
      </c>
      <c r="E6051">
        <v>233.5</v>
      </c>
      <c r="F6051">
        <v>231.5</v>
      </c>
      <c r="G6051">
        <v>231.5</v>
      </c>
      <c r="H6051">
        <v>-2</v>
      </c>
      <c r="I6051">
        <v>29</v>
      </c>
    </row>
    <row r="6052" spans="1:9" x14ac:dyDescent="0.25">
      <c r="A6052" t="s">
        <v>1368</v>
      </c>
      <c r="B6052">
        <v>18</v>
      </c>
      <c r="C6052" s="1">
        <v>4171</v>
      </c>
      <c r="D6052">
        <v>230.5</v>
      </c>
      <c r="E6052">
        <v>231</v>
      </c>
      <c r="F6052">
        <v>230.5</v>
      </c>
      <c r="G6052">
        <v>231</v>
      </c>
      <c r="H6052">
        <v>-0.5</v>
      </c>
      <c r="I6052">
        <v>27</v>
      </c>
    </row>
    <row r="6053" spans="1:9" x14ac:dyDescent="0.25">
      <c r="A6053" t="s">
        <v>1369</v>
      </c>
      <c r="B6053">
        <v>31</v>
      </c>
      <c r="C6053" s="1">
        <v>7129</v>
      </c>
      <c r="D6053">
        <v>230</v>
      </c>
      <c r="E6053">
        <v>232</v>
      </c>
      <c r="F6053">
        <v>230</v>
      </c>
      <c r="G6053">
        <v>230.5</v>
      </c>
      <c r="H6053">
        <v>-0.5</v>
      </c>
      <c r="I6053">
        <v>48</v>
      </c>
    </row>
    <row r="6054" spans="1:9" x14ac:dyDescent="0.25">
      <c r="A6054" t="s">
        <v>1370</v>
      </c>
      <c r="B6054">
        <v>11</v>
      </c>
      <c r="C6054" s="1">
        <v>2537</v>
      </c>
      <c r="D6054">
        <v>230</v>
      </c>
      <c r="E6054">
        <v>231</v>
      </c>
      <c r="F6054">
        <v>230</v>
      </c>
      <c r="G6054">
        <v>231</v>
      </c>
      <c r="H6054">
        <v>0.5</v>
      </c>
      <c r="I6054">
        <v>4</v>
      </c>
    </row>
    <row r="6055" spans="1:9" x14ac:dyDescent="0.25">
      <c r="A6055" t="s">
        <v>1371</v>
      </c>
      <c r="B6055">
        <v>6</v>
      </c>
      <c r="C6055" s="1">
        <v>1432</v>
      </c>
      <c r="D6055">
        <v>238</v>
      </c>
      <c r="E6055">
        <v>238</v>
      </c>
      <c r="F6055">
        <v>232</v>
      </c>
      <c r="G6055">
        <v>233</v>
      </c>
      <c r="H6055">
        <v>2</v>
      </c>
      <c r="I6055">
        <v>9</v>
      </c>
    </row>
    <row r="6056" spans="1:9" x14ac:dyDescent="0.25">
      <c r="A6056" t="s">
        <v>1372</v>
      </c>
      <c r="B6056">
        <v>11</v>
      </c>
      <c r="C6056" s="1">
        <v>2626</v>
      </c>
      <c r="D6056">
        <v>234.5</v>
      </c>
      <c r="E6056">
        <v>235</v>
      </c>
      <c r="F6056">
        <v>233.5</v>
      </c>
      <c r="G6056">
        <v>234.5</v>
      </c>
      <c r="H6056">
        <v>1.5</v>
      </c>
      <c r="I6056">
        <v>14</v>
      </c>
    </row>
    <row r="6057" spans="1:9" x14ac:dyDescent="0.25">
      <c r="A6057" t="s">
        <v>1373</v>
      </c>
      <c r="B6057">
        <v>17</v>
      </c>
      <c r="C6057" s="1">
        <v>3952</v>
      </c>
      <c r="D6057">
        <v>236</v>
      </c>
      <c r="E6057">
        <v>237</v>
      </c>
      <c r="F6057">
        <v>236</v>
      </c>
      <c r="G6057">
        <v>237</v>
      </c>
      <c r="H6057">
        <v>2.5</v>
      </c>
      <c r="I6057">
        <v>31</v>
      </c>
    </row>
    <row r="6058" spans="1:9" x14ac:dyDescent="0.25">
      <c r="A6058" t="s">
        <v>1374</v>
      </c>
      <c r="B6058">
        <v>8</v>
      </c>
      <c r="C6058" s="1">
        <v>1998</v>
      </c>
      <c r="D6058">
        <v>239.5</v>
      </c>
      <c r="E6058">
        <v>239.5</v>
      </c>
      <c r="F6058">
        <v>237</v>
      </c>
      <c r="G6058">
        <v>238</v>
      </c>
      <c r="H6058">
        <v>1</v>
      </c>
      <c r="I6058">
        <v>34</v>
      </c>
    </row>
    <row r="6059" spans="1:9" x14ac:dyDescent="0.25">
      <c r="A6059" t="s">
        <v>1375</v>
      </c>
      <c r="B6059">
        <v>19</v>
      </c>
      <c r="C6059" s="1">
        <v>4607</v>
      </c>
      <c r="D6059">
        <v>238</v>
      </c>
      <c r="E6059">
        <v>238</v>
      </c>
      <c r="F6059">
        <v>235.5</v>
      </c>
      <c r="G6059">
        <v>237.5</v>
      </c>
      <c r="H6059">
        <v>-0.5</v>
      </c>
      <c r="I6059">
        <v>35</v>
      </c>
    </row>
    <row r="6060" spans="1:9" x14ac:dyDescent="0.25">
      <c r="A6060" t="s">
        <v>1376</v>
      </c>
      <c r="B6060">
        <v>14</v>
      </c>
      <c r="C6060" s="1">
        <v>3288</v>
      </c>
      <c r="D6060">
        <v>235.5</v>
      </c>
      <c r="E6060">
        <v>235.5</v>
      </c>
      <c r="F6060">
        <v>233</v>
      </c>
      <c r="G6060">
        <v>235.5</v>
      </c>
      <c r="H6060">
        <v>-2</v>
      </c>
      <c r="I6060">
        <v>63</v>
      </c>
    </row>
    <row r="6061" spans="1:9" x14ac:dyDescent="0.25">
      <c r="A6061" t="s">
        <v>1377</v>
      </c>
      <c r="B6061">
        <v>6</v>
      </c>
      <c r="C6061" s="1">
        <v>1300</v>
      </c>
      <c r="D6061">
        <v>236</v>
      </c>
      <c r="E6061">
        <v>237</v>
      </c>
      <c r="F6061">
        <v>233.5</v>
      </c>
      <c r="G6061">
        <v>233.5</v>
      </c>
      <c r="H6061">
        <v>-2</v>
      </c>
      <c r="I6061">
        <v>29</v>
      </c>
    </row>
    <row r="6062" spans="1:9" x14ac:dyDescent="0.25">
      <c r="A6062" t="s">
        <v>1378</v>
      </c>
      <c r="B6062">
        <v>3</v>
      </c>
      <c r="C6062" s="1">
        <v>604</v>
      </c>
      <c r="D6062">
        <v>233.5</v>
      </c>
      <c r="E6062">
        <v>233.5</v>
      </c>
      <c r="F6062">
        <v>233</v>
      </c>
      <c r="G6062">
        <v>233</v>
      </c>
      <c r="H6062">
        <v>-0.5</v>
      </c>
      <c r="I6062">
        <v>8</v>
      </c>
    </row>
    <row r="6063" spans="1:9" x14ac:dyDescent="0.25">
      <c r="A6063" t="s">
        <v>1379</v>
      </c>
      <c r="B6063">
        <v>3</v>
      </c>
      <c r="C6063" s="1">
        <v>751</v>
      </c>
      <c r="D6063">
        <v>233</v>
      </c>
      <c r="E6063">
        <v>233</v>
      </c>
      <c r="F6063">
        <v>233</v>
      </c>
      <c r="G6063">
        <v>233</v>
      </c>
      <c r="H6063">
        <v>0</v>
      </c>
      <c r="I6063">
        <v>23</v>
      </c>
    </row>
    <row r="6064" spans="1:9" x14ac:dyDescent="0.25">
      <c r="A6064" t="s">
        <v>1380</v>
      </c>
      <c r="B6064">
        <v>19</v>
      </c>
      <c r="C6064" s="1">
        <v>4418</v>
      </c>
      <c r="D6064">
        <v>233</v>
      </c>
      <c r="E6064">
        <v>235.5</v>
      </c>
      <c r="F6064">
        <v>232</v>
      </c>
      <c r="G6064">
        <v>235.5</v>
      </c>
      <c r="H6064">
        <v>2.5</v>
      </c>
      <c r="I6064">
        <v>42</v>
      </c>
    </row>
    <row r="6065" spans="1:9" x14ac:dyDescent="0.25">
      <c r="A6065" t="s">
        <v>1381</v>
      </c>
      <c r="B6065">
        <v>7</v>
      </c>
      <c r="C6065" s="1">
        <v>1532</v>
      </c>
      <c r="D6065">
        <v>233</v>
      </c>
      <c r="E6065">
        <v>233</v>
      </c>
      <c r="F6065">
        <v>233</v>
      </c>
      <c r="G6065">
        <v>233</v>
      </c>
      <c r="H6065">
        <v>-2.5</v>
      </c>
      <c r="I6065">
        <v>14</v>
      </c>
    </row>
    <row r="6066" spans="1:9" x14ac:dyDescent="0.25">
      <c r="A6066" t="s">
        <v>1382</v>
      </c>
      <c r="B6066">
        <v>5</v>
      </c>
      <c r="C6066" s="1">
        <v>1057</v>
      </c>
      <c r="D6066">
        <v>233</v>
      </c>
      <c r="E6066">
        <v>233</v>
      </c>
      <c r="F6066">
        <v>232.5</v>
      </c>
      <c r="G6066">
        <v>232.5</v>
      </c>
      <c r="H6066">
        <v>-0.5</v>
      </c>
      <c r="I6066">
        <v>9</v>
      </c>
    </row>
    <row r="6067" spans="1:9" x14ac:dyDescent="0.25">
      <c r="A6067" t="s">
        <v>1383</v>
      </c>
      <c r="B6067">
        <v>7</v>
      </c>
      <c r="C6067" s="1">
        <v>1591</v>
      </c>
      <c r="D6067">
        <v>232</v>
      </c>
      <c r="E6067">
        <v>233</v>
      </c>
      <c r="F6067">
        <v>232</v>
      </c>
      <c r="G6067">
        <v>232.5</v>
      </c>
      <c r="H6067">
        <v>0</v>
      </c>
      <c r="I6067">
        <v>20</v>
      </c>
    </row>
    <row r="6068" spans="1:9" x14ac:dyDescent="0.25">
      <c r="A6068" t="s">
        <v>1384</v>
      </c>
      <c r="B6068">
        <v>8</v>
      </c>
      <c r="C6068" s="1">
        <v>1883</v>
      </c>
      <c r="D6068">
        <v>232</v>
      </c>
      <c r="E6068">
        <v>233.5</v>
      </c>
      <c r="F6068">
        <v>232</v>
      </c>
      <c r="G6068">
        <v>233.5</v>
      </c>
      <c r="H6068">
        <v>1</v>
      </c>
      <c r="I6068">
        <v>14</v>
      </c>
    </row>
    <row r="6069" spans="1:9" x14ac:dyDescent="0.25">
      <c r="A6069" t="s">
        <v>1385</v>
      </c>
      <c r="B6069">
        <v>7</v>
      </c>
      <c r="C6069" s="1">
        <v>1737</v>
      </c>
      <c r="D6069">
        <v>233.5</v>
      </c>
      <c r="E6069">
        <v>235</v>
      </c>
      <c r="F6069">
        <v>233.5</v>
      </c>
      <c r="G6069">
        <v>235</v>
      </c>
      <c r="H6069">
        <v>1.5</v>
      </c>
      <c r="I6069">
        <v>16</v>
      </c>
    </row>
    <row r="6070" spans="1:9" x14ac:dyDescent="0.25">
      <c r="A6070" t="s">
        <v>973</v>
      </c>
      <c r="C6070" s="1"/>
    </row>
    <row r="6073" spans="1:9" x14ac:dyDescent="0.25">
      <c r="A6073" s="9" t="s">
        <v>1343</v>
      </c>
      <c r="B6073">
        <v>19</v>
      </c>
      <c r="C6073" s="1">
        <v>4166</v>
      </c>
      <c r="D6073">
        <v>224</v>
      </c>
      <c r="E6073">
        <v>224.5</v>
      </c>
      <c r="F6073">
        <v>223.5</v>
      </c>
      <c r="G6073">
        <v>223.5</v>
      </c>
      <c r="H6073">
        <v>0</v>
      </c>
      <c r="I6073">
        <v>26</v>
      </c>
    </row>
    <row r="6074" spans="1:9" x14ac:dyDescent="0.25">
      <c r="A6074" t="s">
        <v>1344</v>
      </c>
      <c r="B6074">
        <v>19</v>
      </c>
      <c r="C6074" s="1">
        <v>4196</v>
      </c>
      <c r="D6074">
        <v>223.5</v>
      </c>
      <c r="E6074">
        <v>224</v>
      </c>
      <c r="F6074">
        <v>223</v>
      </c>
      <c r="G6074">
        <v>223.5</v>
      </c>
      <c r="H6074">
        <v>0</v>
      </c>
      <c r="I6074">
        <v>42</v>
      </c>
    </row>
    <row r="6075" spans="1:9" x14ac:dyDescent="0.25">
      <c r="A6075" t="s">
        <v>1345</v>
      </c>
      <c r="B6075">
        <v>17</v>
      </c>
      <c r="C6075" s="1">
        <v>3905</v>
      </c>
      <c r="D6075">
        <v>224.5</v>
      </c>
      <c r="E6075">
        <v>225</v>
      </c>
      <c r="F6075">
        <v>224</v>
      </c>
      <c r="G6075">
        <v>224</v>
      </c>
      <c r="H6075">
        <v>0.5</v>
      </c>
      <c r="I6075">
        <v>27</v>
      </c>
    </row>
    <row r="6076" spans="1:9" x14ac:dyDescent="0.25">
      <c r="A6076" t="s">
        <v>1346</v>
      </c>
      <c r="B6076">
        <v>16</v>
      </c>
      <c r="C6076" s="1">
        <v>3620</v>
      </c>
      <c r="D6076">
        <v>224</v>
      </c>
      <c r="E6076">
        <v>225</v>
      </c>
      <c r="F6076">
        <v>224</v>
      </c>
      <c r="G6076">
        <v>224</v>
      </c>
      <c r="H6076">
        <v>0</v>
      </c>
      <c r="I6076">
        <v>32</v>
      </c>
    </row>
    <row r="6077" spans="1:9" x14ac:dyDescent="0.25">
      <c r="A6077" t="s">
        <v>1347</v>
      </c>
      <c r="B6077">
        <v>15</v>
      </c>
      <c r="C6077" s="1">
        <v>3303</v>
      </c>
      <c r="D6077">
        <v>224</v>
      </c>
      <c r="E6077">
        <v>224</v>
      </c>
      <c r="F6077">
        <v>223</v>
      </c>
      <c r="G6077">
        <v>223.5</v>
      </c>
      <c r="H6077">
        <v>-0.5</v>
      </c>
      <c r="I6077">
        <v>35</v>
      </c>
    </row>
    <row r="6078" spans="1:9" x14ac:dyDescent="0.25">
      <c r="A6078" t="s">
        <v>1348</v>
      </c>
      <c r="B6078">
        <v>7</v>
      </c>
      <c r="C6078" s="1">
        <v>1634</v>
      </c>
      <c r="D6078">
        <v>223.5</v>
      </c>
      <c r="E6078">
        <v>224</v>
      </c>
      <c r="F6078">
        <v>223.5</v>
      </c>
      <c r="G6078">
        <v>224</v>
      </c>
      <c r="H6078">
        <v>0.5</v>
      </c>
      <c r="I6078">
        <v>11</v>
      </c>
    </row>
    <row r="6079" spans="1:9" x14ac:dyDescent="0.25">
      <c r="A6079" t="s">
        <v>1349</v>
      </c>
      <c r="B6079">
        <v>26</v>
      </c>
      <c r="C6079" s="1">
        <v>5731</v>
      </c>
      <c r="D6079">
        <v>224</v>
      </c>
      <c r="E6079">
        <v>224</v>
      </c>
      <c r="F6079">
        <v>222.5</v>
      </c>
      <c r="G6079">
        <v>222.5</v>
      </c>
      <c r="H6079">
        <v>-1.5</v>
      </c>
      <c r="I6079">
        <v>51</v>
      </c>
    </row>
    <row r="6080" spans="1:9" x14ac:dyDescent="0.25">
      <c r="A6080" t="s">
        <v>1350</v>
      </c>
      <c r="B6080">
        <v>30</v>
      </c>
      <c r="C6080" s="1">
        <v>6628</v>
      </c>
      <c r="D6080">
        <v>222</v>
      </c>
      <c r="E6080">
        <v>223</v>
      </c>
      <c r="F6080">
        <v>222</v>
      </c>
      <c r="G6080">
        <v>222.5</v>
      </c>
      <c r="H6080">
        <v>0</v>
      </c>
      <c r="I6080">
        <v>60</v>
      </c>
    </row>
    <row r="6081" spans="1:9" x14ac:dyDescent="0.25">
      <c r="A6081" t="s">
        <v>1351</v>
      </c>
      <c r="B6081">
        <v>15</v>
      </c>
      <c r="C6081" s="1">
        <v>3456</v>
      </c>
      <c r="D6081">
        <v>223</v>
      </c>
      <c r="E6081">
        <v>223.5</v>
      </c>
      <c r="F6081">
        <v>223</v>
      </c>
      <c r="G6081">
        <v>223</v>
      </c>
      <c r="H6081">
        <v>0.5</v>
      </c>
      <c r="I6081">
        <v>26</v>
      </c>
    </row>
    <row r="6082" spans="1:9" x14ac:dyDescent="0.25">
      <c r="A6082" t="s">
        <v>1352</v>
      </c>
      <c r="B6082">
        <v>22</v>
      </c>
      <c r="C6082" s="1">
        <v>4894</v>
      </c>
      <c r="D6082">
        <v>223</v>
      </c>
      <c r="E6082">
        <v>224</v>
      </c>
      <c r="F6082">
        <v>222.5</v>
      </c>
      <c r="G6082">
        <v>223.5</v>
      </c>
      <c r="H6082">
        <v>0.5</v>
      </c>
      <c r="I6082">
        <v>36</v>
      </c>
    </row>
    <row r="6083" spans="1:9" x14ac:dyDescent="0.25">
      <c r="A6083" t="s">
        <v>1353</v>
      </c>
      <c r="B6083">
        <v>11</v>
      </c>
      <c r="C6083" s="1">
        <v>2442</v>
      </c>
      <c r="D6083">
        <v>223</v>
      </c>
      <c r="E6083">
        <v>223</v>
      </c>
      <c r="F6083">
        <v>222.5</v>
      </c>
      <c r="G6083">
        <v>222.5</v>
      </c>
      <c r="H6083">
        <v>-1</v>
      </c>
      <c r="I6083">
        <v>33</v>
      </c>
    </row>
    <row r="6084" spans="1:9" x14ac:dyDescent="0.25">
      <c r="A6084" t="s">
        <v>1354</v>
      </c>
      <c r="B6084">
        <v>16</v>
      </c>
      <c r="C6084" s="1">
        <v>3691</v>
      </c>
      <c r="D6084">
        <v>222.5</v>
      </c>
      <c r="E6084">
        <v>225</v>
      </c>
      <c r="F6084">
        <v>222.5</v>
      </c>
      <c r="G6084">
        <v>225</v>
      </c>
      <c r="H6084">
        <v>2.5</v>
      </c>
      <c r="I6084">
        <v>34</v>
      </c>
    </row>
    <row r="6085" spans="1:9" x14ac:dyDescent="0.25">
      <c r="A6085" t="s">
        <v>1355</v>
      </c>
      <c r="B6085">
        <v>22</v>
      </c>
      <c r="C6085" s="1">
        <v>4996</v>
      </c>
      <c r="D6085">
        <v>225</v>
      </c>
      <c r="E6085">
        <v>226.5</v>
      </c>
      <c r="F6085">
        <v>225</v>
      </c>
      <c r="G6085">
        <v>226</v>
      </c>
      <c r="H6085">
        <v>1</v>
      </c>
      <c r="I6085">
        <v>36</v>
      </c>
    </row>
    <row r="6086" spans="1:9" x14ac:dyDescent="0.25">
      <c r="A6086" t="s">
        <v>1356</v>
      </c>
      <c r="B6086">
        <v>168</v>
      </c>
      <c r="C6086" s="1">
        <v>40088</v>
      </c>
      <c r="D6086">
        <v>228</v>
      </c>
      <c r="E6086">
        <v>248.5</v>
      </c>
      <c r="F6086">
        <v>228</v>
      </c>
      <c r="G6086">
        <v>239.5</v>
      </c>
      <c r="H6086">
        <v>13.5</v>
      </c>
      <c r="I6086">
        <v>213</v>
      </c>
    </row>
    <row r="6087" spans="1:9" x14ac:dyDescent="0.25">
      <c r="A6087" t="s">
        <v>1357</v>
      </c>
      <c r="B6087">
        <v>62</v>
      </c>
      <c r="C6087" s="1">
        <v>14759</v>
      </c>
      <c r="D6087">
        <v>245</v>
      </c>
      <c r="E6087">
        <v>245</v>
      </c>
      <c r="F6087">
        <v>235</v>
      </c>
      <c r="G6087">
        <v>237</v>
      </c>
      <c r="H6087">
        <v>-2.5</v>
      </c>
      <c r="I6087">
        <v>103</v>
      </c>
    </row>
    <row r="6088" spans="1:9" x14ac:dyDescent="0.25">
      <c r="A6088" t="s">
        <v>1358</v>
      </c>
      <c r="B6088">
        <v>47</v>
      </c>
      <c r="C6088" s="1">
        <v>11007</v>
      </c>
      <c r="D6088">
        <v>235</v>
      </c>
      <c r="E6088">
        <v>235</v>
      </c>
      <c r="F6088">
        <v>232</v>
      </c>
      <c r="G6088">
        <v>232</v>
      </c>
      <c r="H6088">
        <v>-5</v>
      </c>
      <c r="I6088">
        <v>65</v>
      </c>
    </row>
    <row r="6089" spans="1:9" x14ac:dyDescent="0.25">
      <c r="A6089" t="s">
        <v>1359</v>
      </c>
      <c r="B6089">
        <v>25</v>
      </c>
      <c r="C6089" s="1">
        <v>5846</v>
      </c>
      <c r="D6089">
        <v>232</v>
      </c>
      <c r="E6089">
        <v>233</v>
      </c>
      <c r="F6089">
        <v>229.5</v>
      </c>
      <c r="G6089">
        <v>233</v>
      </c>
      <c r="H6089">
        <v>1</v>
      </c>
      <c r="I6089">
        <v>32</v>
      </c>
    </row>
    <row r="6090" spans="1:9" x14ac:dyDescent="0.25">
      <c r="A6090" t="s">
        <v>1360</v>
      </c>
      <c r="B6090">
        <v>14</v>
      </c>
      <c r="C6090" s="1">
        <v>3365</v>
      </c>
      <c r="D6090">
        <v>233</v>
      </c>
      <c r="E6090">
        <v>237.5</v>
      </c>
      <c r="F6090">
        <v>232</v>
      </c>
      <c r="G6090">
        <v>237.5</v>
      </c>
      <c r="H6090">
        <v>4.5</v>
      </c>
      <c r="I6090">
        <v>25</v>
      </c>
    </row>
    <row r="6091" spans="1:9" x14ac:dyDescent="0.25">
      <c r="A6091" t="s">
        <v>1361</v>
      </c>
      <c r="B6091">
        <v>46</v>
      </c>
      <c r="C6091" s="1">
        <v>10829</v>
      </c>
      <c r="D6091">
        <v>235.5</v>
      </c>
      <c r="E6091">
        <v>239</v>
      </c>
      <c r="F6091">
        <v>235</v>
      </c>
      <c r="G6091">
        <v>239</v>
      </c>
      <c r="H6091">
        <v>1.5</v>
      </c>
      <c r="I6091">
        <v>50</v>
      </c>
    </row>
    <row r="6092" spans="1:9" x14ac:dyDescent="0.25">
      <c r="A6092" t="s">
        <v>1362</v>
      </c>
      <c r="B6092">
        <v>31</v>
      </c>
      <c r="C6092" s="1">
        <v>7545</v>
      </c>
      <c r="D6092">
        <v>240</v>
      </c>
      <c r="E6092">
        <v>240.5</v>
      </c>
      <c r="F6092">
        <v>239</v>
      </c>
      <c r="G6092">
        <v>239</v>
      </c>
      <c r="H6092">
        <v>0</v>
      </c>
      <c r="I6092">
        <v>54</v>
      </c>
    </row>
    <row r="6093" spans="1:9" x14ac:dyDescent="0.25">
      <c r="A6093" t="s">
        <v>1363</v>
      </c>
      <c r="B6093">
        <v>17</v>
      </c>
      <c r="C6093" s="1">
        <v>4097</v>
      </c>
      <c r="D6093">
        <v>239</v>
      </c>
      <c r="E6093">
        <v>239</v>
      </c>
      <c r="F6093">
        <v>236</v>
      </c>
      <c r="G6093">
        <v>236</v>
      </c>
      <c r="H6093">
        <v>-3</v>
      </c>
      <c r="I6093">
        <v>34</v>
      </c>
    </row>
    <row r="6094" spans="1:9" x14ac:dyDescent="0.25">
      <c r="A6094" t="s">
        <v>1364</v>
      </c>
      <c r="B6094">
        <v>12</v>
      </c>
      <c r="C6094" s="1">
        <v>2860</v>
      </c>
      <c r="D6094">
        <v>235</v>
      </c>
      <c r="E6094">
        <v>235</v>
      </c>
      <c r="F6094">
        <v>233</v>
      </c>
      <c r="G6094">
        <v>233</v>
      </c>
      <c r="H6094">
        <v>-3</v>
      </c>
      <c r="I6094">
        <v>22</v>
      </c>
    </row>
    <row r="6095" spans="1:9" x14ac:dyDescent="0.25">
      <c r="A6095" t="s">
        <v>1177</v>
      </c>
      <c r="C6095" s="1"/>
    </row>
    <row r="6097" spans="1:9" x14ac:dyDescent="0.25">
      <c r="A6097" s="9" t="s">
        <v>1324</v>
      </c>
      <c r="B6097">
        <v>16</v>
      </c>
      <c r="C6097" s="1">
        <v>3601</v>
      </c>
      <c r="D6097">
        <v>224.5</v>
      </c>
      <c r="E6097">
        <v>225</v>
      </c>
      <c r="F6097">
        <v>224.5</v>
      </c>
      <c r="G6097">
        <v>224.5</v>
      </c>
      <c r="H6097">
        <v>0.5</v>
      </c>
      <c r="I6097">
        <v>22</v>
      </c>
    </row>
    <row r="6098" spans="1:9" x14ac:dyDescent="0.25">
      <c r="A6098" t="s">
        <v>1325</v>
      </c>
      <c r="B6098">
        <v>19</v>
      </c>
      <c r="C6098" s="1">
        <v>4190</v>
      </c>
      <c r="D6098">
        <v>224.5</v>
      </c>
      <c r="E6098">
        <v>226</v>
      </c>
      <c r="F6098">
        <v>224.5</v>
      </c>
      <c r="G6098">
        <v>225.5</v>
      </c>
      <c r="H6098">
        <v>1</v>
      </c>
      <c r="I6098">
        <v>29</v>
      </c>
    </row>
    <row r="6099" spans="1:9" x14ac:dyDescent="0.25">
      <c r="A6099" t="s">
        <v>1326</v>
      </c>
      <c r="B6099">
        <v>18</v>
      </c>
      <c r="C6099" s="1">
        <v>3971</v>
      </c>
      <c r="D6099">
        <v>223.5</v>
      </c>
      <c r="E6099">
        <v>226.5</v>
      </c>
      <c r="F6099">
        <v>223.5</v>
      </c>
      <c r="G6099">
        <v>224.5</v>
      </c>
      <c r="H6099">
        <v>-1</v>
      </c>
      <c r="I6099">
        <v>31</v>
      </c>
    </row>
    <row r="6100" spans="1:9" x14ac:dyDescent="0.25">
      <c r="A6100" t="s">
        <v>1327</v>
      </c>
      <c r="B6100">
        <v>6</v>
      </c>
      <c r="C6100" s="1">
        <v>1451</v>
      </c>
      <c r="D6100">
        <v>223.5</v>
      </c>
      <c r="E6100">
        <v>224</v>
      </c>
      <c r="F6100">
        <v>223.5</v>
      </c>
      <c r="G6100">
        <v>224</v>
      </c>
      <c r="H6100">
        <v>-0.5</v>
      </c>
      <c r="I6100">
        <v>25</v>
      </c>
    </row>
    <row r="6101" spans="1:9" x14ac:dyDescent="0.25">
      <c r="A6101" t="s">
        <v>1328</v>
      </c>
      <c r="B6101">
        <v>26</v>
      </c>
      <c r="C6101" s="1">
        <v>5794</v>
      </c>
      <c r="D6101">
        <v>224</v>
      </c>
      <c r="E6101">
        <v>226</v>
      </c>
      <c r="F6101">
        <v>223</v>
      </c>
      <c r="G6101">
        <v>224</v>
      </c>
      <c r="H6101">
        <v>0</v>
      </c>
      <c r="I6101">
        <v>58</v>
      </c>
    </row>
    <row r="6102" spans="1:9" x14ac:dyDescent="0.25">
      <c r="A6102" t="s">
        <v>1329</v>
      </c>
      <c r="B6102">
        <v>37</v>
      </c>
      <c r="C6102" s="1">
        <v>8288</v>
      </c>
      <c r="D6102">
        <v>224</v>
      </c>
      <c r="E6102">
        <v>224</v>
      </c>
      <c r="F6102">
        <v>222</v>
      </c>
      <c r="G6102">
        <v>222</v>
      </c>
      <c r="H6102">
        <v>-2</v>
      </c>
      <c r="I6102">
        <v>63</v>
      </c>
    </row>
    <row r="6103" spans="1:9" x14ac:dyDescent="0.25">
      <c r="A6103" t="s">
        <v>1330</v>
      </c>
      <c r="B6103">
        <v>29</v>
      </c>
      <c r="C6103" s="1">
        <v>6357</v>
      </c>
      <c r="D6103">
        <v>222</v>
      </c>
      <c r="E6103">
        <v>222</v>
      </c>
      <c r="F6103">
        <v>221</v>
      </c>
      <c r="G6103">
        <v>222</v>
      </c>
      <c r="H6103">
        <v>0</v>
      </c>
      <c r="I6103">
        <v>64</v>
      </c>
    </row>
    <row r="6104" spans="1:9" x14ac:dyDescent="0.25">
      <c r="A6104" t="s">
        <v>1331</v>
      </c>
      <c r="B6104">
        <v>28</v>
      </c>
      <c r="C6104" s="1">
        <v>6117</v>
      </c>
      <c r="D6104">
        <v>222</v>
      </c>
      <c r="E6104">
        <v>224</v>
      </c>
      <c r="F6104">
        <v>221.5</v>
      </c>
      <c r="G6104">
        <v>224</v>
      </c>
      <c r="H6104">
        <v>2</v>
      </c>
      <c r="I6104">
        <v>64</v>
      </c>
    </row>
    <row r="6105" spans="1:9" x14ac:dyDescent="0.25">
      <c r="A6105" t="s">
        <v>1332</v>
      </c>
      <c r="B6105">
        <v>10</v>
      </c>
      <c r="C6105" s="1">
        <v>2312</v>
      </c>
      <c r="D6105">
        <v>222.5</v>
      </c>
      <c r="E6105">
        <v>223</v>
      </c>
      <c r="F6105">
        <v>222</v>
      </c>
      <c r="G6105">
        <v>223</v>
      </c>
      <c r="H6105">
        <v>-1</v>
      </c>
      <c r="I6105">
        <v>32</v>
      </c>
    </row>
    <row r="6106" spans="1:9" x14ac:dyDescent="0.25">
      <c r="A6106" t="s">
        <v>1333</v>
      </c>
      <c r="B6106">
        <v>31</v>
      </c>
      <c r="C6106" s="1">
        <v>6808</v>
      </c>
      <c r="D6106">
        <v>223</v>
      </c>
      <c r="E6106">
        <v>223</v>
      </c>
      <c r="F6106">
        <v>221.5</v>
      </c>
      <c r="G6106">
        <v>222.5</v>
      </c>
      <c r="H6106">
        <v>-0.5</v>
      </c>
      <c r="I6106">
        <v>44</v>
      </c>
    </row>
    <row r="6107" spans="1:9" x14ac:dyDescent="0.25">
      <c r="A6107" t="s">
        <v>1334</v>
      </c>
      <c r="B6107">
        <v>12</v>
      </c>
      <c r="C6107" s="1">
        <v>2624</v>
      </c>
      <c r="D6107">
        <v>222.5</v>
      </c>
      <c r="E6107">
        <v>222.5</v>
      </c>
      <c r="F6107">
        <v>222</v>
      </c>
      <c r="G6107">
        <v>222</v>
      </c>
      <c r="H6107">
        <v>-0.5</v>
      </c>
      <c r="I6107">
        <v>17</v>
      </c>
    </row>
    <row r="6108" spans="1:9" x14ac:dyDescent="0.25">
      <c r="A6108" t="s">
        <v>1335</v>
      </c>
      <c r="B6108">
        <v>11</v>
      </c>
      <c r="C6108" s="1">
        <v>2409</v>
      </c>
      <c r="D6108">
        <v>222</v>
      </c>
      <c r="E6108">
        <v>222.5</v>
      </c>
      <c r="F6108">
        <v>222</v>
      </c>
      <c r="G6108">
        <v>222.5</v>
      </c>
      <c r="H6108">
        <v>0.5</v>
      </c>
      <c r="I6108">
        <v>22</v>
      </c>
    </row>
    <row r="6109" spans="1:9" x14ac:dyDescent="0.25">
      <c r="A6109" t="s">
        <v>1336</v>
      </c>
      <c r="B6109">
        <v>9</v>
      </c>
      <c r="C6109" s="1">
        <v>1954</v>
      </c>
      <c r="D6109">
        <v>223</v>
      </c>
      <c r="E6109">
        <v>223.5</v>
      </c>
      <c r="F6109">
        <v>223</v>
      </c>
      <c r="G6109">
        <v>223.5</v>
      </c>
      <c r="H6109">
        <v>1</v>
      </c>
      <c r="I6109">
        <v>21</v>
      </c>
    </row>
    <row r="6110" spans="1:9" x14ac:dyDescent="0.25">
      <c r="A6110" t="s">
        <v>1337</v>
      </c>
      <c r="B6110">
        <v>8</v>
      </c>
      <c r="C6110" s="1">
        <v>1759</v>
      </c>
      <c r="D6110">
        <v>222.5</v>
      </c>
      <c r="E6110">
        <v>224</v>
      </c>
      <c r="F6110">
        <v>222.5</v>
      </c>
      <c r="G6110">
        <v>223.5</v>
      </c>
      <c r="H6110">
        <v>0</v>
      </c>
      <c r="I6110">
        <v>20</v>
      </c>
    </row>
    <row r="6111" spans="1:9" x14ac:dyDescent="0.25">
      <c r="A6111" t="s">
        <v>1338</v>
      </c>
      <c r="B6111">
        <v>7</v>
      </c>
      <c r="C6111" s="1">
        <v>1521</v>
      </c>
      <c r="D6111">
        <v>224</v>
      </c>
      <c r="E6111">
        <v>224</v>
      </c>
      <c r="F6111">
        <v>224</v>
      </c>
      <c r="G6111">
        <v>224</v>
      </c>
      <c r="H6111">
        <v>0.5</v>
      </c>
      <c r="I6111">
        <v>23</v>
      </c>
    </row>
    <row r="6112" spans="1:9" x14ac:dyDescent="0.25">
      <c r="A6112" t="s">
        <v>1339</v>
      </c>
      <c r="B6112">
        <v>13</v>
      </c>
      <c r="C6112" s="1">
        <v>2834</v>
      </c>
      <c r="D6112">
        <v>224</v>
      </c>
      <c r="E6112">
        <v>224.5</v>
      </c>
      <c r="F6112">
        <v>224</v>
      </c>
      <c r="G6112">
        <v>224</v>
      </c>
      <c r="H6112">
        <v>0</v>
      </c>
      <c r="I6112">
        <v>23</v>
      </c>
    </row>
    <row r="6113" spans="1:9" x14ac:dyDescent="0.25">
      <c r="A6113" t="s">
        <v>1340</v>
      </c>
      <c r="B6113">
        <v>16</v>
      </c>
      <c r="C6113" s="1">
        <v>3671</v>
      </c>
      <c r="D6113">
        <v>224.5</v>
      </c>
      <c r="E6113">
        <v>225</v>
      </c>
      <c r="F6113">
        <v>223</v>
      </c>
      <c r="G6113">
        <v>223</v>
      </c>
      <c r="H6113">
        <v>-1</v>
      </c>
      <c r="I6113">
        <v>35</v>
      </c>
    </row>
    <row r="6114" spans="1:9" x14ac:dyDescent="0.25">
      <c r="A6114" t="s">
        <v>1341</v>
      </c>
      <c r="B6114">
        <v>34</v>
      </c>
      <c r="C6114" s="1">
        <v>7590</v>
      </c>
      <c r="D6114">
        <v>223.5</v>
      </c>
      <c r="E6114">
        <v>224</v>
      </c>
      <c r="F6114">
        <v>223</v>
      </c>
      <c r="G6114">
        <v>223</v>
      </c>
      <c r="H6114">
        <v>0</v>
      </c>
      <c r="I6114">
        <v>42</v>
      </c>
    </row>
    <row r="6115" spans="1:9" x14ac:dyDescent="0.25">
      <c r="A6115" t="s">
        <v>1342</v>
      </c>
      <c r="B6115">
        <v>12</v>
      </c>
      <c r="C6115" s="1">
        <v>2712</v>
      </c>
      <c r="D6115">
        <v>223</v>
      </c>
      <c r="E6115">
        <v>224</v>
      </c>
      <c r="F6115">
        <v>223</v>
      </c>
      <c r="G6115">
        <v>223.5</v>
      </c>
      <c r="H6115">
        <v>0.5</v>
      </c>
      <c r="I6115">
        <v>14</v>
      </c>
    </row>
    <row r="6116" spans="1:9" x14ac:dyDescent="0.25">
      <c r="A6116" t="s">
        <v>1030</v>
      </c>
      <c r="C6116" s="1"/>
    </row>
    <row r="6121" spans="1:9" x14ac:dyDescent="0.25">
      <c r="A6121" s="9" t="s">
        <v>1302</v>
      </c>
      <c r="B6121">
        <v>23</v>
      </c>
      <c r="C6121" s="1">
        <v>5105</v>
      </c>
      <c r="D6121">
        <v>221.5</v>
      </c>
      <c r="E6121">
        <v>223</v>
      </c>
      <c r="F6121">
        <v>221</v>
      </c>
      <c r="G6121">
        <v>222</v>
      </c>
      <c r="H6121">
        <v>0.5</v>
      </c>
      <c r="I6121">
        <v>44</v>
      </c>
    </row>
    <row r="6122" spans="1:9" x14ac:dyDescent="0.25">
      <c r="A6122" t="s">
        <v>1303</v>
      </c>
      <c r="B6122">
        <v>13</v>
      </c>
      <c r="C6122" s="1">
        <v>2818</v>
      </c>
      <c r="D6122">
        <v>223</v>
      </c>
      <c r="E6122">
        <v>223</v>
      </c>
      <c r="F6122">
        <v>222</v>
      </c>
      <c r="G6122">
        <v>222.5</v>
      </c>
      <c r="H6122">
        <v>0.5</v>
      </c>
      <c r="I6122">
        <v>24</v>
      </c>
    </row>
    <row r="6123" spans="1:9" x14ac:dyDescent="0.25">
      <c r="A6123" t="s">
        <v>1304</v>
      </c>
      <c r="B6123">
        <v>17</v>
      </c>
      <c r="C6123" s="1">
        <v>3763</v>
      </c>
      <c r="D6123">
        <v>222.5</v>
      </c>
      <c r="E6123">
        <v>222.5</v>
      </c>
      <c r="F6123">
        <v>220.5</v>
      </c>
      <c r="G6123">
        <v>221.5</v>
      </c>
      <c r="H6123">
        <v>-1</v>
      </c>
      <c r="I6123">
        <v>40</v>
      </c>
    </row>
    <row r="6124" spans="1:9" x14ac:dyDescent="0.25">
      <c r="A6124" t="s">
        <v>1305</v>
      </c>
      <c r="B6124">
        <v>19</v>
      </c>
      <c r="C6124" s="1">
        <v>4140</v>
      </c>
      <c r="D6124">
        <v>221.5</v>
      </c>
      <c r="E6124">
        <v>221.5</v>
      </c>
      <c r="F6124">
        <v>221</v>
      </c>
      <c r="G6124">
        <v>221</v>
      </c>
      <c r="H6124">
        <v>-0.5</v>
      </c>
      <c r="I6124">
        <v>27</v>
      </c>
    </row>
    <row r="6125" spans="1:9" x14ac:dyDescent="0.25">
      <c r="A6125" t="s">
        <v>1306</v>
      </c>
      <c r="B6125">
        <v>23</v>
      </c>
      <c r="C6125" s="1">
        <v>5132</v>
      </c>
      <c r="D6125">
        <v>221</v>
      </c>
      <c r="E6125">
        <v>225.5</v>
      </c>
      <c r="F6125">
        <v>220.5</v>
      </c>
      <c r="G6125">
        <v>222.5</v>
      </c>
      <c r="H6125">
        <v>1.5</v>
      </c>
      <c r="I6125">
        <v>54</v>
      </c>
    </row>
    <row r="6126" spans="1:9" x14ac:dyDescent="0.25">
      <c r="A6126" t="s">
        <v>1307</v>
      </c>
      <c r="B6126">
        <v>9</v>
      </c>
      <c r="C6126" s="1">
        <v>2036</v>
      </c>
      <c r="D6126">
        <v>222.5</v>
      </c>
      <c r="E6126">
        <v>222.5</v>
      </c>
      <c r="F6126">
        <v>222</v>
      </c>
      <c r="G6126">
        <v>222</v>
      </c>
      <c r="H6126">
        <v>-0.5</v>
      </c>
      <c r="I6126">
        <v>24</v>
      </c>
    </row>
    <row r="6127" spans="1:9" x14ac:dyDescent="0.25">
      <c r="A6127" t="s">
        <v>1308</v>
      </c>
      <c r="B6127">
        <v>45</v>
      </c>
      <c r="C6127" s="1">
        <v>10019</v>
      </c>
      <c r="D6127">
        <v>222.5</v>
      </c>
      <c r="E6127">
        <v>223</v>
      </c>
      <c r="F6127">
        <v>221</v>
      </c>
      <c r="G6127">
        <v>221</v>
      </c>
      <c r="H6127">
        <v>-1</v>
      </c>
      <c r="I6127">
        <v>61</v>
      </c>
    </row>
    <row r="6128" spans="1:9" x14ac:dyDescent="0.25">
      <c r="A6128" t="s">
        <v>1309</v>
      </c>
      <c r="B6128">
        <v>13</v>
      </c>
      <c r="C6128" s="1">
        <v>2840</v>
      </c>
      <c r="D6128">
        <v>221.5</v>
      </c>
      <c r="E6128">
        <v>222.5</v>
      </c>
      <c r="F6128">
        <v>221</v>
      </c>
      <c r="G6128">
        <v>222</v>
      </c>
      <c r="H6128">
        <v>1</v>
      </c>
      <c r="I6128">
        <v>42</v>
      </c>
    </row>
    <row r="6129" spans="1:9" x14ac:dyDescent="0.25">
      <c r="A6129" t="s">
        <v>1310</v>
      </c>
      <c r="B6129">
        <v>29</v>
      </c>
      <c r="C6129" s="1">
        <v>6356</v>
      </c>
      <c r="D6129">
        <v>224</v>
      </c>
      <c r="E6129">
        <v>224.5</v>
      </c>
      <c r="F6129">
        <v>222</v>
      </c>
      <c r="G6129">
        <v>222</v>
      </c>
      <c r="H6129">
        <v>0</v>
      </c>
      <c r="I6129">
        <v>35</v>
      </c>
    </row>
    <row r="6130" spans="1:9" x14ac:dyDescent="0.25">
      <c r="A6130" t="s">
        <v>1311</v>
      </c>
      <c r="B6130">
        <v>19</v>
      </c>
      <c r="C6130" s="1">
        <v>4295</v>
      </c>
      <c r="D6130">
        <v>222.5</v>
      </c>
      <c r="E6130">
        <v>224</v>
      </c>
      <c r="F6130">
        <v>222.5</v>
      </c>
      <c r="G6130">
        <v>223</v>
      </c>
      <c r="H6130">
        <v>1</v>
      </c>
      <c r="I6130">
        <v>34</v>
      </c>
    </row>
    <row r="6131" spans="1:9" x14ac:dyDescent="0.25">
      <c r="A6131" t="s">
        <v>1312</v>
      </c>
      <c r="B6131">
        <v>31</v>
      </c>
      <c r="C6131" s="1">
        <v>6962</v>
      </c>
      <c r="D6131">
        <v>223.5</v>
      </c>
      <c r="E6131">
        <v>224</v>
      </c>
      <c r="F6131">
        <v>223</v>
      </c>
      <c r="G6131">
        <v>223</v>
      </c>
      <c r="H6131">
        <v>0</v>
      </c>
      <c r="I6131">
        <v>59</v>
      </c>
    </row>
    <row r="6132" spans="1:9" x14ac:dyDescent="0.25">
      <c r="A6132" t="s">
        <v>1313</v>
      </c>
      <c r="B6132">
        <v>23</v>
      </c>
      <c r="C6132" s="1">
        <v>5164</v>
      </c>
      <c r="D6132">
        <v>224</v>
      </c>
      <c r="E6132">
        <v>224</v>
      </c>
      <c r="F6132">
        <v>223.5</v>
      </c>
      <c r="G6132">
        <v>224</v>
      </c>
      <c r="H6132">
        <v>1</v>
      </c>
      <c r="I6132">
        <v>33</v>
      </c>
    </row>
    <row r="6133" spans="1:9" x14ac:dyDescent="0.25">
      <c r="A6133" t="s">
        <v>1314</v>
      </c>
      <c r="B6133">
        <v>20</v>
      </c>
      <c r="C6133" s="1">
        <v>4445</v>
      </c>
      <c r="D6133">
        <v>224</v>
      </c>
      <c r="E6133">
        <v>224</v>
      </c>
      <c r="F6133">
        <v>223</v>
      </c>
      <c r="G6133">
        <v>223</v>
      </c>
      <c r="H6133">
        <v>-1</v>
      </c>
      <c r="I6133">
        <v>37</v>
      </c>
    </row>
    <row r="6134" spans="1:9" x14ac:dyDescent="0.25">
      <c r="A6134" t="s">
        <v>1315</v>
      </c>
      <c r="B6134">
        <v>21</v>
      </c>
      <c r="C6134" s="1">
        <v>4659</v>
      </c>
      <c r="D6134">
        <v>223</v>
      </c>
      <c r="E6134">
        <v>223</v>
      </c>
      <c r="F6134">
        <v>221.5</v>
      </c>
      <c r="G6134">
        <v>221.5</v>
      </c>
      <c r="H6134">
        <v>-1.5</v>
      </c>
      <c r="I6134">
        <v>63</v>
      </c>
    </row>
    <row r="6135" spans="1:9" x14ac:dyDescent="0.25">
      <c r="A6135" t="s">
        <v>1316</v>
      </c>
      <c r="B6135">
        <v>22</v>
      </c>
      <c r="C6135" s="1">
        <v>4979</v>
      </c>
      <c r="D6135">
        <v>222.5</v>
      </c>
      <c r="E6135">
        <v>224</v>
      </c>
      <c r="F6135">
        <v>222.5</v>
      </c>
      <c r="G6135">
        <v>223.5</v>
      </c>
      <c r="H6135">
        <v>2</v>
      </c>
      <c r="I6135">
        <v>41</v>
      </c>
    </row>
    <row r="6136" spans="1:9" x14ac:dyDescent="0.25">
      <c r="A6136" t="s">
        <v>1317</v>
      </c>
      <c r="B6136">
        <v>9</v>
      </c>
      <c r="C6136" s="1">
        <v>1913</v>
      </c>
      <c r="D6136">
        <v>222.5</v>
      </c>
      <c r="E6136">
        <v>222.5</v>
      </c>
      <c r="F6136">
        <v>222.5</v>
      </c>
      <c r="G6136">
        <v>222.5</v>
      </c>
      <c r="H6136">
        <v>-1</v>
      </c>
      <c r="I6136">
        <v>31</v>
      </c>
    </row>
    <row r="6137" spans="1:9" x14ac:dyDescent="0.25">
      <c r="A6137" t="s">
        <v>1318</v>
      </c>
      <c r="B6137">
        <v>25</v>
      </c>
      <c r="C6137" s="1">
        <v>5592</v>
      </c>
      <c r="D6137">
        <v>222</v>
      </c>
      <c r="E6137">
        <v>223</v>
      </c>
      <c r="F6137">
        <v>221.5</v>
      </c>
      <c r="G6137">
        <v>223</v>
      </c>
      <c r="H6137">
        <v>0.5</v>
      </c>
      <c r="I6137">
        <v>66</v>
      </c>
    </row>
    <row r="6138" spans="1:9" x14ac:dyDescent="0.25">
      <c r="A6138" t="s">
        <v>1319</v>
      </c>
      <c r="B6138">
        <v>7</v>
      </c>
      <c r="C6138" s="1">
        <v>1526</v>
      </c>
      <c r="D6138">
        <v>223</v>
      </c>
      <c r="E6138">
        <v>223</v>
      </c>
      <c r="F6138">
        <v>222</v>
      </c>
      <c r="G6138">
        <v>222</v>
      </c>
      <c r="H6138">
        <v>-1</v>
      </c>
      <c r="I6138">
        <v>23</v>
      </c>
    </row>
    <row r="6139" spans="1:9" x14ac:dyDescent="0.25">
      <c r="A6139" t="s">
        <v>1320</v>
      </c>
      <c r="B6139">
        <v>7</v>
      </c>
      <c r="C6139" s="1">
        <v>1491</v>
      </c>
      <c r="D6139">
        <v>222.5</v>
      </c>
      <c r="E6139">
        <v>223.5</v>
      </c>
      <c r="F6139">
        <v>222.5</v>
      </c>
      <c r="G6139">
        <v>223</v>
      </c>
      <c r="H6139">
        <v>1</v>
      </c>
      <c r="I6139">
        <v>18</v>
      </c>
    </row>
    <row r="6140" spans="1:9" x14ac:dyDescent="0.25">
      <c r="A6140" t="s">
        <v>1321</v>
      </c>
      <c r="B6140">
        <v>4</v>
      </c>
      <c r="C6140" s="1">
        <v>858</v>
      </c>
      <c r="D6140">
        <v>223</v>
      </c>
      <c r="E6140">
        <v>223</v>
      </c>
      <c r="F6140">
        <v>223</v>
      </c>
      <c r="G6140">
        <v>223</v>
      </c>
      <c r="H6140">
        <v>0</v>
      </c>
      <c r="I6140">
        <v>13</v>
      </c>
    </row>
    <row r="6141" spans="1:9" x14ac:dyDescent="0.25">
      <c r="A6141" t="s">
        <v>1322</v>
      </c>
      <c r="B6141">
        <v>21</v>
      </c>
      <c r="C6141" s="1">
        <v>4656</v>
      </c>
      <c r="D6141">
        <v>223</v>
      </c>
      <c r="E6141">
        <v>223.5</v>
      </c>
      <c r="F6141">
        <v>222.5</v>
      </c>
      <c r="G6141">
        <v>223.5</v>
      </c>
      <c r="H6141">
        <v>0.5</v>
      </c>
      <c r="I6141">
        <v>45</v>
      </c>
    </row>
    <row r="6142" spans="1:9" x14ac:dyDescent="0.25">
      <c r="A6142" t="s">
        <v>1323</v>
      </c>
      <c r="B6142">
        <v>12</v>
      </c>
      <c r="C6142" s="1">
        <v>2571</v>
      </c>
      <c r="D6142">
        <v>223</v>
      </c>
      <c r="E6142">
        <v>224</v>
      </c>
      <c r="F6142">
        <v>222</v>
      </c>
      <c r="G6142">
        <v>224</v>
      </c>
      <c r="H6142">
        <v>0.5</v>
      </c>
      <c r="I6142">
        <v>18</v>
      </c>
    </row>
    <row r="6143" spans="1:9" x14ac:dyDescent="0.25">
      <c r="A6143" t="s">
        <v>1177</v>
      </c>
      <c r="C6143" s="1"/>
    </row>
    <row r="6145" spans="1:9" x14ac:dyDescent="0.25">
      <c r="A6145" s="9" t="s">
        <v>1279</v>
      </c>
      <c r="B6145">
        <v>39</v>
      </c>
      <c r="C6145" s="1">
        <v>8761</v>
      </c>
      <c r="D6145">
        <v>225.5</v>
      </c>
      <c r="E6145">
        <v>226.5</v>
      </c>
      <c r="F6145">
        <v>223.5</v>
      </c>
      <c r="G6145">
        <v>225.5</v>
      </c>
      <c r="H6145">
        <v>0</v>
      </c>
      <c r="I6145">
        <v>60</v>
      </c>
    </row>
    <row r="6146" spans="1:9" x14ac:dyDescent="0.25">
      <c r="A6146" t="s">
        <v>1280</v>
      </c>
      <c r="B6146">
        <v>80</v>
      </c>
      <c r="C6146" s="1">
        <v>18035</v>
      </c>
      <c r="D6146">
        <v>225.5</v>
      </c>
      <c r="E6146">
        <v>225.5</v>
      </c>
      <c r="F6146">
        <v>223</v>
      </c>
      <c r="G6146">
        <v>225</v>
      </c>
      <c r="H6146">
        <v>-0.5</v>
      </c>
      <c r="I6146">
        <v>80</v>
      </c>
    </row>
    <row r="6147" spans="1:9" x14ac:dyDescent="0.25">
      <c r="A6147" t="s">
        <v>1281</v>
      </c>
      <c r="B6147">
        <v>53</v>
      </c>
      <c r="C6147" s="1">
        <v>11961</v>
      </c>
      <c r="D6147">
        <v>225.5</v>
      </c>
      <c r="E6147">
        <v>225.5</v>
      </c>
      <c r="F6147">
        <v>223</v>
      </c>
      <c r="G6147">
        <v>224.5</v>
      </c>
      <c r="H6147">
        <v>-0.5</v>
      </c>
      <c r="I6147">
        <v>66</v>
      </c>
    </row>
    <row r="6148" spans="1:9" x14ac:dyDescent="0.25">
      <c r="A6148" t="s">
        <v>1282</v>
      </c>
      <c r="B6148">
        <v>44</v>
      </c>
      <c r="C6148" s="1">
        <v>9774</v>
      </c>
      <c r="D6148">
        <v>225</v>
      </c>
      <c r="E6148">
        <v>226</v>
      </c>
      <c r="F6148">
        <v>222</v>
      </c>
      <c r="G6148">
        <v>225</v>
      </c>
      <c r="H6148">
        <v>0.5</v>
      </c>
      <c r="I6148">
        <v>51</v>
      </c>
    </row>
    <row r="6149" spans="1:9" x14ac:dyDescent="0.25">
      <c r="A6149" t="s">
        <v>1283</v>
      </c>
      <c r="B6149">
        <v>36</v>
      </c>
      <c r="C6149" s="1">
        <v>8178</v>
      </c>
      <c r="D6149">
        <v>225.5</v>
      </c>
      <c r="E6149">
        <v>225.5</v>
      </c>
      <c r="F6149">
        <v>223</v>
      </c>
      <c r="G6149">
        <v>225</v>
      </c>
      <c r="H6149">
        <v>0</v>
      </c>
      <c r="I6149">
        <v>52</v>
      </c>
    </row>
    <row r="6150" spans="1:9" x14ac:dyDescent="0.25">
      <c r="A6150" t="s">
        <v>1284</v>
      </c>
      <c r="B6150">
        <v>196</v>
      </c>
      <c r="C6150" s="1">
        <v>43615</v>
      </c>
      <c r="D6150">
        <v>224</v>
      </c>
      <c r="E6150">
        <v>227.5</v>
      </c>
      <c r="F6150">
        <v>221.5</v>
      </c>
      <c r="G6150">
        <v>225</v>
      </c>
      <c r="H6150">
        <v>0</v>
      </c>
      <c r="I6150">
        <v>229</v>
      </c>
    </row>
    <row r="6151" spans="1:9" x14ac:dyDescent="0.25">
      <c r="A6151" t="s">
        <v>1285</v>
      </c>
      <c r="B6151">
        <v>54</v>
      </c>
      <c r="C6151" s="1">
        <v>12082</v>
      </c>
      <c r="D6151">
        <v>225</v>
      </c>
      <c r="E6151">
        <v>225</v>
      </c>
      <c r="F6151">
        <v>224</v>
      </c>
      <c r="G6151">
        <v>224</v>
      </c>
      <c r="H6151">
        <v>-1</v>
      </c>
      <c r="I6151">
        <v>107</v>
      </c>
    </row>
    <row r="6152" spans="1:9" x14ac:dyDescent="0.25">
      <c r="A6152" t="s">
        <v>1286</v>
      </c>
      <c r="B6152">
        <v>62</v>
      </c>
      <c r="C6152" s="1">
        <v>13877</v>
      </c>
      <c r="D6152">
        <v>222.5</v>
      </c>
      <c r="E6152">
        <v>224</v>
      </c>
      <c r="F6152">
        <v>222</v>
      </c>
      <c r="G6152">
        <v>222</v>
      </c>
      <c r="H6152">
        <v>-2</v>
      </c>
      <c r="I6152">
        <v>94</v>
      </c>
    </row>
    <row r="6153" spans="1:9" x14ac:dyDescent="0.25">
      <c r="A6153" t="s">
        <v>1287</v>
      </c>
      <c r="B6153">
        <v>35</v>
      </c>
      <c r="C6153" s="1">
        <v>7690</v>
      </c>
      <c r="D6153">
        <v>221</v>
      </c>
      <c r="E6153">
        <v>222.5</v>
      </c>
      <c r="F6153">
        <v>221</v>
      </c>
      <c r="G6153">
        <v>222.5</v>
      </c>
      <c r="H6153">
        <v>0.5</v>
      </c>
      <c r="I6153">
        <v>51</v>
      </c>
    </row>
    <row r="6154" spans="1:9" x14ac:dyDescent="0.25">
      <c r="A6154" t="s">
        <v>1288</v>
      </c>
      <c r="B6154">
        <v>42</v>
      </c>
      <c r="C6154" s="1">
        <v>9221</v>
      </c>
      <c r="D6154">
        <v>222.5</v>
      </c>
      <c r="E6154">
        <v>223.5</v>
      </c>
      <c r="F6154">
        <v>221</v>
      </c>
      <c r="G6154">
        <v>223.5</v>
      </c>
      <c r="H6154">
        <v>1</v>
      </c>
      <c r="I6154">
        <v>78</v>
      </c>
    </row>
    <row r="6155" spans="1:9" x14ac:dyDescent="0.25">
      <c r="A6155" t="s">
        <v>1289</v>
      </c>
      <c r="B6155">
        <v>42</v>
      </c>
      <c r="C6155" s="1">
        <v>9525</v>
      </c>
      <c r="D6155">
        <v>225</v>
      </c>
      <c r="E6155">
        <v>225.5</v>
      </c>
      <c r="F6155">
        <v>223.5</v>
      </c>
      <c r="G6155">
        <v>223.5</v>
      </c>
      <c r="H6155">
        <v>0</v>
      </c>
      <c r="I6155">
        <v>66</v>
      </c>
    </row>
    <row r="6156" spans="1:9" x14ac:dyDescent="0.25">
      <c r="A6156" t="s">
        <v>1290</v>
      </c>
      <c r="B6156">
        <v>17</v>
      </c>
      <c r="C6156" s="1">
        <v>3715</v>
      </c>
      <c r="D6156">
        <v>223.5</v>
      </c>
      <c r="E6156">
        <v>224</v>
      </c>
      <c r="F6156">
        <v>222</v>
      </c>
      <c r="G6156">
        <v>222</v>
      </c>
      <c r="H6156">
        <v>-1.5</v>
      </c>
      <c r="I6156">
        <v>35</v>
      </c>
    </row>
    <row r="6157" spans="1:9" x14ac:dyDescent="0.25">
      <c r="A6157" t="s">
        <v>1291</v>
      </c>
      <c r="B6157">
        <v>19</v>
      </c>
      <c r="C6157" s="1">
        <v>4208</v>
      </c>
      <c r="D6157">
        <v>222</v>
      </c>
      <c r="E6157">
        <v>223</v>
      </c>
      <c r="F6157">
        <v>221.5</v>
      </c>
      <c r="G6157">
        <v>221.5</v>
      </c>
      <c r="H6157">
        <v>-0.5</v>
      </c>
      <c r="I6157">
        <v>33</v>
      </c>
    </row>
    <row r="6158" spans="1:9" x14ac:dyDescent="0.25">
      <c r="A6158" t="s">
        <v>1292</v>
      </c>
      <c r="B6158">
        <v>63</v>
      </c>
      <c r="C6158" s="1">
        <v>13840</v>
      </c>
      <c r="D6158">
        <v>221.5</v>
      </c>
      <c r="E6158">
        <v>221.5</v>
      </c>
      <c r="F6158">
        <v>221</v>
      </c>
      <c r="G6158">
        <v>221</v>
      </c>
      <c r="H6158">
        <v>-0.5</v>
      </c>
      <c r="I6158">
        <v>45</v>
      </c>
    </row>
    <row r="6159" spans="1:9" x14ac:dyDescent="0.25">
      <c r="A6159" t="s">
        <v>1293</v>
      </c>
      <c r="B6159">
        <v>20</v>
      </c>
      <c r="C6159" s="1">
        <v>4527</v>
      </c>
      <c r="D6159">
        <v>220</v>
      </c>
      <c r="E6159">
        <v>223</v>
      </c>
      <c r="F6159">
        <v>220</v>
      </c>
      <c r="G6159">
        <v>221.5</v>
      </c>
      <c r="H6159">
        <v>0.5</v>
      </c>
      <c r="I6159">
        <v>78</v>
      </c>
    </row>
    <row r="6160" spans="1:9" x14ac:dyDescent="0.25">
      <c r="A6160" t="s">
        <v>1294</v>
      </c>
      <c r="B6160">
        <v>14</v>
      </c>
      <c r="C6160" s="1">
        <v>3214</v>
      </c>
      <c r="D6160">
        <v>222.5</v>
      </c>
      <c r="E6160">
        <v>223.5</v>
      </c>
      <c r="F6160">
        <v>222.5</v>
      </c>
      <c r="G6160">
        <v>222.5</v>
      </c>
      <c r="H6160">
        <v>1</v>
      </c>
      <c r="I6160">
        <v>54</v>
      </c>
    </row>
    <row r="6161" spans="1:9" x14ac:dyDescent="0.25">
      <c r="A6161" t="s">
        <v>1295</v>
      </c>
      <c r="B6161">
        <v>6</v>
      </c>
      <c r="C6161" s="1">
        <v>1248</v>
      </c>
      <c r="D6161">
        <v>223.5</v>
      </c>
      <c r="E6161">
        <v>223.5</v>
      </c>
      <c r="F6161">
        <v>222.5</v>
      </c>
      <c r="G6161">
        <v>222.5</v>
      </c>
      <c r="H6161">
        <v>0</v>
      </c>
      <c r="I6161">
        <v>14</v>
      </c>
    </row>
    <row r="6162" spans="1:9" x14ac:dyDescent="0.25">
      <c r="A6162" t="s">
        <v>1296</v>
      </c>
      <c r="B6162">
        <v>40</v>
      </c>
      <c r="C6162" s="1">
        <v>8776</v>
      </c>
      <c r="D6162">
        <v>220.5</v>
      </c>
      <c r="E6162">
        <v>222</v>
      </c>
      <c r="F6162">
        <v>220</v>
      </c>
      <c r="G6162">
        <v>221.5</v>
      </c>
      <c r="H6162">
        <v>-1</v>
      </c>
      <c r="I6162">
        <v>45</v>
      </c>
    </row>
    <row r="6163" spans="1:9" x14ac:dyDescent="0.25">
      <c r="A6163" t="s">
        <v>1297</v>
      </c>
      <c r="B6163">
        <v>8</v>
      </c>
      <c r="C6163" s="1">
        <v>1870</v>
      </c>
      <c r="D6163">
        <v>221.5</v>
      </c>
      <c r="E6163">
        <v>222</v>
      </c>
      <c r="F6163">
        <v>221.5</v>
      </c>
      <c r="G6163">
        <v>222</v>
      </c>
      <c r="H6163">
        <v>0.5</v>
      </c>
      <c r="I6163">
        <v>16</v>
      </c>
    </row>
    <row r="6164" spans="1:9" x14ac:dyDescent="0.25">
      <c r="A6164" t="s">
        <v>1298</v>
      </c>
      <c r="B6164">
        <v>12</v>
      </c>
      <c r="C6164" s="1">
        <v>2721</v>
      </c>
      <c r="D6164">
        <v>222</v>
      </c>
      <c r="E6164">
        <v>222</v>
      </c>
      <c r="F6164">
        <v>221</v>
      </c>
      <c r="G6164">
        <v>221</v>
      </c>
      <c r="H6164">
        <v>-1</v>
      </c>
      <c r="I6164">
        <v>23</v>
      </c>
    </row>
    <row r="6165" spans="1:9" x14ac:dyDescent="0.25">
      <c r="A6165" t="s">
        <v>1299</v>
      </c>
      <c r="B6165">
        <v>26</v>
      </c>
      <c r="C6165" s="1">
        <v>5630</v>
      </c>
      <c r="D6165">
        <v>221</v>
      </c>
      <c r="E6165">
        <v>222</v>
      </c>
      <c r="F6165">
        <v>220</v>
      </c>
      <c r="G6165">
        <v>221.5</v>
      </c>
      <c r="H6165">
        <v>0.5</v>
      </c>
      <c r="I6165">
        <v>42</v>
      </c>
    </row>
    <row r="6166" spans="1:9" x14ac:dyDescent="0.25">
      <c r="A6166" t="s">
        <v>1300</v>
      </c>
      <c r="B6166">
        <v>32</v>
      </c>
      <c r="C6166" s="1">
        <v>7106</v>
      </c>
      <c r="D6166">
        <v>222</v>
      </c>
      <c r="E6166">
        <v>222</v>
      </c>
      <c r="F6166">
        <v>221</v>
      </c>
      <c r="G6166">
        <v>221</v>
      </c>
      <c r="H6166">
        <v>-0.5</v>
      </c>
      <c r="I6166">
        <v>58</v>
      </c>
    </row>
    <row r="6167" spans="1:9" x14ac:dyDescent="0.25">
      <c r="A6167" t="s">
        <v>1301</v>
      </c>
      <c r="B6167">
        <v>38</v>
      </c>
      <c r="C6167" s="1">
        <v>8290</v>
      </c>
      <c r="D6167">
        <v>221</v>
      </c>
      <c r="E6167">
        <v>221.5</v>
      </c>
      <c r="F6167">
        <v>220</v>
      </c>
      <c r="G6167">
        <v>221.5</v>
      </c>
      <c r="H6167">
        <v>0.5</v>
      </c>
      <c r="I6167">
        <v>40</v>
      </c>
    </row>
    <row r="6168" spans="1:9" x14ac:dyDescent="0.25">
      <c r="A6168" t="s">
        <v>951</v>
      </c>
      <c r="C6168" s="1"/>
    </row>
    <row r="6169" spans="1:9" x14ac:dyDescent="0.25">
      <c r="A6169" s="9" t="s">
        <v>1258</v>
      </c>
      <c r="B6169">
        <v>338</v>
      </c>
      <c r="C6169" s="1">
        <v>86930</v>
      </c>
      <c r="D6169">
        <v>252</v>
      </c>
      <c r="E6169">
        <v>260</v>
      </c>
      <c r="F6169">
        <v>252</v>
      </c>
      <c r="G6169">
        <v>258</v>
      </c>
      <c r="H6169">
        <v>5</v>
      </c>
      <c r="I6169">
        <v>229</v>
      </c>
    </row>
    <row r="6170" spans="1:9" x14ac:dyDescent="0.25">
      <c r="A6170" t="s">
        <v>1259</v>
      </c>
      <c r="B6170">
        <v>304</v>
      </c>
      <c r="C6170" s="1">
        <v>70758</v>
      </c>
      <c r="D6170">
        <v>228.5</v>
      </c>
      <c r="E6170">
        <v>241</v>
      </c>
      <c r="F6170">
        <v>228.5</v>
      </c>
      <c r="G6170">
        <v>236.5</v>
      </c>
      <c r="H6170">
        <v>11</v>
      </c>
      <c r="I6170">
        <v>308</v>
      </c>
    </row>
    <row r="6171" spans="1:9" x14ac:dyDescent="0.25">
      <c r="A6171" t="s">
        <v>1260</v>
      </c>
      <c r="B6171">
        <v>163</v>
      </c>
      <c r="C6171" s="1">
        <v>38940</v>
      </c>
      <c r="D6171">
        <v>238</v>
      </c>
      <c r="E6171">
        <v>245.5</v>
      </c>
      <c r="F6171">
        <v>235</v>
      </c>
      <c r="G6171">
        <v>235.5</v>
      </c>
      <c r="H6171">
        <v>-1</v>
      </c>
      <c r="I6171">
        <v>185</v>
      </c>
    </row>
    <row r="6172" spans="1:9" x14ac:dyDescent="0.25">
      <c r="A6172" t="s">
        <v>1261</v>
      </c>
      <c r="B6172">
        <v>53</v>
      </c>
      <c r="C6172" s="1">
        <v>12494</v>
      </c>
      <c r="D6172">
        <v>235.5</v>
      </c>
      <c r="E6172">
        <v>237.5</v>
      </c>
      <c r="F6172">
        <v>232.5</v>
      </c>
      <c r="G6172">
        <v>233</v>
      </c>
      <c r="H6172">
        <v>-2.5</v>
      </c>
      <c r="I6172">
        <v>102</v>
      </c>
    </row>
    <row r="6173" spans="1:9" x14ac:dyDescent="0.25">
      <c r="A6173" t="s">
        <v>1262</v>
      </c>
      <c r="B6173">
        <v>76</v>
      </c>
      <c r="C6173" s="1">
        <v>17496</v>
      </c>
      <c r="D6173">
        <v>231</v>
      </c>
      <c r="E6173">
        <v>231</v>
      </c>
      <c r="F6173">
        <v>227</v>
      </c>
      <c r="G6173">
        <v>231</v>
      </c>
      <c r="H6173">
        <v>-2</v>
      </c>
      <c r="I6173">
        <v>105</v>
      </c>
    </row>
    <row r="6174" spans="1:9" x14ac:dyDescent="0.25">
      <c r="A6174" t="s">
        <v>1263</v>
      </c>
      <c r="B6174">
        <v>41</v>
      </c>
      <c r="C6174" s="1">
        <v>9415</v>
      </c>
      <c r="D6174">
        <v>230</v>
      </c>
      <c r="E6174">
        <v>230</v>
      </c>
      <c r="F6174">
        <v>228</v>
      </c>
      <c r="G6174">
        <v>228.5</v>
      </c>
      <c r="H6174">
        <v>-2.5</v>
      </c>
      <c r="I6174">
        <v>58</v>
      </c>
    </row>
    <row r="6175" spans="1:9" x14ac:dyDescent="0.25">
      <c r="A6175" t="s">
        <v>1264</v>
      </c>
      <c r="B6175">
        <v>33</v>
      </c>
      <c r="C6175" s="1">
        <v>7502</v>
      </c>
      <c r="D6175">
        <v>228</v>
      </c>
      <c r="E6175">
        <v>229</v>
      </c>
      <c r="F6175">
        <v>226.5</v>
      </c>
      <c r="G6175">
        <v>229</v>
      </c>
      <c r="H6175">
        <v>0.5</v>
      </c>
      <c r="I6175">
        <v>60</v>
      </c>
    </row>
    <row r="6176" spans="1:9" x14ac:dyDescent="0.25">
      <c r="A6176" t="s">
        <v>1265</v>
      </c>
      <c r="B6176">
        <v>26</v>
      </c>
      <c r="C6176" s="1">
        <v>5924</v>
      </c>
      <c r="D6176">
        <v>226.5</v>
      </c>
      <c r="E6176">
        <v>227.5</v>
      </c>
      <c r="F6176">
        <v>226.5</v>
      </c>
      <c r="G6176">
        <v>226.5</v>
      </c>
      <c r="H6176">
        <v>-2.5</v>
      </c>
      <c r="I6176">
        <v>48</v>
      </c>
    </row>
    <row r="6177" spans="1:9" x14ac:dyDescent="0.25">
      <c r="A6177" t="s">
        <v>1266</v>
      </c>
      <c r="B6177">
        <v>65</v>
      </c>
      <c r="C6177" s="1">
        <v>14759</v>
      </c>
      <c r="D6177">
        <v>226.5</v>
      </c>
      <c r="E6177">
        <v>226.5</v>
      </c>
      <c r="F6177">
        <v>225.5</v>
      </c>
      <c r="G6177">
        <v>226</v>
      </c>
      <c r="H6177">
        <v>-0.5</v>
      </c>
      <c r="I6177">
        <v>70</v>
      </c>
    </row>
    <row r="6178" spans="1:9" x14ac:dyDescent="0.25">
      <c r="A6178" t="s">
        <v>1267</v>
      </c>
      <c r="B6178">
        <v>30</v>
      </c>
      <c r="C6178" s="1">
        <v>6673</v>
      </c>
      <c r="D6178">
        <v>225.5</v>
      </c>
      <c r="E6178">
        <v>225.5</v>
      </c>
      <c r="F6178">
        <v>225</v>
      </c>
      <c r="G6178">
        <v>225.5</v>
      </c>
      <c r="H6178">
        <v>-0.5</v>
      </c>
      <c r="I6178">
        <v>53</v>
      </c>
    </row>
    <row r="6179" spans="1:9" x14ac:dyDescent="0.25">
      <c r="A6179" t="s">
        <v>1268</v>
      </c>
      <c r="B6179">
        <v>81</v>
      </c>
      <c r="C6179" s="1">
        <v>18185</v>
      </c>
      <c r="D6179">
        <v>225</v>
      </c>
      <c r="E6179">
        <v>226</v>
      </c>
      <c r="F6179">
        <v>225</v>
      </c>
      <c r="G6179">
        <v>225.5</v>
      </c>
      <c r="H6179">
        <v>0</v>
      </c>
      <c r="I6179">
        <v>66</v>
      </c>
    </row>
    <row r="6180" spans="1:9" x14ac:dyDescent="0.25">
      <c r="A6180" t="s">
        <v>1269</v>
      </c>
      <c r="B6180">
        <v>43</v>
      </c>
      <c r="C6180" s="1">
        <v>9792</v>
      </c>
      <c r="D6180">
        <v>225</v>
      </c>
      <c r="E6180">
        <v>230</v>
      </c>
      <c r="F6180">
        <v>225</v>
      </c>
      <c r="G6180">
        <v>230</v>
      </c>
      <c r="H6180">
        <v>4.5</v>
      </c>
      <c r="I6180">
        <v>62</v>
      </c>
    </row>
    <row r="6181" spans="1:9" x14ac:dyDescent="0.25">
      <c r="A6181" t="s">
        <v>1270</v>
      </c>
      <c r="B6181">
        <v>45</v>
      </c>
      <c r="C6181" s="1">
        <v>10434</v>
      </c>
      <c r="D6181">
        <v>230</v>
      </c>
      <c r="E6181">
        <v>234</v>
      </c>
      <c r="F6181">
        <v>230</v>
      </c>
      <c r="G6181">
        <v>233.5</v>
      </c>
      <c r="H6181">
        <v>3.5</v>
      </c>
      <c r="I6181">
        <v>61</v>
      </c>
    </row>
    <row r="6182" spans="1:9" x14ac:dyDescent="0.25">
      <c r="A6182" t="s">
        <v>1271</v>
      </c>
      <c r="B6182">
        <v>62</v>
      </c>
      <c r="C6182" s="1">
        <v>14477</v>
      </c>
      <c r="D6182">
        <v>235.5</v>
      </c>
      <c r="E6182">
        <v>236</v>
      </c>
      <c r="F6182">
        <v>234</v>
      </c>
      <c r="G6182">
        <v>234.5</v>
      </c>
      <c r="H6182">
        <v>1</v>
      </c>
      <c r="I6182">
        <v>68</v>
      </c>
    </row>
    <row r="6183" spans="1:9" x14ac:dyDescent="0.25">
      <c r="A6183" t="s">
        <v>1272</v>
      </c>
      <c r="B6183">
        <v>22</v>
      </c>
      <c r="C6183" s="1">
        <v>5203</v>
      </c>
      <c r="D6183">
        <v>236</v>
      </c>
      <c r="E6183">
        <v>236</v>
      </c>
      <c r="F6183">
        <v>235</v>
      </c>
      <c r="G6183">
        <v>235</v>
      </c>
      <c r="H6183">
        <v>0.5</v>
      </c>
      <c r="I6183">
        <v>26</v>
      </c>
    </row>
    <row r="6184" spans="1:9" x14ac:dyDescent="0.25">
      <c r="A6184" t="s">
        <v>1273</v>
      </c>
      <c r="B6184">
        <v>51</v>
      </c>
      <c r="C6184" s="1">
        <v>11750</v>
      </c>
      <c r="D6184">
        <v>235</v>
      </c>
      <c r="E6184">
        <v>235</v>
      </c>
      <c r="F6184">
        <v>228.5</v>
      </c>
      <c r="G6184">
        <v>230</v>
      </c>
      <c r="H6184">
        <v>-5</v>
      </c>
      <c r="I6184">
        <v>63</v>
      </c>
    </row>
    <row r="6185" spans="1:9" x14ac:dyDescent="0.25">
      <c r="A6185" t="s">
        <v>1274</v>
      </c>
      <c r="B6185">
        <v>23</v>
      </c>
      <c r="C6185" s="1">
        <v>5161</v>
      </c>
      <c r="D6185">
        <v>230</v>
      </c>
      <c r="E6185">
        <v>230</v>
      </c>
      <c r="F6185">
        <v>227.5</v>
      </c>
      <c r="G6185">
        <v>228.5</v>
      </c>
      <c r="H6185">
        <v>-1.5</v>
      </c>
      <c r="I6185">
        <v>42</v>
      </c>
    </row>
    <row r="6186" spans="1:9" x14ac:dyDescent="0.25">
      <c r="A6186" t="s">
        <v>1275</v>
      </c>
      <c r="B6186">
        <v>34</v>
      </c>
      <c r="C6186" s="1">
        <v>7637</v>
      </c>
      <c r="D6186">
        <v>228.5</v>
      </c>
      <c r="E6186">
        <v>228.5</v>
      </c>
      <c r="F6186">
        <v>226</v>
      </c>
      <c r="G6186">
        <v>226</v>
      </c>
      <c r="H6186">
        <v>-2.5</v>
      </c>
      <c r="I6186">
        <v>53</v>
      </c>
    </row>
    <row r="6187" spans="1:9" x14ac:dyDescent="0.25">
      <c r="A6187" t="s">
        <v>1276</v>
      </c>
      <c r="B6187">
        <v>19</v>
      </c>
      <c r="C6187" s="1">
        <v>4307</v>
      </c>
      <c r="D6187">
        <v>226</v>
      </c>
      <c r="E6187">
        <v>228</v>
      </c>
      <c r="F6187">
        <v>226</v>
      </c>
      <c r="G6187">
        <v>227.5</v>
      </c>
      <c r="H6187">
        <v>1.5</v>
      </c>
      <c r="I6187">
        <v>29</v>
      </c>
    </row>
    <row r="6188" spans="1:9" x14ac:dyDescent="0.25">
      <c r="A6188" t="s">
        <v>1277</v>
      </c>
      <c r="B6188">
        <v>47</v>
      </c>
      <c r="C6188" s="1">
        <v>10798</v>
      </c>
      <c r="D6188">
        <v>232</v>
      </c>
      <c r="E6188">
        <v>232</v>
      </c>
      <c r="F6188">
        <v>226</v>
      </c>
      <c r="G6188">
        <v>226</v>
      </c>
      <c r="H6188">
        <v>-1.5</v>
      </c>
      <c r="I6188">
        <v>64</v>
      </c>
    </row>
    <row r="6189" spans="1:9" x14ac:dyDescent="0.25">
      <c r="A6189" t="s">
        <v>1278</v>
      </c>
      <c r="B6189">
        <v>14</v>
      </c>
      <c r="C6189" s="1">
        <v>3198</v>
      </c>
      <c r="D6189">
        <v>226</v>
      </c>
      <c r="E6189">
        <v>226</v>
      </c>
      <c r="F6189">
        <v>225.5</v>
      </c>
      <c r="G6189">
        <v>225.5</v>
      </c>
      <c r="H6189">
        <v>-0.5</v>
      </c>
      <c r="I6189">
        <v>38</v>
      </c>
    </row>
    <row r="6190" spans="1:9" x14ac:dyDescent="0.25">
      <c r="A6190" t="s">
        <v>973</v>
      </c>
      <c r="C6190" s="1"/>
    </row>
    <row r="6193" spans="1:9" x14ac:dyDescent="0.25">
      <c r="A6193" s="9" t="s">
        <v>928</v>
      </c>
      <c r="B6193">
        <v>60</v>
      </c>
      <c r="C6193" s="1">
        <v>15025</v>
      </c>
      <c r="D6193">
        <v>251.5</v>
      </c>
      <c r="E6193">
        <v>252.5</v>
      </c>
      <c r="F6193">
        <v>251</v>
      </c>
      <c r="G6193">
        <v>251.5</v>
      </c>
      <c r="H6193">
        <v>0</v>
      </c>
      <c r="I6193">
        <v>57</v>
      </c>
    </row>
    <row r="6194" spans="1:9" x14ac:dyDescent="0.25">
      <c r="A6194" t="s">
        <v>929</v>
      </c>
      <c r="B6194">
        <v>62</v>
      </c>
      <c r="C6194" s="1">
        <v>15508</v>
      </c>
      <c r="D6194">
        <v>251.5</v>
      </c>
      <c r="E6194">
        <v>251.5</v>
      </c>
      <c r="F6194">
        <v>249</v>
      </c>
      <c r="G6194">
        <v>249</v>
      </c>
      <c r="H6194">
        <v>-2.5</v>
      </c>
      <c r="I6194">
        <v>83</v>
      </c>
    </row>
    <row r="6195" spans="1:9" x14ac:dyDescent="0.25">
      <c r="A6195" t="s">
        <v>930</v>
      </c>
      <c r="B6195">
        <v>98</v>
      </c>
      <c r="C6195" s="1">
        <v>24104</v>
      </c>
      <c r="D6195">
        <v>250</v>
      </c>
      <c r="E6195">
        <v>250</v>
      </c>
      <c r="F6195">
        <v>244</v>
      </c>
      <c r="G6195">
        <v>245.5</v>
      </c>
      <c r="H6195">
        <v>-3.5</v>
      </c>
      <c r="I6195">
        <v>131</v>
      </c>
    </row>
    <row r="6196" spans="1:9" x14ac:dyDescent="0.25">
      <c r="A6196" t="s">
        <v>931</v>
      </c>
      <c r="B6196">
        <v>96</v>
      </c>
      <c r="C6196" s="1">
        <v>23751</v>
      </c>
      <c r="D6196">
        <v>246</v>
      </c>
      <c r="E6196">
        <v>249.5</v>
      </c>
      <c r="F6196">
        <v>243.5</v>
      </c>
      <c r="G6196">
        <v>249</v>
      </c>
      <c r="H6196">
        <v>3.5</v>
      </c>
      <c r="I6196">
        <v>88</v>
      </c>
    </row>
    <row r="6197" spans="1:9" x14ac:dyDescent="0.25">
      <c r="A6197" t="s">
        <v>932</v>
      </c>
      <c r="B6197">
        <v>42</v>
      </c>
      <c r="C6197" s="1">
        <v>10400</v>
      </c>
      <c r="D6197">
        <v>249</v>
      </c>
      <c r="E6197">
        <v>251</v>
      </c>
      <c r="F6197">
        <v>248.5</v>
      </c>
      <c r="G6197">
        <v>251</v>
      </c>
      <c r="H6197">
        <v>2</v>
      </c>
      <c r="I6197">
        <v>44</v>
      </c>
    </row>
    <row r="6198" spans="1:9" x14ac:dyDescent="0.25">
      <c r="A6198" t="s">
        <v>933</v>
      </c>
      <c r="B6198">
        <v>37</v>
      </c>
      <c r="C6198" s="1">
        <v>9274</v>
      </c>
      <c r="D6198">
        <v>251</v>
      </c>
      <c r="E6198">
        <v>251.5</v>
      </c>
      <c r="F6198">
        <v>251</v>
      </c>
      <c r="G6198">
        <v>251</v>
      </c>
      <c r="H6198">
        <v>0</v>
      </c>
      <c r="I6198">
        <v>54</v>
      </c>
    </row>
    <row r="6199" spans="1:9" x14ac:dyDescent="0.25">
      <c r="A6199" t="s">
        <v>934</v>
      </c>
      <c r="B6199">
        <v>27</v>
      </c>
      <c r="C6199" s="1">
        <v>6824</v>
      </c>
      <c r="D6199">
        <v>252</v>
      </c>
      <c r="E6199">
        <v>252.5</v>
      </c>
      <c r="F6199">
        <v>251.5</v>
      </c>
      <c r="G6199">
        <v>251.5</v>
      </c>
      <c r="H6199">
        <v>0.5</v>
      </c>
      <c r="I6199">
        <v>42</v>
      </c>
    </row>
    <row r="6200" spans="1:9" x14ac:dyDescent="0.25">
      <c r="A6200" t="s">
        <v>935</v>
      </c>
      <c r="B6200">
        <v>41</v>
      </c>
      <c r="C6200" s="1">
        <v>10297</v>
      </c>
      <c r="D6200">
        <v>251</v>
      </c>
      <c r="E6200">
        <v>251</v>
      </c>
      <c r="F6200">
        <v>249</v>
      </c>
      <c r="G6200">
        <v>250</v>
      </c>
      <c r="H6200">
        <v>-1.5</v>
      </c>
      <c r="I6200">
        <v>47</v>
      </c>
    </row>
    <row r="6201" spans="1:9" x14ac:dyDescent="0.25">
      <c r="A6201" t="s">
        <v>936</v>
      </c>
      <c r="B6201">
        <v>14</v>
      </c>
      <c r="C6201" s="1">
        <v>3537</v>
      </c>
      <c r="D6201">
        <v>250</v>
      </c>
      <c r="E6201">
        <v>251</v>
      </c>
      <c r="F6201">
        <v>250</v>
      </c>
      <c r="G6201">
        <v>250</v>
      </c>
      <c r="H6201">
        <v>0</v>
      </c>
      <c r="I6201">
        <v>20</v>
      </c>
    </row>
    <row r="6202" spans="1:9" x14ac:dyDescent="0.25">
      <c r="A6202" t="s">
        <v>937</v>
      </c>
      <c r="B6202">
        <v>24</v>
      </c>
      <c r="C6202" s="1">
        <v>6049</v>
      </c>
      <c r="D6202">
        <v>250</v>
      </c>
      <c r="E6202">
        <v>250.5</v>
      </c>
      <c r="F6202">
        <v>249</v>
      </c>
      <c r="G6202">
        <v>250</v>
      </c>
      <c r="H6202">
        <v>0</v>
      </c>
      <c r="I6202">
        <v>31</v>
      </c>
    </row>
    <row r="6203" spans="1:9" x14ac:dyDescent="0.25">
      <c r="A6203" t="s">
        <v>938</v>
      </c>
      <c r="B6203">
        <v>62</v>
      </c>
      <c r="C6203" s="1">
        <v>15489</v>
      </c>
      <c r="D6203">
        <v>250</v>
      </c>
      <c r="E6203">
        <v>250</v>
      </c>
      <c r="F6203">
        <v>249.5</v>
      </c>
      <c r="G6203">
        <v>250</v>
      </c>
      <c r="H6203">
        <v>0</v>
      </c>
      <c r="I6203">
        <v>76</v>
      </c>
    </row>
    <row r="6204" spans="1:9" x14ac:dyDescent="0.25">
      <c r="A6204" t="s">
        <v>939</v>
      </c>
      <c r="B6204">
        <v>21</v>
      </c>
      <c r="C6204" s="1">
        <v>5218</v>
      </c>
      <c r="D6204">
        <v>250</v>
      </c>
      <c r="E6204">
        <v>250</v>
      </c>
      <c r="F6204">
        <v>249.5</v>
      </c>
      <c r="G6204">
        <v>250</v>
      </c>
      <c r="H6204">
        <v>0</v>
      </c>
      <c r="I6204">
        <v>25</v>
      </c>
    </row>
    <row r="6205" spans="1:9" x14ac:dyDescent="0.25">
      <c r="A6205" t="s">
        <v>940</v>
      </c>
      <c r="B6205">
        <v>12</v>
      </c>
      <c r="C6205" s="1">
        <v>3100</v>
      </c>
      <c r="D6205">
        <v>250</v>
      </c>
      <c r="E6205">
        <v>250.5</v>
      </c>
      <c r="F6205">
        <v>250</v>
      </c>
      <c r="G6205">
        <v>250</v>
      </c>
      <c r="H6205">
        <v>0</v>
      </c>
      <c r="I6205">
        <v>23</v>
      </c>
    </row>
    <row r="6206" spans="1:9" x14ac:dyDescent="0.25">
      <c r="A6206" t="s">
        <v>941</v>
      </c>
      <c r="B6206">
        <v>21</v>
      </c>
      <c r="C6206" s="1">
        <v>5167</v>
      </c>
      <c r="D6206">
        <v>250</v>
      </c>
      <c r="E6206">
        <v>250.5</v>
      </c>
      <c r="F6206">
        <v>250</v>
      </c>
      <c r="G6206">
        <v>250.5</v>
      </c>
      <c r="H6206">
        <v>0.5</v>
      </c>
      <c r="I6206">
        <v>37</v>
      </c>
    </row>
    <row r="6207" spans="1:9" x14ac:dyDescent="0.25">
      <c r="A6207" t="s">
        <v>942</v>
      </c>
      <c r="B6207">
        <v>28</v>
      </c>
      <c r="C6207" s="1">
        <v>7019</v>
      </c>
      <c r="D6207">
        <v>251</v>
      </c>
      <c r="E6207">
        <v>251</v>
      </c>
      <c r="F6207">
        <v>250</v>
      </c>
      <c r="G6207">
        <v>250.5</v>
      </c>
      <c r="H6207">
        <v>0</v>
      </c>
      <c r="I6207">
        <v>26</v>
      </c>
    </row>
    <row r="6208" spans="1:9" x14ac:dyDescent="0.25">
      <c r="A6208" t="s">
        <v>943</v>
      </c>
      <c r="B6208">
        <v>31</v>
      </c>
      <c r="C6208" s="1">
        <v>7826</v>
      </c>
      <c r="D6208">
        <v>250.5</v>
      </c>
      <c r="E6208">
        <v>253</v>
      </c>
      <c r="F6208">
        <v>250</v>
      </c>
      <c r="G6208">
        <v>252.5</v>
      </c>
      <c r="H6208">
        <v>2</v>
      </c>
      <c r="I6208">
        <v>33</v>
      </c>
    </row>
    <row r="6209" spans="1:9" x14ac:dyDescent="0.25">
      <c r="A6209" t="s">
        <v>944</v>
      </c>
      <c r="B6209">
        <v>41</v>
      </c>
      <c r="C6209" s="1">
        <v>10287</v>
      </c>
      <c r="D6209">
        <v>252</v>
      </c>
      <c r="E6209">
        <v>254.5</v>
      </c>
      <c r="F6209">
        <v>252</v>
      </c>
      <c r="G6209">
        <v>253.5</v>
      </c>
      <c r="H6209">
        <v>1</v>
      </c>
      <c r="I6209">
        <v>57</v>
      </c>
    </row>
    <row r="6210" spans="1:9" x14ac:dyDescent="0.25">
      <c r="A6210" t="s">
        <v>945</v>
      </c>
      <c r="B6210">
        <v>18</v>
      </c>
      <c r="C6210" s="1">
        <v>4662</v>
      </c>
      <c r="D6210">
        <v>253.5</v>
      </c>
      <c r="E6210">
        <v>254</v>
      </c>
      <c r="F6210">
        <v>253</v>
      </c>
      <c r="G6210">
        <v>254</v>
      </c>
      <c r="H6210">
        <v>0.5</v>
      </c>
      <c r="I6210">
        <v>27</v>
      </c>
    </row>
    <row r="6211" spans="1:9" x14ac:dyDescent="0.25">
      <c r="A6211" t="s">
        <v>946</v>
      </c>
      <c r="B6211">
        <v>54</v>
      </c>
      <c r="C6211" s="1">
        <v>13608</v>
      </c>
      <c r="D6211">
        <v>253</v>
      </c>
      <c r="E6211">
        <v>254</v>
      </c>
      <c r="F6211">
        <v>250</v>
      </c>
      <c r="G6211">
        <v>253</v>
      </c>
      <c r="H6211">
        <v>-1</v>
      </c>
      <c r="I6211">
        <v>47</v>
      </c>
    </row>
    <row r="6212" spans="1:9" x14ac:dyDescent="0.25">
      <c r="A6212" t="s">
        <v>947</v>
      </c>
      <c r="B6212">
        <v>43</v>
      </c>
      <c r="C6212" s="1">
        <v>10769</v>
      </c>
      <c r="D6212">
        <v>253</v>
      </c>
      <c r="E6212">
        <v>253</v>
      </c>
      <c r="F6212">
        <v>252</v>
      </c>
      <c r="G6212">
        <v>253</v>
      </c>
      <c r="H6212">
        <v>0</v>
      </c>
      <c r="I6212">
        <v>39</v>
      </c>
    </row>
    <row r="6213" spans="1:9" x14ac:dyDescent="0.25">
      <c r="A6213" t="s">
        <v>948</v>
      </c>
      <c r="B6213">
        <v>29</v>
      </c>
      <c r="C6213" s="1">
        <v>7349</v>
      </c>
      <c r="D6213">
        <v>252.5</v>
      </c>
      <c r="E6213">
        <v>252.5</v>
      </c>
      <c r="F6213">
        <v>251</v>
      </c>
      <c r="G6213">
        <v>252.5</v>
      </c>
      <c r="H6213">
        <v>-0.5</v>
      </c>
      <c r="I6213">
        <v>29</v>
      </c>
    </row>
    <row r="6214" spans="1:9" x14ac:dyDescent="0.25">
      <c r="A6214" t="s">
        <v>949</v>
      </c>
      <c r="B6214">
        <v>54</v>
      </c>
      <c r="C6214" s="1">
        <v>13673</v>
      </c>
      <c r="D6214">
        <v>252</v>
      </c>
      <c r="E6214">
        <v>252</v>
      </c>
      <c r="F6214">
        <v>251</v>
      </c>
      <c r="G6214">
        <v>252</v>
      </c>
      <c r="H6214">
        <v>-0.5</v>
      </c>
      <c r="I6214">
        <v>43</v>
      </c>
    </row>
    <row r="6215" spans="1:9" x14ac:dyDescent="0.25">
      <c r="A6215" t="s">
        <v>950</v>
      </c>
      <c r="B6215">
        <v>92</v>
      </c>
      <c r="C6215" s="1">
        <v>23140</v>
      </c>
      <c r="D6215">
        <v>250.5</v>
      </c>
      <c r="E6215">
        <v>253</v>
      </c>
      <c r="F6215">
        <v>250.5</v>
      </c>
      <c r="G6215">
        <v>253</v>
      </c>
      <c r="H6215">
        <v>1</v>
      </c>
      <c r="I6215">
        <v>86</v>
      </c>
    </row>
    <row r="6216" spans="1:9" x14ac:dyDescent="0.25">
      <c r="A6216" t="s">
        <v>951</v>
      </c>
      <c r="C6216" s="1"/>
    </row>
    <row r="6217" spans="1:9" x14ac:dyDescent="0.25">
      <c r="A6217" s="9" t="s">
        <v>907</v>
      </c>
      <c r="B6217">
        <v>181</v>
      </c>
      <c r="C6217" s="1">
        <v>45502</v>
      </c>
      <c r="D6217">
        <v>247.5</v>
      </c>
      <c r="E6217">
        <v>253</v>
      </c>
      <c r="F6217">
        <v>247.5</v>
      </c>
      <c r="G6217">
        <v>252.5</v>
      </c>
      <c r="H6217">
        <v>5.5</v>
      </c>
      <c r="I6217">
        <v>167</v>
      </c>
    </row>
    <row r="6218" spans="1:9" x14ac:dyDescent="0.25">
      <c r="A6218" t="s">
        <v>908</v>
      </c>
      <c r="B6218">
        <v>219</v>
      </c>
      <c r="C6218" s="1">
        <v>55974</v>
      </c>
      <c r="D6218">
        <v>253</v>
      </c>
      <c r="E6218">
        <v>259</v>
      </c>
      <c r="F6218">
        <v>252.5</v>
      </c>
      <c r="G6218">
        <v>252.5</v>
      </c>
      <c r="H6218">
        <v>0</v>
      </c>
      <c r="I6218">
        <v>170</v>
      </c>
    </row>
    <row r="6219" spans="1:9" x14ac:dyDescent="0.25">
      <c r="A6219" t="s">
        <v>909</v>
      </c>
      <c r="B6219">
        <v>110</v>
      </c>
      <c r="C6219" s="1">
        <v>27730</v>
      </c>
      <c r="D6219">
        <v>253</v>
      </c>
      <c r="E6219">
        <v>253.5</v>
      </c>
      <c r="F6219">
        <v>248</v>
      </c>
      <c r="G6219">
        <v>251</v>
      </c>
      <c r="H6219">
        <v>-1.5</v>
      </c>
      <c r="I6219">
        <v>101</v>
      </c>
    </row>
    <row r="6220" spans="1:9" x14ac:dyDescent="0.25">
      <c r="A6220" t="s">
        <v>910</v>
      </c>
      <c r="B6220">
        <v>65</v>
      </c>
      <c r="C6220" s="1">
        <v>16203</v>
      </c>
      <c r="D6220">
        <v>251</v>
      </c>
      <c r="E6220">
        <v>251.5</v>
      </c>
      <c r="F6220">
        <v>249.5</v>
      </c>
      <c r="G6220">
        <v>249.5</v>
      </c>
      <c r="H6220">
        <v>-1.5</v>
      </c>
      <c r="I6220">
        <v>62</v>
      </c>
    </row>
    <row r="6221" spans="1:9" x14ac:dyDescent="0.25">
      <c r="A6221" t="s">
        <v>911</v>
      </c>
      <c r="B6221">
        <v>104</v>
      </c>
      <c r="C6221" s="1">
        <v>25965</v>
      </c>
      <c r="D6221">
        <v>252</v>
      </c>
      <c r="E6221">
        <v>254</v>
      </c>
      <c r="F6221">
        <v>248.5</v>
      </c>
      <c r="G6221">
        <v>250</v>
      </c>
      <c r="H6221">
        <v>0.5</v>
      </c>
      <c r="I6221">
        <v>99</v>
      </c>
    </row>
    <row r="6222" spans="1:9" x14ac:dyDescent="0.25">
      <c r="A6222" t="s">
        <v>912</v>
      </c>
      <c r="B6222">
        <v>237</v>
      </c>
      <c r="C6222" s="1">
        <v>58409</v>
      </c>
      <c r="D6222">
        <v>250</v>
      </c>
      <c r="E6222">
        <v>250</v>
      </c>
      <c r="F6222">
        <v>242</v>
      </c>
      <c r="G6222">
        <v>248.5</v>
      </c>
      <c r="H6222">
        <v>-1.5</v>
      </c>
      <c r="I6222">
        <v>234</v>
      </c>
    </row>
    <row r="6223" spans="1:9" x14ac:dyDescent="0.25">
      <c r="A6223" t="s">
        <v>913</v>
      </c>
      <c r="B6223">
        <v>94</v>
      </c>
      <c r="C6223" s="1">
        <v>23449</v>
      </c>
      <c r="D6223">
        <v>250</v>
      </c>
      <c r="E6223">
        <v>251</v>
      </c>
      <c r="F6223">
        <v>248</v>
      </c>
      <c r="G6223">
        <v>250</v>
      </c>
      <c r="H6223">
        <v>1.5</v>
      </c>
      <c r="I6223">
        <v>100</v>
      </c>
    </row>
    <row r="6224" spans="1:9" x14ac:dyDescent="0.25">
      <c r="A6224" t="s">
        <v>914</v>
      </c>
      <c r="B6224">
        <v>72</v>
      </c>
      <c r="C6224" s="1">
        <v>18161</v>
      </c>
      <c r="D6224">
        <v>250</v>
      </c>
      <c r="E6224">
        <v>252.5</v>
      </c>
      <c r="F6224">
        <v>249.5</v>
      </c>
      <c r="G6224">
        <v>252.5</v>
      </c>
      <c r="H6224">
        <v>2.5</v>
      </c>
      <c r="I6224">
        <v>83</v>
      </c>
    </row>
    <row r="6225" spans="1:9" x14ac:dyDescent="0.25">
      <c r="A6225" t="s">
        <v>915</v>
      </c>
      <c r="B6225">
        <v>54</v>
      </c>
      <c r="C6225" s="1">
        <v>13641</v>
      </c>
      <c r="D6225">
        <v>252.5</v>
      </c>
      <c r="E6225">
        <v>254.5</v>
      </c>
      <c r="F6225">
        <v>251</v>
      </c>
      <c r="G6225">
        <v>253.5</v>
      </c>
      <c r="H6225">
        <v>1</v>
      </c>
      <c r="I6225">
        <v>65</v>
      </c>
    </row>
    <row r="6226" spans="1:9" x14ac:dyDescent="0.25">
      <c r="A6226" t="s">
        <v>916</v>
      </c>
      <c r="B6226">
        <v>76</v>
      </c>
      <c r="C6226" s="1">
        <v>19291</v>
      </c>
      <c r="D6226">
        <v>255</v>
      </c>
      <c r="E6226">
        <v>257</v>
      </c>
      <c r="F6226">
        <v>253.5</v>
      </c>
      <c r="G6226">
        <v>257</v>
      </c>
      <c r="H6226">
        <v>3.5</v>
      </c>
      <c r="I6226">
        <v>71</v>
      </c>
    </row>
    <row r="6227" spans="1:9" x14ac:dyDescent="0.25">
      <c r="A6227" t="s">
        <v>917</v>
      </c>
      <c r="B6227">
        <v>50</v>
      </c>
      <c r="C6227" s="1">
        <v>12867</v>
      </c>
      <c r="D6227">
        <v>257</v>
      </c>
      <c r="E6227">
        <v>257</v>
      </c>
      <c r="F6227">
        <v>254</v>
      </c>
      <c r="G6227">
        <v>254</v>
      </c>
      <c r="H6227">
        <v>-3</v>
      </c>
      <c r="I6227">
        <v>52</v>
      </c>
    </row>
    <row r="6228" spans="1:9" x14ac:dyDescent="0.25">
      <c r="A6228" t="s">
        <v>918</v>
      </c>
      <c r="B6228">
        <v>40</v>
      </c>
      <c r="C6228" s="1">
        <v>10097</v>
      </c>
      <c r="D6228">
        <v>255</v>
      </c>
      <c r="E6228">
        <v>255</v>
      </c>
      <c r="F6228">
        <v>251</v>
      </c>
      <c r="G6228">
        <v>253</v>
      </c>
      <c r="H6228">
        <v>-1</v>
      </c>
      <c r="I6228">
        <v>51</v>
      </c>
    </row>
    <row r="6229" spans="1:9" x14ac:dyDescent="0.25">
      <c r="A6229" t="s">
        <v>919</v>
      </c>
      <c r="B6229">
        <v>24</v>
      </c>
      <c r="C6229" s="1">
        <v>6069</v>
      </c>
      <c r="D6229">
        <v>251</v>
      </c>
      <c r="E6229">
        <v>253</v>
      </c>
      <c r="F6229">
        <v>250</v>
      </c>
      <c r="G6229">
        <v>253</v>
      </c>
      <c r="H6229">
        <v>0</v>
      </c>
      <c r="I6229">
        <v>49</v>
      </c>
    </row>
    <row r="6230" spans="1:9" x14ac:dyDescent="0.25">
      <c r="A6230" t="s">
        <v>920</v>
      </c>
      <c r="B6230">
        <v>76</v>
      </c>
      <c r="C6230" s="1">
        <v>18902</v>
      </c>
      <c r="D6230">
        <v>252</v>
      </c>
      <c r="E6230">
        <v>252.5</v>
      </c>
      <c r="F6230">
        <v>248.5</v>
      </c>
      <c r="G6230">
        <v>249.5</v>
      </c>
      <c r="H6230">
        <v>-3.5</v>
      </c>
      <c r="I6230">
        <v>93</v>
      </c>
    </row>
    <row r="6231" spans="1:9" x14ac:dyDescent="0.25">
      <c r="A6231" t="s">
        <v>921</v>
      </c>
      <c r="B6231">
        <v>67</v>
      </c>
      <c r="C6231" s="1">
        <v>16625</v>
      </c>
      <c r="D6231">
        <v>249.5</v>
      </c>
      <c r="E6231">
        <v>251</v>
      </c>
      <c r="F6231">
        <v>249</v>
      </c>
      <c r="G6231">
        <v>250</v>
      </c>
      <c r="H6231">
        <v>0.5</v>
      </c>
      <c r="I6231">
        <v>82</v>
      </c>
    </row>
    <row r="6232" spans="1:9" x14ac:dyDescent="0.25">
      <c r="A6232" t="s">
        <v>922</v>
      </c>
      <c r="B6232">
        <v>60</v>
      </c>
      <c r="C6232" s="1">
        <v>15163</v>
      </c>
      <c r="D6232">
        <v>250</v>
      </c>
      <c r="E6232">
        <v>257</v>
      </c>
      <c r="F6232">
        <v>250</v>
      </c>
      <c r="G6232">
        <v>256.5</v>
      </c>
      <c r="H6232">
        <v>6.5</v>
      </c>
      <c r="I6232">
        <v>83</v>
      </c>
    </row>
    <row r="6233" spans="1:9" x14ac:dyDescent="0.25">
      <c r="A6233" t="s">
        <v>923</v>
      </c>
      <c r="B6233">
        <v>90</v>
      </c>
      <c r="C6233" s="1">
        <v>23288</v>
      </c>
      <c r="D6233">
        <v>256.5</v>
      </c>
      <c r="E6233">
        <v>258</v>
      </c>
      <c r="F6233">
        <v>256</v>
      </c>
      <c r="G6233">
        <v>257</v>
      </c>
      <c r="H6233">
        <v>0.5</v>
      </c>
      <c r="I6233">
        <v>73</v>
      </c>
    </row>
    <row r="6234" spans="1:9" x14ac:dyDescent="0.25">
      <c r="A6234" t="s">
        <v>924</v>
      </c>
      <c r="B6234">
        <v>34</v>
      </c>
      <c r="C6234" s="1">
        <v>8624</v>
      </c>
      <c r="D6234">
        <v>258</v>
      </c>
      <c r="E6234">
        <v>258</v>
      </c>
      <c r="F6234">
        <v>252</v>
      </c>
      <c r="G6234">
        <v>256</v>
      </c>
      <c r="H6234">
        <v>-1</v>
      </c>
      <c r="I6234">
        <v>40</v>
      </c>
    </row>
    <row r="6235" spans="1:9" x14ac:dyDescent="0.25">
      <c r="A6235" t="s">
        <v>925</v>
      </c>
      <c r="B6235">
        <v>32</v>
      </c>
      <c r="C6235" s="1">
        <v>8166</v>
      </c>
      <c r="D6235">
        <v>253.5</v>
      </c>
      <c r="E6235">
        <v>256</v>
      </c>
      <c r="F6235">
        <v>252.5</v>
      </c>
      <c r="G6235">
        <v>253</v>
      </c>
      <c r="H6235">
        <v>-3</v>
      </c>
      <c r="I6235">
        <v>47</v>
      </c>
    </row>
    <row r="6236" spans="1:9" x14ac:dyDescent="0.25">
      <c r="A6236" t="s">
        <v>926</v>
      </c>
      <c r="B6236">
        <v>42</v>
      </c>
      <c r="C6236" s="1">
        <v>10685</v>
      </c>
      <c r="D6236">
        <v>253</v>
      </c>
      <c r="E6236">
        <v>253.5</v>
      </c>
      <c r="F6236">
        <v>251.5</v>
      </c>
      <c r="G6236">
        <v>251.5</v>
      </c>
      <c r="H6236">
        <v>-1.5</v>
      </c>
      <c r="I6236">
        <v>49</v>
      </c>
    </row>
    <row r="6237" spans="1:9" x14ac:dyDescent="0.25">
      <c r="A6237" t="s">
        <v>927</v>
      </c>
      <c r="C6237" s="1"/>
    </row>
    <row r="6241" spans="1:9" x14ac:dyDescent="0.25">
      <c r="A6241" s="9" t="s">
        <v>840</v>
      </c>
      <c r="B6241">
        <v>62</v>
      </c>
      <c r="C6241" s="1">
        <v>14807</v>
      </c>
      <c r="D6241">
        <v>237</v>
      </c>
      <c r="E6241">
        <v>239.5</v>
      </c>
      <c r="F6241">
        <v>235.5</v>
      </c>
      <c r="G6241">
        <v>238.5</v>
      </c>
      <c r="H6241">
        <v>1.5</v>
      </c>
      <c r="I6241">
        <v>64</v>
      </c>
    </row>
    <row r="6242" spans="1:9" x14ac:dyDescent="0.25">
      <c r="A6242" t="s">
        <v>841</v>
      </c>
      <c r="B6242">
        <v>85</v>
      </c>
      <c r="C6242" s="1">
        <v>20165</v>
      </c>
      <c r="D6242">
        <v>238</v>
      </c>
      <c r="E6242">
        <v>239.5</v>
      </c>
      <c r="F6242">
        <v>237</v>
      </c>
      <c r="G6242">
        <v>239.5</v>
      </c>
      <c r="H6242">
        <v>1</v>
      </c>
      <c r="I6242">
        <v>46</v>
      </c>
    </row>
    <row r="6243" spans="1:9" x14ac:dyDescent="0.25">
      <c r="A6243" t="s">
        <v>839</v>
      </c>
      <c r="B6243">
        <v>153</v>
      </c>
      <c r="C6243" s="1">
        <v>36799</v>
      </c>
      <c r="D6243">
        <v>239.5</v>
      </c>
      <c r="E6243">
        <v>244.5</v>
      </c>
      <c r="F6243">
        <v>239</v>
      </c>
      <c r="G6243">
        <v>243</v>
      </c>
      <c r="H6243">
        <v>3.5</v>
      </c>
      <c r="I6243">
        <v>120</v>
      </c>
    </row>
    <row r="6244" spans="1:9" x14ac:dyDescent="0.25">
      <c r="A6244" t="s">
        <v>842</v>
      </c>
      <c r="B6244">
        <v>69</v>
      </c>
      <c r="C6244" s="1">
        <v>16561</v>
      </c>
      <c r="D6244">
        <v>243</v>
      </c>
      <c r="E6244">
        <v>243</v>
      </c>
      <c r="F6244">
        <v>239</v>
      </c>
      <c r="G6244">
        <v>240.5</v>
      </c>
      <c r="H6244">
        <v>-2.5</v>
      </c>
      <c r="I6244">
        <v>66</v>
      </c>
    </row>
    <row r="6245" spans="1:9" x14ac:dyDescent="0.25">
      <c r="A6245" t="s">
        <v>843</v>
      </c>
      <c r="B6245">
        <v>63</v>
      </c>
      <c r="C6245" s="1">
        <v>15019</v>
      </c>
      <c r="D6245">
        <v>240</v>
      </c>
      <c r="E6245">
        <v>240.5</v>
      </c>
      <c r="F6245">
        <v>238.5</v>
      </c>
      <c r="G6245">
        <v>239.5</v>
      </c>
      <c r="H6245">
        <v>-1</v>
      </c>
      <c r="I6245">
        <v>77</v>
      </c>
    </row>
    <row r="6246" spans="1:9" x14ac:dyDescent="0.25">
      <c r="A6246" t="s">
        <v>844</v>
      </c>
      <c r="B6246">
        <v>44</v>
      </c>
      <c r="C6246" s="1">
        <v>10469</v>
      </c>
      <c r="D6246">
        <v>239</v>
      </c>
      <c r="E6246">
        <v>240.5</v>
      </c>
      <c r="F6246">
        <v>238</v>
      </c>
      <c r="G6246">
        <v>240.5</v>
      </c>
      <c r="H6246">
        <v>1</v>
      </c>
      <c r="I6246">
        <v>53</v>
      </c>
    </row>
    <row r="6247" spans="1:9" x14ac:dyDescent="0.25">
      <c r="A6247" t="s">
        <v>845</v>
      </c>
      <c r="B6247">
        <v>22</v>
      </c>
      <c r="C6247" s="1">
        <v>5223</v>
      </c>
      <c r="D6247">
        <v>239</v>
      </c>
      <c r="E6247">
        <v>240</v>
      </c>
      <c r="F6247">
        <v>238.5</v>
      </c>
      <c r="G6247">
        <v>240</v>
      </c>
      <c r="H6247">
        <v>-0.5</v>
      </c>
      <c r="I6247">
        <v>32</v>
      </c>
    </row>
    <row r="6248" spans="1:9" x14ac:dyDescent="0.25">
      <c r="A6248" t="s">
        <v>846</v>
      </c>
      <c r="B6248">
        <v>58</v>
      </c>
      <c r="C6248" s="1">
        <v>13749</v>
      </c>
      <c r="D6248">
        <v>239.5</v>
      </c>
      <c r="E6248">
        <v>240</v>
      </c>
      <c r="F6248">
        <v>236</v>
      </c>
      <c r="G6248">
        <v>237</v>
      </c>
      <c r="H6248">
        <v>-3</v>
      </c>
      <c r="I6248">
        <v>77</v>
      </c>
    </row>
    <row r="6249" spans="1:9" x14ac:dyDescent="0.25">
      <c r="A6249" t="s">
        <v>847</v>
      </c>
      <c r="B6249">
        <v>37</v>
      </c>
      <c r="C6249" s="1">
        <v>8818</v>
      </c>
      <c r="D6249">
        <v>237</v>
      </c>
      <c r="E6249">
        <v>239</v>
      </c>
      <c r="F6249">
        <v>236.5</v>
      </c>
      <c r="G6249">
        <v>237</v>
      </c>
      <c r="H6249">
        <v>0</v>
      </c>
      <c r="I6249">
        <v>45</v>
      </c>
    </row>
    <row r="6250" spans="1:9" x14ac:dyDescent="0.25">
      <c r="A6250" t="s">
        <v>848</v>
      </c>
      <c r="B6250">
        <v>27</v>
      </c>
      <c r="C6250" s="1">
        <v>6485</v>
      </c>
      <c r="D6250">
        <v>237</v>
      </c>
      <c r="E6250">
        <v>240</v>
      </c>
      <c r="F6250">
        <v>237</v>
      </c>
      <c r="G6250">
        <v>240</v>
      </c>
      <c r="H6250">
        <v>3</v>
      </c>
      <c r="I6250">
        <v>42</v>
      </c>
    </row>
    <row r="6251" spans="1:9" x14ac:dyDescent="0.25">
      <c r="A6251" t="s">
        <v>849</v>
      </c>
      <c r="B6251">
        <v>14</v>
      </c>
      <c r="C6251" s="1">
        <v>3343</v>
      </c>
      <c r="D6251">
        <v>239</v>
      </c>
      <c r="E6251">
        <v>239</v>
      </c>
      <c r="F6251">
        <v>238</v>
      </c>
      <c r="G6251">
        <v>238</v>
      </c>
      <c r="H6251">
        <v>-2</v>
      </c>
      <c r="I6251">
        <v>25</v>
      </c>
    </row>
    <row r="6252" spans="1:9" x14ac:dyDescent="0.25">
      <c r="A6252" t="s">
        <v>850</v>
      </c>
      <c r="B6252">
        <v>68</v>
      </c>
      <c r="C6252" s="1">
        <v>16249</v>
      </c>
      <c r="D6252">
        <v>237.5</v>
      </c>
      <c r="E6252">
        <v>240.5</v>
      </c>
      <c r="F6252">
        <v>237.5</v>
      </c>
      <c r="G6252">
        <v>240.5</v>
      </c>
      <c r="H6252">
        <v>2.5</v>
      </c>
      <c r="I6252">
        <v>70</v>
      </c>
    </row>
    <row r="6253" spans="1:9" x14ac:dyDescent="0.25">
      <c r="A6253" t="s">
        <v>851</v>
      </c>
      <c r="B6253">
        <v>42</v>
      </c>
      <c r="C6253" s="1">
        <v>10001</v>
      </c>
      <c r="D6253">
        <v>240.5</v>
      </c>
      <c r="E6253">
        <v>242</v>
      </c>
      <c r="F6253">
        <v>239</v>
      </c>
      <c r="G6253">
        <v>240.5</v>
      </c>
      <c r="H6253">
        <v>0</v>
      </c>
      <c r="I6253">
        <v>42</v>
      </c>
    </row>
    <row r="6254" spans="1:9" x14ac:dyDescent="0.25">
      <c r="A6254" t="s">
        <v>852</v>
      </c>
      <c r="B6254">
        <v>43</v>
      </c>
      <c r="C6254" s="1">
        <v>10297</v>
      </c>
      <c r="D6254">
        <v>240</v>
      </c>
      <c r="E6254">
        <v>241</v>
      </c>
      <c r="F6254">
        <v>240</v>
      </c>
      <c r="G6254">
        <v>241</v>
      </c>
      <c r="H6254">
        <v>0.5</v>
      </c>
      <c r="I6254">
        <v>45</v>
      </c>
    </row>
    <row r="6255" spans="1:9" x14ac:dyDescent="0.25">
      <c r="A6255" t="s">
        <v>853</v>
      </c>
      <c r="B6255">
        <v>106</v>
      </c>
      <c r="C6255" s="1">
        <v>25654</v>
      </c>
      <c r="D6255">
        <v>241</v>
      </c>
      <c r="E6255">
        <v>244.5</v>
      </c>
      <c r="F6255">
        <v>241</v>
      </c>
      <c r="G6255">
        <v>243</v>
      </c>
      <c r="H6255">
        <v>2</v>
      </c>
      <c r="I6255">
        <v>69</v>
      </c>
    </row>
    <row r="6256" spans="1:9" x14ac:dyDescent="0.25">
      <c r="A6256" t="s">
        <v>854</v>
      </c>
      <c r="B6256">
        <v>63</v>
      </c>
      <c r="C6256" s="1">
        <v>15292</v>
      </c>
      <c r="D6256">
        <v>245</v>
      </c>
      <c r="E6256">
        <v>245.5</v>
      </c>
      <c r="F6256">
        <v>243.5</v>
      </c>
      <c r="G6256">
        <v>244</v>
      </c>
      <c r="H6256">
        <v>1</v>
      </c>
      <c r="I6256">
        <v>56</v>
      </c>
    </row>
    <row r="6257" spans="1:9" x14ac:dyDescent="0.25">
      <c r="A6257" t="s">
        <v>855</v>
      </c>
      <c r="B6257">
        <v>22</v>
      </c>
      <c r="C6257" s="1">
        <v>5411</v>
      </c>
      <c r="D6257">
        <v>244</v>
      </c>
      <c r="E6257">
        <v>244.5</v>
      </c>
      <c r="F6257">
        <v>243</v>
      </c>
      <c r="G6257">
        <v>244</v>
      </c>
      <c r="H6257">
        <v>0</v>
      </c>
      <c r="I6257">
        <v>38</v>
      </c>
    </row>
    <row r="6258" spans="1:9" x14ac:dyDescent="0.25">
      <c r="A6258" t="s">
        <v>856</v>
      </c>
      <c r="B6258">
        <v>89</v>
      </c>
      <c r="C6258" s="1">
        <v>21987</v>
      </c>
      <c r="D6258">
        <v>244</v>
      </c>
      <c r="E6258">
        <v>247</v>
      </c>
      <c r="F6258">
        <v>244</v>
      </c>
      <c r="G6258">
        <v>247</v>
      </c>
      <c r="H6258">
        <v>3</v>
      </c>
      <c r="I6258">
        <v>76</v>
      </c>
    </row>
    <row r="6259" spans="1:9" x14ac:dyDescent="0.25">
      <c r="A6259" t="s">
        <v>857</v>
      </c>
      <c r="C6259" s="1"/>
    </row>
    <row r="6265" spans="1:9" x14ac:dyDescent="0.25">
      <c r="A6265" s="9" t="s">
        <v>1235</v>
      </c>
      <c r="B6265">
        <v>49</v>
      </c>
      <c r="C6265" s="1">
        <v>10666</v>
      </c>
      <c r="D6265">
        <v>219</v>
      </c>
      <c r="E6265">
        <v>219</v>
      </c>
      <c r="F6265">
        <v>215</v>
      </c>
      <c r="G6265">
        <v>217</v>
      </c>
      <c r="H6265">
        <v>-2.5</v>
      </c>
      <c r="I6265">
        <v>35</v>
      </c>
    </row>
    <row r="6266" spans="1:9" x14ac:dyDescent="0.25">
      <c r="A6266" t="s">
        <v>1236</v>
      </c>
      <c r="B6266">
        <v>34</v>
      </c>
      <c r="C6266" s="1">
        <v>7522</v>
      </c>
      <c r="D6266">
        <v>217</v>
      </c>
      <c r="E6266">
        <v>220</v>
      </c>
      <c r="F6266">
        <v>217</v>
      </c>
      <c r="G6266">
        <v>219</v>
      </c>
      <c r="H6266">
        <v>2</v>
      </c>
      <c r="I6266">
        <v>34</v>
      </c>
    </row>
    <row r="6267" spans="1:9" x14ac:dyDescent="0.25">
      <c r="A6267" t="s">
        <v>1237</v>
      </c>
      <c r="B6267">
        <v>28</v>
      </c>
      <c r="C6267" s="1">
        <v>6122</v>
      </c>
      <c r="D6267">
        <v>219</v>
      </c>
      <c r="E6267">
        <v>219.5</v>
      </c>
      <c r="F6267">
        <v>218</v>
      </c>
      <c r="G6267">
        <v>219</v>
      </c>
      <c r="H6267">
        <v>0</v>
      </c>
      <c r="I6267">
        <v>22</v>
      </c>
    </row>
    <row r="6268" spans="1:9" x14ac:dyDescent="0.25">
      <c r="A6268" t="s">
        <v>1238</v>
      </c>
      <c r="B6268">
        <v>29</v>
      </c>
      <c r="C6268" s="1">
        <v>6330</v>
      </c>
      <c r="D6268">
        <v>219</v>
      </c>
      <c r="E6268">
        <v>219</v>
      </c>
      <c r="F6268">
        <v>217</v>
      </c>
      <c r="G6268">
        <v>219</v>
      </c>
      <c r="H6268">
        <v>0</v>
      </c>
      <c r="I6268">
        <v>27</v>
      </c>
    </row>
    <row r="6269" spans="1:9" x14ac:dyDescent="0.25">
      <c r="A6269" t="s">
        <v>1239</v>
      </c>
      <c r="B6269">
        <v>130</v>
      </c>
      <c r="C6269" s="1">
        <v>29011</v>
      </c>
      <c r="D6269">
        <v>219.5</v>
      </c>
      <c r="E6269">
        <v>228</v>
      </c>
      <c r="F6269">
        <v>219</v>
      </c>
      <c r="G6269">
        <v>225</v>
      </c>
      <c r="H6269">
        <v>6</v>
      </c>
      <c r="I6269">
        <v>112</v>
      </c>
    </row>
    <row r="6270" spans="1:9" x14ac:dyDescent="0.25">
      <c r="A6270" t="s">
        <v>1240</v>
      </c>
      <c r="B6270">
        <v>66</v>
      </c>
      <c r="C6270" s="1">
        <v>15147</v>
      </c>
      <c r="D6270">
        <v>226</v>
      </c>
      <c r="E6270">
        <v>229</v>
      </c>
      <c r="F6270">
        <v>225.5</v>
      </c>
      <c r="G6270">
        <v>229</v>
      </c>
      <c r="H6270">
        <v>4</v>
      </c>
      <c r="I6270">
        <v>73</v>
      </c>
    </row>
    <row r="6271" spans="1:9" x14ac:dyDescent="0.25">
      <c r="A6271" t="s">
        <v>1241</v>
      </c>
      <c r="B6271">
        <v>71</v>
      </c>
      <c r="C6271" s="1">
        <v>16073</v>
      </c>
      <c r="D6271">
        <v>227</v>
      </c>
      <c r="E6271">
        <v>229</v>
      </c>
      <c r="F6271">
        <v>225</v>
      </c>
      <c r="G6271">
        <v>228</v>
      </c>
      <c r="H6271">
        <v>-1</v>
      </c>
      <c r="I6271">
        <v>76</v>
      </c>
    </row>
    <row r="6272" spans="1:9" x14ac:dyDescent="0.25">
      <c r="A6272" t="s">
        <v>1242</v>
      </c>
      <c r="B6272">
        <v>44</v>
      </c>
      <c r="C6272" s="1">
        <v>10192</v>
      </c>
      <c r="D6272">
        <v>228</v>
      </c>
      <c r="E6272">
        <v>230.5</v>
      </c>
      <c r="F6272">
        <v>228</v>
      </c>
      <c r="G6272">
        <v>230</v>
      </c>
      <c r="H6272">
        <v>2</v>
      </c>
      <c r="I6272">
        <v>49</v>
      </c>
    </row>
    <row r="6273" spans="1:9" x14ac:dyDescent="0.25">
      <c r="A6273" t="s">
        <v>1243</v>
      </c>
      <c r="B6273">
        <v>230</v>
      </c>
      <c r="C6273" s="1">
        <v>54314</v>
      </c>
      <c r="D6273">
        <v>230</v>
      </c>
      <c r="E6273">
        <v>247</v>
      </c>
      <c r="F6273">
        <v>230</v>
      </c>
      <c r="G6273">
        <v>236</v>
      </c>
      <c r="H6273">
        <v>6</v>
      </c>
      <c r="I6273">
        <v>205</v>
      </c>
    </row>
    <row r="6274" spans="1:9" x14ac:dyDescent="0.25">
      <c r="A6274" t="s">
        <v>1244</v>
      </c>
      <c r="B6274">
        <v>165</v>
      </c>
      <c r="C6274" s="1">
        <v>39334</v>
      </c>
      <c r="D6274">
        <v>236</v>
      </c>
      <c r="E6274">
        <v>241.5</v>
      </c>
      <c r="F6274">
        <v>234.5</v>
      </c>
      <c r="G6274">
        <v>239</v>
      </c>
      <c r="H6274">
        <v>3</v>
      </c>
      <c r="I6274">
        <v>150</v>
      </c>
    </row>
    <row r="6275" spans="1:9" x14ac:dyDescent="0.25">
      <c r="A6275" t="s">
        <v>1245</v>
      </c>
      <c r="B6275">
        <v>43</v>
      </c>
      <c r="C6275" s="1">
        <v>10239</v>
      </c>
      <c r="D6275">
        <v>237</v>
      </c>
      <c r="E6275">
        <v>237.5</v>
      </c>
      <c r="F6275">
        <v>236</v>
      </c>
      <c r="G6275">
        <v>237</v>
      </c>
      <c r="H6275">
        <v>-2</v>
      </c>
      <c r="I6275">
        <v>42</v>
      </c>
    </row>
    <row r="6276" spans="1:9" x14ac:dyDescent="0.25">
      <c r="A6276" t="s">
        <v>1246</v>
      </c>
      <c r="B6276">
        <v>133</v>
      </c>
      <c r="C6276" s="1">
        <v>31954</v>
      </c>
      <c r="D6276">
        <v>237</v>
      </c>
      <c r="E6276">
        <v>244</v>
      </c>
      <c r="F6276">
        <v>236</v>
      </c>
      <c r="G6276">
        <v>238</v>
      </c>
      <c r="H6276">
        <v>1</v>
      </c>
      <c r="I6276">
        <v>104</v>
      </c>
    </row>
    <row r="6277" spans="1:9" x14ac:dyDescent="0.25">
      <c r="A6277" t="s">
        <v>1247</v>
      </c>
      <c r="B6277">
        <v>68</v>
      </c>
      <c r="C6277" s="1">
        <v>16345</v>
      </c>
      <c r="D6277">
        <v>238</v>
      </c>
      <c r="E6277">
        <v>240</v>
      </c>
      <c r="F6277">
        <v>238</v>
      </c>
      <c r="G6277">
        <v>238</v>
      </c>
      <c r="H6277">
        <v>0</v>
      </c>
      <c r="I6277">
        <v>37</v>
      </c>
    </row>
    <row r="6278" spans="1:9" x14ac:dyDescent="0.25">
      <c r="A6278" t="s">
        <v>1248</v>
      </c>
      <c r="B6278">
        <v>63</v>
      </c>
      <c r="C6278" s="1">
        <v>15065</v>
      </c>
      <c r="D6278">
        <v>239</v>
      </c>
      <c r="E6278">
        <v>240</v>
      </c>
      <c r="F6278">
        <v>237.5</v>
      </c>
      <c r="G6278">
        <v>238</v>
      </c>
      <c r="H6278">
        <v>0</v>
      </c>
      <c r="I6278">
        <v>46</v>
      </c>
    </row>
    <row r="6279" spans="1:9" x14ac:dyDescent="0.25">
      <c r="A6279" t="s">
        <v>1249</v>
      </c>
      <c r="B6279">
        <v>105</v>
      </c>
      <c r="C6279" s="1">
        <v>24877</v>
      </c>
      <c r="D6279">
        <v>238</v>
      </c>
      <c r="E6279">
        <v>239</v>
      </c>
      <c r="F6279">
        <v>236.5</v>
      </c>
      <c r="G6279">
        <v>236.5</v>
      </c>
      <c r="H6279">
        <v>-1.5</v>
      </c>
      <c r="I6279">
        <v>90</v>
      </c>
    </row>
    <row r="6280" spans="1:9" x14ac:dyDescent="0.25">
      <c r="A6280" t="s">
        <v>1250</v>
      </c>
      <c r="B6280">
        <v>58</v>
      </c>
      <c r="C6280" s="1">
        <v>13613</v>
      </c>
      <c r="D6280">
        <v>236.5</v>
      </c>
      <c r="E6280">
        <v>238</v>
      </c>
      <c r="F6280">
        <v>236</v>
      </c>
      <c r="G6280">
        <v>237.5</v>
      </c>
      <c r="H6280">
        <v>1</v>
      </c>
      <c r="I6280">
        <v>52</v>
      </c>
    </row>
    <row r="6281" spans="1:9" x14ac:dyDescent="0.25">
      <c r="A6281" t="s">
        <v>1251</v>
      </c>
      <c r="B6281">
        <v>72</v>
      </c>
      <c r="C6281" s="1">
        <v>17079</v>
      </c>
      <c r="D6281">
        <v>237.5</v>
      </c>
      <c r="E6281">
        <v>239</v>
      </c>
      <c r="F6281">
        <v>237</v>
      </c>
      <c r="G6281">
        <v>237</v>
      </c>
      <c r="H6281">
        <v>-0.5</v>
      </c>
      <c r="I6281">
        <v>60</v>
      </c>
    </row>
    <row r="6282" spans="1:9" x14ac:dyDescent="0.25">
      <c r="A6282" t="s">
        <v>1252</v>
      </c>
      <c r="B6282">
        <v>48</v>
      </c>
      <c r="C6282" s="1">
        <v>11471</v>
      </c>
      <c r="D6282">
        <v>237</v>
      </c>
      <c r="E6282">
        <v>238</v>
      </c>
      <c r="F6282">
        <v>236.5</v>
      </c>
      <c r="G6282">
        <v>237.5</v>
      </c>
      <c r="H6282">
        <v>0.5</v>
      </c>
      <c r="I6282">
        <v>58</v>
      </c>
    </row>
    <row r="6283" spans="1:9" x14ac:dyDescent="0.25">
      <c r="A6283" t="s">
        <v>1253</v>
      </c>
      <c r="B6283">
        <v>191</v>
      </c>
      <c r="C6283" s="1">
        <v>44503</v>
      </c>
      <c r="D6283">
        <v>237</v>
      </c>
      <c r="E6283">
        <v>237</v>
      </c>
      <c r="F6283">
        <v>230</v>
      </c>
      <c r="G6283">
        <v>233</v>
      </c>
      <c r="H6283">
        <v>-4.5</v>
      </c>
      <c r="I6283">
        <v>190</v>
      </c>
    </row>
    <row r="6284" spans="1:9" x14ac:dyDescent="0.25">
      <c r="A6284" t="s">
        <v>1254</v>
      </c>
      <c r="B6284">
        <v>139</v>
      </c>
      <c r="C6284" s="1">
        <v>32130</v>
      </c>
      <c r="D6284">
        <v>230.5</v>
      </c>
      <c r="E6284">
        <v>233</v>
      </c>
      <c r="F6284">
        <v>229.5</v>
      </c>
      <c r="G6284">
        <v>231.5</v>
      </c>
      <c r="H6284">
        <v>-1.5</v>
      </c>
      <c r="I6284">
        <v>149</v>
      </c>
    </row>
    <row r="6285" spans="1:9" x14ac:dyDescent="0.25">
      <c r="A6285" t="s">
        <v>1255</v>
      </c>
      <c r="B6285">
        <v>66</v>
      </c>
      <c r="C6285" s="1">
        <v>15082</v>
      </c>
      <c r="D6285">
        <v>230.5</v>
      </c>
      <c r="E6285">
        <v>231</v>
      </c>
      <c r="F6285">
        <v>229.5</v>
      </c>
      <c r="G6285">
        <v>231</v>
      </c>
      <c r="H6285">
        <v>-0.5</v>
      </c>
      <c r="I6285">
        <v>79</v>
      </c>
    </row>
    <row r="6286" spans="1:9" x14ac:dyDescent="0.25">
      <c r="A6286" t="s">
        <v>1256</v>
      </c>
      <c r="B6286">
        <v>62</v>
      </c>
      <c r="C6286" s="1">
        <v>14554</v>
      </c>
      <c r="D6286">
        <v>230.5</v>
      </c>
      <c r="E6286">
        <v>237</v>
      </c>
      <c r="F6286">
        <v>230.5</v>
      </c>
      <c r="G6286">
        <v>236</v>
      </c>
      <c r="H6286">
        <v>5</v>
      </c>
      <c r="I6286">
        <v>93</v>
      </c>
    </row>
    <row r="6287" spans="1:9" x14ac:dyDescent="0.25">
      <c r="A6287" t="s">
        <v>1257</v>
      </c>
      <c r="B6287">
        <v>109</v>
      </c>
      <c r="C6287" s="1">
        <v>25864</v>
      </c>
      <c r="D6287">
        <v>235.5</v>
      </c>
      <c r="E6287">
        <v>240</v>
      </c>
      <c r="F6287">
        <v>235.5</v>
      </c>
      <c r="G6287">
        <v>237</v>
      </c>
      <c r="H6287">
        <v>1</v>
      </c>
      <c r="I6287">
        <v>98</v>
      </c>
    </row>
    <row r="6288" spans="1:9" x14ac:dyDescent="0.25">
      <c r="A6288" t="s">
        <v>951</v>
      </c>
      <c r="C6288" s="1"/>
    </row>
    <row r="6289" spans="1:9" x14ac:dyDescent="0.25">
      <c r="A6289" s="9" t="s">
        <v>1217</v>
      </c>
      <c r="B6289">
        <v>46</v>
      </c>
      <c r="C6289" s="1">
        <v>9382</v>
      </c>
      <c r="D6289">
        <v>203.5</v>
      </c>
      <c r="E6289">
        <v>205.5</v>
      </c>
      <c r="F6289">
        <v>203.5</v>
      </c>
      <c r="G6289">
        <v>205.5</v>
      </c>
      <c r="H6289">
        <v>2</v>
      </c>
      <c r="I6289">
        <v>40</v>
      </c>
    </row>
    <row r="6290" spans="1:9" x14ac:dyDescent="0.25">
      <c r="A6290" t="s">
        <v>1218</v>
      </c>
      <c r="B6290">
        <v>104</v>
      </c>
      <c r="C6290" s="1">
        <v>21851</v>
      </c>
      <c r="D6290">
        <v>206</v>
      </c>
      <c r="E6290">
        <v>212</v>
      </c>
      <c r="F6290">
        <v>206</v>
      </c>
      <c r="G6290">
        <v>210</v>
      </c>
      <c r="H6290">
        <v>4.5</v>
      </c>
      <c r="I6290">
        <v>108</v>
      </c>
    </row>
    <row r="6291" spans="1:9" x14ac:dyDescent="0.25">
      <c r="A6291" t="s">
        <v>1219</v>
      </c>
      <c r="B6291">
        <v>157</v>
      </c>
      <c r="C6291" s="1">
        <v>33936</v>
      </c>
      <c r="D6291">
        <v>210.5</v>
      </c>
      <c r="E6291">
        <v>217.5</v>
      </c>
      <c r="F6291">
        <v>210.5</v>
      </c>
      <c r="G6291">
        <v>214</v>
      </c>
      <c r="H6291">
        <v>4</v>
      </c>
      <c r="I6291">
        <v>138</v>
      </c>
    </row>
    <row r="6292" spans="1:9" x14ac:dyDescent="0.25">
      <c r="A6292" t="s">
        <v>1220</v>
      </c>
      <c r="B6292">
        <v>94</v>
      </c>
      <c r="C6292" s="1">
        <v>20185</v>
      </c>
      <c r="D6292">
        <v>215</v>
      </c>
      <c r="E6292">
        <v>215</v>
      </c>
      <c r="F6292">
        <v>212</v>
      </c>
      <c r="G6292">
        <v>214</v>
      </c>
      <c r="H6292">
        <v>0</v>
      </c>
      <c r="I6292">
        <v>66</v>
      </c>
    </row>
    <row r="6293" spans="1:9" x14ac:dyDescent="0.25">
      <c r="A6293" t="s">
        <v>1221</v>
      </c>
      <c r="B6293">
        <v>111</v>
      </c>
      <c r="C6293" s="1">
        <v>23843</v>
      </c>
      <c r="D6293">
        <v>214</v>
      </c>
      <c r="E6293">
        <v>216</v>
      </c>
      <c r="F6293">
        <v>213</v>
      </c>
      <c r="G6293">
        <v>213.5</v>
      </c>
      <c r="H6293">
        <v>-0.5</v>
      </c>
      <c r="I6293">
        <v>105</v>
      </c>
    </row>
    <row r="6294" spans="1:9" x14ac:dyDescent="0.25">
      <c r="A6294" t="s">
        <v>1222</v>
      </c>
      <c r="B6294">
        <v>149</v>
      </c>
      <c r="C6294" s="1">
        <v>31563</v>
      </c>
      <c r="D6294">
        <v>213</v>
      </c>
      <c r="E6294">
        <v>215</v>
      </c>
      <c r="F6294">
        <v>210.5</v>
      </c>
      <c r="G6294">
        <v>214</v>
      </c>
      <c r="H6294">
        <v>0.5</v>
      </c>
      <c r="I6294">
        <v>116</v>
      </c>
    </row>
    <row r="6295" spans="1:9" x14ac:dyDescent="0.25">
      <c r="A6295" t="s">
        <v>1223</v>
      </c>
      <c r="B6295">
        <v>64</v>
      </c>
      <c r="C6295" s="1">
        <v>13828</v>
      </c>
      <c r="D6295">
        <v>214</v>
      </c>
      <c r="E6295">
        <v>216.5</v>
      </c>
      <c r="F6295">
        <v>214</v>
      </c>
      <c r="G6295">
        <v>215</v>
      </c>
      <c r="H6295">
        <v>1</v>
      </c>
      <c r="I6295">
        <v>59</v>
      </c>
    </row>
    <row r="6296" spans="1:9" x14ac:dyDescent="0.25">
      <c r="A6296" t="s">
        <v>1224</v>
      </c>
      <c r="B6296">
        <v>85</v>
      </c>
      <c r="C6296" s="1">
        <v>18686</v>
      </c>
      <c r="D6296">
        <v>217</v>
      </c>
      <c r="E6296">
        <v>220</v>
      </c>
      <c r="F6296">
        <v>217</v>
      </c>
      <c r="G6296">
        <v>218.5</v>
      </c>
      <c r="H6296">
        <v>3.5</v>
      </c>
      <c r="I6296">
        <v>77</v>
      </c>
    </row>
    <row r="6297" spans="1:9" x14ac:dyDescent="0.25">
      <c r="A6297" t="s">
        <v>1225</v>
      </c>
      <c r="B6297">
        <v>42</v>
      </c>
      <c r="C6297" s="1">
        <v>9202</v>
      </c>
      <c r="D6297">
        <v>219.5</v>
      </c>
      <c r="E6297">
        <v>219.5</v>
      </c>
      <c r="F6297">
        <v>218</v>
      </c>
      <c r="G6297">
        <v>218.5</v>
      </c>
      <c r="H6297">
        <v>0</v>
      </c>
      <c r="I6297">
        <v>40</v>
      </c>
    </row>
    <row r="6298" spans="1:9" x14ac:dyDescent="0.25">
      <c r="A6298" t="s">
        <v>1226</v>
      </c>
      <c r="B6298">
        <v>37</v>
      </c>
      <c r="C6298" s="1">
        <v>8111</v>
      </c>
      <c r="D6298">
        <v>219</v>
      </c>
      <c r="E6298">
        <v>220</v>
      </c>
      <c r="F6298">
        <v>218.5</v>
      </c>
      <c r="G6298">
        <v>218.5</v>
      </c>
      <c r="H6298">
        <v>0</v>
      </c>
      <c r="I6298">
        <v>36</v>
      </c>
    </row>
    <row r="6299" spans="1:9" x14ac:dyDescent="0.25">
      <c r="A6299" t="s">
        <v>1227</v>
      </c>
      <c r="B6299">
        <v>51</v>
      </c>
      <c r="C6299" s="1">
        <v>11232</v>
      </c>
      <c r="D6299">
        <v>220</v>
      </c>
      <c r="E6299">
        <v>221</v>
      </c>
      <c r="F6299">
        <v>219.5</v>
      </c>
      <c r="G6299">
        <v>220.5</v>
      </c>
      <c r="H6299">
        <v>2</v>
      </c>
      <c r="I6299">
        <v>44</v>
      </c>
    </row>
    <row r="6300" spans="1:9" x14ac:dyDescent="0.25">
      <c r="A6300" t="s">
        <v>1228</v>
      </c>
      <c r="B6300">
        <v>36</v>
      </c>
      <c r="C6300" s="1">
        <v>7900</v>
      </c>
      <c r="D6300">
        <v>221</v>
      </c>
      <c r="E6300">
        <v>221</v>
      </c>
      <c r="F6300">
        <v>217</v>
      </c>
      <c r="G6300">
        <v>218.5</v>
      </c>
      <c r="H6300">
        <v>-2</v>
      </c>
      <c r="I6300">
        <v>32</v>
      </c>
    </row>
    <row r="6301" spans="1:9" x14ac:dyDescent="0.25">
      <c r="A6301" t="s">
        <v>1229</v>
      </c>
      <c r="B6301">
        <v>7</v>
      </c>
      <c r="C6301" s="1">
        <v>1525</v>
      </c>
      <c r="D6301">
        <v>218.5</v>
      </c>
      <c r="E6301">
        <v>218.5</v>
      </c>
      <c r="F6301">
        <v>216.5</v>
      </c>
      <c r="G6301">
        <v>218.5</v>
      </c>
      <c r="H6301">
        <v>0</v>
      </c>
      <c r="I6301">
        <v>8</v>
      </c>
    </row>
    <row r="6302" spans="1:9" x14ac:dyDescent="0.25">
      <c r="A6302" t="s">
        <v>1230</v>
      </c>
      <c r="B6302">
        <v>20</v>
      </c>
      <c r="C6302" s="1">
        <v>4395</v>
      </c>
      <c r="D6302">
        <v>216.5</v>
      </c>
      <c r="E6302">
        <v>218</v>
      </c>
      <c r="F6302">
        <v>216</v>
      </c>
      <c r="G6302">
        <v>218</v>
      </c>
      <c r="H6302">
        <v>-0.5</v>
      </c>
      <c r="I6302">
        <v>25</v>
      </c>
    </row>
    <row r="6303" spans="1:9" x14ac:dyDescent="0.25">
      <c r="A6303" t="s">
        <v>1231</v>
      </c>
      <c r="B6303">
        <v>53</v>
      </c>
      <c r="C6303" s="1">
        <v>11627</v>
      </c>
      <c r="D6303">
        <v>218</v>
      </c>
      <c r="E6303">
        <v>220.5</v>
      </c>
      <c r="F6303">
        <v>218</v>
      </c>
      <c r="G6303">
        <v>220.5</v>
      </c>
      <c r="H6303">
        <v>2.5</v>
      </c>
      <c r="I6303">
        <v>50</v>
      </c>
    </row>
    <row r="6304" spans="1:9" x14ac:dyDescent="0.25">
      <c r="A6304" t="s">
        <v>1232</v>
      </c>
      <c r="B6304">
        <v>35</v>
      </c>
      <c r="C6304" s="1">
        <v>7707</v>
      </c>
      <c r="D6304">
        <v>220.5</v>
      </c>
      <c r="E6304">
        <v>220.5</v>
      </c>
      <c r="F6304">
        <v>219</v>
      </c>
      <c r="G6304">
        <v>220</v>
      </c>
      <c r="H6304">
        <v>-0.5</v>
      </c>
      <c r="I6304">
        <v>31</v>
      </c>
    </row>
    <row r="6305" spans="1:9" x14ac:dyDescent="0.25">
      <c r="A6305" t="s">
        <v>1233</v>
      </c>
      <c r="B6305">
        <v>24</v>
      </c>
      <c r="C6305" s="1">
        <v>5270</v>
      </c>
      <c r="D6305">
        <v>220</v>
      </c>
      <c r="E6305">
        <v>220</v>
      </c>
      <c r="F6305">
        <v>218.5</v>
      </c>
      <c r="G6305">
        <v>220</v>
      </c>
      <c r="H6305">
        <v>0</v>
      </c>
      <c r="I6305">
        <v>21</v>
      </c>
    </row>
    <row r="6306" spans="1:9" x14ac:dyDescent="0.25">
      <c r="A6306" t="s">
        <v>1234</v>
      </c>
      <c r="B6306">
        <v>22</v>
      </c>
      <c r="C6306" s="1">
        <v>4838</v>
      </c>
      <c r="D6306">
        <v>219</v>
      </c>
      <c r="E6306">
        <v>219.5</v>
      </c>
      <c r="F6306">
        <v>218.5</v>
      </c>
      <c r="G6306">
        <v>219.5</v>
      </c>
      <c r="H6306">
        <v>-0.5</v>
      </c>
      <c r="I6306">
        <v>21</v>
      </c>
    </row>
    <row r="6307" spans="1:9" x14ac:dyDescent="0.25">
      <c r="A6307" t="s">
        <v>857</v>
      </c>
      <c r="C6307" s="1"/>
    </row>
    <row r="6313" spans="1:9" x14ac:dyDescent="0.25">
      <c r="A6313" s="9" t="s">
        <v>1200</v>
      </c>
      <c r="B6313">
        <v>21</v>
      </c>
      <c r="C6313" s="1">
        <v>4207</v>
      </c>
      <c r="D6313">
        <v>200</v>
      </c>
      <c r="E6313">
        <v>201</v>
      </c>
      <c r="F6313">
        <v>200</v>
      </c>
      <c r="G6313">
        <v>200.5</v>
      </c>
      <c r="H6313">
        <v>-1</v>
      </c>
      <c r="I6313">
        <v>17</v>
      </c>
    </row>
    <row r="6314" spans="1:9" x14ac:dyDescent="0.25">
      <c r="A6314" t="s">
        <v>1201</v>
      </c>
      <c r="B6314">
        <v>23</v>
      </c>
      <c r="C6314" s="1">
        <v>4617</v>
      </c>
      <c r="D6314">
        <v>200.5</v>
      </c>
      <c r="E6314">
        <v>200.5</v>
      </c>
      <c r="F6314">
        <v>200</v>
      </c>
      <c r="G6314">
        <v>200.5</v>
      </c>
      <c r="H6314">
        <v>0</v>
      </c>
      <c r="I6314">
        <v>22</v>
      </c>
    </row>
    <row r="6315" spans="1:9" x14ac:dyDescent="0.25">
      <c r="A6315" t="s">
        <v>1202</v>
      </c>
      <c r="B6315">
        <v>14</v>
      </c>
      <c r="C6315" s="1">
        <v>2803</v>
      </c>
      <c r="D6315">
        <v>200</v>
      </c>
      <c r="E6315">
        <v>201</v>
      </c>
      <c r="F6315">
        <v>200</v>
      </c>
      <c r="G6315">
        <v>201</v>
      </c>
      <c r="H6315">
        <v>0.5</v>
      </c>
      <c r="I6315">
        <v>13</v>
      </c>
    </row>
    <row r="6316" spans="1:9" x14ac:dyDescent="0.25">
      <c r="A6316" t="s">
        <v>1203</v>
      </c>
      <c r="B6316">
        <v>27</v>
      </c>
      <c r="C6316" s="1">
        <v>5430</v>
      </c>
      <c r="D6316">
        <v>201</v>
      </c>
      <c r="E6316">
        <v>202</v>
      </c>
      <c r="F6316">
        <v>200.5</v>
      </c>
      <c r="G6316">
        <v>200.5</v>
      </c>
      <c r="H6316">
        <v>-0.5</v>
      </c>
      <c r="I6316">
        <v>25</v>
      </c>
    </row>
    <row r="6317" spans="1:9" x14ac:dyDescent="0.25">
      <c r="A6317" t="s">
        <v>1204</v>
      </c>
      <c r="B6317">
        <v>18</v>
      </c>
      <c r="C6317" s="1">
        <v>3537</v>
      </c>
      <c r="D6317">
        <v>201</v>
      </c>
      <c r="E6317">
        <v>201</v>
      </c>
      <c r="F6317">
        <v>200</v>
      </c>
      <c r="G6317">
        <v>200.5</v>
      </c>
      <c r="H6317">
        <v>0</v>
      </c>
      <c r="I6317">
        <v>18</v>
      </c>
    </row>
    <row r="6318" spans="1:9" x14ac:dyDescent="0.25">
      <c r="A6318" t="s">
        <v>1205</v>
      </c>
      <c r="B6318">
        <v>20</v>
      </c>
      <c r="C6318" s="1">
        <v>4041</v>
      </c>
      <c r="D6318">
        <v>200.5</v>
      </c>
      <c r="E6318">
        <v>201.5</v>
      </c>
      <c r="F6318">
        <v>200</v>
      </c>
      <c r="G6318">
        <v>201.5</v>
      </c>
      <c r="H6318">
        <v>1</v>
      </c>
      <c r="I6318">
        <v>20</v>
      </c>
    </row>
    <row r="6319" spans="1:9" x14ac:dyDescent="0.25">
      <c r="A6319" t="s">
        <v>1206</v>
      </c>
      <c r="B6319">
        <v>15</v>
      </c>
      <c r="C6319" s="1">
        <v>3134</v>
      </c>
      <c r="D6319">
        <v>203</v>
      </c>
      <c r="E6319">
        <v>203</v>
      </c>
      <c r="F6319">
        <v>202</v>
      </c>
      <c r="G6319">
        <v>202.5</v>
      </c>
      <c r="H6319">
        <v>1</v>
      </c>
      <c r="I6319">
        <v>20</v>
      </c>
    </row>
    <row r="6320" spans="1:9" x14ac:dyDescent="0.25">
      <c r="A6320" t="s">
        <v>1207</v>
      </c>
      <c r="B6320">
        <v>26</v>
      </c>
      <c r="C6320" s="1">
        <v>5162</v>
      </c>
      <c r="D6320">
        <v>202.5</v>
      </c>
      <c r="E6320">
        <v>203</v>
      </c>
      <c r="F6320">
        <v>201</v>
      </c>
      <c r="G6320">
        <v>202.5</v>
      </c>
      <c r="H6320">
        <v>0</v>
      </c>
      <c r="I6320">
        <v>30</v>
      </c>
    </row>
    <row r="6321" spans="1:9" x14ac:dyDescent="0.25">
      <c r="A6321" t="s">
        <v>1208</v>
      </c>
      <c r="B6321">
        <v>9</v>
      </c>
      <c r="C6321" s="1">
        <v>1821</v>
      </c>
      <c r="D6321">
        <v>201.5</v>
      </c>
      <c r="E6321">
        <v>201.5</v>
      </c>
      <c r="F6321">
        <v>201</v>
      </c>
      <c r="G6321">
        <v>201.5</v>
      </c>
      <c r="H6321">
        <v>-1</v>
      </c>
      <c r="I6321">
        <v>8</v>
      </c>
    </row>
    <row r="6322" spans="1:9" x14ac:dyDescent="0.25">
      <c r="A6322" t="s">
        <v>1209</v>
      </c>
      <c r="B6322">
        <v>9</v>
      </c>
      <c r="C6322" s="1">
        <v>1845</v>
      </c>
      <c r="D6322">
        <v>201.5</v>
      </c>
      <c r="E6322">
        <v>201.5</v>
      </c>
      <c r="F6322">
        <v>200.5</v>
      </c>
      <c r="G6322">
        <v>200.5</v>
      </c>
      <c r="H6322">
        <v>-1</v>
      </c>
      <c r="I6322">
        <v>14</v>
      </c>
    </row>
    <row r="6323" spans="1:9" x14ac:dyDescent="0.25">
      <c r="A6323" t="s">
        <v>1210</v>
      </c>
      <c r="B6323">
        <v>38</v>
      </c>
      <c r="C6323" s="1">
        <v>7622</v>
      </c>
      <c r="D6323">
        <v>201</v>
      </c>
      <c r="E6323">
        <v>201</v>
      </c>
      <c r="F6323">
        <v>200</v>
      </c>
      <c r="G6323">
        <v>200.5</v>
      </c>
      <c r="H6323">
        <v>0</v>
      </c>
      <c r="I6323">
        <v>29</v>
      </c>
    </row>
    <row r="6324" spans="1:9" x14ac:dyDescent="0.25">
      <c r="A6324" t="s">
        <v>1211</v>
      </c>
      <c r="B6324">
        <v>20</v>
      </c>
      <c r="C6324" s="1">
        <v>3945</v>
      </c>
      <c r="D6324">
        <v>200</v>
      </c>
      <c r="E6324">
        <v>202</v>
      </c>
      <c r="F6324">
        <v>200</v>
      </c>
      <c r="G6324">
        <v>202</v>
      </c>
      <c r="H6324">
        <v>1.5</v>
      </c>
      <c r="I6324">
        <v>24</v>
      </c>
    </row>
    <row r="6325" spans="1:9" x14ac:dyDescent="0.25">
      <c r="A6325" t="s">
        <v>1212</v>
      </c>
      <c r="B6325">
        <v>8</v>
      </c>
      <c r="C6325" s="1">
        <v>1670</v>
      </c>
      <c r="D6325">
        <v>201</v>
      </c>
      <c r="E6325">
        <v>202.5</v>
      </c>
      <c r="F6325">
        <v>201</v>
      </c>
      <c r="G6325">
        <v>202.5</v>
      </c>
      <c r="H6325">
        <v>0.5</v>
      </c>
      <c r="I6325">
        <v>15</v>
      </c>
    </row>
    <row r="6326" spans="1:9" x14ac:dyDescent="0.25">
      <c r="A6326" t="s">
        <v>1213</v>
      </c>
      <c r="B6326">
        <v>7</v>
      </c>
      <c r="C6326" s="1">
        <v>1439</v>
      </c>
      <c r="D6326">
        <v>202.5</v>
      </c>
      <c r="E6326">
        <v>202.5</v>
      </c>
      <c r="F6326">
        <v>200</v>
      </c>
      <c r="G6326">
        <v>202.5</v>
      </c>
      <c r="H6326">
        <v>0</v>
      </c>
      <c r="I6326">
        <v>13</v>
      </c>
    </row>
    <row r="6327" spans="1:9" x14ac:dyDescent="0.25">
      <c r="A6327" t="s">
        <v>1214</v>
      </c>
      <c r="B6327">
        <v>31</v>
      </c>
      <c r="C6327" s="1">
        <v>6275</v>
      </c>
      <c r="D6327">
        <v>202.5</v>
      </c>
      <c r="E6327">
        <v>203.5</v>
      </c>
      <c r="F6327">
        <v>200</v>
      </c>
      <c r="G6327">
        <v>203.5</v>
      </c>
      <c r="H6327">
        <v>1</v>
      </c>
      <c r="I6327">
        <v>31</v>
      </c>
    </row>
    <row r="6328" spans="1:9" x14ac:dyDescent="0.25">
      <c r="A6328" t="s">
        <v>1215</v>
      </c>
      <c r="B6328">
        <v>20</v>
      </c>
      <c r="C6328" s="1">
        <v>3976</v>
      </c>
      <c r="D6328">
        <v>203</v>
      </c>
      <c r="E6328">
        <v>203.5</v>
      </c>
      <c r="F6328">
        <v>202</v>
      </c>
      <c r="G6328">
        <v>203.5</v>
      </c>
      <c r="H6328">
        <v>0</v>
      </c>
      <c r="I6328">
        <v>28</v>
      </c>
    </row>
    <row r="6329" spans="1:9" x14ac:dyDescent="0.25">
      <c r="A6329" t="s">
        <v>1216</v>
      </c>
      <c r="C6329" s="1"/>
    </row>
    <row r="6337" spans="1:9" x14ac:dyDescent="0.25">
      <c r="A6337" s="9" t="s">
        <v>1178</v>
      </c>
      <c r="B6337">
        <v>49</v>
      </c>
      <c r="C6337" s="1">
        <v>9882</v>
      </c>
      <c r="D6337">
        <v>200.5</v>
      </c>
      <c r="E6337">
        <v>202.5</v>
      </c>
      <c r="F6337">
        <v>200.5</v>
      </c>
      <c r="G6337">
        <v>202</v>
      </c>
      <c r="H6337">
        <v>0.5</v>
      </c>
      <c r="I6337">
        <v>39</v>
      </c>
    </row>
    <row r="6338" spans="1:9" x14ac:dyDescent="0.25">
      <c r="A6338" t="s">
        <v>1179</v>
      </c>
      <c r="B6338">
        <v>107</v>
      </c>
      <c r="C6338" s="1">
        <v>21729</v>
      </c>
      <c r="D6338">
        <v>201</v>
      </c>
      <c r="E6338">
        <v>203</v>
      </c>
      <c r="F6338">
        <v>201</v>
      </c>
      <c r="G6338">
        <v>203</v>
      </c>
      <c r="H6338">
        <v>1</v>
      </c>
      <c r="I6338">
        <v>59</v>
      </c>
    </row>
    <row r="6339" spans="1:9" x14ac:dyDescent="0.25">
      <c r="A6339" t="s">
        <v>1180</v>
      </c>
      <c r="B6339">
        <v>167</v>
      </c>
      <c r="C6339" s="1">
        <v>34018</v>
      </c>
      <c r="D6339">
        <v>203</v>
      </c>
      <c r="E6339">
        <v>208</v>
      </c>
      <c r="F6339">
        <v>201</v>
      </c>
      <c r="G6339">
        <v>207.5</v>
      </c>
      <c r="H6339">
        <v>4.5</v>
      </c>
      <c r="I6339">
        <v>114</v>
      </c>
    </row>
    <row r="6340" spans="1:9" x14ac:dyDescent="0.25">
      <c r="A6340" t="s">
        <v>1181</v>
      </c>
      <c r="B6340">
        <v>39</v>
      </c>
      <c r="C6340" s="1">
        <v>8062</v>
      </c>
      <c r="D6340">
        <v>208</v>
      </c>
      <c r="E6340">
        <v>208</v>
      </c>
      <c r="F6340">
        <v>205</v>
      </c>
      <c r="G6340">
        <v>205.5</v>
      </c>
      <c r="H6340">
        <v>-2</v>
      </c>
      <c r="I6340">
        <v>37</v>
      </c>
    </row>
    <row r="6341" spans="1:9" x14ac:dyDescent="0.25">
      <c r="A6341" t="s">
        <v>1182</v>
      </c>
      <c r="B6341">
        <v>53</v>
      </c>
      <c r="C6341" s="1">
        <v>10913</v>
      </c>
      <c r="D6341">
        <v>206.5</v>
      </c>
      <c r="E6341">
        <v>206.5</v>
      </c>
      <c r="F6341">
        <v>203.5</v>
      </c>
      <c r="G6341">
        <v>205</v>
      </c>
      <c r="H6341">
        <v>-0.5</v>
      </c>
      <c r="I6341">
        <v>51</v>
      </c>
    </row>
    <row r="6342" spans="1:9" x14ac:dyDescent="0.25">
      <c r="A6342" t="s">
        <v>1183</v>
      </c>
      <c r="B6342">
        <v>22</v>
      </c>
      <c r="C6342" s="1">
        <v>4567</v>
      </c>
      <c r="D6342">
        <v>205</v>
      </c>
      <c r="E6342">
        <v>206</v>
      </c>
      <c r="F6342">
        <v>205</v>
      </c>
      <c r="G6342">
        <v>206</v>
      </c>
      <c r="H6342">
        <v>1</v>
      </c>
      <c r="I6342">
        <v>23</v>
      </c>
    </row>
    <row r="6343" spans="1:9" x14ac:dyDescent="0.25">
      <c r="A6343" t="s">
        <v>1184</v>
      </c>
      <c r="B6343">
        <v>27</v>
      </c>
      <c r="C6343" s="1">
        <v>5603</v>
      </c>
      <c r="D6343">
        <v>205.5</v>
      </c>
      <c r="E6343">
        <v>206</v>
      </c>
      <c r="F6343">
        <v>204</v>
      </c>
      <c r="G6343">
        <v>204</v>
      </c>
      <c r="H6343">
        <v>-2</v>
      </c>
      <c r="I6343">
        <v>28</v>
      </c>
    </row>
    <row r="6344" spans="1:9" x14ac:dyDescent="0.25">
      <c r="A6344" t="s">
        <v>1185</v>
      </c>
      <c r="B6344">
        <v>68</v>
      </c>
      <c r="C6344" s="1">
        <v>13800</v>
      </c>
      <c r="D6344">
        <v>204</v>
      </c>
      <c r="E6344">
        <v>204.5</v>
      </c>
      <c r="F6344">
        <v>200</v>
      </c>
      <c r="G6344">
        <v>200.5</v>
      </c>
      <c r="H6344">
        <v>-3.5</v>
      </c>
      <c r="I6344">
        <v>56</v>
      </c>
    </row>
    <row r="6345" spans="1:9" x14ac:dyDescent="0.25">
      <c r="A6345" t="s">
        <v>1186</v>
      </c>
      <c r="B6345">
        <v>19</v>
      </c>
      <c r="C6345" s="1">
        <v>3855</v>
      </c>
      <c r="D6345">
        <v>201</v>
      </c>
      <c r="E6345">
        <v>203</v>
      </c>
      <c r="F6345">
        <v>201</v>
      </c>
      <c r="G6345">
        <v>202.5</v>
      </c>
      <c r="H6345">
        <v>2</v>
      </c>
      <c r="I6345">
        <v>19</v>
      </c>
    </row>
    <row r="6346" spans="1:9" x14ac:dyDescent="0.25">
      <c r="A6346" t="s">
        <v>1187</v>
      </c>
      <c r="B6346">
        <v>13</v>
      </c>
      <c r="C6346" s="1">
        <v>2665</v>
      </c>
      <c r="D6346">
        <v>202</v>
      </c>
      <c r="E6346">
        <v>202.5</v>
      </c>
      <c r="F6346">
        <v>201</v>
      </c>
      <c r="G6346">
        <v>201</v>
      </c>
      <c r="H6346">
        <v>-1.5</v>
      </c>
      <c r="I6346">
        <v>15</v>
      </c>
    </row>
    <row r="6347" spans="1:9" x14ac:dyDescent="0.25">
      <c r="A6347" t="s">
        <v>1188</v>
      </c>
      <c r="B6347">
        <v>13</v>
      </c>
      <c r="C6347" s="1">
        <v>2678</v>
      </c>
      <c r="D6347">
        <v>201</v>
      </c>
      <c r="E6347">
        <v>203</v>
      </c>
      <c r="F6347">
        <v>201</v>
      </c>
      <c r="G6347">
        <v>203</v>
      </c>
      <c r="H6347">
        <v>2</v>
      </c>
      <c r="I6347">
        <v>13</v>
      </c>
    </row>
    <row r="6348" spans="1:9" x14ac:dyDescent="0.25">
      <c r="A6348" t="s">
        <v>1189</v>
      </c>
      <c r="B6348">
        <v>21</v>
      </c>
      <c r="C6348" s="1">
        <v>4363</v>
      </c>
      <c r="D6348">
        <v>202.5</v>
      </c>
      <c r="E6348">
        <v>203.5</v>
      </c>
      <c r="F6348">
        <v>202.5</v>
      </c>
      <c r="G6348">
        <v>203</v>
      </c>
      <c r="H6348">
        <v>0</v>
      </c>
      <c r="I6348">
        <v>28</v>
      </c>
    </row>
    <row r="6349" spans="1:9" x14ac:dyDescent="0.25">
      <c r="A6349" t="s">
        <v>1190</v>
      </c>
      <c r="B6349">
        <v>40</v>
      </c>
      <c r="C6349" s="1">
        <v>8076</v>
      </c>
      <c r="D6349">
        <v>202.5</v>
      </c>
      <c r="E6349">
        <v>202.5</v>
      </c>
      <c r="F6349">
        <v>198</v>
      </c>
      <c r="G6349">
        <v>200</v>
      </c>
      <c r="H6349">
        <v>-3</v>
      </c>
      <c r="I6349">
        <v>44</v>
      </c>
    </row>
    <row r="6350" spans="1:9" x14ac:dyDescent="0.25">
      <c r="A6350" t="s">
        <v>1191</v>
      </c>
      <c r="B6350">
        <v>30</v>
      </c>
      <c r="C6350" s="1">
        <v>6083</v>
      </c>
      <c r="D6350">
        <v>200</v>
      </c>
      <c r="E6350">
        <v>201.5</v>
      </c>
      <c r="F6350">
        <v>199.5</v>
      </c>
      <c r="G6350">
        <v>200</v>
      </c>
      <c r="H6350">
        <v>0</v>
      </c>
      <c r="I6350">
        <v>36</v>
      </c>
    </row>
    <row r="6351" spans="1:9" x14ac:dyDescent="0.25">
      <c r="A6351" t="s">
        <v>1192</v>
      </c>
      <c r="B6351">
        <v>5</v>
      </c>
      <c r="C6351" s="1">
        <v>1005</v>
      </c>
      <c r="D6351">
        <v>200.5</v>
      </c>
      <c r="E6351">
        <v>201</v>
      </c>
      <c r="F6351">
        <v>200</v>
      </c>
      <c r="G6351">
        <v>201</v>
      </c>
      <c r="H6351">
        <v>1</v>
      </c>
      <c r="I6351">
        <v>6</v>
      </c>
    </row>
    <row r="6352" spans="1:9" x14ac:dyDescent="0.25">
      <c r="A6352" t="s">
        <v>1193</v>
      </c>
      <c r="B6352">
        <v>5</v>
      </c>
      <c r="C6352" s="1">
        <v>920</v>
      </c>
      <c r="D6352">
        <v>200</v>
      </c>
      <c r="E6352">
        <v>200</v>
      </c>
      <c r="F6352">
        <v>199.5</v>
      </c>
      <c r="G6352">
        <v>199.5</v>
      </c>
      <c r="H6352">
        <v>-1.5</v>
      </c>
      <c r="I6352">
        <v>9</v>
      </c>
    </row>
    <row r="6353" spans="1:9" x14ac:dyDescent="0.25">
      <c r="A6353" t="s">
        <v>1194</v>
      </c>
      <c r="B6353">
        <v>8</v>
      </c>
      <c r="C6353" s="1">
        <v>1507</v>
      </c>
      <c r="D6353">
        <v>199</v>
      </c>
      <c r="E6353">
        <v>199</v>
      </c>
      <c r="F6353">
        <v>199</v>
      </c>
      <c r="G6353">
        <v>199</v>
      </c>
      <c r="H6353">
        <v>-0.5</v>
      </c>
      <c r="I6353">
        <v>12</v>
      </c>
    </row>
    <row r="6354" spans="1:9" x14ac:dyDescent="0.25">
      <c r="A6354" t="s">
        <v>1195</v>
      </c>
      <c r="B6354">
        <v>12</v>
      </c>
      <c r="C6354" s="1">
        <v>2407</v>
      </c>
      <c r="D6354">
        <v>199</v>
      </c>
      <c r="E6354">
        <v>200</v>
      </c>
      <c r="F6354">
        <v>199</v>
      </c>
      <c r="G6354">
        <v>200</v>
      </c>
      <c r="H6354">
        <v>1</v>
      </c>
      <c r="I6354">
        <v>13</v>
      </c>
    </row>
    <row r="6355" spans="1:9" x14ac:dyDescent="0.25">
      <c r="A6355" t="s">
        <v>1196</v>
      </c>
      <c r="B6355">
        <v>24</v>
      </c>
      <c r="C6355" s="1">
        <v>4838</v>
      </c>
      <c r="D6355">
        <v>200.5</v>
      </c>
      <c r="E6355">
        <v>202</v>
      </c>
      <c r="F6355">
        <v>200.5</v>
      </c>
      <c r="G6355">
        <v>202</v>
      </c>
      <c r="H6355">
        <v>2</v>
      </c>
      <c r="I6355">
        <v>18</v>
      </c>
    </row>
    <row r="6356" spans="1:9" x14ac:dyDescent="0.25">
      <c r="A6356" t="s">
        <v>1197</v>
      </c>
      <c r="B6356">
        <v>11</v>
      </c>
      <c r="C6356" s="1">
        <v>2220</v>
      </c>
      <c r="D6356">
        <v>202</v>
      </c>
      <c r="E6356">
        <v>202</v>
      </c>
      <c r="F6356">
        <v>200</v>
      </c>
      <c r="G6356">
        <v>200</v>
      </c>
      <c r="H6356">
        <v>-2</v>
      </c>
      <c r="I6356">
        <v>12</v>
      </c>
    </row>
    <row r="6357" spans="1:9" x14ac:dyDescent="0.25">
      <c r="A6357" t="s">
        <v>1198</v>
      </c>
      <c r="B6357">
        <v>8</v>
      </c>
      <c r="C6357" s="1">
        <v>1648</v>
      </c>
      <c r="D6357">
        <v>200</v>
      </c>
      <c r="E6357">
        <v>201.5</v>
      </c>
      <c r="F6357">
        <v>200</v>
      </c>
      <c r="G6357">
        <v>200.5</v>
      </c>
      <c r="H6357">
        <v>0.5</v>
      </c>
      <c r="I6357">
        <v>11</v>
      </c>
    </row>
    <row r="6358" spans="1:9" x14ac:dyDescent="0.25">
      <c r="A6358" t="s">
        <v>1199</v>
      </c>
      <c r="B6358">
        <v>6</v>
      </c>
      <c r="C6358" s="1">
        <v>1210</v>
      </c>
      <c r="D6358">
        <v>201</v>
      </c>
      <c r="E6358">
        <v>201.5</v>
      </c>
      <c r="F6358">
        <v>200.5</v>
      </c>
      <c r="G6358">
        <v>201.5</v>
      </c>
      <c r="H6358">
        <v>1</v>
      </c>
      <c r="I6358">
        <v>7</v>
      </c>
    </row>
    <row r="6359" spans="1:9" x14ac:dyDescent="0.25">
      <c r="A6359" t="s">
        <v>1177</v>
      </c>
      <c r="C6359" s="1"/>
    </row>
    <row r="6361" spans="1:9" x14ac:dyDescent="0.25">
      <c r="A6361" s="9" t="s">
        <v>1155</v>
      </c>
      <c r="B6361">
        <v>3</v>
      </c>
      <c r="C6361" s="1">
        <v>572</v>
      </c>
      <c r="D6361">
        <v>189.5</v>
      </c>
      <c r="E6361">
        <v>189.5</v>
      </c>
      <c r="F6361">
        <v>189.5</v>
      </c>
      <c r="G6361">
        <v>189.5</v>
      </c>
      <c r="H6361">
        <v>0</v>
      </c>
      <c r="I6361">
        <v>5</v>
      </c>
    </row>
    <row r="6362" spans="1:9" x14ac:dyDescent="0.25">
      <c r="A6362" t="s">
        <v>1156</v>
      </c>
      <c r="B6362">
        <v>80</v>
      </c>
      <c r="C6362" s="1">
        <v>15120</v>
      </c>
      <c r="D6362">
        <v>189</v>
      </c>
      <c r="E6362">
        <v>189</v>
      </c>
      <c r="F6362">
        <v>186</v>
      </c>
      <c r="G6362">
        <v>186.5</v>
      </c>
      <c r="H6362">
        <v>-3</v>
      </c>
      <c r="I6362">
        <v>53</v>
      </c>
    </row>
    <row r="6363" spans="1:9" x14ac:dyDescent="0.25">
      <c r="A6363" t="s">
        <v>1157</v>
      </c>
      <c r="B6363">
        <v>38</v>
      </c>
      <c r="C6363" s="1">
        <v>7064</v>
      </c>
      <c r="D6363">
        <v>186.5</v>
      </c>
      <c r="E6363">
        <v>186.5</v>
      </c>
      <c r="F6363">
        <v>185</v>
      </c>
      <c r="G6363">
        <v>186.5</v>
      </c>
      <c r="H6363">
        <v>0</v>
      </c>
      <c r="I6363">
        <v>35</v>
      </c>
    </row>
    <row r="6364" spans="1:9" x14ac:dyDescent="0.25">
      <c r="A6364" t="s">
        <v>1158</v>
      </c>
      <c r="B6364">
        <v>11</v>
      </c>
      <c r="C6364" s="1">
        <v>2056</v>
      </c>
      <c r="D6364">
        <v>186.5</v>
      </c>
      <c r="E6364">
        <v>187</v>
      </c>
      <c r="F6364">
        <v>186.5</v>
      </c>
      <c r="G6364">
        <v>187</v>
      </c>
      <c r="H6364">
        <v>0.5</v>
      </c>
      <c r="I6364">
        <v>11</v>
      </c>
    </row>
    <row r="6365" spans="1:9" x14ac:dyDescent="0.25">
      <c r="A6365" t="s">
        <v>1159</v>
      </c>
      <c r="B6365">
        <v>5</v>
      </c>
      <c r="C6365" s="1">
        <v>955</v>
      </c>
      <c r="D6365">
        <v>187</v>
      </c>
      <c r="E6365">
        <v>189.5</v>
      </c>
      <c r="F6365">
        <v>187</v>
      </c>
      <c r="G6365">
        <v>189.5</v>
      </c>
      <c r="H6365">
        <v>2.5</v>
      </c>
      <c r="I6365">
        <v>8</v>
      </c>
    </row>
    <row r="6366" spans="1:9" x14ac:dyDescent="0.25">
      <c r="A6366" t="s">
        <v>1160</v>
      </c>
      <c r="B6366">
        <v>28</v>
      </c>
      <c r="C6366" s="1">
        <v>5256</v>
      </c>
      <c r="D6366">
        <v>187</v>
      </c>
      <c r="E6366">
        <v>188.5</v>
      </c>
      <c r="F6366">
        <v>187</v>
      </c>
      <c r="G6366">
        <v>188</v>
      </c>
      <c r="H6366">
        <v>-1.5</v>
      </c>
      <c r="I6366">
        <v>14</v>
      </c>
    </row>
    <row r="6367" spans="1:9" x14ac:dyDescent="0.25">
      <c r="A6367" t="s">
        <v>1161</v>
      </c>
      <c r="B6367">
        <v>54</v>
      </c>
      <c r="C6367" s="1">
        <v>10115</v>
      </c>
      <c r="D6367">
        <v>189</v>
      </c>
      <c r="E6367">
        <v>189</v>
      </c>
      <c r="F6367">
        <v>185</v>
      </c>
      <c r="G6367">
        <v>185</v>
      </c>
      <c r="H6367">
        <v>-3</v>
      </c>
      <c r="I6367">
        <v>33</v>
      </c>
    </row>
    <row r="6368" spans="1:9" x14ac:dyDescent="0.25">
      <c r="A6368" t="s">
        <v>1162</v>
      </c>
      <c r="B6368">
        <v>80</v>
      </c>
      <c r="C6368" s="1">
        <v>14868</v>
      </c>
      <c r="D6368">
        <v>185</v>
      </c>
      <c r="E6368">
        <v>188</v>
      </c>
      <c r="F6368">
        <v>183</v>
      </c>
      <c r="G6368">
        <v>187</v>
      </c>
      <c r="H6368">
        <v>2</v>
      </c>
      <c r="I6368">
        <v>66</v>
      </c>
    </row>
    <row r="6369" spans="1:9" x14ac:dyDescent="0.25">
      <c r="A6369" t="s">
        <v>1163</v>
      </c>
      <c r="B6369">
        <v>48</v>
      </c>
      <c r="C6369" s="1">
        <v>9065</v>
      </c>
      <c r="D6369">
        <v>186.5</v>
      </c>
      <c r="E6369">
        <v>189</v>
      </c>
      <c r="F6369">
        <v>186.5</v>
      </c>
      <c r="G6369">
        <v>188.5</v>
      </c>
      <c r="H6369">
        <v>1.5</v>
      </c>
      <c r="I6369">
        <v>42</v>
      </c>
    </row>
    <row r="6370" spans="1:9" x14ac:dyDescent="0.25">
      <c r="A6370" t="s">
        <v>1164</v>
      </c>
      <c r="B6370">
        <v>2</v>
      </c>
      <c r="C6370" s="1">
        <v>442</v>
      </c>
      <c r="D6370">
        <v>188</v>
      </c>
      <c r="E6370">
        <v>188</v>
      </c>
      <c r="F6370">
        <v>188</v>
      </c>
      <c r="G6370">
        <v>188</v>
      </c>
      <c r="H6370">
        <v>-0.5</v>
      </c>
      <c r="I6370">
        <v>9</v>
      </c>
    </row>
    <row r="6371" spans="1:9" x14ac:dyDescent="0.25">
      <c r="A6371" t="s">
        <v>1165</v>
      </c>
      <c r="B6371">
        <v>96</v>
      </c>
      <c r="C6371" s="1">
        <v>18407</v>
      </c>
      <c r="D6371">
        <v>188</v>
      </c>
      <c r="E6371">
        <v>192.5</v>
      </c>
      <c r="F6371">
        <v>188</v>
      </c>
      <c r="G6371">
        <v>192.5</v>
      </c>
      <c r="H6371">
        <v>4.5</v>
      </c>
      <c r="I6371">
        <v>81</v>
      </c>
    </row>
    <row r="6372" spans="1:9" x14ac:dyDescent="0.25">
      <c r="A6372" t="s">
        <v>1166</v>
      </c>
      <c r="B6372">
        <v>52</v>
      </c>
      <c r="C6372" s="1">
        <v>9931</v>
      </c>
      <c r="D6372">
        <v>191.5</v>
      </c>
      <c r="E6372">
        <v>193.5</v>
      </c>
      <c r="F6372">
        <v>191.5</v>
      </c>
      <c r="G6372">
        <v>192.5</v>
      </c>
      <c r="H6372">
        <v>0</v>
      </c>
      <c r="I6372">
        <v>49</v>
      </c>
    </row>
    <row r="6373" spans="1:9" x14ac:dyDescent="0.25">
      <c r="A6373" t="s">
        <v>1167</v>
      </c>
      <c r="B6373">
        <v>18</v>
      </c>
      <c r="C6373" s="1">
        <v>3512</v>
      </c>
      <c r="D6373">
        <v>192.5</v>
      </c>
      <c r="E6373">
        <v>193</v>
      </c>
      <c r="F6373">
        <v>192</v>
      </c>
      <c r="G6373">
        <v>193</v>
      </c>
      <c r="H6373">
        <v>0.5</v>
      </c>
      <c r="I6373">
        <v>22</v>
      </c>
    </row>
    <row r="6374" spans="1:9" x14ac:dyDescent="0.25">
      <c r="A6374" t="s">
        <v>1168</v>
      </c>
      <c r="B6374">
        <v>29</v>
      </c>
      <c r="C6374" s="1">
        <v>5614</v>
      </c>
      <c r="D6374">
        <v>193</v>
      </c>
      <c r="E6374">
        <v>194</v>
      </c>
      <c r="F6374">
        <v>193</v>
      </c>
      <c r="G6374">
        <v>193.5</v>
      </c>
      <c r="H6374">
        <v>0.5</v>
      </c>
      <c r="I6374">
        <v>22</v>
      </c>
    </row>
    <row r="6375" spans="1:9" x14ac:dyDescent="0.25">
      <c r="A6375" t="s">
        <v>1169</v>
      </c>
      <c r="B6375">
        <v>46</v>
      </c>
      <c r="C6375" s="1">
        <v>8884</v>
      </c>
      <c r="D6375">
        <v>195</v>
      </c>
      <c r="E6375">
        <v>195</v>
      </c>
      <c r="F6375">
        <v>193.5</v>
      </c>
      <c r="G6375">
        <v>194.5</v>
      </c>
      <c r="H6375">
        <v>1</v>
      </c>
      <c r="I6375">
        <v>48</v>
      </c>
    </row>
    <row r="6376" spans="1:9" x14ac:dyDescent="0.25">
      <c r="A6376" t="s">
        <v>1170</v>
      </c>
      <c r="B6376">
        <v>145</v>
      </c>
      <c r="C6376" s="1">
        <v>28674</v>
      </c>
      <c r="D6376">
        <v>196</v>
      </c>
      <c r="E6376">
        <v>199</v>
      </c>
      <c r="F6376">
        <v>195.5</v>
      </c>
      <c r="G6376">
        <v>196.5</v>
      </c>
      <c r="H6376">
        <v>2</v>
      </c>
      <c r="I6376">
        <v>137</v>
      </c>
    </row>
    <row r="6377" spans="1:9" x14ac:dyDescent="0.25">
      <c r="A6377" t="s">
        <v>1171</v>
      </c>
      <c r="B6377">
        <v>43</v>
      </c>
      <c r="C6377" s="1">
        <v>8543</v>
      </c>
      <c r="D6377">
        <v>197</v>
      </c>
      <c r="E6377">
        <v>197.5</v>
      </c>
      <c r="F6377">
        <v>196.5</v>
      </c>
      <c r="G6377">
        <v>197.5</v>
      </c>
      <c r="H6377">
        <v>1</v>
      </c>
      <c r="I6377">
        <v>43</v>
      </c>
    </row>
    <row r="6378" spans="1:9" x14ac:dyDescent="0.25">
      <c r="A6378" t="s">
        <v>1172</v>
      </c>
      <c r="B6378">
        <v>219</v>
      </c>
      <c r="C6378" s="1">
        <v>43784</v>
      </c>
      <c r="D6378">
        <v>198</v>
      </c>
      <c r="E6378">
        <v>201.5</v>
      </c>
      <c r="F6378">
        <v>198</v>
      </c>
      <c r="G6378">
        <v>199</v>
      </c>
      <c r="H6378">
        <v>1.5</v>
      </c>
      <c r="I6378">
        <v>157</v>
      </c>
    </row>
    <row r="6379" spans="1:9" x14ac:dyDescent="0.25">
      <c r="A6379" t="s">
        <v>1173</v>
      </c>
      <c r="B6379">
        <v>47</v>
      </c>
      <c r="C6379" s="1">
        <v>9450</v>
      </c>
      <c r="D6379">
        <v>199</v>
      </c>
      <c r="E6379">
        <v>201</v>
      </c>
      <c r="F6379">
        <v>199</v>
      </c>
      <c r="G6379">
        <v>199.5</v>
      </c>
      <c r="H6379">
        <v>0.5</v>
      </c>
      <c r="I6379">
        <v>43</v>
      </c>
    </row>
    <row r="6380" spans="1:9" x14ac:dyDescent="0.25">
      <c r="A6380" t="s">
        <v>1174</v>
      </c>
      <c r="B6380">
        <v>49</v>
      </c>
      <c r="C6380" s="1">
        <v>9703</v>
      </c>
      <c r="D6380">
        <v>200</v>
      </c>
      <c r="E6380">
        <v>200.5</v>
      </c>
      <c r="F6380">
        <v>200</v>
      </c>
      <c r="G6380">
        <v>200</v>
      </c>
      <c r="H6380">
        <v>0.5</v>
      </c>
      <c r="I6380">
        <v>46</v>
      </c>
    </row>
    <row r="6381" spans="1:9" x14ac:dyDescent="0.25">
      <c r="A6381" t="s">
        <v>1175</v>
      </c>
      <c r="B6381">
        <v>171</v>
      </c>
      <c r="C6381" s="1">
        <v>34487</v>
      </c>
      <c r="D6381">
        <v>200</v>
      </c>
      <c r="E6381">
        <v>202.5</v>
      </c>
      <c r="F6381">
        <v>200</v>
      </c>
      <c r="G6381">
        <v>202</v>
      </c>
      <c r="H6381">
        <v>2</v>
      </c>
      <c r="I6381">
        <v>92</v>
      </c>
    </row>
    <row r="6382" spans="1:9" x14ac:dyDescent="0.25">
      <c r="A6382" t="s">
        <v>1176</v>
      </c>
      <c r="B6382">
        <v>32</v>
      </c>
      <c r="C6382" s="1">
        <v>6466</v>
      </c>
      <c r="D6382">
        <v>202</v>
      </c>
      <c r="E6382">
        <v>202.5</v>
      </c>
      <c r="F6382">
        <v>201</v>
      </c>
      <c r="G6382">
        <v>201.5</v>
      </c>
      <c r="H6382">
        <v>-0.5</v>
      </c>
      <c r="I6382">
        <v>27</v>
      </c>
    </row>
    <row r="6383" spans="1:9" x14ac:dyDescent="0.25">
      <c r="A6383" t="s">
        <v>1177</v>
      </c>
      <c r="C6383" s="1"/>
    </row>
    <row r="6385" spans="1:9" x14ac:dyDescent="0.25">
      <c r="A6385" s="9" t="s">
        <v>1135</v>
      </c>
      <c r="B6385">
        <v>17</v>
      </c>
      <c r="C6385" s="1">
        <v>3255</v>
      </c>
      <c r="D6385">
        <v>191</v>
      </c>
      <c r="E6385">
        <v>191</v>
      </c>
      <c r="F6385">
        <v>190</v>
      </c>
      <c r="G6385">
        <v>190.5</v>
      </c>
      <c r="H6385">
        <v>-1.5</v>
      </c>
      <c r="I6385">
        <v>19</v>
      </c>
    </row>
    <row r="6386" spans="1:9" x14ac:dyDescent="0.25">
      <c r="A6386" t="s">
        <v>1136</v>
      </c>
      <c r="B6386">
        <v>28</v>
      </c>
      <c r="C6386" s="1">
        <v>5386</v>
      </c>
      <c r="D6386">
        <v>190</v>
      </c>
      <c r="E6386">
        <v>193</v>
      </c>
      <c r="F6386">
        <v>190</v>
      </c>
      <c r="G6386">
        <v>192</v>
      </c>
      <c r="H6386">
        <v>1.5</v>
      </c>
      <c r="I6386">
        <v>30</v>
      </c>
    </row>
    <row r="6387" spans="1:9" x14ac:dyDescent="0.25">
      <c r="A6387" t="s">
        <v>1137</v>
      </c>
      <c r="B6387">
        <v>33</v>
      </c>
      <c r="C6387" s="1">
        <v>6219</v>
      </c>
      <c r="D6387">
        <v>191</v>
      </c>
      <c r="E6387">
        <v>192</v>
      </c>
      <c r="F6387">
        <v>190.5</v>
      </c>
      <c r="G6387">
        <v>190.5</v>
      </c>
      <c r="H6387">
        <v>-1.5</v>
      </c>
      <c r="I6387">
        <v>30</v>
      </c>
    </row>
    <row r="6388" spans="1:9" x14ac:dyDescent="0.25">
      <c r="A6388" t="s">
        <v>1138</v>
      </c>
      <c r="B6388">
        <v>29</v>
      </c>
      <c r="C6388" s="1">
        <v>5559</v>
      </c>
      <c r="D6388">
        <v>191</v>
      </c>
      <c r="E6388">
        <v>193</v>
      </c>
      <c r="F6388">
        <v>190.5</v>
      </c>
      <c r="G6388">
        <v>192</v>
      </c>
      <c r="H6388">
        <v>1.5</v>
      </c>
      <c r="I6388">
        <v>29</v>
      </c>
    </row>
    <row r="6389" spans="1:9" x14ac:dyDescent="0.25">
      <c r="A6389" t="s">
        <v>1139</v>
      </c>
      <c r="B6389">
        <v>132</v>
      </c>
      <c r="C6389" s="1">
        <v>25930</v>
      </c>
      <c r="D6389">
        <v>192</v>
      </c>
      <c r="E6389">
        <v>198.5</v>
      </c>
      <c r="F6389">
        <v>192</v>
      </c>
      <c r="G6389">
        <v>194.5</v>
      </c>
      <c r="H6389">
        <v>2.5</v>
      </c>
      <c r="I6389">
        <v>123</v>
      </c>
    </row>
    <row r="6390" spans="1:9" x14ac:dyDescent="0.25">
      <c r="A6390" t="s">
        <v>1140</v>
      </c>
      <c r="B6390">
        <v>92</v>
      </c>
      <c r="C6390" s="1">
        <v>17670</v>
      </c>
      <c r="D6390">
        <v>194.5</v>
      </c>
      <c r="E6390">
        <v>194.5</v>
      </c>
      <c r="F6390">
        <v>189</v>
      </c>
      <c r="G6390">
        <v>192.5</v>
      </c>
      <c r="H6390">
        <v>-2</v>
      </c>
      <c r="I6390">
        <v>91</v>
      </c>
    </row>
    <row r="6391" spans="1:9" x14ac:dyDescent="0.25">
      <c r="A6391" t="s">
        <v>1141</v>
      </c>
      <c r="B6391">
        <v>34</v>
      </c>
      <c r="C6391" s="1">
        <v>6535</v>
      </c>
      <c r="D6391">
        <v>191.5</v>
      </c>
      <c r="E6391">
        <v>193</v>
      </c>
      <c r="F6391">
        <v>191</v>
      </c>
      <c r="G6391">
        <v>192.5</v>
      </c>
      <c r="H6391">
        <v>0</v>
      </c>
      <c r="I6391">
        <v>28</v>
      </c>
    </row>
    <row r="6392" spans="1:9" x14ac:dyDescent="0.25">
      <c r="A6392" t="s">
        <v>1142</v>
      </c>
      <c r="B6392">
        <v>31</v>
      </c>
      <c r="C6392" s="1">
        <v>5992</v>
      </c>
      <c r="D6392">
        <v>193</v>
      </c>
      <c r="E6392">
        <v>193</v>
      </c>
      <c r="F6392">
        <v>192</v>
      </c>
      <c r="G6392">
        <v>192</v>
      </c>
      <c r="H6392">
        <v>-0.5</v>
      </c>
      <c r="I6392">
        <v>24</v>
      </c>
    </row>
    <row r="6393" spans="1:9" x14ac:dyDescent="0.25">
      <c r="A6393" t="s">
        <v>1143</v>
      </c>
      <c r="B6393">
        <v>45</v>
      </c>
      <c r="C6393" s="1">
        <v>8651</v>
      </c>
      <c r="D6393">
        <v>192</v>
      </c>
      <c r="E6393">
        <v>193</v>
      </c>
      <c r="F6393">
        <v>189</v>
      </c>
      <c r="G6393">
        <v>189.5</v>
      </c>
      <c r="H6393">
        <v>-2.5</v>
      </c>
      <c r="I6393">
        <v>48</v>
      </c>
    </row>
    <row r="6394" spans="1:9" x14ac:dyDescent="0.25">
      <c r="A6394" t="s">
        <v>1144</v>
      </c>
      <c r="B6394">
        <v>22</v>
      </c>
      <c r="C6394" s="1">
        <v>4166</v>
      </c>
      <c r="D6394">
        <v>189.5</v>
      </c>
      <c r="E6394">
        <v>190.5</v>
      </c>
      <c r="F6394">
        <v>189</v>
      </c>
      <c r="G6394">
        <v>190.5</v>
      </c>
      <c r="H6394">
        <v>1</v>
      </c>
      <c r="I6394">
        <v>27</v>
      </c>
    </row>
    <row r="6395" spans="1:9" x14ac:dyDescent="0.25">
      <c r="A6395" t="s">
        <v>1145</v>
      </c>
      <c r="B6395">
        <v>8</v>
      </c>
      <c r="C6395" s="1">
        <v>1522</v>
      </c>
      <c r="D6395">
        <v>190.5</v>
      </c>
      <c r="E6395">
        <v>190.5</v>
      </c>
      <c r="F6395">
        <v>190</v>
      </c>
      <c r="G6395">
        <v>190</v>
      </c>
      <c r="H6395">
        <v>-0.5</v>
      </c>
      <c r="I6395">
        <v>8</v>
      </c>
    </row>
    <row r="6396" spans="1:9" x14ac:dyDescent="0.25">
      <c r="A6396" t="s">
        <v>1146</v>
      </c>
      <c r="B6396">
        <v>22</v>
      </c>
      <c r="C6396" s="1">
        <v>4233</v>
      </c>
      <c r="D6396">
        <v>190</v>
      </c>
      <c r="E6396">
        <v>192.5</v>
      </c>
      <c r="F6396">
        <v>190</v>
      </c>
      <c r="G6396">
        <v>191</v>
      </c>
      <c r="H6396">
        <v>1</v>
      </c>
      <c r="I6396">
        <v>20</v>
      </c>
    </row>
    <row r="6397" spans="1:9" x14ac:dyDescent="0.25">
      <c r="A6397" t="s">
        <v>1147</v>
      </c>
      <c r="B6397">
        <v>7</v>
      </c>
      <c r="C6397" s="1">
        <v>1358</v>
      </c>
      <c r="D6397">
        <v>192</v>
      </c>
      <c r="E6397">
        <v>192</v>
      </c>
      <c r="F6397">
        <v>191</v>
      </c>
      <c r="G6397">
        <v>191</v>
      </c>
      <c r="H6397">
        <v>0</v>
      </c>
      <c r="I6397">
        <v>9</v>
      </c>
    </row>
    <row r="6398" spans="1:9" x14ac:dyDescent="0.25">
      <c r="A6398" t="s">
        <v>1148</v>
      </c>
      <c r="B6398">
        <v>16</v>
      </c>
      <c r="C6398" s="1">
        <v>3089</v>
      </c>
      <c r="D6398">
        <v>191.5</v>
      </c>
      <c r="E6398">
        <v>192</v>
      </c>
      <c r="F6398">
        <v>191.5</v>
      </c>
      <c r="G6398">
        <v>192</v>
      </c>
      <c r="H6398">
        <v>1</v>
      </c>
      <c r="I6398">
        <v>16</v>
      </c>
    </row>
    <row r="6399" spans="1:9" x14ac:dyDescent="0.25">
      <c r="A6399" t="s">
        <v>1149</v>
      </c>
      <c r="B6399">
        <v>10</v>
      </c>
      <c r="C6399" s="1">
        <v>1920</v>
      </c>
      <c r="D6399">
        <v>191.5</v>
      </c>
      <c r="E6399">
        <v>192</v>
      </c>
      <c r="F6399">
        <v>191.5</v>
      </c>
      <c r="G6399">
        <v>192</v>
      </c>
      <c r="H6399">
        <v>0</v>
      </c>
      <c r="I6399">
        <v>10</v>
      </c>
    </row>
    <row r="6400" spans="1:9" x14ac:dyDescent="0.25">
      <c r="A6400" t="s">
        <v>1150</v>
      </c>
      <c r="B6400">
        <v>15</v>
      </c>
      <c r="C6400" s="1">
        <v>2867</v>
      </c>
      <c r="D6400">
        <v>191.5</v>
      </c>
      <c r="E6400">
        <v>191.5</v>
      </c>
      <c r="F6400">
        <v>190</v>
      </c>
      <c r="G6400">
        <v>190.5</v>
      </c>
      <c r="H6400">
        <v>-1.5</v>
      </c>
      <c r="I6400">
        <v>18</v>
      </c>
    </row>
    <row r="6401" spans="1:9" x14ac:dyDescent="0.25">
      <c r="A6401" t="s">
        <v>1151</v>
      </c>
      <c r="B6401">
        <v>9</v>
      </c>
      <c r="C6401" s="1">
        <v>1726</v>
      </c>
      <c r="D6401">
        <v>194</v>
      </c>
      <c r="E6401">
        <v>194</v>
      </c>
      <c r="F6401">
        <v>190.5</v>
      </c>
      <c r="G6401">
        <v>190.5</v>
      </c>
      <c r="H6401">
        <v>0</v>
      </c>
      <c r="I6401">
        <v>9</v>
      </c>
    </row>
    <row r="6402" spans="1:9" x14ac:dyDescent="0.25">
      <c r="A6402" t="s">
        <v>1152</v>
      </c>
      <c r="B6402">
        <v>17</v>
      </c>
      <c r="C6402" s="1">
        <v>3275</v>
      </c>
      <c r="D6402">
        <v>190.5</v>
      </c>
      <c r="E6402">
        <v>191</v>
      </c>
      <c r="F6402">
        <v>190</v>
      </c>
      <c r="G6402">
        <v>190</v>
      </c>
      <c r="H6402">
        <v>-0.5</v>
      </c>
      <c r="I6402">
        <v>17</v>
      </c>
    </row>
    <row r="6403" spans="1:9" x14ac:dyDescent="0.25">
      <c r="A6403" t="s">
        <v>1153</v>
      </c>
      <c r="B6403">
        <v>30</v>
      </c>
      <c r="C6403" s="1">
        <v>5733</v>
      </c>
      <c r="D6403">
        <v>191</v>
      </c>
      <c r="E6403">
        <v>191</v>
      </c>
      <c r="F6403">
        <v>189</v>
      </c>
      <c r="G6403">
        <v>189</v>
      </c>
      <c r="H6403">
        <v>-1</v>
      </c>
      <c r="I6403">
        <v>30</v>
      </c>
    </row>
    <row r="6404" spans="1:9" x14ac:dyDescent="0.25">
      <c r="A6404" t="s">
        <v>1154</v>
      </c>
      <c r="B6404">
        <v>29</v>
      </c>
      <c r="C6404" s="1">
        <v>5495</v>
      </c>
      <c r="D6404">
        <v>189</v>
      </c>
      <c r="E6404">
        <v>190</v>
      </c>
      <c r="F6404">
        <v>189</v>
      </c>
      <c r="G6404">
        <v>189.5</v>
      </c>
      <c r="H6404">
        <v>0.5</v>
      </c>
      <c r="I6404">
        <v>18</v>
      </c>
    </row>
    <row r="6405" spans="1:9" x14ac:dyDescent="0.25">
      <c r="A6405" t="s">
        <v>927</v>
      </c>
      <c r="C6405" s="1"/>
    </row>
    <row r="6409" spans="1:9" x14ac:dyDescent="0.25">
      <c r="A6409" s="9" t="s">
        <v>1116</v>
      </c>
      <c r="B6409">
        <v>26</v>
      </c>
      <c r="C6409" s="1">
        <v>4799</v>
      </c>
      <c r="D6409">
        <v>184.5</v>
      </c>
      <c r="E6409">
        <v>185</v>
      </c>
      <c r="F6409">
        <v>184</v>
      </c>
      <c r="G6409">
        <v>184.5</v>
      </c>
      <c r="H6409">
        <v>0</v>
      </c>
      <c r="I6409">
        <v>18</v>
      </c>
    </row>
    <row r="6410" spans="1:9" x14ac:dyDescent="0.25">
      <c r="A6410" t="s">
        <v>1117</v>
      </c>
      <c r="B6410">
        <v>44</v>
      </c>
      <c r="C6410" s="1">
        <v>8133</v>
      </c>
      <c r="D6410">
        <v>185</v>
      </c>
      <c r="E6410">
        <v>185</v>
      </c>
      <c r="F6410">
        <v>184.5</v>
      </c>
      <c r="G6410">
        <v>185</v>
      </c>
      <c r="H6410">
        <v>0.5</v>
      </c>
      <c r="I6410">
        <v>33</v>
      </c>
    </row>
    <row r="6411" spans="1:9" x14ac:dyDescent="0.25">
      <c r="A6411" t="s">
        <v>1118</v>
      </c>
      <c r="B6411">
        <v>19</v>
      </c>
      <c r="C6411" s="1">
        <v>3573</v>
      </c>
      <c r="D6411">
        <v>185</v>
      </c>
      <c r="E6411">
        <v>185.5</v>
      </c>
      <c r="F6411">
        <v>185</v>
      </c>
      <c r="G6411">
        <v>185</v>
      </c>
      <c r="H6411">
        <v>0</v>
      </c>
      <c r="I6411">
        <v>21</v>
      </c>
    </row>
    <row r="6412" spans="1:9" x14ac:dyDescent="0.25">
      <c r="A6412" t="s">
        <v>1119</v>
      </c>
      <c r="B6412">
        <v>55</v>
      </c>
      <c r="C6412" s="1">
        <v>10199</v>
      </c>
      <c r="D6412">
        <v>185.5</v>
      </c>
      <c r="E6412">
        <v>186</v>
      </c>
      <c r="F6412">
        <v>185</v>
      </c>
      <c r="G6412">
        <v>185.5</v>
      </c>
      <c r="H6412">
        <v>0.5</v>
      </c>
      <c r="I6412">
        <v>37</v>
      </c>
    </row>
    <row r="6413" spans="1:9" x14ac:dyDescent="0.25">
      <c r="A6413" t="s">
        <v>1120</v>
      </c>
      <c r="B6413">
        <v>39</v>
      </c>
      <c r="C6413" s="1">
        <v>7263</v>
      </c>
      <c r="D6413">
        <v>186</v>
      </c>
      <c r="E6413">
        <v>187</v>
      </c>
      <c r="F6413">
        <v>185.5</v>
      </c>
      <c r="G6413">
        <v>186</v>
      </c>
      <c r="H6413">
        <v>0.5</v>
      </c>
      <c r="I6413">
        <v>28</v>
      </c>
    </row>
    <row r="6414" spans="1:9" x14ac:dyDescent="0.25">
      <c r="A6414" t="s">
        <v>1121</v>
      </c>
      <c r="B6414">
        <v>209</v>
      </c>
      <c r="C6414" s="1">
        <v>38503</v>
      </c>
      <c r="D6414">
        <v>185.5</v>
      </c>
      <c r="E6414">
        <v>185.5</v>
      </c>
      <c r="F6414">
        <v>183.5</v>
      </c>
      <c r="G6414">
        <v>185</v>
      </c>
      <c r="H6414">
        <v>-1</v>
      </c>
      <c r="I6414">
        <v>98</v>
      </c>
    </row>
    <row r="6415" spans="1:9" x14ac:dyDescent="0.25">
      <c r="A6415" t="s">
        <v>1122</v>
      </c>
      <c r="B6415">
        <v>115</v>
      </c>
      <c r="C6415" s="1">
        <v>21378</v>
      </c>
      <c r="D6415">
        <v>184.5</v>
      </c>
      <c r="E6415">
        <v>186.5</v>
      </c>
      <c r="F6415">
        <v>184.5</v>
      </c>
      <c r="G6415">
        <v>186.5</v>
      </c>
      <c r="H6415">
        <v>1.5</v>
      </c>
      <c r="I6415">
        <v>44</v>
      </c>
    </row>
    <row r="6416" spans="1:9" x14ac:dyDescent="0.25">
      <c r="A6416" t="s">
        <v>1123</v>
      </c>
      <c r="B6416">
        <v>13</v>
      </c>
      <c r="C6416" s="1">
        <v>2405</v>
      </c>
      <c r="D6416">
        <v>185</v>
      </c>
      <c r="E6416">
        <v>185.5</v>
      </c>
      <c r="F6416">
        <v>184.5</v>
      </c>
      <c r="G6416">
        <v>185.5</v>
      </c>
      <c r="H6416">
        <v>-1</v>
      </c>
      <c r="I6416">
        <v>11</v>
      </c>
    </row>
    <row r="6417" spans="1:9" x14ac:dyDescent="0.25">
      <c r="A6417" t="s">
        <v>1124</v>
      </c>
      <c r="B6417">
        <v>12</v>
      </c>
      <c r="C6417" s="1">
        <v>2250</v>
      </c>
      <c r="D6417">
        <v>186.5</v>
      </c>
      <c r="E6417">
        <v>186.5</v>
      </c>
      <c r="F6417">
        <v>185</v>
      </c>
      <c r="G6417">
        <v>185</v>
      </c>
      <c r="H6417">
        <v>-0.5</v>
      </c>
      <c r="I6417">
        <v>8</v>
      </c>
    </row>
    <row r="6418" spans="1:9" x14ac:dyDescent="0.25">
      <c r="A6418" t="s">
        <v>1125</v>
      </c>
      <c r="B6418">
        <v>55</v>
      </c>
      <c r="C6418" s="1">
        <v>10279</v>
      </c>
      <c r="D6418">
        <v>186</v>
      </c>
      <c r="E6418">
        <v>186.5</v>
      </c>
      <c r="F6418">
        <v>185.5</v>
      </c>
      <c r="G6418">
        <v>186.5</v>
      </c>
      <c r="H6418">
        <v>1.5</v>
      </c>
      <c r="I6418">
        <v>46</v>
      </c>
    </row>
    <row r="6419" spans="1:9" x14ac:dyDescent="0.25">
      <c r="A6419" t="s">
        <v>1126</v>
      </c>
      <c r="B6419">
        <v>38</v>
      </c>
      <c r="C6419" s="1">
        <v>7139</v>
      </c>
      <c r="D6419">
        <v>186</v>
      </c>
      <c r="E6419">
        <v>187</v>
      </c>
      <c r="F6419">
        <v>186</v>
      </c>
      <c r="G6419">
        <v>186.5</v>
      </c>
      <c r="H6419">
        <v>0</v>
      </c>
      <c r="I6419">
        <v>36</v>
      </c>
    </row>
    <row r="6420" spans="1:9" x14ac:dyDescent="0.25">
      <c r="A6420" t="s">
        <v>1127</v>
      </c>
      <c r="B6420">
        <v>89</v>
      </c>
      <c r="C6420" s="1">
        <v>16787</v>
      </c>
      <c r="D6420">
        <v>186.5</v>
      </c>
      <c r="E6420">
        <v>188.5</v>
      </c>
      <c r="F6420">
        <v>186</v>
      </c>
      <c r="G6420">
        <v>188</v>
      </c>
      <c r="H6420">
        <v>1.5</v>
      </c>
      <c r="I6420">
        <v>71</v>
      </c>
    </row>
    <row r="6421" spans="1:9" x14ac:dyDescent="0.25">
      <c r="A6421" t="s">
        <v>1128</v>
      </c>
      <c r="B6421">
        <v>255</v>
      </c>
      <c r="C6421" s="1">
        <v>50045</v>
      </c>
      <c r="D6421">
        <v>188</v>
      </c>
      <c r="E6421">
        <v>203</v>
      </c>
      <c r="F6421">
        <v>188</v>
      </c>
      <c r="G6421">
        <v>195</v>
      </c>
      <c r="H6421">
        <v>7</v>
      </c>
      <c r="I6421">
        <v>220</v>
      </c>
    </row>
    <row r="6422" spans="1:9" x14ac:dyDescent="0.25">
      <c r="A6422" t="s">
        <v>1129</v>
      </c>
      <c r="B6422">
        <v>53</v>
      </c>
      <c r="C6422" s="1">
        <v>10359</v>
      </c>
      <c r="D6422">
        <v>197.5</v>
      </c>
      <c r="E6422">
        <v>197.5</v>
      </c>
      <c r="F6422">
        <v>194</v>
      </c>
      <c r="G6422">
        <v>194</v>
      </c>
      <c r="H6422">
        <v>-1</v>
      </c>
      <c r="I6422">
        <v>43</v>
      </c>
    </row>
    <row r="6423" spans="1:9" x14ac:dyDescent="0.25">
      <c r="A6423" t="s">
        <v>1130</v>
      </c>
      <c r="B6423">
        <v>105</v>
      </c>
      <c r="C6423" s="1">
        <v>20265</v>
      </c>
      <c r="D6423">
        <v>195.5</v>
      </c>
      <c r="E6423">
        <v>195.5</v>
      </c>
      <c r="F6423">
        <v>190</v>
      </c>
      <c r="G6423">
        <v>192</v>
      </c>
      <c r="H6423">
        <v>-2</v>
      </c>
      <c r="I6423">
        <v>75</v>
      </c>
    </row>
    <row r="6424" spans="1:9" x14ac:dyDescent="0.25">
      <c r="A6424" t="s">
        <v>1131</v>
      </c>
      <c r="B6424">
        <v>42</v>
      </c>
      <c r="C6424" s="1">
        <v>8051</v>
      </c>
      <c r="D6424">
        <v>192</v>
      </c>
      <c r="E6424">
        <v>192.5</v>
      </c>
      <c r="F6424">
        <v>190</v>
      </c>
      <c r="G6424">
        <v>192</v>
      </c>
      <c r="H6424">
        <v>0</v>
      </c>
      <c r="I6424">
        <v>35</v>
      </c>
    </row>
    <row r="6425" spans="1:9" x14ac:dyDescent="0.25">
      <c r="A6425" t="s">
        <v>1132</v>
      </c>
      <c r="B6425">
        <v>20</v>
      </c>
      <c r="C6425" s="1">
        <v>3833</v>
      </c>
      <c r="D6425">
        <v>192</v>
      </c>
      <c r="E6425">
        <v>192</v>
      </c>
      <c r="F6425">
        <v>190</v>
      </c>
      <c r="G6425">
        <v>191</v>
      </c>
      <c r="H6425">
        <v>-1</v>
      </c>
      <c r="I6425">
        <v>16</v>
      </c>
    </row>
    <row r="6426" spans="1:9" x14ac:dyDescent="0.25">
      <c r="A6426" t="s">
        <v>1133</v>
      </c>
      <c r="B6426">
        <v>34</v>
      </c>
      <c r="C6426" s="1">
        <v>6593</v>
      </c>
      <c r="D6426">
        <v>192</v>
      </c>
      <c r="E6426">
        <v>194</v>
      </c>
      <c r="F6426">
        <v>192</v>
      </c>
      <c r="G6426">
        <v>192</v>
      </c>
      <c r="H6426">
        <v>1</v>
      </c>
      <c r="I6426">
        <v>37</v>
      </c>
    </row>
    <row r="6427" spans="1:9" x14ac:dyDescent="0.25">
      <c r="A6427" t="s">
        <v>1134</v>
      </c>
      <c r="B6427">
        <v>15</v>
      </c>
      <c r="C6427" s="1">
        <v>2888</v>
      </c>
      <c r="D6427">
        <v>192</v>
      </c>
      <c r="E6427">
        <v>192</v>
      </c>
      <c r="F6427">
        <v>190</v>
      </c>
      <c r="G6427">
        <v>192</v>
      </c>
      <c r="H6427">
        <v>0</v>
      </c>
      <c r="I6427">
        <v>18</v>
      </c>
    </row>
    <row r="6428" spans="1:9" x14ac:dyDescent="0.25">
      <c r="A6428" t="s">
        <v>1030</v>
      </c>
      <c r="C6428" s="1"/>
    </row>
    <row r="6433" spans="1:9" x14ac:dyDescent="0.25">
      <c r="A6433" s="9" t="s">
        <v>1093</v>
      </c>
      <c r="B6433">
        <v>47</v>
      </c>
      <c r="C6433" s="1">
        <v>8625</v>
      </c>
      <c r="D6433">
        <v>184</v>
      </c>
      <c r="E6433">
        <v>184</v>
      </c>
      <c r="F6433">
        <v>183</v>
      </c>
      <c r="G6433">
        <v>184</v>
      </c>
      <c r="H6433">
        <v>1</v>
      </c>
      <c r="I6433">
        <v>24</v>
      </c>
    </row>
    <row r="6434" spans="1:9" x14ac:dyDescent="0.25">
      <c r="A6434" t="s">
        <v>1094</v>
      </c>
      <c r="B6434">
        <v>26</v>
      </c>
      <c r="C6434" s="1">
        <v>4795</v>
      </c>
      <c r="D6434">
        <v>183.5</v>
      </c>
      <c r="E6434">
        <v>185</v>
      </c>
      <c r="F6434">
        <v>183</v>
      </c>
      <c r="G6434">
        <v>184.5</v>
      </c>
      <c r="H6434">
        <v>0.5</v>
      </c>
      <c r="I6434">
        <v>21</v>
      </c>
    </row>
    <row r="6435" spans="1:9" x14ac:dyDescent="0.25">
      <c r="A6435" t="s">
        <v>1095</v>
      </c>
      <c r="B6435">
        <v>21</v>
      </c>
      <c r="C6435" s="1">
        <v>3909</v>
      </c>
      <c r="D6435">
        <v>184.5</v>
      </c>
      <c r="E6435">
        <v>186</v>
      </c>
      <c r="F6435">
        <v>184.5</v>
      </c>
      <c r="G6435">
        <v>185</v>
      </c>
      <c r="H6435">
        <v>0.5</v>
      </c>
      <c r="I6435">
        <v>23</v>
      </c>
    </row>
    <row r="6436" spans="1:9" x14ac:dyDescent="0.25">
      <c r="A6436" t="s">
        <v>1096</v>
      </c>
      <c r="B6436">
        <v>18</v>
      </c>
      <c r="C6436" s="1">
        <v>3326</v>
      </c>
      <c r="D6436">
        <v>185</v>
      </c>
      <c r="E6436">
        <v>185</v>
      </c>
      <c r="F6436">
        <v>184</v>
      </c>
      <c r="G6436">
        <v>185</v>
      </c>
      <c r="H6436">
        <v>0</v>
      </c>
      <c r="I6436">
        <v>19</v>
      </c>
    </row>
    <row r="6437" spans="1:9" x14ac:dyDescent="0.25">
      <c r="A6437" t="s">
        <v>1097</v>
      </c>
      <c r="B6437">
        <v>77</v>
      </c>
      <c r="C6437" s="1">
        <v>14306</v>
      </c>
      <c r="D6437">
        <v>185</v>
      </c>
      <c r="E6437">
        <v>187</v>
      </c>
      <c r="F6437">
        <v>185</v>
      </c>
      <c r="G6437">
        <v>186</v>
      </c>
      <c r="H6437">
        <v>1</v>
      </c>
      <c r="I6437">
        <v>28</v>
      </c>
    </row>
    <row r="6438" spans="1:9" x14ac:dyDescent="0.25">
      <c r="A6438" t="s">
        <v>1098</v>
      </c>
      <c r="B6438">
        <v>45</v>
      </c>
      <c r="C6438" s="1">
        <v>8454</v>
      </c>
      <c r="D6438">
        <v>186</v>
      </c>
      <c r="E6438">
        <v>189</v>
      </c>
      <c r="F6438">
        <v>186</v>
      </c>
      <c r="G6438">
        <v>186.5</v>
      </c>
      <c r="H6438">
        <v>0.5</v>
      </c>
      <c r="I6438">
        <v>38</v>
      </c>
    </row>
    <row r="6439" spans="1:9" x14ac:dyDescent="0.25">
      <c r="A6439" t="s">
        <v>1099</v>
      </c>
      <c r="B6439">
        <v>51</v>
      </c>
      <c r="C6439" s="1">
        <v>9427</v>
      </c>
      <c r="D6439">
        <v>188</v>
      </c>
      <c r="E6439">
        <v>188</v>
      </c>
      <c r="F6439">
        <v>184</v>
      </c>
      <c r="G6439">
        <v>185</v>
      </c>
      <c r="H6439">
        <v>-1.5</v>
      </c>
      <c r="I6439">
        <v>44</v>
      </c>
    </row>
    <row r="6440" spans="1:9" x14ac:dyDescent="0.25">
      <c r="A6440" t="s">
        <v>1100</v>
      </c>
      <c r="B6440">
        <v>26</v>
      </c>
      <c r="C6440" s="1">
        <v>4844</v>
      </c>
      <c r="D6440">
        <v>185</v>
      </c>
      <c r="E6440">
        <v>185.5</v>
      </c>
      <c r="F6440">
        <v>184</v>
      </c>
      <c r="G6440">
        <v>185.5</v>
      </c>
      <c r="H6440">
        <v>0.5</v>
      </c>
      <c r="I6440">
        <v>26</v>
      </c>
    </row>
    <row r="6441" spans="1:9" x14ac:dyDescent="0.25">
      <c r="A6441" t="s">
        <v>1101</v>
      </c>
      <c r="B6441">
        <v>26</v>
      </c>
      <c r="C6441" s="1">
        <v>4858</v>
      </c>
      <c r="D6441">
        <v>186</v>
      </c>
      <c r="E6441">
        <v>187</v>
      </c>
      <c r="F6441">
        <v>184.5</v>
      </c>
      <c r="G6441">
        <v>185</v>
      </c>
      <c r="H6441">
        <v>-0.5</v>
      </c>
      <c r="I6441">
        <v>27</v>
      </c>
    </row>
    <row r="6442" spans="1:9" x14ac:dyDescent="0.25">
      <c r="A6442" t="s">
        <v>1102</v>
      </c>
      <c r="B6442">
        <v>46</v>
      </c>
      <c r="C6442" s="1">
        <v>8511</v>
      </c>
      <c r="D6442">
        <v>186</v>
      </c>
      <c r="E6442">
        <v>186</v>
      </c>
      <c r="F6442">
        <v>183.5</v>
      </c>
      <c r="G6442">
        <v>185</v>
      </c>
      <c r="H6442">
        <v>0</v>
      </c>
      <c r="I6442">
        <v>32</v>
      </c>
    </row>
    <row r="6443" spans="1:9" x14ac:dyDescent="0.25">
      <c r="A6443" t="s">
        <v>1103</v>
      </c>
      <c r="B6443">
        <v>42</v>
      </c>
      <c r="C6443" s="1">
        <v>7798</v>
      </c>
      <c r="D6443">
        <v>185</v>
      </c>
      <c r="E6443">
        <v>186.5</v>
      </c>
      <c r="F6443">
        <v>184.5</v>
      </c>
      <c r="G6443">
        <v>185</v>
      </c>
      <c r="H6443">
        <v>0</v>
      </c>
      <c r="I6443">
        <v>39</v>
      </c>
    </row>
    <row r="6444" spans="1:9" x14ac:dyDescent="0.25">
      <c r="A6444" t="s">
        <v>1104</v>
      </c>
      <c r="B6444">
        <v>25</v>
      </c>
      <c r="C6444" s="1">
        <v>4652</v>
      </c>
      <c r="D6444">
        <v>185</v>
      </c>
      <c r="E6444">
        <v>185</v>
      </c>
      <c r="F6444">
        <v>184.5</v>
      </c>
      <c r="G6444">
        <v>185</v>
      </c>
      <c r="H6444">
        <v>0</v>
      </c>
      <c r="I6444">
        <v>26</v>
      </c>
    </row>
    <row r="6445" spans="1:9" x14ac:dyDescent="0.25">
      <c r="A6445" t="s">
        <v>1105</v>
      </c>
      <c r="B6445">
        <v>31</v>
      </c>
      <c r="C6445" s="1">
        <v>5783</v>
      </c>
      <c r="D6445">
        <v>185</v>
      </c>
      <c r="E6445">
        <v>187</v>
      </c>
      <c r="F6445">
        <v>185</v>
      </c>
      <c r="G6445">
        <v>186.5</v>
      </c>
      <c r="H6445">
        <v>1.5</v>
      </c>
      <c r="I6445">
        <v>29</v>
      </c>
    </row>
    <row r="6446" spans="1:9" x14ac:dyDescent="0.25">
      <c r="A6446" t="s">
        <v>1106</v>
      </c>
      <c r="B6446">
        <v>24</v>
      </c>
      <c r="C6446" s="1">
        <v>4473</v>
      </c>
      <c r="D6446">
        <v>186.5</v>
      </c>
      <c r="E6446">
        <v>186.5</v>
      </c>
      <c r="F6446">
        <v>185.5</v>
      </c>
      <c r="G6446">
        <v>185.5</v>
      </c>
      <c r="H6446">
        <v>-1</v>
      </c>
      <c r="I6446">
        <v>20</v>
      </c>
    </row>
    <row r="6447" spans="1:9" x14ac:dyDescent="0.25">
      <c r="A6447" t="s">
        <v>1107</v>
      </c>
      <c r="B6447">
        <v>24</v>
      </c>
      <c r="C6447" s="1">
        <v>4451</v>
      </c>
      <c r="D6447">
        <v>186</v>
      </c>
      <c r="E6447">
        <v>187</v>
      </c>
      <c r="F6447">
        <v>184</v>
      </c>
      <c r="G6447">
        <v>184</v>
      </c>
      <c r="H6447">
        <v>-1.5</v>
      </c>
      <c r="I6447">
        <v>24</v>
      </c>
    </row>
    <row r="6448" spans="1:9" x14ac:dyDescent="0.25">
      <c r="A6448" t="s">
        <v>1108</v>
      </c>
      <c r="B6448">
        <v>24</v>
      </c>
      <c r="C6448" s="1">
        <v>4442</v>
      </c>
      <c r="D6448">
        <v>184</v>
      </c>
      <c r="E6448">
        <v>185</v>
      </c>
      <c r="F6448">
        <v>183.5</v>
      </c>
      <c r="G6448">
        <v>183.5</v>
      </c>
      <c r="H6448">
        <v>-0.5</v>
      </c>
      <c r="I6448">
        <v>26</v>
      </c>
    </row>
    <row r="6449" spans="1:9" x14ac:dyDescent="0.25">
      <c r="A6449" t="s">
        <v>1109</v>
      </c>
      <c r="B6449">
        <v>17</v>
      </c>
      <c r="C6449" s="1">
        <v>3127</v>
      </c>
      <c r="D6449">
        <v>183.5</v>
      </c>
      <c r="E6449">
        <v>184.5</v>
      </c>
      <c r="F6449">
        <v>183.5</v>
      </c>
      <c r="G6449">
        <v>184</v>
      </c>
      <c r="H6449">
        <v>0.5</v>
      </c>
      <c r="I6449">
        <v>16</v>
      </c>
    </row>
    <row r="6450" spans="1:9" x14ac:dyDescent="0.25">
      <c r="A6450" t="s">
        <v>1110</v>
      </c>
      <c r="B6450">
        <v>31</v>
      </c>
      <c r="C6450" s="1">
        <v>5717</v>
      </c>
      <c r="D6450">
        <v>186</v>
      </c>
      <c r="E6450">
        <v>186</v>
      </c>
      <c r="F6450">
        <v>183.5</v>
      </c>
      <c r="G6450">
        <v>185</v>
      </c>
      <c r="H6450">
        <v>1</v>
      </c>
      <c r="I6450">
        <v>26</v>
      </c>
    </row>
    <row r="6451" spans="1:9" x14ac:dyDescent="0.25">
      <c r="A6451" t="s">
        <v>1111</v>
      </c>
      <c r="B6451">
        <v>45</v>
      </c>
      <c r="C6451" s="1">
        <v>8275</v>
      </c>
      <c r="D6451">
        <v>185.5</v>
      </c>
      <c r="E6451">
        <v>187</v>
      </c>
      <c r="F6451">
        <v>185</v>
      </c>
      <c r="G6451">
        <v>185</v>
      </c>
      <c r="H6451">
        <v>0</v>
      </c>
      <c r="I6451">
        <v>49</v>
      </c>
    </row>
    <row r="6452" spans="1:9" x14ac:dyDescent="0.25">
      <c r="A6452" t="s">
        <v>1112</v>
      </c>
      <c r="B6452">
        <v>37</v>
      </c>
      <c r="C6452" s="1">
        <v>6848</v>
      </c>
      <c r="D6452">
        <v>185</v>
      </c>
      <c r="E6452">
        <v>185</v>
      </c>
      <c r="F6452">
        <v>184</v>
      </c>
      <c r="G6452">
        <v>185</v>
      </c>
      <c r="H6452">
        <v>0</v>
      </c>
      <c r="I6452">
        <v>34</v>
      </c>
    </row>
    <row r="6453" spans="1:9" x14ac:dyDescent="0.25">
      <c r="A6453" t="s">
        <v>1113</v>
      </c>
      <c r="B6453">
        <v>14</v>
      </c>
      <c r="C6453" s="1">
        <v>2638</v>
      </c>
      <c r="D6453">
        <v>186</v>
      </c>
      <c r="E6453">
        <v>186</v>
      </c>
      <c r="F6453">
        <v>184</v>
      </c>
      <c r="G6453">
        <v>184.5</v>
      </c>
      <c r="H6453">
        <v>-0.5</v>
      </c>
      <c r="I6453">
        <v>14</v>
      </c>
    </row>
    <row r="6454" spans="1:9" x14ac:dyDescent="0.25">
      <c r="A6454" t="s">
        <v>1114</v>
      </c>
      <c r="B6454">
        <v>14</v>
      </c>
      <c r="C6454" s="1">
        <v>2519</v>
      </c>
      <c r="D6454">
        <v>184.5</v>
      </c>
      <c r="E6454">
        <v>185.5</v>
      </c>
      <c r="F6454">
        <v>184.5</v>
      </c>
      <c r="G6454">
        <v>185.5</v>
      </c>
      <c r="H6454">
        <v>1</v>
      </c>
      <c r="I6454">
        <v>22</v>
      </c>
    </row>
    <row r="6455" spans="1:9" x14ac:dyDescent="0.25">
      <c r="A6455" t="s">
        <v>1115</v>
      </c>
      <c r="B6455">
        <v>25</v>
      </c>
      <c r="C6455" s="1">
        <v>4654</v>
      </c>
      <c r="D6455">
        <v>185.5</v>
      </c>
      <c r="E6455">
        <v>185.5</v>
      </c>
      <c r="F6455">
        <v>184</v>
      </c>
      <c r="G6455">
        <v>184.5</v>
      </c>
      <c r="H6455">
        <v>-1</v>
      </c>
      <c r="I6455">
        <v>23</v>
      </c>
    </row>
    <row r="6456" spans="1:9" x14ac:dyDescent="0.25">
      <c r="A6456" t="s">
        <v>951</v>
      </c>
      <c r="C6456" s="1"/>
    </row>
    <row r="6457" spans="1:9" x14ac:dyDescent="0.25">
      <c r="A6457" s="9" t="s">
        <v>1073</v>
      </c>
      <c r="B6457">
        <v>30</v>
      </c>
      <c r="C6457" s="1">
        <v>5608</v>
      </c>
      <c r="D6457">
        <v>186.5</v>
      </c>
      <c r="E6457">
        <v>186.5</v>
      </c>
      <c r="F6457">
        <v>185.5</v>
      </c>
      <c r="G6457">
        <v>185.5</v>
      </c>
      <c r="H6457">
        <v>-1</v>
      </c>
      <c r="I6457">
        <v>30</v>
      </c>
    </row>
    <row r="6458" spans="1:9" x14ac:dyDescent="0.25">
      <c r="A6458" t="s">
        <v>1074</v>
      </c>
      <c r="B6458">
        <v>11</v>
      </c>
      <c r="C6458" s="1">
        <v>2025</v>
      </c>
      <c r="D6458">
        <v>184</v>
      </c>
      <c r="E6458">
        <v>184.5</v>
      </c>
      <c r="F6458">
        <v>184</v>
      </c>
      <c r="G6458">
        <v>184</v>
      </c>
      <c r="H6458">
        <v>-1.5</v>
      </c>
      <c r="I6458">
        <v>9</v>
      </c>
    </row>
    <row r="6459" spans="1:9" x14ac:dyDescent="0.25">
      <c r="A6459" t="s">
        <v>1075</v>
      </c>
      <c r="B6459">
        <v>15</v>
      </c>
      <c r="C6459" s="1">
        <v>2782</v>
      </c>
      <c r="D6459">
        <v>184</v>
      </c>
      <c r="E6459">
        <v>184</v>
      </c>
      <c r="F6459">
        <v>182</v>
      </c>
      <c r="G6459">
        <v>182.5</v>
      </c>
      <c r="H6459">
        <v>-1.5</v>
      </c>
      <c r="I6459">
        <v>17</v>
      </c>
    </row>
    <row r="6460" spans="1:9" x14ac:dyDescent="0.25">
      <c r="A6460" t="s">
        <v>1076</v>
      </c>
      <c r="B6460">
        <v>11</v>
      </c>
      <c r="C6460" s="1">
        <v>2075</v>
      </c>
      <c r="D6460">
        <v>182</v>
      </c>
      <c r="E6460">
        <v>184</v>
      </c>
      <c r="F6460">
        <v>182</v>
      </c>
      <c r="G6460">
        <v>182.5</v>
      </c>
      <c r="H6460">
        <v>0</v>
      </c>
      <c r="I6460">
        <v>15</v>
      </c>
    </row>
    <row r="6461" spans="1:9" x14ac:dyDescent="0.25">
      <c r="A6461" t="s">
        <v>1077</v>
      </c>
      <c r="B6461">
        <v>18</v>
      </c>
      <c r="C6461" s="1">
        <v>3218</v>
      </c>
      <c r="D6461">
        <v>183</v>
      </c>
      <c r="E6461">
        <v>183</v>
      </c>
      <c r="F6461">
        <v>182</v>
      </c>
      <c r="G6461">
        <v>182</v>
      </c>
      <c r="H6461">
        <v>-0.5</v>
      </c>
      <c r="I6461">
        <v>25</v>
      </c>
    </row>
    <row r="6462" spans="1:9" x14ac:dyDescent="0.25">
      <c r="A6462" t="s">
        <v>1078</v>
      </c>
      <c r="B6462">
        <v>20</v>
      </c>
      <c r="C6462" s="1">
        <v>3553</v>
      </c>
      <c r="D6462">
        <v>182</v>
      </c>
      <c r="E6462">
        <v>182.5</v>
      </c>
      <c r="F6462">
        <v>182</v>
      </c>
      <c r="G6462">
        <v>182.5</v>
      </c>
      <c r="H6462">
        <v>0.5</v>
      </c>
      <c r="I6462">
        <v>26</v>
      </c>
    </row>
    <row r="6463" spans="1:9" x14ac:dyDescent="0.25">
      <c r="A6463" t="s">
        <v>1079</v>
      </c>
      <c r="B6463">
        <v>24</v>
      </c>
      <c r="C6463" s="1">
        <v>4391</v>
      </c>
      <c r="D6463">
        <v>183</v>
      </c>
      <c r="E6463">
        <v>183</v>
      </c>
      <c r="F6463">
        <v>182</v>
      </c>
      <c r="G6463">
        <v>182</v>
      </c>
      <c r="H6463">
        <v>-0.5</v>
      </c>
      <c r="I6463">
        <v>22</v>
      </c>
    </row>
    <row r="6464" spans="1:9" x14ac:dyDescent="0.25">
      <c r="A6464" t="s">
        <v>1080</v>
      </c>
      <c r="B6464">
        <v>20</v>
      </c>
      <c r="C6464" s="1">
        <v>3663</v>
      </c>
      <c r="D6464">
        <v>183</v>
      </c>
      <c r="E6464">
        <v>183</v>
      </c>
      <c r="F6464">
        <v>182.5</v>
      </c>
      <c r="G6464">
        <v>183</v>
      </c>
      <c r="H6464">
        <v>1</v>
      </c>
      <c r="I6464">
        <v>22</v>
      </c>
    </row>
    <row r="6465" spans="1:9" x14ac:dyDescent="0.25">
      <c r="A6465" t="s">
        <v>1081</v>
      </c>
      <c r="B6465">
        <v>24</v>
      </c>
      <c r="C6465" s="1">
        <v>4387</v>
      </c>
      <c r="D6465">
        <v>182.5</v>
      </c>
      <c r="E6465">
        <v>183</v>
      </c>
      <c r="F6465">
        <v>182.5</v>
      </c>
      <c r="G6465">
        <v>183</v>
      </c>
      <c r="H6465">
        <v>0</v>
      </c>
      <c r="I6465">
        <v>22</v>
      </c>
    </row>
    <row r="6466" spans="1:9" x14ac:dyDescent="0.25">
      <c r="A6466" t="s">
        <v>1082</v>
      </c>
      <c r="B6466">
        <v>43</v>
      </c>
      <c r="C6466" s="1">
        <v>7911</v>
      </c>
      <c r="D6466">
        <v>184.5</v>
      </c>
      <c r="E6466">
        <v>184.5</v>
      </c>
      <c r="F6466">
        <v>182.5</v>
      </c>
      <c r="G6466">
        <v>182.5</v>
      </c>
      <c r="H6466">
        <v>-0.5</v>
      </c>
      <c r="I6466">
        <v>37</v>
      </c>
    </row>
    <row r="6467" spans="1:9" x14ac:dyDescent="0.25">
      <c r="A6467" t="s">
        <v>1083</v>
      </c>
      <c r="B6467">
        <v>55</v>
      </c>
      <c r="C6467" s="1">
        <v>10127</v>
      </c>
      <c r="D6467">
        <v>183.5</v>
      </c>
      <c r="E6467">
        <v>184</v>
      </c>
      <c r="F6467">
        <v>183.5</v>
      </c>
      <c r="G6467">
        <v>184</v>
      </c>
      <c r="H6467">
        <v>1.5</v>
      </c>
      <c r="I6467">
        <v>45</v>
      </c>
    </row>
    <row r="6468" spans="1:9" x14ac:dyDescent="0.25">
      <c r="A6468" t="s">
        <v>1084</v>
      </c>
      <c r="B6468">
        <v>44</v>
      </c>
      <c r="C6468" s="1">
        <v>8113</v>
      </c>
      <c r="D6468">
        <v>185</v>
      </c>
      <c r="E6468">
        <v>185</v>
      </c>
      <c r="F6468">
        <v>183.5</v>
      </c>
      <c r="G6468">
        <v>184</v>
      </c>
      <c r="H6468">
        <v>0</v>
      </c>
      <c r="I6468">
        <v>26</v>
      </c>
    </row>
    <row r="6469" spans="1:9" x14ac:dyDescent="0.25">
      <c r="A6469" t="s">
        <v>1085</v>
      </c>
      <c r="B6469">
        <v>72</v>
      </c>
      <c r="C6469" s="1">
        <v>13264</v>
      </c>
      <c r="D6469">
        <v>184</v>
      </c>
      <c r="E6469">
        <v>186.5</v>
      </c>
      <c r="F6469">
        <v>183.5</v>
      </c>
      <c r="G6469">
        <v>186.5</v>
      </c>
      <c r="H6469">
        <v>2.5</v>
      </c>
      <c r="I6469">
        <v>43</v>
      </c>
    </row>
    <row r="6470" spans="1:9" x14ac:dyDescent="0.25">
      <c r="A6470" t="s">
        <v>1086</v>
      </c>
      <c r="B6470">
        <v>92</v>
      </c>
      <c r="C6470" s="1">
        <v>17255</v>
      </c>
      <c r="D6470">
        <v>185.5</v>
      </c>
      <c r="E6470">
        <v>190</v>
      </c>
      <c r="F6470">
        <v>185.5</v>
      </c>
      <c r="G6470">
        <v>188</v>
      </c>
      <c r="H6470">
        <v>1.5</v>
      </c>
      <c r="I6470">
        <v>77</v>
      </c>
    </row>
    <row r="6471" spans="1:9" x14ac:dyDescent="0.25">
      <c r="A6471" t="s">
        <v>1087</v>
      </c>
      <c r="B6471">
        <v>19</v>
      </c>
      <c r="C6471" s="1">
        <v>3582</v>
      </c>
      <c r="D6471">
        <v>188</v>
      </c>
      <c r="E6471">
        <v>188</v>
      </c>
      <c r="F6471">
        <v>186</v>
      </c>
      <c r="G6471">
        <v>186</v>
      </c>
      <c r="H6471">
        <v>-2</v>
      </c>
      <c r="I6471">
        <v>19</v>
      </c>
    </row>
    <row r="6472" spans="1:9" x14ac:dyDescent="0.25">
      <c r="A6472" t="s">
        <v>1088</v>
      </c>
      <c r="B6472">
        <v>49</v>
      </c>
      <c r="C6472" s="1">
        <v>9047</v>
      </c>
      <c r="D6472">
        <v>185</v>
      </c>
      <c r="E6472">
        <v>185.5</v>
      </c>
      <c r="F6472">
        <v>183</v>
      </c>
      <c r="G6472">
        <v>184</v>
      </c>
      <c r="H6472">
        <v>-2</v>
      </c>
      <c r="I6472">
        <v>44</v>
      </c>
    </row>
    <row r="6473" spans="1:9" x14ac:dyDescent="0.25">
      <c r="A6473" t="s">
        <v>1089</v>
      </c>
      <c r="B6473">
        <v>42</v>
      </c>
      <c r="C6473" s="1">
        <v>7728</v>
      </c>
      <c r="D6473">
        <v>184</v>
      </c>
      <c r="E6473">
        <v>184.5</v>
      </c>
      <c r="F6473">
        <v>183</v>
      </c>
      <c r="G6473">
        <v>183.5</v>
      </c>
      <c r="H6473">
        <v>-0.5</v>
      </c>
      <c r="I6473">
        <v>24</v>
      </c>
    </row>
    <row r="6474" spans="1:9" x14ac:dyDescent="0.25">
      <c r="A6474" t="s">
        <v>1090</v>
      </c>
      <c r="B6474">
        <v>31</v>
      </c>
      <c r="C6474" s="1">
        <v>5712</v>
      </c>
      <c r="D6474">
        <v>183.5</v>
      </c>
      <c r="E6474">
        <v>184.5</v>
      </c>
      <c r="F6474">
        <v>183.5</v>
      </c>
      <c r="G6474">
        <v>184</v>
      </c>
      <c r="H6474">
        <v>0.5</v>
      </c>
      <c r="I6474">
        <v>18</v>
      </c>
    </row>
    <row r="6475" spans="1:9" x14ac:dyDescent="0.25">
      <c r="A6475" t="s">
        <v>1091</v>
      </c>
      <c r="B6475">
        <v>8</v>
      </c>
      <c r="C6475" s="1">
        <v>1483</v>
      </c>
      <c r="D6475">
        <v>184.5</v>
      </c>
      <c r="E6475">
        <v>184.5</v>
      </c>
      <c r="F6475">
        <v>183</v>
      </c>
      <c r="G6475">
        <v>183</v>
      </c>
      <c r="H6475">
        <v>-1</v>
      </c>
      <c r="I6475">
        <v>10</v>
      </c>
    </row>
    <row r="6476" spans="1:9" x14ac:dyDescent="0.25">
      <c r="A6476" t="s">
        <v>1092</v>
      </c>
      <c r="B6476">
        <v>71</v>
      </c>
      <c r="C6476" s="1">
        <v>13051</v>
      </c>
      <c r="D6476">
        <v>183</v>
      </c>
      <c r="E6476">
        <v>184.5</v>
      </c>
      <c r="F6476">
        <v>183</v>
      </c>
      <c r="G6476">
        <v>183</v>
      </c>
      <c r="H6476">
        <v>0</v>
      </c>
      <c r="I6476">
        <v>34</v>
      </c>
    </row>
    <row r="6477" spans="1:9" x14ac:dyDescent="0.25">
      <c r="A6477" t="s">
        <v>927</v>
      </c>
      <c r="C6477" s="1"/>
    </row>
    <row r="6481" spans="1:9" x14ac:dyDescent="0.25">
      <c r="A6481" s="9" t="s">
        <v>1052</v>
      </c>
      <c r="B6481">
        <v>97</v>
      </c>
      <c r="C6481" s="1">
        <v>19263</v>
      </c>
      <c r="D6481">
        <v>197.5</v>
      </c>
      <c r="E6481">
        <v>199.5</v>
      </c>
      <c r="F6481">
        <v>197.5</v>
      </c>
      <c r="G6481">
        <v>199.5</v>
      </c>
      <c r="H6481">
        <v>2.5</v>
      </c>
      <c r="I6481">
        <v>88</v>
      </c>
    </row>
    <row r="6482" spans="1:9" x14ac:dyDescent="0.25">
      <c r="A6482" t="s">
        <v>1053</v>
      </c>
      <c r="B6482">
        <v>83</v>
      </c>
      <c r="C6482" s="1">
        <v>16684</v>
      </c>
      <c r="D6482">
        <v>199.5</v>
      </c>
      <c r="E6482">
        <v>202.5</v>
      </c>
      <c r="F6482">
        <v>198</v>
      </c>
      <c r="G6482">
        <v>200.5</v>
      </c>
      <c r="H6482">
        <v>1</v>
      </c>
      <c r="I6482">
        <v>78</v>
      </c>
    </row>
    <row r="6483" spans="1:9" x14ac:dyDescent="0.25">
      <c r="A6483" t="s">
        <v>1054</v>
      </c>
      <c r="B6483">
        <v>44</v>
      </c>
      <c r="C6483" s="1">
        <v>8815</v>
      </c>
      <c r="D6483">
        <v>200</v>
      </c>
      <c r="E6483">
        <v>202</v>
      </c>
      <c r="F6483">
        <v>195.5</v>
      </c>
      <c r="G6483">
        <v>200</v>
      </c>
      <c r="H6483">
        <v>-0.5</v>
      </c>
      <c r="I6483">
        <v>38</v>
      </c>
    </row>
    <row r="6484" spans="1:9" x14ac:dyDescent="0.25">
      <c r="A6484" t="s">
        <v>1055</v>
      </c>
      <c r="B6484">
        <v>22</v>
      </c>
      <c r="C6484" s="1">
        <v>4418</v>
      </c>
      <c r="D6484">
        <v>200</v>
      </c>
      <c r="E6484">
        <v>202</v>
      </c>
      <c r="F6484">
        <v>199</v>
      </c>
      <c r="G6484">
        <v>199</v>
      </c>
      <c r="H6484">
        <v>-1</v>
      </c>
      <c r="I6484">
        <v>21</v>
      </c>
    </row>
    <row r="6485" spans="1:9" x14ac:dyDescent="0.25">
      <c r="A6485" t="s">
        <v>1056</v>
      </c>
      <c r="B6485">
        <v>31</v>
      </c>
      <c r="C6485" s="1">
        <v>6184</v>
      </c>
      <c r="D6485">
        <v>199.5</v>
      </c>
      <c r="E6485">
        <v>200</v>
      </c>
      <c r="F6485">
        <v>198</v>
      </c>
      <c r="G6485">
        <v>198</v>
      </c>
      <c r="H6485">
        <v>-1</v>
      </c>
      <c r="I6485">
        <v>22</v>
      </c>
    </row>
    <row r="6486" spans="1:9" x14ac:dyDescent="0.25">
      <c r="A6486" t="s">
        <v>1057</v>
      </c>
      <c r="B6486">
        <v>74</v>
      </c>
      <c r="C6486" s="1">
        <v>14694</v>
      </c>
      <c r="D6486">
        <v>198</v>
      </c>
      <c r="E6486">
        <v>200</v>
      </c>
      <c r="F6486">
        <v>196</v>
      </c>
      <c r="G6486">
        <v>196</v>
      </c>
      <c r="H6486">
        <v>-2</v>
      </c>
      <c r="I6486">
        <v>57</v>
      </c>
    </row>
    <row r="6487" spans="1:9" x14ac:dyDescent="0.25">
      <c r="A6487" t="s">
        <v>1058</v>
      </c>
      <c r="B6487">
        <v>33</v>
      </c>
      <c r="C6487" s="1">
        <v>6452</v>
      </c>
      <c r="D6487">
        <v>196</v>
      </c>
      <c r="E6487">
        <v>196</v>
      </c>
      <c r="F6487">
        <v>194.5</v>
      </c>
      <c r="G6487">
        <v>194.5</v>
      </c>
      <c r="H6487">
        <v>-1.5</v>
      </c>
      <c r="I6487">
        <v>26</v>
      </c>
    </row>
    <row r="6488" spans="1:9" x14ac:dyDescent="0.25">
      <c r="A6488" t="s">
        <v>1059</v>
      </c>
      <c r="B6488">
        <v>124</v>
      </c>
      <c r="C6488" s="1">
        <v>23878</v>
      </c>
      <c r="D6488">
        <v>194.5</v>
      </c>
      <c r="E6488">
        <v>194.5</v>
      </c>
      <c r="F6488">
        <v>191.5</v>
      </c>
      <c r="G6488">
        <v>192.5</v>
      </c>
      <c r="H6488">
        <v>-2</v>
      </c>
      <c r="I6488">
        <v>105</v>
      </c>
    </row>
    <row r="6489" spans="1:9" x14ac:dyDescent="0.25">
      <c r="A6489" t="s">
        <v>1060</v>
      </c>
      <c r="B6489">
        <v>133</v>
      </c>
      <c r="C6489" s="1">
        <v>25588</v>
      </c>
      <c r="D6489">
        <v>192.5</v>
      </c>
      <c r="E6489">
        <v>192.5</v>
      </c>
      <c r="F6489">
        <v>192</v>
      </c>
      <c r="G6489">
        <v>192</v>
      </c>
      <c r="H6489">
        <v>-0.5</v>
      </c>
      <c r="I6489">
        <v>100</v>
      </c>
    </row>
    <row r="6490" spans="1:9" x14ac:dyDescent="0.25">
      <c r="A6490" t="s">
        <v>1061</v>
      </c>
      <c r="B6490">
        <v>171</v>
      </c>
      <c r="C6490" s="1">
        <v>32782</v>
      </c>
      <c r="D6490">
        <v>192.5</v>
      </c>
      <c r="E6490">
        <v>192.5</v>
      </c>
      <c r="F6490">
        <v>190.5</v>
      </c>
      <c r="G6490">
        <v>191</v>
      </c>
      <c r="H6490">
        <v>-1</v>
      </c>
      <c r="I6490">
        <v>122</v>
      </c>
    </row>
    <row r="6491" spans="1:9" x14ac:dyDescent="0.25">
      <c r="A6491" t="s">
        <v>1062</v>
      </c>
      <c r="B6491">
        <v>178</v>
      </c>
      <c r="C6491" s="1">
        <v>34036</v>
      </c>
      <c r="D6491">
        <v>191.5</v>
      </c>
      <c r="E6491">
        <v>192</v>
      </c>
      <c r="F6491">
        <v>190.5</v>
      </c>
      <c r="G6491">
        <v>191</v>
      </c>
      <c r="H6491">
        <v>0</v>
      </c>
      <c r="I6491">
        <v>139</v>
      </c>
    </row>
    <row r="6492" spans="1:9" x14ac:dyDescent="0.25">
      <c r="A6492" t="s">
        <v>1063</v>
      </c>
      <c r="B6492">
        <v>387</v>
      </c>
      <c r="C6492" s="1">
        <v>74277</v>
      </c>
      <c r="D6492">
        <v>192</v>
      </c>
      <c r="E6492">
        <v>192.5</v>
      </c>
      <c r="F6492">
        <v>190.5</v>
      </c>
      <c r="G6492">
        <v>192</v>
      </c>
      <c r="H6492">
        <v>1</v>
      </c>
      <c r="I6492">
        <v>286</v>
      </c>
    </row>
    <row r="6493" spans="1:9" x14ac:dyDescent="0.25">
      <c r="A6493" t="s">
        <v>1064</v>
      </c>
      <c r="B6493">
        <v>225</v>
      </c>
      <c r="C6493" s="1">
        <v>41237</v>
      </c>
      <c r="D6493">
        <v>182</v>
      </c>
      <c r="E6493">
        <v>185</v>
      </c>
      <c r="F6493">
        <v>181</v>
      </c>
      <c r="G6493">
        <v>184.5</v>
      </c>
      <c r="H6493">
        <v>3.5</v>
      </c>
      <c r="I6493">
        <v>201</v>
      </c>
    </row>
    <row r="6494" spans="1:9" x14ac:dyDescent="0.25">
      <c r="A6494" t="s">
        <v>1065</v>
      </c>
      <c r="B6494">
        <v>53</v>
      </c>
      <c r="C6494" s="1">
        <v>9815</v>
      </c>
      <c r="D6494">
        <v>185</v>
      </c>
      <c r="E6494">
        <v>185.5</v>
      </c>
      <c r="F6494">
        <v>184</v>
      </c>
      <c r="G6494">
        <v>185</v>
      </c>
      <c r="H6494">
        <v>0.5</v>
      </c>
      <c r="I6494">
        <v>55</v>
      </c>
    </row>
    <row r="6495" spans="1:9" x14ac:dyDescent="0.25">
      <c r="A6495" t="s">
        <v>1066</v>
      </c>
      <c r="B6495">
        <v>25</v>
      </c>
      <c r="C6495" s="1">
        <v>4628</v>
      </c>
      <c r="D6495">
        <v>185</v>
      </c>
      <c r="E6495">
        <v>185</v>
      </c>
      <c r="F6495">
        <v>184</v>
      </c>
      <c r="G6495">
        <v>184</v>
      </c>
      <c r="H6495">
        <v>-1</v>
      </c>
      <c r="I6495">
        <v>26</v>
      </c>
    </row>
    <row r="6496" spans="1:9" x14ac:dyDescent="0.25">
      <c r="A6496" t="s">
        <v>1067</v>
      </c>
      <c r="B6496">
        <v>54</v>
      </c>
      <c r="C6496" s="1">
        <v>9871</v>
      </c>
      <c r="D6496">
        <v>184</v>
      </c>
      <c r="E6496">
        <v>184</v>
      </c>
      <c r="F6496">
        <v>181.5</v>
      </c>
      <c r="G6496">
        <v>182</v>
      </c>
      <c r="H6496">
        <v>-2</v>
      </c>
      <c r="I6496">
        <v>48</v>
      </c>
    </row>
    <row r="6497" spans="1:9" x14ac:dyDescent="0.25">
      <c r="A6497" t="s">
        <v>1068</v>
      </c>
      <c r="B6497">
        <v>130</v>
      </c>
      <c r="C6497" s="1">
        <v>23502</v>
      </c>
      <c r="D6497">
        <v>182</v>
      </c>
      <c r="E6497">
        <v>182</v>
      </c>
      <c r="F6497">
        <v>179</v>
      </c>
      <c r="G6497">
        <v>180</v>
      </c>
      <c r="H6497">
        <v>-2</v>
      </c>
      <c r="I6497">
        <v>97</v>
      </c>
    </row>
    <row r="6498" spans="1:9" x14ac:dyDescent="0.25">
      <c r="A6498" t="s">
        <v>1069</v>
      </c>
      <c r="B6498">
        <v>73</v>
      </c>
      <c r="C6498" s="1">
        <v>13300</v>
      </c>
      <c r="D6498">
        <v>179</v>
      </c>
      <c r="E6498">
        <v>184</v>
      </c>
      <c r="F6498">
        <v>179</v>
      </c>
      <c r="G6498">
        <v>182.5</v>
      </c>
      <c r="H6498">
        <v>2.5</v>
      </c>
      <c r="I6498">
        <v>62</v>
      </c>
    </row>
    <row r="6499" spans="1:9" x14ac:dyDescent="0.25">
      <c r="A6499" t="s">
        <v>1070</v>
      </c>
      <c r="B6499">
        <v>16</v>
      </c>
      <c r="C6499" s="1">
        <v>2944</v>
      </c>
      <c r="D6499">
        <v>182.5</v>
      </c>
      <c r="E6499">
        <v>183</v>
      </c>
      <c r="F6499">
        <v>180</v>
      </c>
      <c r="G6499">
        <v>182</v>
      </c>
      <c r="H6499">
        <v>-0.5</v>
      </c>
      <c r="I6499">
        <v>19</v>
      </c>
    </row>
    <row r="6500" spans="1:9" x14ac:dyDescent="0.25">
      <c r="A6500" t="s">
        <v>1071</v>
      </c>
      <c r="B6500">
        <v>18</v>
      </c>
      <c r="C6500" s="1">
        <v>3322</v>
      </c>
      <c r="D6500">
        <v>182.5</v>
      </c>
      <c r="E6500">
        <v>183</v>
      </c>
      <c r="F6500">
        <v>182.5</v>
      </c>
      <c r="G6500">
        <v>183</v>
      </c>
      <c r="H6500">
        <v>1</v>
      </c>
      <c r="I6500">
        <v>20</v>
      </c>
    </row>
    <row r="6501" spans="1:9" x14ac:dyDescent="0.25">
      <c r="A6501" t="s">
        <v>1072</v>
      </c>
      <c r="B6501">
        <v>79</v>
      </c>
      <c r="C6501" s="1">
        <v>14635</v>
      </c>
      <c r="D6501">
        <v>183</v>
      </c>
      <c r="E6501">
        <v>186.5</v>
      </c>
      <c r="F6501">
        <v>183</v>
      </c>
      <c r="G6501">
        <v>186.5</v>
      </c>
      <c r="H6501">
        <v>3.5</v>
      </c>
      <c r="I6501">
        <v>63</v>
      </c>
    </row>
    <row r="6502" spans="1:9" x14ac:dyDescent="0.25">
      <c r="A6502" t="s">
        <v>973</v>
      </c>
      <c r="C6502" s="1"/>
    </row>
    <row r="6505" spans="1:9" x14ac:dyDescent="0.25">
      <c r="A6505" s="9" t="s">
        <v>1031</v>
      </c>
      <c r="B6505">
        <v>2</v>
      </c>
      <c r="C6505" s="1">
        <v>380</v>
      </c>
      <c r="D6505">
        <v>190</v>
      </c>
      <c r="E6505">
        <v>190</v>
      </c>
      <c r="F6505">
        <v>190</v>
      </c>
      <c r="G6505">
        <v>190</v>
      </c>
      <c r="H6505">
        <v>0</v>
      </c>
      <c r="I6505">
        <v>3</v>
      </c>
    </row>
    <row r="6506" spans="1:9" x14ac:dyDescent="0.25">
      <c r="A6506" t="s">
        <v>1032</v>
      </c>
      <c r="B6506">
        <v>19</v>
      </c>
      <c r="C6506" s="1">
        <v>3585</v>
      </c>
      <c r="D6506">
        <v>190</v>
      </c>
      <c r="E6506">
        <v>190</v>
      </c>
      <c r="F6506">
        <v>185.5</v>
      </c>
      <c r="G6506">
        <v>186</v>
      </c>
      <c r="H6506">
        <v>-4</v>
      </c>
      <c r="I6506">
        <v>20</v>
      </c>
    </row>
    <row r="6507" spans="1:9" x14ac:dyDescent="0.25">
      <c r="A6507" t="s">
        <v>1033</v>
      </c>
      <c r="B6507">
        <v>20</v>
      </c>
      <c r="C6507" s="1">
        <v>3728</v>
      </c>
      <c r="D6507">
        <v>186</v>
      </c>
      <c r="E6507">
        <v>188.5</v>
      </c>
      <c r="F6507">
        <v>185</v>
      </c>
      <c r="G6507">
        <v>187</v>
      </c>
      <c r="H6507">
        <v>1</v>
      </c>
      <c r="I6507">
        <v>17</v>
      </c>
    </row>
    <row r="6508" spans="1:9" x14ac:dyDescent="0.25">
      <c r="A6508" t="s">
        <v>1034</v>
      </c>
      <c r="B6508">
        <v>31</v>
      </c>
      <c r="C6508" s="1">
        <v>5759</v>
      </c>
      <c r="D6508">
        <v>187.5</v>
      </c>
      <c r="E6508">
        <v>187.5</v>
      </c>
      <c r="F6508">
        <v>185</v>
      </c>
      <c r="G6508">
        <v>186.5</v>
      </c>
      <c r="H6508">
        <v>-0.5</v>
      </c>
      <c r="I6508">
        <v>24</v>
      </c>
    </row>
    <row r="6509" spans="1:9" x14ac:dyDescent="0.25">
      <c r="A6509" t="s">
        <v>1035</v>
      </c>
      <c r="B6509">
        <v>18</v>
      </c>
      <c r="C6509" s="1">
        <v>3365</v>
      </c>
      <c r="D6509">
        <v>186</v>
      </c>
      <c r="E6509">
        <v>186.5</v>
      </c>
      <c r="F6509">
        <v>185.5</v>
      </c>
      <c r="G6509">
        <v>186</v>
      </c>
      <c r="H6509">
        <v>-0.5</v>
      </c>
      <c r="I6509">
        <v>18</v>
      </c>
    </row>
    <row r="6510" spans="1:9" x14ac:dyDescent="0.25">
      <c r="A6510" t="s">
        <v>1036</v>
      </c>
      <c r="B6510">
        <v>17</v>
      </c>
      <c r="C6510" s="1">
        <v>3099</v>
      </c>
      <c r="D6510">
        <v>186</v>
      </c>
      <c r="E6510">
        <v>187.5</v>
      </c>
      <c r="F6510">
        <v>186</v>
      </c>
      <c r="G6510">
        <v>186</v>
      </c>
      <c r="H6510">
        <v>0</v>
      </c>
      <c r="I6510">
        <v>17</v>
      </c>
    </row>
    <row r="6511" spans="1:9" x14ac:dyDescent="0.25">
      <c r="A6511" t="s">
        <v>1037</v>
      </c>
      <c r="B6511">
        <v>24</v>
      </c>
      <c r="C6511" s="1">
        <v>4516</v>
      </c>
      <c r="D6511">
        <v>187</v>
      </c>
      <c r="E6511">
        <v>188.5</v>
      </c>
      <c r="F6511">
        <v>187</v>
      </c>
      <c r="G6511">
        <v>188</v>
      </c>
      <c r="H6511">
        <v>2</v>
      </c>
      <c r="I6511">
        <v>23</v>
      </c>
    </row>
    <row r="6512" spans="1:9" x14ac:dyDescent="0.25">
      <c r="A6512" t="s">
        <v>1038</v>
      </c>
      <c r="B6512">
        <v>26</v>
      </c>
      <c r="C6512" s="1">
        <v>4880</v>
      </c>
      <c r="D6512">
        <v>189</v>
      </c>
      <c r="E6512">
        <v>189</v>
      </c>
      <c r="F6512">
        <v>186</v>
      </c>
      <c r="G6512">
        <v>186</v>
      </c>
      <c r="H6512">
        <v>-2</v>
      </c>
      <c r="I6512">
        <v>23</v>
      </c>
    </row>
    <row r="6513" spans="1:9" x14ac:dyDescent="0.25">
      <c r="A6513" t="s">
        <v>1039</v>
      </c>
      <c r="B6513">
        <v>37</v>
      </c>
      <c r="C6513" s="1">
        <v>6927</v>
      </c>
      <c r="D6513">
        <v>185.5</v>
      </c>
      <c r="E6513">
        <v>190</v>
      </c>
      <c r="F6513">
        <v>185</v>
      </c>
      <c r="G6513">
        <v>190</v>
      </c>
      <c r="H6513">
        <v>4</v>
      </c>
      <c r="I6513">
        <v>32</v>
      </c>
    </row>
    <row r="6514" spans="1:9" x14ac:dyDescent="0.25">
      <c r="A6514" t="s">
        <v>1040</v>
      </c>
      <c r="B6514">
        <v>10</v>
      </c>
      <c r="C6514" s="1">
        <v>1888</v>
      </c>
      <c r="D6514">
        <v>192.5</v>
      </c>
      <c r="E6514">
        <v>192.5</v>
      </c>
      <c r="F6514">
        <v>187</v>
      </c>
      <c r="G6514">
        <v>187</v>
      </c>
      <c r="H6514">
        <v>-3</v>
      </c>
      <c r="I6514">
        <v>10</v>
      </c>
    </row>
    <row r="6515" spans="1:9" x14ac:dyDescent="0.25">
      <c r="A6515" t="s">
        <v>1041</v>
      </c>
      <c r="B6515">
        <v>9</v>
      </c>
      <c r="C6515" s="1">
        <v>1687</v>
      </c>
      <c r="D6515">
        <v>187</v>
      </c>
      <c r="E6515">
        <v>188</v>
      </c>
      <c r="F6515">
        <v>187</v>
      </c>
      <c r="G6515">
        <v>187.5</v>
      </c>
      <c r="H6515">
        <v>0.5</v>
      </c>
      <c r="I6515">
        <v>9</v>
      </c>
    </row>
    <row r="6516" spans="1:9" x14ac:dyDescent="0.25">
      <c r="A6516" t="s">
        <v>1042</v>
      </c>
      <c r="B6516">
        <v>4</v>
      </c>
      <c r="C6516" s="1">
        <v>750</v>
      </c>
      <c r="D6516">
        <v>187.5</v>
      </c>
      <c r="E6516">
        <v>187.5</v>
      </c>
      <c r="F6516">
        <v>187.5</v>
      </c>
      <c r="G6516">
        <v>187.5</v>
      </c>
      <c r="H6516">
        <v>0</v>
      </c>
      <c r="I6516">
        <v>4</v>
      </c>
    </row>
    <row r="6517" spans="1:9" x14ac:dyDescent="0.25">
      <c r="A6517" t="s">
        <v>1043</v>
      </c>
      <c r="B6517">
        <v>5</v>
      </c>
      <c r="C6517" s="1">
        <v>955</v>
      </c>
      <c r="D6517">
        <v>187.5</v>
      </c>
      <c r="E6517">
        <v>187.5</v>
      </c>
      <c r="F6517">
        <v>186.5</v>
      </c>
      <c r="G6517">
        <v>186.5</v>
      </c>
      <c r="H6517">
        <v>-1</v>
      </c>
      <c r="I6517">
        <v>8</v>
      </c>
    </row>
    <row r="6518" spans="1:9" x14ac:dyDescent="0.25">
      <c r="A6518" t="s">
        <v>1044</v>
      </c>
      <c r="B6518">
        <v>3</v>
      </c>
      <c r="C6518" s="1">
        <v>560</v>
      </c>
      <c r="D6518">
        <v>186.5</v>
      </c>
      <c r="E6518">
        <v>186.5</v>
      </c>
      <c r="F6518">
        <v>186.5</v>
      </c>
      <c r="G6518">
        <v>186.5</v>
      </c>
      <c r="H6518">
        <v>0</v>
      </c>
      <c r="I6518">
        <v>3</v>
      </c>
    </row>
    <row r="6519" spans="1:9" x14ac:dyDescent="0.25">
      <c r="A6519" t="s">
        <v>1045</v>
      </c>
      <c r="B6519">
        <v>16</v>
      </c>
      <c r="C6519" s="1">
        <v>3059</v>
      </c>
      <c r="D6519">
        <v>190</v>
      </c>
      <c r="E6519">
        <v>190</v>
      </c>
      <c r="F6519">
        <v>189</v>
      </c>
      <c r="G6519">
        <v>189.5</v>
      </c>
      <c r="H6519">
        <v>3</v>
      </c>
      <c r="I6519">
        <v>19</v>
      </c>
    </row>
    <row r="6520" spans="1:9" x14ac:dyDescent="0.25">
      <c r="A6520" t="s">
        <v>1046</v>
      </c>
      <c r="B6520">
        <v>27</v>
      </c>
      <c r="C6520" s="1">
        <v>5126</v>
      </c>
      <c r="D6520">
        <v>189.5</v>
      </c>
      <c r="E6520">
        <v>191</v>
      </c>
      <c r="F6520">
        <v>189</v>
      </c>
      <c r="G6520">
        <v>190.5</v>
      </c>
      <c r="H6520">
        <v>1</v>
      </c>
      <c r="I6520">
        <v>20</v>
      </c>
    </row>
    <row r="6521" spans="1:9" x14ac:dyDescent="0.25">
      <c r="A6521" t="s">
        <v>1047</v>
      </c>
      <c r="B6521">
        <v>23</v>
      </c>
      <c r="C6521" s="1">
        <v>4378</v>
      </c>
      <c r="D6521">
        <v>190</v>
      </c>
      <c r="E6521">
        <v>191</v>
      </c>
      <c r="F6521">
        <v>189</v>
      </c>
      <c r="G6521">
        <v>189.5</v>
      </c>
      <c r="H6521">
        <v>-1</v>
      </c>
      <c r="I6521">
        <v>20</v>
      </c>
    </row>
    <row r="6522" spans="1:9" x14ac:dyDescent="0.25">
      <c r="A6522" t="s">
        <v>1048</v>
      </c>
      <c r="B6522">
        <v>66</v>
      </c>
      <c r="C6522" s="1">
        <v>12720</v>
      </c>
      <c r="D6522">
        <v>192</v>
      </c>
      <c r="E6522">
        <v>195</v>
      </c>
      <c r="F6522">
        <v>191</v>
      </c>
      <c r="G6522">
        <v>192</v>
      </c>
      <c r="H6522">
        <v>2.5</v>
      </c>
      <c r="I6522">
        <v>64</v>
      </c>
    </row>
    <row r="6523" spans="1:9" x14ac:dyDescent="0.25">
      <c r="A6523" t="s">
        <v>1049</v>
      </c>
      <c r="B6523">
        <v>104</v>
      </c>
      <c r="C6523" s="1">
        <v>20176</v>
      </c>
      <c r="D6523">
        <v>192</v>
      </c>
      <c r="E6523">
        <v>196</v>
      </c>
      <c r="F6523">
        <v>191.5</v>
      </c>
      <c r="G6523">
        <v>195</v>
      </c>
      <c r="H6523">
        <v>3</v>
      </c>
      <c r="I6523">
        <v>81</v>
      </c>
    </row>
    <row r="6524" spans="1:9" x14ac:dyDescent="0.25">
      <c r="A6524" t="s">
        <v>1050</v>
      </c>
      <c r="B6524">
        <v>63</v>
      </c>
      <c r="C6524" s="1">
        <v>12350</v>
      </c>
      <c r="D6524">
        <v>195</v>
      </c>
      <c r="E6524">
        <v>197</v>
      </c>
      <c r="F6524">
        <v>193.5</v>
      </c>
      <c r="G6524">
        <v>197</v>
      </c>
      <c r="H6524">
        <v>2</v>
      </c>
      <c r="I6524">
        <v>55</v>
      </c>
    </row>
    <row r="6525" spans="1:9" x14ac:dyDescent="0.25">
      <c r="A6525" t="s">
        <v>1051</v>
      </c>
      <c r="B6525">
        <v>44</v>
      </c>
      <c r="C6525" s="1">
        <v>8674</v>
      </c>
      <c r="D6525">
        <v>196</v>
      </c>
      <c r="E6525">
        <v>197</v>
      </c>
      <c r="F6525">
        <v>195</v>
      </c>
      <c r="G6525">
        <v>197</v>
      </c>
      <c r="H6525">
        <v>0</v>
      </c>
      <c r="I6525">
        <v>37</v>
      </c>
    </row>
    <row r="6526" spans="1:9" x14ac:dyDescent="0.25">
      <c r="A6526" t="s">
        <v>973</v>
      </c>
      <c r="C6526" s="1"/>
    </row>
    <row r="6529" spans="1:9" x14ac:dyDescent="0.25">
      <c r="A6529" s="9" t="s">
        <v>1011</v>
      </c>
      <c r="B6529">
        <v>47</v>
      </c>
      <c r="C6529" s="1">
        <v>9032</v>
      </c>
      <c r="D6529">
        <v>191</v>
      </c>
      <c r="E6529">
        <v>193</v>
      </c>
      <c r="F6529">
        <v>190.5</v>
      </c>
      <c r="G6529">
        <v>193</v>
      </c>
      <c r="H6529">
        <v>0</v>
      </c>
      <c r="I6529">
        <v>42</v>
      </c>
    </row>
    <row r="6530" spans="1:9" x14ac:dyDescent="0.25">
      <c r="A6530" t="s">
        <v>1012</v>
      </c>
      <c r="B6530">
        <v>29</v>
      </c>
      <c r="C6530" s="1">
        <v>5573</v>
      </c>
      <c r="D6530">
        <v>192.5</v>
      </c>
      <c r="E6530">
        <v>193</v>
      </c>
      <c r="F6530">
        <v>191</v>
      </c>
      <c r="G6530">
        <v>193</v>
      </c>
      <c r="H6530">
        <v>0</v>
      </c>
      <c r="I6530">
        <v>26</v>
      </c>
    </row>
    <row r="6531" spans="1:9" x14ac:dyDescent="0.25">
      <c r="A6531" t="s">
        <v>1013</v>
      </c>
      <c r="B6531">
        <v>29</v>
      </c>
      <c r="C6531" s="1">
        <v>5645</v>
      </c>
      <c r="D6531">
        <v>195</v>
      </c>
      <c r="E6531">
        <v>195</v>
      </c>
      <c r="F6531">
        <v>191.5</v>
      </c>
      <c r="G6531">
        <v>192</v>
      </c>
      <c r="H6531">
        <v>-1</v>
      </c>
      <c r="I6531">
        <v>31</v>
      </c>
    </row>
    <row r="6532" spans="1:9" x14ac:dyDescent="0.25">
      <c r="A6532" t="s">
        <v>1014</v>
      </c>
      <c r="B6532">
        <v>65</v>
      </c>
      <c r="C6532" s="1">
        <v>12399</v>
      </c>
      <c r="D6532">
        <v>192</v>
      </c>
      <c r="E6532">
        <v>192</v>
      </c>
      <c r="F6532">
        <v>189.5</v>
      </c>
      <c r="G6532">
        <v>191.5</v>
      </c>
      <c r="H6532">
        <v>-0.5</v>
      </c>
      <c r="I6532">
        <v>57</v>
      </c>
    </row>
    <row r="6533" spans="1:9" x14ac:dyDescent="0.25">
      <c r="A6533" t="s">
        <v>1015</v>
      </c>
      <c r="B6533">
        <v>34</v>
      </c>
      <c r="C6533" s="1">
        <v>6516</v>
      </c>
      <c r="D6533">
        <v>192</v>
      </c>
      <c r="E6533">
        <v>192</v>
      </c>
      <c r="F6533">
        <v>191</v>
      </c>
      <c r="G6533">
        <v>191</v>
      </c>
      <c r="H6533">
        <v>-0.5</v>
      </c>
      <c r="I6533">
        <v>26</v>
      </c>
    </row>
    <row r="6534" spans="1:9" x14ac:dyDescent="0.25">
      <c r="A6534" t="s">
        <v>1016</v>
      </c>
      <c r="B6534">
        <v>121</v>
      </c>
      <c r="C6534" s="1">
        <v>22745</v>
      </c>
      <c r="D6534">
        <v>191.5</v>
      </c>
      <c r="E6534">
        <v>191.5</v>
      </c>
      <c r="F6534">
        <v>185</v>
      </c>
      <c r="G6534">
        <v>186.5</v>
      </c>
      <c r="H6534">
        <v>-4.5</v>
      </c>
      <c r="I6534">
        <v>105</v>
      </c>
    </row>
    <row r="6535" spans="1:9" x14ac:dyDescent="0.25">
      <c r="A6535" t="s">
        <v>1017</v>
      </c>
      <c r="B6535">
        <v>55</v>
      </c>
      <c r="C6535" s="1">
        <v>10338</v>
      </c>
      <c r="D6535">
        <v>186.5</v>
      </c>
      <c r="E6535">
        <v>188.5</v>
      </c>
      <c r="F6535">
        <v>186.5</v>
      </c>
      <c r="G6535">
        <v>187</v>
      </c>
      <c r="H6535">
        <v>0.5</v>
      </c>
      <c r="I6535">
        <v>42</v>
      </c>
    </row>
    <row r="6536" spans="1:9" x14ac:dyDescent="0.25">
      <c r="A6536" t="s">
        <v>1018</v>
      </c>
      <c r="B6536">
        <v>27</v>
      </c>
      <c r="C6536" s="1">
        <v>5119</v>
      </c>
      <c r="D6536">
        <v>188.5</v>
      </c>
      <c r="E6536">
        <v>189.5</v>
      </c>
      <c r="F6536">
        <v>188</v>
      </c>
      <c r="G6536">
        <v>189</v>
      </c>
      <c r="H6536">
        <v>2</v>
      </c>
      <c r="I6536">
        <v>28</v>
      </c>
    </row>
    <row r="6537" spans="1:9" x14ac:dyDescent="0.25">
      <c r="A6537" t="s">
        <v>1019</v>
      </c>
      <c r="B6537">
        <v>20</v>
      </c>
      <c r="C6537" s="1">
        <v>3783</v>
      </c>
      <c r="D6537">
        <v>189.5</v>
      </c>
      <c r="E6537">
        <v>189.5</v>
      </c>
      <c r="F6537">
        <v>188</v>
      </c>
      <c r="G6537">
        <v>189</v>
      </c>
      <c r="H6537">
        <v>0</v>
      </c>
      <c r="I6537">
        <v>19</v>
      </c>
    </row>
    <row r="6538" spans="1:9" x14ac:dyDescent="0.25">
      <c r="A6538" t="s">
        <v>1020</v>
      </c>
      <c r="B6538">
        <v>73</v>
      </c>
      <c r="C6538" s="1">
        <v>13765</v>
      </c>
      <c r="D6538">
        <v>186.5</v>
      </c>
      <c r="E6538">
        <v>190</v>
      </c>
      <c r="F6538">
        <v>185</v>
      </c>
      <c r="G6538">
        <v>189.5</v>
      </c>
      <c r="H6538">
        <v>0.5</v>
      </c>
      <c r="I6538">
        <v>70</v>
      </c>
    </row>
    <row r="6539" spans="1:9" x14ac:dyDescent="0.25">
      <c r="A6539" t="s">
        <v>1021</v>
      </c>
      <c r="B6539">
        <v>21</v>
      </c>
      <c r="C6539" s="1">
        <v>3857</v>
      </c>
      <c r="D6539">
        <v>189.5</v>
      </c>
      <c r="E6539">
        <v>189.5</v>
      </c>
      <c r="F6539">
        <v>186</v>
      </c>
      <c r="G6539">
        <v>186.5</v>
      </c>
      <c r="H6539">
        <v>-3</v>
      </c>
      <c r="I6539">
        <v>23</v>
      </c>
    </row>
    <row r="6540" spans="1:9" x14ac:dyDescent="0.25">
      <c r="A6540" t="s">
        <v>1022</v>
      </c>
      <c r="B6540">
        <v>69</v>
      </c>
      <c r="C6540" s="1">
        <v>13165</v>
      </c>
      <c r="D6540">
        <v>187</v>
      </c>
      <c r="E6540">
        <v>193</v>
      </c>
      <c r="F6540">
        <v>186.5</v>
      </c>
      <c r="G6540">
        <v>191</v>
      </c>
      <c r="H6540">
        <v>4.5</v>
      </c>
      <c r="I6540">
        <v>65</v>
      </c>
    </row>
    <row r="6541" spans="1:9" x14ac:dyDescent="0.25">
      <c r="A6541" t="s">
        <v>1023</v>
      </c>
      <c r="B6541">
        <v>76</v>
      </c>
      <c r="C6541" s="1">
        <v>14798</v>
      </c>
      <c r="D6541">
        <v>191</v>
      </c>
      <c r="E6541">
        <v>196</v>
      </c>
      <c r="F6541">
        <v>191</v>
      </c>
      <c r="G6541">
        <v>194.5</v>
      </c>
      <c r="H6541">
        <v>3.5</v>
      </c>
      <c r="I6541">
        <v>62</v>
      </c>
    </row>
    <row r="6542" spans="1:9" x14ac:dyDescent="0.25">
      <c r="A6542" t="s">
        <v>1024</v>
      </c>
      <c r="B6542">
        <v>45</v>
      </c>
      <c r="C6542" s="1">
        <v>8622</v>
      </c>
      <c r="D6542">
        <v>194</v>
      </c>
      <c r="E6542">
        <v>194</v>
      </c>
      <c r="F6542">
        <v>188.5</v>
      </c>
      <c r="G6542">
        <v>190</v>
      </c>
      <c r="H6542">
        <v>-4.5</v>
      </c>
      <c r="I6542">
        <v>49</v>
      </c>
    </row>
    <row r="6543" spans="1:9" x14ac:dyDescent="0.25">
      <c r="A6543" t="s">
        <v>1025</v>
      </c>
      <c r="B6543">
        <v>10</v>
      </c>
      <c r="C6543" s="1">
        <v>1914</v>
      </c>
      <c r="D6543">
        <v>190</v>
      </c>
      <c r="E6543">
        <v>192</v>
      </c>
      <c r="F6543">
        <v>190</v>
      </c>
      <c r="G6543">
        <v>192</v>
      </c>
      <c r="H6543">
        <v>2</v>
      </c>
      <c r="I6543">
        <v>10</v>
      </c>
    </row>
    <row r="6544" spans="1:9" x14ac:dyDescent="0.25">
      <c r="A6544" t="s">
        <v>1026</v>
      </c>
      <c r="B6544">
        <v>24</v>
      </c>
      <c r="C6544" s="1">
        <v>4581</v>
      </c>
      <c r="D6544">
        <v>192</v>
      </c>
      <c r="E6544">
        <v>192</v>
      </c>
      <c r="F6544">
        <v>189.5</v>
      </c>
      <c r="G6544">
        <v>190</v>
      </c>
      <c r="H6544">
        <v>-2</v>
      </c>
      <c r="I6544">
        <v>20</v>
      </c>
    </row>
    <row r="6545" spans="1:9" x14ac:dyDescent="0.25">
      <c r="A6545" t="s">
        <v>1027</v>
      </c>
      <c r="B6545">
        <v>15</v>
      </c>
      <c r="C6545" s="1">
        <v>2844</v>
      </c>
      <c r="D6545">
        <v>188.5</v>
      </c>
      <c r="E6545">
        <v>190</v>
      </c>
      <c r="F6545">
        <v>188.5</v>
      </c>
      <c r="G6545">
        <v>188.5</v>
      </c>
      <c r="H6545">
        <v>-1.5</v>
      </c>
      <c r="I6545">
        <v>15</v>
      </c>
    </row>
    <row r="6546" spans="1:9" x14ac:dyDescent="0.25">
      <c r="A6546" t="s">
        <v>1028</v>
      </c>
      <c r="B6546">
        <v>21</v>
      </c>
      <c r="C6546" s="1">
        <v>3965</v>
      </c>
      <c r="D6546">
        <v>188</v>
      </c>
      <c r="E6546">
        <v>188</v>
      </c>
      <c r="F6546">
        <v>187</v>
      </c>
      <c r="G6546">
        <v>188</v>
      </c>
      <c r="H6546">
        <v>-0.5</v>
      </c>
      <c r="I6546">
        <v>18</v>
      </c>
    </row>
    <row r="6547" spans="1:9" x14ac:dyDescent="0.25">
      <c r="A6547" t="s">
        <v>1029</v>
      </c>
      <c r="B6547">
        <v>8</v>
      </c>
      <c r="C6547" s="1">
        <v>1514</v>
      </c>
      <c r="D6547">
        <v>188</v>
      </c>
      <c r="E6547">
        <v>190</v>
      </c>
      <c r="F6547">
        <v>188</v>
      </c>
      <c r="G6547">
        <v>190</v>
      </c>
      <c r="H6547">
        <v>2</v>
      </c>
      <c r="I6547">
        <v>7</v>
      </c>
    </row>
    <row r="6548" spans="1:9" x14ac:dyDescent="0.25">
      <c r="A6548" t="s">
        <v>1030</v>
      </c>
      <c r="C6548" s="1"/>
    </row>
    <row r="6553" spans="1:9" x14ac:dyDescent="0.25">
      <c r="A6553" s="9" t="s">
        <v>988</v>
      </c>
      <c r="B6553">
        <v>174</v>
      </c>
      <c r="C6553" s="1">
        <v>35684</v>
      </c>
      <c r="D6553">
        <v>202</v>
      </c>
      <c r="E6553">
        <v>210</v>
      </c>
      <c r="F6553">
        <v>201.5</v>
      </c>
      <c r="G6553">
        <v>205</v>
      </c>
      <c r="H6553">
        <v>5</v>
      </c>
      <c r="I6553">
        <v>144</v>
      </c>
    </row>
    <row r="6554" spans="1:9" x14ac:dyDescent="0.25">
      <c r="A6554" t="s">
        <v>989</v>
      </c>
      <c r="B6554">
        <v>115</v>
      </c>
      <c r="C6554" s="1">
        <v>23737</v>
      </c>
      <c r="D6554">
        <v>206</v>
      </c>
      <c r="E6554">
        <v>207.5</v>
      </c>
      <c r="F6554">
        <v>204</v>
      </c>
      <c r="G6554">
        <v>206</v>
      </c>
      <c r="H6554">
        <v>1</v>
      </c>
      <c r="I6554">
        <v>85</v>
      </c>
    </row>
    <row r="6555" spans="1:9" x14ac:dyDescent="0.25">
      <c r="A6555" t="s">
        <v>990</v>
      </c>
      <c r="B6555">
        <v>265</v>
      </c>
      <c r="C6555" s="1">
        <v>55768</v>
      </c>
      <c r="D6555">
        <v>208</v>
      </c>
      <c r="E6555">
        <v>215</v>
      </c>
      <c r="F6555">
        <v>206.5</v>
      </c>
      <c r="G6555">
        <v>206.5</v>
      </c>
      <c r="H6555">
        <v>0.5</v>
      </c>
      <c r="I6555">
        <v>216</v>
      </c>
    </row>
    <row r="6556" spans="1:9" x14ac:dyDescent="0.25">
      <c r="A6556" t="s">
        <v>991</v>
      </c>
      <c r="B6556">
        <v>185</v>
      </c>
      <c r="C6556" s="1">
        <v>38836</v>
      </c>
      <c r="D6556">
        <v>208</v>
      </c>
      <c r="E6556">
        <v>212</v>
      </c>
      <c r="F6556">
        <v>207</v>
      </c>
      <c r="G6556">
        <v>208.5</v>
      </c>
      <c r="H6556">
        <v>2</v>
      </c>
      <c r="I6556">
        <v>159</v>
      </c>
    </row>
    <row r="6557" spans="1:9" x14ac:dyDescent="0.25">
      <c r="A6557" t="s">
        <v>992</v>
      </c>
      <c r="B6557">
        <v>74</v>
      </c>
      <c r="C6557" s="1">
        <v>15477</v>
      </c>
      <c r="D6557">
        <v>209</v>
      </c>
      <c r="E6557">
        <v>212</v>
      </c>
      <c r="F6557">
        <v>206</v>
      </c>
      <c r="G6557">
        <v>206.5</v>
      </c>
      <c r="H6557">
        <v>-2</v>
      </c>
      <c r="I6557">
        <v>76</v>
      </c>
    </row>
    <row r="6558" spans="1:9" x14ac:dyDescent="0.25">
      <c r="A6558" t="s">
        <v>993</v>
      </c>
      <c r="B6558">
        <v>127</v>
      </c>
      <c r="C6558" s="1">
        <v>25743</v>
      </c>
      <c r="D6558">
        <v>205.5</v>
      </c>
      <c r="E6558">
        <v>205.5</v>
      </c>
      <c r="F6558">
        <v>200.5</v>
      </c>
      <c r="G6558">
        <v>203</v>
      </c>
      <c r="H6558">
        <v>-3.5</v>
      </c>
      <c r="I6558">
        <v>101</v>
      </c>
    </row>
    <row r="6559" spans="1:9" x14ac:dyDescent="0.25">
      <c r="A6559" t="s">
        <v>994</v>
      </c>
      <c r="B6559">
        <v>116</v>
      </c>
      <c r="C6559" s="1">
        <v>23501</v>
      </c>
      <c r="D6559">
        <v>203</v>
      </c>
      <c r="E6559">
        <v>205</v>
      </c>
      <c r="F6559">
        <v>201</v>
      </c>
      <c r="G6559">
        <v>203.5</v>
      </c>
      <c r="H6559">
        <v>0.5</v>
      </c>
      <c r="I6559">
        <v>79</v>
      </c>
    </row>
    <row r="6560" spans="1:9" x14ac:dyDescent="0.25">
      <c r="A6560" t="s">
        <v>995</v>
      </c>
      <c r="B6560">
        <v>228</v>
      </c>
      <c r="C6560" s="1">
        <v>45534</v>
      </c>
      <c r="D6560">
        <v>201.5</v>
      </c>
      <c r="E6560">
        <v>202</v>
      </c>
      <c r="F6560">
        <v>198</v>
      </c>
      <c r="G6560">
        <v>200.5</v>
      </c>
      <c r="H6560">
        <v>-3</v>
      </c>
      <c r="I6560">
        <v>176</v>
      </c>
    </row>
    <row r="6561" spans="1:9" x14ac:dyDescent="0.25">
      <c r="A6561" t="s">
        <v>996</v>
      </c>
      <c r="B6561">
        <v>95</v>
      </c>
      <c r="C6561" s="1">
        <v>19275</v>
      </c>
      <c r="D6561">
        <v>201</v>
      </c>
      <c r="E6561">
        <v>205</v>
      </c>
      <c r="F6561">
        <v>200.5</v>
      </c>
      <c r="G6561">
        <v>202.5</v>
      </c>
      <c r="H6561">
        <v>2</v>
      </c>
      <c r="I6561">
        <v>79</v>
      </c>
    </row>
    <row r="6562" spans="1:9" x14ac:dyDescent="0.25">
      <c r="A6562" t="s">
        <v>997</v>
      </c>
      <c r="B6562">
        <v>192</v>
      </c>
      <c r="C6562" s="1">
        <v>40095</v>
      </c>
      <c r="D6562">
        <v>204</v>
      </c>
      <c r="E6562">
        <v>212</v>
      </c>
      <c r="F6562">
        <v>204</v>
      </c>
      <c r="G6562">
        <v>206</v>
      </c>
      <c r="H6562">
        <v>3.5</v>
      </c>
      <c r="I6562">
        <v>177</v>
      </c>
    </row>
    <row r="6563" spans="1:9" x14ac:dyDescent="0.25">
      <c r="A6563" t="s">
        <v>998</v>
      </c>
      <c r="B6563">
        <v>114</v>
      </c>
      <c r="C6563" s="1">
        <v>23306</v>
      </c>
      <c r="D6563">
        <v>208</v>
      </c>
      <c r="E6563">
        <v>208</v>
      </c>
      <c r="F6563">
        <v>202.5</v>
      </c>
      <c r="G6563">
        <v>203</v>
      </c>
      <c r="H6563">
        <v>-3</v>
      </c>
      <c r="I6563">
        <v>91</v>
      </c>
    </row>
    <row r="6564" spans="1:9" x14ac:dyDescent="0.25">
      <c r="A6564" t="s">
        <v>999</v>
      </c>
      <c r="B6564">
        <v>34</v>
      </c>
      <c r="C6564" s="1">
        <v>6960</v>
      </c>
      <c r="D6564">
        <v>203.5</v>
      </c>
      <c r="E6564">
        <v>206</v>
      </c>
      <c r="F6564">
        <v>203</v>
      </c>
      <c r="G6564">
        <v>203</v>
      </c>
      <c r="H6564">
        <v>0</v>
      </c>
      <c r="I6564">
        <v>33</v>
      </c>
    </row>
    <row r="6565" spans="1:9" x14ac:dyDescent="0.25">
      <c r="A6565" t="s">
        <v>1000</v>
      </c>
      <c r="B6565">
        <v>124</v>
      </c>
      <c r="C6565" s="1">
        <v>25280</v>
      </c>
      <c r="D6565">
        <v>205</v>
      </c>
      <c r="E6565">
        <v>206</v>
      </c>
      <c r="F6565">
        <v>202</v>
      </c>
      <c r="G6565">
        <v>202.5</v>
      </c>
      <c r="H6565">
        <v>-0.5</v>
      </c>
      <c r="I6565">
        <v>97</v>
      </c>
    </row>
    <row r="6566" spans="1:9" x14ac:dyDescent="0.25">
      <c r="A6566" t="s">
        <v>1001</v>
      </c>
      <c r="B6566">
        <v>105</v>
      </c>
      <c r="C6566" s="1">
        <v>21388</v>
      </c>
      <c r="D6566">
        <v>202.5</v>
      </c>
      <c r="E6566">
        <v>207</v>
      </c>
      <c r="F6566">
        <v>201</v>
      </c>
      <c r="G6566">
        <v>202.5</v>
      </c>
      <c r="H6566">
        <v>0</v>
      </c>
      <c r="I6566">
        <v>91</v>
      </c>
    </row>
    <row r="6567" spans="1:9" x14ac:dyDescent="0.25">
      <c r="A6567" t="s">
        <v>1002</v>
      </c>
      <c r="B6567">
        <v>82</v>
      </c>
      <c r="C6567" s="1">
        <v>16572</v>
      </c>
      <c r="D6567">
        <v>204</v>
      </c>
      <c r="E6567">
        <v>206.5</v>
      </c>
      <c r="F6567">
        <v>201</v>
      </c>
      <c r="G6567">
        <v>202</v>
      </c>
      <c r="H6567">
        <v>-0.5</v>
      </c>
      <c r="I6567">
        <v>72</v>
      </c>
    </row>
    <row r="6568" spans="1:9" x14ac:dyDescent="0.25">
      <c r="A6568" t="s">
        <v>1003</v>
      </c>
      <c r="B6568">
        <v>106</v>
      </c>
      <c r="C6568" s="1">
        <v>21210</v>
      </c>
      <c r="D6568">
        <v>200.5</v>
      </c>
      <c r="E6568">
        <v>202.5</v>
      </c>
      <c r="F6568">
        <v>199</v>
      </c>
      <c r="G6568">
        <v>199</v>
      </c>
      <c r="H6568">
        <v>-3</v>
      </c>
      <c r="I6568">
        <v>82</v>
      </c>
    </row>
    <row r="6569" spans="1:9" x14ac:dyDescent="0.25">
      <c r="A6569" t="s">
        <v>1004</v>
      </c>
      <c r="B6569">
        <v>108</v>
      </c>
      <c r="C6569" s="1">
        <v>21896</v>
      </c>
      <c r="D6569">
        <v>199.5</v>
      </c>
      <c r="E6569">
        <v>204</v>
      </c>
      <c r="F6569">
        <v>199.5</v>
      </c>
      <c r="G6569">
        <v>201.5</v>
      </c>
      <c r="H6569">
        <v>2.5</v>
      </c>
      <c r="I6569">
        <v>80</v>
      </c>
    </row>
    <row r="6570" spans="1:9" x14ac:dyDescent="0.25">
      <c r="A6570" t="s">
        <v>1005</v>
      </c>
      <c r="B6570">
        <v>80</v>
      </c>
      <c r="C6570" s="1">
        <v>15961</v>
      </c>
      <c r="D6570">
        <v>201.5</v>
      </c>
      <c r="E6570">
        <v>201.5</v>
      </c>
      <c r="F6570">
        <v>197</v>
      </c>
      <c r="G6570">
        <v>199.5</v>
      </c>
      <c r="H6570">
        <v>-2</v>
      </c>
      <c r="I6570">
        <v>75</v>
      </c>
    </row>
    <row r="6571" spans="1:9" x14ac:dyDescent="0.25">
      <c r="A6571" t="s">
        <v>1006</v>
      </c>
      <c r="B6571">
        <v>34</v>
      </c>
      <c r="C6571" s="1">
        <v>6748</v>
      </c>
      <c r="D6571">
        <v>199.5</v>
      </c>
      <c r="E6571">
        <v>199.5</v>
      </c>
      <c r="F6571">
        <v>197.5</v>
      </c>
      <c r="G6571">
        <v>199</v>
      </c>
      <c r="H6571">
        <v>-0.5</v>
      </c>
      <c r="I6571">
        <v>33</v>
      </c>
    </row>
    <row r="6572" spans="1:9" x14ac:dyDescent="0.25">
      <c r="A6572" t="s">
        <v>1007</v>
      </c>
      <c r="B6572">
        <v>37</v>
      </c>
      <c r="C6572" s="1">
        <v>7340</v>
      </c>
      <c r="D6572">
        <v>200.5</v>
      </c>
      <c r="E6572">
        <v>200.5</v>
      </c>
      <c r="F6572">
        <v>197.5</v>
      </c>
      <c r="G6572">
        <v>197.5</v>
      </c>
      <c r="H6572">
        <v>-1.5</v>
      </c>
      <c r="I6572">
        <v>31</v>
      </c>
    </row>
    <row r="6573" spans="1:9" x14ac:dyDescent="0.25">
      <c r="A6573" t="s">
        <v>1008</v>
      </c>
      <c r="B6573">
        <v>173</v>
      </c>
      <c r="C6573" s="1">
        <v>33259</v>
      </c>
      <c r="D6573">
        <v>197.5</v>
      </c>
      <c r="E6573">
        <v>197.5</v>
      </c>
      <c r="F6573">
        <v>190</v>
      </c>
      <c r="G6573">
        <v>190.5</v>
      </c>
      <c r="H6573">
        <v>-7</v>
      </c>
      <c r="I6573">
        <v>138</v>
      </c>
    </row>
    <row r="6574" spans="1:9" x14ac:dyDescent="0.25">
      <c r="A6574" t="s">
        <v>1009</v>
      </c>
      <c r="B6574">
        <v>54</v>
      </c>
      <c r="C6574" s="1">
        <v>10505</v>
      </c>
      <c r="D6574">
        <v>190.5</v>
      </c>
      <c r="E6574">
        <v>196</v>
      </c>
      <c r="F6574">
        <v>190.5</v>
      </c>
      <c r="G6574">
        <v>195.5</v>
      </c>
      <c r="H6574">
        <v>5</v>
      </c>
      <c r="I6574">
        <v>55</v>
      </c>
    </row>
    <row r="6575" spans="1:9" x14ac:dyDescent="0.25">
      <c r="A6575" t="s">
        <v>1010</v>
      </c>
      <c r="B6575">
        <v>42</v>
      </c>
      <c r="C6575" s="1">
        <v>8174</v>
      </c>
      <c r="D6575">
        <v>195.5</v>
      </c>
      <c r="E6575">
        <v>196</v>
      </c>
      <c r="F6575">
        <v>193</v>
      </c>
      <c r="G6575">
        <v>193</v>
      </c>
      <c r="H6575">
        <v>-2.5</v>
      </c>
      <c r="I6575">
        <v>36</v>
      </c>
    </row>
    <row r="6576" spans="1:9" x14ac:dyDescent="0.25">
      <c r="A6576" t="s">
        <v>951</v>
      </c>
      <c r="C6576" s="1"/>
    </row>
    <row r="6577" spans="1:9" x14ac:dyDescent="0.25">
      <c r="A6577" s="9" t="s">
        <v>974</v>
      </c>
      <c r="B6577">
        <v>116</v>
      </c>
      <c r="C6577" s="1">
        <v>21106</v>
      </c>
      <c r="D6577">
        <v>178</v>
      </c>
      <c r="E6577">
        <v>184</v>
      </c>
      <c r="F6577">
        <v>177</v>
      </c>
      <c r="G6577">
        <v>180.5</v>
      </c>
      <c r="H6577">
        <v>4</v>
      </c>
      <c r="I6577">
        <v>102</v>
      </c>
    </row>
    <row r="6578" spans="1:9" x14ac:dyDescent="0.25">
      <c r="A6578" t="s">
        <v>975</v>
      </c>
      <c r="B6578">
        <v>38</v>
      </c>
      <c r="C6578" s="1">
        <v>6873</v>
      </c>
      <c r="D6578">
        <v>180</v>
      </c>
      <c r="E6578">
        <v>181.5</v>
      </c>
      <c r="F6578">
        <v>180</v>
      </c>
      <c r="G6578">
        <v>180.5</v>
      </c>
      <c r="H6578">
        <v>0</v>
      </c>
      <c r="I6578">
        <v>28</v>
      </c>
    </row>
    <row r="6579" spans="1:9" x14ac:dyDescent="0.25">
      <c r="A6579" t="s">
        <v>976</v>
      </c>
      <c r="B6579">
        <v>57</v>
      </c>
      <c r="C6579" s="1">
        <v>10298</v>
      </c>
      <c r="D6579">
        <v>180.5</v>
      </c>
      <c r="E6579">
        <v>182</v>
      </c>
      <c r="F6579">
        <v>180</v>
      </c>
      <c r="G6579">
        <v>180.5</v>
      </c>
      <c r="H6579">
        <v>0</v>
      </c>
      <c r="I6579">
        <v>46</v>
      </c>
    </row>
    <row r="6580" spans="1:9" x14ac:dyDescent="0.25">
      <c r="A6580" t="s">
        <v>977</v>
      </c>
      <c r="B6580">
        <v>34</v>
      </c>
      <c r="C6580" s="1">
        <v>6246</v>
      </c>
      <c r="D6580">
        <v>180.5</v>
      </c>
      <c r="E6580">
        <v>183</v>
      </c>
      <c r="F6580">
        <v>180.5</v>
      </c>
      <c r="G6580">
        <v>182</v>
      </c>
      <c r="H6580">
        <v>1.5</v>
      </c>
      <c r="I6580">
        <v>33</v>
      </c>
    </row>
    <row r="6581" spans="1:9" x14ac:dyDescent="0.25">
      <c r="A6581" t="s">
        <v>978</v>
      </c>
      <c r="B6581">
        <v>120</v>
      </c>
      <c r="C6581" s="1">
        <v>22093</v>
      </c>
      <c r="D6581">
        <v>182</v>
      </c>
      <c r="E6581">
        <v>186.5</v>
      </c>
      <c r="F6581">
        <v>182</v>
      </c>
      <c r="G6581">
        <v>186.5</v>
      </c>
      <c r="H6581">
        <v>4.5</v>
      </c>
      <c r="I6581">
        <v>84</v>
      </c>
    </row>
    <row r="6582" spans="1:9" x14ac:dyDescent="0.25">
      <c r="A6582" t="s">
        <v>979</v>
      </c>
      <c r="B6582">
        <v>64</v>
      </c>
      <c r="C6582" s="1">
        <v>11873</v>
      </c>
      <c r="D6582">
        <v>186.5</v>
      </c>
      <c r="E6582">
        <v>186.5</v>
      </c>
      <c r="F6582">
        <v>183</v>
      </c>
      <c r="G6582">
        <v>186</v>
      </c>
      <c r="H6582">
        <v>-0.5</v>
      </c>
      <c r="I6582">
        <v>58</v>
      </c>
    </row>
    <row r="6583" spans="1:9" x14ac:dyDescent="0.25">
      <c r="A6583" t="s">
        <v>980</v>
      </c>
      <c r="B6583">
        <v>98</v>
      </c>
      <c r="C6583" s="1">
        <v>18245</v>
      </c>
      <c r="D6583">
        <v>186.5</v>
      </c>
      <c r="E6583">
        <v>187.5</v>
      </c>
      <c r="F6583">
        <v>184.5</v>
      </c>
      <c r="G6583">
        <v>186</v>
      </c>
      <c r="H6583">
        <v>0</v>
      </c>
      <c r="I6583">
        <v>78</v>
      </c>
    </row>
    <row r="6584" spans="1:9" x14ac:dyDescent="0.25">
      <c r="A6584" t="s">
        <v>981</v>
      </c>
      <c r="B6584">
        <v>84</v>
      </c>
      <c r="C6584" s="1">
        <v>15633</v>
      </c>
      <c r="D6584">
        <v>186.5</v>
      </c>
      <c r="E6584">
        <v>186.5</v>
      </c>
      <c r="F6584">
        <v>186</v>
      </c>
      <c r="G6584">
        <v>186.5</v>
      </c>
      <c r="H6584">
        <v>0.5</v>
      </c>
      <c r="I6584">
        <v>51</v>
      </c>
    </row>
    <row r="6585" spans="1:9" x14ac:dyDescent="0.25">
      <c r="A6585" t="s">
        <v>982</v>
      </c>
      <c r="B6585">
        <v>686</v>
      </c>
      <c r="C6585" s="1">
        <v>137107</v>
      </c>
      <c r="D6585">
        <v>187</v>
      </c>
      <c r="E6585">
        <v>205</v>
      </c>
      <c r="F6585">
        <v>187</v>
      </c>
      <c r="G6585">
        <v>205</v>
      </c>
      <c r="H6585">
        <v>18.5</v>
      </c>
      <c r="I6585">
        <v>557</v>
      </c>
    </row>
    <row r="6586" spans="1:9" x14ac:dyDescent="0.25">
      <c r="A6586" t="s">
        <v>983</v>
      </c>
      <c r="B6586">
        <v>371</v>
      </c>
      <c r="C6586" s="1">
        <v>76523</v>
      </c>
      <c r="D6586">
        <v>206</v>
      </c>
      <c r="E6586">
        <v>210</v>
      </c>
      <c r="F6586">
        <v>203</v>
      </c>
      <c r="G6586">
        <v>204.5</v>
      </c>
      <c r="H6586">
        <v>-0.5</v>
      </c>
      <c r="I6586">
        <v>327</v>
      </c>
    </row>
    <row r="6587" spans="1:9" x14ac:dyDescent="0.25">
      <c r="A6587" t="s">
        <v>984</v>
      </c>
      <c r="B6587">
        <v>131</v>
      </c>
      <c r="C6587" s="1">
        <v>26263</v>
      </c>
      <c r="D6587">
        <v>204.5</v>
      </c>
      <c r="E6587">
        <v>204.5</v>
      </c>
      <c r="F6587">
        <v>198</v>
      </c>
      <c r="G6587">
        <v>201</v>
      </c>
      <c r="H6587">
        <v>-3.5</v>
      </c>
      <c r="I6587">
        <v>117</v>
      </c>
    </row>
    <row r="6588" spans="1:9" x14ac:dyDescent="0.25">
      <c r="A6588" t="s">
        <v>985</v>
      </c>
      <c r="B6588">
        <v>146</v>
      </c>
      <c r="C6588" s="1">
        <v>29216</v>
      </c>
      <c r="D6588">
        <v>204.5</v>
      </c>
      <c r="E6588">
        <v>204.5</v>
      </c>
      <c r="F6588">
        <v>198</v>
      </c>
      <c r="G6588">
        <v>198.5</v>
      </c>
      <c r="H6588">
        <v>-2.5</v>
      </c>
      <c r="I6588">
        <v>118</v>
      </c>
    </row>
    <row r="6589" spans="1:9" x14ac:dyDescent="0.25">
      <c r="A6589" t="s">
        <v>986</v>
      </c>
      <c r="B6589">
        <v>134</v>
      </c>
      <c r="C6589" s="1">
        <v>26909</v>
      </c>
      <c r="D6589">
        <v>202</v>
      </c>
      <c r="E6589">
        <v>203.5</v>
      </c>
      <c r="F6589">
        <v>199</v>
      </c>
      <c r="G6589">
        <v>200</v>
      </c>
      <c r="H6589">
        <v>1.5</v>
      </c>
      <c r="I6589">
        <v>103</v>
      </c>
    </row>
    <row r="6590" spans="1:9" x14ac:dyDescent="0.25">
      <c r="A6590" t="s">
        <v>987</v>
      </c>
      <c r="C6590" s="1"/>
    </row>
    <row r="6601" spans="1:9" x14ac:dyDescent="0.25">
      <c r="A6601" s="9" t="s">
        <v>952</v>
      </c>
      <c r="B6601">
        <v>73</v>
      </c>
      <c r="C6601" s="1">
        <v>13116</v>
      </c>
      <c r="D6601">
        <v>181.5</v>
      </c>
      <c r="E6601">
        <v>181.5</v>
      </c>
      <c r="F6601">
        <v>178</v>
      </c>
      <c r="G6601">
        <v>181</v>
      </c>
      <c r="H6601">
        <v>-0.5</v>
      </c>
      <c r="I6601">
        <v>58</v>
      </c>
    </row>
    <row r="6602" spans="1:9" x14ac:dyDescent="0.25">
      <c r="A6602" t="s">
        <v>953</v>
      </c>
      <c r="B6602">
        <v>39</v>
      </c>
      <c r="C6602" s="1">
        <v>6949</v>
      </c>
      <c r="D6602">
        <v>180</v>
      </c>
      <c r="E6602">
        <v>180</v>
      </c>
      <c r="F6602">
        <v>177.5</v>
      </c>
      <c r="G6602">
        <v>178.5</v>
      </c>
      <c r="H6602">
        <v>-2.5</v>
      </c>
      <c r="I6602">
        <v>36</v>
      </c>
    </row>
    <row r="6603" spans="1:9" x14ac:dyDescent="0.25">
      <c r="A6603" t="s">
        <v>954</v>
      </c>
      <c r="B6603">
        <v>42</v>
      </c>
      <c r="C6603" s="1">
        <v>7414</v>
      </c>
      <c r="D6603">
        <v>177</v>
      </c>
      <c r="E6603">
        <v>178</v>
      </c>
      <c r="F6603">
        <v>175.5</v>
      </c>
      <c r="G6603">
        <v>177</v>
      </c>
      <c r="H6603">
        <v>-1.5</v>
      </c>
      <c r="I6603">
        <v>37</v>
      </c>
    </row>
    <row r="6604" spans="1:9" x14ac:dyDescent="0.25">
      <c r="A6604" t="s">
        <v>955</v>
      </c>
      <c r="B6604">
        <v>76</v>
      </c>
      <c r="C6604" s="1">
        <v>13295</v>
      </c>
      <c r="D6604">
        <v>176.5</v>
      </c>
      <c r="E6604">
        <v>177</v>
      </c>
      <c r="F6604">
        <v>173.5</v>
      </c>
      <c r="G6604">
        <v>173.5</v>
      </c>
      <c r="H6604">
        <v>-3.5</v>
      </c>
      <c r="I6604">
        <v>55</v>
      </c>
    </row>
    <row r="6605" spans="1:9" x14ac:dyDescent="0.25">
      <c r="A6605" t="s">
        <v>956</v>
      </c>
      <c r="B6605">
        <v>21</v>
      </c>
      <c r="C6605" s="1">
        <v>3699</v>
      </c>
      <c r="D6605">
        <v>175.5</v>
      </c>
      <c r="E6605">
        <v>177.5</v>
      </c>
      <c r="F6605">
        <v>174</v>
      </c>
      <c r="G6605">
        <v>177.5</v>
      </c>
      <c r="H6605">
        <v>4</v>
      </c>
      <c r="I6605">
        <v>22</v>
      </c>
    </row>
    <row r="6606" spans="1:9" x14ac:dyDescent="0.25">
      <c r="A6606" t="s">
        <v>957</v>
      </c>
      <c r="B6606">
        <v>37</v>
      </c>
      <c r="C6606" s="1">
        <v>6496</v>
      </c>
      <c r="D6606">
        <v>178</v>
      </c>
      <c r="E6606">
        <v>179</v>
      </c>
      <c r="F6606">
        <v>174</v>
      </c>
      <c r="G6606">
        <v>175</v>
      </c>
      <c r="H6606">
        <v>-2.5</v>
      </c>
      <c r="I6606">
        <v>30</v>
      </c>
    </row>
    <row r="6607" spans="1:9" x14ac:dyDescent="0.25">
      <c r="A6607" t="s">
        <v>958</v>
      </c>
      <c r="B6607">
        <v>26</v>
      </c>
      <c r="C6607" s="1">
        <v>4566</v>
      </c>
      <c r="D6607">
        <v>179</v>
      </c>
      <c r="E6607">
        <v>179</v>
      </c>
      <c r="F6607">
        <v>174</v>
      </c>
      <c r="G6607">
        <v>175</v>
      </c>
      <c r="H6607">
        <v>0</v>
      </c>
      <c r="I6607">
        <v>24</v>
      </c>
    </row>
    <row r="6608" spans="1:9" x14ac:dyDescent="0.25">
      <c r="A6608" t="s">
        <v>959</v>
      </c>
      <c r="B6608">
        <v>28</v>
      </c>
      <c r="C6608" s="1">
        <v>4958</v>
      </c>
      <c r="D6608">
        <v>177.5</v>
      </c>
      <c r="E6608">
        <v>179.5</v>
      </c>
      <c r="F6608">
        <v>176</v>
      </c>
      <c r="G6608">
        <v>176</v>
      </c>
      <c r="H6608">
        <v>1</v>
      </c>
      <c r="I6608">
        <v>23</v>
      </c>
    </row>
    <row r="6609" spans="1:9" x14ac:dyDescent="0.25">
      <c r="A6609" t="s">
        <v>960</v>
      </c>
      <c r="B6609">
        <v>26</v>
      </c>
      <c r="C6609" s="1">
        <v>4535</v>
      </c>
      <c r="D6609">
        <v>174</v>
      </c>
      <c r="E6609">
        <v>176</v>
      </c>
      <c r="F6609">
        <v>172</v>
      </c>
      <c r="G6609">
        <v>173</v>
      </c>
      <c r="H6609">
        <v>-3</v>
      </c>
      <c r="I6609">
        <v>26</v>
      </c>
    </row>
    <row r="6610" spans="1:9" x14ac:dyDescent="0.25">
      <c r="A6610" t="s">
        <v>961</v>
      </c>
      <c r="B6610">
        <v>36</v>
      </c>
      <c r="C6610" s="1">
        <v>6365</v>
      </c>
      <c r="D6610">
        <v>177</v>
      </c>
      <c r="E6610">
        <v>179</v>
      </c>
      <c r="F6610">
        <v>175</v>
      </c>
      <c r="G6610">
        <v>175</v>
      </c>
      <c r="H6610">
        <v>2</v>
      </c>
      <c r="I6610">
        <v>27</v>
      </c>
    </row>
    <row r="6611" spans="1:9" x14ac:dyDescent="0.25">
      <c r="A6611" t="s">
        <v>962</v>
      </c>
      <c r="B6611">
        <v>26</v>
      </c>
      <c r="C6611" s="1">
        <v>4605</v>
      </c>
      <c r="D6611">
        <v>175</v>
      </c>
      <c r="E6611">
        <v>178</v>
      </c>
      <c r="F6611">
        <v>175</v>
      </c>
      <c r="G6611">
        <v>178</v>
      </c>
      <c r="H6611">
        <v>3</v>
      </c>
      <c r="I6611">
        <v>22</v>
      </c>
    </row>
    <row r="6612" spans="1:9" x14ac:dyDescent="0.25">
      <c r="A6612" t="s">
        <v>963</v>
      </c>
      <c r="B6612">
        <v>118</v>
      </c>
      <c r="C6612" s="1">
        <v>21642</v>
      </c>
      <c r="D6612">
        <v>178</v>
      </c>
      <c r="E6612">
        <v>186.5</v>
      </c>
      <c r="F6612">
        <v>177.5</v>
      </c>
      <c r="G6612">
        <v>184</v>
      </c>
      <c r="H6612">
        <v>6</v>
      </c>
      <c r="I6612">
        <v>101</v>
      </c>
    </row>
    <row r="6613" spans="1:9" x14ac:dyDescent="0.25">
      <c r="A6613" t="s">
        <v>964</v>
      </c>
      <c r="B6613">
        <v>151</v>
      </c>
      <c r="C6613" s="1">
        <v>28467</v>
      </c>
      <c r="D6613">
        <v>184.5</v>
      </c>
      <c r="E6613">
        <v>195</v>
      </c>
      <c r="F6613">
        <v>184</v>
      </c>
      <c r="G6613">
        <v>184</v>
      </c>
      <c r="H6613">
        <v>0</v>
      </c>
      <c r="I6613">
        <v>134</v>
      </c>
    </row>
    <row r="6614" spans="1:9" x14ac:dyDescent="0.25">
      <c r="A6614" t="s">
        <v>965</v>
      </c>
      <c r="B6614">
        <v>38</v>
      </c>
      <c r="C6614" s="1">
        <v>7073</v>
      </c>
      <c r="D6614">
        <v>186</v>
      </c>
      <c r="E6614">
        <v>187</v>
      </c>
      <c r="F6614">
        <v>184</v>
      </c>
      <c r="G6614">
        <v>184.5</v>
      </c>
      <c r="H6614">
        <v>0.5</v>
      </c>
      <c r="I6614">
        <v>37</v>
      </c>
    </row>
    <row r="6615" spans="1:9" x14ac:dyDescent="0.25">
      <c r="A6615" t="s">
        <v>966</v>
      </c>
      <c r="B6615">
        <v>24</v>
      </c>
      <c r="C6615" s="1">
        <v>4451</v>
      </c>
      <c r="D6615">
        <v>185.5</v>
      </c>
      <c r="E6615">
        <v>186.5</v>
      </c>
      <c r="F6615">
        <v>185</v>
      </c>
      <c r="G6615">
        <v>185.5</v>
      </c>
      <c r="H6615">
        <v>1</v>
      </c>
      <c r="I6615">
        <v>21</v>
      </c>
    </row>
    <row r="6616" spans="1:9" x14ac:dyDescent="0.25">
      <c r="A6616" t="s">
        <v>967</v>
      </c>
      <c r="B6616">
        <v>73</v>
      </c>
      <c r="C6616" s="1">
        <v>13610</v>
      </c>
      <c r="D6616">
        <v>189</v>
      </c>
      <c r="E6616">
        <v>190</v>
      </c>
      <c r="F6616">
        <v>185</v>
      </c>
      <c r="G6616">
        <v>185</v>
      </c>
      <c r="H6616">
        <v>-0.5</v>
      </c>
      <c r="I6616">
        <v>52</v>
      </c>
    </row>
    <row r="6617" spans="1:9" x14ac:dyDescent="0.25">
      <c r="A6617" t="s">
        <v>968</v>
      </c>
      <c r="B6617">
        <v>16</v>
      </c>
      <c r="C6617" s="1">
        <v>2957</v>
      </c>
      <c r="D6617">
        <v>185</v>
      </c>
      <c r="E6617">
        <v>186</v>
      </c>
      <c r="F6617">
        <v>182.5</v>
      </c>
      <c r="G6617">
        <v>183.5</v>
      </c>
      <c r="H6617">
        <v>-1.5</v>
      </c>
      <c r="I6617">
        <v>16</v>
      </c>
    </row>
    <row r="6618" spans="1:9" x14ac:dyDescent="0.25">
      <c r="A6618" t="s">
        <v>969</v>
      </c>
      <c r="B6618">
        <v>37</v>
      </c>
      <c r="C6618" s="1">
        <v>6760</v>
      </c>
      <c r="D6618">
        <v>187.5</v>
      </c>
      <c r="E6618">
        <v>187.5</v>
      </c>
      <c r="F6618">
        <v>180</v>
      </c>
      <c r="G6618">
        <v>183.5</v>
      </c>
      <c r="H6618">
        <v>0</v>
      </c>
      <c r="I6618">
        <v>32</v>
      </c>
    </row>
    <row r="6619" spans="1:9" x14ac:dyDescent="0.25">
      <c r="A6619" t="s">
        <v>970</v>
      </c>
      <c r="B6619">
        <v>92</v>
      </c>
      <c r="C6619" s="1">
        <v>16636</v>
      </c>
      <c r="D6619">
        <v>183.5</v>
      </c>
      <c r="E6619">
        <v>183.5</v>
      </c>
      <c r="F6619">
        <v>179.5</v>
      </c>
      <c r="G6619">
        <v>180</v>
      </c>
      <c r="H6619">
        <v>-3.5</v>
      </c>
      <c r="I6619">
        <v>75</v>
      </c>
    </row>
    <row r="6620" spans="1:9" x14ac:dyDescent="0.25">
      <c r="A6620" t="s">
        <v>971</v>
      </c>
      <c r="B6620">
        <v>89</v>
      </c>
      <c r="C6620" s="1">
        <v>16034</v>
      </c>
      <c r="D6620">
        <v>179</v>
      </c>
      <c r="E6620">
        <v>181</v>
      </c>
      <c r="F6620">
        <v>179</v>
      </c>
      <c r="G6620">
        <v>179</v>
      </c>
      <c r="H6620">
        <v>-1</v>
      </c>
      <c r="I6620">
        <v>67</v>
      </c>
    </row>
    <row r="6621" spans="1:9" x14ac:dyDescent="0.25">
      <c r="A6621" t="s">
        <v>972</v>
      </c>
      <c r="B6621">
        <v>104</v>
      </c>
      <c r="C6621" s="1">
        <v>18557</v>
      </c>
      <c r="D6621">
        <v>181</v>
      </c>
      <c r="E6621">
        <v>181</v>
      </c>
      <c r="F6621">
        <v>176.5</v>
      </c>
      <c r="G6621">
        <v>176.5</v>
      </c>
      <c r="H6621">
        <v>-2.5</v>
      </c>
      <c r="I6621">
        <v>86</v>
      </c>
    </row>
    <row r="6622" spans="1:9" x14ac:dyDescent="0.25">
      <c r="A6622" t="s">
        <v>973</v>
      </c>
      <c r="C6622" s="1"/>
    </row>
    <row r="6625" spans="1:3" x14ac:dyDescent="0.25">
      <c r="A6625" s="9"/>
      <c r="C6625" s="1"/>
    </row>
    <row r="6626" spans="1:3" x14ac:dyDescent="0.25">
      <c r="C6626" s="1"/>
    </row>
    <row r="6627" spans="1:3" x14ac:dyDescent="0.25">
      <c r="C6627" s="1"/>
    </row>
    <row r="6628" spans="1:3" x14ac:dyDescent="0.25">
      <c r="C6628" s="1"/>
    </row>
    <row r="6629" spans="1:3" x14ac:dyDescent="0.25">
      <c r="C6629" s="1"/>
    </row>
    <row r="6630" spans="1:3" x14ac:dyDescent="0.25">
      <c r="C6630" s="1"/>
    </row>
    <row r="6631" spans="1:3" x14ac:dyDescent="0.25">
      <c r="C6631" s="1"/>
    </row>
    <row r="6632" spans="1:3" x14ac:dyDescent="0.25">
      <c r="C6632" s="1"/>
    </row>
    <row r="6633" spans="1:3" x14ac:dyDescent="0.25">
      <c r="C6633" s="1"/>
    </row>
    <row r="6634" spans="1:3" x14ac:dyDescent="0.25">
      <c r="C6634" s="1"/>
    </row>
    <row r="6635" spans="1:3" x14ac:dyDescent="0.25">
      <c r="C6635" s="1"/>
    </row>
    <row r="6636" spans="1:3" x14ac:dyDescent="0.25">
      <c r="C6636" s="1"/>
    </row>
    <row r="6637" spans="1:3" x14ac:dyDescent="0.25">
      <c r="C6637" s="1"/>
    </row>
    <row r="6638" spans="1:3" x14ac:dyDescent="0.25">
      <c r="C6638" s="1"/>
    </row>
    <row r="6639" spans="1:3" x14ac:dyDescent="0.25">
      <c r="C6639" s="1"/>
    </row>
    <row r="6640" spans="1:3" x14ac:dyDescent="0.25">
      <c r="C6640" s="1"/>
    </row>
    <row r="6641" spans="1:3" x14ac:dyDescent="0.25">
      <c r="C6641" s="1"/>
    </row>
    <row r="6642" spans="1:3" x14ac:dyDescent="0.25">
      <c r="C6642" s="1"/>
    </row>
    <row r="6643" spans="1:3" x14ac:dyDescent="0.25">
      <c r="C6643" s="1"/>
    </row>
    <row r="6644" spans="1:3" x14ac:dyDescent="0.25">
      <c r="C6644" s="1"/>
    </row>
    <row r="6645" spans="1:3" x14ac:dyDescent="0.25">
      <c r="C6645" s="1"/>
    </row>
    <row r="6646" spans="1:3" x14ac:dyDescent="0.25">
      <c r="C6646" s="1"/>
    </row>
    <row r="6649" spans="1:3" x14ac:dyDescent="0.25">
      <c r="A6649" s="9"/>
      <c r="C6649" s="1"/>
    </row>
    <row r="6650" spans="1:3" x14ac:dyDescent="0.25">
      <c r="C6650" s="1"/>
    </row>
    <row r="6651" spans="1:3" x14ac:dyDescent="0.25">
      <c r="C6651" s="1"/>
    </row>
    <row r="6652" spans="1:3" x14ac:dyDescent="0.25">
      <c r="C6652" s="1"/>
    </row>
    <row r="6653" spans="1:3" x14ac:dyDescent="0.25">
      <c r="C6653" s="1"/>
    </row>
    <row r="6654" spans="1:3" x14ac:dyDescent="0.25">
      <c r="C6654" s="1"/>
    </row>
    <row r="6655" spans="1:3" x14ac:dyDescent="0.25">
      <c r="C6655" s="1"/>
    </row>
    <row r="6656" spans="1:3" x14ac:dyDescent="0.25">
      <c r="C6656" s="1"/>
    </row>
    <row r="6657" spans="3:3" x14ac:dyDescent="0.25">
      <c r="C6657" s="1"/>
    </row>
    <row r="6658" spans="3:3" x14ac:dyDescent="0.25">
      <c r="C6658" s="1"/>
    </row>
    <row r="6659" spans="3:3" x14ac:dyDescent="0.25">
      <c r="C6659" s="1"/>
    </row>
    <row r="6660" spans="3:3" x14ac:dyDescent="0.25">
      <c r="C6660" s="1"/>
    </row>
    <row r="6661" spans="3:3" x14ac:dyDescent="0.25">
      <c r="C6661" s="1"/>
    </row>
    <row r="6662" spans="3:3" x14ac:dyDescent="0.25">
      <c r="C6662" s="1"/>
    </row>
    <row r="6663" spans="3:3" x14ac:dyDescent="0.25">
      <c r="C6663" s="1"/>
    </row>
    <row r="6664" spans="3:3" x14ac:dyDescent="0.25">
      <c r="C6664" s="1"/>
    </row>
    <row r="6665" spans="3:3" x14ac:dyDescent="0.25">
      <c r="C6665" s="1"/>
    </row>
    <row r="6666" spans="3:3" x14ac:dyDescent="0.25">
      <c r="C6666" s="1"/>
    </row>
    <row r="6667" spans="3:3" x14ac:dyDescent="0.25">
      <c r="C6667" s="1"/>
    </row>
    <row r="6668" spans="3:3" x14ac:dyDescent="0.25">
      <c r="C6668" s="1"/>
    </row>
    <row r="6669" spans="3:3" x14ac:dyDescent="0.25">
      <c r="C6669" s="1"/>
    </row>
    <row r="6670" spans="3:3" x14ac:dyDescent="0.25">
      <c r="C6670" s="1"/>
    </row>
    <row r="6671" spans="3:3" x14ac:dyDescent="0.25">
      <c r="C6671" s="1"/>
    </row>
    <row r="6673" spans="1:3" x14ac:dyDescent="0.25">
      <c r="A6673" s="9"/>
      <c r="C6673" s="1"/>
    </row>
    <row r="6674" spans="1:3" x14ac:dyDescent="0.25">
      <c r="C6674" s="1"/>
    </row>
    <row r="6675" spans="1:3" x14ac:dyDescent="0.25">
      <c r="C6675" s="1"/>
    </row>
    <row r="6676" spans="1:3" x14ac:dyDescent="0.25">
      <c r="C6676" s="1"/>
    </row>
    <row r="6677" spans="1:3" x14ac:dyDescent="0.25">
      <c r="C6677" s="1"/>
    </row>
    <row r="6678" spans="1:3" x14ac:dyDescent="0.25">
      <c r="C6678" s="1"/>
    </row>
    <row r="6679" spans="1:3" x14ac:dyDescent="0.25">
      <c r="C6679" s="1"/>
    </row>
    <row r="6680" spans="1:3" x14ac:dyDescent="0.25">
      <c r="C6680" s="1"/>
    </row>
    <row r="6681" spans="1:3" x14ac:dyDescent="0.25">
      <c r="C6681" s="1"/>
    </row>
    <row r="6682" spans="1:3" x14ac:dyDescent="0.25">
      <c r="C6682" s="1"/>
    </row>
    <row r="6683" spans="1:3" x14ac:dyDescent="0.25">
      <c r="C6683" s="1"/>
    </row>
    <row r="6684" spans="1:3" x14ac:dyDescent="0.25">
      <c r="C6684" s="1"/>
    </row>
    <row r="6685" spans="1:3" x14ac:dyDescent="0.25">
      <c r="C6685" s="1"/>
    </row>
    <row r="6686" spans="1:3" x14ac:dyDescent="0.25">
      <c r="C6686" s="1"/>
    </row>
    <row r="6687" spans="1:3" x14ac:dyDescent="0.25">
      <c r="C6687" s="1"/>
    </row>
    <row r="6688" spans="1:3" x14ac:dyDescent="0.25">
      <c r="C6688" s="1"/>
    </row>
    <row r="6689" spans="1:3" x14ac:dyDescent="0.25">
      <c r="C6689" s="1"/>
    </row>
    <row r="6690" spans="1:3" x14ac:dyDescent="0.25">
      <c r="C6690" s="1"/>
    </row>
    <row r="6691" spans="1:3" x14ac:dyDescent="0.25">
      <c r="C6691" s="1"/>
    </row>
    <row r="6692" spans="1:3" x14ac:dyDescent="0.25">
      <c r="C6692" s="1"/>
    </row>
    <row r="6697" spans="1:3" x14ac:dyDescent="0.25">
      <c r="A6697" s="9"/>
      <c r="C6697" s="1"/>
    </row>
    <row r="6698" spans="1:3" x14ac:dyDescent="0.25">
      <c r="C6698" s="1"/>
    </row>
    <row r="6699" spans="1:3" x14ac:dyDescent="0.25">
      <c r="C6699" s="1"/>
    </row>
    <row r="6700" spans="1:3" x14ac:dyDescent="0.25">
      <c r="C6700" s="1"/>
    </row>
    <row r="6701" spans="1:3" x14ac:dyDescent="0.25">
      <c r="C6701" s="1"/>
    </row>
    <row r="6702" spans="1:3" x14ac:dyDescent="0.25">
      <c r="C6702" s="1"/>
    </row>
    <row r="6703" spans="1:3" x14ac:dyDescent="0.25">
      <c r="C6703" s="1"/>
    </row>
    <row r="6704" spans="1:3" x14ac:dyDescent="0.25">
      <c r="C6704" s="1"/>
    </row>
    <row r="6705" spans="3:3" x14ac:dyDescent="0.25">
      <c r="C6705" s="1"/>
    </row>
    <row r="6706" spans="3:3" x14ac:dyDescent="0.25">
      <c r="C6706" s="1"/>
    </row>
    <row r="6707" spans="3:3" x14ac:dyDescent="0.25">
      <c r="C6707" s="1"/>
    </row>
    <row r="6708" spans="3:3" x14ac:dyDescent="0.25">
      <c r="C6708" s="1"/>
    </row>
    <row r="6709" spans="3:3" x14ac:dyDescent="0.25">
      <c r="C6709" s="1"/>
    </row>
    <row r="6710" spans="3:3" x14ac:dyDescent="0.25">
      <c r="C6710" s="1"/>
    </row>
    <row r="6711" spans="3:3" x14ac:dyDescent="0.25">
      <c r="C6711" s="1"/>
    </row>
    <row r="6712" spans="3:3" x14ac:dyDescent="0.25">
      <c r="C6712" s="1"/>
    </row>
    <row r="6713" spans="3:3" x14ac:dyDescent="0.25">
      <c r="C6713" s="1"/>
    </row>
    <row r="6714" spans="3:3" x14ac:dyDescent="0.25">
      <c r="C6714" s="1"/>
    </row>
    <row r="6715" spans="3:3" x14ac:dyDescent="0.25">
      <c r="C6715" s="1"/>
    </row>
    <row r="6716" spans="3:3" x14ac:dyDescent="0.25">
      <c r="C6716" s="1"/>
    </row>
    <row r="6717" spans="3:3" x14ac:dyDescent="0.25">
      <c r="C6717" s="1"/>
    </row>
    <row r="6718" spans="3:3" x14ac:dyDescent="0.25">
      <c r="C6718" s="1"/>
    </row>
    <row r="6719" spans="3:3" x14ac:dyDescent="0.25">
      <c r="C6719" s="1"/>
    </row>
    <row r="6721" spans="1:3" x14ac:dyDescent="0.25">
      <c r="A6721" s="9"/>
      <c r="C6721" s="1"/>
    </row>
    <row r="6722" spans="1:3" x14ac:dyDescent="0.25">
      <c r="C6722" s="1"/>
    </row>
    <row r="6723" spans="1:3" x14ac:dyDescent="0.25">
      <c r="C6723" s="1"/>
    </row>
    <row r="6724" spans="1:3" x14ac:dyDescent="0.25">
      <c r="C6724" s="1"/>
    </row>
    <row r="6725" spans="1:3" x14ac:dyDescent="0.25">
      <c r="C6725" s="1"/>
    </row>
    <row r="6726" spans="1:3" x14ac:dyDescent="0.25">
      <c r="C6726" s="1"/>
    </row>
    <row r="6727" spans="1:3" x14ac:dyDescent="0.25">
      <c r="C6727" s="1"/>
    </row>
    <row r="6728" spans="1:3" x14ac:dyDescent="0.25">
      <c r="C6728" s="1"/>
    </row>
    <row r="6729" spans="1:3" x14ac:dyDescent="0.25">
      <c r="C6729" s="1"/>
    </row>
    <row r="6730" spans="1:3" x14ac:dyDescent="0.25">
      <c r="C6730" s="1"/>
    </row>
    <row r="6731" spans="1:3" x14ac:dyDescent="0.25">
      <c r="C6731" s="1"/>
    </row>
    <row r="6732" spans="1:3" x14ac:dyDescent="0.25">
      <c r="C6732" s="1"/>
    </row>
    <row r="6733" spans="1:3" x14ac:dyDescent="0.25">
      <c r="C6733" s="1"/>
    </row>
    <row r="6734" spans="1:3" x14ac:dyDescent="0.25">
      <c r="C6734" s="1"/>
    </row>
    <row r="6735" spans="1:3" x14ac:dyDescent="0.25">
      <c r="C6735" s="1"/>
    </row>
    <row r="6736" spans="1:3" x14ac:dyDescent="0.25">
      <c r="C6736" s="1"/>
    </row>
    <row r="6737" spans="1:3" x14ac:dyDescent="0.25">
      <c r="C6737" s="1"/>
    </row>
    <row r="6738" spans="1:3" x14ac:dyDescent="0.25">
      <c r="C6738" s="1"/>
    </row>
    <row r="6739" spans="1:3" x14ac:dyDescent="0.25">
      <c r="C6739" s="1"/>
    </row>
    <row r="6740" spans="1:3" x14ac:dyDescent="0.25">
      <c r="C6740" s="1"/>
    </row>
    <row r="6741" spans="1:3" x14ac:dyDescent="0.25">
      <c r="C6741" s="1"/>
    </row>
    <row r="6742" spans="1:3" x14ac:dyDescent="0.25">
      <c r="C6742" s="1"/>
    </row>
    <row r="6743" spans="1:3" x14ac:dyDescent="0.25">
      <c r="C6743" s="1"/>
    </row>
    <row r="6744" spans="1:3" x14ac:dyDescent="0.25">
      <c r="C6744" s="1"/>
    </row>
    <row r="6745" spans="1:3" x14ac:dyDescent="0.25">
      <c r="A6745" s="9"/>
      <c r="C6745" s="1"/>
    </row>
    <row r="6746" spans="1:3" x14ac:dyDescent="0.25">
      <c r="C6746" s="1"/>
    </row>
    <row r="6747" spans="1:3" x14ac:dyDescent="0.25">
      <c r="C6747" s="1"/>
    </row>
    <row r="6748" spans="1:3" x14ac:dyDescent="0.25">
      <c r="C6748" s="1"/>
    </row>
    <row r="6749" spans="1:3" x14ac:dyDescent="0.25">
      <c r="C6749" s="1"/>
    </row>
    <row r="6750" spans="1:3" x14ac:dyDescent="0.25">
      <c r="C6750" s="1"/>
    </row>
    <row r="6751" spans="1:3" x14ac:dyDescent="0.25">
      <c r="C6751" s="1"/>
    </row>
    <row r="6752" spans="1:3" x14ac:dyDescent="0.25">
      <c r="C6752" s="1"/>
    </row>
    <row r="6753" spans="3:3" x14ac:dyDescent="0.25">
      <c r="C6753" s="1"/>
    </row>
    <row r="6754" spans="3:3" x14ac:dyDescent="0.25">
      <c r="C6754" s="1"/>
    </row>
    <row r="6755" spans="3:3" x14ac:dyDescent="0.25">
      <c r="C6755" s="1"/>
    </row>
    <row r="6756" spans="3:3" x14ac:dyDescent="0.25">
      <c r="C6756" s="1"/>
    </row>
    <row r="6757" spans="3:3" x14ac:dyDescent="0.25">
      <c r="C6757" s="1"/>
    </row>
    <row r="6758" spans="3:3" x14ac:dyDescent="0.25">
      <c r="C6758" s="1"/>
    </row>
    <row r="6759" spans="3:3" x14ac:dyDescent="0.25">
      <c r="C6759" s="1"/>
    </row>
    <row r="6760" spans="3:3" x14ac:dyDescent="0.25">
      <c r="C6760" s="1"/>
    </row>
    <row r="6761" spans="3:3" x14ac:dyDescent="0.25">
      <c r="C6761" s="1"/>
    </row>
    <row r="6762" spans="3:3" x14ac:dyDescent="0.25">
      <c r="C6762" s="1"/>
    </row>
    <row r="6763" spans="3:3" x14ac:dyDescent="0.25">
      <c r="C6763" s="1"/>
    </row>
    <row r="6764" spans="3:3" x14ac:dyDescent="0.25">
      <c r="C6764" s="1"/>
    </row>
    <row r="6765" spans="3:3" x14ac:dyDescent="0.25">
      <c r="C6765" s="1"/>
    </row>
    <row r="6766" spans="3:3" x14ac:dyDescent="0.25">
      <c r="C6766" s="1"/>
    </row>
    <row r="6769" spans="1:3" x14ac:dyDescent="0.25">
      <c r="A6769" s="9"/>
      <c r="C6769" s="1"/>
    </row>
    <row r="6770" spans="1:3" x14ac:dyDescent="0.25">
      <c r="C6770" s="1"/>
    </row>
    <row r="6771" spans="1:3" x14ac:dyDescent="0.25">
      <c r="C6771" s="1"/>
    </row>
    <row r="6772" spans="1:3" x14ac:dyDescent="0.25">
      <c r="C6772" s="1"/>
    </row>
    <row r="6773" spans="1:3" x14ac:dyDescent="0.25">
      <c r="C6773" s="1"/>
    </row>
    <row r="6774" spans="1:3" x14ac:dyDescent="0.25">
      <c r="C6774" s="1"/>
    </row>
    <row r="6775" spans="1:3" x14ac:dyDescent="0.25">
      <c r="C6775" s="1"/>
    </row>
    <row r="6776" spans="1:3" x14ac:dyDescent="0.25">
      <c r="C6776" s="1"/>
    </row>
    <row r="6777" spans="1:3" x14ac:dyDescent="0.25">
      <c r="C6777" s="1"/>
    </row>
    <row r="6778" spans="1:3" x14ac:dyDescent="0.25">
      <c r="C6778" s="1"/>
    </row>
    <row r="6779" spans="1:3" x14ac:dyDescent="0.25">
      <c r="C6779" s="1"/>
    </row>
    <row r="6780" spans="1:3" x14ac:dyDescent="0.25">
      <c r="C6780" s="1"/>
    </row>
    <row r="6781" spans="1:3" x14ac:dyDescent="0.25">
      <c r="C6781" s="1"/>
    </row>
    <row r="6782" spans="1:3" x14ac:dyDescent="0.25">
      <c r="C6782" s="1"/>
    </row>
    <row r="6783" spans="1:3" x14ac:dyDescent="0.25">
      <c r="C6783" s="1"/>
    </row>
    <row r="6784" spans="1:3" x14ac:dyDescent="0.25">
      <c r="C6784" s="1"/>
    </row>
    <row r="6785" spans="1:3" x14ac:dyDescent="0.25">
      <c r="C6785" s="1"/>
    </row>
    <row r="6786" spans="1:3" x14ac:dyDescent="0.25">
      <c r="C6786" s="1"/>
    </row>
    <row r="6787" spans="1:3" x14ac:dyDescent="0.25">
      <c r="C6787" s="1"/>
    </row>
    <row r="6788" spans="1:3" x14ac:dyDescent="0.25">
      <c r="C6788" s="1"/>
    </row>
    <row r="6789" spans="1:3" x14ac:dyDescent="0.25">
      <c r="C6789" s="1"/>
    </row>
    <row r="6790" spans="1:3" x14ac:dyDescent="0.25">
      <c r="C6790" s="1"/>
    </row>
    <row r="6791" spans="1:3" x14ac:dyDescent="0.25">
      <c r="C6791" s="1"/>
    </row>
    <row r="6792" spans="1:3" x14ac:dyDescent="0.25">
      <c r="C6792" s="1"/>
    </row>
    <row r="6793" spans="1:3" x14ac:dyDescent="0.25">
      <c r="A6793" s="9"/>
      <c r="C6793" s="1"/>
    </row>
    <row r="6794" spans="1:3" x14ac:dyDescent="0.25">
      <c r="C6794" s="1"/>
    </row>
    <row r="6795" spans="1:3" x14ac:dyDescent="0.25">
      <c r="C6795" s="1"/>
    </row>
    <row r="6796" spans="1:3" x14ac:dyDescent="0.25">
      <c r="C6796" s="1"/>
    </row>
    <row r="6797" spans="1:3" x14ac:dyDescent="0.25">
      <c r="C6797" s="1"/>
    </row>
    <row r="6798" spans="1:3" x14ac:dyDescent="0.25">
      <c r="C6798" s="1"/>
    </row>
    <row r="6799" spans="1:3" x14ac:dyDescent="0.25">
      <c r="C6799" s="1"/>
    </row>
    <row r="6800" spans="1:3" x14ac:dyDescent="0.25">
      <c r="C6800" s="1"/>
    </row>
    <row r="6801" spans="3:3" x14ac:dyDescent="0.25">
      <c r="C6801" s="1"/>
    </row>
    <row r="6802" spans="3:3" x14ac:dyDescent="0.25">
      <c r="C6802" s="1"/>
    </row>
    <row r="6803" spans="3:3" x14ac:dyDescent="0.25">
      <c r="C6803" s="1"/>
    </row>
    <row r="6804" spans="3:3" x14ac:dyDescent="0.25">
      <c r="C6804" s="1"/>
    </row>
    <row r="6805" spans="3:3" x14ac:dyDescent="0.25">
      <c r="C6805" s="1"/>
    </row>
    <row r="6806" spans="3:3" x14ac:dyDescent="0.25">
      <c r="C6806" s="1"/>
    </row>
    <row r="6807" spans="3:3" x14ac:dyDescent="0.25">
      <c r="C6807" s="1"/>
    </row>
    <row r="6808" spans="3:3" x14ac:dyDescent="0.25">
      <c r="C6808" s="1"/>
    </row>
    <row r="6809" spans="3:3" x14ac:dyDescent="0.25">
      <c r="C6809" s="1"/>
    </row>
    <row r="6810" spans="3:3" x14ac:dyDescent="0.25">
      <c r="C6810" s="1"/>
    </row>
    <row r="6811" spans="3:3" x14ac:dyDescent="0.25">
      <c r="C6811" s="1"/>
    </row>
    <row r="6812" spans="3:3" x14ac:dyDescent="0.25">
      <c r="C6812" s="1"/>
    </row>
    <row r="6813" spans="3:3" x14ac:dyDescent="0.25">
      <c r="C6813" s="1"/>
    </row>
    <row r="6817" spans="1:3" x14ac:dyDescent="0.25">
      <c r="A6817" s="9"/>
      <c r="C6817" s="1"/>
    </row>
    <row r="6818" spans="1:3" x14ac:dyDescent="0.25">
      <c r="C6818" s="1"/>
    </row>
    <row r="6819" spans="1:3" x14ac:dyDescent="0.25">
      <c r="C6819" s="1"/>
    </row>
    <row r="6820" spans="1:3" x14ac:dyDescent="0.25">
      <c r="C6820" s="1"/>
    </row>
    <row r="6821" spans="1:3" x14ac:dyDescent="0.25">
      <c r="C6821" s="1"/>
    </row>
    <row r="6822" spans="1:3" x14ac:dyDescent="0.25">
      <c r="C6822" s="1"/>
    </row>
    <row r="6823" spans="1:3" x14ac:dyDescent="0.25">
      <c r="C6823" s="1"/>
    </row>
    <row r="6824" spans="1:3" x14ac:dyDescent="0.25">
      <c r="C6824" s="1"/>
    </row>
    <row r="6825" spans="1:3" x14ac:dyDescent="0.25">
      <c r="C6825" s="1"/>
    </row>
    <row r="6826" spans="1:3" x14ac:dyDescent="0.25">
      <c r="C6826" s="1"/>
    </row>
    <row r="6827" spans="1:3" x14ac:dyDescent="0.25">
      <c r="C6827" s="1"/>
    </row>
    <row r="6828" spans="1:3" x14ac:dyDescent="0.25">
      <c r="C6828" s="1"/>
    </row>
    <row r="6829" spans="1:3" x14ac:dyDescent="0.25">
      <c r="C6829" s="1"/>
    </row>
    <row r="6830" spans="1:3" x14ac:dyDescent="0.25">
      <c r="C6830" s="1"/>
    </row>
    <row r="6831" spans="1:3" x14ac:dyDescent="0.25">
      <c r="C6831" s="1"/>
    </row>
    <row r="6832" spans="1:3" x14ac:dyDescent="0.25">
      <c r="C6832" s="1"/>
    </row>
    <row r="6833" spans="1:3" x14ac:dyDescent="0.25">
      <c r="C6833" s="1"/>
    </row>
    <row r="6834" spans="1:3" x14ac:dyDescent="0.25">
      <c r="C6834" s="1"/>
    </row>
    <row r="6835" spans="1:3" x14ac:dyDescent="0.25">
      <c r="C6835" s="1"/>
    </row>
    <row r="6841" spans="1:3" x14ac:dyDescent="0.25">
      <c r="A6841" s="9"/>
      <c r="C6841" s="1"/>
    </row>
    <row r="6842" spans="1:3" x14ac:dyDescent="0.25">
      <c r="C6842" s="1"/>
    </row>
    <row r="6843" spans="1:3" x14ac:dyDescent="0.25">
      <c r="C6843" s="1"/>
    </row>
    <row r="6844" spans="1:3" x14ac:dyDescent="0.25">
      <c r="C6844" s="1"/>
    </row>
    <row r="6845" spans="1:3" x14ac:dyDescent="0.25">
      <c r="C6845" s="1"/>
    </row>
    <row r="6846" spans="1:3" x14ac:dyDescent="0.25">
      <c r="C6846" s="1"/>
    </row>
    <row r="6847" spans="1:3" x14ac:dyDescent="0.25">
      <c r="C6847" s="1"/>
    </row>
    <row r="6848" spans="1:3" x14ac:dyDescent="0.25">
      <c r="C6848" s="1"/>
    </row>
    <row r="6849" spans="3:3" x14ac:dyDescent="0.25">
      <c r="C6849" s="1"/>
    </row>
    <row r="6850" spans="3:3" x14ac:dyDescent="0.25">
      <c r="C6850" s="1"/>
    </row>
    <row r="6851" spans="3:3" x14ac:dyDescent="0.25">
      <c r="C6851" s="1"/>
    </row>
    <row r="6852" spans="3:3" x14ac:dyDescent="0.25">
      <c r="C6852" s="1"/>
    </row>
    <row r="6853" spans="3:3" x14ac:dyDescent="0.25">
      <c r="C6853" s="1"/>
    </row>
    <row r="6854" spans="3:3" x14ac:dyDescent="0.25">
      <c r="C6854" s="1"/>
    </row>
    <row r="6855" spans="3:3" x14ac:dyDescent="0.25">
      <c r="C6855" s="1"/>
    </row>
    <row r="6856" spans="3:3" x14ac:dyDescent="0.25">
      <c r="C6856" s="1"/>
    </row>
    <row r="6857" spans="3:3" x14ac:dyDescent="0.25">
      <c r="C6857" s="1"/>
    </row>
    <row r="6858" spans="3:3" x14ac:dyDescent="0.25">
      <c r="C6858" s="1"/>
    </row>
    <row r="6859" spans="3:3" x14ac:dyDescent="0.25">
      <c r="C6859" s="1"/>
    </row>
    <row r="6860" spans="3:3" x14ac:dyDescent="0.25">
      <c r="C6860" s="1"/>
    </row>
    <row r="6861" spans="3:3" x14ac:dyDescent="0.25">
      <c r="C6861" s="1"/>
    </row>
    <row r="6862" spans="3:3" x14ac:dyDescent="0.25">
      <c r="C6862" s="1"/>
    </row>
    <row r="6863" spans="3:3" x14ac:dyDescent="0.25">
      <c r="C6863" s="1"/>
    </row>
    <row r="6864" spans="3:3" x14ac:dyDescent="0.25">
      <c r="C6864" s="1"/>
    </row>
    <row r="6865" spans="1:3" x14ac:dyDescent="0.25">
      <c r="A6865" s="9"/>
      <c r="C6865" s="1"/>
    </row>
    <row r="6866" spans="1:3" x14ac:dyDescent="0.25">
      <c r="C6866" s="1"/>
    </row>
    <row r="6867" spans="1:3" x14ac:dyDescent="0.25">
      <c r="C6867" s="1"/>
    </row>
    <row r="6868" spans="1:3" x14ac:dyDescent="0.25">
      <c r="C6868" s="1"/>
    </row>
    <row r="6869" spans="1:3" x14ac:dyDescent="0.25">
      <c r="C6869" s="1"/>
    </row>
    <row r="6870" spans="1:3" x14ac:dyDescent="0.25">
      <c r="C6870" s="1"/>
    </row>
    <row r="6871" spans="1:3" x14ac:dyDescent="0.25">
      <c r="C6871" s="1"/>
    </row>
    <row r="6872" spans="1:3" x14ac:dyDescent="0.25">
      <c r="C6872" s="1"/>
    </row>
    <row r="6873" spans="1:3" x14ac:dyDescent="0.25">
      <c r="C6873" s="1"/>
    </row>
    <row r="6874" spans="1:3" x14ac:dyDescent="0.25">
      <c r="C6874" s="1"/>
    </row>
    <row r="6875" spans="1:3" x14ac:dyDescent="0.25">
      <c r="C6875" s="1"/>
    </row>
    <row r="6876" spans="1:3" x14ac:dyDescent="0.25">
      <c r="C6876" s="1"/>
    </row>
    <row r="6877" spans="1:3" x14ac:dyDescent="0.25">
      <c r="C6877" s="1"/>
    </row>
    <row r="6878" spans="1:3" x14ac:dyDescent="0.25">
      <c r="C6878" s="1"/>
    </row>
    <row r="6879" spans="1:3" x14ac:dyDescent="0.25">
      <c r="C6879" s="1"/>
    </row>
    <row r="6880" spans="1:3" x14ac:dyDescent="0.25">
      <c r="C6880" s="1"/>
    </row>
    <row r="6881" spans="1:3" x14ac:dyDescent="0.25">
      <c r="C6881" s="1"/>
    </row>
    <row r="6882" spans="1:3" x14ac:dyDescent="0.25">
      <c r="C6882" s="1"/>
    </row>
    <row r="6883" spans="1:3" x14ac:dyDescent="0.25">
      <c r="C6883" s="1"/>
    </row>
    <row r="6889" spans="1:3" x14ac:dyDescent="0.25">
      <c r="A6889" s="9"/>
      <c r="C6889" s="1"/>
    </row>
    <row r="6890" spans="1:3" x14ac:dyDescent="0.25">
      <c r="C6890" s="1"/>
    </row>
    <row r="6891" spans="1:3" x14ac:dyDescent="0.25">
      <c r="C6891" s="1"/>
    </row>
    <row r="6892" spans="1:3" x14ac:dyDescent="0.25">
      <c r="C6892" s="1"/>
    </row>
    <row r="6893" spans="1:3" x14ac:dyDescent="0.25">
      <c r="C6893" s="1"/>
    </row>
    <row r="6894" spans="1:3" x14ac:dyDescent="0.25">
      <c r="C6894" s="1"/>
    </row>
    <row r="6895" spans="1:3" x14ac:dyDescent="0.25">
      <c r="C6895" s="1"/>
    </row>
    <row r="6896" spans="1:3" x14ac:dyDescent="0.25">
      <c r="C6896" s="1"/>
    </row>
    <row r="6897" spans="3:3" x14ac:dyDescent="0.25">
      <c r="C6897" s="1"/>
    </row>
    <row r="6898" spans="3:3" x14ac:dyDescent="0.25">
      <c r="C6898" s="1"/>
    </row>
    <row r="6899" spans="3:3" x14ac:dyDescent="0.25">
      <c r="C6899" s="1"/>
    </row>
    <row r="6900" spans="3:3" x14ac:dyDescent="0.25">
      <c r="C6900" s="1"/>
    </row>
    <row r="6901" spans="3:3" x14ac:dyDescent="0.25">
      <c r="C6901" s="1"/>
    </row>
    <row r="6902" spans="3:3" x14ac:dyDescent="0.25">
      <c r="C6902" s="1"/>
    </row>
    <row r="6903" spans="3:3" x14ac:dyDescent="0.25">
      <c r="C6903" s="1"/>
    </row>
    <row r="6904" spans="3:3" x14ac:dyDescent="0.25">
      <c r="C6904" s="1"/>
    </row>
    <row r="6905" spans="3:3" x14ac:dyDescent="0.25">
      <c r="C6905" s="1"/>
    </row>
    <row r="6913" spans="1:3" x14ac:dyDescent="0.25">
      <c r="A6913" s="9"/>
      <c r="C6913" s="1"/>
    </row>
    <row r="6914" spans="1:3" x14ac:dyDescent="0.25">
      <c r="C6914" s="1"/>
    </row>
    <row r="6915" spans="1:3" x14ac:dyDescent="0.25">
      <c r="C6915" s="1"/>
    </row>
    <row r="6916" spans="1:3" x14ac:dyDescent="0.25">
      <c r="C6916" s="1"/>
    </row>
    <row r="6917" spans="1:3" x14ac:dyDescent="0.25">
      <c r="C6917" s="1"/>
    </row>
    <row r="6918" spans="1:3" x14ac:dyDescent="0.25">
      <c r="C6918" s="1"/>
    </row>
    <row r="6919" spans="1:3" x14ac:dyDescent="0.25">
      <c r="C6919" s="1"/>
    </row>
    <row r="6920" spans="1:3" x14ac:dyDescent="0.25">
      <c r="C6920" s="1"/>
    </row>
    <row r="6921" spans="1:3" x14ac:dyDescent="0.25">
      <c r="C6921" s="1"/>
    </row>
    <row r="6922" spans="1:3" x14ac:dyDescent="0.25">
      <c r="C6922" s="1"/>
    </row>
    <row r="6923" spans="1:3" x14ac:dyDescent="0.25">
      <c r="C6923" s="1"/>
    </row>
    <row r="6924" spans="1:3" x14ac:dyDescent="0.25">
      <c r="C6924" s="1"/>
    </row>
    <row r="6925" spans="1:3" x14ac:dyDescent="0.25">
      <c r="C6925" s="1"/>
    </row>
    <row r="6926" spans="1:3" x14ac:dyDescent="0.25">
      <c r="C6926" s="1"/>
    </row>
    <row r="6927" spans="1:3" x14ac:dyDescent="0.25">
      <c r="C6927" s="1"/>
    </row>
    <row r="6928" spans="1:3" x14ac:dyDescent="0.25">
      <c r="C6928" s="1"/>
    </row>
    <row r="6929" spans="1:3" x14ac:dyDescent="0.25">
      <c r="C6929" s="1"/>
    </row>
    <row r="6930" spans="1:3" x14ac:dyDescent="0.25">
      <c r="C6930" s="1"/>
    </row>
    <row r="6931" spans="1:3" x14ac:dyDescent="0.25">
      <c r="C6931" s="1"/>
    </row>
    <row r="6932" spans="1:3" x14ac:dyDescent="0.25">
      <c r="C6932" s="1"/>
    </row>
    <row r="6933" spans="1:3" x14ac:dyDescent="0.25">
      <c r="C6933" s="1"/>
    </row>
    <row r="6934" spans="1:3" x14ac:dyDescent="0.25">
      <c r="C6934" s="1"/>
    </row>
    <row r="6935" spans="1:3" x14ac:dyDescent="0.25">
      <c r="C6935" s="1"/>
    </row>
    <row r="6937" spans="1:3" x14ac:dyDescent="0.25">
      <c r="A6937" s="9"/>
      <c r="C6937" s="1"/>
    </row>
    <row r="6938" spans="1:3" x14ac:dyDescent="0.25">
      <c r="C6938" s="1"/>
    </row>
    <row r="6939" spans="1:3" x14ac:dyDescent="0.25">
      <c r="C6939" s="1"/>
    </row>
    <row r="6940" spans="1:3" x14ac:dyDescent="0.25">
      <c r="C6940" s="1"/>
    </row>
    <row r="6941" spans="1:3" x14ac:dyDescent="0.25">
      <c r="C6941" s="1"/>
    </row>
    <row r="6942" spans="1:3" x14ac:dyDescent="0.25">
      <c r="C6942" s="1"/>
    </row>
    <row r="6943" spans="1:3" x14ac:dyDescent="0.25">
      <c r="C6943" s="1"/>
    </row>
    <row r="6944" spans="1:3" x14ac:dyDescent="0.25">
      <c r="C6944" s="1"/>
    </row>
    <row r="6945" spans="3:3" x14ac:dyDescent="0.25">
      <c r="C6945" s="1"/>
    </row>
    <row r="6946" spans="3:3" x14ac:dyDescent="0.25">
      <c r="C6946" s="1"/>
    </row>
    <row r="6947" spans="3:3" x14ac:dyDescent="0.25">
      <c r="C6947" s="1"/>
    </row>
    <row r="6948" spans="3:3" x14ac:dyDescent="0.25">
      <c r="C6948" s="1"/>
    </row>
    <row r="6949" spans="3:3" x14ac:dyDescent="0.25">
      <c r="C6949" s="1"/>
    </row>
    <row r="6950" spans="3:3" x14ac:dyDescent="0.25">
      <c r="C6950" s="1"/>
    </row>
    <row r="6951" spans="3:3" x14ac:dyDescent="0.25">
      <c r="C6951" s="1"/>
    </row>
    <row r="6952" spans="3:3" x14ac:dyDescent="0.25">
      <c r="C6952" s="1"/>
    </row>
    <row r="6953" spans="3:3" x14ac:dyDescent="0.25">
      <c r="C6953" s="1"/>
    </row>
    <row r="6954" spans="3:3" x14ac:dyDescent="0.25">
      <c r="C6954" s="1"/>
    </row>
    <row r="6955" spans="3:3" x14ac:dyDescent="0.25">
      <c r="C6955" s="1"/>
    </row>
    <row r="6956" spans="3:3" x14ac:dyDescent="0.25">
      <c r="C6956" s="1"/>
    </row>
    <row r="6957" spans="3:3" x14ac:dyDescent="0.25">
      <c r="C6957" s="1"/>
    </row>
    <row r="6958" spans="3:3" x14ac:dyDescent="0.25">
      <c r="C6958" s="1"/>
    </row>
    <row r="6959" spans="3:3" x14ac:dyDescent="0.25">
      <c r="C6959" s="1"/>
    </row>
    <row r="6961" spans="1:3" x14ac:dyDescent="0.25">
      <c r="A6961" s="9"/>
      <c r="C6961" s="1"/>
    </row>
    <row r="6962" spans="1:3" x14ac:dyDescent="0.25">
      <c r="C6962" s="1"/>
    </row>
    <row r="6963" spans="1:3" x14ac:dyDescent="0.25">
      <c r="C6963" s="1"/>
    </row>
    <row r="6964" spans="1:3" x14ac:dyDescent="0.25">
      <c r="C6964" s="1"/>
    </row>
    <row r="6965" spans="1:3" x14ac:dyDescent="0.25">
      <c r="C6965" s="1"/>
    </row>
    <row r="6966" spans="1:3" x14ac:dyDescent="0.25">
      <c r="C6966" s="1"/>
    </row>
    <row r="6967" spans="1:3" x14ac:dyDescent="0.25">
      <c r="C6967" s="1"/>
    </row>
    <row r="6968" spans="1:3" x14ac:dyDescent="0.25">
      <c r="C6968" s="1"/>
    </row>
    <row r="6969" spans="1:3" x14ac:dyDescent="0.25">
      <c r="C6969" s="1"/>
    </row>
    <row r="6970" spans="1:3" x14ac:dyDescent="0.25">
      <c r="C6970" s="1"/>
    </row>
    <row r="6971" spans="1:3" x14ac:dyDescent="0.25">
      <c r="C6971" s="1"/>
    </row>
    <row r="6972" spans="1:3" x14ac:dyDescent="0.25">
      <c r="C6972" s="1"/>
    </row>
    <row r="6973" spans="1:3" x14ac:dyDescent="0.25">
      <c r="C6973" s="1"/>
    </row>
    <row r="6974" spans="1:3" x14ac:dyDescent="0.25">
      <c r="C6974" s="1"/>
    </row>
    <row r="6975" spans="1:3" x14ac:dyDescent="0.25">
      <c r="C6975" s="1"/>
    </row>
    <row r="6976" spans="1:3" x14ac:dyDescent="0.25">
      <c r="C6976" s="1"/>
    </row>
    <row r="6977" spans="1:3" x14ac:dyDescent="0.25">
      <c r="C6977" s="1"/>
    </row>
    <row r="6978" spans="1:3" x14ac:dyDescent="0.25">
      <c r="C6978" s="1"/>
    </row>
    <row r="6979" spans="1:3" x14ac:dyDescent="0.25">
      <c r="C6979" s="1"/>
    </row>
    <row r="6980" spans="1:3" x14ac:dyDescent="0.25">
      <c r="C6980" s="1"/>
    </row>
    <row r="6981" spans="1:3" x14ac:dyDescent="0.25">
      <c r="C6981" s="1"/>
    </row>
    <row r="6985" spans="1:3" x14ac:dyDescent="0.25">
      <c r="A6985" s="9"/>
      <c r="C6985" s="1"/>
    </row>
    <row r="6986" spans="1:3" x14ac:dyDescent="0.25">
      <c r="C6986" s="1"/>
    </row>
    <row r="6987" spans="1:3" x14ac:dyDescent="0.25">
      <c r="C6987" s="1"/>
    </row>
    <row r="6988" spans="1:3" x14ac:dyDescent="0.25">
      <c r="C6988" s="1"/>
    </row>
    <row r="6989" spans="1:3" x14ac:dyDescent="0.25">
      <c r="C6989" s="1"/>
    </row>
    <row r="6990" spans="1:3" x14ac:dyDescent="0.25">
      <c r="C6990" s="1"/>
    </row>
    <row r="6991" spans="1:3" x14ac:dyDescent="0.25">
      <c r="C6991" s="1"/>
    </row>
    <row r="6992" spans="1:3" x14ac:dyDescent="0.25">
      <c r="C6992" s="1"/>
    </row>
    <row r="6993" spans="3:3" x14ac:dyDescent="0.25">
      <c r="C6993" s="1"/>
    </row>
    <row r="6994" spans="3:3" x14ac:dyDescent="0.25">
      <c r="C6994" s="1"/>
    </row>
    <row r="6995" spans="3:3" x14ac:dyDescent="0.25">
      <c r="C6995" s="1"/>
    </row>
    <row r="6996" spans="3:3" x14ac:dyDescent="0.25">
      <c r="C6996" s="1"/>
    </row>
    <row r="6997" spans="3:3" x14ac:dyDescent="0.25">
      <c r="C6997" s="1"/>
    </row>
    <row r="6998" spans="3:3" x14ac:dyDescent="0.25">
      <c r="C6998" s="1"/>
    </row>
    <row r="6999" spans="3:3" x14ac:dyDescent="0.25">
      <c r="C6999" s="1"/>
    </row>
    <row r="7000" spans="3:3" x14ac:dyDescent="0.25">
      <c r="C7000" s="1"/>
    </row>
    <row r="7001" spans="3:3" x14ac:dyDescent="0.25">
      <c r="C7001" s="1"/>
    </row>
    <row r="7002" spans="3:3" x14ac:dyDescent="0.25">
      <c r="C7002" s="1"/>
    </row>
    <row r="7003" spans="3:3" x14ac:dyDescent="0.25">
      <c r="C7003" s="1"/>
    </row>
    <row r="7004" spans="3:3" x14ac:dyDescent="0.25">
      <c r="C7004" s="1"/>
    </row>
    <row r="7009" spans="1:3" x14ac:dyDescent="0.25">
      <c r="A7009" s="9"/>
      <c r="C7009" s="1"/>
    </row>
    <row r="7010" spans="1:3" x14ac:dyDescent="0.25">
      <c r="C7010" s="1"/>
    </row>
    <row r="7011" spans="1:3" x14ac:dyDescent="0.25">
      <c r="C7011" s="1"/>
    </row>
    <row r="7012" spans="1:3" x14ac:dyDescent="0.25">
      <c r="C7012" s="1"/>
    </row>
    <row r="7013" spans="1:3" x14ac:dyDescent="0.25">
      <c r="C7013" s="1"/>
    </row>
    <row r="7014" spans="1:3" x14ac:dyDescent="0.25">
      <c r="C7014" s="1"/>
    </row>
    <row r="7015" spans="1:3" x14ac:dyDescent="0.25">
      <c r="C7015" s="1"/>
    </row>
    <row r="7016" spans="1:3" x14ac:dyDescent="0.25">
      <c r="C7016" s="1"/>
    </row>
    <row r="7017" spans="1:3" x14ac:dyDescent="0.25">
      <c r="C7017" s="1"/>
    </row>
    <row r="7018" spans="1:3" x14ac:dyDescent="0.25">
      <c r="C7018" s="1"/>
    </row>
    <row r="7019" spans="1:3" x14ac:dyDescent="0.25">
      <c r="C7019" s="1"/>
    </row>
    <row r="7020" spans="1:3" x14ac:dyDescent="0.25">
      <c r="C7020" s="1"/>
    </row>
    <row r="7021" spans="1:3" x14ac:dyDescent="0.25">
      <c r="C7021" s="1"/>
    </row>
    <row r="7022" spans="1:3" x14ac:dyDescent="0.25">
      <c r="C7022" s="1"/>
    </row>
    <row r="7023" spans="1:3" x14ac:dyDescent="0.25">
      <c r="C7023" s="1"/>
    </row>
    <row r="7024" spans="1:3" x14ac:dyDescent="0.25">
      <c r="C7024" s="1"/>
    </row>
    <row r="7025" spans="1:3" x14ac:dyDescent="0.25">
      <c r="C7025" s="1"/>
    </row>
    <row r="7026" spans="1:3" x14ac:dyDescent="0.25">
      <c r="C7026" s="1"/>
    </row>
    <row r="7027" spans="1:3" x14ac:dyDescent="0.25">
      <c r="C7027" s="1"/>
    </row>
    <row r="7028" spans="1:3" x14ac:dyDescent="0.25">
      <c r="C7028" s="1"/>
    </row>
    <row r="7029" spans="1:3" x14ac:dyDescent="0.25">
      <c r="C7029" s="1"/>
    </row>
    <row r="7030" spans="1:3" x14ac:dyDescent="0.25">
      <c r="C7030" s="1"/>
    </row>
    <row r="7031" spans="1:3" x14ac:dyDescent="0.25">
      <c r="C7031" s="1"/>
    </row>
    <row r="7032" spans="1:3" x14ac:dyDescent="0.25">
      <c r="C7032" s="1"/>
    </row>
    <row r="7033" spans="1:3" x14ac:dyDescent="0.25">
      <c r="A7033" s="9"/>
      <c r="C7033" s="1"/>
    </row>
    <row r="7034" spans="1:3" x14ac:dyDescent="0.25">
      <c r="C7034" s="1"/>
    </row>
    <row r="7035" spans="1:3" x14ac:dyDescent="0.25">
      <c r="C7035" s="1"/>
    </row>
    <row r="7036" spans="1:3" x14ac:dyDescent="0.25">
      <c r="C7036" s="1"/>
    </row>
    <row r="7037" spans="1:3" x14ac:dyDescent="0.25">
      <c r="C7037" s="1"/>
    </row>
    <row r="7038" spans="1:3" x14ac:dyDescent="0.25">
      <c r="C7038" s="1"/>
    </row>
    <row r="7039" spans="1:3" x14ac:dyDescent="0.25">
      <c r="C7039" s="1"/>
    </row>
    <row r="7040" spans="1:3" x14ac:dyDescent="0.25">
      <c r="C7040" s="1"/>
    </row>
    <row r="7041" spans="3:3" x14ac:dyDescent="0.25">
      <c r="C7041" s="1"/>
    </row>
    <row r="7042" spans="3:3" x14ac:dyDescent="0.25">
      <c r="C7042" s="1"/>
    </row>
    <row r="7043" spans="3:3" x14ac:dyDescent="0.25">
      <c r="C7043" s="1"/>
    </row>
    <row r="7044" spans="3:3" x14ac:dyDescent="0.25">
      <c r="C7044" s="1"/>
    </row>
    <row r="7045" spans="3:3" x14ac:dyDescent="0.25">
      <c r="C7045" s="1"/>
    </row>
    <row r="7046" spans="3:3" x14ac:dyDescent="0.25">
      <c r="C7046" s="1"/>
    </row>
    <row r="7047" spans="3:3" x14ac:dyDescent="0.25">
      <c r="C7047" s="1"/>
    </row>
    <row r="7048" spans="3:3" x14ac:dyDescent="0.25">
      <c r="C7048" s="1"/>
    </row>
    <row r="7049" spans="3:3" x14ac:dyDescent="0.25">
      <c r="C7049" s="1"/>
    </row>
    <row r="7050" spans="3:3" x14ac:dyDescent="0.25">
      <c r="C7050" s="1"/>
    </row>
    <row r="7051" spans="3:3" x14ac:dyDescent="0.25">
      <c r="C7051" s="1"/>
    </row>
    <row r="7052" spans="3:3" x14ac:dyDescent="0.25">
      <c r="C7052" s="1"/>
    </row>
    <row r="7053" spans="3:3" x14ac:dyDescent="0.25">
      <c r="C7053" s="1"/>
    </row>
    <row r="7057" spans="1:3" x14ac:dyDescent="0.25">
      <c r="A7057" s="9"/>
      <c r="C7057" s="1"/>
    </row>
    <row r="7058" spans="1:3" x14ac:dyDescent="0.25">
      <c r="C7058" s="1"/>
    </row>
    <row r="7059" spans="1:3" x14ac:dyDescent="0.25">
      <c r="C7059" s="1"/>
    </row>
    <row r="7060" spans="1:3" x14ac:dyDescent="0.25">
      <c r="C7060" s="1"/>
    </row>
    <row r="7061" spans="1:3" x14ac:dyDescent="0.25">
      <c r="C7061" s="1"/>
    </row>
    <row r="7062" spans="1:3" x14ac:dyDescent="0.25">
      <c r="C7062" s="1"/>
    </row>
    <row r="7063" spans="1:3" x14ac:dyDescent="0.25">
      <c r="C7063" s="1"/>
    </row>
    <row r="7064" spans="1:3" x14ac:dyDescent="0.25">
      <c r="C7064" s="1"/>
    </row>
    <row r="7065" spans="1:3" x14ac:dyDescent="0.25">
      <c r="C7065" s="1"/>
    </row>
    <row r="7066" spans="1:3" x14ac:dyDescent="0.25">
      <c r="C7066" s="1"/>
    </row>
    <row r="7067" spans="1:3" x14ac:dyDescent="0.25">
      <c r="C7067" s="1"/>
    </row>
    <row r="7068" spans="1:3" x14ac:dyDescent="0.25">
      <c r="C7068" s="1"/>
    </row>
    <row r="7069" spans="1:3" x14ac:dyDescent="0.25">
      <c r="C7069" s="1"/>
    </row>
    <row r="7070" spans="1:3" x14ac:dyDescent="0.25">
      <c r="C7070" s="1"/>
    </row>
    <row r="7071" spans="1:3" x14ac:dyDescent="0.25">
      <c r="C7071" s="1"/>
    </row>
    <row r="7072" spans="1:3" x14ac:dyDescent="0.25">
      <c r="C7072" s="1"/>
    </row>
    <row r="7073" spans="1:3" x14ac:dyDescent="0.25">
      <c r="C7073" s="1"/>
    </row>
    <row r="7074" spans="1:3" x14ac:dyDescent="0.25">
      <c r="C7074" s="1"/>
    </row>
    <row r="7075" spans="1:3" x14ac:dyDescent="0.25">
      <c r="C7075" s="1"/>
    </row>
    <row r="7076" spans="1:3" x14ac:dyDescent="0.25">
      <c r="C7076" s="1"/>
    </row>
    <row r="7077" spans="1:3" x14ac:dyDescent="0.25">
      <c r="C7077" s="1"/>
    </row>
    <row r="7078" spans="1:3" x14ac:dyDescent="0.25">
      <c r="C7078" s="1"/>
    </row>
    <row r="7081" spans="1:3" x14ac:dyDescent="0.25">
      <c r="A7081" s="9"/>
      <c r="C7081" s="1"/>
    </row>
    <row r="7082" spans="1:3" x14ac:dyDescent="0.25">
      <c r="C7082" s="1"/>
    </row>
    <row r="7083" spans="1:3" x14ac:dyDescent="0.25">
      <c r="C7083" s="1"/>
    </row>
    <row r="7084" spans="1:3" x14ac:dyDescent="0.25">
      <c r="C7084" s="1"/>
    </row>
    <row r="7085" spans="1:3" x14ac:dyDescent="0.25">
      <c r="C7085" s="1"/>
    </row>
    <row r="7086" spans="1:3" x14ac:dyDescent="0.25">
      <c r="C7086" s="1"/>
    </row>
    <row r="7087" spans="1:3" x14ac:dyDescent="0.25">
      <c r="C7087" s="1"/>
    </row>
    <row r="7088" spans="1:3" x14ac:dyDescent="0.25">
      <c r="C7088" s="1"/>
    </row>
    <row r="7089" spans="3:3" x14ac:dyDescent="0.25">
      <c r="C7089" s="1"/>
    </row>
    <row r="7090" spans="3:3" x14ac:dyDescent="0.25">
      <c r="C7090" s="1"/>
    </row>
    <row r="7091" spans="3:3" x14ac:dyDescent="0.25">
      <c r="C7091" s="1"/>
    </row>
    <row r="7092" spans="3:3" x14ac:dyDescent="0.25">
      <c r="C7092" s="1"/>
    </row>
    <row r="7093" spans="3:3" x14ac:dyDescent="0.25">
      <c r="C7093" s="1"/>
    </row>
    <row r="7094" spans="3:3" x14ac:dyDescent="0.25">
      <c r="C7094" s="1"/>
    </row>
    <row r="7095" spans="3:3" x14ac:dyDescent="0.25">
      <c r="C7095" s="1"/>
    </row>
    <row r="7096" spans="3:3" x14ac:dyDescent="0.25">
      <c r="C7096" s="1"/>
    </row>
    <row r="7097" spans="3:3" x14ac:dyDescent="0.25">
      <c r="C7097" s="1"/>
    </row>
    <row r="7098" spans="3:3" x14ac:dyDescent="0.25">
      <c r="C7098" s="1"/>
    </row>
    <row r="7099" spans="3:3" x14ac:dyDescent="0.25">
      <c r="C7099" s="1"/>
    </row>
    <row r="7100" spans="3:3" x14ac:dyDescent="0.25">
      <c r="C7100" s="1"/>
    </row>
    <row r="7101" spans="3:3" x14ac:dyDescent="0.25">
      <c r="C7101" s="1"/>
    </row>
    <row r="7102" spans="3:3" x14ac:dyDescent="0.25">
      <c r="C7102" s="1"/>
    </row>
    <row r="7105" spans="1:3" x14ac:dyDescent="0.25">
      <c r="A7105" s="9"/>
      <c r="C7105" s="1"/>
    </row>
    <row r="7106" spans="1:3" x14ac:dyDescent="0.25">
      <c r="C7106" s="1"/>
    </row>
    <row r="7107" spans="1:3" x14ac:dyDescent="0.25">
      <c r="C7107" s="1"/>
    </row>
    <row r="7108" spans="1:3" x14ac:dyDescent="0.25">
      <c r="C7108" s="1"/>
    </row>
    <row r="7109" spans="1:3" x14ac:dyDescent="0.25">
      <c r="C7109" s="1"/>
    </row>
    <row r="7110" spans="1:3" x14ac:dyDescent="0.25">
      <c r="C7110" s="1"/>
    </row>
    <row r="7111" spans="1:3" x14ac:dyDescent="0.25">
      <c r="C7111" s="1"/>
    </row>
    <row r="7112" spans="1:3" x14ac:dyDescent="0.25">
      <c r="C7112" s="1"/>
    </row>
    <row r="7113" spans="1:3" x14ac:dyDescent="0.25">
      <c r="C7113" s="1"/>
    </row>
    <row r="7114" spans="1:3" x14ac:dyDescent="0.25">
      <c r="C7114" s="1"/>
    </row>
    <row r="7115" spans="1:3" x14ac:dyDescent="0.25">
      <c r="C7115" s="1"/>
    </row>
    <row r="7116" spans="1:3" x14ac:dyDescent="0.25">
      <c r="C7116" s="1"/>
    </row>
    <row r="7117" spans="1:3" x14ac:dyDescent="0.25">
      <c r="C7117" s="1"/>
    </row>
    <row r="7118" spans="1:3" x14ac:dyDescent="0.25">
      <c r="C7118" s="1"/>
    </row>
    <row r="7119" spans="1:3" x14ac:dyDescent="0.25">
      <c r="C7119" s="1"/>
    </row>
    <row r="7120" spans="1:3" x14ac:dyDescent="0.25">
      <c r="C7120" s="1"/>
    </row>
    <row r="7121" spans="1:3" x14ac:dyDescent="0.25">
      <c r="C7121" s="1"/>
    </row>
    <row r="7122" spans="1:3" x14ac:dyDescent="0.25">
      <c r="C7122" s="1"/>
    </row>
    <row r="7123" spans="1:3" x14ac:dyDescent="0.25">
      <c r="C7123" s="1"/>
    </row>
    <row r="7124" spans="1:3" x14ac:dyDescent="0.25">
      <c r="C7124" s="1"/>
    </row>
    <row r="7129" spans="1:3" x14ac:dyDescent="0.25">
      <c r="A7129" s="9"/>
      <c r="C7129" s="1"/>
    </row>
    <row r="7130" spans="1:3" x14ac:dyDescent="0.25">
      <c r="C7130" s="1"/>
    </row>
    <row r="7131" spans="1:3" x14ac:dyDescent="0.25">
      <c r="C7131" s="1"/>
    </row>
    <row r="7132" spans="1:3" x14ac:dyDescent="0.25">
      <c r="C7132" s="1"/>
    </row>
    <row r="7133" spans="1:3" x14ac:dyDescent="0.25">
      <c r="C7133" s="1"/>
    </row>
    <row r="7134" spans="1:3" x14ac:dyDescent="0.25">
      <c r="C7134" s="1"/>
    </row>
    <row r="7135" spans="1:3" x14ac:dyDescent="0.25">
      <c r="C7135" s="1"/>
    </row>
    <row r="7136" spans="1:3" x14ac:dyDescent="0.25">
      <c r="C7136" s="1"/>
    </row>
    <row r="7137" spans="3:3" x14ac:dyDescent="0.25">
      <c r="C7137" s="1"/>
    </row>
    <row r="7138" spans="3:3" x14ac:dyDescent="0.25">
      <c r="C7138" s="1"/>
    </row>
    <row r="7139" spans="3:3" x14ac:dyDescent="0.25">
      <c r="C7139" s="1"/>
    </row>
    <row r="7140" spans="3:3" x14ac:dyDescent="0.25">
      <c r="C7140" s="1"/>
    </row>
    <row r="7141" spans="3:3" x14ac:dyDescent="0.25">
      <c r="C7141" s="1"/>
    </row>
    <row r="7142" spans="3:3" x14ac:dyDescent="0.25">
      <c r="C7142" s="1"/>
    </row>
    <row r="7143" spans="3:3" x14ac:dyDescent="0.25">
      <c r="C7143" s="1"/>
    </row>
    <row r="7144" spans="3:3" x14ac:dyDescent="0.25">
      <c r="C7144" s="1"/>
    </row>
    <row r="7145" spans="3:3" x14ac:dyDescent="0.25">
      <c r="C7145" s="1"/>
    </row>
    <row r="7146" spans="3:3" x14ac:dyDescent="0.25">
      <c r="C7146" s="1"/>
    </row>
    <row r="7147" spans="3:3" x14ac:dyDescent="0.25">
      <c r="C7147" s="1"/>
    </row>
    <row r="7148" spans="3:3" x14ac:dyDescent="0.25">
      <c r="C7148" s="1"/>
    </row>
    <row r="7149" spans="3:3" x14ac:dyDescent="0.25">
      <c r="C7149" s="1"/>
    </row>
    <row r="7150" spans="3:3" x14ac:dyDescent="0.25">
      <c r="C7150" s="1"/>
    </row>
    <row r="7151" spans="3:3" x14ac:dyDescent="0.25">
      <c r="C7151" s="1"/>
    </row>
    <row r="7152" spans="3:3" x14ac:dyDescent="0.25">
      <c r="C7152" s="1"/>
    </row>
    <row r="7153" spans="1:3" x14ac:dyDescent="0.25">
      <c r="A7153" s="9"/>
      <c r="C7153" s="1"/>
    </row>
    <row r="7154" spans="1:3" x14ac:dyDescent="0.25">
      <c r="C7154" s="1"/>
    </row>
    <row r="7155" spans="1:3" x14ac:dyDescent="0.25">
      <c r="C7155" s="1"/>
    </row>
    <row r="7156" spans="1:3" x14ac:dyDescent="0.25">
      <c r="C7156" s="1"/>
    </row>
    <row r="7157" spans="1:3" x14ac:dyDescent="0.25">
      <c r="C7157" s="1"/>
    </row>
    <row r="7158" spans="1:3" x14ac:dyDescent="0.25">
      <c r="C7158" s="1"/>
    </row>
    <row r="7159" spans="1:3" x14ac:dyDescent="0.25">
      <c r="C7159" s="1"/>
    </row>
    <row r="7160" spans="1:3" x14ac:dyDescent="0.25">
      <c r="C7160" s="1"/>
    </row>
    <row r="7161" spans="1:3" x14ac:dyDescent="0.25">
      <c r="C7161" s="1"/>
    </row>
    <row r="7162" spans="1:3" x14ac:dyDescent="0.25">
      <c r="C7162" s="1"/>
    </row>
    <row r="7163" spans="1:3" x14ac:dyDescent="0.25">
      <c r="C7163" s="1"/>
    </row>
    <row r="7164" spans="1:3" x14ac:dyDescent="0.25">
      <c r="C7164" s="1"/>
    </row>
    <row r="7165" spans="1:3" x14ac:dyDescent="0.25">
      <c r="C7165" s="1"/>
    </row>
    <row r="7166" spans="1:3" x14ac:dyDescent="0.25">
      <c r="C7166" s="1"/>
    </row>
    <row r="7177" spans="1:3" x14ac:dyDescent="0.25">
      <c r="A7177" s="9"/>
      <c r="C7177" s="1"/>
    </row>
    <row r="7178" spans="1:3" x14ac:dyDescent="0.25">
      <c r="C7178" s="1"/>
    </row>
    <row r="7179" spans="1:3" x14ac:dyDescent="0.25">
      <c r="C7179" s="1"/>
    </row>
    <row r="7180" spans="1:3" x14ac:dyDescent="0.25">
      <c r="C7180" s="1"/>
    </row>
    <row r="7181" spans="1:3" x14ac:dyDescent="0.25">
      <c r="C7181" s="1"/>
    </row>
    <row r="7182" spans="1:3" x14ac:dyDescent="0.25">
      <c r="C7182" s="1"/>
    </row>
    <row r="7183" spans="1:3" x14ac:dyDescent="0.25">
      <c r="C7183" s="1"/>
    </row>
    <row r="7184" spans="1:3" x14ac:dyDescent="0.25">
      <c r="C7184" s="1"/>
    </row>
    <row r="7185" spans="3:3" x14ac:dyDescent="0.25">
      <c r="C7185" s="1"/>
    </row>
    <row r="7186" spans="3:3" x14ac:dyDescent="0.25">
      <c r="C7186" s="1"/>
    </row>
    <row r="7187" spans="3:3" x14ac:dyDescent="0.25">
      <c r="C7187" s="1"/>
    </row>
    <row r="7188" spans="3:3" x14ac:dyDescent="0.25">
      <c r="C7188" s="1"/>
    </row>
    <row r="7189" spans="3:3" x14ac:dyDescent="0.25">
      <c r="C7189" s="1"/>
    </row>
    <row r="7190" spans="3:3" x14ac:dyDescent="0.25">
      <c r="C7190" s="1"/>
    </row>
    <row r="7191" spans="3:3" x14ac:dyDescent="0.25">
      <c r="C7191" s="1"/>
    </row>
    <row r="7192" spans="3:3" x14ac:dyDescent="0.25">
      <c r="C7192" s="1"/>
    </row>
    <row r="7193" spans="3:3" x14ac:dyDescent="0.25">
      <c r="C7193" s="1"/>
    </row>
    <row r="7194" spans="3:3" x14ac:dyDescent="0.25">
      <c r="C7194" s="1"/>
    </row>
    <row r="7195" spans="3:3" x14ac:dyDescent="0.25">
      <c r="C7195" s="1"/>
    </row>
    <row r="7196" spans="3:3" x14ac:dyDescent="0.25">
      <c r="C7196" s="1"/>
    </row>
    <row r="7197" spans="3:3" x14ac:dyDescent="0.25">
      <c r="C7197" s="1"/>
    </row>
    <row r="7198" spans="3:3" x14ac:dyDescent="0.25">
      <c r="C7198" s="1"/>
    </row>
    <row r="7201" spans="1:3" x14ac:dyDescent="0.25">
      <c r="A7201" s="9"/>
      <c r="C7201" s="1"/>
    </row>
    <row r="7202" spans="1:3" x14ac:dyDescent="0.25">
      <c r="C7202" s="1"/>
    </row>
    <row r="7203" spans="1:3" x14ac:dyDescent="0.25">
      <c r="C7203" s="1"/>
    </row>
    <row r="7204" spans="1:3" x14ac:dyDescent="0.25">
      <c r="C7204" s="1"/>
    </row>
    <row r="7205" spans="1:3" x14ac:dyDescent="0.25">
      <c r="C7205" s="1"/>
    </row>
    <row r="7206" spans="1:3" x14ac:dyDescent="0.25">
      <c r="C7206" s="1"/>
    </row>
    <row r="7207" spans="1:3" x14ac:dyDescent="0.25">
      <c r="C7207" s="1"/>
    </row>
    <row r="7208" spans="1:3" x14ac:dyDescent="0.25">
      <c r="C7208" s="1"/>
    </row>
    <row r="7209" spans="1:3" x14ac:dyDescent="0.25">
      <c r="C7209" s="1"/>
    </row>
    <row r="7210" spans="1:3" x14ac:dyDescent="0.25">
      <c r="C7210" s="1"/>
    </row>
    <row r="7211" spans="1:3" x14ac:dyDescent="0.25">
      <c r="C7211" s="1"/>
    </row>
    <row r="7212" spans="1:3" x14ac:dyDescent="0.25">
      <c r="C7212" s="1"/>
    </row>
    <row r="7213" spans="1:3" x14ac:dyDescent="0.25">
      <c r="C7213" s="1"/>
    </row>
    <row r="7214" spans="1:3" x14ac:dyDescent="0.25">
      <c r="C7214" s="1"/>
    </row>
    <row r="7215" spans="1:3" x14ac:dyDescent="0.25">
      <c r="C7215" s="1"/>
    </row>
    <row r="7216" spans="1:3" x14ac:dyDescent="0.25">
      <c r="C7216" s="1"/>
    </row>
    <row r="7217" spans="1:3" x14ac:dyDescent="0.25">
      <c r="C7217" s="1"/>
    </row>
    <row r="7218" spans="1:3" x14ac:dyDescent="0.25">
      <c r="C7218" s="1"/>
    </row>
    <row r="7219" spans="1:3" x14ac:dyDescent="0.25">
      <c r="C7219" s="1"/>
    </row>
    <row r="7220" spans="1:3" x14ac:dyDescent="0.25">
      <c r="C7220" s="1"/>
    </row>
    <row r="7221" spans="1:3" x14ac:dyDescent="0.25">
      <c r="C7221" s="1"/>
    </row>
    <row r="7222" spans="1:3" x14ac:dyDescent="0.25">
      <c r="C7222" s="1"/>
    </row>
    <row r="7225" spans="1:3" x14ac:dyDescent="0.25">
      <c r="A7225" s="9"/>
      <c r="C7225" s="1"/>
    </row>
    <row r="7226" spans="1:3" x14ac:dyDescent="0.25">
      <c r="C7226" s="1"/>
    </row>
    <row r="7227" spans="1:3" x14ac:dyDescent="0.25">
      <c r="C7227" s="1"/>
    </row>
    <row r="7228" spans="1:3" x14ac:dyDescent="0.25">
      <c r="C7228" s="1"/>
    </row>
    <row r="7229" spans="1:3" x14ac:dyDescent="0.25">
      <c r="C7229" s="1"/>
    </row>
    <row r="7230" spans="1:3" x14ac:dyDescent="0.25">
      <c r="C7230" s="1"/>
    </row>
    <row r="7231" spans="1:3" x14ac:dyDescent="0.25">
      <c r="C7231" s="1"/>
    </row>
    <row r="7232" spans="1:3" x14ac:dyDescent="0.25">
      <c r="C7232" s="1"/>
    </row>
    <row r="7233" spans="3:3" x14ac:dyDescent="0.25">
      <c r="C7233" s="1"/>
    </row>
    <row r="7234" spans="3:3" x14ac:dyDescent="0.25">
      <c r="C7234" s="1"/>
    </row>
    <row r="7235" spans="3:3" x14ac:dyDescent="0.25">
      <c r="C7235" s="1"/>
    </row>
    <row r="7236" spans="3:3" x14ac:dyDescent="0.25">
      <c r="C7236" s="1"/>
    </row>
    <row r="7237" spans="3:3" x14ac:dyDescent="0.25">
      <c r="C7237" s="1"/>
    </row>
    <row r="7238" spans="3:3" x14ac:dyDescent="0.25">
      <c r="C7238" s="1"/>
    </row>
    <row r="7239" spans="3:3" x14ac:dyDescent="0.25">
      <c r="C7239" s="1"/>
    </row>
    <row r="7240" spans="3:3" x14ac:dyDescent="0.25">
      <c r="C7240" s="1"/>
    </row>
    <row r="7241" spans="3:3" x14ac:dyDescent="0.25">
      <c r="C7241" s="1"/>
    </row>
    <row r="7242" spans="3:3" x14ac:dyDescent="0.25">
      <c r="C7242" s="1"/>
    </row>
    <row r="7243" spans="3:3" x14ac:dyDescent="0.25">
      <c r="C7243" s="1"/>
    </row>
    <row r="7244" spans="3:3" x14ac:dyDescent="0.25">
      <c r="C7244" s="1"/>
    </row>
    <row r="7245" spans="3:3" x14ac:dyDescent="0.25">
      <c r="C7245" s="1"/>
    </row>
    <row r="7246" spans="3:3" x14ac:dyDescent="0.25">
      <c r="C7246" s="1"/>
    </row>
    <row r="7247" spans="3:3" x14ac:dyDescent="0.25">
      <c r="C7247" s="1"/>
    </row>
    <row r="7249" spans="1:3" x14ac:dyDescent="0.25">
      <c r="A7249" s="9"/>
      <c r="C7249" s="1"/>
    </row>
    <row r="7250" spans="1:3" x14ac:dyDescent="0.25">
      <c r="C7250" s="1"/>
    </row>
    <row r="7251" spans="1:3" x14ac:dyDescent="0.25">
      <c r="C7251" s="1"/>
    </row>
    <row r="7252" spans="1:3" x14ac:dyDescent="0.25">
      <c r="C7252" s="1"/>
    </row>
    <row r="7253" spans="1:3" x14ac:dyDescent="0.25">
      <c r="C7253" s="1"/>
    </row>
    <row r="7254" spans="1:3" x14ac:dyDescent="0.25">
      <c r="C7254" s="1"/>
    </row>
    <row r="7255" spans="1:3" x14ac:dyDescent="0.25">
      <c r="C7255" s="1"/>
    </row>
    <row r="7256" spans="1:3" x14ac:dyDescent="0.25">
      <c r="C7256" s="1"/>
    </row>
    <row r="7257" spans="1:3" x14ac:dyDescent="0.25">
      <c r="C7257" s="1"/>
    </row>
    <row r="7258" spans="1:3" x14ac:dyDescent="0.25">
      <c r="C7258" s="1"/>
    </row>
    <row r="7259" spans="1:3" x14ac:dyDescent="0.25">
      <c r="C7259" s="1"/>
    </row>
    <row r="7260" spans="1:3" x14ac:dyDescent="0.25">
      <c r="C7260" s="1"/>
    </row>
    <row r="7261" spans="1:3" x14ac:dyDescent="0.25">
      <c r="C7261" s="1"/>
    </row>
    <row r="7262" spans="1:3" x14ac:dyDescent="0.25">
      <c r="C7262" s="1"/>
    </row>
    <row r="7263" spans="1:3" x14ac:dyDescent="0.25">
      <c r="C7263" s="1"/>
    </row>
    <row r="7264" spans="1:3" x14ac:dyDescent="0.25">
      <c r="C7264" s="1"/>
    </row>
    <row r="7265" spans="1:3" x14ac:dyDescent="0.25">
      <c r="C7265" s="1"/>
    </row>
    <row r="7266" spans="1:3" x14ac:dyDescent="0.25">
      <c r="C7266" s="1"/>
    </row>
    <row r="7267" spans="1:3" x14ac:dyDescent="0.25">
      <c r="C7267" s="1"/>
    </row>
    <row r="7268" spans="1:3" x14ac:dyDescent="0.25">
      <c r="C7268" s="1"/>
    </row>
    <row r="7273" spans="1:3" x14ac:dyDescent="0.25">
      <c r="A7273" s="9"/>
      <c r="C7273" s="1"/>
    </row>
    <row r="7274" spans="1:3" x14ac:dyDescent="0.25">
      <c r="C7274" s="1"/>
    </row>
    <row r="7275" spans="1:3" x14ac:dyDescent="0.25">
      <c r="C7275" s="1"/>
    </row>
    <row r="7276" spans="1:3" x14ac:dyDescent="0.25">
      <c r="C7276" s="1"/>
    </row>
    <row r="7277" spans="1:3" x14ac:dyDescent="0.25">
      <c r="C7277" s="1"/>
    </row>
    <row r="7278" spans="1:3" x14ac:dyDescent="0.25">
      <c r="C7278" s="1"/>
    </row>
    <row r="7279" spans="1:3" x14ac:dyDescent="0.25">
      <c r="C7279" s="1"/>
    </row>
    <row r="7280" spans="1:3" x14ac:dyDescent="0.25">
      <c r="C7280" s="1"/>
    </row>
    <row r="7281" spans="3:3" x14ac:dyDescent="0.25">
      <c r="C7281" s="1"/>
    </row>
    <row r="7282" spans="3:3" x14ac:dyDescent="0.25">
      <c r="C7282" s="1"/>
    </row>
    <row r="7283" spans="3:3" x14ac:dyDescent="0.25">
      <c r="C7283" s="1"/>
    </row>
    <row r="7284" spans="3:3" x14ac:dyDescent="0.25">
      <c r="C7284" s="1"/>
    </row>
    <row r="7285" spans="3:3" x14ac:dyDescent="0.25">
      <c r="C7285" s="1"/>
    </row>
    <row r="7286" spans="3:3" x14ac:dyDescent="0.25">
      <c r="C7286" s="1"/>
    </row>
    <row r="7287" spans="3:3" x14ac:dyDescent="0.25">
      <c r="C7287" s="1"/>
    </row>
    <row r="7288" spans="3:3" x14ac:dyDescent="0.25">
      <c r="C7288" s="1"/>
    </row>
    <row r="7289" spans="3:3" x14ac:dyDescent="0.25">
      <c r="C7289" s="1"/>
    </row>
    <row r="7290" spans="3:3" x14ac:dyDescent="0.25">
      <c r="C7290" s="1"/>
    </row>
    <row r="7291" spans="3:3" x14ac:dyDescent="0.25">
      <c r="C7291" s="1"/>
    </row>
    <row r="7292" spans="3:3" x14ac:dyDescent="0.25">
      <c r="C7292" s="1"/>
    </row>
    <row r="7293" spans="3:3" x14ac:dyDescent="0.25">
      <c r="C7293" s="1"/>
    </row>
    <row r="7294" spans="3:3" x14ac:dyDescent="0.25">
      <c r="C7294" s="1"/>
    </row>
    <row r="7295" spans="3:3" x14ac:dyDescent="0.25">
      <c r="C7295" s="1"/>
    </row>
    <row r="7297" spans="1:3" x14ac:dyDescent="0.25">
      <c r="A7297" s="9"/>
      <c r="C7297" s="1"/>
    </row>
    <row r="7298" spans="1:3" x14ac:dyDescent="0.25">
      <c r="C7298" s="1"/>
    </row>
    <row r="7299" spans="1:3" x14ac:dyDescent="0.25">
      <c r="C7299" s="1"/>
    </row>
    <row r="7300" spans="1:3" x14ac:dyDescent="0.25">
      <c r="C7300" s="1"/>
    </row>
    <row r="7301" spans="1:3" x14ac:dyDescent="0.25">
      <c r="C7301" s="1"/>
    </row>
    <row r="7302" spans="1:3" x14ac:dyDescent="0.25">
      <c r="C7302" s="1"/>
    </row>
    <row r="7303" spans="1:3" x14ac:dyDescent="0.25">
      <c r="C7303" s="1"/>
    </row>
    <row r="7304" spans="1:3" x14ac:dyDescent="0.25">
      <c r="C7304" s="1"/>
    </row>
    <row r="7305" spans="1:3" x14ac:dyDescent="0.25">
      <c r="C7305" s="1"/>
    </row>
    <row r="7306" spans="1:3" x14ac:dyDescent="0.25">
      <c r="C7306" s="1"/>
    </row>
    <row r="7307" spans="1:3" x14ac:dyDescent="0.25">
      <c r="C7307" s="1"/>
    </row>
    <row r="7308" spans="1:3" x14ac:dyDescent="0.25">
      <c r="C7308" s="1"/>
    </row>
    <row r="7309" spans="1:3" x14ac:dyDescent="0.25">
      <c r="C7309" s="1"/>
    </row>
    <row r="7310" spans="1:3" x14ac:dyDescent="0.25">
      <c r="C7310" s="1"/>
    </row>
    <row r="7311" spans="1:3" x14ac:dyDescent="0.25">
      <c r="C7311" s="1"/>
    </row>
    <row r="7312" spans="1:3" x14ac:dyDescent="0.25">
      <c r="C7312" s="1"/>
    </row>
    <row r="7313" spans="1:3" x14ac:dyDescent="0.25">
      <c r="C7313" s="1"/>
    </row>
    <row r="7314" spans="1:3" x14ac:dyDescent="0.25">
      <c r="C7314" s="1"/>
    </row>
    <row r="7315" spans="1:3" x14ac:dyDescent="0.25">
      <c r="C7315" s="1"/>
    </row>
    <row r="7316" spans="1:3" x14ac:dyDescent="0.25">
      <c r="C7316" s="1"/>
    </row>
    <row r="7317" spans="1:3" x14ac:dyDescent="0.25">
      <c r="C7317" s="1"/>
    </row>
    <row r="7318" spans="1:3" x14ac:dyDescent="0.25">
      <c r="C7318" s="1"/>
    </row>
    <row r="7319" spans="1:3" x14ac:dyDescent="0.25">
      <c r="C7319" s="1"/>
    </row>
    <row r="7320" spans="1:3" x14ac:dyDescent="0.25">
      <c r="C7320" s="1"/>
    </row>
    <row r="7321" spans="1:3" x14ac:dyDescent="0.25">
      <c r="A7321" s="9"/>
      <c r="C7321" s="1"/>
    </row>
    <row r="7322" spans="1:3" x14ac:dyDescent="0.25">
      <c r="C7322" s="1"/>
    </row>
    <row r="7323" spans="1:3" x14ac:dyDescent="0.25">
      <c r="C7323" s="1"/>
    </row>
    <row r="7324" spans="1:3" x14ac:dyDescent="0.25">
      <c r="C7324" s="1"/>
    </row>
    <row r="7325" spans="1:3" x14ac:dyDescent="0.25">
      <c r="C7325" s="1"/>
    </row>
    <row r="7326" spans="1:3" x14ac:dyDescent="0.25">
      <c r="C7326" s="1"/>
    </row>
    <row r="7327" spans="1:3" x14ac:dyDescent="0.25">
      <c r="C7327" s="1"/>
    </row>
    <row r="7328" spans="1:3" x14ac:dyDescent="0.25">
      <c r="C7328" s="1"/>
    </row>
    <row r="7329" spans="3:3" x14ac:dyDescent="0.25">
      <c r="C7329" s="1"/>
    </row>
    <row r="7330" spans="3:3" x14ac:dyDescent="0.25">
      <c r="C7330" s="1"/>
    </row>
    <row r="7331" spans="3:3" x14ac:dyDescent="0.25">
      <c r="C7331" s="1"/>
    </row>
    <row r="7332" spans="3:3" x14ac:dyDescent="0.25">
      <c r="C7332" s="1"/>
    </row>
    <row r="7333" spans="3:3" x14ac:dyDescent="0.25">
      <c r="C7333" s="1"/>
    </row>
    <row r="7334" spans="3:3" x14ac:dyDescent="0.25">
      <c r="C7334" s="1"/>
    </row>
    <row r="7335" spans="3:3" x14ac:dyDescent="0.25">
      <c r="C7335" s="1"/>
    </row>
    <row r="7336" spans="3:3" x14ac:dyDescent="0.25">
      <c r="C7336" s="1"/>
    </row>
    <row r="7337" spans="3:3" x14ac:dyDescent="0.25">
      <c r="C7337" s="1"/>
    </row>
    <row r="7338" spans="3:3" x14ac:dyDescent="0.25">
      <c r="C7338" s="1"/>
    </row>
    <row r="7339" spans="3:3" x14ac:dyDescent="0.25">
      <c r="C7339" s="1"/>
    </row>
    <row r="7340" spans="3:3" x14ac:dyDescent="0.25">
      <c r="C7340" s="1"/>
    </row>
    <row r="7341" spans="3:3" x14ac:dyDescent="0.25">
      <c r="C7341" s="1"/>
    </row>
    <row r="7342" spans="3:3" x14ac:dyDescent="0.25">
      <c r="C7342" s="1"/>
    </row>
    <row r="7345" spans="1:3" x14ac:dyDescent="0.25">
      <c r="A7345" s="9"/>
      <c r="C7345" s="1"/>
    </row>
    <row r="7346" spans="1:3" x14ac:dyDescent="0.25">
      <c r="C7346" s="1"/>
    </row>
    <row r="7347" spans="1:3" x14ac:dyDescent="0.25">
      <c r="C7347" s="1"/>
    </row>
    <row r="7348" spans="1:3" x14ac:dyDescent="0.25">
      <c r="C7348" s="1"/>
    </row>
    <row r="7349" spans="1:3" x14ac:dyDescent="0.25">
      <c r="C7349" s="1"/>
    </row>
    <row r="7350" spans="1:3" x14ac:dyDescent="0.25">
      <c r="C7350" s="1"/>
    </row>
    <row r="7351" spans="1:3" x14ac:dyDescent="0.25">
      <c r="C7351" s="1"/>
    </row>
    <row r="7352" spans="1:3" x14ac:dyDescent="0.25">
      <c r="C7352" s="1"/>
    </row>
    <row r="7353" spans="1:3" x14ac:dyDescent="0.25">
      <c r="C7353" s="1"/>
    </row>
    <row r="7354" spans="1:3" x14ac:dyDescent="0.25">
      <c r="C7354" s="1"/>
    </row>
    <row r="7355" spans="1:3" x14ac:dyDescent="0.25">
      <c r="C7355" s="1"/>
    </row>
    <row r="7356" spans="1:3" x14ac:dyDescent="0.25">
      <c r="C7356" s="1"/>
    </row>
    <row r="7357" spans="1:3" x14ac:dyDescent="0.25">
      <c r="C7357" s="1"/>
    </row>
    <row r="7358" spans="1:3" x14ac:dyDescent="0.25">
      <c r="C7358" s="1"/>
    </row>
    <row r="7359" spans="1:3" x14ac:dyDescent="0.25">
      <c r="C7359" s="1"/>
    </row>
    <row r="7360" spans="1:3" x14ac:dyDescent="0.25">
      <c r="C7360" s="1"/>
    </row>
    <row r="7361" spans="1:3" x14ac:dyDescent="0.25">
      <c r="C7361" s="1"/>
    </row>
    <row r="7362" spans="1:3" x14ac:dyDescent="0.25">
      <c r="C7362" s="1"/>
    </row>
    <row r="7363" spans="1:3" x14ac:dyDescent="0.25">
      <c r="C7363" s="1"/>
    </row>
    <row r="7364" spans="1:3" x14ac:dyDescent="0.25">
      <c r="C7364" s="1"/>
    </row>
    <row r="7365" spans="1:3" x14ac:dyDescent="0.25">
      <c r="C7365" s="1"/>
    </row>
    <row r="7366" spans="1:3" x14ac:dyDescent="0.25">
      <c r="C7366" s="1"/>
    </row>
    <row r="7367" spans="1:3" x14ac:dyDescent="0.25">
      <c r="C7367" s="1"/>
    </row>
    <row r="7368" spans="1:3" x14ac:dyDescent="0.25">
      <c r="C7368" s="1"/>
    </row>
    <row r="7369" spans="1:3" x14ac:dyDescent="0.25">
      <c r="A7369" s="9"/>
      <c r="C7369" s="1"/>
    </row>
    <row r="7370" spans="1:3" x14ac:dyDescent="0.25">
      <c r="C7370" s="1"/>
    </row>
    <row r="7371" spans="1:3" x14ac:dyDescent="0.25">
      <c r="C7371" s="1"/>
    </row>
    <row r="7372" spans="1:3" x14ac:dyDescent="0.25">
      <c r="C7372" s="1"/>
    </row>
    <row r="7373" spans="1:3" x14ac:dyDescent="0.25">
      <c r="C7373" s="1"/>
    </row>
    <row r="7374" spans="1:3" x14ac:dyDescent="0.25">
      <c r="C7374" s="1"/>
    </row>
    <row r="7375" spans="1:3" x14ac:dyDescent="0.25">
      <c r="C7375" s="1"/>
    </row>
    <row r="7376" spans="1:3" x14ac:dyDescent="0.25">
      <c r="C7376" s="1"/>
    </row>
    <row r="7377" spans="3:3" x14ac:dyDescent="0.25">
      <c r="C7377" s="1"/>
    </row>
    <row r="7378" spans="3:3" x14ac:dyDescent="0.25">
      <c r="C7378" s="1"/>
    </row>
    <row r="7379" spans="3:3" x14ac:dyDescent="0.25">
      <c r="C7379" s="1"/>
    </row>
    <row r="7380" spans="3:3" x14ac:dyDescent="0.25">
      <c r="C7380" s="1"/>
    </row>
    <row r="7381" spans="3:3" x14ac:dyDescent="0.25">
      <c r="C7381" s="1"/>
    </row>
    <row r="7382" spans="3:3" x14ac:dyDescent="0.25">
      <c r="C7382" s="1"/>
    </row>
    <row r="7383" spans="3:3" x14ac:dyDescent="0.25">
      <c r="C7383" s="1"/>
    </row>
    <row r="7384" spans="3:3" x14ac:dyDescent="0.25">
      <c r="C7384" s="1"/>
    </row>
    <row r="7385" spans="3:3" x14ac:dyDescent="0.25">
      <c r="C7385" s="1"/>
    </row>
    <row r="7386" spans="3:3" x14ac:dyDescent="0.25">
      <c r="C7386" s="1"/>
    </row>
    <row r="7387" spans="3:3" x14ac:dyDescent="0.25">
      <c r="C7387" s="1"/>
    </row>
    <row r="7388" spans="3:3" x14ac:dyDescent="0.25">
      <c r="C7388" s="1"/>
    </row>
    <row r="7389" spans="3:3" x14ac:dyDescent="0.25">
      <c r="C7389" s="1"/>
    </row>
    <row r="7393" spans="1:3" x14ac:dyDescent="0.25">
      <c r="A7393" s="9"/>
      <c r="C7393" s="1"/>
    </row>
    <row r="7394" spans="1:3" x14ac:dyDescent="0.25">
      <c r="C7394" s="1"/>
    </row>
    <row r="7395" spans="1:3" x14ac:dyDescent="0.25">
      <c r="C7395" s="1"/>
    </row>
    <row r="7396" spans="1:3" x14ac:dyDescent="0.25">
      <c r="C7396" s="1"/>
    </row>
    <row r="7397" spans="1:3" x14ac:dyDescent="0.25">
      <c r="C7397" s="1"/>
    </row>
    <row r="7398" spans="1:3" x14ac:dyDescent="0.25">
      <c r="C7398" s="1"/>
    </row>
    <row r="7399" spans="1:3" x14ac:dyDescent="0.25">
      <c r="C7399" s="1"/>
    </row>
    <row r="7400" spans="1:3" x14ac:dyDescent="0.25">
      <c r="C7400" s="1"/>
    </row>
    <row r="7401" spans="1:3" x14ac:dyDescent="0.25">
      <c r="C7401" s="1"/>
    </row>
    <row r="7402" spans="1:3" x14ac:dyDescent="0.25">
      <c r="C7402" s="1"/>
    </row>
    <row r="7403" spans="1:3" x14ac:dyDescent="0.25">
      <c r="C7403" s="1"/>
    </row>
    <row r="7404" spans="1:3" x14ac:dyDescent="0.25">
      <c r="C7404" s="1"/>
    </row>
    <row r="7405" spans="1:3" x14ac:dyDescent="0.25">
      <c r="C7405" s="1"/>
    </row>
    <row r="7406" spans="1:3" x14ac:dyDescent="0.25">
      <c r="C7406" s="1"/>
    </row>
    <row r="7407" spans="1:3" x14ac:dyDescent="0.25">
      <c r="C7407" s="1"/>
    </row>
    <row r="7408" spans="1:3" x14ac:dyDescent="0.25">
      <c r="C7408" s="1"/>
    </row>
    <row r="7409" spans="1:3" x14ac:dyDescent="0.25">
      <c r="C7409" s="1"/>
    </row>
    <row r="7410" spans="1:3" x14ac:dyDescent="0.25">
      <c r="C7410" s="1"/>
    </row>
    <row r="7411" spans="1:3" x14ac:dyDescent="0.25">
      <c r="C7411" s="1"/>
    </row>
    <row r="7417" spans="1:3" x14ac:dyDescent="0.25">
      <c r="A7417" s="9"/>
      <c r="C7417" s="1"/>
    </row>
    <row r="7418" spans="1:3" x14ac:dyDescent="0.25">
      <c r="C7418" s="1"/>
    </row>
    <row r="7419" spans="1:3" x14ac:dyDescent="0.25">
      <c r="C7419" s="1"/>
    </row>
    <row r="7420" spans="1:3" x14ac:dyDescent="0.25">
      <c r="C7420" s="1"/>
    </row>
    <row r="7421" spans="1:3" x14ac:dyDescent="0.25">
      <c r="C7421" s="1"/>
    </row>
    <row r="7422" spans="1:3" x14ac:dyDescent="0.25">
      <c r="C7422" s="1"/>
    </row>
    <row r="7423" spans="1:3" x14ac:dyDescent="0.25">
      <c r="C7423" s="1"/>
    </row>
    <row r="7424" spans="1:3" x14ac:dyDescent="0.25">
      <c r="C7424" s="1"/>
    </row>
    <row r="7425" spans="3:3" x14ac:dyDescent="0.25">
      <c r="C7425" s="1"/>
    </row>
    <row r="7426" spans="3:3" x14ac:dyDescent="0.25">
      <c r="C7426" s="1"/>
    </row>
    <row r="7427" spans="3:3" x14ac:dyDescent="0.25">
      <c r="C7427" s="1"/>
    </row>
    <row r="7428" spans="3:3" x14ac:dyDescent="0.25">
      <c r="C7428" s="1"/>
    </row>
    <row r="7429" spans="3:3" x14ac:dyDescent="0.25">
      <c r="C7429" s="1"/>
    </row>
    <row r="7430" spans="3:3" x14ac:dyDescent="0.25">
      <c r="C7430" s="1"/>
    </row>
    <row r="7431" spans="3:3" x14ac:dyDescent="0.25">
      <c r="C7431" s="1"/>
    </row>
    <row r="7432" spans="3:3" x14ac:dyDescent="0.25">
      <c r="C7432" s="1"/>
    </row>
    <row r="7433" spans="3:3" x14ac:dyDescent="0.25">
      <c r="C7433" s="1"/>
    </row>
    <row r="7434" spans="3:3" x14ac:dyDescent="0.25">
      <c r="C7434" s="1"/>
    </row>
    <row r="7435" spans="3:3" x14ac:dyDescent="0.25">
      <c r="C7435" s="1"/>
    </row>
    <row r="7436" spans="3:3" x14ac:dyDescent="0.25">
      <c r="C7436" s="1"/>
    </row>
    <row r="7437" spans="3:3" x14ac:dyDescent="0.25">
      <c r="C7437" s="1"/>
    </row>
    <row r="7438" spans="3:3" x14ac:dyDescent="0.25">
      <c r="C7438" s="1"/>
    </row>
    <row r="7439" spans="3:3" x14ac:dyDescent="0.25">
      <c r="C7439" s="1"/>
    </row>
    <row r="7440" spans="3:3" x14ac:dyDescent="0.25">
      <c r="C7440" s="1"/>
    </row>
    <row r="7441" spans="1:3" x14ac:dyDescent="0.25">
      <c r="A7441" s="9"/>
      <c r="C7441" s="1"/>
    </row>
    <row r="7442" spans="1:3" x14ac:dyDescent="0.25">
      <c r="C7442" s="1"/>
    </row>
    <row r="7443" spans="1:3" x14ac:dyDescent="0.25">
      <c r="C7443" s="1"/>
    </row>
    <row r="7444" spans="1:3" x14ac:dyDescent="0.25">
      <c r="C7444" s="1"/>
    </row>
    <row r="7445" spans="1:3" x14ac:dyDescent="0.25">
      <c r="C7445" s="1"/>
    </row>
    <row r="7446" spans="1:3" x14ac:dyDescent="0.25">
      <c r="C7446" s="1"/>
    </row>
    <row r="7447" spans="1:3" x14ac:dyDescent="0.25">
      <c r="C7447" s="1"/>
    </row>
    <row r="7448" spans="1:3" x14ac:dyDescent="0.25">
      <c r="C7448" s="1"/>
    </row>
    <row r="7449" spans="1:3" x14ac:dyDescent="0.25">
      <c r="C7449" s="1"/>
    </row>
    <row r="7450" spans="1:3" x14ac:dyDescent="0.25">
      <c r="C7450" s="1"/>
    </row>
    <row r="7451" spans="1:3" x14ac:dyDescent="0.25">
      <c r="C7451" s="1"/>
    </row>
    <row r="7452" spans="1:3" x14ac:dyDescent="0.25">
      <c r="C7452" s="1"/>
    </row>
    <row r="7453" spans="1:3" x14ac:dyDescent="0.25">
      <c r="C7453" s="1"/>
    </row>
    <row r="7454" spans="1:3" x14ac:dyDescent="0.25">
      <c r="C7454" s="1"/>
    </row>
    <row r="7455" spans="1:3" x14ac:dyDescent="0.25">
      <c r="C7455" s="1"/>
    </row>
    <row r="7456" spans="1:3" x14ac:dyDescent="0.25">
      <c r="C7456" s="1"/>
    </row>
    <row r="7457" spans="1:3" x14ac:dyDescent="0.25">
      <c r="C7457" s="1"/>
    </row>
    <row r="7458" spans="1:3" x14ac:dyDescent="0.25">
      <c r="C7458" s="1"/>
    </row>
    <row r="7459" spans="1:3" x14ac:dyDescent="0.25">
      <c r="C7459" s="1"/>
    </row>
    <row r="7465" spans="1:3" x14ac:dyDescent="0.25">
      <c r="A7465" s="9"/>
      <c r="C7465" s="1"/>
    </row>
    <row r="7466" spans="1:3" x14ac:dyDescent="0.25">
      <c r="C7466" s="1"/>
    </row>
    <row r="7467" spans="1:3" x14ac:dyDescent="0.25">
      <c r="C7467" s="1"/>
    </row>
    <row r="7468" spans="1:3" x14ac:dyDescent="0.25">
      <c r="C7468" s="1"/>
    </row>
    <row r="7469" spans="1:3" x14ac:dyDescent="0.25">
      <c r="C7469" s="1"/>
    </row>
    <row r="7470" spans="1:3" x14ac:dyDescent="0.25">
      <c r="C7470" s="1"/>
    </row>
    <row r="7471" spans="1:3" x14ac:dyDescent="0.25">
      <c r="C7471" s="1"/>
    </row>
    <row r="7472" spans="1:3" x14ac:dyDescent="0.25">
      <c r="C7472" s="1"/>
    </row>
    <row r="7473" spans="3:3" x14ac:dyDescent="0.25">
      <c r="C7473" s="1"/>
    </row>
    <row r="7474" spans="3:3" x14ac:dyDescent="0.25">
      <c r="C7474" s="1"/>
    </row>
    <row r="7475" spans="3:3" x14ac:dyDescent="0.25">
      <c r="C7475" s="1"/>
    </row>
    <row r="7476" spans="3:3" x14ac:dyDescent="0.25">
      <c r="C7476" s="1"/>
    </row>
    <row r="7477" spans="3:3" x14ac:dyDescent="0.25">
      <c r="C7477" s="1"/>
    </row>
    <row r="7478" spans="3:3" x14ac:dyDescent="0.25">
      <c r="C7478" s="1"/>
    </row>
    <row r="7479" spans="3:3" x14ac:dyDescent="0.25">
      <c r="C7479" s="1"/>
    </row>
    <row r="7480" spans="3:3" x14ac:dyDescent="0.25">
      <c r="C7480" s="1"/>
    </row>
    <row r="7481" spans="3:3" x14ac:dyDescent="0.25">
      <c r="C7481" s="1"/>
    </row>
    <row r="7489" spans="1:3" x14ac:dyDescent="0.25">
      <c r="A7489" s="9"/>
      <c r="C7489" s="1"/>
    </row>
    <row r="7490" spans="1:3" x14ac:dyDescent="0.25">
      <c r="C7490" s="1"/>
    </row>
    <row r="7491" spans="1:3" x14ac:dyDescent="0.25">
      <c r="C7491" s="1"/>
    </row>
    <row r="7492" spans="1:3" x14ac:dyDescent="0.25">
      <c r="C7492" s="1"/>
    </row>
    <row r="7493" spans="1:3" x14ac:dyDescent="0.25">
      <c r="C7493" s="1"/>
    </row>
    <row r="7494" spans="1:3" x14ac:dyDescent="0.25">
      <c r="C7494" s="1"/>
    </row>
    <row r="7495" spans="1:3" x14ac:dyDescent="0.25">
      <c r="C7495" s="1"/>
    </row>
    <row r="7496" spans="1:3" x14ac:dyDescent="0.25">
      <c r="C7496" s="1"/>
    </row>
    <row r="7497" spans="1:3" x14ac:dyDescent="0.25">
      <c r="C7497" s="1"/>
    </row>
    <row r="7498" spans="1:3" x14ac:dyDescent="0.25">
      <c r="C7498" s="1"/>
    </row>
    <row r="7499" spans="1:3" x14ac:dyDescent="0.25">
      <c r="C7499" s="1"/>
    </row>
    <row r="7500" spans="1:3" x14ac:dyDescent="0.25">
      <c r="C7500" s="1"/>
    </row>
    <row r="7501" spans="1:3" x14ac:dyDescent="0.25">
      <c r="C7501" s="1"/>
    </row>
    <row r="7502" spans="1:3" x14ac:dyDescent="0.25">
      <c r="C7502" s="1"/>
    </row>
    <row r="7503" spans="1:3" x14ac:dyDescent="0.25">
      <c r="C7503" s="1"/>
    </row>
    <row r="7504" spans="1:3" x14ac:dyDescent="0.25">
      <c r="C7504" s="1"/>
    </row>
    <row r="7505" spans="1:3" x14ac:dyDescent="0.25">
      <c r="C7505" s="1"/>
    </row>
    <row r="7506" spans="1:3" x14ac:dyDescent="0.25">
      <c r="C7506" s="1"/>
    </row>
    <row r="7507" spans="1:3" x14ac:dyDescent="0.25">
      <c r="C7507" s="1"/>
    </row>
    <row r="7508" spans="1:3" x14ac:dyDescent="0.25">
      <c r="C7508" s="1"/>
    </row>
    <row r="7509" spans="1:3" x14ac:dyDescent="0.25">
      <c r="C7509" s="1"/>
    </row>
    <row r="7510" spans="1:3" x14ac:dyDescent="0.25">
      <c r="C7510" s="1"/>
    </row>
    <row r="7511" spans="1:3" x14ac:dyDescent="0.25">
      <c r="C7511" s="1"/>
    </row>
    <row r="7513" spans="1:3" x14ac:dyDescent="0.25">
      <c r="A7513" s="9"/>
      <c r="C7513" s="1"/>
    </row>
    <row r="7514" spans="1:3" x14ac:dyDescent="0.25">
      <c r="C7514" s="1"/>
    </row>
    <row r="7515" spans="1:3" x14ac:dyDescent="0.25">
      <c r="C7515" s="1"/>
    </row>
    <row r="7516" spans="1:3" x14ac:dyDescent="0.25">
      <c r="C7516" s="1"/>
    </row>
    <row r="7517" spans="1:3" x14ac:dyDescent="0.25">
      <c r="C7517" s="1"/>
    </row>
    <row r="7518" spans="1:3" x14ac:dyDescent="0.25">
      <c r="C7518" s="1"/>
    </row>
    <row r="7519" spans="1:3" x14ac:dyDescent="0.25">
      <c r="C7519" s="1"/>
    </row>
    <row r="7520" spans="1:3" x14ac:dyDescent="0.25">
      <c r="C7520" s="1"/>
    </row>
    <row r="7521" spans="3:3" x14ac:dyDescent="0.25">
      <c r="C7521" s="1"/>
    </row>
    <row r="7522" spans="3:3" x14ac:dyDescent="0.25">
      <c r="C7522" s="1"/>
    </row>
    <row r="7523" spans="3:3" x14ac:dyDescent="0.25">
      <c r="C7523" s="1"/>
    </row>
    <row r="7524" spans="3:3" x14ac:dyDescent="0.25">
      <c r="C7524" s="1"/>
    </row>
    <row r="7525" spans="3:3" x14ac:dyDescent="0.25">
      <c r="C7525" s="1"/>
    </row>
    <row r="7526" spans="3:3" x14ac:dyDescent="0.25">
      <c r="C7526" s="1"/>
    </row>
    <row r="7527" spans="3:3" x14ac:dyDescent="0.25">
      <c r="C7527" s="1"/>
    </row>
    <row r="7528" spans="3:3" x14ac:dyDescent="0.25">
      <c r="C7528" s="1"/>
    </row>
    <row r="7529" spans="3:3" x14ac:dyDescent="0.25">
      <c r="C7529" s="1"/>
    </row>
    <row r="7530" spans="3:3" x14ac:dyDescent="0.25">
      <c r="C7530" s="1"/>
    </row>
    <row r="7531" spans="3:3" x14ac:dyDescent="0.25">
      <c r="C7531" s="1"/>
    </row>
    <row r="7532" spans="3:3" x14ac:dyDescent="0.25">
      <c r="C7532" s="1"/>
    </row>
    <row r="7533" spans="3:3" x14ac:dyDescent="0.25">
      <c r="C7533" s="1"/>
    </row>
    <row r="7534" spans="3:3" x14ac:dyDescent="0.25">
      <c r="C7534" s="1"/>
    </row>
    <row r="7535" spans="3:3" x14ac:dyDescent="0.25">
      <c r="C7535" s="1"/>
    </row>
    <row r="7537" spans="1:3" x14ac:dyDescent="0.25">
      <c r="A7537" s="9"/>
      <c r="C7537" s="1"/>
    </row>
    <row r="7538" spans="1:3" x14ac:dyDescent="0.25">
      <c r="C7538" s="1"/>
    </row>
    <row r="7539" spans="1:3" x14ac:dyDescent="0.25">
      <c r="C7539" s="1"/>
    </row>
    <row r="7540" spans="1:3" x14ac:dyDescent="0.25">
      <c r="C7540" s="1"/>
    </row>
    <row r="7541" spans="1:3" x14ac:dyDescent="0.25">
      <c r="C7541" s="1"/>
    </row>
    <row r="7542" spans="1:3" x14ac:dyDescent="0.25">
      <c r="C7542" s="1"/>
    </row>
    <row r="7543" spans="1:3" x14ac:dyDescent="0.25">
      <c r="C7543" s="1"/>
    </row>
    <row r="7544" spans="1:3" x14ac:dyDescent="0.25">
      <c r="C7544" s="1"/>
    </row>
    <row r="7545" spans="1:3" x14ac:dyDescent="0.25">
      <c r="C7545" s="1"/>
    </row>
    <row r="7546" spans="1:3" x14ac:dyDescent="0.25">
      <c r="C7546" s="1"/>
    </row>
    <row r="7547" spans="1:3" x14ac:dyDescent="0.25">
      <c r="C7547" s="1"/>
    </row>
    <row r="7548" spans="1:3" x14ac:dyDescent="0.25">
      <c r="C7548" s="1"/>
    </row>
    <row r="7549" spans="1:3" x14ac:dyDescent="0.25">
      <c r="C7549" s="1"/>
    </row>
    <row r="7550" spans="1:3" x14ac:dyDescent="0.25">
      <c r="C7550" s="1"/>
    </row>
    <row r="7551" spans="1:3" x14ac:dyDescent="0.25">
      <c r="C7551" s="1"/>
    </row>
    <row r="7552" spans="1:3" x14ac:dyDescent="0.25">
      <c r="C7552" s="1"/>
    </row>
    <row r="7553" spans="1:3" x14ac:dyDescent="0.25">
      <c r="C7553" s="1"/>
    </row>
    <row r="7554" spans="1:3" x14ac:dyDescent="0.25">
      <c r="C7554" s="1"/>
    </row>
    <row r="7555" spans="1:3" x14ac:dyDescent="0.25">
      <c r="C7555" s="1"/>
    </row>
    <row r="7556" spans="1:3" x14ac:dyDescent="0.25">
      <c r="C7556" s="1"/>
    </row>
    <row r="7557" spans="1:3" x14ac:dyDescent="0.25">
      <c r="C7557" s="1"/>
    </row>
    <row r="7561" spans="1:3" x14ac:dyDescent="0.25">
      <c r="A7561" s="9"/>
      <c r="C7561" s="1"/>
    </row>
    <row r="7562" spans="1:3" x14ac:dyDescent="0.25">
      <c r="C7562" s="1"/>
    </row>
    <row r="7563" spans="1:3" x14ac:dyDescent="0.25">
      <c r="C7563" s="1"/>
    </row>
    <row r="7564" spans="1:3" x14ac:dyDescent="0.25">
      <c r="C7564" s="1"/>
    </row>
    <row r="7565" spans="1:3" x14ac:dyDescent="0.25">
      <c r="C7565" s="1"/>
    </row>
    <row r="7566" spans="1:3" x14ac:dyDescent="0.25">
      <c r="C7566" s="1"/>
    </row>
    <row r="7567" spans="1:3" x14ac:dyDescent="0.25">
      <c r="C7567" s="1"/>
    </row>
    <row r="7568" spans="1:3" x14ac:dyDescent="0.25">
      <c r="C7568" s="1"/>
    </row>
    <row r="7569" spans="3:3" x14ac:dyDescent="0.25">
      <c r="C7569" s="1"/>
    </row>
    <row r="7570" spans="3:3" x14ac:dyDescent="0.25">
      <c r="C7570" s="1"/>
    </row>
    <row r="7571" spans="3:3" x14ac:dyDescent="0.25">
      <c r="C7571" s="1"/>
    </row>
    <row r="7572" spans="3:3" x14ac:dyDescent="0.25">
      <c r="C7572" s="1"/>
    </row>
    <row r="7573" spans="3:3" x14ac:dyDescent="0.25">
      <c r="C7573" s="1"/>
    </row>
    <row r="7574" spans="3:3" x14ac:dyDescent="0.25">
      <c r="C7574" s="1"/>
    </row>
    <row r="7575" spans="3:3" x14ac:dyDescent="0.25">
      <c r="C7575" s="1"/>
    </row>
    <row r="7576" spans="3:3" x14ac:dyDescent="0.25">
      <c r="C7576" s="1"/>
    </row>
    <row r="7577" spans="3:3" x14ac:dyDescent="0.25">
      <c r="C7577" s="1"/>
    </row>
    <row r="7578" spans="3:3" x14ac:dyDescent="0.25">
      <c r="C7578" s="1"/>
    </row>
    <row r="7579" spans="3:3" x14ac:dyDescent="0.25">
      <c r="C7579" s="1"/>
    </row>
    <row r="7580" spans="3:3" x14ac:dyDescent="0.25">
      <c r="C7580" s="1"/>
    </row>
    <row r="7585" spans="1:3" x14ac:dyDescent="0.25">
      <c r="A7585" s="9"/>
      <c r="C7585" s="1"/>
    </row>
    <row r="7586" spans="1:3" x14ac:dyDescent="0.25">
      <c r="C7586" s="1"/>
    </row>
    <row r="7587" spans="1:3" x14ac:dyDescent="0.25">
      <c r="C7587" s="1"/>
    </row>
    <row r="7588" spans="1:3" x14ac:dyDescent="0.25">
      <c r="C7588" s="1"/>
    </row>
    <row r="7589" spans="1:3" x14ac:dyDescent="0.25">
      <c r="C7589" s="1"/>
    </row>
    <row r="7590" spans="1:3" x14ac:dyDescent="0.25">
      <c r="C7590" s="1"/>
    </row>
    <row r="7591" spans="1:3" x14ac:dyDescent="0.25">
      <c r="C7591" s="1"/>
    </row>
    <row r="7592" spans="1:3" x14ac:dyDescent="0.25">
      <c r="C7592" s="1"/>
    </row>
    <row r="7593" spans="1:3" x14ac:dyDescent="0.25">
      <c r="C7593" s="1"/>
    </row>
    <row r="7594" spans="1:3" x14ac:dyDescent="0.25">
      <c r="C7594" s="1"/>
    </row>
    <row r="7595" spans="1:3" x14ac:dyDescent="0.25">
      <c r="C7595" s="1"/>
    </row>
    <row r="7596" spans="1:3" x14ac:dyDescent="0.25">
      <c r="C7596" s="1"/>
    </row>
    <row r="7597" spans="1:3" x14ac:dyDescent="0.25">
      <c r="C7597" s="1"/>
    </row>
    <row r="7598" spans="1:3" x14ac:dyDescent="0.25">
      <c r="C7598" s="1"/>
    </row>
    <row r="7599" spans="1:3" x14ac:dyDescent="0.25">
      <c r="C7599" s="1"/>
    </row>
    <row r="7600" spans="1:3" x14ac:dyDescent="0.25">
      <c r="C7600" s="1"/>
    </row>
    <row r="7601" spans="1:3" x14ac:dyDescent="0.25">
      <c r="C7601" s="1"/>
    </row>
    <row r="7602" spans="1:3" x14ac:dyDescent="0.25">
      <c r="C7602" s="1"/>
    </row>
    <row r="7603" spans="1:3" x14ac:dyDescent="0.25">
      <c r="C7603" s="1"/>
    </row>
    <row r="7604" spans="1:3" x14ac:dyDescent="0.25">
      <c r="C7604" s="1"/>
    </row>
    <row r="7605" spans="1:3" x14ac:dyDescent="0.25">
      <c r="C7605" s="1"/>
    </row>
    <row r="7606" spans="1:3" x14ac:dyDescent="0.25">
      <c r="C7606" s="1"/>
    </row>
    <row r="7607" spans="1:3" x14ac:dyDescent="0.25">
      <c r="C7607" s="1"/>
    </row>
    <row r="7608" spans="1:3" x14ac:dyDescent="0.25">
      <c r="C7608" s="1"/>
    </row>
    <row r="7609" spans="1:3" x14ac:dyDescent="0.25">
      <c r="A7609" s="9"/>
      <c r="C7609" s="1"/>
    </row>
    <row r="7610" spans="1:3" x14ac:dyDescent="0.25">
      <c r="C7610" s="1"/>
    </row>
    <row r="7611" spans="1:3" x14ac:dyDescent="0.25">
      <c r="C7611" s="1"/>
    </row>
    <row r="7612" spans="1:3" x14ac:dyDescent="0.25">
      <c r="C7612" s="1"/>
    </row>
    <row r="7613" spans="1:3" x14ac:dyDescent="0.25">
      <c r="C7613" s="1"/>
    </row>
    <row r="7614" spans="1:3" x14ac:dyDescent="0.25">
      <c r="C7614" s="1"/>
    </row>
    <row r="7615" spans="1:3" x14ac:dyDescent="0.25">
      <c r="C7615" s="1"/>
    </row>
    <row r="7616" spans="1:3" x14ac:dyDescent="0.25">
      <c r="C7616" s="1"/>
    </row>
    <row r="7617" spans="3:3" x14ac:dyDescent="0.25">
      <c r="C7617" s="1"/>
    </row>
    <row r="7618" spans="3:3" x14ac:dyDescent="0.25">
      <c r="C7618" s="1"/>
    </row>
    <row r="7619" spans="3:3" x14ac:dyDescent="0.25">
      <c r="C7619" s="1"/>
    </row>
    <row r="7620" spans="3:3" x14ac:dyDescent="0.25">
      <c r="C7620" s="1"/>
    </row>
    <row r="7621" spans="3:3" x14ac:dyDescent="0.25">
      <c r="C7621" s="1"/>
    </row>
    <row r="7622" spans="3:3" x14ac:dyDescent="0.25">
      <c r="C7622" s="1"/>
    </row>
    <row r="7623" spans="3:3" x14ac:dyDescent="0.25">
      <c r="C7623" s="1"/>
    </row>
    <row r="7624" spans="3:3" x14ac:dyDescent="0.25">
      <c r="C7624" s="1"/>
    </row>
    <row r="7625" spans="3:3" x14ac:dyDescent="0.25">
      <c r="C7625" s="1"/>
    </row>
    <row r="7626" spans="3:3" x14ac:dyDescent="0.25">
      <c r="C7626" s="1"/>
    </row>
    <row r="7627" spans="3:3" x14ac:dyDescent="0.25">
      <c r="C7627" s="1"/>
    </row>
    <row r="7628" spans="3:3" x14ac:dyDescent="0.25">
      <c r="C7628" s="1"/>
    </row>
    <row r="7629" spans="3:3" x14ac:dyDescent="0.25">
      <c r="C7629" s="1"/>
    </row>
    <row r="7633" spans="1:3" x14ac:dyDescent="0.25">
      <c r="A7633" s="9"/>
      <c r="C7633" s="1"/>
    </row>
    <row r="7634" spans="1:3" x14ac:dyDescent="0.25">
      <c r="C7634" s="1"/>
    </row>
    <row r="7635" spans="1:3" x14ac:dyDescent="0.25">
      <c r="C7635" s="1"/>
    </row>
    <row r="7636" spans="1:3" x14ac:dyDescent="0.25">
      <c r="C7636" s="1"/>
    </row>
    <row r="7637" spans="1:3" x14ac:dyDescent="0.25">
      <c r="C7637" s="1"/>
    </row>
    <row r="7638" spans="1:3" x14ac:dyDescent="0.25">
      <c r="C7638" s="1"/>
    </row>
    <row r="7639" spans="1:3" x14ac:dyDescent="0.25">
      <c r="C7639" s="1"/>
    </row>
    <row r="7640" spans="1:3" x14ac:dyDescent="0.25">
      <c r="C7640" s="1"/>
    </row>
    <row r="7641" spans="1:3" x14ac:dyDescent="0.25">
      <c r="C7641" s="1"/>
    </row>
    <row r="7642" spans="1:3" x14ac:dyDescent="0.25">
      <c r="C7642" s="1"/>
    </row>
    <row r="7643" spans="1:3" x14ac:dyDescent="0.25">
      <c r="C7643" s="1"/>
    </row>
    <row r="7644" spans="1:3" x14ac:dyDescent="0.25">
      <c r="C7644" s="1"/>
    </row>
    <row r="7645" spans="1:3" x14ac:dyDescent="0.25">
      <c r="C7645" s="1"/>
    </row>
    <row r="7646" spans="1:3" x14ac:dyDescent="0.25">
      <c r="C7646" s="1"/>
    </row>
    <row r="7647" spans="1:3" x14ac:dyDescent="0.25">
      <c r="C7647" s="1"/>
    </row>
    <row r="7648" spans="1:3" x14ac:dyDescent="0.25">
      <c r="C7648" s="1"/>
    </row>
    <row r="7649" spans="1:3" x14ac:dyDescent="0.25">
      <c r="C7649" s="1"/>
    </row>
    <row r="7650" spans="1:3" x14ac:dyDescent="0.25">
      <c r="C7650" s="1"/>
    </row>
    <row r="7651" spans="1:3" x14ac:dyDescent="0.25">
      <c r="C7651" s="1"/>
    </row>
    <row r="7652" spans="1:3" x14ac:dyDescent="0.25">
      <c r="C7652" s="1"/>
    </row>
    <row r="7653" spans="1:3" x14ac:dyDescent="0.25">
      <c r="C7653" s="1"/>
    </row>
    <row r="7654" spans="1:3" x14ac:dyDescent="0.25">
      <c r="C7654" s="1"/>
    </row>
    <row r="7657" spans="1:3" x14ac:dyDescent="0.25">
      <c r="A7657" s="9"/>
      <c r="C7657" s="1"/>
    </row>
    <row r="7658" spans="1:3" x14ac:dyDescent="0.25">
      <c r="C7658" s="1"/>
    </row>
    <row r="7659" spans="1:3" x14ac:dyDescent="0.25">
      <c r="C7659" s="1"/>
    </row>
    <row r="7660" spans="1:3" x14ac:dyDescent="0.25">
      <c r="C7660" s="1"/>
    </row>
    <row r="7661" spans="1:3" x14ac:dyDescent="0.25">
      <c r="C7661" s="1"/>
    </row>
    <row r="7662" spans="1:3" x14ac:dyDescent="0.25">
      <c r="C7662" s="1"/>
    </row>
    <row r="7663" spans="1:3" x14ac:dyDescent="0.25">
      <c r="C7663" s="1"/>
    </row>
    <row r="7664" spans="1:3" x14ac:dyDescent="0.25">
      <c r="C7664" s="1"/>
    </row>
    <row r="7665" spans="3:3" x14ac:dyDescent="0.25">
      <c r="C7665" s="1"/>
    </row>
    <row r="7666" spans="3:3" x14ac:dyDescent="0.25">
      <c r="C7666" s="1"/>
    </row>
    <row r="7667" spans="3:3" x14ac:dyDescent="0.25">
      <c r="C7667" s="1"/>
    </row>
    <row r="7668" spans="3:3" x14ac:dyDescent="0.25">
      <c r="C7668" s="1"/>
    </row>
    <row r="7669" spans="3:3" x14ac:dyDescent="0.25">
      <c r="C7669" s="1"/>
    </row>
    <row r="7670" spans="3:3" x14ac:dyDescent="0.25">
      <c r="C7670" s="1"/>
    </row>
    <row r="7671" spans="3:3" x14ac:dyDescent="0.25">
      <c r="C7671" s="1"/>
    </row>
    <row r="7672" spans="3:3" x14ac:dyDescent="0.25">
      <c r="C7672" s="1"/>
    </row>
    <row r="7673" spans="3:3" x14ac:dyDescent="0.25">
      <c r="C7673" s="1"/>
    </row>
    <row r="7674" spans="3:3" x14ac:dyDescent="0.25">
      <c r="C7674" s="1"/>
    </row>
    <row r="7675" spans="3:3" x14ac:dyDescent="0.25">
      <c r="C7675" s="1"/>
    </row>
    <row r="7676" spans="3:3" x14ac:dyDescent="0.25">
      <c r="C7676" s="1"/>
    </row>
    <row r="7677" spans="3:3" x14ac:dyDescent="0.25">
      <c r="C7677" s="1"/>
    </row>
    <row r="7678" spans="3:3" x14ac:dyDescent="0.25">
      <c r="C7678" s="1"/>
    </row>
    <row r="7681" spans="1:3" x14ac:dyDescent="0.25">
      <c r="A7681" s="9"/>
      <c r="C7681" s="1"/>
    </row>
    <row r="7682" spans="1:3" x14ac:dyDescent="0.25">
      <c r="C7682" s="1"/>
    </row>
    <row r="7683" spans="1:3" x14ac:dyDescent="0.25">
      <c r="C7683" s="1"/>
    </row>
    <row r="7684" spans="1:3" x14ac:dyDescent="0.25">
      <c r="C7684" s="1"/>
    </row>
    <row r="7685" spans="1:3" x14ac:dyDescent="0.25">
      <c r="C7685" s="1"/>
    </row>
    <row r="7686" spans="1:3" x14ac:dyDescent="0.25">
      <c r="C7686" s="1"/>
    </row>
    <row r="7687" spans="1:3" x14ac:dyDescent="0.25">
      <c r="C7687" s="1"/>
    </row>
    <row r="7688" spans="1:3" x14ac:dyDescent="0.25">
      <c r="C7688" s="1"/>
    </row>
    <row r="7689" spans="1:3" x14ac:dyDescent="0.25">
      <c r="C7689" s="1"/>
    </row>
    <row r="7690" spans="1:3" x14ac:dyDescent="0.25">
      <c r="C7690" s="1"/>
    </row>
    <row r="7691" spans="1:3" x14ac:dyDescent="0.25">
      <c r="C7691" s="1"/>
    </row>
    <row r="7692" spans="1:3" x14ac:dyDescent="0.25">
      <c r="C7692" s="1"/>
    </row>
    <row r="7693" spans="1:3" x14ac:dyDescent="0.25">
      <c r="C7693" s="1"/>
    </row>
    <row r="7694" spans="1:3" x14ac:dyDescent="0.25">
      <c r="C7694" s="1"/>
    </row>
    <row r="7695" spans="1:3" x14ac:dyDescent="0.25">
      <c r="C7695" s="1"/>
    </row>
    <row r="7696" spans="1:3" x14ac:dyDescent="0.25">
      <c r="C7696" s="1"/>
    </row>
    <row r="7697" spans="1:3" x14ac:dyDescent="0.25">
      <c r="C7697" s="1"/>
    </row>
    <row r="7698" spans="1:3" x14ac:dyDescent="0.25">
      <c r="C7698" s="1"/>
    </row>
    <row r="7699" spans="1:3" x14ac:dyDescent="0.25">
      <c r="C7699" s="1"/>
    </row>
    <row r="7700" spans="1:3" x14ac:dyDescent="0.25">
      <c r="C7700" s="1"/>
    </row>
    <row r="7705" spans="1:3" x14ac:dyDescent="0.25">
      <c r="A7705" s="9"/>
      <c r="C7705" s="1"/>
    </row>
    <row r="7706" spans="1:3" x14ac:dyDescent="0.25">
      <c r="C7706" s="1"/>
    </row>
    <row r="7707" spans="1:3" x14ac:dyDescent="0.25">
      <c r="C7707" s="1"/>
    </row>
    <row r="7708" spans="1:3" x14ac:dyDescent="0.25">
      <c r="C7708" s="1"/>
    </row>
    <row r="7709" spans="1:3" x14ac:dyDescent="0.25">
      <c r="C7709" s="1"/>
    </row>
    <row r="7710" spans="1:3" x14ac:dyDescent="0.25">
      <c r="C7710" s="1"/>
    </row>
    <row r="7711" spans="1:3" x14ac:dyDescent="0.25">
      <c r="C7711" s="1"/>
    </row>
    <row r="7712" spans="1:3" x14ac:dyDescent="0.25">
      <c r="C7712" s="1"/>
    </row>
    <row r="7713" spans="3:3" x14ac:dyDescent="0.25">
      <c r="C7713" s="1"/>
    </row>
    <row r="7714" spans="3:3" x14ac:dyDescent="0.25">
      <c r="C7714" s="1"/>
    </row>
    <row r="7715" spans="3:3" x14ac:dyDescent="0.25">
      <c r="C7715" s="1"/>
    </row>
    <row r="7716" spans="3:3" x14ac:dyDescent="0.25">
      <c r="C7716" s="1"/>
    </row>
    <row r="7717" spans="3:3" x14ac:dyDescent="0.25">
      <c r="C7717" s="1"/>
    </row>
    <row r="7718" spans="3:3" x14ac:dyDescent="0.25">
      <c r="C7718" s="1"/>
    </row>
    <row r="7719" spans="3:3" x14ac:dyDescent="0.25">
      <c r="C7719" s="1"/>
    </row>
    <row r="7720" spans="3:3" x14ac:dyDescent="0.25">
      <c r="C7720" s="1"/>
    </row>
    <row r="7721" spans="3:3" x14ac:dyDescent="0.25">
      <c r="C7721" s="1"/>
    </row>
    <row r="7722" spans="3:3" x14ac:dyDescent="0.25">
      <c r="C7722" s="1"/>
    </row>
    <row r="7723" spans="3:3" x14ac:dyDescent="0.25">
      <c r="C7723" s="1"/>
    </row>
    <row r="7724" spans="3:3" x14ac:dyDescent="0.25">
      <c r="C7724" s="1"/>
    </row>
    <row r="7725" spans="3:3" x14ac:dyDescent="0.25">
      <c r="C7725" s="1"/>
    </row>
    <row r="7726" spans="3:3" x14ac:dyDescent="0.25">
      <c r="C7726" s="1"/>
    </row>
    <row r="7727" spans="3:3" x14ac:dyDescent="0.25">
      <c r="C7727" s="1"/>
    </row>
    <row r="7728" spans="3:3" x14ac:dyDescent="0.25">
      <c r="C7728" s="1"/>
    </row>
    <row r="7729" spans="1:3" x14ac:dyDescent="0.25">
      <c r="A7729" s="9"/>
      <c r="C7729" s="1"/>
    </row>
    <row r="7730" spans="1:3" x14ac:dyDescent="0.25">
      <c r="C7730" s="1"/>
    </row>
    <row r="7731" spans="1:3" x14ac:dyDescent="0.25">
      <c r="C7731" s="1"/>
    </row>
    <row r="7732" spans="1:3" x14ac:dyDescent="0.25">
      <c r="C7732" s="1"/>
    </row>
    <row r="7733" spans="1:3" x14ac:dyDescent="0.25">
      <c r="C7733" s="1"/>
    </row>
    <row r="7734" spans="1:3" x14ac:dyDescent="0.25">
      <c r="C7734" s="1"/>
    </row>
    <row r="7735" spans="1:3" x14ac:dyDescent="0.25">
      <c r="C7735" s="1"/>
    </row>
    <row r="7736" spans="1:3" x14ac:dyDescent="0.25">
      <c r="C7736" s="1"/>
    </row>
    <row r="7737" spans="1:3" x14ac:dyDescent="0.25">
      <c r="C7737" s="1"/>
    </row>
    <row r="7738" spans="1:3" x14ac:dyDescent="0.25">
      <c r="C7738" s="1"/>
    </row>
    <row r="7739" spans="1:3" x14ac:dyDescent="0.25">
      <c r="C7739" s="1"/>
    </row>
    <row r="7740" spans="1:3" x14ac:dyDescent="0.25">
      <c r="C7740" s="1"/>
    </row>
    <row r="7741" spans="1:3" x14ac:dyDescent="0.25">
      <c r="C7741" s="1"/>
    </row>
    <row r="7742" spans="1:3" x14ac:dyDescent="0.25">
      <c r="C7742" s="1"/>
    </row>
    <row r="7753" spans="1:3" x14ac:dyDescent="0.25">
      <c r="A7753" s="9"/>
      <c r="C7753" s="1"/>
    </row>
    <row r="7754" spans="1:3" x14ac:dyDescent="0.25">
      <c r="C7754" s="1"/>
    </row>
    <row r="7755" spans="1:3" x14ac:dyDescent="0.25">
      <c r="C7755" s="1"/>
    </row>
    <row r="7756" spans="1:3" x14ac:dyDescent="0.25">
      <c r="C7756" s="1"/>
    </row>
    <row r="7757" spans="1:3" x14ac:dyDescent="0.25">
      <c r="C7757" s="1"/>
    </row>
    <row r="7758" spans="1:3" x14ac:dyDescent="0.25">
      <c r="C7758" s="1"/>
    </row>
    <row r="7759" spans="1:3" x14ac:dyDescent="0.25">
      <c r="C7759" s="1"/>
    </row>
    <row r="7760" spans="1:3" x14ac:dyDescent="0.25">
      <c r="C7760" s="1"/>
    </row>
    <row r="7761" spans="3:3" x14ac:dyDescent="0.25">
      <c r="C7761" s="1"/>
    </row>
    <row r="7762" spans="3:3" x14ac:dyDescent="0.25">
      <c r="C7762" s="1"/>
    </row>
    <row r="7763" spans="3:3" x14ac:dyDescent="0.25">
      <c r="C7763" s="1"/>
    </row>
    <row r="7764" spans="3:3" x14ac:dyDescent="0.25">
      <c r="C7764" s="1"/>
    </row>
    <row r="7765" spans="3:3" x14ac:dyDescent="0.25">
      <c r="C7765" s="1"/>
    </row>
    <row r="7766" spans="3:3" x14ac:dyDescent="0.25">
      <c r="C7766" s="1"/>
    </row>
    <row r="7767" spans="3:3" x14ac:dyDescent="0.25">
      <c r="C7767" s="1"/>
    </row>
    <row r="7768" spans="3:3" x14ac:dyDescent="0.25">
      <c r="C7768" s="1"/>
    </row>
    <row r="7769" spans="3:3" x14ac:dyDescent="0.25">
      <c r="C7769" s="1"/>
    </row>
    <row r="7770" spans="3:3" x14ac:dyDescent="0.25">
      <c r="C7770" s="1"/>
    </row>
    <row r="7771" spans="3:3" x14ac:dyDescent="0.25">
      <c r="C7771" s="1"/>
    </row>
    <row r="7772" spans="3:3" x14ac:dyDescent="0.25">
      <c r="C7772" s="1"/>
    </row>
    <row r="7773" spans="3:3" x14ac:dyDescent="0.25">
      <c r="C7773" s="1"/>
    </row>
    <row r="7774" spans="3:3" x14ac:dyDescent="0.25">
      <c r="C7774" s="1"/>
    </row>
    <row r="7777" spans="1:3" x14ac:dyDescent="0.25">
      <c r="A7777" s="9"/>
      <c r="C7777" s="1"/>
    </row>
    <row r="7778" spans="1:3" x14ac:dyDescent="0.25">
      <c r="C7778" s="1"/>
    </row>
    <row r="7779" spans="1:3" x14ac:dyDescent="0.25">
      <c r="C7779" s="1"/>
    </row>
    <row r="7780" spans="1:3" x14ac:dyDescent="0.25">
      <c r="C7780" s="1"/>
    </row>
    <row r="7781" spans="1:3" x14ac:dyDescent="0.25">
      <c r="C7781" s="1"/>
    </row>
    <row r="7782" spans="1:3" x14ac:dyDescent="0.25">
      <c r="C7782" s="1"/>
    </row>
    <row r="7783" spans="1:3" x14ac:dyDescent="0.25">
      <c r="C7783" s="1"/>
    </row>
    <row r="7784" spans="1:3" x14ac:dyDescent="0.25">
      <c r="C7784" s="1"/>
    </row>
    <row r="7785" spans="1:3" x14ac:dyDescent="0.25">
      <c r="C7785" s="1"/>
    </row>
    <row r="7786" spans="1:3" x14ac:dyDescent="0.25">
      <c r="C7786" s="1"/>
    </row>
    <row r="7787" spans="1:3" x14ac:dyDescent="0.25">
      <c r="C7787" s="1"/>
    </row>
    <row r="7788" spans="1:3" x14ac:dyDescent="0.25">
      <c r="C7788" s="1"/>
    </row>
    <row r="7789" spans="1:3" x14ac:dyDescent="0.25">
      <c r="C7789" s="1"/>
    </row>
    <row r="7790" spans="1:3" x14ac:dyDescent="0.25">
      <c r="C7790" s="1"/>
    </row>
    <row r="7791" spans="1:3" x14ac:dyDescent="0.25">
      <c r="C7791" s="1"/>
    </row>
    <row r="7792" spans="1:3" x14ac:dyDescent="0.25">
      <c r="C7792" s="1"/>
    </row>
    <row r="7793" spans="1:3" x14ac:dyDescent="0.25">
      <c r="C7793" s="1"/>
    </row>
    <row r="7794" spans="1:3" x14ac:dyDescent="0.25">
      <c r="C7794" s="1"/>
    </row>
    <row r="7795" spans="1:3" x14ac:dyDescent="0.25">
      <c r="C7795" s="1"/>
    </row>
    <row r="7796" spans="1:3" x14ac:dyDescent="0.25">
      <c r="C7796" s="1"/>
    </row>
    <row r="7797" spans="1:3" x14ac:dyDescent="0.25">
      <c r="C7797" s="1"/>
    </row>
    <row r="7798" spans="1:3" x14ac:dyDescent="0.25">
      <c r="C7798" s="1"/>
    </row>
    <row r="7805" spans="1:3" x14ac:dyDescent="0.25">
      <c r="A7805" s="9"/>
      <c r="C7805" s="1"/>
    </row>
    <row r="7806" spans="1:3" x14ac:dyDescent="0.25">
      <c r="C7806" s="1"/>
    </row>
    <row r="7807" spans="1:3" x14ac:dyDescent="0.25">
      <c r="C7807" s="1"/>
    </row>
    <row r="7808" spans="1:3" x14ac:dyDescent="0.25">
      <c r="C7808" s="1"/>
    </row>
    <row r="7809" spans="3:3" x14ac:dyDescent="0.25">
      <c r="C7809" s="1"/>
    </row>
    <row r="7810" spans="3:3" x14ac:dyDescent="0.25">
      <c r="C7810" s="1"/>
    </row>
    <row r="7811" spans="3:3" x14ac:dyDescent="0.25">
      <c r="C7811" s="1"/>
    </row>
    <row r="7812" spans="3:3" x14ac:dyDescent="0.25">
      <c r="C7812" s="1"/>
    </row>
    <row r="7813" spans="3:3" x14ac:dyDescent="0.25">
      <c r="C7813" s="1"/>
    </row>
    <row r="7814" spans="3:3" x14ac:dyDescent="0.25">
      <c r="C7814" s="1"/>
    </row>
    <row r="7815" spans="3:3" x14ac:dyDescent="0.25">
      <c r="C7815" s="1"/>
    </row>
    <row r="7816" spans="3:3" x14ac:dyDescent="0.25">
      <c r="C7816" s="1"/>
    </row>
    <row r="7817" spans="3:3" x14ac:dyDescent="0.25">
      <c r="C7817" s="1"/>
    </row>
    <row r="7818" spans="3:3" x14ac:dyDescent="0.25">
      <c r="C7818" s="1"/>
    </row>
    <row r="7819" spans="3:3" x14ac:dyDescent="0.25">
      <c r="C7819" s="1"/>
    </row>
    <row r="7820" spans="3:3" x14ac:dyDescent="0.25">
      <c r="C7820" s="1"/>
    </row>
    <row r="7821" spans="3:3" x14ac:dyDescent="0.25">
      <c r="C7821" s="1"/>
    </row>
    <row r="7822" spans="3:3" x14ac:dyDescent="0.25">
      <c r="C7822" s="1"/>
    </row>
    <row r="7823" spans="3:3" x14ac:dyDescent="0.25">
      <c r="C7823" s="1"/>
    </row>
    <row r="7824" spans="3:3" x14ac:dyDescent="0.25">
      <c r="C7824" s="1"/>
    </row>
    <row r="7825" spans="1:3" x14ac:dyDescent="0.25">
      <c r="C7825" s="1"/>
    </row>
    <row r="7826" spans="1:3" x14ac:dyDescent="0.25">
      <c r="C7826" s="1"/>
    </row>
    <row r="7827" spans="1:3" x14ac:dyDescent="0.25">
      <c r="C7827" s="1"/>
    </row>
    <row r="7833" spans="1:3" x14ac:dyDescent="0.25">
      <c r="A7833" s="9"/>
      <c r="C7833" s="1"/>
    </row>
    <row r="7834" spans="1:3" x14ac:dyDescent="0.25">
      <c r="C7834" s="1"/>
    </row>
    <row r="7835" spans="1:3" x14ac:dyDescent="0.25">
      <c r="C7835" s="1"/>
    </row>
    <row r="7836" spans="1:3" x14ac:dyDescent="0.25">
      <c r="C7836" s="1"/>
    </row>
    <row r="7837" spans="1:3" x14ac:dyDescent="0.25">
      <c r="C7837" s="1"/>
    </row>
    <row r="7838" spans="1:3" x14ac:dyDescent="0.25">
      <c r="C7838" s="1"/>
    </row>
    <row r="7839" spans="1:3" x14ac:dyDescent="0.25">
      <c r="C7839" s="1"/>
    </row>
    <row r="7840" spans="1:3" x14ac:dyDescent="0.25">
      <c r="C7840" s="1"/>
    </row>
    <row r="7841" spans="3:3" x14ac:dyDescent="0.25">
      <c r="C7841" s="1"/>
    </row>
    <row r="7842" spans="3:3" x14ac:dyDescent="0.25">
      <c r="C7842" s="1"/>
    </row>
    <row r="7843" spans="3:3" x14ac:dyDescent="0.25">
      <c r="C7843" s="1"/>
    </row>
    <row r="7844" spans="3:3" x14ac:dyDescent="0.25">
      <c r="C7844" s="1"/>
    </row>
    <row r="7845" spans="3:3" x14ac:dyDescent="0.25">
      <c r="C7845" s="1"/>
    </row>
    <row r="7846" spans="3:3" x14ac:dyDescent="0.25">
      <c r="C7846" s="1"/>
    </row>
    <row r="7847" spans="3:3" x14ac:dyDescent="0.25">
      <c r="C7847" s="1"/>
    </row>
    <row r="7848" spans="3:3" x14ac:dyDescent="0.25">
      <c r="C7848" s="1"/>
    </row>
    <row r="7849" spans="3:3" x14ac:dyDescent="0.25">
      <c r="C7849" s="1"/>
    </row>
    <row r="7850" spans="3:3" x14ac:dyDescent="0.25">
      <c r="C7850" s="1"/>
    </row>
    <row r="7851" spans="3:3" x14ac:dyDescent="0.25">
      <c r="C7851" s="1"/>
    </row>
    <row r="7852" spans="3:3" x14ac:dyDescent="0.25">
      <c r="C7852" s="1"/>
    </row>
    <row r="7861" spans="1:3" x14ac:dyDescent="0.25">
      <c r="A7861" s="9"/>
      <c r="C7861" s="1"/>
    </row>
    <row r="7862" spans="1:3" x14ac:dyDescent="0.25">
      <c r="C7862" s="1"/>
    </row>
    <row r="7863" spans="1:3" x14ac:dyDescent="0.25">
      <c r="C7863" s="1"/>
    </row>
    <row r="7864" spans="1:3" x14ac:dyDescent="0.25">
      <c r="C7864" s="1"/>
    </row>
    <row r="7865" spans="1:3" x14ac:dyDescent="0.25">
      <c r="C7865" s="1"/>
    </row>
    <row r="7866" spans="1:3" x14ac:dyDescent="0.25">
      <c r="C7866" s="1"/>
    </row>
    <row r="7867" spans="1:3" x14ac:dyDescent="0.25">
      <c r="C7867" s="1"/>
    </row>
    <row r="7868" spans="1:3" x14ac:dyDescent="0.25">
      <c r="C7868" s="1"/>
    </row>
    <row r="7869" spans="1:3" x14ac:dyDescent="0.25">
      <c r="C7869" s="1"/>
    </row>
    <row r="7870" spans="1:3" x14ac:dyDescent="0.25">
      <c r="C7870" s="1"/>
    </row>
    <row r="7871" spans="1:3" x14ac:dyDescent="0.25">
      <c r="C7871" s="1"/>
    </row>
    <row r="7872" spans="1:3" x14ac:dyDescent="0.25">
      <c r="C7872" s="1"/>
    </row>
    <row r="7873" spans="3:3" x14ac:dyDescent="0.25">
      <c r="C7873" s="1"/>
    </row>
    <row r="7874" spans="3:3" x14ac:dyDescent="0.25">
      <c r="C7874" s="1"/>
    </row>
    <row r="7875" spans="3:3" x14ac:dyDescent="0.25">
      <c r="C7875" s="1"/>
    </row>
    <row r="7876" spans="3:3" x14ac:dyDescent="0.25">
      <c r="C7876" s="1"/>
    </row>
    <row r="7877" spans="3:3" x14ac:dyDescent="0.25">
      <c r="C7877" s="1"/>
    </row>
    <row r="7878" spans="3:3" x14ac:dyDescent="0.25">
      <c r="C7878" s="1"/>
    </row>
    <row r="7879" spans="3:3" x14ac:dyDescent="0.25">
      <c r="C7879" s="1"/>
    </row>
    <row r="7880" spans="3:3" x14ac:dyDescent="0.25">
      <c r="C7880" s="1"/>
    </row>
    <row r="7881" spans="3:3" x14ac:dyDescent="0.25">
      <c r="C7881" s="1"/>
    </row>
    <row r="7882" spans="3:3" x14ac:dyDescent="0.25">
      <c r="C7882" s="1"/>
    </row>
    <row r="7883" spans="3:3" x14ac:dyDescent="0.25">
      <c r="C7883" s="1"/>
    </row>
    <row r="7889" spans="1:3" x14ac:dyDescent="0.25">
      <c r="A7889" s="9"/>
      <c r="C7889" s="1"/>
    </row>
    <row r="7890" spans="1:3" x14ac:dyDescent="0.25">
      <c r="C7890" s="1"/>
    </row>
    <row r="7891" spans="1:3" x14ac:dyDescent="0.25">
      <c r="C7891" s="1"/>
    </row>
    <row r="7892" spans="1:3" x14ac:dyDescent="0.25">
      <c r="C7892" s="1"/>
    </row>
    <row r="7893" spans="1:3" x14ac:dyDescent="0.25">
      <c r="C7893" s="1"/>
    </row>
    <row r="7894" spans="1:3" x14ac:dyDescent="0.25">
      <c r="C7894" s="1"/>
    </row>
    <row r="7895" spans="1:3" x14ac:dyDescent="0.25">
      <c r="C7895" s="1"/>
    </row>
    <row r="7896" spans="1:3" x14ac:dyDescent="0.25">
      <c r="C7896" s="1"/>
    </row>
    <row r="7897" spans="1:3" x14ac:dyDescent="0.25">
      <c r="C7897" s="1"/>
    </row>
    <row r="7898" spans="1:3" x14ac:dyDescent="0.25">
      <c r="C7898" s="1"/>
    </row>
    <row r="7899" spans="1:3" x14ac:dyDescent="0.25">
      <c r="C7899" s="1"/>
    </row>
    <row r="7900" spans="1:3" x14ac:dyDescent="0.25">
      <c r="C7900" s="1"/>
    </row>
    <row r="7901" spans="1:3" x14ac:dyDescent="0.25">
      <c r="C7901" s="1"/>
    </row>
    <row r="7902" spans="1:3" x14ac:dyDescent="0.25">
      <c r="C7902" s="1"/>
    </row>
    <row r="7903" spans="1:3" x14ac:dyDescent="0.25">
      <c r="C7903" s="1"/>
    </row>
    <row r="7904" spans="1:3" x14ac:dyDescent="0.25">
      <c r="C7904" s="1"/>
    </row>
    <row r="7905" spans="1:3" x14ac:dyDescent="0.25">
      <c r="C7905" s="1"/>
    </row>
    <row r="7906" spans="1:3" x14ac:dyDescent="0.25">
      <c r="C7906" s="1"/>
    </row>
    <row r="7907" spans="1:3" x14ac:dyDescent="0.25">
      <c r="C7907" s="1"/>
    </row>
    <row r="7908" spans="1:3" x14ac:dyDescent="0.25">
      <c r="C7908" s="1"/>
    </row>
    <row r="7909" spans="1:3" x14ac:dyDescent="0.25">
      <c r="C7909" s="1"/>
    </row>
    <row r="7910" spans="1:3" x14ac:dyDescent="0.25">
      <c r="C7910" s="1"/>
    </row>
    <row r="7911" spans="1:3" x14ac:dyDescent="0.25">
      <c r="C7911" s="1"/>
    </row>
    <row r="7912" spans="1:3" x14ac:dyDescent="0.25">
      <c r="C7912" s="1"/>
    </row>
    <row r="7917" spans="1:3" x14ac:dyDescent="0.25">
      <c r="A7917" s="9"/>
      <c r="C7917" s="1"/>
    </row>
    <row r="7918" spans="1:3" x14ac:dyDescent="0.25">
      <c r="C7918" s="1"/>
    </row>
    <row r="7919" spans="1:3" x14ac:dyDescent="0.25">
      <c r="C7919" s="1"/>
    </row>
    <row r="7920" spans="1:3" x14ac:dyDescent="0.25">
      <c r="C7920" s="1"/>
    </row>
    <row r="7921" spans="3:3" x14ac:dyDescent="0.25">
      <c r="C7921" s="1"/>
    </row>
    <row r="7922" spans="3:3" x14ac:dyDescent="0.25">
      <c r="C7922" s="1"/>
    </row>
    <row r="7923" spans="3:3" x14ac:dyDescent="0.25">
      <c r="C7923" s="1"/>
    </row>
    <row r="7924" spans="3:3" x14ac:dyDescent="0.25">
      <c r="C7924" s="1"/>
    </row>
    <row r="7925" spans="3:3" x14ac:dyDescent="0.25">
      <c r="C7925" s="1"/>
    </row>
    <row r="7926" spans="3:3" x14ac:dyDescent="0.25">
      <c r="C7926" s="1"/>
    </row>
    <row r="7927" spans="3:3" x14ac:dyDescent="0.25">
      <c r="C7927" s="1"/>
    </row>
    <row r="7928" spans="3:3" x14ac:dyDescent="0.25">
      <c r="C7928" s="1"/>
    </row>
    <row r="7929" spans="3:3" x14ac:dyDescent="0.25">
      <c r="C7929" s="1"/>
    </row>
    <row r="7930" spans="3:3" x14ac:dyDescent="0.25">
      <c r="C7930" s="1"/>
    </row>
    <row r="7931" spans="3:3" x14ac:dyDescent="0.25">
      <c r="C7931" s="1"/>
    </row>
    <row r="7932" spans="3:3" x14ac:dyDescent="0.25">
      <c r="C7932" s="1"/>
    </row>
    <row r="7933" spans="3:3" x14ac:dyDescent="0.25">
      <c r="C7933" s="1"/>
    </row>
    <row r="7934" spans="3:3" x14ac:dyDescent="0.25">
      <c r="C7934" s="1"/>
    </row>
    <row r="7935" spans="3:3" x14ac:dyDescent="0.25">
      <c r="C7935" s="1"/>
    </row>
    <row r="7936" spans="3:3" x14ac:dyDescent="0.25">
      <c r="C7936" s="1"/>
    </row>
    <row r="7937" spans="1:3" x14ac:dyDescent="0.25">
      <c r="C7937" s="1"/>
    </row>
    <row r="7938" spans="1:3" x14ac:dyDescent="0.25">
      <c r="C7938" s="1"/>
    </row>
    <row r="7945" spans="1:3" x14ac:dyDescent="0.25">
      <c r="A7945" s="9"/>
      <c r="C7945" s="1"/>
    </row>
    <row r="7946" spans="1:3" x14ac:dyDescent="0.25">
      <c r="C7946" s="1"/>
    </row>
    <row r="7947" spans="1:3" x14ac:dyDescent="0.25">
      <c r="C7947" s="1"/>
    </row>
    <row r="7948" spans="1:3" x14ac:dyDescent="0.25">
      <c r="C7948" s="1"/>
    </row>
    <row r="7949" spans="1:3" x14ac:dyDescent="0.25">
      <c r="C7949" s="1"/>
    </row>
    <row r="7950" spans="1:3" x14ac:dyDescent="0.25">
      <c r="C7950" s="1"/>
    </row>
    <row r="7951" spans="1:3" x14ac:dyDescent="0.25">
      <c r="C7951" s="1"/>
    </row>
    <row r="7952" spans="1:3" x14ac:dyDescent="0.25">
      <c r="C7952" s="1"/>
    </row>
    <row r="7953" spans="3:3" x14ac:dyDescent="0.25">
      <c r="C7953" s="1"/>
    </row>
    <row r="7954" spans="3:3" x14ac:dyDescent="0.25">
      <c r="C7954" s="1"/>
    </row>
    <row r="7955" spans="3:3" x14ac:dyDescent="0.25">
      <c r="C7955" s="1"/>
    </row>
    <row r="7956" spans="3:3" x14ac:dyDescent="0.25">
      <c r="C7956" s="1"/>
    </row>
    <row r="7957" spans="3:3" x14ac:dyDescent="0.25">
      <c r="C7957" s="1"/>
    </row>
    <row r="7958" spans="3:3" x14ac:dyDescent="0.25">
      <c r="C7958" s="1"/>
    </row>
    <row r="7959" spans="3:3" x14ac:dyDescent="0.25">
      <c r="C7959" s="1"/>
    </row>
    <row r="7960" spans="3:3" x14ac:dyDescent="0.25">
      <c r="C7960" s="1"/>
    </row>
    <row r="7961" spans="3:3" x14ac:dyDescent="0.25">
      <c r="C7961" s="1"/>
    </row>
    <row r="7962" spans="3:3" x14ac:dyDescent="0.25">
      <c r="C7962" s="1"/>
    </row>
    <row r="7963" spans="3:3" x14ac:dyDescent="0.25">
      <c r="C7963" s="1"/>
    </row>
    <row r="7964" spans="3:3" x14ac:dyDescent="0.25">
      <c r="C7964" s="1"/>
    </row>
    <row r="7965" spans="3:3" x14ac:dyDescent="0.25">
      <c r="C7965" s="1"/>
    </row>
    <row r="7966" spans="3:3" x14ac:dyDescent="0.25">
      <c r="C7966" s="1"/>
    </row>
    <row r="7967" spans="3:3" x14ac:dyDescent="0.25">
      <c r="C7967" s="1"/>
    </row>
    <row r="7968" spans="3:3" x14ac:dyDescent="0.25">
      <c r="C7968" s="1"/>
    </row>
    <row r="7973" spans="1:3" x14ac:dyDescent="0.25">
      <c r="A7973" s="9"/>
      <c r="C7973" s="1"/>
    </row>
    <row r="7974" spans="1:3" x14ac:dyDescent="0.25">
      <c r="C7974" s="1"/>
    </row>
    <row r="7975" spans="1:3" x14ac:dyDescent="0.25">
      <c r="C7975" s="1"/>
    </row>
    <row r="7976" spans="1:3" x14ac:dyDescent="0.25">
      <c r="C7976" s="1"/>
    </row>
    <row r="7977" spans="1:3" x14ac:dyDescent="0.25">
      <c r="C7977" s="1"/>
    </row>
    <row r="7978" spans="1:3" x14ac:dyDescent="0.25">
      <c r="C7978" s="1"/>
    </row>
    <row r="7979" spans="1:3" x14ac:dyDescent="0.25">
      <c r="C7979" s="1"/>
    </row>
    <row r="7980" spans="1:3" x14ac:dyDescent="0.25">
      <c r="C7980" s="1"/>
    </row>
    <row r="7981" spans="1:3" x14ac:dyDescent="0.25">
      <c r="C7981" s="1"/>
    </row>
    <row r="7982" spans="1:3" x14ac:dyDescent="0.25">
      <c r="C7982" s="1"/>
    </row>
    <row r="7983" spans="1:3" x14ac:dyDescent="0.25">
      <c r="C7983" s="1"/>
    </row>
    <row r="7984" spans="1:3" x14ac:dyDescent="0.25">
      <c r="C7984" s="1"/>
    </row>
    <row r="7985" spans="3:3" x14ac:dyDescent="0.25">
      <c r="C7985" s="1"/>
    </row>
    <row r="7986" spans="3:3" x14ac:dyDescent="0.25">
      <c r="C7986" s="1"/>
    </row>
    <row r="7987" spans="3:3" x14ac:dyDescent="0.25">
      <c r="C7987" s="1"/>
    </row>
    <row r="7988" spans="3:3" x14ac:dyDescent="0.25">
      <c r="C7988" s="1"/>
    </row>
    <row r="7989" spans="3:3" x14ac:dyDescent="0.25">
      <c r="C7989" s="1"/>
    </row>
    <row r="7990" spans="3:3" x14ac:dyDescent="0.25">
      <c r="C7990" s="1"/>
    </row>
    <row r="7991" spans="3:3" x14ac:dyDescent="0.25">
      <c r="C7991" s="1"/>
    </row>
    <row r="7992" spans="3:3" x14ac:dyDescent="0.25">
      <c r="C7992" s="1"/>
    </row>
    <row r="7993" spans="3:3" x14ac:dyDescent="0.25">
      <c r="C7993" s="1"/>
    </row>
    <row r="8001" spans="1:3" x14ac:dyDescent="0.25">
      <c r="A8001" s="9"/>
      <c r="C8001" s="1"/>
    </row>
    <row r="8002" spans="1:3" x14ac:dyDescent="0.25">
      <c r="C8002" s="1"/>
    </row>
    <row r="8003" spans="1:3" x14ac:dyDescent="0.25">
      <c r="C8003" s="1"/>
    </row>
    <row r="8004" spans="1:3" x14ac:dyDescent="0.25">
      <c r="C8004" s="1"/>
    </row>
    <row r="8005" spans="1:3" x14ac:dyDescent="0.25">
      <c r="C8005" s="1"/>
    </row>
    <row r="8006" spans="1:3" x14ac:dyDescent="0.25">
      <c r="C8006" s="1"/>
    </row>
    <row r="8007" spans="1:3" x14ac:dyDescent="0.25">
      <c r="C8007" s="1"/>
    </row>
    <row r="8008" spans="1:3" x14ac:dyDescent="0.25">
      <c r="C8008" s="1"/>
    </row>
    <row r="8009" spans="1:3" x14ac:dyDescent="0.25">
      <c r="C8009" s="1"/>
    </row>
    <row r="8010" spans="1:3" x14ac:dyDescent="0.25">
      <c r="C8010" s="1"/>
    </row>
    <row r="8011" spans="1:3" x14ac:dyDescent="0.25">
      <c r="C8011" s="1"/>
    </row>
    <row r="8012" spans="1:3" x14ac:dyDescent="0.25">
      <c r="C8012" s="1"/>
    </row>
    <row r="8013" spans="1:3" x14ac:dyDescent="0.25">
      <c r="C8013" s="1"/>
    </row>
    <row r="8014" spans="1:3" x14ac:dyDescent="0.25">
      <c r="C8014" s="1"/>
    </row>
    <row r="8015" spans="1:3" x14ac:dyDescent="0.25">
      <c r="C8015" s="1"/>
    </row>
    <row r="8016" spans="1:3" x14ac:dyDescent="0.25">
      <c r="C8016" s="1"/>
    </row>
    <row r="8017" spans="1:3" x14ac:dyDescent="0.25">
      <c r="C8017" s="1"/>
    </row>
    <row r="8018" spans="1:3" x14ac:dyDescent="0.25">
      <c r="C8018" s="1"/>
    </row>
    <row r="8019" spans="1:3" x14ac:dyDescent="0.25">
      <c r="C8019" s="1"/>
    </row>
    <row r="8029" spans="1:3" x14ac:dyDescent="0.25">
      <c r="A8029" s="9"/>
      <c r="C8029" s="1"/>
    </row>
    <row r="8030" spans="1:3" x14ac:dyDescent="0.25">
      <c r="C8030" s="1"/>
    </row>
    <row r="8031" spans="1:3" x14ac:dyDescent="0.25">
      <c r="C8031" s="1"/>
    </row>
    <row r="8032" spans="1:3" x14ac:dyDescent="0.25">
      <c r="C8032" s="1"/>
    </row>
    <row r="8033" spans="3:3" x14ac:dyDescent="0.25">
      <c r="C8033" s="1"/>
    </row>
    <row r="8034" spans="3:3" x14ac:dyDescent="0.25">
      <c r="C8034" s="1"/>
    </row>
    <row r="8035" spans="3:3" x14ac:dyDescent="0.25">
      <c r="C8035" s="1"/>
    </row>
    <row r="8036" spans="3:3" x14ac:dyDescent="0.25">
      <c r="C8036" s="1"/>
    </row>
    <row r="8037" spans="3:3" x14ac:dyDescent="0.25">
      <c r="C8037" s="1"/>
    </row>
    <row r="8038" spans="3:3" x14ac:dyDescent="0.25">
      <c r="C8038" s="1"/>
    </row>
    <row r="8039" spans="3:3" x14ac:dyDescent="0.25">
      <c r="C8039" s="1"/>
    </row>
    <row r="8040" spans="3:3" x14ac:dyDescent="0.25">
      <c r="C8040" s="1"/>
    </row>
    <row r="8041" spans="3:3" x14ac:dyDescent="0.25">
      <c r="C8041" s="1"/>
    </row>
    <row r="8042" spans="3:3" x14ac:dyDescent="0.25">
      <c r="C8042" s="1"/>
    </row>
    <row r="8043" spans="3:3" x14ac:dyDescent="0.25">
      <c r="C8043" s="1"/>
    </row>
    <row r="8044" spans="3:3" x14ac:dyDescent="0.25">
      <c r="C8044" s="1"/>
    </row>
    <row r="8045" spans="3:3" x14ac:dyDescent="0.25">
      <c r="C8045" s="1"/>
    </row>
    <row r="8046" spans="3:3" x14ac:dyDescent="0.25">
      <c r="C8046" s="1"/>
    </row>
    <row r="8047" spans="3:3" x14ac:dyDescent="0.25">
      <c r="C8047" s="1"/>
    </row>
    <row r="8048" spans="3:3" x14ac:dyDescent="0.25">
      <c r="C8048" s="1"/>
    </row>
    <row r="8049" spans="1:3" x14ac:dyDescent="0.25">
      <c r="C8049" s="1"/>
    </row>
    <row r="8050" spans="1:3" x14ac:dyDescent="0.25">
      <c r="C8050" s="1"/>
    </row>
    <row r="8051" spans="1:3" x14ac:dyDescent="0.25">
      <c r="C8051" s="1"/>
    </row>
    <row r="8052" spans="1:3" x14ac:dyDescent="0.25">
      <c r="C8052" s="1"/>
    </row>
    <row r="8057" spans="1:3" x14ac:dyDescent="0.25">
      <c r="A8057" s="9"/>
      <c r="C8057" s="1"/>
    </row>
    <row r="8058" spans="1:3" x14ac:dyDescent="0.25">
      <c r="C8058" s="1"/>
    </row>
    <row r="8059" spans="1:3" x14ac:dyDescent="0.25">
      <c r="C8059" s="1"/>
    </row>
    <row r="8060" spans="1:3" x14ac:dyDescent="0.25">
      <c r="C8060" s="1"/>
    </row>
    <row r="8061" spans="1:3" x14ac:dyDescent="0.25">
      <c r="C8061" s="1"/>
    </row>
    <row r="8062" spans="1:3" x14ac:dyDescent="0.25">
      <c r="C8062" s="1"/>
    </row>
    <row r="8063" spans="1:3" x14ac:dyDescent="0.25">
      <c r="C8063" s="1"/>
    </row>
    <row r="8064" spans="1:3" x14ac:dyDescent="0.25">
      <c r="C8064" s="1"/>
    </row>
    <row r="8065" spans="3:3" x14ac:dyDescent="0.25">
      <c r="C8065" s="1"/>
    </row>
    <row r="8066" spans="3:3" x14ac:dyDescent="0.25">
      <c r="C8066" s="1"/>
    </row>
    <row r="8067" spans="3:3" x14ac:dyDescent="0.25">
      <c r="C8067" s="1"/>
    </row>
    <row r="8068" spans="3:3" x14ac:dyDescent="0.25">
      <c r="C8068" s="1"/>
    </row>
    <row r="8069" spans="3:3" x14ac:dyDescent="0.25">
      <c r="C8069" s="1"/>
    </row>
    <row r="8070" spans="3:3" x14ac:dyDescent="0.25">
      <c r="C8070" s="1"/>
    </row>
    <row r="8071" spans="3:3" x14ac:dyDescent="0.25">
      <c r="C8071" s="1"/>
    </row>
    <row r="8072" spans="3:3" x14ac:dyDescent="0.25">
      <c r="C8072" s="1"/>
    </row>
    <row r="8073" spans="3:3" x14ac:dyDescent="0.25">
      <c r="C8073" s="1"/>
    </row>
    <row r="8074" spans="3:3" x14ac:dyDescent="0.25">
      <c r="C8074" s="1"/>
    </row>
    <row r="8075" spans="3:3" x14ac:dyDescent="0.25">
      <c r="C8075" s="1"/>
    </row>
    <row r="8085" spans="1:3" x14ac:dyDescent="0.25">
      <c r="A8085" s="9"/>
      <c r="C8085" s="1"/>
    </row>
    <row r="8086" spans="1:3" x14ac:dyDescent="0.25">
      <c r="C8086" s="1"/>
    </row>
    <row r="8087" spans="1:3" x14ac:dyDescent="0.25">
      <c r="C8087" s="1"/>
    </row>
    <row r="8088" spans="1:3" x14ac:dyDescent="0.25">
      <c r="C8088" s="1"/>
    </row>
    <row r="8089" spans="1:3" x14ac:dyDescent="0.25">
      <c r="C8089" s="1"/>
    </row>
    <row r="8090" spans="1:3" x14ac:dyDescent="0.25">
      <c r="C8090" s="1"/>
    </row>
    <row r="8091" spans="1:3" x14ac:dyDescent="0.25">
      <c r="C8091" s="1"/>
    </row>
    <row r="8092" spans="1:3" x14ac:dyDescent="0.25">
      <c r="C8092" s="1"/>
    </row>
    <row r="8093" spans="1:3" x14ac:dyDescent="0.25">
      <c r="C8093" s="1"/>
    </row>
    <row r="8094" spans="1:3" x14ac:dyDescent="0.25">
      <c r="C8094" s="1"/>
    </row>
    <row r="8095" spans="1:3" x14ac:dyDescent="0.25">
      <c r="C8095" s="1"/>
    </row>
    <row r="8096" spans="1:3" x14ac:dyDescent="0.25">
      <c r="C8096" s="1"/>
    </row>
    <row r="8097" spans="3:3" x14ac:dyDescent="0.25">
      <c r="C8097" s="1"/>
    </row>
    <row r="8098" spans="3:3" x14ac:dyDescent="0.25">
      <c r="C8098" s="1"/>
    </row>
    <row r="8099" spans="3:3" x14ac:dyDescent="0.25">
      <c r="C8099" s="1"/>
    </row>
    <row r="8100" spans="3:3" x14ac:dyDescent="0.25">
      <c r="C8100" s="1"/>
    </row>
    <row r="8101" spans="3:3" x14ac:dyDescent="0.25">
      <c r="C8101" s="1"/>
    </row>
    <row r="8113" spans="1:3" x14ac:dyDescent="0.25">
      <c r="A8113" s="9"/>
      <c r="C8113" s="1"/>
    </row>
    <row r="8114" spans="1:3" x14ac:dyDescent="0.25">
      <c r="C8114" s="1"/>
    </row>
    <row r="8115" spans="1:3" x14ac:dyDescent="0.25">
      <c r="C8115" s="1"/>
    </row>
    <row r="8116" spans="1:3" x14ac:dyDescent="0.25">
      <c r="C8116" s="1"/>
    </row>
    <row r="8117" spans="1:3" x14ac:dyDescent="0.25">
      <c r="C8117" s="1"/>
    </row>
    <row r="8118" spans="1:3" x14ac:dyDescent="0.25">
      <c r="C8118" s="1"/>
    </row>
    <row r="8119" spans="1:3" x14ac:dyDescent="0.25">
      <c r="C8119" s="1"/>
    </row>
    <row r="8120" spans="1:3" x14ac:dyDescent="0.25">
      <c r="C8120" s="1"/>
    </row>
    <row r="8121" spans="1:3" x14ac:dyDescent="0.25">
      <c r="C8121" s="1"/>
    </row>
    <row r="8122" spans="1:3" x14ac:dyDescent="0.25">
      <c r="C8122" s="1"/>
    </row>
    <row r="8123" spans="1:3" x14ac:dyDescent="0.25">
      <c r="C8123" s="1"/>
    </row>
    <row r="8124" spans="1:3" x14ac:dyDescent="0.25">
      <c r="C8124" s="1"/>
    </row>
    <row r="8125" spans="1:3" x14ac:dyDescent="0.25">
      <c r="C8125" s="1"/>
    </row>
    <row r="8126" spans="1:3" x14ac:dyDescent="0.25">
      <c r="C8126" s="1"/>
    </row>
    <row r="8127" spans="1:3" x14ac:dyDescent="0.25">
      <c r="C8127" s="1"/>
    </row>
    <row r="8128" spans="1:3" x14ac:dyDescent="0.25">
      <c r="C8128" s="1"/>
    </row>
    <row r="8129" spans="1:3" x14ac:dyDescent="0.25">
      <c r="C8129" s="1"/>
    </row>
    <row r="8130" spans="1:3" x14ac:dyDescent="0.25">
      <c r="C8130" s="1"/>
    </row>
    <row r="8131" spans="1:3" x14ac:dyDescent="0.25">
      <c r="C8131" s="1"/>
    </row>
    <row r="8132" spans="1:3" x14ac:dyDescent="0.25">
      <c r="C8132" s="1"/>
    </row>
    <row r="8133" spans="1:3" x14ac:dyDescent="0.25">
      <c r="C8133" s="1"/>
    </row>
    <row r="8134" spans="1:3" x14ac:dyDescent="0.25">
      <c r="C8134" s="1"/>
    </row>
    <row r="8135" spans="1:3" x14ac:dyDescent="0.25">
      <c r="C8135" s="1"/>
    </row>
    <row r="8141" spans="1:3" x14ac:dyDescent="0.25">
      <c r="A8141" s="9"/>
      <c r="C8141" s="1"/>
    </row>
    <row r="8142" spans="1:3" x14ac:dyDescent="0.25">
      <c r="C8142" s="1"/>
    </row>
    <row r="8143" spans="1:3" x14ac:dyDescent="0.25">
      <c r="C8143" s="1"/>
    </row>
    <row r="8144" spans="1:3" x14ac:dyDescent="0.25">
      <c r="C8144" s="1"/>
    </row>
    <row r="8145" spans="3:3" x14ac:dyDescent="0.25">
      <c r="C8145" s="1"/>
    </row>
    <row r="8146" spans="3:3" x14ac:dyDescent="0.25">
      <c r="C8146" s="1"/>
    </row>
    <row r="8147" spans="3:3" x14ac:dyDescent="0.25">
      <c r="C8147" s="1"/>
    </row>
    <row r="8148" spans="3:3" x14ac:dyDescent="0.25">
      <c r="C8148" s="1"/>
    </row>
    <row r="8149" spans="3:3" x14ac:dyDescent="0.25">
      <c r="C8149" s="1"/>
    </row>
    <row r="8150" spans="3:3" x14ac:dyDescent="0.25">
      <c r="C8150" s="1"/>
    </row>
    <row r="8151" spans="3:3" x14ac:dyDescent="0.25">
      <c r="C8151" s="1"/>
    </row>
    <row r="8152" spans="3:3" x14ac:dyDescent="0.25">
      <c r="C8152" s="1"/>
    </row>
    <row r="8153" spans="3:3" x14ac:dyDescent="0.25">
      <c r="C8153" s="1"/>
    </row>
    <row r="8154" spans="3:3" x14ac:dyDescent="0.25">
      <c r="C8154" s="1"/>
    </row>
    <row r="8155" spans="3:3" x14ac:dyDescent="0.25">
      <c r="C8155" s="1"/>
    </row>
    <row r="8156" spans="3:3" x14ac:dyDescent="0.25">
      <c r="C8156" s="1"/>
    </row>
    <row r="8157" spans="3:3" x14ac:dyDescent="0.25">
      <c r="C8157" s="1"/>
    </row>
    <row r="8158" spans="3:3" x14ac:dyDescent="0.25">
      <c r="C8158" s="1"/>
    </row>
    <row r="8159" spans="3:3" x14ac:dyDescent="0.25">
      <c r="C8159" s="1"/>
    </row>
    <row r="8160" spans="3:3" x14ac:dyDescent="0.25">
      <c r="C8160" s="1"/>
    </row>
    <row r="8161" spans="1:3" x14ac:dyDescent="0.25">
      <c r="C8161" s="1"/>
    </row>
    <row r="8162" spans="1:3" x14ac:dyDescent="0.25">
      <c r="C8162" s="1"/>
    </row>
    <row r="8163" spans="1:3" x14ac:dyDescent="0.25">
      <c r="C8163" s="1"/>
    </row>
    <row r="8169" spans="1:3" x14ac:dyDescent="0.25">
      <c r="A8169" s="9"/>
      <c r="C8169" s="1"/>
    </row>
    <row r="8170" spans="1:3" x14ac:dyDescent="0.25">
      <c r="C8170" s="1"/>
    </row>
    <row r="8171" spans="1:3" x14ac:dyDescent="0.25">
      <c r="C8171" s="1"/>
    </row>
    <row r="8172" spans="1:3" x14ac:dyDescent="0.25">
      <c r="C8172" s="1"/>
    </row>
    <row r="8173" spans="1:3" x14ac:dyDescent="0.25">
      <c r="C8173" s="1"/>
    </row>
    <row r="8174" spans="1:3" x14ac:dyDescent="0.25">
      <c r="C8174" s="1"/>
    </row>
    <row r="8175" spans="1:3" x14ac:dyDescent="0.25">
      <c r="C8175" s="1"/>
    </row>
    <row r="8176" spans="1:3" x14ac:dyDescent="0.25">
      <c r="C8176" s="1"/>
    </row>
    <row r="8177" spans="3:3" x14ac:dyDescent="0.25">
      <c r="C8177" s="1"/>
    </row>
    <row r="8178" spans="3:3" x14ac:dyDescent="0.25">
      <c r="C8178" s="1"/>
    </row>
    <row r="8179" spans="3:3" x14ac:dyDescent="0.25">
      <c r="C8179" s="1"/>
    </row>
    <row r="8180" spans="3:3" x14ac:dyDescent="0.25">
      <c r="C8180" s="1"/>
    </row>
    <row r="8181" spans="3:3" x14ac:dyDescent="0.25">
      <c r="C8181" s="1"/>
    </row>
    <row r="8182" spans="3:3" x14ac:dyDescent="0.25">
      <c r="C8182" s="1"/>
    </row>
    <row r="8183" spans="3:3" x14ac:dyDescent="0.25">
      <c r="C8183" s="1"/>
    </row>
    <row r="8184" spans="3:3" x14ac:dyDescent="0.25">
      <c r="C8184" s="1"/>
    </row>
    <row r="8185" spans="3:3" x14ac:dyDescent="0.25">
      <c r="C8185" s="1"/>
    </row>
    <row r="8186" spans="3:3" x14ac:dyDescent="0.25">
      <c r="C8186" s="1"/>
    </row>
    <row r="8187" spans="3:3" x14ac:dyDescent="0.25">
      <c r="C8187" s="1"/>
    </row>
    <row r="8188" spans="3:3" x14ac:dyDescent="0.25">
      <c r="C8188" s="1"/>
    </row>
    <row r="8189" spans="3:3" x14ac:dyDescent="0.25">
      <c r="C8189" s="1"/>
    </row>
    <row r="8197" spans="1:3" x14ac:dyDescent="0.25">
      <c r="A8197" s="9"/>
      <c r="C8197" s="1"/>
    </row>
    <row r="8198" spans="1:3" x14ac:dyDescent="0.25">
      <c r="C8198" s="1"/>
    </row>
    <row r="8199" spans="1:3" x14ac:dyDescent="0.25">
      <c r="C8199" s="1"/>
    </row>
    <row r="8200" spans="1:3" x14ac:dyDescent="0.25">
      <c r="C8200" s="1"/>
    </row>
    <row r="8201" spans="1:3" x14ac:dyDescent="0.25">
      <c r="C8201" s="1"/>
    </row>
    <row r="8202" spans="1:3" x14ac:dyDescent="0.25">
      <c r="C8202" s="1"/>
    </row>
    <row r="8203" spans="1:3" x14ac:dyDescent="0.25">
      <c r="C8203" s="1"/>
    </row>
    <row r="8204" spans="1:3" x14ac:dyDescent="0.25">
      <c r="C8204" s="1"/>
    </row>
    <row r="8205" spans="1:3" x14ac:dyDescent="0.25">
      <c r="C8205" s="1"/>
    </row>
    <row r="8206" spans="1:3" x14ac:dyDescent="0.25">
      <c r="C8206" s="1"/>
    </row>
    <row r="8207" spans="1:3" x14ac:dyDescent="0.25">
      <c r="C8207" s="1"/>
    </row>
    <row r="8208" spans="1:3" x14ac:dyDescent="0.25">
      <c r="C8208" s="1"/>
    </row>
    <row r="8209" spans="3:3" x14ac:dyDescent="0.25">
      <c r="C8209" s="1"/>
    </row>
    <row r="8210" spans="3:3" x14ac:dyDescent="0.25">
      <c r="C8210" s="1"/>
    </row>
    <row r="8211" spans="3:3" x14ac:dyDescent="0.25">
      <c r="C8211" s="1"/>
    </row>
    <row r="8212" spans="3:3" x14ac:dyDescent="0.25">
      <c r="C8212" s="1"/>
    </row>
    <row r="8213" spans="3:3" x14ac:dyDescent="0.25">
      <c r="C8213" s="1"/>
    </row>
    <row r="8214" spans="3:3" x14ac:dyDescent="0.25">
      <c r="C8214" s="1"/>
    </row>
    <row r="8215" spans="3:3" x14ac:dyDescent="0.25">
      <c r="C8215" s="1"/>
    </row>
    <row r="8216" spans="3:3" x14ac:dyDescent="0.25">
      <c r="C8216" s="1"/>
    </row>
    <row r="8225" spans="1:3" x14ac:dyDescent="0.25">
      <c r="A8225" s="9"/>
      <c r="C8225" s="1"/>
    </row>
    <row r="8226" spans="1:3" x14ac:dyDescent="0.25">
      <c r="C8226" s="1"/>
    </row>
    <row r="8227" spans="1:3" x14ac:dyDescent="0.25">
      <c r="C8227" s="1"/>
    </row>
    <row r="8228" spans="1:3" x14ac:dyDescent="0.25">
      <c r="C8228" s="1"/>
    </row>
    <row r="8229" spans="1:3" x14ac:dyDescent="0.25">
      <c r="C8229" s="1"/>
    </row>
    <row r="8230" spans="1:3" x14ac:dyDescent="0.25">
      <c r="C8230" s="1"/>
    </row>
    <row r="8231" spans="1:3" x14ac:dyDescent="0.25">
      <c r="C8231" s="1"/>
    </row>
    <row r="8232" spans="1:3" x14ac:dyDescent="0.25">
      <c r="C8232" s="1"/>
    </row>
    <row r="8233" spans="1:3" x14ac:dyDescent="0.25">
      <c r="C8233" s="1"/>
    </row>
    <row r="8234" spans="1:3" x14ac:dyDescent="0.25">
      <c r="C8234" s="1"/>
    </row>
    <row r="8235" spans="1:3" x14ac:dyDescent="0.25">
      <c r="C8235" s="1"/>
    </row>
    <row r="8236" spans="1:3" x14ac:dyDescent="0.25">
      <c r="C8236" s="1"/>
    </row>
    <row r="8237" spans="1:3" x14ac:dyDescent="0.25">
      <c r="C8237" s="1"/>
    </row>
    <row r="8238" spans="1:3" x14ac:dyDescent="0.25">
      <c r="C8238" s="1"/>
    </row>
    <row r="8239" spans="1:3" x14ac:dyDescent="0.25">
      <c r="C8239" s="1"/>
    </row>
    <row r="8240" spans="1:3" x14ac:dyDescent="0.25">
      <c r="C8240" s="1"/>
    </row>
    <row r="8241" spans="1:3" x14ac:dyDescent="0.25">
      <c r="C8241" s="1"/>
    </row>
    <row r="8242" spans="1:3" x14ac:dyDescent="0.25">
      <c r="C8242" s="1"/>
    </row>
    <row r="8243" spans="1:3" x14ac:dyDescent="0.25">
      <c r="C8243" s="1"/>
    </row>
    <row r="8244" spans="1:3" x14ac:dyDescent="0.25">
      <c r="C8244" s="1"/>
    </row>
    <row r="8245" spans="1:3" x14ac:dyDescent="0.25">
      <c r="C8245" s="1"/>
    </row>
    <row r="8246" spans="1:3" x14ac:dyDescent="0.25">
      <c r="C8246" s="1"/>
    </row>
    <row r="8247" spans="1:3" x14ac:dyDescent="0.25">
      <c r="C8247" s="1"/>
    </row>
    <row r="8248" spans="1:3" x14ac:dyDescent="0.25">
      <c r="C8248" s="1"/>
    </row>
    <row r="8253" spans="1:3" x14ac:dyDescent="0.25">
      <c r="A8253" s="9"/>
      <c r="C8253" s="1"/>
    </row>
    <row r="8254" spans="1:3" x14ac:dyDescent="0.25">
      <c r="C8254" s="1"/>
    </row>
    <row r="8255" spans="1:3" x14ac:dyDescent="0.25">
      <c r="C8255" s="1"/>
    </row>
    <row r="8256" spans="1:3" x14ac:dyDescent="0.25">
      <c r="C8256" s="1"/>
    </row>
    <row r="8257" spans="3:3" x14ac:dyDescent="0.25">
      <c r="C8257" s="1"/>
    </row>
    <row r="8258" spans="3:3" x14ac:dyDescent="0.25">
      <c r="C8258" s="1"/>
    </row>
    <row r="8259" spans="3:3" x14ac:dyDescent="0.25">
      <c r="C8259" s="1"/>
    </row>
    <row r="8260" spans="3:3" x14ac:dyDescent="0.25">
      <c r="C8260" s="1"/>
    </row>
    <row r="8261" spans="3:3" x14ac:dyDescent="0.25">
      <c r="C8261" s="1"/>
    </row>
    <row r="8262" spans="3:3" x14ac:dyDescent="0.25">
      <c r="C8262" s="1"/>
    </row>
    <row r="8263" spans="3:3" x14ac:dyDescent="0.25">
      <c r="C8263" s="1"/>
    </row>
    <row r="8264" spans="3:3" x14ac:dyDescent="0.25">
      <c r="C8264" s="1"/>
    </row>
    <row r="8265" spans="3:3" x14ac:dyDescent="0.25">
      <c r="C8265" s="1"/>
    </row>
    <row r="8266" spans="3:3" x14ac:dyDescent="0.25">
      <c r="C8266" s="1"/>
    </row>
    <row r="8267" spans="3:3" x14ac:dyDescent="0.25">
      <c r="C8267" s="1"/>
    </row>
    <row r="8268" spans="3:3" x14ac:dyDescent="0.25">
      <c r="C8268" s="1"/>
    </row>
    <row r="8269" spans="3:3" x14ac:dyDescent="0.25">
      <c r="C8269" s="1"/>
    </row>
    <row r="8270" spans="3:3" x14ac:dyDescent="0.25">
      <c r="C8270" s="1"/>
    </row>
    <row r="8271" spans="3:3" x14ac:dyDescent="0.25">
      <c r="C8271" s="1"/>
    </row>
    <row r="8272" spans="3:3" x14ac:dyDescent="0.25">
      <c r="C8272" s="1"/>
    </row>
    <row r="8273" spans="1:3" x14ac:dyDescent="0.25">
      <c r="C8273" s="1"/>
    </row>
    <row r="8281" spans="1:3" x14ac:dyDescent="0.25">
      <c r="A8281" s="9"/>
      <c r="C8281" s="1"/>
    </row>
    <row r="8282" spans="1:3" x14ac:dyDescent="0.25">
      <c r="C8282" s="1"/>
    </row>
    <row r="8283" spans="1:3" x14ac:dyDescent="0.25">
      <c r="C8283" s="1"/>
    </row>
    <row r="8284" spans="1:3" x14ac:dyDescent="0.25">
      <c r="C8284" s="1"/>
    </row>
    <row r="8285" spans="1:3" x14ac:dyDescent="0.25">
      <c r="C8285" s="1"/>
    </row>
    <row r="8286" spans="1:3" x14ac:dyDescent="0.25">
      <c r="C8286" s="1"/>
    </row>
    <row r="8287" spans="1:3" x14ac:dyDescent="0.25">
      <c r="C8287" s="1"/>
    </row>
    <row r="8288" spans="1:3" x14ac:dyDescent="0.25">
      <c r="C8288" s="1"/>
    </row>
    <row r="8289" spans="3:3" x14ac:dyDescent="0.25">
      <c r="C8289" s="1"/>
    </row>
    <row r="8290" spans="3:3" x14ac:dyDescent="0.25">
      <c r="C8290" s="1"/>
    </row>
    <row r="8291" spans="3:3" x14ac:dyDescent="0.25">
      <c r="C8291" s="1"/>
    </row>
    <row r="8292" spans="3:3" x14ac:dyDescent="0.25">
      <c r="C8292" s="1"/>
    </row>
    <row r="8293" spans="3:3" x14ac:dyDescent="0.25">
      <c r="C8293" s="1"/>
    </row>
    <row r="8294" spans="3:3" x14ac:dyDescent="0.25">
      <c r="C8294" s="1"/>
    </row>
    <row r="8295" spans="3:3" x14ac:dyDescent="0.25">
      <c r="C8295" s="1"/>
    </row>
    <row r="8296" spans="3:3" x14ac:dyDescent="0.25">
      <c r="C8296" s="1"/>
    </row>
    <row r="8297" spans="3:3" x14ac:dyDescent="0.25">
      <c r="C8297" s="1"/>
    </row>
    <row r="8298" spans="3:3" x14ac:dyDescent="0.25">
      <c r="C8298" s="1"/>
    </row>
    <row r="8299" spans="3:3" x14ac:dyDescent="0.25">
      <c r="C8299" s="1"/>
    </row>
    <row r="8300" spans="3:3" x14ac:dyDescent="0.25">
      <c r="C8300" s="1"/>
    </row>
    <row r="8301" spans="3:3" x14ac:dyDescent="0.25">
      <c r="C8301" s="1"/>
    </row>
    <row r="8302" spans="3:3" x14ac:dyDescent="0.25">
      <c r="C8302" s="1"/>
    </row>
    <row r="8309" spans="1:3" x14ac:dyDescent="0.25">
      <c r="A8309" s="9"/>
      <c r="C8309" s="1"/>
    </row>
    <row r="8310" spans="1:3" x14ac:dyDescent="0.25">
      <c r="C8310" s="1"/>
    </row>
    <row r="8311" spans="1:3" x14ac:dyDescent="0.25">
      <c r="C8311" s="1"/>
    </row>
    <row r="8312" spans="1:3" x14ac:dyDescent="0.25">
      <c r="C8312" s="1"/>
    </row>
    <row r="8313" spans="1:3" x14ac:dyDescent="0.25">
      <c r="C8313" s="1"/>
    </row>
    <row r="8314" spans="1:3" x14ac:dyDescent="0.25">
      <c r="C8314" s="1"/>
    </row>
    <row r="8315" spans="1:3" x14ac:dyDescent="0.25">
      <c r="C8315" s="1"/>
    </row>
    <row r="8316" spans="1:3" x14ac:dyDescent="0.25">
      <c r="C8316" s="1"/>
    </row>
    <row r="8317" spans="1:3" x14ac:dyDescent="0.25">
      <c r="C8317" s="1"/>
    </row>
    <row r="8318" spans="1:3" x14ac:dyDescent="0.25">
      <c r="C8318" s="1"/>
    </row>
    <row r="8319" spans="1:3" x14ac:dyDescent="0.25">
      <c r="C8319" s="1"/>
    </row>
    <row r="8320" spans="1:3" x14ac:dyDescent="0.25">
      <c r="C8320" s="1"/>
    </row>
    <row r="8321" spans="3:3" x14ac:dyDescent="0.25">
      <c r="C8321" s="1"/>
    </row>
    <row r="8322" spans="3:3" x14ac:dyDescent="0.25">
      <c r="C8322" s="1"/>
    </row>
    <row r="8323" spans="3:3" x14ac:dyDescent="0.25">
      <c r="C8323" s="1"/>
    </row>
    <row r="8324" spans="3:3" x14ac:dyDescent="0.25">
      <c r="C8324" s="1"/>
    </row>
    <row r="8325" spans="3:3" x14ac:dyDescent="0.25">
      <c r="C8325" s="1"/>
    </row>
    <row r="8326" spans="3:3" x14ac:dyDescent="0.25">
      <c r="C8326" s="1"/>
    </row>
    <row r="8327" spans="3:3" x14ac:dyDescent="0.25">
      <c r="C8327" s="1"/>
    </row>
    <row r="8328" spans="3:3" x14ac:dyDescent="0.25">
      <c r="C8328" s="1"/>
    </row>
    <row r="8329" spans="3:3" x14ac:dyDescent="0.25">
      <c r="C8329" s="1"/>
    </row>
    <row r="8330" spans="3:3" x14ac:dyDescent="0.25">
      <c r="C8330" s="1"/>
    </row>
    <row r="8337" spans="1:3" x14ac:dyDescent="0.25">
      <c r="A8337" s="9"/>
      <c r="C8337" s="1"/>
    </row>
    <row r="8338" spans="1:3" x14ac:dyDescent="0.25">
      <c r="C8338" s="1"/>
    </row>
    <row r="8339" spans="1:3" x14ac:dyDescent="0.25">
      <c r="C8339" s="1"/>
    </row>
    <row r="8340" spans="1:3" x14ac:dyDescent="0.25">
      <c r="C8340" s="1"/>
    </row>
    <row r="8341" spans="1:3" x14ac:dyDescent="0.25">
      <c r="C8341" s="1"/>
    </row>
    <row r="8342" spans="1:3" x14ac:dyDescent="0.25">
      <c r="C8342" s="1"/>
    </row>
    <row r="8343" spans="1:3" x14ac:dyDescent="0.25">
      <c r="C8343" s="1"/>
    </row>
    <row r="8344" spans="1:3" x14ac:dyDescent="0.25">
      <c r="C8344" s="1"/>
    </row>
    <row r="8345" spans="1:3" x14ac:dyDescent="0.25">
      <c r="C8345" s="1"/>
    </row>
    <row r="8346" spans="1:3" x14ac:dyDescent="0.25">
      <c r="C8346" s="1"/>
    </row>
    <row r="8347" spans="1:3" x14ac:dyDescent="0.25">
      <c r="C8347" s="1"/>
    </row>
    <row r="8348" spans="1:3" x14ac:dyDescent="0.25">
      <c r="C8348" s="1"/>
    </row>
    <row r="8349" spans="1:3" x14ac:dyDescent="0.25">
      <c r="C8349" s="1"/>
    </row>
    <row r="8350" spans="1:3" x14ac:dyDescent="0.25">
      <c r="C8350" s="1"/>
    </row>
    <row r="8351" spans="1:3" x14ac:dyDescent="0.25">
      <c r="C8351" s="1"/>
    </row>
    <row r="8352" spans="1:3" x14ac:dyDescent="0.25">
      <c r="C8352" s="1"/>
    </row>
    <row r="8353" spans="1:3" x14ac:dyDescent="0.25">
      <c r="C8353" s="1"/>
    </row>
    <row r="8354" spans="1:3" x14ac:dyDescent="0.25">
      <c r="C8354" s="1"/>
    </row>
    <row r="8355" spans="1:3" x14ac:dyDescent="0.25">
      <c r="C8355" s="1"/>
    </row>
    <row r="8356" spans="1:3" x14ac:dyDescent="0.25">
      <c r="C8356" s="1"/>
    </row>
    <row r="8365" spans="1:3" x14ac:dyDescent="0.25">
      <c r="A8365" s="9"/>
      <c r="C8365" s="1"/>
    </row>
    <row r="8366" spans="1:3" x14ac:dyDescent="0.25">
      <c r="C8366" s="1"/>
    </row>
    <row r="8367" spans="1:3" x14ac:dyDescent="0.25">
      <c r="C8367" s="1"/>
    </row>
    <row r="8368" spans="1:3" x14ac:dyDescent="0.25">
      <c r="C8368" s="1"/>
    </row>
    <row r="8369" spans="3:3" x14ac:dyDescent="0.25">
      <c r="C8369" s="1"/>
    </row>
    <row r="8370" spans="3:3" x14ac:dyDescent="0.25">
      <c r="C8370" s="1"/>
    </row>
    <row r="8371" spans="3:3" x14ac:dyDescent="0.25">
      <c r="C8371" s="1"/>
    </row>
    <row r="8372" spans="3:3" x14ac:dyDescent="0.25">
      <c r="C8372" s="1"/>
    </row>
    <row r="8373" spans="3:3" x14ac:dyDescent="0.25">
      <c r="C8373" s="1"/>
    </row>
    <row r="8374" spans="3:3" x14ac:dyDescent="0.25">
      <c r="C8374" s="1"/>
    </row>
    <row r="8375" spans="3:3" x14ac:dyDescent="0.25">
      <c r="C8375" s="1"/>
    </row>
    <row r="8376" spans="3:3" x14ac:dyDescent="0.25">
      <c r="C8376" s="1"/>
    </row>
    <row r="8377" spans="3:3" x14ac:dyDescent="0.25">
      <c r="C8377" s="1"/>
    </row>
    <row r="8378" spans="3:3" x14ac:dyDescent="0.25">
      <c r="C8378" s="1"/>
    </row>
    <row r="8379" spans="3:3" x14ac:dyDescent="0.25">
      <c r="C8379" s="1"/>
    </row>
    <row r="8380" spans="3:3" x14ac:dyDescent="0.25">
      <c r="C8380" s="1"/>
    </row>
    <row r="8381" spans="3:3" x14ac:dyDescent="0.25">
      <c r="C8381" s="1"/>
    </row>
    <row r="8382" spans="3:3" x14ac:dyDescent="0.25">
      <c r="C8382" s="1"/>
    </row>
    <row r="8383" spans="3:3" x14ac:dyDescent="0.25">
      <c r="C8383" s="1"/>
    </row>
    <row r="8384" spans="3:3" x14ac:dyDescent="0.25">
      <c r="C8384" s="1"/>
    </row>
    <row r="8385" spans="1:3" x14ac:dyDescent="0.25">
      <c r="C8385" s="1"/>
    </row>
    <row r="8386" spans="1:3" x14ac:dyDescent="0.25">
      <c r="C8386" s="1"/>
    </row>
    <row r="8387" spans="1:3" x14ac:dyDescent="0.25">
      <c r="C8387" s="1"/>
    </row>
    <row r="8388" spans="1:3" x14ac:dyDescent="0.25">
      <c r="C8388" s="1"/>
    </row>
    <row r="8393" spans="1:3" x14ac:dyDescent="0.25">
      <c r="A8393" s="9"/>
      <c r="C8393" s="1"/>
    </row>
    <row r="8394" spans="1:3" x14ac:dyDescent="0.25">
      <c r="C8394" s="1"/>
    </row>
    <row r="8395" spans="1:3" x14ac:dyDescent="0.25">
      <c r="C8395" s="1"/>
    </row>
    <row r="8396" spans="1:3" x14ac:dyDescent="0.25">
      <c r="C8396" s="1"/>
    </row>
    <row r="8397" spans="1:3" x14ac:dyDescent="0.25">
      <c r="C8397" s="1"/>
    </row>
    <row r="8398" spans="1:3" x14ac:dyDescent="0.25">
      <c r="C8398" s="1"/>
    </row>
    <row r="8399" spans="1:3" x14ac:dyDescent="0.25">
      <c r="C8399" s="1"/>
    </row>
    <row r="8400" spans="1:3" x14ac:dyDescent="0.25">
      <c r="C8400" s="1"/>
    </row>
    <row r="8401" spans="3:3" x14ac:dyDescent="0.25">
      <c r="C8401" s="1"/>
    </row>
    <row r="8402" spans="3:3" x14ac:dyDescent="0.25">
      <c r="C8402" s="1"/>
    </row>
    <row r="8403" spans="3:3" x14ac:dyDescent="0.25">
      <c r="C8403" s="1"/>
    </row>
    <row r="8404" spans="3:3" x14ac:dyDescent="0.25">
      <c r="C8404" s="1"/>
    </row>
    <row r="8405" spans="3:3" x14ac:dyDescent="0.25">
      <c r="C8405" s="1"/>
    </row>
    <row r="8406" spans="3:3" x14ac:dyDescent="0.25">
      <c r="C8406" s="1"/>
    </row>
    <row r="8421" spans="1:3" x14ac:dyDescent="0.25">
      <c r="A8421" s="9"/>
      <c r="C8421" s="1"/>
    </row>
    <row r="8422" spans="1:3" x14ac:dyDescent="0.25">
      <c r="C8422" s="1"/>
    </row>
    <row r="8423" spans="1:3" x14ac:dyDescent="0.25">
      <c r="C8423" s="1"/>
    </row>
    <row r="8424" spans="1:3" x14ac:dyDescent="0.25">
      <c r="C8424" s="1"/>
    </row>
    <row r="8425" spans="1:3" x14ac:dyDescent="0.25">
      <c r="C8425" s="1"/>
    </row>
    <row r="8426" spans="1:3" x14ac:dyDescent="0.25">
      <c r="C8426" s="1"/>
    </row>
    <row r="8427" spans="1:3" x14ac:dyDescent="0.25">
      <c r="C8427" s="1"/>
    </row>
    <row r="8428" spans="1:3" x14ac:dyDescent="0.25">
      <c r="C8428" s="1"/>
    </row>
    <row r="8429" spans="1:3" x14ac:dyDescent="0.25">
      <c r="C8429" s="1"/>
    </row>
    <row r="8430" spans="1:3" x14ac:dyDescent="0.25">
      <c r="C8430" s="1"/>
    </row>
    <row r="8431" spans="1:3" x14ac:dyDescent="0.25">
      <c r="C8431" s="1"/>
    </row>
    <row r="8432" spans="1:3" x14ac:dyDescent="0.25">
      <c r="C8432" s="1"/>
    </row>
    <row r="8433" spans="3:3" x14ac:dyDescent="0.25">
      <c r="C8433" s="1"/>
    </row>
    <row r="8434" spans="3:3" x14ac:dyDescent="0.25">
      <c r="C8434" s="1"/>
    </row>
    <row r="8435" spans="3:3" x14ac:dyDescent="0.25">
      <c r="C8435" s="1"/>
    </row>
    <row r="8436" spans="3:3" x14ac:dyDescent="0.25">
      <c r="C8436" s="1"/>
    </row>
    <row r="8437" spans="3:3" x14ac:dyDescent="0.25">
      <c r="C8437" s="1"/>
    </row>
    <row r="8438" spans="3:3" x14ac:dyDescent="0.25">
      <c r="C8438" s="1"/>
    </row>
    <row r="8439" spans="3:3" x14ac:dyDescent="0.25">
      <c r="C8439" s="1"/>
    </row>
    <row r="8440" spans="3:3" x14ac:dyDescent="0.25">
      <c r="C8440" s="1"/>
    </row>
    <row r="8441" spans="3:3" x14ac:dyDescent="0.25">
      <c r="C8441" s="1"/>
    </row>
    <row r="8442" spans="3:3" x14ac:dyDescent="0.25">
      <c r="C8442" s="1"/>
    </row>
    <row r="8449" spans="1:3" x14ac:dyDescent="0.25">
      <c r="A8449" s="9"/>
      <c r="C8449" s="1"/>
    </row>
    <row r="8450" spans="1:3" x14ac:dyDescent="0.25">
      <c r="C8450" s="1"/>
    </row>
    <row r="8451" spans="1:3" x14ac:dyDescent="0.25">
      <c r="C8451" s="1"/>
    </row>
    <row r="8452" spans="1:3" x14ac:dyDescent="0.25">
      <c r="C8452" s="1"/>
    </row>
    <row r="8453" spans="1:3" x14ac:dyDescent="0.25">
      <c r="C8453" s="1"/>
    </row>
    <row r="8454" spans="1:3" x14ac:dyDescent="0.25">
      <c r="C8454" s="1"/>
    </row>
    <row r="8455" spans="1:3" x14ac:dyDescent="0.25">
      <c r="C8455" s="1"/>
    </row>
    <row r="8456" spans="1:3" x14ac:dyDescent="0.25">
      <c r="C8456" s="1"/>
    </row>
    <row r="8457" spans="1:3" x14ac:dyDescent="0.25">
      <c r="C8457" s="1"/>
    </row>
    <row r="8458" spans="1:3" x14ac:dyDescent="0.25">
      <c r="C8458" s="1"/>
    </row>
    <row r="8459" spans="1:3" x14ac:dyDescent="0.25">
      <c r="C8459" s="1"/>
    </row>
    <row r="8460" spans="1:3" x14ac:dyDescent="0.25">
      <c r="C8460" s="1"/>
    </row>
    <row r="8461" spans="1:3" x14ac:dyDescent="0.25">
      <c r="C8461" s="1"/>
    </row>
    <row r="8462" spans="1:3" x14ac:dyDescent="0.25">
      <c r="C8462" s="1"/>
    </row>
    <row r="8463" spans="1:3" x14ac:dyDescent="0.25">
      <c r="C8463" s="1"/>
    </row>
    <row r="8464" spans="1:3" x14ac:dyDescent="0.25">
      <c r="C8464" s="1"/>
    </row>
    <row r="8465" spans="1:3" x14ac:dyDescent="0.25">
      <c r="C8465" s="1"/>
    </row>
    <row r="8466" spans="1:3" x14ac:dyDescent="0.25">
      <c r="C8466" s="1"/>
    </row>
    <row r="8467" spans="1:3" x14ac:dyDescent="0.25">
      <c r="C8467" s="1"/>
    </row>
    <row r="8468" spans="1:3" x14ac:dyDescent="0.25">
      <c r="C8468" s="1"/>
    </row>
    <row r="8469" spans="1:3" x14ac:dyDescent="0.25">
      <c r="C8469" s="1"/>
    </row>
    <row r="8470" spans="1:3" x14ac:dyDescent="0.25">
      <c r="C8470" s="1"/>
    </row>
    <row r="8471" spans="1:3" x14ac:dyDescent="0.25">
      <c r="C8471" s="1"/>
    </row>
    <row r="8472" spans="1:3" x14ac:dyDescent="0.25">
      <c r="A8472" s="9"/>
      <c r="C8472" s="1"/>
    </row>
    <row r="8473" spans="1:3" x14ac:dyDescent="0.25">
      <c r="C8473" s="1"/>
    </row>
    <row r="8474" spans="1:3" x14ac:dyDescent="0.25">
      <c r="C8474" s="1"/>
    </row>
    <row r="8475" spans="1:3" x14ac:dyDescent="0.25">
      <c r="C8475" s="1"/>
    </row>
    <row r="8476" spans="1:3" x14ac:dyDescent="0.25">
      <c r="C8476" s="1"/>
    </row>
    <row r="8477" spans="1:3" x14ac:dyDescent="0.25">
      <c r="C8477" s="1"/>
    </row>
    <row r="8478" spans="1:3" x14ac:dyDescent="0.25">
      <c r="C8478" s="1"/>
    </row>
    <row r="8479" spans="1:3" x14ac:dyDescent="0.25">
      <c r="C8479" s="1"/>
    </row>
    <row r="8480" spans="1:3" x14ac:dyDescent="0.25">
      <c r="C8480" s="1"/>
    </row>
    <row r="8481" spans="1:3" x14ac:dyDescent="0.25">
      <c r="C8481" s="1"/>
    </row>
    <row r="8482" spans="1:3" x14ac:dyDescent="0.25">
      <c r="C8482" s="1"/>
    </row>
    <row r="8483" spans="1:3" x14ac:dyDescent="0.25">
      <c r="C8483" s="1"/>
    </row>
    <row r="8484" spans="1:3" x14ac:dyDescent="0.25">
      <c r="C8484" s="1"/>
    </row>
    <row r="8485" spans="1:3" x14ac:dyDescent="0.25">
      <c r="C8485" s="1"/>
    </row>
    <row r="8486" spans="1:3" x14ac:dyDescent="0.25">
      <c r="C8486" s="1"/>
    </row>
    <row r="8487" spans="1:3" x14ac:dyDescent="0.25">
      <c r="C8487" s="1"/>
    </row>
    <row r="8488" spans="1:3" x14ac:dyDescent="0.25">
      <c r="C8488" s="1"/>
    </row>
    <row r="8489" spans="1:3" x14ac:dyDescent="0.25">
      <c r="C8489" s="1"/>
    </row>
    <row r="8490" spans="1:3" x14ac:dyDescent="0.25">
      <c r="C8490" s="1"/>
    </row>
    <row r="8491" spans="1:3" x14ac:dyDescent="0.25">
      <c r="C8491" s="1"/>
    </row>
    <row r="8492" spans="1:3" x14ac:dyDescent="0.25">
      <c r="C8492" s="1"/>
    </row>
    <row r="8493" spans="1:3" x14ac:dyDescent="0.25">
      <c r="C8493" s="1"/>
    </row>
    <row r="8494" spans="1:3" x14ac:dyDescent="0.25">
      <c r="C8494" s="1"/>
    </row>
    <row r="8495" spans="1:3" x14ac:dyDescent="0.25">
      <c r="A8495" s="9"/>
      <c r="C8495" s="1"/>
    </row>
    <row r="8496" spans="1:3" x14ac:dyDescent="0.25">
      <c r="C8496" s="1"/>
    </row>
    <row r="8497" spans="3:3" x14ac:dyDescent="0.25">
      <c r="C8497" s="1"/>
    </row>
    <row r="8498" spans="3:3" x14ac:dyDescent="0.25">
      <c r="C8498" s="1"/>
    </row>
    <row r="8499" spans="3:3" x14ac:dyDescent="0.25">
      <c r="C8499" s="1"/>
    </row>
    <row r="8500" spans="3:3" x14ac:dyDescent="0.25">
      <c r="C8500" s="1"/>
    </row>
    <row r="8501" spans="3:3" x14ac:dyDescent="0.25">
      <c r="C8501" s="1"/>
    </row>
    <row r="8502" spans="3:3" x14ac:dyDescent="0.25">
      <c r="C8502" s="1"/>
    </row>
    <row r="8503" spans="3:3" x14ac:dyDescent="0.25">
      <c r="C8503" s="1"/>
    </row>
    <row r="8504" spans="3:3" x14ac:dyDescent="0.25">
      <c r="C8504" s="1"/>
    </row>
    <row r="8505" spans="3:3" x14ac:dyDescent="0.25">
      <c r="C8505" s="1"/>
    </row>
    <row r="8506" spans="3:3" x14ac:dyDescent="0.25">
      <c r="C8506" s="1"/>
    </row>
    <row r="8507" spans="3:3" x14ac:dyDescent="0.25">
      <c r="C8507" s="1"/>
    </row>
    <row r="8508" spans="3:3" x14ac:dyDescent="0.25">
      <c r="C8508" s="1"/>
    </row>
    <row r="8509" spans="3:3" x14ac:dyDescent="0.25">
      <c r="C8509" s="1"/>
    </row>
    <row r="8510" spans="3:3" x14ac:dyDescent="0.25">
      <c r="C8510" s="1"/>
    </row>
    <row r="8511" spans="3:3" x14ac:dyDescent="0.25">
      <c r="C8511" s="1"/>
    </row>
    <row r="8512" spans="3:3" x14ac:dyDescent="0.25">
      <c r="C8512" s="1"/>
    </row>
    <row r="8513" spans="1:3" x14ac:dyDescent="0.25">
      <c r="C8513" s="1"/>
    </row>
    <row r="8514" spans="1:3" x14ac:dyDescent="0.25">
      <c r="C8514" s="1"/>
    </row>
    <row r="8515" spans="1:3" x14ac:dyDescent="0.25">
      <c r="C8515" s="1"/>
    </row>
    <row r="8518" spans="1:3" x14ac:dyDescent="0.25">
      <c r="A8518" s="9"/>
      <c r="C8518" s="1"/>
    </row>
    <row r="8519" spans="1:3" x14ac:dyDescent="0.25">
      <c r="C8519" s="1"/>
    </row>
    <row r="8520" spans="1:3" x14ac:dyDescent="0.25">
      <c r="C8520" s="1"/>
    </row>
    <row r="8521" spans="1:3" x14ac:dyDescent="0.25">
      <c r="C8521" s="1"/>
    </row>
    <row r="8522" spans="1:3" x14ac:dyDescent="0.25">
      <c r="C8522" s="1"/>
    </row>
    <row r="8523" spans="1:3" x14ac:dyDescent="0.25">
      <c r="C8523" s="1"/>
    </row>
    <row r="8524" spans="1:3" x14ac:dyDescent="0.25">
      <c r="C8524" s="1"/>
    </row>
    <row r="8525" spans="1:3" x14ac:dyDescent="0.25">
      <c r="C8525" s="1"/>
    </row>
    <row r="8526" spans="1:3" x14ac:dyDescent="0.25">
      <c r="C8526" s="1"/>
    </row>
    <row r="8527" spans="1:3" x14ac:dyDescent="0.25">
      <c r="C8527" s="1"/>
    </row>
    <row r="8528" spans="1:3" x14ac:dyDescent="0.25">
      <c r="C8528" s="1"/>
    </row>
    <row r="8529" spans="1:3" x14ac:dyDescent="0.25">
      <c r="C8529" s="1"/>
    </row>
    <row r="8530" spans="1:3" x14ac:dyDescent="0.25">
      <c r="C8530" s="1"/>
    </row>
    <row r="8531" spans="1:3" x14ac:dyDescent="0.25">
      <c r="C8531" s="1"/>
    </row>
    <row r="8532" spans="1:3" x14ac:dyDescent="0.25">
      <c r="C8532" s="1"/>
    </row>
    <row r="8533" spans="1:3" x14ac:dyDescent="0.25">
      <c r="C8533" s="1"/>
    </row>
    <row r="8534" spans="1:3" x14ac:dyDescent="0.25">
      <c r="C8534" s="1"/>
    </row>
    <row r="8535" spans="1:3" x14ac:dyDescent="0.25">
      <c r="C8535" s="1"/>
    </row>
    <row r="8536" spans="1:3" x14ac:dyDescent="0.25">
      <c r="C8536" s="1"/>
    </row>
    <row r="8537" spans="1:3" x14ac:dyDescent="0.25">
      <c r="C8537" s="1"/>
    </row>
    <row r="8541" spans="1:3" x14ac:dyDescent="0.25">
      <c r="A8541" s="9"/>
      <c r="C8541" s="1"/>
    </row>
    <row r="8542" spans="1:3" x14ac:dyDescent="0.25">
      <c r="C8542" s="1"/>
    </row>
    <row r="8543" spans="1:3" x14ac:dyDescent="0.25">
      <c r="C8543" s="1"/>
    </row>
    <row r="8544" spans="1:3" x14ac:dyDescent="0.25">
      <c r="C8544" s="1"/>
    </row>
    <row r="8545" spans="3:3" x14ac:dyDescent="0.25">
      <c r="C8545" s="1"/>
    </row>
    <row r="8546" spans="3:3" x14ac:dyDescent="0.25">
      <c r="C8546" s="1"/>
    </row>
    <row r="8547" spans="3:3" x14ac:dyDescent="0.25">
      <c r="C8547" s="1"/>
    </row>
    <row r="8548" spans="3:3" x14ac:dyDescent="0.25">
      <c r="C8548" s="1"/>
    </row>
    <row r="8549" spans="3:3" x14ac:dyDescent="0.25">
      <c r="C8549" s="1"/>
    </row>
    <row r="8550" spans="3:3" x14ac:dyDescent="0.25">
      <c r="C8550" s="1"/>
    </row>
    <row r="8551" spans="3:3" x14ac:dyDescent="0.25">
      <c r="C8551" s="1"/>
    </row>
    <row r="8552" spans="3:3" x14ac:dyDescent="0.25">
      <c r="C8552" s="1"/>
    </row>
    <row r="8553" spans="3:3" x14ac:dyDescent="0.25">
      <c r="C8553" s="1"/>
    </row>
    <row r="8554" spans="3:3" x14ac:dyDescent="0.25">
      <c r="C8554" s="1"/>
    </row>
    <row r="8555" spans="3:3" x14ac:dyDescent="0.25">
      <c r="C8555" s="1"/>
    </row>
    <row r="8556" spans="3:3" x14ac:dyDescent="0.25">
      <c r="C8556" s="1"/>
    </row>
    <row r="8557" spans="3:3" x14ac:dyDescent="0.25">
      <c r="C8557" s="1"/>
    </row>
    <row r="8558" spans="3:3" x14ac:dyDescent="0.25">
      <c r="C8558" s="1"/>
    </row>
    <row r="8559" spans="3:3" x14ac:dyDescent="0.25">
      <c r="C8559" s="1"/>
    </row>
    <row r="8560" spans="3:3" x14ac:dyDescent="0.25">
      <c r="C8560" s="1"/>
    </row>
    <row r="8561" spans="1:3" x14ac:dyDescent="0.25">
      <c r="C8561" s="1"/>
    </row>
    <row r="8562" spans="1:3" x14ac:dyDescent="0.25">
      <c r="C8562" s="1"/>
    </row>
    <row r="8563" spans="1:3" x14ac:dyDescent="0.25">
      <c r="C8563" s="1"/>
    </row>
    <row r="8564" spans="1:3" x14ac:dyDescent="0.25">
      <c r="A8564" s="9"/>
      <c r="C8564" s="1"/>
    </row>
    <row r="8565" spans="1:3" x14ac:dyDescent="0.25">
      <c r="C8565" s="1"/>
    </row>
    <row r="8566" spans="1:3" x14ac:dyDescent="0.25">
      <c r="C8566" s="1"/>
    </row>
    <row r="8567" spans="1:3" x14ac:dyDescent="0.25">
      <c r="C8567" s="1"/>
    </row>
    <row r="8568" spans="1:3" x14ac:dyDescent="0.25">
      <c r="C8568" s="1"/>
    </row>
    <row r="8569" spans="1:3" x14ac:dyDescent="0.25">
      <c r="C8569" s="1"/>
    </row>
    <row r="8570" spans="1:3" x14ac:dyDescent="0.25">
      <c r="C8570" s="1"/>
    </row>
    <row r="8571" spans="1:3" x14ac:dyDescent="0.25">
      <c r="C8571" s="1"/>
    </row>
    <row r="8572" spans="1:3" x14ac:dyDescent="0.25">
      <c r="C8572" s="1"/>
    </row>
    <row r="8573" spans="1:3" x14ac:dyDescent="0.25">
      <c r="C8573" s="1"/>
    </row>
    <row r="8574" spans="1:3" x14ac:dyDescent="0.25">
      <c r="C8574" s="1"/>
    </row>
    <row r="8575" spans="1:3" x14ac:dyDescent="0.25">
      <c r="C8575" s="1"/>
    </row>
    <row r="8576" spans="1:3" x14ac:dyDescent="0.25">
      <c r="C8576" s="1"/>
    </row>
    <row r="8577" spans="1:3" x14ac:dyDescent="0.25">
      <c r="C8577" s="1"/>
    </row>
    <row r="8578" spans="1:3" x14ac:dyDescent="0.25">
      <c r="C8578" s="1"/>
    </row>
    <row r="8579" spans="1:3" x14ac:dyDescent="0.25">
      <c r="C8579" s="1"/>
    </row>
    <row r="8580" spans="1:3" x14ac:dyDescent="0.25">
      <c r="C8580" s="1"/>
    </row>
    <row r="8581" spans="1:3" x14ac:dyDescent="0.25">
      <c r="C8581" s="1"/>
    </row>
    <row r="8582" spans="1:3" x14ac:dyDescent="0.25">
      <c r="C8582" s="1"/>
    </row>
    <row r="8583" spans="1:3" x14ac:dyDescent="0.25">
      <c r="C8583" s="1"/>
    </row>
    <row r="8584" spans="1:3" x14ac:dyDescent="0.25">
      <c r="C8584" s="1"/>
    </row>
    <row r="8587" spans="1:3" x14ac:dyDescent="0.25">
      <c r="A8587" s="9"/>
      <c r="C8587" s="1"/>
    </row>
    <row r="8588" spans="1:3" x14ac:dyDescent="0.25">
      <c r="C8588" s="1"/>
    </row>
    <row r="8589" spans="1:3" x14ac:dyDescent="0.25">
      <c r="C8589" s="1"/>
    </row>
    <row r="8590" spans="1:3" x14ac:dyDescent="0.25">
      <c r="C8590" s="1"/>
    </row>
    <row r="8591" spans="1:3" x14ac:dyDescent="0.25">
      <c r="C8591" s="1"/>
    </row>
    <row r="8592" spans="1:3" x14ac:dyDescent="0.25">
      <c r="C8592" s="1"/>
    </row>
    <row r="8593" spans="3:3" x14ac:dyDescent="0.25">
      <c r="C8593" s="1"/>
    </row>
    <row r="8594" spans="3:3" x14ac:dyDescent="0.25">
      <c r="C8594" s="1"/>
    </row>
    <row r="8595" spans="3:3" x14ac:dyDescent="0.25">
      <c r="C8595" s="1"/>
    </row>
    <row r="8596" spans="3:3" x14ac:dyDescent="0.25">
      <c r="C8596" s="1"/>
    </row>
    <row r="8597" spans="3:3" x14ac:dyDescent="0.25">
      <c r="C8597" s="1"/>
    </row>
    <row r="8598" spans="3:3" x14ac:dyDescent="0.25">
      <c r="C8598" s="1"/>
    </row>
    <row r="8599" spans="3:3" x14ac:dyDescent="0.25">
      <c r="C8599" s="1"/>
    </row>
    <row r="8600" spans="3:3" x14ac:dyDescent="0.25">
      <c r="C8600" s="1"/>
    </row>
    <row r="8601" spans="3:3" x14ac:dyDescent="0.25">
      <c r="C8601" s="1"/>
    </row>
    <row r="8602" spans="3:3" x14ac:dyDescent="0.25">
      <c r="C8602" s="1"/>
    </row>
    <row r="8603" spans="3:3" x14ac:dyDescent="0.25">
      <c r="C8603" s="1"/>
    </row>
    <row r="8604" spans="3:3" x14ac:dyDescent="0.25">
      <c r="C8604" s="1"/>
    </row>
    <row r="8605" spans="3:3" x14ac:dyDescent="0.25">
      <c r="C8605" s="1"/>
    </row>
    <row r="8606" spans="3:3" x14ac:dyDescent="0.25">
      <c r="C8606" s="1"/>
    </row>
    <row r="8607" spans="3:3" x14ac:dyDescent="0.25">
      <c r="C8607" s="1"/>
    </row>
    <row r="8608" spans="3:3" x14ac:dyDescent="0.25">
      <c r="C8608" s="1"/>
    </row>
    <row r="8610" spans="1:3" x14ac:dyDescent="0.25">
      <c r="A8610" s="9"/>
      <c r="C8610" s="1"/>
    </row>
    <row r="8611" spans="1:3" x14ac:dyDescent="0.25">
      <c r="C8611" s="1"/>
    </row>
    <row r="8612" spans="1:3" x14ac:dyDescent="0.25">
      <c r="C8612" s="1"/>
    </row>
    <row r="8613" spans="1:3" x14ac:dyDescent="0.25">
      <c r="C8613" s="1"/>
    </row>
    <row r="8614" spans="1:3" x14ac:dyDescent="0.25">
      <c r="C8614" s="1"/>
    </row>
    <row r="8615" spans="1:3" x14ac:dyDescent="0.25">
      <c r="C8615" s="1"/>
    </row>
    <row r="8616" spans="1:3" x14ac:dyDescent="0.25">
      <c r="C8616" s="1"/>
    </row>
    <row r="8617" spans="1:3" x14ac:dyDescent="0.25">
      <c r="C8617" s="1"/>
    </row>
    <row r="8618" spans="1:3" x14ac:dyDescent="0.25">
      <c r="C8618" s="1"/>
    </row>
    <row r="8619" spans="1:3" x14ac:dyDescent="0.25">
      <c r="C8619" s="1"/>
    </row>
    <row r="8620" spans="1:3" x14ac:dyDescent="0.25">
      <c r="C8620" s="1"/>
    </row>
    <row r="8621" spans="1:3" x14ac:dyDescent="0.25">
      <c r="C8621" s="1"/>
    </row>
    <row r="8622" spans="1:3" x14ac:dyDescent="0.25">
      <c r="C8622" s="1"/>
    </row>
    <row r="8623" spans="1:3" x14ac:dyDescent="0.25">
      <c r="C8623" s="1"/>
    </row>
    <row r="8624" spans="1:3" x14ac:dyDescent="0.25">
      <c r="C8624" s="1"/>
    </row>
    <row r="8625" spans="1:3" x14ac:dyDescent="0.25">
      <c r="C8625" s="1"/>
    </row>
    <row r="8626" spans="1:3" x14ac:dyDescent="0.25">
      <c r="C8626" s="1"/>
    </row>
    <row r="8627" spans="1:3" x14ac:dyDescent="0.25">
      <c r="C8627" s="1"/>
    </row>
    <row r="8628" spans="1:3" x14ac:dyDescent="0.25">
      <c r="C8628" s="1"/>
    </row>
    <row r="8629" spans="1:3" x14ac:dyDescent="0.25">
      <c r="C8629" s="1"/>
    </row>
    <row r="8630" spans="1:3" x14ac:dyDescent="0.25">
      <c r="C8630" s="1"/>
    </row>
    <row r="8631" spans="1:3" x14ac:dyDescent="0.25">
      <c r="C8631" s="1"/>
    </row>
    <row r="8633" spans="1:3" x14ac:dyDescent="0.25">
      <c r="A8633" s="9"/>
      <c r="C8633" s="1"/>
    </row>
    <row r="8634" spans="1:3" x14ac:dyDescent="0.25">
      <c r="C8634" s="1"/>
    </row>
    <row r="8635" spans="1:3" x14ac:dyDescent="0.25">
      <c r="C8635" s="1"/>
    </row>
    <row r="8636" spans="1:3" x14ac:dyDescent="0.25">
      <c r="C8636" s="1"/>
    </row>
    <row r="8637" spans="1:3" x14ac:dyDescent="0.25">
      <c r="C8637" s="1"/>
    </row>
    <row r="8638" spans="1:3" x14ac:dyDescent="0.25">
      <c r="C8638" s="1"/>
    </row>
    <row r="8639" spans="1:3" x14ac:dyDescent="0.25">
      <c r="C8639" s="1"/>
    </row>
    <row r="8640" spans="1:3" x14ac:dyDescent="0.25">
      <c r="C8640" s="1"/>
    </row>
    <row r="8641" spans="1:3" x14ac:dyDescent="0.25">
      <c r="C8641" s="1"/>
    </row>
    <row r="8642" spans="1:3" x14ac:dyDescent="0.25">
      <c r="C8642" s="1"/>
    </row>
    <row r="8643" spans="1:3" x14ac:dyDescent="0.25">
      <c r="C8643" s="1"/>
    </row>
    <row r="8644" spans="1:3" x14ac:dyDescent="0.25">
      <c r="C8644" s="1"/>
    </row>
    <row r="8645" spans="1:3" x14ac:dyDescent="0.25">
      <c r="C8645" s="1"/>
    </row>
    <row r="8646" spans="1:3" x14ac:dyDescent="0.25">
      <c r="C8646" s="1"/>
    </row>
    <row r="8647" spans="1:3" x14ac:dyDescent="0.25">
      <c r="C8647" s="1"/>
    </row>
    <row r="8648" spans="1:3" x14ac:dyDescent="0.25">
      <c r="C8648" s="1"/>
    </row>
    <row r="8649" spans="1:3" x14ac:dyDescent="0.25">
      <c r="C8649" s="1"/>
    </row>
    <row r="8650" spans="1:3" x14ac:dyDescent="0.25">
      <c r="C8650" s="1"/>
    </row>
    <row r="8651" spans="1:3" x14ac:dyDescent="0.25">
      <c r="C8651" s="1"/>
    </row>
    <row r="8652" spans="1:3" x14ac:dyDescent="0.25">
      <c r="C8652" s="1"/>
    </row>
    <row r="8656" spans="1:3" x14ac:dyDescent="0.25">
      <c r="A8656" s="9"/>
      <c r="C8656" s="1"/>
    </row>
    <row r="8657" spans="3:3" x14ac:dyDescent="0.25">
      <c r="C8657" s="1"/>
    </row>
    <row r="8658" spans="3:3" x14ac:dyDescent="0.25">
      <c r="C8658" s="1"/>
    </row>
    <row r="8659" spans="3:3" x14ac:dyDescent="0.25">
      <c r="C8659" s="1"/>
    </row>
    <row r="8660" spans="3:3" x14ac:dyDescent="0.25">
      <c r="C8660" s="1"/>
    </row>
    <row r="8661" spans="3:3" x14ac:dyDescent="0.25">
      <c r="C8661" s="1"/>
    </row>
    <row r="8662" spans="3:3" x14ac:dyDescent="0.25">
      <c r="C8662" s="1"/>
    </row>
    <row r="8663" spans="3:3" x14ac:dyDescent="0.25">
      <c r="C8663" s="1"/>
    </row>
    <row r="8664" spans="3:3" x14ac:dyDescent="0.25">
      <c r="C8664" s="1"/>
    </row>
    <row r="8665" spans="3:3" x14ac:dyDescent="0.25">
      <c r="C8665" s="1"/>
    </row>
    <row r="8666" spans="3:3" x14ac:dyDescent="0.25">
      <c r="C8666" s="1"/>
    </row>
    <row r="8667" spans="3:3" x14ac:dyDescent="0.25">
      <c r="C8667" s="1"/>
    </row>
    <row r="8668" spans="3:3" x14ac:dyDescent="0.25">
      <c r="C8668" s="1"/>
    </row>
    <row r="8669" spans="3:3" x14ac:dyDescent="0.25">
      <c r="C8669" s="1"/>
    </row>
    <row r="8670" spans="3:3" x14ac:dyDescent="0.25">
      <c r="C8670" s="1"/>
    </row>
    <row r="8671" spans="3:3" x14ac:dyDescent="0.25">
      <c r="C8671" s="1"/>
    </row>
    <row r="8672" spans="3:3" x14ac:dyDescent="0.25">
      <c r="C8672" s="1"/>
    </row>
    <row r="8673" spans="1:3" x14ac:dyDescent="0.25">
      <c r="C8673" s="1"/>
    </row>
    <row r="8674" spans="1:3" x14ac:dyDescent="0.25">
      <c r="C8674" s="1"/>
    </row>
    <row r="8675" spans="1:3" x14ac:dyDescent="0.25">
      <c r="C8675" s="1"/>
    </row>
    <row r="8676" spans="1:3" x14ac:dyDescent="0.25">
      <c r="C8676" s="1"/>
    </row>
    <row r="8677" spans="1:3" x14ac:dyDescent="0.25">
      <c r="C8677" s="1"/>
    </row>
    <row r="8678" spans="1:3" x14ac:dyDescent="0.25">
      <c r="C8678" s="1"/>
    </row>
    <row r="8679" spans="1:3" x14ac:dyDescent="0.25">
      <c r="A8679" s="9"/>
      <c r="C8679" s="1"/>
    </row>
    <row r="8680" spans="1:3" x14ac:dyDescent="0.25">
      <c r="C8680" s="1"/>
    </row>
    <row r="8681" spans="1:3" x14ac:dyDescent="0.25">
      <c r="C8681" s="1"/>
    </row>
    <row r="8682" spans="1:3" x14ac:dyDescent="0.25">
      <c r="C8682" s="1"/>
    </row>
    <row r="8683" spans="1:3" x14ac:dyDescent="0.25">
      <c r="C8683" s="1"/>
    </row>
    <row r="8684" spans="1:3" x14ac:dyDescent="0.25">
      <c r="C8684" s="1"/>
    </row>
    <row r="8685" spans="1:3" x14ac:dyDescent="0.25">
      <c r="C8685" s="1"/>
    </row>
    <row r="8686" spans="1:3" x14ac:dyDescent="0.25">
      <c r="C8686" s="1"/>
    </row>
    <row r="8687" spans="1:3" x14ac:dyDescent="0.25">
      <c r="C8687" s="1"/>
    </row>
    <row r="8688" spans="1:3" x14ac:dyDescent="0.25">
      <c r="C8688" s="1"/>
    </row>
    <row r="8689" spans="1:3" x14ac:dyDescent="0.25">
      <c r="C8689" s="1"/>
    </row>
    <row r="8690" spans="1:3" x14ac:dyDescent="0.25">
      <c r="C8690" s="1"/>
    </row>
    <row r="8691" spans="1:3" x14ac:dyDescent="0.25">
      <c r="C8691" s="1"/>
    </row>
    <row r="8692" spans="1:3" x14ac:dyDescent="0.25">
      <c r="C8692" s="1"/>
    </row>
    <row r="8702" spans="1:3" x14ac:dyDescent="0.25">
      <c r="A8702" s="9"/>
      <c r="C8702" s="1"/>
    </row>
    <row r="8703" spans="1:3" x14ac:dyDescent="0.25">
      <c r="C8703" s="1"/>
    </row>
    <row r="8704" spans="1:3" x14ac:dyDescent="0.25">
      <c r="C8704" s="1"/>
    </row>
    <row r="8705" spans="3:3" x14ac:dyDescent="0.25">
      <c r="C8705" s="1"/>
    </row>
    <row r="8706" spans="3:3" x14ac:dyDescent="0.25">
      <c r="C8706" s="1"/>
    </row>
    <row r="8707" spans="3:3" x14ac:dyDescent="0.25">
      <c r="C8707" s="1"/>
    </row>
    <row r="8708" spans="3:3" x14ac:dyDescent="0.25">
      <c r="C8708" s="1"/>
    </row>
    <row r="8709" spans="3:3" x14ac:dyDescent="0.25">
      <c r="C8709" s="1"/>
    </row>
    <row r="8710" spans="3:3" x14ac:dyDescent="0.25">
      <c r="C8710" s="1"/>
    </row>
    <row r="8711" spans="3:3" x14ac:dyDescent="0.25">
      <c r="C8711" s="1"/>
    </row>
    <row r="8712" spans="3:3" x14ac:dyDescent="0.25">
      <c r="C8712" s="1"/>
    </row>
    <row r="8713" spans="3:3" x14ac:dyDescent="0.25">
      <c r="C8713" s="1"/>
    </row>
    <row r="8714" spans="3:3" x14ac:dyDescent="0.25">
      <c r="C8714" s="1"/>
    </row>
    <row r="8715" spans="3:3" x14ac:dyDescent="0.25">
      <c r="C8715" s="1"/>
    </row>
    <row r="8716" spans="3:3" x14ac:dyDescent="0.25">
      <c r="C8716" s="1"/>
    </row>
    <row r="8717" spans="3:3" x14ac:dyDescent="0.25">
      <c r="C8717" s="1"/>
    </row>
    <row r="8718" spans="3:3" x14ac:dyDescent="0.25">
      <c r="C8718" s="1"/>
    </row>
    <row r="8719" spans="3:3" x14ac:dyDescent="0.25">
      <c r="C8719" s="1"/>
    </row>
    <row r="8720" spans="3:3" x14ac:dyDescent="0.25">
      <c r="C8720" s="1"/>
    </row>
    <row r="8721" spans="1:3" x14ac:dyDescent="0.25">
      <c r="C8721" s="1"/>
    </row>
    <row r="8722" spans="1:3" x14ac:dyDescent="0.25">
      <c r="C8722" s="1"/>
    </row>
    <row r="8723" spans="1:3" x14ac:dyDescent="0.25">
      <c r="A8723" s="9"/>
      <c r="C8723" s="1"/>
    </row>
    <row r="8725" spans="1:3" x14ac:dyDescent="0.25">
      <c r="A8725" s="9"/>
      <c r="C8725" s="1"/>
    </row>
    <row r="8748" spans="1:3" x14ac:dyDescent="0.25">
      <c r="A8748" s="9"/>
      <c r="C8748" s="1"/>
    </row>
    <row r="8771" spans="1:3" x14ac:dyDescent="0.25">
      <c r="A8771" s="9"/>
      <c r="C8771" s="1"/>
    </row>
    <row r="8794" spans="1:3" x14ac:dyDescent="0.25">
      <c r="A8794" s="9"/>
      <c r="C8794" s="1"/>
    </row>
    <row r="8817" spans="1:3" x14ac:dyDescent="0.25">
      <c r="A8817" s="9"/>
      <c r="C8817" s="1"/>
    </row>
    <row r="8840" spans="1:3" x14ac:dyDescent="0.25">
      <c r="A8840" s="9"/>
      <c r="C8840" s="1"/>
    </row>
    <row r="8863" spans="1:3" x14ac:dyDescent="0.25">
      <c r="A8863" s="9"/>
      <c r="C8863" s="1"/>
    </row>
    <row r="8886" spans="1:3" x14ac:dyDescent="0.25">
      <c r="A8886" s="9"/>
      <c r="C8886" s="1"/>
    </row>
    <row r="8909" spans="1:3" x14ac:dyDescent="0.25">
      <c r="A8909" s="9"/>
      <c r="C8909" s="1"/>
    </row>
    <row r="8932" spans="1:3" x14ac:dyDescent="0.25">
      <c r="A8932" s="9"/>
      <c r="C8932" s="1"/>
    </row>
    <row r="8955" spans="1:3" x14ac:dyDescent="0.25">
      <c r="A8955" s="9"/>
      <c r="C8955" s="1"/>
    </row>
    <row r="8978" spans="1:3" x14ac:dyDescent="0.25">
      <c r="A8978" s="9"/>
      <c r="C8978" s="1"/>
    </row>
    <row r="9001" spans="1:3" x14ac:dyDescent="0.25">
      <c r="A9001" s="9"/>
      <c r="C9001" s="1"/>
    </row>
    <row r="9002" spans="1:3" x14ac:dyDescent="0.25">
      <c r="C9002" s="1"/>
    </row>
    <row r="9003" spans="1:3" x14ac:dyDescent="0.25">
      <c r="C9003" s="1"/>
    </row>
    <row r="9004" spans="1:3" x14ac:dyDescent="0.25">
      <c r="C9004" s="1"/>
    </row>
    <row r="9005" spans="1:3" x14ac:dyDescent="0.25">
      <c r="C9005" s="1"/>
    </row>
    <row r="9006" spans="1:3" x14ac:dyDescent="0.25">
      <c r="C9006" s="1"/>
    </row>
    <row r="9007" spans="1:3" x14ac:dyDescent="0.25">
      <c r="C9007" s="1"/>
    </row>
    <row r="9008" spans="1:3" x14ac:dyDescent="0.25">
      <c r="C9008" s="1"/>
    </row>
    <row r="9009" spans="1:3" x14ac:dyDescent="0.25">
      <c r="C9009" s="1"/>
    </row>
    <row r="9010" spans="1:3" x14ac:dyDescent="0.25">
      <c r="C9010" s="1"/>
    </row>
    <row r="9011" spans="1:3" x14ac:dyDescent="0.25">
      <c r="C9011" s="1"/>
    </row>
    <row r="9012" spans="1:3" x14ac:dyDescent="0.25">
      <c r="C9012" s="1"/>
    </row>
    <row r="9013" spans="1:3" x14ac:dyDescent="0.25">
      <c r="C9013" s="1"/>
    </row>
    <row r="9014" spans="1:3" x14ac:dyDescent="0.25">
      <c r="C9014" s="1"/>
    </row>
    <row r="9015" spans="1:3" x14ac:dyDescent="0.25">
      <c r="C9015" s="1"/>
    </row>
    <row r="9016" spans="1:3" x14ac:dyDescent="0.25">
      <c r="C9016" s="1"/>
    </row>
    <row r="9017" spans="1:3" x14ac:dyDescent="0.25">
      <c r="C9017" s="1"/>
    </row>
    <row r="9018" spans="1:3" x14ac:dyDescent="0.25">
      <c r="C9018" s="1"/>
    </row>
    <row r="9019" spans="1:3" x14ac:dyDescent="0.25">
      <c r="C9019" s="1"/>
    </row>
    <row r="9020" spans="1:3" x14ac:dyDescent="0.25">
      <c r="C9020" s="1"/>
    </row>
    <row r="9021" spans="1:3" x14ac:dyDescent="0.25">
      <c r="C9021" s="1"/>
    </row>
    <row r="9022" spans="1:3" x14ac:dyDescent="0.25">
      <c r="C9022" s="1"/>
    </row>
    <row r="9023" spans="1:3" x14ac:dyDescent="0.25">
      <c r="C9023" s="1"/>
    </row>
    <row r="9024" spans="1:3" x14ac:dyDescent="0.25">
      <c r="A9024" s="9"/>
      <c r="C9024" s="1"/>
    </row>
    <row r="9025" spans="3:3" x14ac:dyDescent="0.25">
      <c r="C9025" s="1"/>
    </row>
    <row r="9026" spans="3:3" x14ac:dyDescent="0.25">
      <c r="C9026" s="1"/>
    </row>
    <row r="9027" spans="3:3" x14ac:dyDescent="0.25">
      <c r="C9027" s="1"/>
    </row>
    <row r="9028" spans="3:3" x14ac:dyDescent="0.25">
      <c r="C9028" s="1"/>
    </row>
    <row r="9029" spans="3:3" x14ac:dyDescent="0.25">
      <c r="C9029" s="1"/>
    </row>
    <row r="9030" spans="3:3" x14ac:dyDescent="0.25">
      <c r="C9030" s="1"/>
    </row>
    <row r="9031" spans="3:3" x14ac:dyDescent="0.25">
      <c r="C9031" s="1"/>
    </row>
    <row r="9032" spans="3:3" x14ac:dyDescent="0.25">
      <c r="C9032" s="1"/>
    </row>
    <row r="9033" spans="3:3" x14ac:dyDescent="0.25">
      <c r="C9033" s="1"/>
    </row>
    <row r="9034" spans="3:3" x14ac:dyDescent="0.25">
      <c r="C9034" s="1"/>
    </row>
    <row r="9035" spans="3:3" x14ac:dyDescent="0.25">
      <c r="C9035" s="1"/>
    </row>
    <row r="9036" spans="3:3" x14ac:dyDescent="0.25">
      <c r="C9036" s="1"/>
    </row>
    <row r="9037" spans="3:3" x14ac:dyDescent="0.25">
      <c r="C9037" s="1"/>
    </row>
    <row r="9038" spans="3:3" x14ac:dyDescent="0.25">
      <c r="C9038" s="1"/>
    </row>
    <row r="9039" spans="3:3" x14ac:dyDescent="0.25">
      <c r="C9039" s="1"/>
    </row>
    <row r="9040" spans="3:3" x14ac:dyDescent="0.25">
      <c r="C9040" s="1"/>
    </row>
    <row r="9041" spans="1:3" x14ac:dyDescent="0.25">
      <c r="C9041" s="1"/>
    </row>
    <row r="9042" spans="1:3" x14ac:dyDescent="0.25">
      <c r="C9042" s="1"/>
    </row>
    <row r="9043" spans="1:3" x14ac:dyDescent="0.25">
      <c r="C9043" s="1"/>
    </row>
    <row r="9044" spans="1:3" x14ac:dyDescent="0.25">
      <c r="C9044" s="1"/>
    </row>
    <row r="9045" spans="1:3" x14ac:dyDescent="0.25">
      <c r="C9045" s="1"/>
    </row>
    <row r="9046" spans="1:3" x14ac:dyDescent="0.25">
      <c r="C9046" s="1"/>
    </row>
    <row r="9047" spans="1:3" x14ac:dyDescent="0.25">
      <c r="A9047" s="9"/>
      <c r="C9047" s="1"/>
    </row>
    <row r="9048" spans="1:3" x14ac:dyDescent="0.25">
      <c r="C9048" s="1"/>
    </row>
    <row r="9049" spans="1:3" x14ac:dyDescent="0.25">
      <c r="C9049" s="1"/>
    </row>
    <row r="9050" spans="1:3" x14ac:dyDescent="0.25">
      <c r="C9050" s="1"/>
    </row>
    <row r="9051" spans="1:3" x14ac:dyDescent="0.25">
      <c r="C9051" s="1"/>
    </row>
    <row r="9052" spans="1:3" x14ac:dyDescent="0.25">
      <c r="C9052" s="1"/>
    </row>
    <row r="9053" spans="1:3" x14ac:dyDescent="0.25">
      <c r="C9053" s="1"/>
    </row>
    <row r="9054" spans="1:3" x14ac:dyDescent="0.25">
      <c r="C9054" s="1"/>
    </row>
    <row r="9055" spans="1:3" x14ac:dyDescent="0.25">
      <c r="C9055" s="1"/>
    </row>
    <row r="9056" spans="1:3" x14ac:dyDescent="0.25">
      <c r="C9056" s="1"/>
    </row>
    <row r="9057" spans="1:3" x14ac:dyDescent="0.25">
      <c r="C9057" s="1"/>
    </row>
    <row r="9058" spans="1:3" x14ac:dyDescent="0.25">
      <c r="C9058" s="1"/>
    </row>
    <row r="9059" spans="1:3" x14ac:dyDescent="0.25">
      <c r="C9059" s="1"/>
    </row>
    <row r="9060" spans="1:3" x14ac:dyDescent="0.25">
      <c r="C9060" s="1"/>
    </row>
    <row r="9061" spans="1:3" x14ac:dyDescent="0.25">
      <c r="C9061" s="1"/>
    </row>
    <row r="9062" spans="1:3" x14ac:dyDescent="0.25">
      <c r="C9062" s="1"/>
    </row>
    <row r="9063" spans="1:3" x14ac:dyDescent="0.25">
      <c r="C9063" s="1"/>
    </row>
    <row r="9064" spans="1:3" x14ac:dyDescent="0.25">
      <c r="C9064" s="1"/>
    </row>
    <row r="9065" spans="1:3" x14ac:dyDescent="0.25">
      <c r="C9065" s="1"/>
    </row>
    <row r="9066" spans="1:3" x14ac:dyDescent="0.25">
      <c r="C9066" s="1"/>
    </row>
    <row r="9067" spans="1:3" x14ac:dyDescent="0.25">
      <c r="C9067" s="1"/>
    </row>
    <row r="9070" spans="1:3" x14ac:dyDescent="0.25">
      <c r="A9070" s="9"/>
      <c r="C9070" s="1"/>
    </row>
    <row r="9071" spans="1:3" x14ac:dyDescent="0.25">
      <c r="C9071" s="1"/>
    </row>
    <row r="9072" spans="1:3" x14ac:dyDescent="0.25">
      <c r="C9072" s="1"/>
    </row>
    <row r="9073" spans="3:3" x14ac:dyDescent="0.25">
      <c r="C9073" s="1"/>
    </row>
    <row r="9074" spans="3:3" x14ac:dyDescent="0.25">
      <c r="C9074" s="1"/>
    </row>
    <row r="9075" spans="3:3" x14ac:dyDescent="0.25">
      <c r="C9075" s="1"/>
    </row>
    <row r="9076" spans="3:3" x14ac:dyDescent="0.25">
      <c r="C9076" s="1"/>
    </row>
    <row r="9077" spans="3:3" x14ac:dyDescent="0.25">
      <c r="C9077" s="1"/>
    </row>
    <row r="9078" spans="3:3" x14ac:dyDescent="0.25">
      <c r="C9078" s="1"/>
    </row>
    <row r="9079" spans="3:3" x14ac:dyDescent="0.25">
      <c r="C9079" s="1"/>
    </row>
    <row r="9080" spans="3:3" x14ac:dyDescent="0.25">
      <c r="C9080" s="1"/>
    </row>
    <row r="9081" spans="3:3" x14ac:dyDescent="0.25">
      <c r="C9081" s="1"/>
    </row>
    <row r="9082" spans="3:3" x14ac:dyDescent="0.25">
      <c r="C9082" s="1"/>
    </row>
    <row r="9083" spans="3:3" x14ac:dyDescent="0.25">
      <c r="C9083" s="1"/>
    </row>
    <row r="9084" spans="3:3" x14ac:dyDescent="0.25">
      <c r="C9084" s="1"/>
    </row>
    <row r="9085" spans="3:3" x14ac:dyDescent="0.25">
      <c r="C9085" s="1"/>
    </row>
    <row r="9086" spans="3:3" x14ac:dyDescent="0.25">
      <c r="C9086" s="1"/>
    </row>
    <row r="9087" spans="3:3" x14ac:dyDescent="0.25">
      <c r="C9087" s="1"/>
    </row>
    <row r="9088" spans="3:3" x14ac:dyDescent="0.25">
      <c r="C9088" s="1"/>
    </row>
    <row r="9089" spans="1:3" x14ac:dyDescent="0.25">
      <c r="C9089" s="1"/>
    </row>
    <row r="9093" spans="1:3" x14ac:dyDescent="0.25">
      <c r="A9093" s="9"/>
      <c r="C9093" s="1"/>
    </row>
    <row r="9094" spans="1:3" x14ac:dyDescent="0.25">
      <c r="C9094" s="1"/>
    </row>
    <row r="9095" spans="1:3" x14ac:dyDescent="0.25">
      <c r="C9095" s="1"/>
    </row>
    <row r="9096" spans="1:3" x14ac:dyDescent="0.25">
      <c r="C9096" s="1"/>
    </row>
    <row r="9097" spans="1:3" x14ac:dyDescent="0.25">
      <c r="C9097" s="1"/>
    </row>
    <row r="9098" spans="1:3" x14ac:dyDescent="0.25">
      <c r="C9098" s="1"/>
    </row>
    <row r="9099" spans="1:3" x14ac:dyDescent="0.25">
      <c r="C9099" s="1"/>
    </row>
    <row r="9100" spans="1:3" x14ac:dyDescent="0.25">
      <c r="C9100" s="1"/>
    </row>
    <row r="9101" spans="1:3" x14ac:dyDescent="0.25">
      <c r="C9101" s="1"/>
    </row>
    <row r="9102" spans="1:3" x14ac:dyDescent="0.25">
      <c r="C9102" s="1"/>
    </row>
    <row r="9103" spans="1:3" x14ac:dyDescent="0.25">
      <c r="C9103" s="1"/>
    </row>
    <row r="9104" spans="1:3" x14ac:dyDescent="0.25">
      <c r="C9104" s="1"/>
    </row>
    <row r="9105" spans="1:3" x14ac:dyDescent="0.25">
      <c r="C9105" s="1"/>
    </row>
    <row r="9106" spans="1:3" x14ac:dyDescent="0.25">
      <c r="C9106" s="1"/>
    </row>
    <row r="9107" spans="1:3" x14ac:dyDescent="0.25">
      <c r="C9107" s="1"/>
    </row>
    <row r="9108" spans="1:3" x14ac:dyDescent="0.25">
      <c r="C9108" s="1"/>
    </row>
    <row r="9109" spans="1:3" x14ac:dyDescent="0.25">
      <c r="C9109" s="1"/>
    </row>
    <row r="9110" spans="1:3" x14ac:dyDescent="0.25">
      <c r="C9110" s="1"/>
    </row>
    <row r="9111" spans="1:3" x14ac:dyDescent="0.25">
      <c r="C9111" s="1"/>
    </row>
    <row r="9112" spans="1:3" x14ac:dyDescent="0.25">
      <c r="C9112" s="1"/>
    </row>
    <row r="9113" spans="1:3" x14ac:dyDescent="0.25">
      <c r="C9113" s="1"/>
    </row>
    <row r="9114" spans="1:3" x14ac:dyDescent="0.25">
      <c r="C9114" s="1"/>
    </row>
    <row r="9115" spans="1:3" x14ac:dyDescent="0.25">
      <c r="C9115" s="1"/>
    </row>
    <row r="9116" spans="1:3" x14ac:dyDescent="0.25">
      <c r="A9116" s="9"/>
      <c r="C9116" s="1"/>
    </row>
    <row r="9117" spans="1:3" x14ac:dyDescent="0.25">
      <c r="C9117" s="1"/>
    </row>
    <row r="9118" spans="1:3" x14ac:dyDescent="0.25">
      <c r="C9118" s="1"/>
    </row>
    <row r="9119" spans="1:3" x14ac:dyDescent="0.25">
      <c r="C9119" s="1"/>
    </row>
    <row r="9120" spans="1:3" x14ac:dyDescent="0.25">
      <c r="C9120" s="1"/>
    </row>
    <row r="9121" spans="3:3" x14ac:dyDescent="0.25">
      <c r="C9121" s="1"/>
    </row>
    <row r="9122" spans="3:3" x14ac:dyDescent="0.25">
      <c r="C9122" s="1"/>
    </row>
    <row r="9123" spans="3:3" x14ac:dyDescent="0.25">
      <c r="C9123" s="1"/>
    </row>
    <row r="9124" spans="3:3" x14ac:dyDescent="0.25">
      <c r="C9124" s="1"/>
    </row>
    <row r="9125" spans="3:3" x14ac:dyDescent="0.25">
      <c r="C9125" s="1"/>
    </row>
    <row r="9126" spans="3:3" x14ac:dyDescent="0.25">
      <c r="C9126" s="1"/>
    </row>
    <row r="9127" spans="3:3" x14ac:dyDescent="0.25">
      <c r="C9127" s="1"/>
    </row>
    <row r="9128" spans="3:3" x14ac:dyDescent="0.25">
      <c r="C9128" s="1"/>
    </row>
    <row r="9129" spans="3:3" x14ac:dyDescent="0.25">
      <c r="C9129" s="1"/>
    </row>
    <row r="9130" spans="3:3" x14ac:dyDescent="0.25">
      <c r="C9130" s="1"/>
    </row>
    <row r="9131" spans="3:3" x14ac:dyDescent="0.25">
      <c r="C9131" s="1"/>
    </row>
    <row r="9132" spans="3:3" x14ac:dyDescent="0.25">
      <c r="C9132" s="1"/>
    </row>
    <row r="9133" spans="3:3" x14ac:dyDescent="0.25">
      <c r="C9133" s="1"/>
    </row>
    <row r="9134" spans="3:3" x14ac:dyDescent="0.25">
      <c r="C9134" s="1"/>
    </row>
    <row r="9135" spans="3:3" x14ac:dyDescent="0.25">
      <c r="C9135" s="1"/>
    </row>
    <row r="9136" spans="3:3" x14ac:dyDescent="0.25">
      <c r="C9136" s="1"/>
    </row>
    <row r="9139" spans="1:3" x14ac:dyDescent="0.25">
      <c r="A9139" s="9"/>
      <c r="C9139" s="1"/>
    </row>
    <row r="9140" spans="1:3" x14ac:dyDescent="0.25">
      <c r="C9140" s="1"/>
    </row>
    <row r="9141" spans="1:3" x14ac:dyDescent="0.25">
      <c r="C9141" s="1"/>
    </row>
    <row r="9142" spans="1:3" x14ac:dyDescent="0.25">
      <c r="C9142" s="1"/>
    </row>
    <row r="9143" spans="1:3" x14ac:dyDescent="0.25">
      <c r="C9143" s="1"/>
    </row>
    <row r="9144" spans="1:3" x14ac:dyDescent="0.25">
      <c r="C9144" s="1"/>
    </row>
    <row r="9145" spans="1:3" x14ac:dyDescent="0.25">
      <c r="C9145" s="1"/>
    </row>
    <row r="9146" spans="1:3" x14ac:dyDescent="0.25">
      <c r="C9146" s="1"/>
    </row>
    <row r="9147" spans="1:3" x14ac:dyDescent="0.25">
      <c r="C9147" s="1"/>
    </row>
    <row r="9148" spans="1:3" x14ac:dyDescent="0.25">
      <c r="C9148" s="1"/>
    </row>
    <row r="9149" spans="1:3" x14ac:dyDescent="0.25">
      <c r="C9149" s="1"/>
    </row>
    <row r="9150" spans="1:3" x14ac:dyDescent="0.25">
      <c r="C9150" s="1"/>
    </row>
    <row r="9151" spans="1:3" x14ac:dyDescent="0.25">
      <c r="C9151" s="1"/>
    </row>
    <row r="9152" spans="1:3" x14ac:dyDescent="0.25">
      <c r="C9152" s="1"/>
    </row>
    <row r="9153" spans="1:3" x14ac:dyDescent="0.25">
      <c r="C9153" s="1"/>
    </row>
    <row r="9154" spans="1:3" x14ac:dyDescent="0.25">
      <c r="C9154" s="1"/>
    </row>
    <row r="9155" spans="1:3" x14ac:dyDescent="0.25">
      <c r="C9155" s="1"/>
    </row>
    <row r="9156" spans="1:3" x14ac:dyDescent="0.25">
      <c r="C9156" s="1"/>
    </row>
    <row r="9157" spans="1:3" x14ac:dyDescent="0.25">
      <c r="C9157" s="1"/>
    </row>
    <row r="9158" spans="1:3" x14ac:dyDescent="0.25">
      <c r="C9158" s="1"/>
    </row>
    <row r="9159" spans="1:3" x14ac:dyDescent="0.25">
      <c r="C9159" s="1"/>
    </row>
    <row r="9160" spans="1:3" x14ac:dyDescent="0.25">
      <c r="C9160" s="1"/>
    </row>
    <row r="9162" spans="1:3" x14ac:dyDescent="0.25">
      <c r="A9162" s="9"/>
      <c r="C9162" s="1"/>
    </row>
    <row r="9163" spans="1:3" x14ac:dyDescent="0.25">
      <c r="C9163" s="1"/>
    </row>
    <row r="9164" spans="1:3" x14ac:dyDescent="0.25">
      <c r="C9164" s="1"/>
    </row>
    <row r="9165" spans="1:3" x14ac:dyDescent="0.25">
      <c r="C9165" s="1"/>
    </row>
    <row r="9166" spans="1:3" x14ac:dyDescent="0.25">
      <c r="C9166" s="1"/>
    </row>
    <row r="9167" spans="1:3" x14ac:dyDescent="0.25">
      <c r="C9167" s="1"/>
    </row>
    <row r="9168" spans="1:3" x14ac:dyDescent="0.25">
      <c r="C9168" s="1"/>
    </row>
    <row r="9169" spans="3:3" x14ac:dyDescent="0.25">
      <c r="C9169" s="1"/>
    </row>
    <row r="9170" spans="3:3" x14ac:dyDescent="0.25">
      <c r="C9170" s="1"/>
    </row>
    <row r="9171" spans="3:3" x14ac:dyDescent="0.25">
      <c r="C9171" s="1"/>
    </row>
    <row r="9172" spans="3:3" x14ac:dyDescent="0.25">
      <c r="C9172" s="1"/>
    </row>
    <row r="9173" spans="3:3" x14ac:dyDescent="0.25">
      <c r="C9173" s="1"/>
    </row>
    <row r="9174" spans="3:3" x14ac:dyDescent="0.25">
      <c r="C9174" s="1"/>
    </row>
    <row r="9175" spans="3:3" x14ac:dyDescent="0.25">
      <c r="C9175" s="1"/>
    </row>
    <row r="9176" spans="3:3" x14ac:dyDescent="0.25">
      <c r="C9176" s="1"/>
    </row>
    <row r="9177" spans="3:3" x14ac:dyDescent="0.25">
      <c r="C9177" s="1"/>
    </row>
    <row r="9178" spans="3:3" x14ac:dyDescent="0.25">
      <c r="C9178" s="1"/>
    </row>
    <row r="9179" spans="3:3" x14ac:dyDescent="0.25">
      <c r="C9179" s="1"/>
    </row>
    <row r="9180" spans="3:3" x14ac:dyDescent="0.25">
      <c r="C9180" s="1"/>
    </row>
    <row r="9181" spans="3:3" x14ac:dyDescent="0.25">
      <c r="C9181" s="1"/>
    </row>
    <row r="9182" spans="3:3" x14ac:dyDescent="0.25">
      <c r="C9182" s="1"/>
    </row>
    <row r="9183" spans="3:3" x14ac:dyDescent="0.25">
      <c r="C9183" s="1"/>
    </row>
    <row r="9185" spans="1:3" x14ac:dyDescent="0.25">
      <c r="A9185" s="9"/>
      <c r="C9185" s="1"/>
    </row>
    <row r="9186" spans="1:3" x14ac:dyDescent="0.25">
      <c r="C9186" s="1"/>
    </row>
    <row r="9187" spans="1:3" x14ac:dyDescent="0.25">
      <c r="C9187" s="1"/>
    </row>
    <row r="9188" spans="1:3" x14ac:dyDescent="0.25">
      <c r="C9188" s="1"/>
    </row>
    <row r="9189" spans="1:3" x14ac:dyDescent="0.25">
      <c r="C9189" s="1"/>
    </row>
    <row r="9190" spans="1:3" x14ac:dyDescent="0.25">
      <c r="C9190" s="1"/>
    </row>
    <row r="9191" spans="1:3" x14ac:dyDescent="0.25">
      <c r="C9191" s="1"/>
    </row>
    <row r="9192" spans="1:3" x14ac:dyDescent="0.25">
      <c r="C9192" s="1"/>
    </row>
    <row r="9193" spans="1:3" x14ac:dyDescent="0.25">
      <c r="C9193" s="1"/>
    </row>
    <row r="9194" spans="1:3" x14ac:dyDescent="0.25">
      <c r="C9194" s="1"/>
    </row>
    <row r="9195" spans="1:3" x14ac:dyDescent="0.25">
      <c r="C9195" s="1"/>
    </row>
    <row r="9196" spans="1:3" x14ac:dyDescent="0.25">
      <c r="C9196" s="1"/>
    </row>
    <row r="9197" spans="1:3" x14ac:dyDescent="0.25">
      <c r="C9197" s="1"/>
    </row>
    <row r="9198" spans="1:3" x14ac:dyDescent="0.25">
      <c r="C9198" s="1"/>
    </row>
    <row r="9199" spans="1:3" x14ac:dyDescent="0.25">
      <c r="C9199" s="1"/>
    </row>
    <row r="9200" spans="1:3" x14ac:dyDescent="0.25">
      <c r="C9200" s="1"/>
    </row>
    <row r="9201" spans="1:3" x14ac:dyDescent="0.25">
      <c r="C9201" s="1"/>
    </row>
    <row r="9202" spans="1:3" x14ac:dyDescent="0.25">
      <c r="C9202" s="1"/>
    </row>
    <row r="9203" spans="1:3" x14ac:dyDescent="0.25">
      <c r="C9203" s="1"/>
    </row>
    <row r="9204" spans="1:3" x14ac:dyDescent="0.25">
      <c r="C9204" s="1"/>
    </row>
    <row r="9208" spans="1:3" x14ac:dyDescent="0.25">
      <c r="A9208" s="9"/>
      <c r="C9208" s="1"/>
    </row>
    <row r="9209" spans="1:3" x14ac:dyDescent="0.25">
      <c r="C9209" s="1"/>
    </row>
    <row r="9210" spans="1:3" x14ac:dyDescent="0.25">
      <c r="C9210" s="1"/>
    </row>
    <row r="9211" spans="1:3" x14ac:dyDescent="0.25">
      <c r="C9211" s="1"/>
    </row>
    <row r="9212" spans="1:3" x14ac:dyDescent="0.25">
      <c r="C9212" s="1"/>
    </row>
    <row r="9213" spans="1:3" x14ac:dyDescent="0.25">
      <c r="C9213" s="1"/>
    </row>
    <row r="9214" spans="1:3" x14ac:dyDescent="0.25">
      <c r="C9214" s="1"/>
    </row>
    <row r="9215" spans="1:3" x14ac:dyDescent="0.25">
      <c r="C9215" s="1"/>
    </row>
    <row r="9216" spans="1:3" x14ac:dyDescent="0.25">
      <c r="C9216" s="1"/>
    </row>
    <row r="9217" spans="1:3" x14ac:dyDescent="0.25">
      <c r="C9217" s="1"/>
    </row>
    <row r="9218" spans="1:3" x14ac:dyDescent="0.25">
      <c r="C9218" s="1"/>
    </row>
    <row r="9219" spans="1:3" x14ac:dyDescent="0.25">
      <c r="C9219" s="1"/>
    </row>
    <row r="9220" spans="1:3" x14ac:dyDescent="0.25">
      <c r="C9220" s="1"/>
    </row>
    <row r="9221" spans="1:3" x14ac:dyDescent="0.25">
      <c r="C9221" s="1"/>
    </row>
    <row r="9222" spans="1:3" x14ac:dyDescent="0.25">
      <c r="C9222" s="1"/>
    </row>
    <row r="9223" spans="1:3" x14ac:dyDescent="0.25">
      <c r="C9223" s="1"/>
    </row>
    <row r="9224" spans="1:3" x14ac:dyDescent="0.25">
      <c r="C9224" s="1"/>
    </row>
    <row r="9225" spans="1:3" x14ac:dyDescent="0.25">
      <c r="C9225" s="1"/>
    </row>
    <row r="9226" spans="1:3" x14ac:dyDescent="0.25">
      <c r="C9226" s="1"/>
    </row>
    <row r="9227" spans="1:3" x14ac:dyDescent="0.25">
      <c r="C9227" s="1"/>
    </row>
    <row r="9228" spans="1:3" x14ac:dyDescent="0.25">
      <c r="C9228" s="1"/>
    </row>
    <row r="9229" spans="1:3" x14ac:dyDescent="0.25">
      <c r="C9229" s="1"/>
    </row>
    <row r="9230" spans="1:3" x14ac:dyDescent="0.25">
      <c r="C9230" s="1"/>
    </row>
    <row r="9231" spans="1:3" x14ac:dyDescent="0.25">
      <c r="A9231" s="9"/>
      <c r="C9231" s="1"/>
    </row>
    <row r="9232" spans="1:3" x14ac:dyDescent="0.25">
      <c r="C9232" s="1"/>
    </row>
    <row r="9233" spans="3:3" x14ac:dyDescent="0.25">
      <c r="C9233" s="1"/>
    </row>
    <row r="9234" spans="3:3" x14ac:dyDescent="0.25">
      <c r="C9234" s="1"/>
    </row>
    <row r="9235" spans="3:3" x14ac:dyDescent="0.25">
      <c r="C9235" s="1"/>
    </row>
    <row r="9236" spans="3:3" x14ac:dyDescent="0.25">
      <c r="C9236" s="1"/>
    </row>
    <row r="9237" spans="3:3" x14ac:dyDescent="0.25">
      <c r="C9237" s="1"/>
    </row>
    <row r="9238" spans="3:3" x14ac:dyDescent="0.25">
      <c r="C9238" s="1"/>
    </row>
    <row r="9239" spans="3:3" x14ac:dyDescent="0.25">
      <c r="C9239" s="1"/>
    </row>
    <row r="9240" spans="3:3" x14ac:dyDescent="0.25">
      <c r="C9240" s="1"/>
    </row>
    <row r="9241" spans="3:3" x14ac:dyDescent="0.25">
      <c r="C9241" s="1"/>
    </row>
    <row r="9242" spans="3:3" x14ac:dyDescent="0.25">
      <c r="C9242" s="1"/>
    </row>
    <row r="9243" spans="3:3" x14ac:dyDescent="0.25">
      <c r="C9243" s="1"/>
    </row>
    <row r="9244" spans="3:3" x14ac:dyDescent="0.25">
      <c r="C9244" s="1"/>
    </row>
    <row r="9254" spans="1:3" x14ac:dyDescent="0.25">
      <c r="A9254" s="9"/>
      <c r="C9254" s="1"/>
    </row>
    <row r="9255" spans="1:3" x14ac:dyDescent="0.25">
      <c r="C9255" s="1"/>
    </row>
    <row r="9256" spans="1:3" x14ac:dyDescent="0.25">
      <c r="C9256" s="1"/>
    </row>
    <row r="9257" spans="1:3" x14ac:dyDescent="0.25">
      <c r="C9257" s="1"/>
    </row>
    <row r="9258" spans="1:3" x14ac:dyDescent="0.25">
      <c r="C9258" s="1"/>
    </row>
    <row r="9259" spans="1:3" x14ac:dyDescent="0.25">
      <c r="C9259" s="1"/>
    </row>
    <row r="9260" spans="1:3" x14ac:dyDescent="0.25">
      <c r="C9260" s="1"/>
    </row>
    <row r="9261" spans="1:3" x14ac:dyDescent="0.25">
      <c r="C9261" s="1"/>
    </row>
    <row r="9262" spans="1:3" x14ac:dyDescent="0.25">
      <c r="C9262" s="1"/>
    </row>
    <row r="9263" spans="1:3" x14ac:dyDescent="0.25">
      <c r="C9263" s="1"/>
    </row>
    <row r="9264" spans="1:3" x14ac:dyDescent="0.25">
      <c r="C9264" s="1"/>
    </row>
    <row r="9265" spans="1:3" x14ac:dyDescent="0.25">
      <c r="C9265" s="1"/>
    </row>
    <row r="9266" spans="1:3" x14ac:dyDescent="0.25">
      <c r="C9266" s="1"/>
    </row>
    <row r="9267" spans="1:3" x14ac:dyDescent="0.25">
      <c r="C9267" s="1"/>
    </row>
    <row r="9268" spans="1:3" x14ac:dyDescent="0.25">
      <c r="C9268" s="1"/>
    </row>
    <row r="9269" spans="1:3" x14ac:dyDescent="0.25">
      <c r="C9269" s="1"/>
    </row>
    <row r="9270" spans="1:3" x14ac:dyDescent="0.25">
      <c r="C9270" s="1"/>
    </row>
    <row r="9271" spans="1:3" x14ac:dyDescent="0.25">
      <c r="C9271" s="1"/>
    </row>
    <row r="9272" spans="1:3" x14ac:dyDescent="0.25">
      <c r="C9272" s="1"/>
    </row>
    <row r="9273" spans="1:3" x14ac:dyDescent="0.25">
      <c r="C9273" s="1"/>
    </row>
    <row r="9274" spans="1:3" x14ac:dyDescent="0.25">
      <c r="C9274" s="1"/>
    </row>
    <row r="9275" spans="1:3" x14ac:dyDescent="0.25">
      <c r="A9275" s="9"/>
      <c r="C9275" s="1"/>
    </row>
    <row r="9277" spans="1:3" x14ac:dyDescent="0.25">
      <c r="A9277" s="9"/>
      <c r="C9277" s="1"/>
    </row>
    <row r="9299" spans="1:3" x14ac:dyDescent="0.25">
      <c r="A9299" s="9"/>
      <c r="C9299" s="1"/>
    </row>
    <row r="9321" spans="1:3" x14ac:dyDescent="0.25">
      <c r="A9321" s="9"/>
      <c r="C9321" s="1"/>
    </row>
    <row r="9343" spans="1:3" x14ac:dyDescent="0.25">
      <c r="A9343" s="9"/>
      <c r="C9343" s="1"/>
    </row>
    <row r="9365" spans="1:3" x14ac:dyDescent="0.25">
      <c r="A9365" s="9"/>
      <c r="C9365" s="1"/>
    </row>
    <row r="9387" spans="1:3" x14ac:dyDescent="0.25">
      <c r="A9387" s="9"/>
      <c r="C9387" s="1"/>
    </row>
    <row r="9409" spans="1:3" x14ac:dyDescent="0.25">
      <c r="A9409" s="9"/>
      <c r="C9409" s="1"/>
    </row>
    <row r="9431" spans="1:3" x14ac:dyDescent="0.25">
      <c r="A9431" s="9"/>
      <c r="C9431" s="1"/>
    </row>
    <row r="9453" spans="1:3" x14ac:dyDescent="0.25">
      <c r="A9453" s="9"/>
      <c r="C9453" s="1"/>
    </row>
    <row r="9475" spans="1:3" x14ac:dyDescent="0.25">
      <c r="A9475" s="9"/>
      <c r="C9475" s="1"/>
    </row>
    <row r="9497" spans="1:3" x14ac:dyDescent="0.25">
      <c r="A9497" s="9"/>
      <c r="C9497" s="1"/>
    </row>
    <row r="9519" spans="1:3" x14ac:dyDescent="0.25">
      <c r="A9519" s="9"/>
      <c r="C9519" s="1"/>
    </row>
    <row r="9541" spans="1:3" x14ac:dyDescent="0.25">
      <c r="A9541" s="9"/>
      <c r="C9541" s="1"/>
    </row>
    <row r="9542" spans="1:3" x14ac:dyDescent="0.25">
      <c r="C9542" s="1"/>
    </row>
    <row r="9543" spans="1:3" x14ac:dyDescent="0.25">
      <c r="C9543" s="1"/>
    </row>
    <row r="9544" spans="1:3" x14ac:dyDescent="0.25">
      <c r="C9544" s="1"/>
    </row>
    <row r="9545" spans="1:3" x14ac:dyDescent="0.25">
      <c r="C9545" s="1"/>
    </row>
    <row r="9546" spans="1:3" x14ac:dyDescent="0.25">
      <c r="C9546" s="1"/>
    </row>
    <row r="9547" spans="1:3" x14ac:dyDescent="0.25">
      <c r="C9547" s="1"/>
    </row>
    <row r="9548" spans="1:3" x14ac:dyDescent="0.25">
      <c r="C9548" s="1"/>
    </row>
    <row r="9549" spans="1:3" x14ac:dyDescent="0.25">
      <c r="C9549" s="1"/>
    </row>
    <row r="9550" spans="1:3" x14ac:dyDescent="0.25">
      <c r="C9550" s="1"/>
    </row>
    <row r="9551" spans="1:3" x14ac:dyDescent="0.25">
      <c r="C9551" s="1"/>
    </row>
    <row r="9552" spans="1:3" x14ac:dyDescent="0.25">
      <c r="C9552" s="1"/>
    </row>
    <row r="9553" spans="1:3" x14ac:dyDescent="0.25">
      <c r="C9553" s="1"/>
    </row>
    <row r="9554" spans="1:3" x14ac:dyDescent="0.25">
      <c r="C9554" s="1"/>
    </row>
    <row r="9555" spans="1:3" x14ac:dyDescent="0.25">
      <c r="C9555" s="1"/>
    </row>
    <row r="9556" spans="1:3" x14ac:dyDescent="0.25">
      <c r="C9556" s="1"/>
    </row>
    <row r="9557" spans="1:3" x14ac:dyDescent="0.25">
      <c r="C9557" s="1"/>
    </row>
    <row r="9558" spans="1:3" x14ac:dyDescent="0.25">
      <c r="C9558" s="1"/>
    </row>
    <row r="9559" spans="1:3" x14ac:dyDescent="0.25">
      <c r="C9559" s="1"/>
    </row>
    <row r="9560" spans="1:3" x14ac:dyDescent="0.25">
      <c r="C9560" s="1"/>
    </row>
    <row r="9561" spans="1:3" x14ac:dyDescent="0.25">
      <c r="C9561" s="1"/>
    </row>
    <row r="9562" spans="1:3" x14ac:dyDescent="0.25">
      <c r="C9562" s="1"/>
    </row>
    <row r="9563" spans="1:3" x14ac:dyDescent="0.25">
      <c r="A9563" s="9"/>
      <c r="C9563" s="1"/>
    </row>
    <row r="9564" spans="1:3" x14ac:dyDescent="0.25">
      <c r="C9564" s="1"/>
    </row>
    <row r="9565" spans="1:3" x14ac:dyDescent="0.25">
      <c r="C9565" s="1"/>
    </row>
    <row r="9566" spans="1:3" x14ac:dyDescent="0.25">
      <c r="C9566" s="1"/>
    </row>
    <row r="9567" spans="1:3" x14ac:dyDescent="0.25">
      <c r="C9567" s="1"/>
    </row>
    <row r="9568" spans="1:3" x14ac:dyDescent="0.25">
      <c r="C9568" s="1"/>
    </row>
    <row r="9569" spans="3:3" x14ac:dyDescent="0.25">
      <c r="C9569" s="1"/>
    </row>
    <row r="9570" spans="3:3" x14ac:dyDescent="0.25">
      <c r="C9570" s="1"/>
    </row>
    <row r="9571" spans="3:3" x14ac:dyDescent="0.25">
      <c r="C9571" s="1"/>
    </row>
    <row r="9572" spans="3:3" x14ac:dyDescent="0.25">
      <c r="C9572" s="1"/>
    </row>
    <row r="9573" spans="3:3" x14ac:dyDescent="0.25">
      <c r="C9573" s="1"/>
    </row>
    <row r="9574" spans="3:3" x14ac:dyDescent="0.25">
      <c r="C9574" s="1"/>
    </row>
    <row r="9575" spans="3:3" x14ac:dyDescent="0.25">
      <c r="C9575" s="1"/>
    </row>
    <row r="9576" spans="3:3" x14ac:dyDescent="0.25">
      <c r="C9576" s="1"/>
    </row>
    <row r="9577" spans="3:3" x14ac:dyDescent="0.25">
      <c r="C9577" s="1"/>
    </row>
    <row r="9578" spans="3:3" x14ac:dyDescent="0.25">
      <c r="C9578" s="1"/>
    </row>
    <row r="9579" spans="3:3" x14ac:dyDescent="0.25">
      <c r="C9579" s="1"/>
    </row>
    <row r="9580" spans="3:3" x14ac:dyDescent="0.25">
      <c r="C9580" s="1"/>
    </row>
    <row r="9581" spans="3:3" x14ac:dyDescent="0.25">
      <c r="C9581" s="1"/>
    </row>
    <row r="9582" spans="3:3" x14ac:dyDescent="0.25">
      <c r="C9582" s="1"/>
    </row>
    <row r="9583" spans="3:3" x14ac:dyDescent="0.25">
      <c r="C9583" s="1"/>
    </row>
    <row r="9584" spans="3:3" x14ac:dyDescent="0.25">
      <c r="C9584" s="1"/>
    </row>
    <row r="9585" spans="1:3" x14ac:dyDescent="0.25">
      <c r="A9585" s="9"/>
      <c r="C9585" s="1"/>
    </row>
    <row r="9586" spans="1:3" x14ac:dyDescent="0.25">
      <c r="C9586" s="1"/>
    </row>
    <row r="9587" spans="1:3" x14ac:dyDescent="0.25">
      <c r="C9587" s="1"/>
    </row>
    <row r="9588" spans="1:3" x14ac:dyDescent="0.25">
      <c r="C9588" s="1"/>
    </row>
    <row r="9589" spans="1:3" x14ac:dyDescent="0.25">
      <c r="C9589" s="1"/>
    </row>
    <row r="9590" spans="1:3" x14ac:dyDescent="0.25">
      <c r="C9590" s="1"/>
    </row>
    <row r="9591" spans="1:3" x14ac:dyDescent="0.25">
      <c r="C9591" s="1"/>
    </row>
    <row r="9592" spans="1:3" x14ac:dyDescent="0.25">
      <c r="C9592" s="1"/>
    </row>
    <row r="9593" spans="1:3" x14ac:dyDescent="0.25">
      <c r="C9593" s="1"/>
    </row>
    <row r="9594" spans="1:3" x14ac:dyDescent="0.25">
      <c r="C9594" s="1"/>
    </row>
    <row r="9595" spans="1:3" x14ac:dyDescent="0.25">
      <c r="C9595" s="1"/>
    </row>
    <row r="9596" spans="1:3" x14ac:dyDescent="0.25">
      <c r="C9596" s="1"/>
    </row>
    <row r="9597" spans="1:3" x14ac:dyDescent="0.25">
      <c r="C9597" s="1"/>
    </row>
    <row r="9598" spans="1:3" x14ac:dyDescent="0.25">
      <c r="C9598" s="1"/>
    </row>
    <row r="9599" spans="1:3" x14ac:dyDescent="0.25">
      <c r="C9599" s="1"/>
    </row>
    <row r="9600" spans="1:3" x14ac:dyDescent="0.25">
      <c r="C9600" s="1"/>
    </row>
    <row r="9601" spans="1:3" x14ac:dyDescent="0.25">
      <c r="C9601" s="1"/>
    </row>
    <row r="9602" spans="1:3" x14ac:dyDescent="0.25">
      <c r="C9602" s="1"/>
    </row>
    <row r="9603" spans="1:3" x14ac:dyDescent="0.25">
      <c r="C9603" s="1"/>
    </row>
    <row r="9604" spans="1:3" x14ac:dyDescent="0.25">
      <c r="C9604" s="1"/>
    </row>
    <row r="9605" spans="1:3" x14ac:dyDescent="0.25">
      <c r="C9605" s="1"/>
    </row>
    <row r="9607" spans="1:3" x14ac:dyDescent="0.25">
      <c r="A9607" s="9"/>
      <c r="C9607" s="1"/>
    </row>
    <row r="9608" spans="1:3" x14ac:dyDescent="0.25">
      <c r="C9608" s="1"/>
    </row>
    <row r="9609" spans="1:3" x14ac:dyDescent="0.25">
      <c r="C9609" s="1"/>
    </row>
    <row r="9610" spans="1:3" x14ac:dyDescent="0.25">
      <c r="C9610" s="1"/>
    </row>
    <row r="9611" spans="1:3" x14ac:dyDescent="0.25">
      <c r="C9611" s="1"/>
    </row>
    <row r="9612" spans="1:3" x14ac:dyDescent="0.25">
      <c r="C9612" s="1"/>
    </row>
    <row r="9613" spans="1:3" x14ac:dyDescent="0.25">
      <c r="C9613" s="1"/>
    </row>
    <row r="9614" spans="1:3" x14ac:dyDescent="0.25">
      <c r="C9614" s="1"/>
    </row>
    <row r="9615" spans="1:3" x14ac:dyDescent="0.25">
      <c r="C9615" s="1"/>
    </row>
    <row r="9616" spans="1:3" x14ac:dyDescent="0.25">
      <c r="C9616" s="1"/>
    </row>
    <row r="9617" spans="1:3" x14ac:dyDescent="0.25">
      <c r="C9617" s="1"/>
    </row>
    <row r="9618" spans="1:3" x14ac:dyDescent="0.25">
      <c r="C9618" s="1"/>
    </row>
    <row r="9619" spans="1:3" x14ac:dyDescent="0.25">
      <c r="C9619" s="1"/>
    </row>
    <row r="9620" spans="1:3" x14ac:dyDescent="0.25">
      <c r="C9620" s="1"/>
    </row>
    <row r="9621" spans="1:3" x14ac:dyDescent="0.25">
      <c r="C9621" s="1"/>
    </row>
    <row r="9622" spans="1:3" x14ac:dyDescent="0.25">
      <c r="C9622" s="1"/>
    </row>
    <row r="9623" spans="1:3" x14ac:dyDescent="0.25">
      <c r="C9623" s="1"/>
    </row>
    <row r="9624" spans="1:3" x14ac:dyDescent="0.25">
      <c r="C9624" s="1"/>
    </row>
    <row r="9625" spans="1:3" x14ac:dyDescent="0.25">
      <c r="C9625" s="1"/>
    </row>
    <row r="9626" spans="1:3" x14ac:dyDescent="0.25">
      <c r="C9626" s="1"/>
    </row>
    <row r="9629" spans="1:3" x14ac:dyDescent="0.25">
      <c r="A9629" s="9"/>
      <c r="C9629" s="1"/>
    </row>
    <row r="9630" spans="1:3" x14ac:dyDescent="0.25">
      <c r="C9630" s="1"/>
    </row>
    <row r="9631" spans="1:3" x14ac:dyDescent="0.25">
      <c r="C9631" s="1"/>
    </row>
    <row r="9632" spans="1:3" x14ac:dyDescent="0.25">
      <c r="C9632" s="1"/>
    </row>
    <row r="9633" spans="3:3" x14ac:dyDescent="0.25">
      <c r="C9633" s="1"/>
    </row>
    <row r="9634" spans="3:3" x14ac:dyDescent="0.25">
      <c r="C9634" s="1"/>
    </row>
    <row r="9635" spans="3:3" x14ac:dyDescent="0.25">
      <c r="C9635" s="1"/>
    </row>
    <row r="9636" spans="3:3" x14ac:dyDescent="0.25">
      <c r="C9636" s="1"/>
    </row>
    <row r="9637" spans="3:3" x14ac:dyDescent="0.25">
      <c r="C9637" s="1"/>
    </row>
    <row r="9638" spans="3:3" x14ac:dyDescent="0.25">
      <c r="C9638" s="1"/>
    </row>
    <row r="9639" spans="3:3" x14ac:dyDescent="0.25">
      <c r="C9639" s="1"/>
    </row>
    <row r="9640" spans="3:3" x14ac:dyDescent="0.25">
      <c r="C9640" s="1"/>
    </row>
    <row r="9641" spans="3:3" x14ac:dyDescent="0.25">
      <c r="C9641" s="1"/>
    </row>
    <row r="9642" spans="3:3" x14ac:dyDescent="0.25">
      <c r="C9642" s="1"/>
    </row>
    <row r="9643" spans="3:3" x14ac:dyDescent="0.25">
      <c r="C9643" s="1"/>
    </row>
    <row r="9644" spans="3:3" x14ac:dyDescent="0.25">
      <c r="C9644" s="1"/>
    </row>
    <row r="9645" spans="3:3" x14ac:dyDescent="0.25">
      <c r="C9645" s="1"/>
    </row>
    <row r="9646" spans="3:3" x14ac:dyDescent="0.25">
      <c r="C9646" s="1"/>
    </row>
    <row r="9647" spans="3:3" x14ac:dyDescent="0.25">
      <c r="C9647" s="1"/>
    </row>
    <row r="9648" spans="3:3" x14ac:dyDescent="0.25">
      <c r="C9648" s="1"/>
    </row>
    <row r="9649" spans="1:3" x14ac:dyDescent="0.25">
      <c r="C9649" s="1"/>
    </row>
    <row r="9650" spans="1:3" x14ac:dyDescent="0.25">
      <c r="C9650" s="1"/>
    </row>
    <row r="9651" spans="1:3" x14ac:dyDescent="0.25">
      <c r="A9651" s="9"/>
      <c r="C9651" s="1"/>
    </row>
    <row r="9652" spans="1:3" x14ac:dyDescent="0.25">
      <c r="C9652" s="1"/>
    </row>
    <row r="9653" spans="1:3" x14ac:dyDescent="0.25">
      <c r="C9653" s="1"/>
    </row>
    <row r="9654" spans="1:3" x14ac:dyDescent="0.25">
      <c r="C9654" s="1"/>
    </row>
    <row r="9655" spans="1:3" x14ac:dyDescent="0.25">
      <c r="C9655" s="1"/>
    </row>
    <row r="9656" spans="1:3" x14ac:dyDescent="0.25">
      <c r="C9656" s="1"/>
    </row>
    <row r="9657" spans="1:3" x14ac:dyDescent="0.25">
      <c r="C9657" s="1"/>
    </row>
    <row r="9658" spans="1:3" x14ac:dyDescent="0.25">
      <c r="C9658" s="1"/>
    </row>
    <row r="9659" spans="1:3" x14ac:dyDescent="0.25">
      <c r="C9659" s="1"/>
    </row>
    <row r="9660" spans="1:3" x14ac:dyDescent="0.25">
      <c r="C9660" s="1"/>
    </row>
    <row r="9661" spans="1:3" x14ac:dyDescent="0.25">
      <c r="C9661" s="1"/>
    </row>
    <row r="9662" spans="1:3" x14ac:dyDescent="0.25">
      <c r="C9662" s="1"/>
    </row>
    <row r="9663" spans="1:3" x14ac:dyDescent="0.25">
      <c r="C9663" s="1"/>
    </row>
    <row r="9664" spans="1:3" x14ac:dyDescent="0.25">
      <c r="C9664" s="1"/>
    </row>
    <row r="9665" spans="1:3" x14ac:dyDescent="0.25">
      <c r="C9665" s="1"/>
    </row>
    <row r="9666" spans="1:3" x14ac:dyDescent="0.25">
      <c r="C9666" s="1"/>
    </row>
    <row r="9667" spans="1:3" x14ac:dyDescent="0.25">
      <c r="C9667" s="1"/>
    </row>
    <row r="9668" spans="1:3" x14ac:dyDescent="0.25">
      <c r="C9668" s="1"/>
    </row>
    <row r="9669" spans="1:3" x14ac:dyDescent="0.25">
      <c r="C9669" s="1"/>
    </row>
    <row r="9670" spans="1:3" x14ac:dyDescent="0.25">
      <c r="C9670" s="1"/>
    </row>
    <row r="9671" spans="1:3" x14ac:dyDescent="0.25">
      <c r="C9671" s="1"/>
    </row>
    <row r="9673" spans="1:3" x14ac:dyDescent="0.25">
      <c r="A9673" s="9"/>
      <c r="C9673" s="1"/>
    </row>
    <row r="9674" spans="1:3" x14ac:dyDescent="0.25">
      <c r="C9674" s="1"/>
    </row>
    <row r="9675" spans="1:3" x14ac:dyDescent="0.25">
      <c r="C9675" s="1"/>
    </row>
    <row r="9676" spans="1:3" x14ac:dyDescent="0.25">
      <c r="C9676" s="1"/>
    </row>
    <row r="9677" spans="1:3" x14ac:dyDescent="0.25">
      <c r="C9677" s="1"/>
    </row>
    <row r="9678" spans="1:3" x14ac:dyDescent="0.25">
      <c r="C9678" s="1"/>
    </row>
    <row r="9679" spans="1:3" x14ac:dyDescent="0.25">
      <c r="C9679" s="1"/>
    </row>
    <row r="9680" spans="1:3" x14ac:dyDescent="0.25">
      <c r="C9680" s="1"/>
    </row>
    <row r="9681" spans="1:3" x14ac:dyDescent="0.25">
      <c r="C9681" s="1"/>
    </row>
    <row r="9682" spans="1:3" x14ac:dyDescent="0.25">
      <c r="C9682" s="1"/>
    </row>
    <row r="9683" spans="1:3" x14ac:dyDescent="0.25">
      <c r="C9683" s="1"/>
    </row>
    <row r="9684" spans="1:3" x14ac:dyDescent="0.25">
      <c r="C9684" s="1"/>
    </row>
    <row r="9685" spans="1:3" x14ac:dyDescent="0.25">
      <c r="C9685" s="1"/>
    </row>
    <row r="9686" spans="1:3" x14ac:dyDescent="0.25">
      <c r="C9686" s="1"/>
    </row>
    <row r="9687" spans="1:3" x14ac:dyDescent="0.25">
      <c r="C9687" s="1"/>
    </row>
    <row r="9688" spans="1:3" x14ac:dyDescent="0.25">
      <c r="C9688" s="1"/>
    </row>
    <row r="9689" spans="1:3" x14ac:dyDescent="0.25">
      <c r="C9689" s="1"/>
    </row>
    <row r="9690" spans="1:3" x14ac:dyDescent="0.25">
      <c r="C9690" s="1"/>
    </row>
    <row r="9691" spans="1:3" x14ac:dyDescent="0.25">
      <c r="C9691" s="1"/>
    </row>
    <row r="9692" spans="1:3" x14ac:dyDescent="0.25">
      <c r="C9692" s="1"/>
    </row>
    <row r="9693" spans="1:3" x14ac:dyDescent="0.25">
      <c r="C9693" s="1"/>
    </row>
    <row r="9694" spans="1:3" x14ac:dyDescent="0.25">
      <c r="C9694" s="1"/>
    </row>
    <row r="9695" spans="1:3" x14ac:dyDescent="0.25">
      <c r="A9695" s="9"/>
      <c r="C9695" s="1"/>
    </row>
    <row r="9696" spans="1:3" x14ac:dyDescent="0.25">
      <c r="C9696" s="1"/>
    </row>
    <row r="9697" spans="3:3" x14ac:dyDescent="0.25">
      <c r="C9697" s="1"/>
    </row>
    <row r="9698" spans="3:3" x14ac:dyDescent="0.25">
      <c r="C9698" s="1"/>
    </row>
    <row r="9699" spans="3:3" x14ac:dyDescent="0.25">
      <c r="C9699" s="1"/>
    </row>
    <row r="9700" spans="3:3" x14ac:dyDescent="0.25">
      <c r="C9700" s="1"/>
    </row>
    <row r="9701" spans="3:3" x14ac:dyDescent="0.25">
      <c r="C9701" s="1"/>
    </row>
    <row r="9702" spans="3:3" x14ac:dyDescent="0.25">
      <c r="C9702" s="1"/>
    </row>
    <row r="9703" spans="3:3" x14ac:dyDescent="0.25">
      <c r="C9703" s="1"/>
    </row>
    <row r="9704" spans="3:3" x14ac:dyDescent="0.25">
      <c r="C9704" s="1"/>
    </row>
    <row r="9705" spans="3:3" x14ac:dyDescent="0.25">
      <c r="C9705" s="1"/>
    </row>
    <row r="9706" spans="3:3" x14ac:dyDescent="0.25">
      <c r="C9706" s="1"/>
    </row>
    <row r="9707" spans="3:3" x14ac:dyDescent="0.25">
      <c r="C9707" s="1"/>
    </row>
    <row r="9708" spans="3:3" x14ac:dyDescent="0.25">
      <c r="C9708" s="1"/>
    </row>
    <row r="9709" spans="3:3" x14ac:dyDescent="0.25">
      <c r="C9709" s="1"/>
    </row>
    <row r="9710" spans="3:3" x14ac:dyDescent="0.25">
      <c r="C9710" s="1"/>
    </row>
    <row r="9711" spans="3:3" x14ac:dyDescent="0.25">
      <c r="C9711" s="1"/>
    </row>
    <row r="9712" spans="3:3" x14ac:dyDescent="0.25">
      <c r="C9712" s="1"/>
    </row>
    <row r="9713" spans="1:3" x14ac:dyDescent="0.25">
      <c r="C9713" s="1"/>
    </row>
    <row r="9714" spans="1:3" x14ac:dyDescent="0.25">
      <c r="C9714" s="1"/>
    </row>
    <row r="9715" spans="1:3" x14ac:dyDescent="0.25">
      <c r="C9715" s="1"/>
    </row>
    <row r="9716" spans="1:3" x14ac:dyDescent="0.25">
      <c r="C9716" s="1"/>
    </row>
    <row r="9717" spans="1:3" x14ac:dyDescent="0.25">
      <c r="A9717" s="9"/>
      <c r="C9717" s="1"/>
    </row>
    <row r="9718" spans="1:3" x14ac:dyDescent="0.25">
      <c r="C9718" s="1"/>
    </row>
    <row r="9719" spans="1:3" x14ac:dyDescent="0.25">
      <c r="C9719" s="1"/>
    </row>
    <row r="9720" spans="1:3" x14ac:dyDescent="0.25">
      <c r="C9720" s="1"/>
    </row>
    <row r="9721" spans="1:3" x14ac:dyDescent="0.25">
      <c r="C9721" s="1"/>
    </row>
    <row r="9722" spans="1:3" x14ac:dyDescent="0.25">
      <c r="C9722" s="1"/>
    </row>
    <row r="9723" spans="1:3" x14ac:dyDescent="0.25">
      <c r="C9723" s="1"/>
    </row>
    <row r="9724" spans="1:3" x14ac:dyDescent="0.25">
      <c r="C9724" s="1"/>
    </row>
    <row r="9725" spans="1:3" x14ac:dyDescent="0.25">
      <c r="C9725" s="1"/>
    </row>
    <row r="9726" spans="1:3" x14ac:dyDescent="0.25">
      <c r="C9726" s="1"/>
    </row>
    <row r="9727" spans="1:3" x14ac:dyDescent="0.25">
      <c r="C9727" s="1"/>
    </row>
    <row r="9728" spans="1:3" x14ac:dyDescent="0.25">
      <c r="C9728" s="1"/>
    </row>
    <row r="9729" spans="1:3" x14ac:dyDescent="0.25">
      <c r="C9729" s="1"/>
    </row>
    <row r="9730" spans="1:3" x14ac:dyDescent="0.25">
      <c r="C9730" s="1"/>
    </row>
    <row r="9731" spans="1:3" x14ac:dyDescent="0.25">
      <c r="C9731" s="1"/>
    </row>
    <row r="9732" spans="1:3" x14ac:dyDescent="0.25">
      <c r="C9732" s="1"/>
    </row>
    <row r="9733" spans="1:3" x14ac:dyDescent="0.25">
      <c r="C9733" s="1"/>
    </row>
    <row r="9734" spans="1:3" x14ac:dyDescent="0.25">
      <c r="C9734" s="1"/>
    </row>
    <row r="9735" spans="1:3" x14ac:dyDescent="0.25">
      <c r="C9735" s="1"/>
    </row>
    <row r="9736" spans="1:3" x14ac:dyDescent="0.25">
      <c r="C9736" s="1"/>
    </row>
    <row r="9739" spans="1:3" x14ac:dyDescent="0.25">
      <c r="A9739" s="9"/>
      <c r="C9739" s="1"/>
    </row>
    <row r="9740" spans="1:3" x14ac:dyDescent="0.25">
      <c r="C9740" s="1"/>
    </row>
    <row r="9741" spans="1:3" x14ac:dyDescent="0.25">
      <c r="C9741" s="1"/>
    </row>
    <row r="9742" spans="1:3" x14ac:dyDescent="0.25">
      <c r="C9742" s="1"/>
    </row>
    <row r="9743" spans="1:3" x14ac:dyDescent="0.25">
      <c r="C9743" s="1"/>
    </row>
    <row r="9744" spans="1:3" x14ac:dyDescent="0.25">
      <c r="C9744" s="1"/>
    </row>
    <row r="9745" spans="3:3" x14ac:dyDescent="0.25">
      <c r="C9745" s="1"/>
    </row>
    <row r="9746" spans="3:3" x14ac:dyDescent="0.25">
      <c r="C9746" s="1"/>
    </row>
    <row r="9747" spans="3:3" x14ac:dyDescent="0.25">
      <c r="C9747" s="1"/>
    </row>
    <row r="9748" spans="3:3" x14ac:dyDescent="0.25">
      <c r="C9748" s="1"/>
    </row>
    <row r="9749" spans="3:3" x14ac:dyDescent="0.25">
      <c r="C9749" s="1"/>
    </row>
    <row r="9750" spans="3:3" x14ac:dyDescent="0.25">
      <c r="C9750" s="1"/>
    </row>
    <row r="9751" spans="3:3" x14ac:dyDescent="0.25">
      <c r="C9751" s="1"/>
    </row>
    <row r="9752" spans="3:3" x14ac:dyDescent="0.25">
      <c r="C9752" s="1"/>
    </row>
    <row r="9753" spans="3:3" x14ac:dyDescent="0.25">
      <c r="C9753" s="1"/>
    </row>
    <row r="9754" spans="3:3" x14ac:dyDescent="0.25">
      <c r="C9754" s="1"/>
    </row>
    <row r="9755" spans="3:3" x14ac:dyDescent="0.25">
      <c r="C9755" s="1"/>
    </row>
    <row r="9756" spans="3:3" x14ac:dyDescent="0.25">
      <c r="C9756" s="1"/>
    </row>
    <row r="9757" spans="3:3" x14ac:dyDescent="0.25">
      <c r="C9757" s="1"/>
    </row>
    <row r="9758" spans="3:3" x14ac:dyDescent="0.25">
      <c r="C9758" s="1"/>
    </row>
    <row r="9759" spans="3:3" x14ac:dyDescent="0.25">
      <c r="C9759" s="1"/>
    </row>
    <row r="9760" spans="3:3" x14ac:dyDescent="0.25">
      <c r="C9760" s="1"/>
    </row>
    <row r="9761" spans="1:3" x14ac:dyDescent="0.25">
      <c r="A9761" s="9"/>
      <c r="C9761" s="1"/>
    </row>
    <row r="9762" spans="1:3" x14ac:dyDescent="0.25">
      <c r="C9762" s="1"/>
    </row>
    <row r="9763" spans="1:3" x14ac:dyDescent="0.25">
      <c r="C9763" s="1"/>
    </row>
    <row r="9764" spans="1:3" x14ac:dyDescent="0.25">
      <c r="C9764" s="1"/>
    </row>
    <row r="9765" spans="1:3" x14ac:dyDescent="0.25">
      <c r="C9765" s="1"/>
    </row>
    <row r="9766" spans="1:3" x14ac:dyDescent="0.25">
      <c r="C9766" s="1"/>
    </row>
    <row r="9767" spans="1:3" x14ac:dyDescent="0.25">
      <c r="C9767" s="1"/>
    </row>
    <row r="9768" spans="1:3" x14ac:dyDescent="0.25">
      <c r="C9768" s="1"/>
    </row>
    <row r="9769" spans="1:3" x14ac:dyDescent="0.25">
      <c r="C9769" s="1"/>
    </row>
    <row r="9770" spans="1:3" x14ac:dyDescent="0.25">
      <c r="C9770" s="1"/>
    </row>
    <row r="9771" spans="1:3" x14ac:dyDescent="0.25">
      <c r="C9771" s="1"/>
    </row>
    <row r="9772" spans="1:3" x14ac:dyDescent="0.25">
      <c r="C9772" s="1"/>
    </row>
    <row r="9773" spans="1:3" x14ac:dyDescent="0.25">
      <c r="C9773" s="1"/>
    </row>
    <row r="9774" spans="1:3" x14ac:dyDescent="0.25">
      <c r="C9774" s="1"/>
    </row>
    <row r="9783" spans="1:3" x14ac:dyDescent="0.25">
      <c r="A9783" s="9"/>
      <c r="C9783" s="1"/>
    </row>
    <row r="9784" spans="1:3" x14ac:dyDescent="0.25">
      <c r="C9784" s="1"/>
    </row>
    <row r="9785" spans="1:3" x14ac:dyDescent="0.25">
      <c r="C9785" s="1"/>
    </row>
    <row r="9786" spans="1:3" x14ac:dyDescent="0.25">
      <c r="C9786" s="1"/>
    </row>
    <row r="9787" spans="1:3" x14ac:dyDescent="0.25">
      <c r="C9787" s="1"/>
    </row>
    <row r="9788" spans="1:3" x14ac:dyDescent="0.25">
      <c r="C9788" s="1"/>
    </row>
    <row r="9789" spans="1:3" x14ac:dyDescent="0.25">
      <c r="C9789" s="1"/>
    </row>
    <row r="9790" spans="1:3" x14ac:dyDescent="0.25">
      <c r="C9790" s="1"/>
    </row>
    <row r="9791" spans="1:3" x14ac:dyDescent="0.25">
      <c r="C9791" s="1"/>
    </row>
    <row r="9792" spans="1:3" x14ac:dyDescent="0.25">
      <c r="C9792" s="1"/>
    </row>
    <row r="9793" spans="1:3" x14ac:dyDescent="0.25">
      <c r="C9793" s="1"/>
    </row>
    <row r="9794" spans="1:3" x14ac:dyDescent="0.25">
      <c r="C9794" s="1"/>
    </row>
    <row r="9795" spans="1:3" x14ac:dyDescent="0.25">
      <c r="C9795" s="1"/>
    </row>
    <row r="9796" spans="1:3" x14ac:dyDescent="0.25">
      <c r="C9796" s="1"/>
    </row>
    <row r="9797" spans="1:3" x14ac:dyDescent="0.25">
      <c r="C9797" s="1"/>
    </row>
    <row r="9798" spans="1:3" x14ac:dyDescent="0.25">
      <c r="C9798" s="1"/>
    </row>
    <row r="9799" spans="1:3" x14ac:dyDescent="0.25">
      <c r="C9799" s="1"/>
    </row>
    <row r="9800" spans="1:3" x14ac:dyDescent="0.25">
      <c r="C9800" s="1"/>
    </row>
    <row r="9801" spans="1:3" x14ac:dyDescent="0.25">
      <c r="C9801" s="1"/>
    </row>
    <row r="9802" spans="1:3" x14ac:dyDescent="0.25">
      <c r="C9802" s="1"/>
    </row>
    <row r="9803" spans="1:3" x14ac:dyDescent="0.25">
      <c r="C9803" s="1"/>
    </row>
    <row r="9804" spans="1:3" x14ac:dyDescent="0.25">
      <c r="C9804" s="1"/>
    </row>
    <row r="9805" spans="1:3" x14ac:dyDescent="0.25">
      <c r="A9805" s="9"/>
      <c r="C9805" s="1"/>
    </row>
    <row r="9806" spans="1:3" x14ac:dyDescent="0.25">
      <c r="C9806" s="1"/>
    </row>
    <row r="9807" spans="1:3" x14ac:dyDescent="0.25">
      <c r="C9807" s="1"/>
    </row>
    <row r="9808" spans="1:3" x14ac:dyDescent="0.25">
      <c r="C9808" s="1"/>
    </row>
    <row r="9809" spans="3:3" x14ac:dyDescent="0.25">
      <c r="C9809" s="1"/>
    </row>
    <row r="9810" spans="3:3" x14ac:dyDescent="0.25">
      <c r="C9810" s="1"/>
    </row>
    <row r="9811" spans="3:3" x14ac:dyDescent="0.25">
      <c r="C9811" s="1"/>
    </row>
    <row r="9812" spans="3:3" x14ac:dyDescent="0.25">
      <c r="C9812" s="1"/>
    </row>
    <row r="9813" spans="3:3" x14ac:dyDescent="0.25">
      <c r="C9813" s="1"/>
    </row>
    <row r="9814" spans="3:3" x14ac:dyDescent="0.25">
      <c r="C9814" s="1"/>
    </row>
    <row r="9815" spans="3:3" x14ac:dyDescent="0.25">
      <c r="C9815" s="1"/>
    </row>
    <row r="9816" spans="3:3" x14ac:dyDescent="0.25">
      <c r="C9816" s="1"/>
    </row>
    <row r="9817" spans="3:3" x14ac:dyDescent="0.25">
      <c r="C9817" s="1"/>
    </row>
    <row r="9818" spans="3:3" x14ac:dyDescent="0.25">
      <c r="C9818" s="1"/>
    </row>
    <row r="9819" spans="3:3" x14ac:dyDescent="0.25">
      <c r="C9819" s="1"/>
    </row>
    <row r="9820" spans="3:3" x14ac:dyDescent="0.25">
      <c r="C9820" s="1"/>
    </row>
    <row r="9821" spans="3:3" x14ac:dyDescent="0.25">
      <c r="C9821" s="1"/>
    </row>
    <row r="9822" spans="3:3" x14ac:dyDescent="0.25">
      <c r="C9822" s="1"/>
    </row>
    <row r="9823" spans="3:3" x14ac:dyDescent="0.25">
      <c r="C9823" s="1"/>
    </row>
    <row r="9824" spans="3:3" x14ac:dyDescent="0.25">
      <c r="C9824" s="1"/>
    </row>
    <row r="9825" spans="1:3" x14ac:dyDescent="0.25">
      <c r="C9825" s="1"/>
    </row>
    <row r="9826" spans="1:3" x14ac:dyDescent="0.25">
      <c r="C9826" s="1"/>
    </row>
    <row r="9827" spans="1:3" x14ac:dyDescent="0.25">
      <c r="C9827" s="1"/>
    </row>
    <row r="9828" spans="1:3" x14ac:dyDescent="0.25">
      <c r="A9828" s="9"/>
      <c r="C9828" s="1"/>
    </row>
    <row r="9829" spans="1:3" x14ac:dyDescent="0.25">
      <c r="C9829" s="1"/>
    </row>
    <row r="9830" spans="1:3" x14ac:dyDescent="0.25">
      <c r="C9830" s="1"/>
    </row>
    <row r="9831" spans="1:3" x14ac:dyDescent="0.25">
      <c r="C9831" s="1"/>
    </row>
    <row r="9832" spans="1:3" x14ac:dyDescent="0.25">
      <c r="C9832" s="1"/>
    </row>
    <row r="9833" spans="1:3" x14ac:dyDescent="0.25">
      <c r="C9833" s="1"/>
    </row>
    <row r="9834" spans="1:3" x14ac:dyDescent="0.25">
      <c r="C9834" s="1"/>
    </row>
    <row r="9835" spans="1:3" x14ac:dyDescent="0.25">
      <c r="C9835" s="1"/>
    </row>
    <row r="9836" spans="1:3" x14ac:dyDescent="0.25">
      <c r="C9836" s="1"/>
    </row>
    <row r="9837" spans="1:3" x14ac:dyDescent="0.25">
      <c r="C9837" s="1"/>
    </row>
    <row r="9838" spans="1:3" x14ac:dyDescent="0.25">
      <c r="C9838" s="1"/>
    </row>
    <row r="9839" spans="1:3" x14ac:dyDescent="0.25">
      <c r="C9839" s="1"/>
    </row>
    <row r="9840" spans="1:3" x14ac:dyDescent="0.25">
      <c r="C9840" s="1"/>
    </row>
    <row r="9841" spans="1:3" x14ac:dyDescent="0.25">
      <c r="C9841" s="1"/>
    </row>
    <row r="9842" spans="1:3" x14ac:dyDescent="0.25">
      <c r="C9842" s="1"/>
    </row>
    <row r="9843" spans="1:3" x14ac:dyDescent="0.25">
      <c r="C9843" s="1"/>
    </row>
    <row r="9844" spans="1:3" x14ac:dyDescent="0.25">
      <c r="C9844" s="1"/>
    </row>
    <row r="9845" spans="1:3" x14ac:dyDescent="0.25">
      <c r="C9845" s="1"/>
    </row>
    <row r="9846" spans="1:3" x14ac:dyDescent="0.25">
      <c r="C9846" s="1"/>
    </row>
    <row r="9847" spans="1:3" x14ac:dyDescent="0.25">
      <c r="C9847" s="1"/>
    </row>
    <row r="9848" spans="1:3" x14ac:dyDescent="0.25">
      <c r="C9848" s="1"/>
    </row>
    <row r="9849" spans="1:3" x14ac:dyDescent="0.25">
      <c r="C9849" s="1"/>
    </row>
    <row r="9850" spans="1:3" x14ac:dyDescent="0.25">
      <c r="C9850" s="1"/>
    </row>
    <row r="9851" spans="1:3" x14ac:dyDescent="0.25">
      <c r="A9851" s="9"/>
      <c r="C9851" s="1"/>
    </row>
    <row r="9852" spans="1:3" x14ac:dyDescent="0.25">
      <c r="C9852" s="1"/>
    </row>
    <row r="9853" spans="1:3" x14ac:dyDescent="0.25">
      <c r="C9853" s="1"/>
    </row>
    <row r="9854" spans="1:3" x14ac:dyDescent="0.25">
      <c r="C9854" s="1"/>
    </row>
    <row r="9855" spans="1:3" x14ac:dyDescent="0.25">
      <c r="C9855" s="1"/>
    </row>
    <row r="9856" spans="1:3" x14ac:dyDescent="0.25">
      <c r="C9856" s="1"/>
    </row>
    <row r="9857" spans="3:3" x14ac:dyDescent="0.25">
      <c r="C9857" s="1"/>
    </row>
    <row r="9858" spans="3:3" x14ac:dyDescent="0.25">
      <c r="C9858" s="1"/>
    </row>
    <row r="9859" spans="3:3" x14ac:dyDescent="0.25">
      <c r="C9859" s="1"/>
    </row>
    <row r="9860" spans="3:3" x14ac:dyDescent="0.25">
      <c r="C9860" s="1"/>
    </row>
    <row r="9861" spans="3:3" x14ac:dyDescent="0.25">
      <c r="C9861" s="1"/>
    </row>
    <row r="9862" spans="3:3" x14ac:dyDescent="0.25">
      <c r="C9862" s="1"/>
    </row>
    <row r="9863" spans="3:3" x14ac:dyDescent="0.25">
      <c r="C9863" s="1"/>
    </row>
    <row r="9864" spans="3:3" x14ac:dyDescent="0.25">
      <c r="C9864" s="1"/>
    </row>
    <row r="9865" spans="3:3" x14ac:dyDescent="0.25">
      <c r="C9865" s="1"/>
    </row>
    <row r="9866" spans="3:3" x14ac:dyDescent="0.25">
      <c r="C9866" s="1"/>
    </row>
    <row r="9867" spans="3:3" x14ac:dyDescent="0.25">
      <c r="C9867" s="1"/>
    </row>
    <row r="9868" spans="3:3" x14ac:dyDescent="0.25">
      <c r="C9868" s="1"/>
    </row>
    <row r="9869" spans="3:3" x14ac:dyDescent="0.25">
      <c r="C9869" s="1"/>
    </row>
    <row r="9870" spans="3:3" x14ac:dyDescent="0.25">
      <c r="C9870" s="1"/>
    </row>
    <row r="9871" spans="3:3" x14ac:dyDescent="0.25">
      <c r="C9871" s="1"/>
    </row>
    <row r="9874" spans="1:3" x14ac:dyDescent="0.25">
      <c r="A9874" s="9"/>
      <c r="C9874" s="1"/>
    </row>
    <row r="9875" spans="1:3" x14ac:dyDescent="0.25">
      <c r="C9875" s="1"/>
    </row>
    <row r="9876" spans="1:3" x14ac:dyDescent="0.25">
      <c r="C9876" s="1"/>
    </row>
    <row r="9877" spans="1:3" x14ac:dyDescent="0.25">
      <c r="C9877" s="1"/>
    </row>
    <row r="9878" spans="1:3" x14ac:dyDescent="0.25">
      <c r="C9878" s="1"/>
    </row>
    <row r="9879" spans="1:3" x14ac:dyDescent="0.25">
      <c r="C9879" s="1"/>
    </row>
    <row r="9880" spans="1:3" x14ac:dyDescent="0.25">
      <c r="C9880" s="1"/>
    </row>
    <row r="9881" spans="1:3" x14ac:dyDescent="0.25">
      <c r="C9881" s="1"/>
    </row>
    <row r="9882" spans="1:3" x14ac:dyDescent="0.25">
      <c r="C9882" s="1"/>
    </row>
    <row r="9883" spans="1:3" x14ac:dyDescent="0.25">
      <c r="C9883" s="1"/>
    </row>
    <row r="9884" spans="1:3" x14ac:dyDescent="0.25">
      <c r="C9884" s="1"/>
    </row>
    <row r="9885" spans="1:3" x14ac:dyDescent="0.25">
      <c r="C9885" s="1"/>
    </row>
    <row r="9886" spans="1:3" x14ac:dyDescent="0.25">
      <c r="C9886" s="1"/>
    </row>
    <row r="9887" spans="1:3" x14ac:dyDescent="0.25">
      <c r="C9887" s="1"/>
    </row>
    <row r="9888" spans="1:3" x14ac:dyDescent="0.25">
      <c r="C9888" s="1"/>
    </row>
    <row r="9889" spans="1:3" x14ac:dyDescent="0.25">
      <c r="C9889" s="1"/>
    </row>
    <row r="9890" spans="1:3" x14ac:dyDescent="0.25">
      <c r="C9890" s="1"/>
    </row>
    <row r="9891" spans="1:3" x14ac:dyDescent="0.25">
      <c r="C9891" s="1"/>
    </row>
    <row r="9892" spans="1:3" x14ac:dyDescent="0.25">
      <c r="C9892" s="1"/>
    </row>
    <row r="9893" spans="1:3" x14ac:dyDescent="0.25">
      <c r="C9893" s="1"/>
    </row>
    <row r="9897" spans="1:3" x14ac:dyDescent="0.25">
      <c r="A9897" s="9"/>
      <c r="C9897" s="1"/>
    </row>
    <row r="9898" spans="1:3" x14ac:dyDescent="0.25">
      <c r="C9898" s="1"/>
    </row>
    <row r="9899" spans="1:3" x14ac:dyDescent="0.25">
      <c r="C9899" s="1"/>
    </row>
    <row r="9900" spans="1:3" x14ac:dyDescent="0.25">
      <c r="C9900" s="1"/>
    </row>
    <row r="9901" spans="1:3" x14ac:dyDescent="0.25">
      <c r="C9901" s="1"/>
    </row>
    <row r="9902" spans="1:3" x14ac:dyDescent="0.25">
      <c r="C9902" s="1"/>
    </row>
    <row r="9903" spans="1:3" x14ac:dyDescent="0.25">
      <c r="C9903" s="1"/>
    </row>
    <row r="9904" spans="1:3" x14ac:dyDescent="0.25">
      <c r="C9904" s="1"/>
    </row>
    <row r="9905" spans="1:3" x14ac:dyDescent="0.25">
      <c r="C9905" s="1"/>
    </row>
    <row r="9906" spans="1:3" x14ac:dyDescent="0.25">
      <c r="C9906" s="1"/>
    </row>
    <row r="9907" spans="1:3" x14ac:dyDescent="0.25">
      <c r="C9907" s="1"/>
    </row>
    <row r="9908" spans="1:3" x14ac:dyDescent="0.25">
      <c r="C9908" s="1"/>
    </row>
    <row r="9909" spans="1:3" x14ac:dyDescent="0.25">
      <c r="C9909" s="1"/>
    </row>
    <row r="9910" spans="1:3" x14ac:dyDescent="0.25">
      <c r="C9910" s="1"/>
    </row>
    <row r="9911" spans="1:3" x14ac:dyDescent="0.25">
      <c r="C9911" s="1"/>
    </row>
    <row r="9912" spans="1:3" x14ac:dyDescent="0.25">
      <c r="C9912" s="1"/>
    </row>
    <row r="9913" spans="1:3" x14ac:dyDescent="0.25">
      <c r="C9913" s="1"/>
    </row>
    <row r="9914" spans="1:3" x14ac:dyDescent="0.25">
      <c r="C9914" s="1"/>
    </row>
    <row r="9915" spans="1:3" x14ac:dyDescent="0.25">
      <c r="C9915" s="1"/>
    </row>
    <row r="9916" spans="1:3" x14ac:dyDescent="0.25">
      <c r="C9916" s="1"/>
    </row>
    <row r="9917" spans="1:3" x14ac:dyDescent="0.25">
      <c r="C9917" s="1"/>
    </row>
    <row r="9918" spans="1:3" x14ac:dyDescent="0.25">
      <c r="C9918" s="1"/>
    </row>
    <row r="9919" spans="1:3" x14ac:dyDescent="0.25">
      <c r="C9919" s="1"/>
    </row>
    <row r="9920" spans="1:3" x14ac:dyDescent="0.25">
      <c r="A9920" s="9"/>
      <c r="C9920" s="1"/>
    </row>
    <row r="9921" spans="3:3" x14ac:dyDescent="0.25">
      <c r="C9921" s="1"/>
    </row>
    <row r="9922" spans="3:3" x14ac:dyDescent="0.25">
      <c r="C9922" s="1"/>
    </row>
    <row r="9923" spans="3:3" x14ac:dyDescent="0.25">
      <c r="C9923" s="1"/>
    </row>
    <row r="9924" spans="3:3" x14ac:dyDescent="0.25">
      <c r="C9924" s="1"/>
    </row>
    <row r="9925" spans="3:3" x14ac:dyDescent="0.25">
      <c r="C9925" s="1"/>
    </row>
    <row r="9926" spans="3:3" x14ac:dyDescent="0.25">
      <c r="C9926" s="1"/>
    </row>
    <row r="9927" spans="3:3" x14ac:dyDescent="0.25">
      <c r="C9927" s="1"/>
    </row>
    <row r="9928" spans="3:3" x14ac:dyDescent="0.25">
      <c r="C9928" s="1"/>
    </row>
    <row r="9929" spans="3:3" x14ac:dyDescent="0.25">
      <c r="C9929" s="1"/>
    </row>
    <row r="9930" spans="3:3" x14ac:dyDescent="0.25">
      <c r="C9930" s="1"/>
    </row>
    <row r="9931" spans="3:3" x14ac:dyDescent="0.25">
      <c r="C9931" s="1"/>
    </row>
    <row r="9932" spans="3:3" x14ac:dyDescent="0.25">
      <c r="C9932" s="1"/>
    </row>
    <row r="9933" spans="3:3" x14ac:dyDescent="0.25">
      <c r="C9933" s="1"/>
    </row>
    <row r="9934" spans="3:3" x14ac:dyDescent="0.25">
      <c r="C9934" s="1"/>
    </row>
    <row r="9935" spans="3:3" x14ac:dyDescent="0.25">
      <c r="C9935" s="1"/>
    </row>
    <row r="9936" spans="3:3" x14ac:dyDescent="0.25">
      <c r="C9936" s="1"/>
    </row>
    <row r="9937" spans="1:3" x14ac:dyDescent="0.25">
      <c r="C9937" s="1"/>
    </row>
    <row r="9938" spans="1:3" x14ac:dyDescent="0.25">
      <c r="C9938" s="1"/>
    </row>
    <row r="9939" spans="1:3" x14ac:dyDescent="0.25">
      <c r="C9939" s="1"/>
    </row>
    <row r="9940" spans="1:3" x14ac:dyDescent="0.25">
      <c r="C9940" s="1"/>
    </row>
    <row r="9943" spans="1:3" x14ac:dyDescent="0.25">
      <c r="A9943" s="9"/>
      <c r="C9943" s="1"/>
    </row>
    <row r="9944" spans="1:3" x14ac:dyDescent="0.25">
      <c r="C9944" s="1"/>
    </row>
    <row r="9945" spans="1:3" x14ac:dyDescent="0.25">
      <c r="C9945" s="1"/>
    </row>
    <row r="9946" spans="1:3" x14ac:dyDescent="0.25">
      <c r="C9946" s="1"/>
    </row>
    <row r="9947" spans="1:3" x14ac:dyDescent="0.25">
      <c r="C9947" s="1"/>
    </row>
    <row r="9948" spans="1:3" x14ac:dyDescent="0.25">
      <c r="C9948" s="1"/>
    </row>
    <row r="9949" spans="1:3" x14ac:dyDescent="0.25">
      <c r="C9949" s="1"/>
    </row>
    <row r="9950" spans="1:3" x14ac:dyDescent="0.25">
      <c r="C9950" s="1"/>
    </row>
    <row r="9951" spans="1:3" x14ac:dyDescent="0.25">
      <c r="C9951" s="1"/>
    </row>
    <row r="9952" spans="1:3" x14ac:dyDescent="0.25">
      <c r="C9952" s="1"/>
    </row>
    <row r="9953" spans="1:3" x14ac:dyDescent="0.25">
      <c r="C9953" s="1"/>
    </row>
    <row r="9954" spans="1:3" x14ac:dyDescent="0.25">
      <c r="C9954" s="1"/>
    </row>
    <row r="9955" spans="1:3" x14ac:dyDescent="0.25">
      <c r="C9955" s="1"/>
    </row>
    <row r="9956" spans="1:3" x14ac:dyDescent="0.25">
      <c r="C9956" s="1"/>
    </row>
    <row r="9957" spans="1:3" x14ac:dyDescent="0.25">
      <c r="C9957" s="1"/>
    </row>
    <row r="9958" spans="1:3" x14ac:dyDescent="0.25">
      <c r="C9958" s="1"/>
    </row>
    <row r="9959" spans="1:3" x14ac:dyDescent="0.25">
      <c r="C9959" s="1"/>
    </row>
    <row r="9960" spans="1:3" x14ac:dyDescent="0.25">
      <c r="C9960" s="1"/>
    </row>
    <row r="9961" spans="1:3" x14ac:dyDescent="0.25">
      <c r="C9961" s="1"/>
    </row>
    <row r="9962" spans="1:3" x14ac:dyDescent="0.25">
      <c r="C9962" s="1"/>
    </row>
    <row r="9963" spans="1:3" x14ac:dyDescent="0.25">
      <c r="C9963" s="1"/>
    </row>
    <row r="9964" spans="1:3" x14ac:dyDescent="0.25">
      <c r="C9964" s="1"/>
    </row>
    <row r="9966" spans="1:3" x14ac:dyDescent="0.25">
      <c r="A9966" s="9"/>
      <c r="C9966" s="1"/>
    </row>
    <row r="9967" spans="1:3" x14ac:dyDescent="0.25">
      <c r="C9967" s="1"/>
    </row>
    <row r="9968" spans="1:3" x14ac:dyDescent="0.25">
      <c r="C9968" s="1"/>
    </row>
    <row r="9969" spans="3:3" x14ac:dyDescent="0.25">
      <c r="C9969" s="1"/>
    </row>
    <row r="9970" spans="3:3" x14ac:dyDescent="0.25">
      <c r="C9970" s="1"/>
    </row>
    <row r="9971" spans="3:3" x14ac:dyDescent="0.25">
      <c r="C9971" s="1"/>
    </row>
    <row r="9972" spans="3:3" x14ac:dyDescent="0.25">
      <c r="C9972" s="1"/>
    </row>
    <row r="9973" spans="3:3" x14ac:dyDescent="0.25">
      <c r="C9973" s="1"/>
    </row>
    <row r="9974" spans="3:3" x14ac:dyDescent="0.25">
      <c r="C9974" s="1"/>
    </row>
    <row r="9975" spans="3:3" x14ac:dyDescent="0.25">
      <c r="C9975" s="1"/>
    </row>
    <row r="9976" spans="3:3" x14ac:dyDescent="0.25">
      <c r="C9976" s="1"/>
    </row>
    <row r="9977" spans="3:3" x14ac:dyDescent="0.25">
      <c r="C9977" s="1"/>
    </row>
    <row r="9978" spans="3:3" x14ac:dyDescent="0.25">
      <c r="C9978" s="1"/>
    </row>
    <row r="9979" spans="3:3" x14ac:dyDescent="0.25">
      <c r="C9979" s="1"/>
    </row>
    <row r="9980" spans="3:3" x14ac:dyDescent="0.25">
      <c r="C9980" s="1"/>
    </row>
    <row r="9981" spans="3:3" x14ac:dyDescent="0.25">
      <c r="C9981" s="1"/>
    </row>
    <row r="9982" spans="3:3" x14ac:dyDescent="0.25">
      <c r="C9982" s="1"/>
    </row>
    <row r="9983" spans="3:3" x14ac:dyDescent="0.25">
      <c r="C9983" s="1"/>
    </row>
    <row r="9984" spans="3:3" x14ac:dyDescent="0.25">
      <c r="C9984" s="1"/>
    </row>
    <row r="9985" spans="1:3" x14ac:dyDescent="0.25">
      <c r="C9985" s="1"/>
    </row>
    <row r="9986" spans="1:3" x14ac:dyDescent="0.25">
      <c r="C9986" s="1"/>
    </row>
    <row r="9987" spans="1:3" x14ac:dyDescent="0.25">
      <c r="C9987" s="1"/>
    </row>
    <row r="9989" spans="1:3" x14ac:dyDescent="0.25">
      <c r="A9989" s="9"/>
      <c r="C9989" s="1"/>
    </row>
    <row r="9990" spans="1:3" x14ac:dyDescent="0.25">
      <c r="C9990" s="1"/>
    </row>
    <row r="9991" spans="1:3" x14ac:dyDescent="0.25">
      <c r="C9991" s="1"/>
    </row>
    <row r="9992" spans="1:3" x14ac:dyDescent="0.25">
      <c r="C9992" s="1"/>
    </row>
    <row r="9993" spans="1:3" x14ac:dyDescent="0.25">
      <c r="C9993" s="1"/>
    </row>
    <row r="9994" spans="1:3" x14ac:dyDescent="0.25">
      <c r="C9994" s="1"/>
    </row>
    <row r="9995" spans="1:3" x14ac:dyDescent="0.25">
      <c r="C9995" s="1"/>
    </row>
    <row r="9996" spans="1:3" x14ac:dyDescent="0.25">
      <c r="C9996" s="1"/>
    </row>
    <row r="9997" spans="1:3" x14ac:dyDescent="0.25">
      <c r="C9997" s="1"/>
    </row>
    <row r="9998" spans="1:3" x14ac:dyDescent="0.25">
      <c r="C9998" s="1"/>
    </row>
    <row r="9999" spans="1:3" x14ac:dyDescent="0.25">
      <c r="C9999" s="1"/>
    </row>
    <row r="10000" spans="1:3" x14ac:dyDescent="0.25">
      <c r="C10000" s="1"/>
    </row>
    <row r="10001" spans="1:3" x14ac:dyDescent="0.25">
      <c r="C10001" s="1"/>
    </row>
    <row r="10002" spans="1:3" x14ac:dyDescent="0.25">
      <c r="C10002" s="1"/>
    </row>
    <row r="10003" spans="1:3" x14ac:dyDescent="0.25">
      <c r="C10003" s="1"/>
    </row>
    <row r="10004" spans="1:3" x14ac:dyDescent="0.25">
      <c r="C10004" s="1"/>
    </row>
    <row r="10005" spans="1:3" x14ac:dyDescent="0.25">
      <c r="C10005" s="1"/>
    </row>
    <row r="10006" spans="1:3" x14ac:dyDescent="0.25">
      <c r="C10006" s="1"/>
    </row>
    <row r="10007" spans="1:3" x14ac:dyDescent="0.25">
      <c r="C10007" s="1"/>
    </row>
    <row r="10008" spans="1:3" x14ac:dyDescent="0.25">
      <c r="C10008" s="1"/>
    </row>
    <row r="10012" spans="1:3" x14ac:dyDescent="0.25">
      <c r="A10012" s="9"/>
      <c r="C10012" s="1"/>
    </row>
    <row r="10013" spans="1:3" x14ac:dyDescent="0.25">
      <c r="C10013" s="1"/>
    </row>
    <row r="10014" spans="1:3" x14ac:dyDescent="0.25">
      <c r="C10014" s="1"/>
    </row>
    <row r="10015" spans="1:3" x14ac:dyDescent="0.25">
      <c r="C10015" s="1"/>
    </row>
    <row r="10016" spans="1:3" x14ac:dyDescent="0.25">
      <c r="C10016" s="1"/>
    </row>
    <row r="10017" spans="3:3" x14ac:dyDescent="0.25">
      <c r="C10017" s="1"/>
    </row>
    <row r="10018" spans="3:3" x14ac:dyDescent="0.25">
      <c r="C10018" s="1"/>
    </row>
    <row r="10019" spans="3:3" x14ac:dyDescent="0.25">
      <c r="C10019" s="1"/>
    </row>
    <row r="10020" spans="3:3" x14ac:dyDescent="0.25">
      <c r="C10020" s="1"/>
    </row>
    <row r="10021" spans="3:3" x14ac:dyDescent="0.25">
      <c r="C10021" s="1"/>
    </row>
    <row r="10022" spans="3:3" x14ac:dyDescent="0.25">
      <c r="C10022" s="1"/>
    </row>
    <row r="10023" spans="3:3" x14ac:dyDescent="0.25">
      <c r="C10023" s="1"/>
    </row>
    <row r="10024" spans="3:3" x14ac:dyDescent="0.25">
      <c r="C10024" s="1"/>
    </row>
    <row r="10025" spans="3:3" x14ac:dyDescent="0.25">
      <c r="C10025" s="1"/>
    </row>
    <row r="10026" spans="3:3" x14ac:dyDescent="0.25">
      <c r="C10026" s="1"/>
    </row>
    <row r="10027" spans="3:3" x14ac:dyDescent="0.25">
      <c r="C10027" s="1"/>
    </row>
    <row r="10028" spans="3:3" x14ac:dyDescent="0.25">
      <c r="C10028" s="1"/>
    </row>
    <row r="10029" spans="3:3" x14ac:dyDescent="0.25">
      <c r="C10029" s="1"/>
    </row>
    <row r="10030" spans="3:3" x14ac:dyDescent="0.25">
      <c r="C10030" s="1"/>
    </row>
    <row r="10031" spans="3:3" x14ac:dyDescent="0.25">
      <c r="C10031" s="1"/>
    </row>
    <row r="10032" spans="3:3" x14ac:dyDescent="0.25">
      <c r="C10032" s="1"/>
    </row>
    <row r="10033" spans="1:3" x14ac:dyDescent="0.25">
      <c r="C10033" s="1"/>
    </row>
    <row r="10034" spans="1:3" x14ac:dyDescent="0.25">
      <c r="C10034" s="1"/>
    </row>
    <row r="10035" spans="1:3" x14ac:dyDescent="0.25">
      <c r="A10035" s="9"/>
      <c r="C10035" s="1"/>
    </row>
    <row r="10036" spans="1:3" x14ac:dyDescent="0.25">
      <c r="C10036" s="1"/>
    </row>
    <row r="10037" spans="1:3" x14ac:dyDescent="0.25">
      <c r="C10037" s="1"/>
    </row>
    <row r="10038" spans="1:3" x14ac:dyDescent="0.25">
      <c r="C10038" s="1"/>
    </row>
    <row r="10039" spans="1:3" x14ac:dyDescent="0.25">
      <c r="C10039" s="1"/>
    </row>
    <row r="10040" spans="1:3" x14ac:dyDescent="0.25">
      <c r="C10040" s="1"/>
    </row>
    <row r="10041" spans="1:3" x14ac:dyDescent="0.25">
      <c r="C10041" s="1"/>
    </row>
    <row r="10042" spans="1:3" x14ac:dyDescent="0.25">
      <c r="C10042" s="1"/>
    </row>
    <row r="10043" spans="1:3" x14ac:dyDescent="0.25">
      <c r="C10043" s="1"/>
    </row>
    <row r="10044" spans="1:3" x14ac:dyDescent="0.25">
      <c r="C10044" s="1"/>
    </row>
    <row r="10045" spans="1:3" x14ac:dyDescent="0.25">
      <c r="C10045" s="1"/>
    </row>
    <row r="10046" spans="1:3" x14ac:dyDescent="0.25">
      <c r="C10046" s="1"/>
    </row>
    <row r="10047" spans="1:3" x14ac:dyDescent="0.25">
      <c r="C10047" s="1"/>
    </row>
    <row r="10048" spans="1:3" x14ac:dyDescent="0.25">
      <c r="C10048" s="1"/>
    </row>
    <row r="10058" spans="1:3" x14ac:dyDescent="0.25">
      <c r="A10058" s="9"/>
      <c r="C10058" s="1"/>
    </row>
    <row r="10059" spans="1:3" x14ac:dyDescent="0.25">
      <c r="C10059" s="1"/>
    </row>
    <row r="10060" spans="1:3" x14ac:dyDescent="0.25">
      <c r="C10060" s="1"/>
    </row>
    <row r="10061" spans="1:3" x14ac:dyDescent="0.25">
      <c r="C10061" s="1"/>
    </row>
    <row r="10062" spans="1:3" x14ac:dyDescent="0.25">
      <c r="C10062" s="1"/>
    </row>
    <row r="10063" spans="1:3" x14ac:dyDescent="0.25">
      <c r="C10063" s="1"/>
    </row>
    <row r="10064" spans="1:3" x14ac:dyDescent="0.25">
      <c r="C10064" s="1"/>
    </row>
    <row r="10065" spans="1:3" x14ac:dyDescent="0.25">
      <c r="C10065" s="1"/>
    </row>
    <row r="10066" spans="1:3" x14ac:dyDescent="0.25">
      <c r="C10066" s="1"/>
    </row>
    <row r="10067" spans="1:3" x14ac:dyDescent="0.25">
      <c r="C10067" s="1"/>
    </row>
    <row r="10068" spans="1:3" x14ac:dyDescent="0.25">
      <c r="C10068" s="1"/>
    </row>
    <row r="10069" spans="1:3" x14ac:dyDescent="0.25">
      <c r="C10069" s="1"/>
    </row>
    <row r="10070" spans="1:3" x14ac:dyDescent="0.25">
      <c r="C10070" s="1"/>
    </row>
    <row r="10071" spans="1:3" x14ac:dyDescent="0.25">
      <c r="C10071" s="1"/>
    </row>
    <row r="10072" spans="1:3" x14ac:dyDescent="0.25">
      <c r="C10072" s="1"/>
    </row>
    <row r="10073" spans="1:3" x14ac:dyDescent="0.25">
      <c r="C10073" s="1"/>
    </row>
    <row r="10074" spans="1:3" x14ac:dyDescent="0.25">
      <c r="C10074" s="1"/>
    </row>
    <row r="10075" spans="1:3" x14ac:dyDescent="0.25">
      <c r="C10075" s="1"/>
    </row>
    <row r="10076" spans="1:3" x14ac:dyDescent="0.25">
      <c r="C10076" s="1"/>
    </row>
    <row r="10077" spans="1:3" x14ac:dyDescent="0.25">
      <c r="C10077" s="1"/>
    </row>
    <row r="10078" spans="1:3" x14ac:dyDescent="0.25">
      <c r="C10078" s="1"/>
    </row>
    <row r="10079" spans="1:3" x14ac:dyDescent="0.25">
      <c r="A10079" s="9"/>
      <c r="C10079" s="1"/>
    </row>
    <row r="10081" spans="1:3" x14ac:dyDescent="0.25">
      <c r="A10081" s="9"/>
      <c r="C10081" s="1"/>
    </row>
    <row r="10104" spans="1:3" x14ac:dyDescent="0.25">
      <c r="A10104" s="9"/>
      <c r="C10104" s="1"/>
    </row>
    <row r="10127" spans="1:3" x14ac:dyDescent="0.25">
      <c r="A10127" s="9"/>
      <c r="C10127" s="1"/>
    </row>
    <row r="10150" spans="1:3" x14ac:dyDescent="0.25">
      <c r="A10150" s="9"/>
      <c r="C10150" s="1"/>
    </row>
    <row r="10173" spans="1:3" x14ac:dyDescent="0.25">
      <c r="A10173" s="9"/>
      <c r="C10173" s="1"/>
    </row>
    <row r="10196" spans="1:3" x14ac:dyDescent="0.25">
      <c r="A10196" s="9"/>
      <c r="C10196" s="1"/>
    </row>
    <row r="10219" spans="1:3" x14ac:dyDescent="0.25">
      <c r="A10219" s="9"/>
      <c r="C10219" s="1"/>
    </row>
    <row r="10242" spans="1:3" x14ac:dyDescent="0.25">
      <c r="A10242" s="9"/>
      <c r="C10242" s="1"/>
    </row>
    <row r="10265" spans="1:3" x14ac:dyDescent="0.25">
      <c r="A10265" s="9"/>
      <c r="C10265" s="1"/>
    </row>
    <row r="10288" spans="1:3" x14ac:dyDescent="0.25">
      <c r="A10288" s="9"/>
      <c r="C10288" s="1"/>
    </row>
    <row r="10311" spans="1:3" x14ac:dyDescent="0.25">
      <c r="A10311" s="9"/>
      <c r="C10311" s="1"/>
    </row>
    <row r="10334" spans="1:3" x14ac:dyDescent="0.25">
      <c r="A10334" s="9"/>
      <c r="C10334" s="1"/>
    </row>
    <row r="10357" spans="1:3" x14ac:dyDescent="0.25">
      <c r="A10357" s="9"/>
      <c r="C10357" s="1"/>
    </row>
    <row r="10358" spans="1:3" x14ac:dyDescent="0.25">
      <c r="A10358" s="2"/>
      <c r="C10358" s="1"/>
    </row>
    <row r="10359" spans="1:3" x14ac:dyDescent="0.25">
      <c r="A10359" s="2"/>
      <c r="C10359" s="1"/>
    </row>
    <row r="10360" spans="1:3" x14ac:dyDescent="0.25">
      <c r="A10360" s="2"/>
      <c r="C10360" s="1"/>
    </row>
    <row r="10361" spans="1:3" x14ac:dyDescent="0.25">
      <c r="A10361" s="2"/>
      <c r="C10361" s="1"/>
    </row>
    <row r="10362" spans="1:3" x14ac:dyDescent="0.25">
      <c r="A10362" s="2"/>
      <c r="C10362" s="1"/>
    </row>
    <row r="10363" spans="1:3" x14ac:dyDescent="0.25">
      <c r="A10363" s="2"/>
      <c r="C10363" s="1"/>
    </row>
    <row r="10364" spans="1:3" x14ac:dyDescent="0.25">
      <c r="A10364" s="2"/>
      <c r="C10364" s="1"/>
    </row>
    <row r="10365" spans="1:3" x14ac:dyDescent="0.25">
      <c r="A10365" s="2"/>
      <c r="C10365" s="1"/>
    </row>
    <row r="10366" spans="1:3" x14ac:dyDescent="0.25">
      <c r="A10366" s="2"/>
      <c r="C10366" s="1"/>
    </row>
    <row r="10367" spans="1:3" x14ac:dyDescent="0.25">
      <c r="A10367" s="2"/>
      <c r="C10367" s="1"/>
    </row>
    <row r="10368" spans="1:3" x14ac:dyDescent="0.25">
      <c r="A10368" s="2"/>
      <c r="C10368" s="1"/>
    </row>
    <row r="10369" spans="1:3" x14ac:dyDescent="0.25">
      <c r="A10369" s="2"/>
      <c r="C10369" s="1"/>
    </row>
    <row r="10370" spans="1:3" x14ac:dyDescent="0.25">
      <c r="A10370" s="2"/>
      <c r="C10370" s="1"/>
    </row>
    <row r="10371" spans="1:3" x14ac:dyDescent="0.25">
      <c r="A10371" s="2"/>
      <c r="C10371" s="1"/>
    </row>
    <row r="10372" spans="1:3" x14ac:dyDescent="0.25">
      <c r="A10372" s="2"/>
      <c r="C10372" s="1"/>
    </row>
    <row r="10373" spans="1:3" x14ac:dyDescent="0.25">
      <c r="A10373" s="2"/>
      <c r="C10373" s="1"/>
    </row>
    <row r="10374" spans="1:3" x14ac:dyDescent="0.25">
      <c r="A10374" s="2"/>
      <c r="C10374" s="1"/>
    </row>
    <row r="10375" spans="1:3" x14ac:dyDescent="0.25">
      <c r="A10375" s="2"/>
      <c r="C10375" s="1"/>
    </row>
    <row r="10376" spans="1:3" x14ac:dyDescent="0.25">
      <c r="A10376" s="2"/>
      <c r="C10376" s="1"/>
    </row>
    <row r="10377" spans="1:3" x14ac:dyDescent="0.25">
      <c r="A10377" s="2"/>
      <c r="C10377" s="1"/>
    </row>
    <row r="10378" spans="1:3" x14ac:dyDescent="0.25">
      <c r="A10378" s="2"/>
      <c r="C10378" s="1"/>
    </row>
    <row r="10379" spans="1:3" x14ac:dyDescent="0.25">
      <c r="A10379" s="2"/>
      <c r="C10379" s="1"/>
    </row>
    <row r="10380" spans="1:3" x14ac:dyDescent="0.25">
      <c r="A10380" s="9"/>
      <c r="C10380" s="1"/>
    </row>
    <row r="10381" spans="1:3" x14ac:dyDescent="0.25">
      <c r="A10381" s="2"/>
      <c r="C10381" s="1"/>
    </row>
    <row r="10382" spans="1:3" x14ac:dyDescent="0.25">
      <c r="A10382" s="2"/>
      <c r="C10382" s="1"/>
    </row>
    <row r="10383" spans="1:3" x14ac:dyDescent="0.25">
      <c r="A10383" s="2"/>
      <c r="C10383" s="1"/>
    </row>
    <row r="10384" spans="1:3" x14ac:dyDescent="0.25">
      <c r="A10384" s="2"/>
      <c r="C10384" s="1"/>
    </row>
    <row r="10385" spans="1:3" x14ac:dyDescent="0.25">
      <c r="A10385" s="2"/>
      <c r="C10385" s="1"/>
    </row>
    <row r="10386" spans="1:3" x14ac:dyDescent="0.25">
      <c r="A10386" s="2"/>
      <c r="C10386" s="1"/>
    </row>
    <row r="10387" spans="1:3" x14ac:dyDescent="0.25">
      <c r="A10387" s="2"/>
      <c r="C10387" s="1"/>
    </row>
    <row r="10388" spans="1:3" x14ac:dyDescent="0.25">
      <c r="A10388" s="2"/>
      <c r="C10388" s="1"/>
    </row>
    <row r="10389" spans="1:3" x14ac:dyDescent="0.25">
      <c r="A10389" s="2"/>
      <c r="C10389" s="1"/>
    </row>
    <row r="10390" spans="1:3" x14ac:dyDescent="0.25">
      <c r="A10390" s="2"/>
      <c r="C10390" s="1"/>
    </row>
    <row r="10391" spans="1:3" x14ac:dyDescent="0.25">
      <c r="A10391" s="2"/>
      <c r="C10391" s="1"/>
    </row>
    <row r="10392" spans="1:3" x14ac:dyDescent="0.25">
      <c r="A10392" s="2"/>
      <c r="C10392" s="1"/>
    </row>
    <row r="10393" spans="1:3" x14ac:dyDescent="0.25">
      <c r="A10393" s="2"/>
      <c r="C10393" s="1"/>
    </row>
    <row r="10394" spans="1:3" x14ac:dyDescent="0.25">
      <c r="A10394" s="2"/>
      <c r="C10394" s="1"/>
    </row>
    <row r="10395" spans="1:3" x14ac:dyDescent="0.25">
      <c r="A10395" s="2"/>
      <c r="C10395" s="1"/>
    </row>
    <row r="10396" spans="1:3" x14ac:dyDescent="0.25">
      <c r="A10396" s="2"/>
      <c r="C10396" s="1"/>
    </row>
    <row r="10397" spans="1:3" x14ac:dyDescent="0.25">
      <c r="A10397" s="2"/>
      <c r="C10397" s="1"/>
    </row>
    <row r="10398" spans="1:3" x14ac:dyDescent="0.25">
      <c r="A10398" s="2"/>
      <c r="C10398" s="1"/>
    </row>
    <row r="10399" spans="1:3" x14ac:dyDescent="0.25">
      <c r="A10399" s="2"/>
      <c r="C10399" s="1"/>
    </row>
    <row r="10400" spans="1:3" x14ac:dyDescent="0.25">
      <c r="A10400" s="2"/>
      <c r="C10400" s="1"/>
    </row>
    <row r="10401" spans="1:3" x14ac:dyDescent="0.25">
      <c r="A10401" s="2"/>
      <c r="C10401" s="1"/>
    </row>
    <row r="10402" spans="1:3" x14ac:dyDescent="0.25">
      <c r="A10402" s="2"/>
      <c r="C10402" s="1"/>
    </row>
    <row r="10403" spans="1:3" x14ac:dyDescent="0.25">
      <c r="A10403" s="9"/>
      <c r="C10403" s="1"/>
    </row>
    <row r="10404" spans="1:3" x14ac:dyDescent="0.25">
      <c r="A10404" s="2"/>
      <c r="C10404" s="1"/>
    </row>
    <row r="10405" spans="1:3" x14ac:dyDescent="0.25">
      <c r="A10405" s="2"/>
      <c r="C10405" s="1"/>
    </row>
    <row r="10406" spans="1:3" x14ac:dyDescent="0.25">
      <c r="A10406" s="2"/>
      <c r="C10406" s="1"/>
    </row>
    <row r="10407" spans="1:3" x14ac:dyDescent="0.25">
      <c r="A10407" s="2"/>
      <c r="C10407" s="1"/>
    </row>
    <row r="10408" spans="1:3" x14ac:dyDescent="0.25">
      <c r="A10408" s="2"/>
      <c r="C10408" s="1"/>
    </row>
    <row r="10409" spans="1:3" x14ac:dyDescent="0.25">
      <c r="A10409" s="2"/>
      <c r="C10409" s="1"/>
    </row>
    <row r="10410" spans="1:3" x14ac:dyDescent="0.25">
      <c r="A10410" s="2"/>
      <c r="C10410" s="1"/>
    </row>
    <row r="10411" spans="1:3" x14ac:dyDescent="0.25">
      <c r="A10411" s="2"/>
      <c r="C10411" s="1"/>
    </row>
    <row r="10412" spans="1:3" x14ac:dyDescent="0.25">
      <c r="A10412" s="2"/>
      <c r="C10412" s="1"/>
    </row>
    <row r="10413" spans="1:3" x14ac:dyDescent="0.25">
      <c r="A10413" s="2"/>
      <c r="C10413" s="1"/>
    </row>
    <row r="10414" spans="1:3" x14ac:dyDescent="0.25">
      <c r="A10414" s="2"/>
      <c r="C10414" s="1"/>
    </row>
    <row r="10415" spans="1:3" x14ac:dyDescent="0.25">
      <c r="A10415" s="2"/>
      <c r="C10415" s="1"/>
    </row>
    <row r="10416" spans="1:3" x14ac:dyDescent="0.25">
      <c r="A10416" s="2"/>
      <c r="C10416" s="1"/>
    </row>
    <row r="10417" spans="1:3" x14ac:dyDescent="0.25">
      <c r="A10417" s="2"/>
      <c r="C10417" s="1"/>
    </row>
    <row r="10418" spans="1:3" x14ac:dyDescent="0.25">
      <c r="A10418" s="2"/>
      <c r="C10418" s="1"/>
    </row>
    <row r="10419" spans="1:3" x14ac:dyDescent="0.25">
      <c r="A10419" s="2"/>
      <c r="C10419" s="1"/>
    </row>
    <row r="10420" spans="1:3" x14ac:dyDescent="0.25">
      <c r="A10420" s="2"/>
      <c r="C10420" s="1"/>
    </row>
    <row r="10421" spans="1:3" x14ac:dyDescent="0.25">
      <c r="A10421" s="2"/>
      <c r="C10421" s="1"/>
    </row>
    <row r="10422" spans="1:3" x14ac:dyDescent="0.25">
      <c r="A10422" s="2"/>
      <c r="C10422" s="1"/>
    </row>
    <row r="10423" spans="1:3" x14ac:dyDescent="0.25">
      <c r="A10423" s="2"/>
      <c r="C10423" s="1"/>
    </row>
    <row r="10424" spans="1:3" x14ac:dyDescent="0.25">
      <c r="A10424" s="2"/>
      <c r="C10424" s="1"/>
    </row>
    <row r="10425" spans="1:3" x14ac:dyDescent="0.25">
      <c r="A10425" s="2"/>
      <c r="C10425" s="1"/>
    </row>
    <row r="10426" spans="1:3" x14ac:dyDescent="0.25">
      <c r="A10426" s="9"/>
      <c r="C10426" s="1"/>
    </row>
    <row r="10427" spans="1:3" x14ac:dyDescent="0.25">
      <c r="A10427" s="2"/>
      <c r="C10427" s="1"/>
    </row>
    <row r="10428" spans="1:3" x14ac:dyDescent="0.25">
      <c r="A10428" s="2"/>
      <c r="C10428" s="1"/>
    </row>
    <row r="10429" spans="1:3" x14ac:dyDescent="0.25">
      <c r="A10429" s="2"/>
      <c r="C10429" s="1"/>
    </row>
    <row r="10430" spans="1:3" x14ac:dyDescent="0.25">
      <c r="A10430" s="2"/>
      <c r="C10430" s="1"/>
    </row>
    <row r="10431" spans="1:3" x14ac:dyDescent="0.25">
      <c r="A10431" s="2"/>
      <c r="C10431" s="1"/>
    </row>
    <row r="10432" spans="1:3" x14ac:dyDescent="0.25">
      <c r="A10432" s="2"/>
      <c r="C10432" s="1"/>
    </row>
    <row r="10433" spans="1:3" x14ac:dyDescent="0.25">
      <c r="A10433" s="2"/>
      <c r="C10433" s="1"/>
    </row>
    <row r="10434" spans="1:3" x14ac:dyDescent="0.25">
      <c r="A10434" s="2"/>
      <c r="C10434" s="1"/>
    </row>
    <row r="10435" spans="1:3" x14ac:dyDescent="0.25">
      <c r="A10435" s="2"/>
      <c r="C10435" s="1"/>
    </row>
    <row r="10436" spans="1:3" x14ac:dyDescent="0.25">
      <c r="A10436" s="2"/>
      <c r="C10436" s="1"/>
    </row>
    <row r="10437" spans="1:3" x14ac:dyDescent="0.25">
      <c r="A10437" s="2"/>
      <c r="C10437" s="1"/>
    </row>
    <row r="10438" spans="1:3" x14ac:dyDescent="0.25">
      <c r="A10438" s="2"/>
      <c r="C10438" s="1"/>
    </row>
    <row r="10439" spans="1:3" x14ac:dyDescent="0.25">
      <c r="A10439" s="2"/>
      <c r="C10439" s="1"/>
    </row>
    <row r="10440" spans="1:3" x14ac:dyDescent="0.25">
      <c r="A10440" s="2"/>
      <c r="C10440" s="1"/>
    </row>
    <row r="10441" spans="1:3" x14ac:dyDescent="0.25">
      <c r="A10441" s="2"/>
      <c r="C10441" s="1"/>
    </row>
    <row r="10442" spans="1:3" x14ac:dyDescent="0.25">
      <c r="A10442" s="2"/>
      <c r="C10442" s="1"/>
    </row>
    <row r="10443" spans="1:3" x14ac:dyDescent="0.25">
      <c r="A10443" s="2"/>
      <c r="C10443" s="1"/>
    </row>
    <row r="10444" spans="1:3" x14ac:dyDescent="0.25">
      <c r="A10444" s="2"/>
      <c r="C10444" s="1"/>
    </row>
    <row r="10445" spans="1:3" x14ac:dyDescent="0.25">
      <c r="A10445" s="2"/>
      <c r="C10445" s="1"/>
    </row>
    <row r="10446" spans="1:3" x14ac:dyDescent="0.25">
      <c r="A10446" s="2"/>
      <c r="C10446" s="1"/>
    </row>
    <row r="10447" spans="1:3" x14ac:dyDescent="0.25">
      <c r="A10447" s="2"/>
      <c r="C10447" s="1"/>
    </row>
    <row r="10448" spans="1:3" x14ac:dyDescent="0.25">
      <c r="A10448" s="2"/>
      <c r="C10448" s="1"/>
    </row>
    <row r="10449" spans="1:3" x14ac:dyDescent="0.25">
      <c r="A10449" s="9"/>
      <c r="C10449" s="1"/>
    </row>
    <row r="10450" spans="1:3" x14ac:dyDescent="0.25">
      <c r="A10450" s="2"/>
      <c r="C10450" s="1"/>
    </row>
    <row r="10451" spans="1:3" x14ac:dyDescent="0.25">
      <c r="A10451" s="2"/>
      <c r="C10451" s="1"/>
    </row>
    <row r="10452" spans="1:3" x14ac:dyDescent="0.25">
      <c r="A10452" s="2"/>
      <c r="C10452" s="1"/>
    </row>
    <row r="10453" spans="1:3" x14ac:dyDescent="0.25">
      <c r="A10453" s="2"/>
      <c r="C10453" s="1"/>
    </row>
    <row r="10454" spans="1:3" x14ac:dyDescent="0.25">
      <c r="A10454" s="2"/>
      <c r="C10454" s="1"/>
    </row>
    <row r="10455" spans="1:3" x14ac:dyDescent="0.25">
      <c r="A10455" s="2"/>
      <c r="C10455" s="1"/>
    </row>
    <row r="10456" spans="1:3" x14ac:dyDescent="0.25">
      <c r="A10456" s="2"/>
      <c r="C10456" s="1"/>
    </row>
    <row r="10457" spans="1:3" x14ac:dyDescent="0.25">
      <c r="A10457" s="2"/>
      <c r="C10457" s="1"/>
    </row>
    <row r="10458" spans="1:3" x14ac:dyDescent="0.25">
      <c r="A10458" s="2"/>
      <c r="C10458" s="1"/>
    </row>
    <row r="10459" spans="1:3" x14ac:dyDescent="0.25">
      <c r="A10459" s="2"/>
      <c r="C10459" s="1"/>
    </row>
    <row r="10460" spans="1:3" x14ac:dyDescent="0.25">
      <c r="A10460" s="2"/>
      <c r="C10460" s="1"/>
    </row>
    <row r="10461" spans="1:3" x14ac:dyDescent="0.25">
      <c r="A10461" s="2"/>
      <c r="C10461" s="1"/>
    </row>
    <row r="10462" spans="1:3" x14ac:dyDescent="0.25">
      <c r="A10462" s="2"/>
      <c r="C10462" s="1"/>
    </row>
    <row r="10463" spans="1:3" x14ac:dyDescent="0.25">
      <c r="A10463" s="2"/>
      <c r="C10463" s="1"/>
    </row>
    <row r="10464" spans="1:3" x14ac:dyDescent="0.25">
      <c r="A10464" s="2"/>
      <c r="C10464" s="1"/>
    </row>
    <row r="10465" spans="1:3" x14ac:dyDescent="0.25">
      <c r="A10465" s="2"/>
      <c r="C10465" s="1"/>
    </row>
    <row r="10466" spans="1:3" x14ac:dyDescent="0.25">
      <c r="A10466" s="2"/>
      <c r="C10466" s="1"/>
    </row>
    <row r="10467" spans="1:3" x14ac:dyDescent="0.25">
      <c r="A10467" s="2"/>
      <c r="C10467" s="1"/>
    </row>
    <row r="10468" spans="1:3" x14ac:dyDescent="0.25">
      <c r="A10468" s="2"/>
      <c r="C10468" s="1"/>
    </row>
    <row r="10469" spans="1:3" x14ac:dyDescent="0.25">
      <c r="A10469" s="2"/>
      <c r="C10469" s="1"/>
    </row>
    <row r="10470" spans="1:3" x14ac:dyDescent="0.25">
      <c r="A10470" s="2"/>
      <c r="C10470" s="1"/>
    </row>
    <row r="10471" spans="1:3" x14ac:dyDescent="0.25">
      <c r="A10471" s="2"/>
      <c r="C10471" s="1"/>
    </row>
    <row r="10472" spans="1:3" x14ac:dyDescent="0.25">
      <c r="A10472" s="9"/>
      <c r="C10472" s="1"/>
    </row>
    <row r="10473" spans="1:3" x14ac:dyDescent="0.25">
      <c r="A10473" s="2"/>
      <c r="C10473" s="1"/>
    </row>
    <row r="10474" spans="1:3" x14ac:dyDescent="0.25">
      <c r="A10474" s="2"/>
      <c r="C10474" s="1"/>
    </row>
    <row r="10475" spans="1:3" x14ac:dyDescent="0.25">
      <c r="A10475" s="2"/>
      <c r="C10475" s="1"/>
    </row>
    <row r="10476" spans="1:3" x14ac:dyDescent="0.25">
      <c r="A10476" s="2"/>
      <c r="C10476" s="1"/>
    </row>
    <row r="10477" spans="1:3" x14ac:dyDescent="0.25">
      <c r="A10477" s="2"/>
      <c r="C10477" s="1"/>
    </row>
    <row r="10478" spans="1:3" x14ac:dyDescent="0.25">
      <c r="A10478" s="2"/>
      <c r="C10478" s="1"/>
    </row>
    <row r="10479" spans="1:3" x14ac:dyDescent="0.25">
      <c r="A10479" s="2"/>
      <c r="C10479" s="1"/>
    </row>
    <row r="10480" spans="1:3" x14ac:dyDescent="0.25">
      <c r="A10480" s="2"/>
      <c r="C10480" s="1"/>
    </row>
    <row r="10481" spans="1:3" x14ac:dyDescent="0.25">
      <c r="A10481" s="2"/>
      <c r="C10481" s="1"/>
    </row>
    <row r="10482" spans="1:3" x14ac:dyDescent="0.25">
      <c r="A10482" s="2"/>
      <c r="C10482" s="1"/>
    </row>
    <row r="10483" spans="1:3" x14ac:dyDescent="0.25">
      <c r="A10483" s="2"/>
      <c r="C10483" s="1"/>
    </row>
    <row r="10484" spans="1:3" x14ac:dyDescent="0.25">
      <c r="A10484" s="2"/>
      <c r="C10484" s="1"/>
    </row>
    <row r="10485" spans="1:3" x14ac:dyDescent="0.25">
      <c r="A10485" s="2"/>
      <c r="C10485" s="1"/>
    </row>
    <row r="10486" spans="1:3" x14ac:dyDescent="0.25">
      <c r="A10486" s="2"/>
      <c r="C10486" s="1"/>
    </row>
    <row r="10487" spans="1:3" x14ac:dyDescent="0.25">
      <c r="A10487" s="2"/>
      <c r="C10487" s="1"/>
    </row>
    <row r="10488" spans="1:3" x14ac:dyDescent="0.25">
      <c r="A10488" s="2"/>
      <c r="C10488" s="1"/>
    </row>
    <row r="10489" spans="1:3" x14ac:dyDescent="0.25">
      <c r="A10489" s="2"/>
      <c r="C10489" s="1"/>
    </row>
    <row r="10490" spans="1:3" x14ac:dyDescent="0.25">
      <c r="A10490" s="2"/>
      <c r="C10490" s="1"/>
    </row>
    <row r="10491" spans="1:3" x14ac:dyDescent="0.25">
      <c r="A10491" s="2"/>
      <c r="C10491" s="1"/>
    </row>
    <row r="10492" spans="1:3" x14ac:dyDescent="0.25">
      <c r="A10492" s="2"/>
      <c r="C10492" s="1"/>
    </row>
    <row r="10493" spans="1:3" x14ac:dyDescent="0.25">
      <c r="A10493" s="2"/>
      <c r="C10493" s="1"/>
    </row>
    <row r="10494" spans="1:3" x14ac:dyDescent="0.25">
      <c r="A10494" s="2"/>
      <c r="C10494" s="1"/>
    </row>
    <row r="10495" spans="1:3" x14ac:dyDescent="0.25">
      <c r="A10495" s="9"/>
      <c r="C10495" s="1"/>
    </row>
    <row r="10496" spans="1:3" x14ac:dyDescent="0.25">
      <c r="A10496" s="2"/>
      <c r="C10496" s="1"/>
    </row>
    <row r="10497" spans="1:3" x14ac:dyDescent="0.25">
      <c r="A10497" s="2"/>
      <c r="C10497" s="1"/>
    </row>
    <row r="10498" spans="1:3" x14ac:dyDescent="0.25">
      <c r="A10498" s="2"/>
      <c r="C10498" s="1"/>
    </row>
    <row r="10499" spans="1:3" x14ac:dyDescent="0.25">
      <c r="A10499" s="2"/>
      <c r="C10499" s="1"/>
    </row>
    <row r="10500" spans="1:3" x14ac:dyDescent="0.25">
      <c r="A10500" s="2"/>
      <c r="C10500" s="1"/>
    </row>
    <row r="10501" spans="1:3" x14ac:dyDescent="0.25">
      <c r="A10501" s="2"/>
      <c r="C10501" s="1"/>
    </row>
    <row r="10502" spans="1:3" x14ac:dyDescent="0.25">
      <c r="A10502" s="2"/>
      <c r="C10502" s="1"/>
    </row>
    <row r="10503" spans="1:3" x14ac:dyDescent="0.25">
      <c r="A10503" s="2"/>
      <c r="C10503" s="1"/>
    </row>
    <row r="10504" spans="1:3" x14ac:dyDescent="0.25">
      <c r="A10504" s="2"/>
      <c r="C10504" s="1"/>
    </row>
    <row r="10505" spans="1:3" x14ac:dyDescent="0.25">
      <c r="A10505" s="2"/>
      <c r="C10505" s="1"/>
    </row>
    <row r="10506" spans="1:3" x14ac:dyDescent="0.25">
      <c r="A10506" s="2"/>
      <c r="C10506" s="1"/>
    </row>
    <row r="10507" spans="1:3" x14ac:dyDescent="0.25">
      <c r="A10507" s="2"/>
      <c r="C10507" s="1"/>
    </row>
    <row r="10508" spans="1:3" x14ac:dyDescent="0.25">
      <c r="A10508" s="2"/>
      <c r="C10508" s="1"/>
    </row>
    <row r="10509" spans="1:3" x14ac:dyDescent="0.25">
      <c r="A10509" s="2"/>
      <c r="C10509" s="1"/>
    </row>
    <row r="10510" spans="1:3" x14ac:dyDescent="0.25">
      <c r="A10510" s="2"/>
      <c r="C10510" s="1"/>
    </row>
    <row r="10511" spans="1:3" x14ac:dyDescent="0.25">
      <c r="A10511" s="2"/>
      <c r="C10511" s="1"/>
    </row>
    <row r="10512" spans="1:3" x14ac:dyDescent="0.25">
      <c r="A10512" s="2"/>
      <c r="C10512" s="1"/>
    </row>
    <row r="10513" spans="1:3" x14ac:dyDescent="0.25">
      <c r="A10513" s="2"/>
      <c r="C10513" s="1"/>
    </row>
    <row r="10514" spans="1:3" x14ac:dyDescent="0.25">
      <c r="A10514" s="2"/>
      <c r="C10514" s="1"/>
    </row>
    <row r="10515" spans="1:3" x14ac:dyDescent="0.25">
      <c r="A10515" s="2"/>
      <c r="C10515" s="1"/>
    </row>
    <row r="10516" spans="1:3" x14ac:dyDescent="0.25">
      <c r="A10516" s="2"/>
      <c r="C10516" s="1"/>
    </row>
    <row r="10517" spans="1:3" x14ac:dyDescent="0.25">
      <c r="A10517" s="2"/>
      <c r="C10517" s="1"/>
    </row>
    <row r="10518" spans="1:3" x14ac:dyDescent="0.25">
      <c r="A10518" s="9"/>
      <c r="C10518" s="1"/>
    </row>
    <row r="10519" spans="1:3" x14ac:dyDescent="0.25">
      <c r="A10519" s="2"/>
      <c r="C10519" s="1"/>
    </row>
    <row r="10520" spans="1:3" x14ac:dyDescent="0.25">
      <c r="A10520" s="2"/>
      <c r="C10520" s="1"/>
    </row>
    <row r="10521" spans="1:3" x14ac:dyDescent="0.25">
      <c r="A10521" s="2"/>
      <c r="C10521" s="1"/>
    </row>
    <row r="10522" spans="1:3" x14ac:dyDescent="0.25">
      <c r="A10522" s="2"/>
      <c r="C10522" s="1"/>
    </row>
    <row r="10523" spans="1:3" x14ac:dyDescent="0.25">
      <c r="A10523" s="2"/>
      <c r="C10523" s="1"/>
    </row>
    <row r="10524" spans="1:3" x14ac:dyDescent="0.25">
      <c r="A10524" s="2"/>
      <c r="C10524" s="1"/>
    </row>
    <row r="10525" spans="1:3" x14ac:dyDescent="0.25">
      <c r="A10525" s="2"/>
      <c r="C10525" s="1"/>
    </row>
    <row r="10526" spans="1:3" x14ac:dyDescent="0.25">
      <c r="A10526" s="2"/>
      <c r="C10526" s="1"/>
    </row>
    <row r="10527" spans="1:3" x14ac:dyDescent="0.25">
      <c r="A10527" s="2"/>
      <c r="C10527" s="1"/>
    </row>
    <row r="10528" spans="1:3" x14ac:dyDescent="0.25">
      <c r="A10528" s="2"/>
      <c r="C10528" s="1"/>
    </row>
    <row r="10529" spans="1:3" x14ac:dyDescent="0.25">
      <c r="A10529" s="2"/>
      <c r="C10529" s="1"/>
    </row>
    <row r="10530" spans="1:3" x14ac:dyDescent="0.25">
      <c r="A10530" s="2"/>
      <c r="C10530" s="1"/>
    </row>
    <row r="10531" spans="1:3" x14ac:dyDescent="0.25">
      <c r="A10531" s="2"/>
      <c r="C10531" s="1"/>
    </row>
    <row r="10532" spans="1:3" x14ac:dyDescent="0.25">
      <c r="A10532" s="2"/>
      <c r="C10532" s="1"/>
    </row>
    <row r="10533" spans="1:3" x14ac:dyDescent="0.25">
      <c r="A10533" s="2"/>
      <c r="C10533" s="1"/>
    </row>
    <row r="10534" spans="1:3" x14ac:dyDescent="0.25">
      <c r="A10534" s="2"/>
      <c r="C10534" s="1"/>
    </row>
    <row r="10535" spans="1:3" x14ac:dyDescent="0.25">
      <c r="A10535" s="2"/>
      <c r="C10535" s="1"/>
    </row>
    <row r="10536" spans="1:3" x14ac:dyDescent="0.25">
      <c r="A10536" s="2"/>
      <c r="C10536" s="1"/>
    </row>
    <row r="10537" spans="1:3" x14ac:dyDescent="0.25">
      <c r="A10537" s="2"/>
      <c r="C10537" s="1"/>
    </row>
    <row r="10538" spans="1:3" x14ac:dyDescent="0.25">
      <c r="A10538" s="2"/>
      <c r="C10538" s="1"/>
    </row>
    <row r="10539" spans="1:3" x14ac:dyDescent="0.25">
      <c r="A10539" s="2"/>
      <c r="C10539" s="1"/>
    </row>
    <row r="10540" spans="1:3" x14ac:dyDescent="0.25">
      <c r="A10540" s="2"/>
      <c r="C10540" s="1"/>
    </row>
    <row r="10541" spans="1:3" x14ac:dyDescent="0.25">
      <c r="A10541" s="9"/>
      <c r="C10541" s="1"/>
    </row>
    <row r="10542" spans="1:3" x14ac:dyDescent="0.25">
      <c r="A10542" s="2"/>
      <c r="C10542" s="1"/>
    </row>
    <row r="10543" spans="1:3" x14ac:dyDescent="0.25">
      <c r="A10543" s="2"/>
      <c r="C10543" s="1"/>
    </row>
    <row r="10544" spans="1:3" x14ac:dyDescent="0.25">
      <c r="A10544" s="2"/>
      <c r="C10544" s="1"/>
    </row>
    <row r="10545" spans="1:3" x14ac:dyDescent="0.25">
      <c r="A10545" s="2"/>
      <c r="C10545" s="1"/>
    </row>
    <row r="10546" spans="1:3" x14ac:dyDescent="0.25">
      <c r="A10546" s="2"/>
      <c r="C10546" s="1"/>
    </row>
    <row r="10547" spans="1:3" x14ac:dyDescent="0.25">
      <c r="A10547" s="2"/>
      <c r="C10547" s="1"/>
    </row>
    <row r="10548" spans="1:3" x14ac:dyDescent="0.25">
      <c r="A10548" s="2"/>
      <c r="C10548" s="1"/>
    </row>
    <row r="10549" spans="1:3" x14ac:dyDescent="0.25">
      <c r="A10549" s="2"/>
      <c r="C10549" s="1"/>
    </row>
    <row r="10550" spans="1:3" x14ac:dyDescent="0.25">
      <c r="A10550" s="2"/>
      <c r="C10550" s="1"/>
    </row>
    <row r="10551" spans="1:3" x14ac:dyDescent="0.25">
      <c r="A10551" s="2"/>
      <c r="C10551" s="1"/>
    </row>
    <row r="10552" spans="1:3" x14ac:dyDescent="0.25">
      <c r="A10552" s="2"/>
      <c r="C10552" s="1"/>
    </row>
    <row r="10553" spans="1:3" x14ac:dyDescent="0.25">
      <c r="A10553" s="2"/>
      <c r="C10553" s="1"/>
    </row>
    <row r="10554" spans="1:3" x14ac:dyDescent="0.25">
      <c r="A10554" s="2"/>
      <c r="C10554" s="1"/>
    </row>
    <row r="10555" spans="1:3" x14ac:dyDescent="0.25">
      <c r="A10555" s="2"/>
      <c r="C10555" s="1"/>
    </row>
    <row r="10556" spans="1:3" x14ac:dyDescent="0.25">
      <c r="A10556" s="2"/>
      <c r="C10556" s="1"/>
    </row>
    <row r="10557" spans="1:3" x14ac:dyDescent="0.25">
      <c r="A10557" s="2"/>
      <c r="C10557" s="1"/>
    </row>
    <row r="10558" spans="1:3" x14ac:dyDescent="0.25">
      <c r="A10558" s="2"/>
      <c r="C10558" s="1"/>
    </row>
    <row r="10559" spans="1:3" x14ac:dyDescent="0.25">
      <c r="A10559" s="2"/>
      <c r="C10559" s="1"/>
    </row>
    <row r="10560" spans="1:3" x14ac:dyDescent="0.25">
      <c r="A10560" s="2"/>
      <c r="C10560" s="1"/>
    </row>
    <row r="10561" spans="1:3" x14ac:dyDescent="0.25">
      <c r="A10561" s="2"/>
      <c r="C10561" s="1"/>
    </row>
    <row r="10562" spans="1:3" x14ac:dyDescent="0.25">
      <c r="A10562" s="2"/>
      <c r="C10562" s="1"/>
    </row>
    <row r="10563" spans="1:3" x14ac:dyDescent="0.25">
      <c r="A10563" s="2"/>
      <c r="C10563" s="1"/>
    </row>
    <row r="10564" spans="1:3" x14ac:dyDescent="0.25">
      <c r="A10564" s="9"/>
      <c r="C10564" s="1"/>
    </row>
    <row r="10565" spans="1:3" x14ac:dyDescent="0.25">
      <c r="A10565" s="2"/>
      <c r="C10565" s="1"/>
    </row>
    <row r="10566" spans="1:3" x14ac:dyDescent="0.25">
      <c r="A10566" s="2"/>
      <c r="C10566" s="1"/>
    </row>
    <row r="10567" spans="1:3" x14ac:dyDescent="0.25">
      <c r="A10567" s="2"/>
      <c r="C10567" s="1"/>
    </row>
    <row r="10568" spans="1:3" x14ac:dyDescent="0.25">
      <c r="A10568" s="2"/>
      <c r="C10568" s="1"/>
    </row>
    <row r="10569" spans="1:3" x14ac:dyDescent="0.25">
      <c r="A10569" s="2"/>
      <c r="C10569" s="1"/>
    </row>
    <row r="10570" spans="1:3" x14ac:dyDescent="0.25">
      <c r="A10570" s="2"/>
      <c r="C10570" s="1"/>
    </row>
    <row r="10571" spans="1:3" x14ac:dyDescent="0.25">
      <c r="A10571" s="2"/>
      <c r="C10571" s="1"/>
    </row>
    <row r="10572" spans="1:3" x14ac:dyDescent="0.25">
      <c r="A10572" s="2"/>
      <c r="C10572" s="1"/>
    </row>
    <row r="10573" spans="1:3" x14ac:dyDescent="0.25">
      <c r="A10573" s="2"/>
      <c r="C10573" s="1"/>
    </row>
    <row r="10574" spans="1:3" x14ac:dyDescent="0.25">
      <c r="A10574" s="2"/>
      <c r="C10574" s="1"/>
    </row>
    <row r="10575" spans="1:3" x14ac:dyDescent="0.25">
      <c r="A10575" s="2"/>
      <c r="C10575" s="1"/>
    </row>
    <row r="10576" spans="1:3" x14ac:dyDescent="0.25">
      <c r="A10576" s="2"/>
      <c r="C10576" s="1"/>
    </row>
    <row r="10577" spans="1:3" x14ac:dyDescent="0.25">
      <c r="A10577" s="2"/>
      <c r="C10577" s="1"/>
    </row>
    <row r="10578" spans="1:3" x14ac:dyDescent="0.25">
      <c r="A10578" s="2"/>
      <c r="C10578" s="1"/>
    </row>
    <row r="10579" spans="1:3" x14ac:dyDescent="0.25">
      <c r="A10579" s="2"/>
      <c r="C10579" s="1"/>
    </row>
    <row r="10580" spans="1:3" x14ac:dyDescent="0.25">
      <c r="A10580" s="2"/>
      <c r="C10580" s="1"/>
    </row>
    <row r="10581" spans="1:3" x14ac:dyDescent="0.25">
      <c r="A10581" s="2"/>
      <c r="C10581" s="1"/>
    </row>
    <row r="10582" spans="1:3" x14ac:dyDescent="0.25">
      <c r="A10582" s="2"/>
      <c r="C10582" s="1"/>
    </row>
    <row r="10583" spans="1:3" x14ac:dyDescent="0.25">
      <c r="A10583" s="2"/>
      <c r="C10583" s="1"/>
    </row>
    <row r="10584" spans="1:3" x14ac:dyDescent="0.25">
      <c r="A10584" s="2"/>
      <c r="C10584" s="1"/>
    </row>
    <row r="10585" spans="1:3" x14ac:dyDescent="0.25">
      <c r="A10585" s="2"/>
      <c r="C10585" s="1"/>
    </row>
    <row r="10586" spans="1:3" x14ac:dyDescent="0.25">
      <c r="A10586" s="2"/>
      <c r="C10586" s="1"/>
    </row>
    <row r="10587" spans="1:3" x14ac:dyDescent="0.25">
      <c r="A10587" s="9"/>
      <c r="C10587" s="1"/>
    </row>
    <row r="10588" spans="1:3" x14ac:dyDescent="0.25">
      <c r="A10588" s="2"/>
      <c r="C10588" s="1"/>
    </row>
    <row r="10589" spans="1:3" x14ac:dyDescent="0.25">
      <c r="A10589" s="2"/>
      <c r="C10589" s="1"/>
    </row>
    <row r="10590" spans="1:3" x14ac:dyDescent="0.25">
      <c r="A10590" s="2"/>
      <c r="C10590" s="1"/>
    </row>
    <row r="10591" spans="1:3" x14ac:dyDescent="0.25">
      <c r="A10591" s="2"/>
      <c r="C10591" s="1"/>
    </row>
    <row r="10592" spans="1:3" x14ac:dyDescent="0.25">
      <c r="A10592" s="2"/>
      <c r="C10592" s="1"/>
    </row>
    <row r="10593" spans="1:3" x14ac:dyDescent="0.25">
      <c r="A10593" s="2"/>
      <c r="C10593" s="1"/>
    </row>
    <row r="10594" spans="1:3" x14ac:dyDescent="0.25">
      <c r="A10594" s="2"/>
      <c r="C10594" s="1"/>
    </row>
    <row r="10595" spans="1:3" x14ac:dyDescent="0.25">
      <c r="A10595" s="2"/>
      <c r="C10595" s="1"/>
    </row>
    <row r="10596" spans="1:3" x14ac:dyDescent="0.25">
      <c r="A10596" s="2"/>
      <c r="C10596" s="1"/>
    </row>
    <row r="10597" spans="1:3" x14ac:dyDescent="0.25">
      <c r="A10597" s="2"/>
      <c r="C10597" s="1"/>
    </row>
    <row r="10598" spans="1:3" x14ac:dyDescent="0.25">
      <c r="A10598" s="2"/>
      <c r="C10598" s="1"/>
    </row>
    <row r="10599" spans="1:3" x14ac:dyDescent="0.25">
      <c r="A10599" s="2"/>
      <c r="C10599" s="1"/>
    </row>
    <row r="10600" spans="1:3" x14ac:dyDescent="0.25">
      <c r="A10600" s="2"/>
      <c r="C10600" s="1"/>
    </row>
    <row r="10601" spans="1:3" x14ac:dyDescent="0.25">
      <c r="A10601" s="2"/>
      <c r="C10601" s="1"/>
    </row>
    <row r="10602" spans="1:3" x14ac:dyDescent="0.25">
      <c r="A10602" s="2"/>
      <c r="C10602" s="1"/>
    </row>
    <row r="10603" spans="1:3" x14ac:dyDescent="0.25">
      <c r="A10603" s="2"/>
      <c r="C10603" s="1"/>
    </row>
    <row r="10604" spans="1:3" x14ac:dyDescent="0.25">
      <c r="A10604" s="2"/>
      <c r="C10604" s="1"/>
    </row>
    <row r="10605" spans="1:3" x14ac:dyDescent="0.25">
      <c r="A10605" s="2"/>
      <c r="C10605" s="1"/>
    </row>
    <row r="10606" spans="1:3" x14ac:dyDescent="0.25">
      <c r="A10606" s="2"/>
      <c r="C10606" s="1"/>
    </row>
    <row r="10607" spans="1:3" x14ac:dyDescent="0.25">
      <c r="A10607" s="2"/>
      <c r="C10607" s="1"/>
    </row>
    <row r="10608" spans="1:3" x14ac:dyDescent="0.25">
      <c r="A10608" s="2"/>
      <c r="C10608" s="1"/>
    </row>
    <row r="10609" spans="1:3" x14ac:dyDescent="0.25">
      <c r="A10609" s="2"/>
      <c r="C10609" s="1"/>
    </row>
    <row r="10610" spans="1:3" x14ac:dyDescent="0.25">
      <c r="A10610" s="9"/>
      <c r="C10610" s="1"/>
    </row>
    <row r="10611" spans="1:3" x14ac:dyDescent="0.25">
      <c r="A10611" s="2"/>
      <c r="C10611" s="1"/>
    </row>
    <row r="10612" spans="1:3" x14ac:dyDescent="0.25">
      <c r="A10612" s="2"/>
      <c r="C10612" s="1"/>
    </row>
    <row r="10613" spans="1:3" x14ac:dyDescent="0.25">
      <c r="A10613" s="2"/>
      <c r="C10613" s="1"/>
    </row>
    <row r="10614" spans="1:3" x14ac:dyDescent="0.25">
      <c r="A10614" s="2"/>
      <c r="C10614" s="1"/>
    </row>
    <row r="10615" spans="1:3" x14ac:dyDescent="0.25">
      <c r="A10615" s="2"/>
      <c r="C10615" s="1"/>
    </row>
    <row r="10616" spans="1:3" x14ac:dyDescent="0.25">
      <c r="A10616" s="2"/>
      <c r="C10616" s="1"/>
    </row>
    <row r="10617" spans="1:3" x14ac:dyDescent="0.25">
      <c r="A10617" s="2"/>
      <c r="C10617" s="1"/>
    </row>
    <row r="10618" spans="1:3" x14ac:dyDescent="0.25">
      <c r="A10618" s="2"/>
      <c r="C10618" s="1"/>
    </row>
    <row r="10619" spans="1:3" x14ac:dyDescent="0.25">
      <c r="A10619" s="2"/>
      <c r="C10619" s="1"/>
    </row>
    <row r="10620" spans="1:3" x14ac:dyDescent="0.25">
      <c r="A10620" s="2"/>
      <c r="C10620" s="1"/>
    </row>
    <row r="10621" spans="1:3" x14ac:dyDescent="0.25">
      <c r="A10621" s="2"/>
      <c r="C10621" s="1"/>
    </row>
    <row r="10622" spans="1:3" x14ac:dyDescent="0.25">
      <c r="A10622" s="2"/>
      <c r="C10622" s="1"/>
    </row>
    <row r="10623" spans="1:3" x14ac:dyDescent="0.25">
      <c r="A10623" s="2"/>
      <c r="C10623" s="1"/>
    </row>
    <row r="10624" spans="1:3" x14ac:dyDescent="0.25">
      <c r="A10624" s="2"/>
      <c r="C10624" s="1"/>
    </row>
    <row r="10625" spans="1:3" x14ac:dyDescent="0.25">
      <c r="A10625" s="2"/>
      <c r="C10625" s="1"/>
    </row>
    <row r="10626" spans="1:3" x14ac:dyDescent="0.25">
      <c r="A10626" s="2"/>
      <c r="C10626" s="1"/>
    </row>
    <row r="10627" spans="1:3" x14ac:dyDescent="0.25">
      <c r="A10627" s="2"/>
      <c r="C10627" s="1"/>
    </row>
    <row r="10628" spans="1:3" x14ac:dyDescent="0.25">
      <c r="A10628" s="2"/>
      <c r="C10628" s="1"/>
    </row>
    <row r="10629" spans="1:3" x14ac:dyDescent="0.25">
      <c r="A10629" s="2"/>
      <c r="C10629" s="1"/>
    </row>
    <row r="10630" spans="1:3" x14ac:dyDescent="0.25">
      <c r="A10630" s="2"/>
      <c r="C10630" s="1"/>
    </row>
    <row r="10631" spans="1:3" x14ac:dyDescent="0.25">
      <c r="A10631" s="2"/>
      <c r="C10631" s="1"/>
    </row>
    <row r="10632" spans="1:3" x14ac:dyDescent="0.25">
      <c r="A10632" s="2"/>
      <c r="C10632" s="1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3</vt:i4>
      </vt:variant>
    </vt:vector>
  </HeadingPairs>
  <TitlesOfParts>
    <vt:vector size="9" baseType="lpstr">
      <vt:lpstr>上櫃股票資訊</vt:lpstr>
      <vt:lpstr>設定</vt:lpstr>
      <vt:lpstr>最新上櫃公司收盤價</vt:lpstr>
      <vt:lpstr>指定月份每日交易數量</vt:lpstr>
      <vt:lpstr>工作表1</vt:lpstr>
      <vt:lpstr>單筆股票歷史資料</vt:lpstr>
      <vt:lpstr>工作表1!_1_stkno_1258_s_0_1</vt:lpstr>
      <vt:lpstr>指定月份每日交易數量!_1_stkno_1258_s_0_1</vt:lpstr>
      <vt:lpstr>最新上櫃公司收盤價!_54199_出自《經理人》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2018-01-02T05:57:13Z</dcterms:modified>
</cp:coreProperties>
</file>